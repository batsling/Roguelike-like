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drawings/drawing1.xml" ContentType="application/vnd.openxmlformats-officedocument.drawing+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tables/table37.xml" ContentType="application/vnd.openxmlformats-officedocument.spreadsheetml.table+xml"/>
  <Override PartName="/xl/worksheets/sheet40.xml" ContentType="application/vnd.openxmlformats-officedocument.spreadsheetml.worksheet+xml"/>
  <Override PartName="/xl/tables/table38.xml" ContentType="application/vnd.openxmlformats-officedocument.spreadsheetml.table+xml"/>
  <Override PartName="/xl/worksheets/sheet41.xml" ContentType="application/vnd.openxmlformats-officedocument.spreadsheetml.worksheet+xml"/>
  <Override PartName="/xl/tables/table39.xml" ContentType="application/vnd.openxmlformats-officedocument.spreadsheetml.table+xml"/>
  <Override PartName="/xl/worksheets/sheet42.xml" ContentType="application/vnd.openxmlformats-officedocument.spreadsheetml.worksheet+xml"/>
  <Override PartName="/xl/tables/table40.xml" ContentType="application/vnd.openxmlformats-officedocument.spreadsheetml.table+xml"/>
  <Override PartName="/xl/worksheets/sheet43.xml" ContentType="application/vnd.openxmlformats-officedocument.spreadsheetml.worksheet+xml"/>
  <Override PartName="/xl/tables/table41.xml" ContentType="application/vnd.openxmlformats-officedocument.spreadsheetml.table+xml"/>
  <Override PartName="/xl/worksheets/sheet44.xml" ContentType="application/vnd.openxmlformats-officedocument.spreadsheetml.worksheet+xml"/>
  <Override PartName="/xl/tables/table42.xml" ContentType="application/vnd.openxmlformats-officedocument.spreadsheetml.table+xml"/>
  <Override PartName="/xl/worksheets/sheet45.xml" ContentType="application/vnd.openxmlformats-officedocument.spreadsheetml.worksheet+xml"/>
  <Override PartName="/xl/tables/table43.xml" ContentType="application/vnd.openxmlformats-officedocument.spreadsheetml.table+xml"/>
  <Override PartName="/xl/worksheets/sheet4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92" firstSheet="0" activeTab="3" autoFilterDateGrouping="1"/>
  </bookViews>
  <sheets>
    <sheet name="games" sheetId="1" state="visible" r:id="rId1"/>
    <sheet name="connections" sheetId="2" state="visible" r:id="rId2"/>
    <sheet name="characters2.0" sheetId="3" state="visible" r:id="rId3"/>
    <sheet name="items2.0" sheetId="4" state="visible" r:id="rId4"/>
    <sheet name="enemies2.0" sheetId="5" state="visible" r:id="rId5"/>
    <sheet name="bosses2.0" sheetId="6" state="visible" r:id="rId6"/>
    <sheet name="statuses2.0" sheetId="7" state="visible" r:id="rId7"/>
    <sheet name="events2.0" sheetId="8" state="visible" r:id="rId8"/>
    <sheet name="scrolls2.0" sheetId="9" state="visible" r:id="rId9"/>
    <sheet name="pills2.0" sheetId="10" state="visible" r:id="rId10"/>
    <sheet name="objects2.0" sheetId="11" state="visible" r:id="rId11"/>
    <sheet name="curses2.0" sheetId="12" state="visible" r:id="rId12"/>
    <sheet name="tiles2.0" sheetId="13" state="visible" r:id="rId13"/>
    <sheet name="units2.0" sheetId="14" state="visible" r:id="rId14"/>
    <sheet name="amulet2.0" sheetId="15" state="visible" r:id="rId15"/>
    <sheet name="locations2.0" sheetId="16" state="visible" r:id="rId16"/>
    <sheet name="Map Analysis" sheetId="17" state="visible" r:id="rId17"/>
    <sheet name="locations" sheetId="18" state="visible" r:id="rId18"/>
    <sheet name="items" sheetId="19" state="visible" r:id="rId19"/>
    <sheet name="events" sheetId="20" state="visible" r:id="rId20"/>
    <sheet name="encounters" sheetId="21" state="visible" r:id="rId21"/>
    <sheet name="enemiesD" sheetId="22" state="visible" r:id="rId22"/>
    <sheet name="enemiesA" sheetId="23" state="visible" r:id="rId23"/>
    <sheet name="cursesnew" sheetId="24" state="visible" r:id="rId24"/>
    <sheet name="statuses" sheetId="25" state="visible" r:id="rId25"/>
    <sheet name="statusesnew" sheetId="26" state="visible" r:id="rId26"/>
    <sheet name="elements" sheetId="27" state="visible" r:id="rId27"/>
    <sheet name="addons" sheetId="28" state="visible" r:id="rId28"/>
    <sheet name="addonsnew" sheetId="29" state="visible" r:id="rId29"/>
    <sheet name="scrolls" sheetId="30" state="visible" r:id="rId30"/>
    <sheet name="potions" sheetId="31" state="visible" r:id="rId31"/>
    <sheet name="characters" sheetId="32" state="visible" r:id="rId32"/>
    <sheet name="cards" sheetId="33" state="visible" r:id="rId33"/>
    <sheet name="cardsnew" sheetId="34" state="visible" r:id="rId34"/>
    <sheet name="evolutions" sheetId="35" state="visible" r:id="rId35"/>
    <sheet name="moves" sheetId="36" state="visible" r:id="rId36"/>
    <sheet name="spells" sheetId="37" state="visible" r:id="rId37"/>
    <sheet name="fish" sheetId="38" state="visible" r:id="rId38"/>
    <sheet name="enemies" sheetId="39" state="visible" r:id="rId39"/>
    <sheet name="enemiesS" sheetId="40" state="visible" r:id="rId40"/>
    <sheet name="dice" sheetId="41" state="visible" r:id="rId41"/>
    <sheet name="mods" sheetId="42" state="visible" r:id="rId42"/>
    <sheet name="gamestatuses" sheetId="43" state="visible" r:id="rId43"/>
    <sheet name="curses" sheetId="44" state="visible" r:id="rId44"/>
    <sheet name="bingo" sheetId="45" state="visible" r:id="rId45"/>
    <sheet name="Map Calc" sheetId="46" state="visible" r:id="rId46"/>
  </sheets>
  <definedNames/>
  <calcPr calcId="191029" fullCalcOnLoad="1" iterateDelta="0.0001"/>
</workbook>
</file>

<file path=xl/styles.xml><?xml version="1.0" encoding="utf-8"?>
<styleSheet xmlns="http://schemas.openxmlformats.org/spreadsheetml/2006/main">
  <numFmts count="1">
    <numFmt numFmtId="164" formatCode="0.0"/>
  </numFmts>
  <fonts count="10">
    <font>
      <name val="Calibri"/>
      <charset val="1"/>
      <family val="2"/>
      <color theme="1"/>
      <sz val="11"/>
    </font>
    <font>
      <name val="Calibri"/>
      <charset val="1"/>
      <family val="2"/>
      <color theme="10"/>
      <sz val="11"/>
      <u val="single"/>
    </font>
    <font>
      <name val="Arial"/>
      <sz val="10"/>
    </font>
    <font>
      <name val="Arial"/>
      <b val="1"/>
      <sz val="10"/>
    </font>
    <font>
      <name val="Calibri"/>
      <charset val="1"/>
      <family val="2"/>
      <sz val="11"/>
    </font>
    <font>
      <name val="Arial"/>
      <b val="1"/>
      <color rgb="FF1D1812"/>
      <sz val="10"/>
    </font>
    <font>
      <name val="Arial"/>
      <b val="1"/>
      <color rgb="FF1D1812"/>
      <sz val="16"/>
    </font>
    <font>
      <name val="Arial"/>
      <i val="1"/>
      <color rgb="FF5F5340"/>
      <sz val="10"/>
    </font>
    <font>
      <name val="Arial"/>
      <color rgb="FF5F5340"/>
      <sz val="10"/>
    </font>
    <font>
      <name val="Arial"/>
      <b val="1"/>
      <color rgb="FFC0392B"/>
      <sz val="10"/>
    </font>
  </fonts>
  <fills count="5">
    <fill>
      <patternFill/>
    </fill>
    <fill>
      <patternFill patternType="gray125"/>
    </fill>
    <fill>
      <patternFill patternType="solid">
        <fgColor theme="4" tint="0.799890133365886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
      </left>
      <right/>
      <top style="thin">
        <color theme="4" tint="0.3998840296639912"/>
      </top>
      <bottom style="thin">
        <color theme="4" tint="0.3998840296639912"/>
      </bottom>
      <diagonal/>
    </border>
    <border>
      <left/>
      <right/>
      <top style="thin">
        <color theme="4" tint="0.3998840296639912"/>
      </top>
      <bottom style="thin">
        <color theme="4" tint="0.3998840296639912"/>
      </bottom>
      <diagonal/>
    </border>
    <border>
      <left style="thin">
        <color theme="4" tint="0.3998840296639912"/>
      </left>
      <right/>
      <top style="thin">
        <color theme="4" tint="0.3998840296639912"/>
      </top>
      <bottom/>
      <diagonal/>
    </border>
    <border>
      <left/>
      <right/>
      <top style="thin">
        <color theme="4" tint="0.3998840296639912"/>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pivotButton="0" quotePrefix="0" xfId="0"/>
    <xf numFmtId="0" fontId="1" fillId="0" borderId="0" pivotButton="0" quotePrefix="0" xfId="0"/>
    <xf numFmtId="0" fontId="0" fillId="0" borderId="1" pivotButton="0" quotePrefix="0" xfId="0"/>
    <xf numFmtId="0" fontId="0" fillId="0" borderId="2" pivotButton="0" quotePrefix="0" xfId="0"/>
    <xf numFmtId="0" fontId="0" fillId="0" borderId="0" applyAlignment="1" pivotButton="0" quotePrefix="0" xfId="0">
      <alignment wrapText="1"/>
    </xf>
    <xf numFmtId="0" fontId="0" fillId="2" borderId="0" pivotButton="0" quotePrefix="0" xfId="0"/>
    <xf numFmtId="0" fontId="0" fillId="0" borderId="3" pivotButton="0" quotePrefix="0" xfId="0"/>
    <xf numFmtId="0" fontId="0" fillId="0" borderId="4" pivotButton="0" quotePrefix="0" xfId="0"/>
    <xf numFmtId="0" fontId="0" fillId="2" borderId="4" pivotButton="0" quotePrefix="0" xfId="0"/>
    <xf numFmtId="0" fontId="0" fillId="0" borderId="0" applyAlignment="1" pivotButton="0" quotePrefix="0" xfId="0">
      <alignment vertical="top" wrapText="1"/>
    </xf>
    <xf numFmtId="1" fontId="0" fillId="0" borderId="0" pivotButton="0" quotePrefix="0" xfId="0"/>
    <xf numFmtId="0" fontId="1" fillId="0" borderId="0" pivotButton="0" quotePrefix="0" xfId="1"/>
    <xf numFmtId="0" fontId="2" fillId="0" borderId="0" pivotButton="0" quotePrefix="0" xfId="0"/>
    <xf numFmtId="0" fontId="4" fillId="0" borderId="0" pivotButton="0" quotePrefix="0" xfId="1"/>
    <xf numFmtId="0" fontId="6" fillId="0" borderId="0" pivotButton="0" quotePrefix="0" xfId="0"/>
    <xf numFmtId="0" fontId="7" fillId="0" borderId="0" pivotButton="0" quotePrefix="0" xfId="0"/>
    <xf numFmtId="0" fontId="5" fillId="3" borderId="5" applyAlignment="1" pivotButton="0" quotePrefix="0" xfId="0">
      <alignment horizontal="center" vertical="center" wrapText="1"/>
    </xf>
    <xf numFmtId="0" fontId="3" fillId="0" borderId="5" pivotButton="0" quotePrefix="0" xfId="0"/>
    <xf numFmtId="0" fontId="2" fillId="4" borderId="5" pivotButton="0" quotePrefix="0" xfId="0"/>
    <xf numFmtId="0" fontId="8" fillId="0" borderId="5" pivotButton="0" quotePrefix="0" xfId="0"/>
    <xf numFmtId="9" fontId="0" fillId="0" borderId="0" pivotButton="0" quotePrefix="0" xfId="0"/>
    <xf numFmtId="9" fontId="2" fillId="4" borderId="5" pivotButton="0" quotePrefix="0" xfId="0"/>
    <xf numFmtId="2" fontId="2" fillId="4" borderId="5" pivotButton="0" quotePrefix="0" xfId="0"/>
    <xf numFmtId="0" fontId="3" fillId="0" borderId="0" pivotButton="0" quotePrefix="0" xfId="0"/>
    <xf numFmtId="9" fontId="3" fillId="0" borderId="0" pivotButton="0" quotePrefix="0" xfId="0"/>
    <xf numFmtId="0" fontId="9" fillId="4" borderId="5" pivotButton="0" quotePrefix="0" xfId="0"/>
    <xf numFmtId="164" fontId="2" fillId="4" borderId="5" pivotButton="0" quotePrefix="0" xfId="0"/>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harts/chart1.xml><?xml version="1.0" encoding="utf-8"?>
<chartSpace xmlns:a="http://schemas.openxmlformats.org/drawingml/2006/main" xmlns="http://schemas.openxmlformats.org/drawingml/2006/chart">
  <chart>
    <title>
      <tx>
        <rich>
          <a:bodyPr/>
          <a:lstStyle/>
          <a:p>
            <a:pPr>
              <a:defRPr/>
            </a:pPr>
            <a:r>
              <a:rPr lang="en-US"/>
              <a:t>Games per release year — owned against the whole sheet</a:t>
            </a:r>
          </a:p>
        </rich>
      </tx>
      <overlay val="1"/>
    </title>
    <plotArea>
      <layout/>
      <barChart>
        <barDir val="col"/>
        <grouping val="clustered"/>
        <varyColors val="1"/>
        <ser>
          <idx val="0"/>
          <order val="0"/>
          <tx>
            <strRef>
              <f>'Map Analysis'!$W$4</f>
              <strCache>
                <ptCount val="1"/>
                <pt idx="0">
                  <v>Games</v>
                </pt>
              </strCache>
            </strRef>
          </tx>
          <spPr>
            <a:ln>
              <a:prstDash val="solid"/>
            </a:ln>
          </spPr>
          <invertIfNegative val="1"/>
          <cat>
            <numRef>
              <f>'Map Analysis'!$V$5:$V$53</f>
              <numCache>
                <formatCode>General</formatCode>
                <ptCount val="49"/>
                <pt idx="0">
                  <v>1978</v>
                </pt>
                <pt idx="1">
                  <v>1979</v>
                </pt>
                <pt idx="2">
                  <v>1980</v>
                </pt>
                <pt idx="3">
                  <v>1981</v>
                </pt>
                <pt idx="4">
                  <v>1982</v>
                </pt>
                <pt idx="5">
                  <v>1983</v>
                </pt>
                <pt idx="6">
                  <v>1984</v>
                </pt>
                <pt idx="7">
                  <v>1985</v>
                </pt>
                <pt idx="8">
                  <v>1986</v>
                </pt>
                <pt idx="9">
                  <v>1987</v>
                </pt>
                <pt idx="10">
                  <v>1988</v>
                </pt>
                <pt idx="11">
                  <v>1989</v>
                </pt>
                <pt idx="12">
                  <v>1990</v>
                </pt>
                <pt idx="13">
                  <v>1991</v>
                </pt>
                <pt idx="14">
                  <v>1992</v>
                </pt>
                <pt idx="15">
                  <v>1993</v>
                </pt>
                <pt idx="16">
                  <v>1994</v>
                </pt>
                <pt idx="17">
                  <v>1995</v>
                </pt>
                <pt idx="18">
                  <v>1996</v>
                </pt>
                <pt idx="19">
                  <v>1997</v>
                </pt>
                <pt idx="20">
                  <v>1998</v>
                </pt>
                <pt idx="21">
                  <v>1999</v>
                </pt>
                <pt idx="22">
                  <v>2000</v>
                </pt>
                <pt idx="23">
                  <v>2001</v>
                </pt>
                <pt idx="24">
                  <v>2002</v>
                </pt>
                <pt idx="25">
                  <v>2003</v>
                </pt>
                <pt idx="26">
                  <v>2004</v>
                </pt>
                <pt idx="27">
                  <v>2005</v>
                </pt>
                <pt idx="28">
                  <v>2006</v>
                </pt>
                <pt idx="29">
                  <v>2007</v>
                </pt>
                <pt idx="30">
                  <v>2008</v>
                </pt>
                <pt idx="31">
                  <v>2009</v>
                </pt>
                <pt idx="32">
                  <v>2010</v>
                </pt>
                <pt idx="33">
                  <v>2011</v>
                </pt>
                <pt idx="34">
                  <v>2012</v>
                </pt>
                <pt idx="35">
                  <v>2013</v>
                </pt>
                <pt idx="36">
                  <v>2014</v>
                </pt>
                <pt idx="37">
                  <v>2015</v>
                </pt>
                <pt idx="38">
                  <v>2016</v>
                </pt>
                <pt idx="39">
                  <v>2017</v>
                </pt>
                <pt idx="40">
                  <v>2018</v>
                </pt>
                <pt idx="41">
                  <v>2019</v>
                </pt>
                <pt idx="42">
                  <v>2020</v>
                </pt>
                <pt idx="43">
                  <v>2021</v>
                </pt>
                <pt idx="44">
                  <v>2022</v>
                </pt>
                <pt idx="45">
                  <v>2023</v>
                </pt>
                <pt idx="46">
                  <v>2024</v>
                </pt>
                <pt idx="47">
                  <v>2025</v>
                </pt>
                <pt idx="48">
                  <v>2026</v>
                </pt>
              </numCache>
            </numRef>
          </cat>
          <val>
            <numRef>
              <f>'Map Analysis'!$W$5:$W$53</f>
              <numCache>
                <formatCode>General</formatCode>
                <ptCount val="49"/>
                <pt idx="0">
                  <v>1</v>
                </pt>
                <pt idx="1">
                  <v>0</v>
                </pt>
                <pt idx="2">
                  <v>1</v>
                </pt>
                <pt idx="3">
                  <v>0</v>
                </pt>
                <pt idx="4">
                  <v>1</v>
                </pt>
                <pt idx="5">
                  <v>1</v>
                </pt>
                <pt idx="6">
                  <v>1</v>
                </pt>
                <pt idx="7">
                  <v>0</v>
                </pt>
                <pt idx="8">
                  <v>1</v>
                </pt>
                <pt idx="9">
                  <v>3</v>
                </pt>
                <pt idx="10">
                  <v>0</v>
                </pt>
                <pt idx="11">
                  <v>0</v>
                </pt>
                <pt idx="12">
                  <v>3</v>
                </pt>
                <pt idx="13">
                  <v>2</v>
                </pt>
                <pt idx="14">
                  <v>2</v>
                </pt>
                <pt idx="15">
                  <v>2</v>
                </pt>
                <pt idx="16">
                  <v>3</v>
                </pt>
                <pt idx="17">
                  <v>2</v>
                </pt>
                <pt idx="18">
                  <v>2</v>
                </pt>
                <pt idx="19">
                  <v>2</v>
                </pt>
                <pt idx="20">
                  <v>5</v>
                </pt>
                <pt idx="21">
                  <v>1</v>
                </pt>
                <pt idx="22">
                  <v>2</v>
                </pt>
                <pt idx="23">
                  <v>3</v>
                </pt>
                <pt idx="24">
                  <v>6</v>
                </pt>
                <pt idx="25">
                  <v>3</v>
                </pt>
                <pt idx="26">
                  <v>2</v>
                </pt>
                <pt idx="27">
                  <v>3</v>
                </pt>
                <pt idx="28">
                  <v>8</v>
                </pt>
                <pt idx="29">
                  <v>7</v>
                </pt>
                <pt idx="30">
                  <v>4</v>
                </pt>
                <pt idx="31">
                  <v>2</v>
                </pt>
                <pt idx="32">
                  <v>14</v>
                </pt>
                <pt idx="33">
                  <v>6</v>
                </pt>
                <pt idx="34">
                  <v>11</v>
                </pt>
                <pt idx="35">
                  <v>12</v>
                </pt>
                <pt idx="36">
                  <v>23</v>
                </pt>
                <pt idx="37">
                  <v>21</v>
                </pt>
                <pt idx="38">
                  <v>15</v>
                </pt>
                <pt idx="39">
                  <v>32</v>
                </pt>
                <pt idx="40">
                  <v>22</v>
                </pt>
                <pt idx="41">
                  <v>37</v>
                </pt>
                <pt idx="42">
                  <v>50</v>
                </pt>
                <pt idx="43">
                  <v>44</v>
                </pt>
                <pt idx="44">
                  <v>69</v>
                </pt>
                <pt idx="45">
                  <v>96</v>
                </pt>
                <pt idx="46">
                  <v>96</v>
                </pt>
                <pt idx="47">
                  <v>151</v>
                </pt>
                <pt idx="48">
                  <v>82</v>
                </pt>
              </numCache>
            </numRef>
          </val>
        </ser>
        <ser>
          <idx val="1"/>
          <order val="1"/>
          <tx>
            <strRef>
              <f>'Map Analysis'!$X$4</f>
              <strCache>
                <ptCount val="1"/>
                <pt idx="0">
                  <v>Owned</v>
                </pt>
              </strCache>
            </strRef>
          </tx>
          <spPr>
            <a:ln>
              <a:prstDash val="solid"/>
            </a:ln>
          </spPr>
          <invertIfNegative val="1"/>
          <cat>
            <numRef>
              <f>'Map Analysis'!$V$5:$V$53</f>
              <numCache>
                <formatCode>General</formatCode>
                <ptCount val="49"/>
                <pt idx="0">
                  <v>1978</v>
                </pt>
                <pt idx="1">
                  <v>1979</v>
                </pt>
                <pt idx="2">
                  <v>1980</v>
                </pt>
                <pt idx="3">
                  <v>1981</v>
                </pt>
                <pt idx="4">
                  <v>1982</v>
                </pt>
                <pt idx="5">
                  <v>1983</v>
                </pt>
                <pt idx="6">
                  <v>1984</v>
                </pt>
                <pt idx="7">
                  <v>1985</v>
                </pt>
                <pt idx="8">
                  <v>1986</v>
                </pt>
                <pt idx="9">
                  <v>1987</v>
                </pt>
                <pt idx="10">
                  <v>1988</v>
                </pt>
                <pt idx="11">
                  <v>1989</v>
                </pt>
                <pt idx="12">
                  <v>1990</v>
                </pt>
                <pt idx="13">
                  <v>1991</v>
                </pt>
                <pt idx="14">
                  <v>1992</v>
                </pt>
                <pt idx="15">
                  <v>1993</v>
                </pt>
                <pt idx="16">
                  <v>1994</v>
                </pt>
                <pt idx="17">
                  <v>1995</v>
                </pt>
                <pt idx="18">
                  <v>1996</v>
                </pt>
                <pt idx="19">
                  <v>1997</v>
                </pt>
                <pt idx="20">
                  <v>1998</v>
                </pt>
                <pt idx="21">
                  <v>1999</v>
                </pt>
                <pt idx="22">
                  <v>2000</v>
                </pt>
                <pt idx="23">
                  <v>2001</v>
                </pt>
                <pt idx="24">
                  <v>2002</v>
                </pt>
                <pt idx="25">
                  <v>2003</v>
                </pt>
                <pt idx="26">
                  <v>2004</v>
                </pt>
                <pt idx="27">
                  <v>2005</v>
                </pt>
                <pt idx="28">
                  <v>2006</v>
                </pt>
                <pt idx="29">
                  <v>2007</v>
                </pt>
                <pt idx="30">
                  <v>2008</v>
                </pt>
                <pt idx="31">
                  <v>2009</v>
                </pt>
                <pt idx="32">
                  <v>2010</v>
                </pt>
                <pt idx="33">
                  <v>2011</v>
                </pt>
                <pt idx="34">
                  <v>2012</v>
                </pt>
                <pt idx="35">
                  <v>2013</v>
                </pt>
                <pt idx="36">
                  <v>2014</v>
                </pt>
                <pt idx="37">
                  <v>2015</v>
                </pt>
                <pt idx="38">
                  <v>2016</v>
                </pt>
                <pt idx="39">
                  <v>2017</v>
                </pt>
                <pt idx="40">
                  <v>2018</v>
                </pt>
                <pt idx="41">
                  <v>2019</v>
                </pt>
                <pt idx="42">
                  <v>2020</v>
                </pt>
                <pt idx="43">
                  <v>2021</v>
                </pt>
                <pt idx="44">
                  <v>2022</v>
                </pt>
                <pt idx="45">
                  <v>2023</v>
                </pt>
                <pt idx="46">
                  <v>2024</v>
                </pt>
                <pt idx="47">
                  <v>2025</v>
                </pt>
                <pt idx="48">
                  <v>2026</v>
                </pt>
              </numCache>
            </numRef>
          </cat>
          <val>
            <numRef>
              <f>'Map Analysis'!$X$5:$X$53</f>
              <numCache>
                <formatCode>General</formatCode>
                <ptCount val="49"/>
                <pt idx="0">
                  <v>1</v>
                </pt>
                <pt idx="1">
                  <v>0</v>
                </pt>
                <pt idx="2">
                  <v>1</v>
                </pt>
                <pt idx="3">
                  <v>0</v>
                </pt>
                <pt idx="4">
                  <v>0</v>
                </pt>
                <pt idx="5">
                  <v>1</v>
                </pt>
                <pt idx="6">
                  <v>1</v>
                </pt>
                <pt idx="7">
                  <v>0</v>
                </pt>
                <pt idx="8">
                  <v>1</v>
                </pt>
                <pt idx="9">
                  <v>3</v>
                </pt>
                <pt idx="10">
                  <v>0</v>
                </pt>
                <pt idx="11">
                  <v>0</v>
                </pt>
                <pt idx="12">
                  <v>3</v>
                </pt>
                <pt idx="13">
                  <v>2</v>
                </pt>
                <pt idx="14">
                  <v>2</v>
                </pt>
                <pt idx="15">
                  <v>1</v>
                </pt>
                <pt idx="16">
                  <v>3</v>
                </pt>
                <pt idx="17">
                  <v>2</v>
                </pt>
                <pt idx="18">
                  <v>2</v>
                </pt>
                <pt idx="19">
                  <v>2</v>
                </pt>
                <pt idx="20">
                  <v>4</v>
                </pt>
                <pt idx="21">
                  <v>1</v>
                </pt>
                <pt idx="22">
                  <v>2</v>
                </pt>
                <pt idx="23">
                  <v>2</v>
                </pt>
                <pt idx="24">
                  <v>5</v>
                </pt>
                <pt idx="25">
                  <v>2</v>
                </pt>
                <pt idx="26">
                  <v>2</v>
                </pt>
                <pt idx="27">
                  <v>3</v>
                </pt>
                <pt idx="28">
                  <v>8</v>
                </pt>
                <pt idx="29">
                  <v>6</v>
                </pt>
                <pt idx="30">
                  <v>3</v>
                </pt>
                <pt idx="31">
                  <v>2</v>
                </pt>
                <pt idx="32">
                  <v>7</v>
                </pt>
                <pt idx="33">
                  <v>3</v>
                </pt>
                <pt idx="34">
                  <v>4</v>
                </pt>
                <pt idx="35">
                  <v>6</v>
                </pt>
                <pt idx="36">
                  <v>13</v>
                </pt>
                <pt idx="37">
                  <v>13</v>
                </pt>
                <pt idx="38">
                  <v>12</v>
                </pt>
                <pt idx="39">
                  <v>19</v>
                </pt>
                <pt idx="40">
                  <v>16</v>
                </pt>
                <pt idx="41">
                  <v>25</v>
                </pt>
                <pt idx="42">
                  <v>39</v>
                </pt>
                <pt idx="43">
                  <v>37</v>
                </pt>
                <pt idx="44">
                  <v>54</v>
                </pt>
                <pt idx="45">
                  <v>73</v>
                </pt>
                <pt idx="46">
                  <v>52</v>
                </pt>
                <pt idx="47">
                  <v>66</v>
                </pt>
                <pt idx="48">
                  <v>12</v>
                </pt>
              </numCache>
            </numRef>
          </val>
        </ser>
        <dLbls>
          <showLegendKey val="0"/>
          <showVal val="0"/>
          <showCatName val="0"/>
          <showSerName val="0"/>
          <showPercent val="0"/>
          <showBubbleSize val="0"/>
        </dLbls>
        <gapWidth val="6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US"/>
                  <a:t>Games</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Connections by influencer's year</a:t>
            </a:r>
          </a:p>
        </rich>
      </tx>
      <overlay val="1"/>
    </title>
    <plotArea>
      <layout/>
      <barChart>
        <barDir val="col"/>
        <grouping val="clustered"/>
        <varyColors val="1"/>
        <ser>
          <idx val="0"/>
          <order val="0"/>
          <tx>
            <strRef>
              <f>'Map Analysis'!$Y$4</f>
              <strCache>
                <ptCount val="1"/>
                <pt idx="0">
                  <v>Connections</v>
                </pt>
              </strCache>
            </strRef>
          </tx>
          <spPr>
            <a:ln>
              <a:prstDash val="solid"/>
            </a:ln>
          </spPr>
          <invertIfNegative val="1"/>
          <cat>
            <numRef>
              <f>'Map Analysis'!$V$5:$V$53</f>
              <numCache>
                <formatCode>General</formatCode>
                <ptCount val="49"/>
                <pt idx="0">
                  <v>1978</v>
                </pt>
                <pt idx="1">
                  <v>1979</v>
                </pt>
                <pt idx="2">
                  <v>1980</v>
                </pt>
                <pt idx="3">
                  <v>1981</v>
                </pt>
                <pt idx="4">
                  <v>1982</v>
                </pt>
                <pt idx="5">
                  <v>1983</v>
                </pt>
                <pt idx="6">
                  <v>1984</v>
                </pt>
                <pt idx="7">
                  <v>1985</v>
                </pt>
                <pt idx="8">
                  <v>1986</v>
                </pt>
                <pt idx="9">
                  <v>1987</v>
                </pt>
                <pt idx="10">
                  <v>1988</v>
                </pt>
                <pt idx="11">
                  <v>1989</v>
                </pt>
                <pt idx="12">
                  <v>1990</v>
                </pt>
                <pt idx="13">
                  <v>1991</v>
                </pt>
                <pt idx="14">
                  <v>1992</v>
                </pt>
                <pt idx="15">
                  <v>1993</v>
                </pt>
                <pt idx="16">
                  <v>1994</v>
                </pt>
                <pt idx="17">
                  <v>1995</v>
                </pt>
                <pt idx="18">
                  <v>1996</v>
                </pt>
                <pt idx="19">
                  <v>1997</v>
                </pt>
                <pt idx="20">
                  <v>1998</v>
                </pt>
                <pt idx="21">
                  <v>1999</v>
                </pt>
                <pt idx="22">
                  <v>2000</v>
                </pt>
                <pt idx="23">
                  <v>2001</v>
                </pt>
                <pt idx="24">
                  <v>2002</v>
                </pt>
                <pt idx="25">
                  <v>2003</v>
                </pt>
                <pt idx="26">
                  <v>2004</v>
                </pt>
                <pt idx="27">
                  <v>2005</v>
                </pt>
                <pt idx="28">
                  <v>2006</v>
                </pt>
                <pt idx="29">
                  <v>2007</v>
                </pt>
                <pt idx="30">
                  <v>2008</v>
                </pt>
                <pt idx="31">
                  <v>2009</v>
                </pt>
                <pt idx="32">
                  <v>2010</v>
                </pt>
                <pt idx="33">
                  <v>2011</v>
                </pt>
                <pt idx="34">
                  <v>2012</v>
                </pt>
                <pt idx="35">
                  <v>2013</v>
                </pt>
                <pt idx="36">
                  <v>2014</v>
                </pt>
                <pt idx="37">
                  <v>2015</v>
                </pt>
                <pt idx="38">
                  <v>2016</v>
                </pt>
                <pt idx="39">
                  <v>2017</v>
                </pt>
                <pt idx="40">
                  <v>2018</v>
                </pt>
                <pt idx="41">
                  <v>2019</v>
                </pt>
                <pt idx="42">
                  <v>2020</v>
                </pt>
                <pt idx="43">
                  <v>2021</v>
                </pt>
                <pt idx="44">
                  <v>2022</v>
                </pt>
                <pt idx="45">
                  <v>2023</v>
                </pt>
                <pt idx="46">
                  <v>2024</v>
                </pt>
                <pt idx="47">
                  <v>2025</v>
                </pt>
                <pt idx="48">
                  <v>2026</v>
                </pt>
              </numCache>
            </numRef>
          </cat>
          <val>
            <numRef>
              <f>'Map Analysis'!$Y$5:$Y$53</f>
              <numCache>
                <formatCode>General</formatCode>
                <ptCount val="49"/>
                <pt idx="0">
                  <v>0</v>
                </pt>
                <pt idx="1">
                  <v>0</v>
                </pt>
                <pt idx="2">
                  <v>23</v>
                </pt>
                <pt idx="3">
                  <v>0</v>
                </pt>
                <pt idx="4">
                  <v>1</v>
                </pt>
                <pt idx="5">
                  <v>3</v>
                </pt>
                <pt idx="6">
                  <v>6</v>
                </pt>
                <pt idx="7">
                  <v>0</v>
                </pt>
                <pt idx="8">
                  <v>0</v>
                </pt>
                <pt idx="9">
                  <v>32</v>
                </pt>
                <pt idx="10">
                  <v>0</v>
                </pt>
                <pt idx="11">
                  <v>0</v>
                </pt>
                <pt idx="12">
                  <v>15</v>
                </pt>
                <pt idx="13">
                  <v>2</v>
                </pt>
                <pt idx="14">
                  <v>2</v>
                </pt>
                <pt idx="15">
                  <v>25</v>
                </pt>
                <pt idx="16">
                  <v>22</v>
                </pt>
                <pt idx="17">
                  <v>12</v>
                </pt>
                <pt idx="18">
                  <v>16</v>
                </pt>
                <pt idx="19">
                  <v>4</v>
                </pt>
                <pt idx="20">
                  <v>10</v>
                </pt>
                <pt idx="21">
                  <v>2</v>
                </pt>
                <pt idx="22">
                  <v>4</v>
                </pt>
                <pt idx="23">
                  <v>2</v>
                </pt>
                <pt idx="24">
                  <v>12</v>
                </pt>
                <pt idx="25">
                  <v>5</v>
                </pt>
                <pt idx="26">
                  <v>0</v>
                </pt>
                <pt idx="27">
                  <v>7</v>
                </pt>
                <pt idx="28">
                  <v>21</v>
                </pt>
                <pt idx="29">
                  <v>4</v>
                </pt>
                <pt idx="30">
                  <v>39</v>
                </pt>
                <pt idx="31">
                  <v>8</v>
                </pt>
                <pt idx="32">
                  <v>20</v>
                </pt>
                <pt idx="33">
                  <v>74</v>
                </pt>
                <pt idx="34">
                  <v>40</v>
                </pt>
                <pt idx="35">
                  <v>29</v>
                </pt>
                <pt idx="36">
                  <v>16</v>
                </pt>
                <pt idx="37">
                  <v>68</v>
                </pt>
                <pt idx="38">
                  <v>31</v>
                </pt>
                <pt idx="39">
                  <v>156</v>
                </pt>
                <pt idx="40">
                  <v>66</v>
                </pt>
                <pt idx="41">
                  <v>83</v>
                </pt>
                <pt idx="42">
                  <v>51</v>
                </pt>
                <pt idx="43">
                  <v>156</v>
                </pt>
                <pt idx="44">
                  <v>54</v>
                </pt>
                <pt idx="45">
                  <v>81</v>
                </pt>
                <pt idx="46">
                  <v>18</v>
                </pt>
                <pt idx="47">
                  <v>7</v>
                </pt>
                <pt idx="48">
                  <v>0</v>
                </pt>
              </numCache>
            </numRef>
          </val>
        </ser>
        <dLbls>
          <showLegendKey val="0"/>
          <showVal val="0"/>
          <showCatName val="0"/>
          <showSerName val="0"/>
          <showPercent val="0"/>
          <showBubbleSize val="0"/>
        </dLbls>
        <gapWidth val="6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US"/>
                  <a:t>Connections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Degree distribution — how connected is a typical game?</a:t>
            </a:r>
          </a:p>
        </rich>
      </tx>
      <overlay val="1"/>
    </title>
    <plotArea>
      <layout/>
      <barChart>
        <barDir val="col"/>
        <grouping val="clustered"/>
        <varyColors val="1"/>
        <ser>
          <idx val="0"/>
          <order val="0"/>
          <tx>
            <strRef>
              <f>'Map Analysis'!$F$4</f>
              <strCache>
                <ptCount val="1"/>
                <pt idx="0">
                  <v>Games</v>
                </pt>
              </strCache>
            </strRef>
          </tx>
          <spPr>
            <a:ln>
              <a:prstDash val="solid"/>
            </a:ln>
          </spPr>
          <invertIfNegative val="1"/>
          <cat>
            <strRef>
              <f>'Map Analysis'!$E$5:$E$13</f>
              <strCache>
                <ptCount val="9"/>
                <pt idx="0">
                  <v>0</v>
                </pt>
                <pt idx="1">
                  <v>1</v>
                </pt>
                <pt idx="2">
                  <v>2</v>
                </pt>
                <pt idx="3">
                  <v>3</v>
                </pt>
                <pt idx="4">
                  <v>4</v>
                </pt>
                <pt idx="5">
                  <v>5</v>
                </pt>
                <pt idx="6">
                  <v>6-9</v>
                </pt>
                <pt idx="7">
                  <v>10-24</v>
                </pt>
                <pt idx="8">
                  <v>25+</v>
                </pt>
              </strCache>
            </strRef>
          </cat>
          <val>
            <numRef>
              <f>'Map Analysis'!$F$5:$F$13</f>
              <numCache>
                <formatCode>General</formatCode>
                <ptCount val="9"/>
                <pt idx="0">
                  <v>81</v>
                </pt>
                <pt idx="1">
                  <v>336</v>
                </pt>
                <pt idx="2">
                  <v>203</v>
                </pt>
                <pt idx="3">
                  <v>106</v>
                </pt>
                <pt idx="4">
                  <v>44</v>
                </pt>
                <pt idx="5">
                  <v>25</v>
                </pt>
                <pt idx="6">
                  <v>28</v>
                </pt>
                <pt idx="7">
                  <v>20</v>
                </pt>
                <pt idx="8">
                  <v>11</v>
                </pt>
              </numCache>
            </numRef>
          </val>
        </ser>
        <ser>
          <idx val="1"/>
          <order val="1"/>
          <tx>
            <strRef>
              <f>'Map Analysis'!$G$4</f>
              <strCache>
                <ptCount val="1"/>
                <pt idx="0">
                  <v>Owned</v>
                </pt>
              </strCache>
            </strRef>
          </tx>
          <spPr>
            <a:ln>
              <a:prstDash val="solid"/>
            </a:ln>
          </spPr>
          <invertIfNegative val="1"/>
          <cat>
            <strRef>
              <f>'Map Analysis'!$E$5:$E$13</f>
              <strCache>
                <ptCount val="9"/>
                <pt idx="0">
                  <v>0</v>
                </pt>
                <pt idx="1">
                  <v>1</v>
                </pt>
                <pt idx="2">
                  <v>2</v>
                </pt>
                <pt idx="3">
                  <v>3</v>
                </pt>
                <pt idx="4">
                  <v>4</v>
                </pt>
                <pt idx="5">
                  <v>5</v>
                </pt>
                <pt idx="6">
                  <v>6-9</v>
                </pt>
                <pt idx="7">
                  <v>10-24</v>
                </pt>
                <pt idx="8">
                  <v>25+</v>
                </pt>
              </strCache>
            </strRef>
          </cat>
          <val>
            <numRef>
              <f>'Map Analysis'!$G$5:$G$13</f>
              <numCache>
                <formatCode>General</formatCode>
                <ptCount val="9"/>
                <pt idx="0">
                  <v>47</v>
                </pt>
                <pt idx="1">
                  <v>194</v>
                </pt>
                <pt idx="2">
                  <v>118</v>
                </pt>
                <pt idx="3">
                  <v>65</v>
                </pt>
                <pt idx="4">
                  <v>25</v>
                </pt>
                <pt idx="5">
                  <v>14</v>
                </pt>
                <pt idx="6">
                  <v>22</v>
                </pt>
                <pt idx="7">
                  <v>20</v>
                </pt>
                <pt idx="8">
                  <v>11</v>
                </pt>
              </numCache>
            </numRef>
          </val>
        </ser>
        <dLbls>
          <showLegendKey val="0"/>
          <showVal val="0"/>
          <showCatName val="0"/>
          <showSerName val="0"/>
          <showPercent val="0"/>
          <showBubbleSize val="0"/>
        </dLbls>
        <gapWidth val="60"/>
        <axId val="10"/>
        <axId val="100"/>
      </barChart>
      <catAx>
        <axId val="10"/>
        <scaling>
          <orientation val="minMax"/>
        </scaling>
        <delete val="1"/>
        <axPos val="b"/>
        <title>
          <tx>
            <rich>
              <a:bodyPr/>
              <a:lstStyle/>
              <a:p>
                <a:pPr>
                  <a:defRPr/>
                </a:pPr>
                <a:r>
                  <a:rPr lang="en-US"/>
                  <a:t>Connections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US"/>
                  <a:t>Games</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Games by genre — owned against the whole sheet</a:t>
            </a:r>
          </a:p>
        </rich>
      </tx>
      <overlay val="1"/>
    </title>
    <plotArea>
      <layout/>
      <barChart>
        <barDir val="col"/>
        <grouping val="clustered"/>
        <varyColors val="1"/>
        <ser>
          <idx val="0"/>
          <order val="0"/>
          <tx>
            <strRef>
              <f>'Map Analysis'!$J$4</f>
              <strCache>
                <ptCount val="1"/>
                <pt idx="0">
                  <v>Games</v>
                </pt>
              </strCache>
            </strRef>
          </tx>
          <spPr>
            <a:ln>
              <a:prstDash val="solid"/>
            </a:ln>
          </spPr>
          <invertIfNegative val="1"/>
          <cat>
            <strRef>
              <f>'Map Analysis'!$I$5:$I$8</f>
              <strCache>
                <ptCount val="4"/>
                <pt idx="0">
                  <v>Action</v>
                </pt>
                <pt idx="1">
                  <v>Strategy</v>
                </pt>
                <pt idx="2">
                  <v>Deckbuilder</v>
                </pt>
                <pt idx="3">
                  <v>Traditional</v>
                </pt>
              </strCache>
            </strRef>
          </cat>
          <val>
            <numRef>
              <f>'Map Analysis'!$J$5:$J$8</f>
              <numCache>
                <formatCode>General</formatCode>
                <ptCount val="4"/>
                <pt idx="0">
                  <v>366</v>
                </pt>
                <pt idx="1">
                  <v>149</v>
                </pt>
                <pt idx="2">
                  <v>176</v>
                </pt>
                <pt idx="3">
                  <v>163</v>
                </pt>
              </numCache>
            </numRef>
          </val>
        </ser>
        <ser>
          <idx val="1"/>
          <order val="1"/>
          <tx>
            <strRef>
              <f>'Map Analysis'!$K$4</f>
              <strCache>
                <ptCount val="1"/>
                <pt idx="0">
                  <v>Owned</v>
                </pt>
              </strCache>
            </strRef>
          </tx>
          <spPr>
            <a:ln>
              <a:prstDash val="solid"/>
            </a:ln>
          </spPr>
          <invertIfNegative val="1"/>
          <cat>
            <strRef>
              <f>'Map Analysis'!$I$5:$I$8</f>
              <strCache>
                <ptCount val="4"/>
                <pt idx="0">
                  <v>Action</v>
                </pt>
                <pt idx="1">
                  <v>Strategy</v>
                </pt>
                <pt idx="2">
                  <v>Deckbuilder</v>
                </pt>
                <pt idx="3">
                  <v>Traditional</v>
                </pt>
              </strCache>
            </strRef>
          </cat>
          <val>
            <numRef>
              <f>'Map Analysis'!$K$5:$K$8</f>
              <numCache>
                <formatCode>General</formatCode>
                <ptCount val="4"/>
                <pt idx="0">
                  <v>233</v>
                </pt>
                <pt idx="1">
                  <v>91</v>
                </pt>
                <pt idx="2">
                  <v>91</v>
                </pt>
                <pt idx="3">
                  <v>101</v>
                </pt>
              </numCache>
            </numRef>
          </val>
        </ser>
        <dLbls>
          <showLegendKey val="0"/>
          <showVal val="0"/>
          <showCatName val="0"/>
          <showSerName val="0"/>
          <showPercent val="0"/>
          <showBubbleSize val="0"/>
        </dLbls>
        <gapWidth val="6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US"/>
                  <a:t>Games</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a="http://schemas.openxmlformats.org/drawingml/2006/main" xmlns="http://schemas.openxmlformats.org/drawingml/2006/chart">
  <chart>
    <title>
      <tx>
        <rich>
          <a:bodyPr/>
          <a:lstStyle/>
          <a:p>
            <a:pPr>
              <a:defRPr/>
            </a:pPr>
            <a:r>
              <a:rPr lang="en-US"/>
              <a:t>The 15 biggest hubs</a:t>
            </a:r>
          </a:p>
        </rich>
      </tx>
      <overlay val="1"/>
    </title>
    <plotArea>
      <layout/>
      <barChart>
        <barDir val="bar"/>
        <grouping val="clustered"/>
        <varyColors val="1"/>
        <ser>
          <idx val="0"/>
          <order val="0"/>
          <tx>
            <strRef>
              <f>'Map Analysis'!$P$4</f>
              <strCache>
                <ptCount val="1"/>
                <pt idx="0">
                  <v>Degree</v>
                </pt>
              </strCache>
            </strRef>
          </tx>
          <spPr>
            <a:ln>
              <a:prstDash val="solid"/>
            </a:ln>
          </spPr>
          <invertIfNegative val="1"/>
          <cat>
            <strRef>
              <f>'Map Analysis'!$O$5:$O$19</f>
              <strCache>
                <ptCount val="15"/>
                <pt idx="0">
                  <v>Slay the Spire</v>
                </pt>
                <pt idx="1">
                  <v>Vampire Survivors</v>
                </pt>
                <pt idx="2">
                  <v>The Binding of Isaac</v>
                </pt>
                <pt idx="3">
                  <v>Balatro</v>
                </pt>
                <pt idx="4">
                  <v>Hades</v>
                </pt>
                <pt idx="5">
                  <v>Spelunky Classic</v>
                </pt>
                <pt idx="6">
                  <v>FTL</v>
                </pt>
                <pt idx="7">
                  <v>NetHack</v>
                </pt>
                <pt idx="8">
                  <v>Dead Cells</v>
                </pt>
                <pt idx="9">
                  <v>Torneko's Great Adventure: Mystery Dungeon</v>
                </pt>
                <pt idx="10">
                  <v>Enter the Gungeon</v>
                </pt>
                <pt idx="11">
                  <v>Darkest Dungeon</v>
                </pt>
                <pt idx="12">
                  <v>Rogue</v>
                </pt>
                <pt idx="13">
                  <v>Nuclear Throne</v>
                </pt>
                <pt idx="14">
                  <v>Luck be a Landlord</v>
                </pt>
              </strCache>
            </strRef>
          </cat>
          <val>
            <numRef>
              <f>'Map Analysis'!$P$5:$P$19</f>
              <numCache>
                <formatCode>General</formatCode>
                <ptCount val="15"/>
                <pt idx="0">
                  <v>146</v>
                </pt>
                <pt idx="1">
                  <v>87</v>
                </pt>
                <pt idx="2">
                  <v>69</v>
                </pt>
                <pt idx="3">
                  <v>50</v>
                </pt>
                <pt idx="4">
                  <v>47</v>
                </pt>
                <pt idx="5">
                  <v>37</v>
                </pt>
                <pt idx="6">
                  <v>37</v>
                </pt>
                <pt idx="7">
                  <v>30</v>
                </pt>
                <pt idx="8">
                  <v>28</v>
                </pt>
                <pt idx="9">
                  <v>26</v>
                </pt>
                <pt idx="10">
                  <v>26</v>
                </pt>
                <pt idx="11">
                  <v>24</v>
                </pt>
                <pt idx="12">
                  <v>23</v>
                </pt>
                <pt idx="13">
                  <v>22</v>
                </pt>
                <pt idx="14">
                  <v>22</v>
                </pt>
              </numCache>
            </numRef>
          </val>
        </ser>
        <dLbls>
          <showLegendKey val="0"/>
          <showVal val="0"/>
          <showCatName val="0"/>
          <showSerName val="0"/>
          <showPercent val="0"/>
          <showBubbleSize val="0"/>
        </dLbls>
        <gapWidth val="60"/>
        <axId val="10"/>
        <axId val="100"/>
      </barChart>
      <catAx>
        <axId val="10"/>
        <scaling>
          <orientation val="minMax"/>
        </scaling>
        <delete val="1"/>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6.xml><?xml version="1.0" encoding="utf-8"?>
<chartSpace xmlns:a="http://schemas.openxmlformats.org/drawingml/2006/main" xmlns="http://schemas.openxmlformats.org/drawingml/2006/chart">
  <chart>
    <title>
      <tx>
        <rich>
          <a:bodyPr/>
          <a:lstStyle/>
          <a:p>
            <a:pPr>
              <a:defRPr/>
            </a:pPr>
            <a:r>
              <a:rPr lang="en-US"/>
              <a:t>The 15 biggest hubs you own — where the shops stand</a:t>
            </a:r>
          </a:p>
        </rich>
      </tx>
      <overlay val="1"/>
    </title>
    <plotArea>
      <layout/>
      <barChart>
        <barDir val="bar"/>
        <grouping val="clustered"/>
        <varyColors val="1"/>
        <ser>
          <idx val="0"/>
          <order val="0"/>
          <tx>
            <strRef>
              <f>'Map Analysis'!$T$4</f>
              <strCache>
                <ptCount val="1"/>
                <pt idx="0">
                  <v>Degree</v>
                </pt>
              </strCache>
            </strRef>
          </tx>
          <spPr>
            <a:ln>
              <a:prstDash val="solid"/>
            </a:ln>
          </spPr>
          <invertIfNegative val="1"/>
          <cat>
            <strRef>
              <f>'Map Analysis'!$S$5:$S$19</f>
              <strCache>
                <ptCount val="15"/>
                <pt idx="0">
                  <v>Slay the Spire</v>
                </pt>
                <pt idx="1">
                  <v>Vampire Survivors</v>
                </pt>
                <pt idx="2">
                  <v>The Binding of Isaac</v>
                </pt>
                <pt idx="3">
                  <v>Balatro</v>
                </pt>
                <pt idx="4">
                  <v>Hades</v>
                </pt>
                <pt idx="5">
                  <v>Spelunky Classic</v>
                </pt>
                <pt idx="6">
                  <v>FTL</v>
                </pt>
                <pt idx="7">
                  <v>NetHack</v>
                </pt>
                <pt idx="8">
                  <v>Dead Cells</v>
                </pt>
                <pt idx="9">
                  <v>Torneko's Great Adventure: Mystery Dungeon</v>
                </pt>
                <pt idx="10">
                  <v>Enter the Gungeon</v>
                </pt>
                <pt idx="11">
                  <v>Darkest Dungeon</v>
                </pt>
                <pt idx="12">
                  <v>Rogue</v>
                </pt>
                <pt idx="13">
                  <v>Nuclear Throne</v>
                </pt>
                <pt idx="14">
                  <v>Luck be a Landlord</v>
                </pt>
              </strCache>
            </strRef>
          </cat>
          <val>
            <numRef>
              <f>'Map Analysis'!$T$5:$T$19</f>
              <numCache>
                <formatCode>General</formatCode>
                <ptCount val="15"/>
                <pt idx="0">
                  <v>146</v>
                </pt>
                <pt idx="1">
                  <v>87</v>
                </pt>
                <pt idx="2">
                  <v>69</v>
                </pt>
                <pt idx="3">
                  <v>50</v>
                </pt>
                <pt idx="4">
                  <v>47</v>
                </pt>
                <pt idx="5">
                  <v>37</v>
                </pt>
                <pt idx="6">
                  <v>37</v>
                </pt>
                <pt idx="7">
                  <v>30</v>
                </pt>
                <pt idx="8">
                  <v>28</v>
                </pt>
                <pt idx="9">
                  <v>26</v>
                </pt>
                <pt idx="10">
                  <v>26</v>
                </pt>
                <pt idx="11">
                  <v>24</v>
                </pt>
                <pt idx="12">
                  <v>23</v>
                </pt>
                <pt idx="13">
                  <v>22</v>
                </pt>
                <pt idx="14">
                  <v>22</v>
                </pt>
              </numCache>
            </numRef>
          </val>
        </ser>
        <dLbls>
          <showLegendKey val="0"/>
          <showVal val="0"/>
          <showCatName val="0"/>
          <showSerName val="0"/>
          <showPercent val="0"/>
          <showBubbleSize val="0"/>
        </dLbls>
        <gapWidth val="60"/>
        <axId val="10"/>
        <axId val="100"/>
      </barChart>
      <catAx>
        <axId val="10"/>
        <scaling>
          <orientation val="minMax"/>
        </scaling>
        <delete val="1"/>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7.xml><?xml version="1.0" encoding="utf-8"?>
<chartSpace xmlns:a="http://schemas.openxmlformats.org/drawingml/2006/main" xmlns="http://schemas.openxmlformats.org/drawingml/2006/chart">
  <chart>
    <title>
      <tx>
        <rich>
          <a:bodyPr/>
          <a:lstStyle/>
          <a:p>
            <a:pPr>
              <a:defRPr/>
            </a:pPr>
            <a:r>
              <a:rPr lang="en-US"/>
              <a:t>Years between an influence and its influencee</a:t>
            </a:r>
          </a:p>
        </rich>
      </tx>
      <overlay val="1"/>
    </title>
    <plotArea>
      <layout/>
      <barChart>
        <barDir val="col"/>
        <grouping val="clustered"/>
        <varyColors val="1"/>
        <ser>
          <idx val="0"/>
          <order val="0"/>
          <tx>
            <strRef>
              <f>'Map Analysis'!$AB$4</f>
              <strCache>
                <ptCount val="1"/>
                <pt idx="0">
                  <v>Connections</v>
                </pt>
              </strCache>
            </strRef>
          </tx>
          <spPr>
            <a:ln>
              <a:prstDash val="solid"/>
            </a:ln>
          </spPr>
          <invertIfNegative val="1"/>
          <cat>
            <strRef>
              <f>'Map Analysis'!$AA$5:$AA$17</f>
              <strCache>
                <ptCount val="13"/>
                <pt idx="0">
                  <v>0</v>
                </pt>
                <pt idx="1">
                  <v>1</v>
                </pt>
                <pt idx="2">
                  <v>2</v>
                </pt>
                <pt idx="3">
                  <v>3</v>
                </pt>
                <pt idx="4">
                  <v>4</v>
                </pt>
                <pt idx="5">
                  <v>5</v>
                </pt>
                <pt idx="6">
                  <v>6</v>
                </pt>
                <pt idx="7">
                  <v>7</v>
                </pt>
                <pt idx="8">
                  <v>8</v>
                </pt>
                <pt idx="9">
                  <v>9</v>
                </pt>
                <pt idx="10">
                  <v>10</v>
                </pt>
                <pt idx="11">
                  <v>11-20</v>
                </pt>
                <pt idx="12">
                  <v>21+</v>
                </pt>
              </strCache>
            </strRef>
          </cat>
          <val>
            <numRef>
              <f>'Map Analysis'!$AB$5:$AB$17</f>
              <numCache>
                <formatCode>General</formatCode>
                <ptCount val="13"/>
                <pt idx="0">
                  <v>11</v>
                </pt>
                <pt idx="1">
                  <v>78</v>
                </pt>
                <pt idx="2">
                  <v>160</v>
                </pt>
                <pt idx="3">
                  <v>148</v>
                </pt>
                <pt idx="4">
                  <v>136</v>
                </pt>
                <pt idx="5">
                  <v>117</v>
                </pt>
                <pt idx="6">
                  <v>96</v>
                </pt>
                <pt idx="7">
                  <v>86</v>
                </pt>
                <pt idx="8">
                  <v>71</v>
                </pt>
                <pt idx="9">
                  <v>62</v>
                </pt>
                <pt idx="10">
                  <v>30</v>
                </pt>
                <pt idx="11">
                  <v>145</v>
                </pt>
                <pt idx="12">
                  <v>84</v>
                </pt>
              </numCache>
            </numRef>
          </val>
        </ser>
        <dLbls>
          <showLegendKey val="0"/>
          <showVal val="0"/>
          <showCatName val="0"/>
          <showSerName val="0"/>
          <showPercent val="0"/>
          <showBubbleSize val="0"/>
        </dLbls>
        <gapWidth val="6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US"/>
                  <a:t>Connections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8.xml><?xml version="1.0" encoding="utf-8"?>
<chartSpace xmlns:a="http://schemas.openxmlformats.org/drawingml/2006/main" xmlns="http://schemas.openxmlformats.org/drawingml/2006/chart">
  <chart>
    <title>
      <tx>
        <rich>
          <a:bodyPr/>
          <a:lstStyle/>
          <a:p>
            <a:pPr>
              <a:defRPr/>
            </a:pPr>
            <a:r>
              <a:rPr lang="en-US"/>
              <a:t>Timeline lanes — every game by release year and genre</a:t>
            </a:r>
          </a:p>
        </rich>
      </tx>
      <overlay val="1"/>
    </title>
    <plotArea>
      <layout/>
      <scatterChart>
        <scatterStyle val="lineMarker"/>
        <varyColors val="1"/>
        <ser>
          <idx val="0"/>
          <order val="0"/>
          <tx>
            <v>Action</v>
          </tx>
          <spPr>
            <a:ln>
              <a:noFill/>
              <a:prstDash val="solid"/>
            </a:ln>
          </spPr>
          <marker>
            <symbol val="circle"/>
            <size val="4"/>
            <spPr>
              <a:ln>
                <a:prstDash val="solid"/>
              </a:ln>
            </spPr>
          </marker>
          <xVal>
            <numRef>
              <f>'Map Calc'!$G$2:$G$950</f>
              <numCache>
                <formatCode>General</formatCode>
                <ptCount val="949"/>
                <pt idx="0">
                  <v>2024</v>
                </pt>
                <pt idx="1">
                  <v>#N/A</v>
                </pt>
                <pt idx="2">
                  <v>#N/A</v>
                </pt>
                <pt idx="3">
                  <v>2022</v>
                </pt>
                <pt idx="4">
                  <v>2017</v>
                </pt>
                <pt idx="5">
                  <v>2021</v>
                </pt>
                <pt idx="6">
                  <v>2026</v>
                </pt>
                <pt idx="7">
                  <v>#N/A</v>
                </pt>
                <pt idx="8">
                  <v>#N/A</v>
                </pt>
                <pt idx="9">
                  <v>#N/A</v>
                </pt>
                <pt idx="10">
                  <v>2013</v>
                </pt>
                <pt idx="11">
                  <v>#N/A</v>
                </pt>
                <pt idx="12">
                  <v>2017</v>
                </pt>
                <pt idx="13">
                  <v>#N/A</v>
                </pt>
                <pt idx="14">
                  <v>2025</v>
                </pt>
                <pt idx="15">
                  <v>2025</v>
                </pt>
                <pt idx="16">
                  <v>#N/A</v>
                </pt>
                <pt idx="17">
                  <v>#N/A</v>
                </pt>
                <pt idx="18">
                  <v>#N/A</v>
                </pt>
                <pt idx="19">
                  <v>2023</v>
                </pt>
                <pt idx="20">
                  <v>#N/A</v>
                </pt>
                <pt idx="21">
                  <v>2025</v>
                </pt>
                <pt idx="22">
                  <v>#N/A</v>
                </pt>
                <pt idx="23">
                  <v>#N/A</v>
                </pt>
                <pt idx="24">
                  <v>#N/A</v>
                </pt>
                <pt idx="25">
                  <v>#N/A</v>
                </pt>
                <pt idx="26">
                  <v>#N/A</v>
                </pt>
                <pt idx="27">
                  <v>#N/A</v>
                </pt>
                <pt idx="28">
                  <v>#N/A</v>
                </pt>
                <pt idx="29">
                  <v>2025</v>
                </pt>
                <pt idx="30">
                  <v>#N/A</v>
                </pt>
                <pt idx="31">
                  <v>#N/A</v>
                </pt>
                <pt idx="32">
                  <v>2024</v>
                </pt>
                <pt idx="33">
                  <v>2026</v>
                </pt>
                <pt idx="34">
                  <v>2022</v>
                </pt>
                <pt idx="35">
                  <v>#N/A</v>
                </pt>
                <pt idx="36">
                  <v>#N/A</v>
                </pt>
                <pt idx="37">
                  <v>2025</v>
                </pt>
                <pt idx="38">
                  <v>2023</v>
                </pt>
                <pt idx="39">
                  <v>2022</v>
                </pt>
                <pt idx="40">
                  <v>#N/A</v>
                </pt>
                <pt idx="41">
                  <v>2025</v>
                </pt>
                <pt idx="42">
                  <v>#N/A</v>
                </pt>
                <pt idx="43">
                  <v>#N/A</v>
                </pt>
                <pt idx="44">
                  <v>2025</v>
                </pt>
                <pt idx="45">
                  <v>2020</v>
                </pt>
                <pt idx="46">
                  <v>#N/A</v>
                </pt>
                <pt idx="47">
                  <v>#N/A</v>
                </pt>
                <pt idx="48">
                  <v>#N/A</v>
                </pt>
                <pt idx="49">
                  <v>#N/A</v>
                </pt>
                <pt idx="50">
                  <v>#N/A</v>
                </pt>
                <pt idx="51">
                  <v>#N/A</v>
                </pt>
                <pt idx="52">
                  <v>#N/A</v>
                </pt>
                <pt idx="53">
                  <v>#N/A</v>
                </pt>
                <pt idx="54">
                  <v>2025</v>
                </pt>
                <pt idx="55">
                  <v>#N/A</v>
                </pt>
                <pt idx="56">
                  <v>#N/A</v>
                </pt>
                <pt idx="57">
                  <v>#N/A</v>
                </pt>
                <pt idx="58">
                  <v>2015</v>
                </pt>
                <pt idx="59">
                  <v>1998</v>
                </pt>
                <pt idx="60">
                  <v>2007</v>
                </pt>
                <pt idx="61">
                  <v>#N/A</v>
                </pt>
                <pt idx="62">
                  <v>2023</v>
                </pt>
                <pt idx="63">
                  <v>#N/A</v>
                </pt>
                <pt idx="64">
                  <v>2024</v>
                </pt>
                <pt idx="65">
                  <v>2020</v>
                </pt>
                <pt idx="66">
                  <v>#N/A</v>
                </pt>
                <pt idx="67">
                  <v>#N/A</v>
                </pt>
                <pt idx="68">
                  <v>#N/A</v>
                </pt>
                <pt idx="69">
                  <v>2023</v>
                </pt>
                <pt idx="70">
                  <v>#N/A</v>
                </pt>
                <pt idx="71">
                  <v>#N/A</v>
                </pt>
                <pt idx="72">
                  <v>2022</v>
                </pt>
                <pt idx="73">
                  <v>#N/A</v>
                </pt>
                <pt idx="74">
                  <v>2019</v>
                </pt>
                <pt idx="75">
                  <v>2019</v>
                </pt>
                <pt idx="76">
                  <v>#N/A</v>
                </pt>
                <pt idx="77">
                  <v>#N/A</v>
                </pt>
                <pt idx="78">
                  <v>2023</v>
                </pt>
                <pt idx="79">
                  <v>2024</v>
                </pt>
                <pt idx="80">
                  <v>#N/A</v>
                </pt>
                <pt idx="81">
                  <v>#N/A</v>
                </pt>
                <pt idx="82">
                  <v>2022</v>
                </pt>
                <pt idx="83">
                  <v>#N/A</v>
                </pt>
                <pt idx="84">
                  <v>2022</v>
                </pt>
                <pt idx="85">
                  <v>2021</v>
                </pt>
                <pt idx="86">
                  <v>2020</v>
                </pt>
                <pt idx="87">
                  <v>#N/A</v>
                </pt>
                <pt idx="88">
                  <v>#N/A</v>
                </pt>
                <pt idx="89">
                  <v>#N/A</v>
                </pt>
                <pt idx="90">
                  <v>2025</v>
                </pt>
                <pt idx="91">
                  <v>#N/A</v>
                </pt>
                <pt idx="92">
                  <v>#N/A</v>
                </pt>
                <pt idx="93">
                  <v>2022</v>
                </pt>
                <pt idx="94">
                  <v>#N/A</v>
                </pt>
                <pt idx="95">
                  <v>#N/A</v>
                </pt>
                <pt idx="96">
                  <v>2018</v>
                </pt>
                <pt idx="97">
                  <v>2016</v>
                </pt>
                <pt idx="98">
                  <v>#N/A</v>
                </pt>
                <pt idx="99">
                  <v>#N/A</v>
                </pt>
                <pt idx="100">
                  <v>#N/A</v>
                </pt>
                <pt idx="101">
                  <v>#N/A</v>
                </pt>
                <pt idx="102">
                  <v>#N/A</v>
                </pt>
                <pt idx="103">
                  <v>#N/A</v>
                </pt>
                <pt idx="104">
                  <v>#N/A</v>
                </pt>
                <pt idx="105">
                  <v>#N/A</v>
                </pt>
                <pt idx="106">
                  <v>#N/A</v>
                </pt>
                <pt idx="107">
                  <v>2015</v>
                </pt>
                <pt idx="108">
                  <v>#N/A</v>
                </pt>
                <pt idx="109">
                  <v>#N/A</v>
                </pt>
                <pt idx="110">
                  <v>2017</v>
                </pt>
                <pt idx="111">
                  <v>#N/A</v>
                </pt>
                <pt idx="112">
                  <v>2020</v>
                </pt>
                <pt idx="113">
                  <v>#N/A</v>
                </pt>
                <pt idx="114">
                  <v>2023</v>
                </pt>
                <pt idx="115">
                  <v>#N/A</v>
                </pt>
                <pt idx="116">
                  <v>2022</v>
                </pt>
                <pt idx="117">
                  <v>2019</v>
                </pt>
                <pt idx="118">
                  <v>#N/A</v>
                </pt>
                <pt idx="119">
                  <v>#N/A</v>
                </pt>
                <pt idx="120">
                  <v>#N/A</v>
                </pt>
                <pt idx="121">
                  <v>2023</v>
                </pt>
                <pt idx="122">
                  <v>2025</v>
                </pt>
                <pt idx="123">
                  <v>#N/A</v>
                </pt>
                <pt idx="124">
                  <v>#N/A</v>
                </pt>
                <pt idx="125">
                  <v>2026</v>
                </pt>
                <pt idx="126">
                  <v>2025</v>
                </pt>
                <pt idx="127">
                  <v>#N/A</v>
                </pt>
                <pt idx="128">
                  <v>#N/A</v>
                </pt>
                <pt idx="129">
                  <v>#N/A</v>
                </pt>
                <pt idx="130">
                  <v>#N/A</v>
                </pt>
                <pt idx="131">
                  <v>#N/A</v>
                </pt>
                <pt idx="132">
                  <v>#N/A</v>
                </pt>
                <pt idx="133">
                  <v>#N/A</v>
                </pt>
                <pt idx="134">
                  <v>2020</v>
                </pt>
                <pt idx="135">
                  <v>#N/A</v>
                </pt>
                <pt idx="136">
                  <v>2022</v>
                </pt>
                <pt idx="137">
                  <v>#N/A</v>
                </pt>
                <pt idx="138">
                  <v>#N/A</v>
                </pt>
                <pt idx="139">
                  <v>2023</v>
                </pt>
                <pt idx="140">
                  <v>2023</v>
                </pt>
                <pt idx="141">
                  <v>#N/A</v>
                </pt>
                <pt idx="142">
                  <v>2023</v>
                </pt>
                <pt idx="143">
                  <v>2017</v>
                </pt>
                <pt idx="144">
                  <v>#N/A</v>
                </pt>
                <pt idx="145">
                  <v>#N/A</v>
                </pt>
                <pt idx="146">
                  <v>#N/A</v>
                </pt>
                <pt idx="147">
                  <v>#N/A</v>
                </pt>
                <pt idx="148">
                  <v>#N/A</v>
                </pt>
                <pt idx="149">
                  <v>#N/A</v>
                </pt>
                <pt idx="150">
                  <v>#N/A</v>
                </pt>
                <pt idx="151">
                  <v>2017</v>
                </pt>
                <pt idx="152">
                  <v>#N/A</v>
                </pt>
                <pt idx="153">
                  <v>#N/A</v>
                </pt>
                <pt idx="154">
                  <v>#N/A</v>
                </pt>
                <pt idx="155">
                  <v>#N/A</v>
                </pt>
                <pt idx="156">
                  <v>2022</v>
                </pt>
                <pt idx="157">
                  <v>#N/A</v>
                </pt>
                <pt idx="158">
                  <v>#N/A</v>
                </pt>
                <pt idx="159">
                  <v>#N/A</v>
                </pt>
                <pt idx="160">
                  <v>#N/A</v>
                </pt>
                <pt idx="161">
                  <v>2020</v>
                </pt>
                <pt idx="162">
                  <v>#N/A</v>
                </pt>
                <pt idx="163">
                  <v>2023</v>
                </pt>
                <pt idx="164">
                  <v>2019</v>
                </pt>
                <pt idx="165">
                  <v>2026</v>
                </pt>
                <pt idx="166">
                  <v>2025</v>
                </pt>
                <pt idx="167">
                  <v>#N/A</v>
                </pt>
                <pt idx="168">
                  <v>#N/A</v>
                </pt>
                <pt idx="169">
                  <v>2022</v>
                </pt>
                <pt idx="170">
                  <v>2018</v>
                </pt>
                <pt idx="171">
                  <v>2020</v>
                </pt>
                <pt idx="172">
                  <v>#N/A</v>
                </pt>
                <pt idx="173">
                  <v>#N/A</v>
                </pt>
                <pt idx="174">
                  <v>2025</v>
                </pt>
                <pt idx="175">
                  <v>2025</v>
                </pt>
                <pt idx="176">
                  <v>2023</v>
                </pt>
                <pt idx="177">
                  <v>2016</v>
                </pt>
                <pt idx="178">
                  <v>#N/A</v>
                </pt>
                <pt idx="179">
                  <v>2014</v>
                </pt>
                <pt idx="180">
                  <v>#N/A</v>
                </pt>
                <pt idx="181">
                  <v>#N/A</v>
                </pt>
                <pt idx="182">
                  <v>#N/A</v>
                </pt>
                <pt idx="183">
                  <v>2014</v>
                </pt>
                <pt idx="184">
                  <v>2024</v>
                </pt>
                <pt idx="185">
                  <v>#N/A</v>
                </pt>
                <pt idx="186">
                  <v>#N/A</v>
                </pt>
                <pt idx="187">
                  <v>2012</v>
                </pt>
                <pt idx="188">
                  <v>#N/A</v>
                </pt>
                <pt idx="189">
                  <v>#N/A</v>
                </pt>
                <pt idx="190">
                  <v>#N/A</v>
                </pt>
                <pt idx="191">
                  <v>#N/A</v>
                </pt>
                <pt idx="192">
                  <v>#N/A</v>
                </pt>
                <pt idx="193">
                  <v>2025</v>
                </pt>
                <pt idx="194">
                  <v>2021</v>
                </pt>
                <pt idx="195">
                  <v>2019</v>
                </pt>
                <pt idx="196">
                  <v>1996</v>
                </pt>
                <pt idx="197">
                  <v>#N/A</v>
                </pt>
                <pt idx="198">
                  <v>#N/A</v>
                </pt>
                <pt idx="199">
                  <v>#N/A</v>
                </pt>
                <pt idx="200">
                  <v>#N/A</v>
                </pt>
                <pt idx="201">
                  <v>#N/A</v>
                </pt>
                <pt idx="202">
                  <v>#N/A</v>
                </pt>
                <pt idx="203">
                  <v>#N/A</v>
                </pt>
                <pt idx="204">
                  <v>#N/A</v>
                </pt>
                <pt idx="205">
                  <v>#N/A</v>
                </pt>
                <pt idx="206">
                  <v>#N/A</v>
                </pt>
                <pt idx="207">
                  <v>2021</v>
                </pt>
                <pt idx="208">
                  <v>#N/A</v>
                </pt>
                <pt idx="209">
                  <v>2023</v>
                </pt>
                <pt idx="210">
                  <v>2026</v>
                </pt>
                <pt idx="211">
                  <v>#N/A</v>
                </pt>
                <pt idx="212">
                  <v>#N/A</v>
                </pt>
                <pt idx="213">
                  <v>#N/A</v>
                </pt>
                <pt idx="214">
                  <v>#N/A</v>
                </pt>
                <pt idx="215">
                  <v>#N/A</v>
                </pt>
                <pt idx="216">
                  <v>2026</v>
                </pt>
                <pt idx="217">
                  <v>2013</v>
                </pt>
                <pt idx="218">
                  <v>2014</v>
                </pt>
                <pt idx="219">
                  <v>#N/A</v>
                </pt>
                <pt idx="220">
                  <v>#N/A</v>
                </pt>
                <pt idx="221">
                  <v>2023</v>
                </pt>
                <pt idx="222">
                  <v>2015</v>
                </pt>
                <pt idx="223">
                  <v>#N/A</v>
                </pt>
                <pt idx="224">
                  <v>#N/A</v>
                </pt>
                <pt idx="225">
                  <v>#N/A</v>
                </pt>
                <pt idx="226">
                  <v>#N/A</v>
                </pt>
                <pt idx="227">
                  <v>#N/A</v>
                </pt>
                <pt idx="228">
                  <v>2020</v>
                </pt>
                <pt idx="229">
                  <v>#N/A</v>
                </pt>
                <pt idx="230">
                  <v>#N/A</v>
                </pt>
                <pt idx="231">
                  <v>#N/A</v>
                </pt>
                <pt idx="232">
                  <v>#N/A</v>
                </pt>
                <pt idx="233">
                  <v>#N/A</v>
                </pt>
                <pt idx="234">
                  <v>#N/A</v>
                </pt>
                <pt idx="235">
                  <v>#N/A</v>
                </pt>
                <pt idx="236">
                  <v>1993</v>
                </pt>
                <pt idx="237">
                  <v>#N/A</v>
                </pt>
                <pt idx="238">
                  <v>#N/A</v>
                </pt>
                <pt idx="239">
                  <v>#N/A</v>
                </pt>
                <pt idx="240">
                  <v>#N/A</v>
                </pt>
                <pt idx="241">
                  <v>2024</v>
                </pt>
                <pt idx="242">
                  <v>#N/A</v>
                </pt>
                <pt idx="243">
                  <v>2018</v>
                </pt>
                <pt idx="244">
                  <v>2025</v>
                </pt>
                <pt idx="245">
                  <v>#N/A</v>
                </pt>
                <pt idx="246">
                  <v>#N/A</v>
                </pt>
                <pt idx="247">
                  <v>2025</v>
                </pt>
                <pt idx="248">
                  <v>2013</v>
                </pt>
                <pt idx="249">
                  <v>2023</v>
                </pt>
                <pt idx="250">
                  <v>2023</v>
                </pt>
                <pt idx="251">
                  <v>#N/A</v>
                </pt>
                <pt idx="252">
                  <v>#N/A</v>
                </pt>
                <pt idx="253">
                  <v>2022</v>
                </pt>
                <pt idx="254">
                  <v>#N/A</v>
                </pt>
                <pt idx="255">
                  <v>#N/A</v>
                </pt>
                <pt idx="256">
                  <v>2025</v>
                </pt>
                <pt idx="257">
                  <v>2016</v>
                </pt>
                <pt idx="258">
                  <v>#N/A</v>
                </pt>
                <pt idx="259">
                  <v>#N/A</v>
                </pt>
                <pt idx="260">
                  <v>#N/A</v>
                </pt>
                <pt idx="261">
                  <v>#N/A</v>
                </pt>
                <pt idx="262">
                  <v>2026</v>
                </pt>
                <pt idx="263">
                  <v>2023</v>
                </pt>
                <pt idx="264">
                  <v>2020</v>
                </pt>
                <pt idx="265">
                  <v>#N/A</v>
                </pt>
                <pt idx="266">
                  <v>#N/A</v>
                </pt>
                <pt idx="267">
                  <v>#N/A</v>
                </pt>
                <pt idx="268">
                  <v>#N/A</v>
                </pt>
                <pt idx="269">
                  <v>#N/A</v>
                </pt>
                <pt idx="270">
                  <v>#N/A</v>
                </pt>
                <pt idx="271">
                  <v>#N/A</v>
                </pt>
                <pt idx="272">
                  <v>2024</v>
                </pt>
                <pt idx="273">
                  <v>2022</v>
                </pt>
                <pt idx="274">
                  <v>#N/A</v>
                </pt>
                <pt idx="275">
                  <v>2017</v>
                </pt>
                <pt idx="276">
                  <v>#N/A</v>
                </pt>
                <pt idx="277">
                  <v>2024</v>
                </pt>
                <pt idx="278">
                  <v>#N/A</v>
                </pt>
                <pt idx="279">
                  <v>#N/A</v>
                </pt>
                <pt idx="280">
                  <v>#N/A</v>
                </pt>
                <pt idx="281">
                  <v>2025</v>
                </pt>
                <pt idx="282">
                  <v>#N/A</v>
                </pt>
                <pt idx="283">
                  <v>2017</v>
                </pt>
                <pt idx="284">
                  <v>2025</v>
                </pt>
                <pt idx="285">
                  <v>#N/A</v>
                </pt>
                <pt idx="286">
                  <v>#N/A</v>
                </pt>
                <pt idx="287">
                  <v>2013</v>
                </pt>
                <pt idx="288">
                  <v>2020</v>
                </pt>
                <pt idx="289">
                  <v>#N/A</v>
                </pt>
                <pt idx="290">
                  <v>#N/A</v>
                </pt>
                <pt idx="291">
                  <v>2024</v>
                </pt>
                <pt idx="292">
                  <v>#N/A</v>
                </pt>
                <pt idx="293">
                  <v>2025</v>
                </pt>
                <pt idx="294">
                  <v>2024</v>
                </pt>
                <pt idx="295">
                  <v>#N/A</v>
                </pt>
                <pt idx="296">
                  <v>#N/A</v>
                </pt>
                <pt idx="297">
                  <v>#N/A</v>
                </pt>
                <pt idx="298">
                  <v>2024</v>
                </pt>
                <pt idx="299">
                  <v>2026</v>
                </pt>
                <pt idx="300">
                  <v>2020</v>
                </pt>
                <pt idx="301">
                  <v>2023</v>
                </pt>
                <pt idx="302">
                  <v>2024</v>
                </pt>
                <pt idx="303">
                  <v>#N/A</v>
                </pt>
                <pt idx="304">
                  <v>#N/A</v>
                </pt>
                <pt idx="305">
                  <v>2024</v>
                </pt>
                <pt idx="306">
                  <v>#N/A</v>
                </pt>
                <pt idx="307">
                  <v>2023</v>
                </pt>
                <pt idx="308">
                  <v>2025</v>
                </pt>
                <pt idx="309">
                  <v>2020</v>
                </pt>
                <pt idx="310">
                  <v>#N/A</v>
                </pt>
                <pt idx="311">
                  <v>2020</v>
                </pt>
                <pt idx="312">
                  <v>2022</v>
                </pt>
                <pt idx="313">
                  <v>2016</v>
                </pt>
                <pt idx="314">
                  <v>2020</v>
                </pt>
                <pt idx="315">
                  <v>2023</v>
                </pt>
                <pt idx="316">
                  <v>#N/A</v>
                </pt>
                <pt idx="317">
                  <v>2025</v>
                </pt>
                <pt idx="318">
                  <v>2023</v>
                </pt>
                <pt idx="319">
                  <v>#N/A</v>
                </pt>
                <pt idx="320">
                  <v>2021</v>
                </pt>
                <pt idx="321">
                  <v>2024</v>
                </pt>
                <pt idx="322">
                  <v>#N/A</v>
                </pt>
                <pt idx="323">
                  <v>#N/A</v>
                </pt>
                <pt idx="324">
                  <v>2020</v>
                </pt>
                <pt idx="325">
                  <v>2022</v>
                </pt>
                <pt idx="326">
                  <v>2025</v>
                </pt>
                <pt idx="327">
                  <v>#N/A</v>
                </pt>
                <pt idx="328">
                  <v>#N/A</v>
                </pt>
                <pt idx="329">
                  <v>#N/A</v>
                </pt>
                <pt idx="330">
                  <v>2019</v>
                </pt>
                <pt idx="331">
                  <v>2024</v>
                </pt>
                <pt idx="332">
                  <v>2023</v>
                </pt>
                <pt idx="333">
                  <v>#N/A</v>
                </pt>
                <pt idx="334">
                  <v>#N/A</v>
                </pt>
                <pt idx="335">
                  <v>2026</v>
                </pt>
                <pt idx="336">
                  <v>2025</v>
                </pt>
                <pt idx="337">
                  <v>#N/A</v>
                </pt>
                <pt idx="338">
                  <v>2017</v>
                </pt>
                <pt idx="339">
                  <v>2025</v>
                </pt>
                <pt idx="340">
                  <v>2022</v>
                </pt>
                <pt idx="341">
                  <v>#N/A</v>
                </pt>
                <pt idx="342">
                  <v>2023</v>
                </pt>
                <pt idx="343">
                  <v>2017</v>
                </pt>
                <pt idx="344">
                  <v>2014</v>
                </pt>
                <pt idx="345">
                  <v>2025</v>
                </pt>
                <pt idx="346">
                  <v>2026</v>
                </pt>
                <pt idx="347">
                  <v>2023</v>
                </pt>
                <pt idx="348">
                  <v>#N/A</v>
                </pt>
                <pt idx="349">
                  <v>2025</v>
                </pt>
                <pt idx="350">
                  <v>2023</v>
                </pt>
                <pt idx="351">
                  <v>2018</v>
                </pt>
                <pt idx="352">
                  <v>2025</v>
                </pt>
                <pt idx="353">
                  <v>#N/A</v>
                </pt>
                <pt idx="354">
                  <v>#N/A</v>
                </pt>
                <pt idx="355">
                  <v>2023</v>
                </pt>
                <pt idx="356">
                  <v>#N/A</v>
                </pt>
                <pt idx="357">
                  <v>#N/A</v>
                </pt>
                <pt idx="358">
                  <v>#N/A</v>
                </pt>
                <pt idx="359">
                  <v>2026</v>
                </pt>
                <pt idx="360">
                  <v>#N/A</v>
                </pt>
                <pt idx="361">
                  <v>2026</v>
                </pt>
                <pt idx="362">
                  <v>#N/A</v>
                </pt>
                <pt idx="363">
                  <v>2025</v>
                </pt>
                <pt idx="364">
                  <v>#N/A</v>
                </pt>
                <pt idx="365">
                  <v>2022</v>
                </pt>
                <pt idx="366">
                  <v>2017</v>
                </pt>
                <pt idx="367">
                  <v>2016</v>
                </pt>
                <pt idx="368">
                  <v>#N/A</v>
                </pt>
                <pt idx="369">
                  <v>#N/A</v>
                </pt>
                <pt idx="370">
                  <v>#N/A</v>
                </pt>
                <pt idx="371">
                  <v>#N/A</v>
                </pt>
                <pt idx="372">
                  <v>#N/A</v>
                </pt>
                <pt idx="373">
                  <v>#N/A</v>
                </pt>
                <pt idx="374">
                  <v>#N/A</v>
                </pt>
                <pt idx="375">
                  <v>#N/A</v>
                </pt>
                <pt idx="376">
                  <v>#N/A</v>
                </pt>
                <pt idx="377">
                  <v>#N/A</v>
                </pt>
                <pt idx="378">
                  <v>#N/A</v>
                </pt>
                <pt idx="379">
                  <v>#N/A</v>
                </pt>
                <pt idx="380">
                  <v>#N/A</v>
                </pt>
                <pt idx="381">
                  <v>2025</v>
                </pt>
                <pt idx="382">
                  <v>2018</v>
                </pt>
                <pt idx="383">
                  <v>#N/A</v>
                </pt>
                <pt idx="384">
                  <v>2023</v>
                </pt>
                <pt idx="385">
                  <v>#N/A</v>
                </pt>
                <pt idx="386">
                  <v>2025</v>
                </pt>
                <pt idx="387">
                  <v>#N/A</v>
                </pt>
                <pt idx="388">
                  <v>2023</v>
                </pt>
                <pt idx="389">
                  <v>#N/A</v>
                </pt>
                <pt idx="390">
                  <v>2025</v>
                </pt>
                <pt idx="391">
                  <v>#N/A</v>
                </pt>
                <pt idx="392">
                  <v>2023</v>
                </pt>
                <pt idx="393">
                  <v>#N/A</v>
                </pt>
                <pt idx="394">
                  <v>#N/A</v>
                </pt>
                <pt idx="395">
                  <v>#N/A</v>
                </pt>
                <pt idx="396">
                  <v>#N/A</v>
                </pt>
                <pt idx="397">
                  <v>2024</v>
                </pt>
                <pt idx="398">
                  <v>#N/A</v>
                </pt>
                <pt idx="399">
                  <v>#N/A</v>
                </pt>
                <pt idx="400">
                  <v>#N/A</v>
                </pt>
                <pt idx="401">
                  <v>2024</v>
                </pt>
                <pt idx="402">
                  <v>#N/A</v>
                </pt>
                <pt idx="403">
                  <v>#N/A</v>
                </pt>
                <pt idx="404">
                  <v>#N/A</v>
                </pt>
                <pt idx="405">
                  <v>2023</v>
                </pt>
                <pt idx="406">
                  <v>#N/A</v>
                </pt>
                <pt idx="407">
                  <v>#N/A</v>
                </pt>
                <pt idx="408">
                  <v>#N/A</v>
                </pt>
                <pt idx="409">
                  <v>#N/A</v>
                </pt>
                <pt idx="410">
                  <v>#N/A</v>
                </pt>
                <pt idx="411">
                  <v>2026</v>
                </pt>
                <pt idx="412">
                  <v>#N/A</v>
                </pt>
                <pt idx="413">
                  <v>#N/A</v>
                </pt>
                <pt idx="414">
                  <v>#N/A</v>
                </pt>
                <pt idx="415">
                  <v>2025</v>
                </pt>
                <pt idx="416">
                  <v>#N/A</v>
                </pt>
                <pt idx="417">
                  <v>#N/A</v>
                </pt>
                <pt idx="418">
                  <v>#N/A</v>
                </pt>
                <pt idx="419">
                  <v>#N/A</v>
                </pt>
                <pt idx="420">
                  <v>2026</v>
                </pt>
                <pt idx="421">
                  <v>#N/A</v>
                </pt>
                <pt idx="422">
                  <v>2026</v>
                </pt>
                <pt idx="423">
                  <v>2019</v>
                </pt>
                <pt idx="424">
                  <v>2023</v>
                </pt>
                <pt idx="425">
                  <v>2025</v>
                </pt>
                <pt idx="426">
                  <v>#N/A</v>
                </pt>
                <pt idx="427">
                  <v>2018</v>
                </pt>
                <pt idx="428">
                  <v>2025</v>
                </pt>
                <pt idx="429">
                  <v>#N/A</v>
                </pt>
                <pt idx="430">
                  <v>2025</v>
                </pt>
                <pt idx="431">
                  <v>#N/A</v>
                </pt>
                <pt idx="432">
                  <v>2025</v>
                </pt>
                <pt idx="433">
                  <v>#N/A</v>
                </pt>
                <pt idx="434">
                  <v>#N/A</v>
                </pt>
                <pt idx="435">
                  <v>#N/A</v>
                </pt>
                <pt idx="436">
                  <v>#N/A</v>
                </pt>
                <pt idx="437">
                  <v>#N/A</v>
                </pt>
                <pt idx="438">
                  <v>2020</v>
                </pt>
                <pt idx="439">
                  <v>2021</v>
                </pt>
                <pt idx="440">
                  <v>#N/A</v>
                </pt>
                <pt idx="441">
                  <v>2025</v>
                </pt>
                <pt idx="442">
                  <v>#N/A</v>
                </pt>
                <pt idx="443">
                  <v>#N/A</v>
                </pt>
                <pt idx="444">
                  <v>#N/A</v>
                </pt>
                <pt idx="445">
                  <v>#N/A</v>
                </pt>
                <pt idx="446">
                  <v>2023</v>
                </pt>
                <pt idx="447">
                  <v>2022</v>
                </pt>
                <pt idx="448">
                  <v>#N/A</v>
                </pt>
                <pt idx="449">
                  <v>#N/A</v>
                </pt>
                <pt idx="450">
                  <v>#N/A</v>
                </pt>
                <pt idx="451">
                  <v>#N/A</v>
                </pt>
                <pt idx="452">
                  <v>#N/A</v>
                </pt>
                <pt idx="453">
                  <v>#N/A</v>
                </pt>
                <pt idx="454">
                  <v>#N/A</v>
                </pt>
                <pt idx="455">
                  <v>#N/A</v>
                </pt>
                <pt idx="456">
                  <v>2025</v>
                </pt>
                <pt idx="457">
                  <v>2015</v>
                </pt>
                <pt idx="458">
                  <v>#N/A</v>
                </pt>
                <pt idx="459">
                  <v>2016</v>
                </pt>
                <pt idx="460">
                  <v>2024</v>
                </pt>
                <pt idx="461">
                  <v>2018</v>
                </pt>
                <pt idx="462">
                  <v>2025</v>
                </pt>
                <pt idx="463">
                  <v>#N/A</v>
                </pt>
                <pt idx="464">
                  <v>2026</v>
                </pt>
                <pt idx="465">
                  <v>#N/A</v>
                </pt>
                <pt idx="466">
                  <v>#N/A</v>
                </pt>
                <pt idx="467">
                  <v>2025</v>
                </pt>
                <pt idx="468">
                  <v>2023</v>
                </pt>
                <pt idx="469">
                  <v>2018</v>
                </pt>
                <pt idx="470">
                  <v>2022</v>
                </pt>
                <pt idx="471">
                  <v>#N/A</v>
                </pt>
                <pt idx="472">
                  <v>2023</v>
                </pt>
                <pt idx="473">
                  <v>2021</v>
                </pt>
                <pt idx="474">
                  <v>#N/A</v>
                </pt>
                <pt idx="475">
                  <v>#N/A</v>
                </pt>
                <pt idx="476">
                  <v>#N/A</v>
                </pt>
                <pt idx="477">
                  <v>2024</v>
                </pt>
                <pt idx="478">
                  <v>#N/A</v>
                </pt>
                <pt idx="479">
                  <v>2022</v>
                </pt>
                <pt idx="480">
                  <v>#N/A</v>
                </pt>
                <pt idx="481">
                  <v>2022</v>
                </pt>
                <pt idx="482">
                  <v>2024</v>
                </pt>
                <pt idx="483">
                  <v>2019</v>
                </pt>
                <pt idx="484">
                  <v>2025</v>
                </pt>
                <pt idx="485">
                  <v>2022</v>
                </pt>
                <pt idx="486">
                  <v>#N/A</v>
                </pt>
                <pt idx="487">
                  <v>2025</v>
                </pt>
                <pt idx="488">
                  <v>2021</v>
                </pt>
                <pt idx="489">
                  <v>2025</v>
                </pt>
                <pt idx="490">
                  <v>2024</v>
                </pt>
                <pt idx="491">
                  <v>#N/A</v>
                </pt>
                <pt idx="492">
                  <v>#N/A</v>
                </pt>
                <pt idx="493">
                  <v>2019</v>
                </pt>
                <pt idx="494">
                  <v>2022</v>
                </pt>
                <pt idx="495">
                  <v>2025</v>
                </pt>
                <pt idx="496">
                  <v>2023</v>
                </pt>
                <pt idx="497">
                  <v>#N/A</v>
                </pt>
                <pt idx="498">
                  <v>2022</v>
                </pt>
                <pt idx="499">
                  <v>#N/A</v>
                </pt>
                <pt idx="500">
                  <v>2019</v>
                </pt>
                <pt idx="501">
                  <v>#N/A</v>
                </pt>
                <pt idx="502">
                  <v>#N/A</v>
                </pt>
                <pt idx="503">
                  <v>2015</v>
                </pt>
                <pt idx="504">
                  <v>2025</v>
                </pt>
                <pt idx="505">
                  <v>#N/A</v>
                </pt>
                <pt idx="506">
                  <v>2023</v>
                </pt>
                <pt idx="507">
                  <v>#N/A</v>
                </pt>
                <pt idx="508">
                  <v>2018</v>
                </pt>
                <pt idx="509">
                  <v>2026</v>
                </pt>
                <pt idx="510">
                  <v>2025</v>
                </pt>
                <pt idx="511">
                  <v>2026</v>
                </pt>
                <pt idx="512">
                  <v>#N/A</v>
                </pt>
                <pt idx="513">
                  <v>#N/A</v>
                </pt>
                <pt idx="514">
                  <v>#N/A</v>
                </pt>
                <pt idx="515">
                  <v>#N/A</v>
                </pt>
                <pt idx="516">
                  <v>#N/A</v>
                </pt>
                <pt idx="517">
                  <v>2020</v>
                </pt>
                <pt idx="518">
                  <v>#N/A</v>
                </pt>
                <pt idx="519">
                  <v>#N/A</v>
                </pt>
                <pt idx="520">
                  <v>2023</v>
                </pt>
                <pt idx="521">
                  <v>2014</v>
                </pt>
                <pt idx="522">
                  <v>#N/A</v>
                </pt>
                <pt idx="523">
                  <v>#N/A</v>
                </pt>
                <pt idx="524">
                  <v>#N/A</v>
                </pt>
                <pt idx="525">
                  <v>#N/A</v>
                </pt>
                <pt idx="526">
                  <v>2023</v>
                </pt>
                <pt idx="527">
                  <v>#N/A</v>
                </pt>
                <pt idx="528">
                  <v>2021</v>
                </pt>
                <pt idx="529">
                  <v>#N/A</v>
                </pt>
                <pt idx="530">
                  <v>2026</v>
                </pt>
                <pt idx="531">
                  <v>#N/A</v>
                </pt>
                <pt idx="532">
                  <v>#N/A</v>
                </pt>
                <pt idx="533">
                  <v>#N/A</v>
                </pt>
                <pt idx="534">
                  <v>#N/A</v>
                </pt>
                <pt idx="535">
                  <v>2024</v>
                </pt>
                <pt idx="536">
                  <v>2023</v>
                </pt>
                <pt idx="537">
                  <v>#N/A</v>
                </pt>
                <pt idx="538">
                  <v>#N/A</v>
                </pt>
                <pt idx="539">
                  <v>#N/A</v>
                </pt>
                <pt idx="540">
                  <v>#N/A</v>
                </pt>
                <pt idx="541">
                  <v>#N/A</v>
                </pt>
                <pt idx="542">
                  <v>#N/A</v>
                </pt>
                <pt idx="543">
                  <v>#N/A</v>
                </pt>
                <pt idx="544">
                  <v>2024</v>
                </pt>
                <pt idx="545">
                  <v>#N/A</v>
                </pt>
                <pt idx="546">
                  <v>#N/A</v>
                </pt>
                <pt idx="547">
                  <v>#N/A</v>
                </pt>
                <pt idx="548">
                  <v>#N/A</v>
                </pt>
                <pt idx="549">
                  <v>#N/A</v>
                </pt>
                <pt idx="550">
                  <v>#N/A</v>
                </pt>
                <pt idx="551">
                  <v>#N/A</v>
                </pt>
                <pt idx="552">
                  <v>#N/A</v>
                </pt>
                <pt idx="553">
                  <v>#N/A</v>
                </pt>
                <pt idx="554">
                  <v>#N/A</v>
                </pt>
                <pt idx="555">
                  <v>#N/A</v>
                </pt>
                <pt idx="556">
                  <v>#N/A</v>
                </pt>
                <pt idx="557">
                  <v>#N/A</v>
                </pt>
                <pt idx="558">
                  <v>2024</v>
                </pt>
                <pt idx="559">
                  <v>#N/A</v>
                </pt>
                <pt idx="560">
                  <v>2022</v>
                </pt>
                <pt idx="561">
                  <v>#N/A</v>
                </pt>
                <pt idx="562">
                  <v>#N/A</v>
                </pt>
                <pt idx="563">
                  <v>2024</v>
                </pt>
                <pt idx="564">
                  <v>#N/A</v>
                </pt>
                <pt idx="565">
                  <v>#N/A</v>
                </pt>
                <pt idx="566">
                  <v>#N/A</v>
                </pt>
                <pt idx="567">
                  <v>2024</v>
                </pt>
                <pt idx="568">
                  <v>2015</v>
                </pt>
                <pt idx="569">
                  <v>#N/A</v>
                </pt>
                <pt idx="570">
                  <v>2023</v>
                </pt>
                <pt idx="571">
                  <v>2025</v>
                </pt>
                <pt idx="572">
                  <v>2024</v>
                </pt>
                <pt idx="573">
                  <v>2010</v>
                </pt>
                <pt idx="574">
                  <v>2012</v>
                </pt>
                <pt idx="575">
                  <v>#N/A</v>
                </pt>
                <pt idx="576">
                  <v>2022</v>
                </pt>
                <pt idx="577">
                  <v>#N/A</v>
                </pt>
                <pt idx="578">
                  <v>2023</v>
                </pt>
                <pt idx="579">
                  <v>2023</v>
                </pt>
                <pt idx="580">
                  <v>2021</v>
                </pt>
                <pt idx="581">
                  <v>2025</v>
                </pt>
                <pt idx="582">
                  <v>#N/A</v>
                </pt>
                <pt idx="583">
                  <v>#N/A</v>
                </pt>
                <pt idx="584">
                  <v>#N/A</v>
                </pt>
                <pt idx="585">
                  <v>#N/A</v>
                </pt>
                <pt idx="586">
                  <v>#N/A</v>
                </pt>
                <pt idx="587">
                  <v>#N/A</v>
                </pt>
                <pt idx="588">
                  <v>2017</v>
                </pt>
                <pt idx="589">
                  <v>2013</v>
                </pt>
                <pt idx="590">
                  <v>2020</v>
                </pt>
                <pt idx="591">
                  <v>2023</v>
                </pt>
                <pt idx="592">
                  <v>#N/A</v>
                </pt>
                <pt idx="593">
                  <v>2020</v>
                </pt>
                <pt idx="594">
                  <v>2024</v>
                </pt>
                <pt idx="595">
                  <v>#N/A</v>
                </pt>
                <pt idx="596">
                  <v>#N/A</v>
                </pt>
                <pt idx="597">
                  <v>#N/A</v>
                </pt>
                <pt idx="598">
                  <v>2026</v>
                </pt>
                <pt idx="599">
                  <v>2024</v>
                </pt>
                <pt idx="600">
                  <v>#N/A</v>
                </pt>
                <pt idx="601">
                  <v>2021</v>
                </pt>
                <pt idx="602">
                  <v>2013</v>
                </pt>
                <pt idx="603">
                  <v>2020</v>
                </pt>
                <pt idx="604">
                  <v>#N/A</v>
                </pt>
                <pt idx="605">
                  <v>#N/A</v>
                </pt>
                <pt idx="606">
                  <v>#N/A</v>
                </pt>
                <pt idx="607">
                  <v>#N/A</v>
                </pt>
                <pt idx="608">
                  <v>2022</v>
                </pt>
                <pt idx="609">
                  <v>#N/A</v>
                </pt>
                <pt idx="610">
                  <v>#N/A</v>
                </pt>
                <pt idx="611">
                  <v>#N/A</v>
                </pt>
                <pt idx="612">
                  <v>#N/A</v>
                </pt>
                <pt idx="613">
                  <v>#N/A</v>
                </pt>
                <pt idx="614">
                  <v>#N/A</v>
                </pt>
                <pt idx="615">
                  <v>#N/A</v>
                </pt>
                <pt idx="616">
                  <v>#N/A</v>
                </pt>
                <pt idx="617">
                  <v>#N/A</v>
                </pt>
                <pt idx="618">
                  <v>2021</v>
                </pt>
                <pt idx="619">
                  <v>#N/A</v>
                </pt>
                <pt idx="620">
                  <v>#N/A</v>
                </pt>
                <pt idx="621">
                  <v>#N/A</v>
                </pt>
                <pt idx="622">
                  <v>#N/A</v>
                </pt>
                <pt idx="623">
                  <v>#N/A</v>
                </pt>
                <pt idx="624">
                  <v>2024</v>
                </pt>
                <pt idx="625">
                  <v>2022</v>
                </pt>
                <pt idx="626">
                  <v>2023</v>
                </pt>
                <pt idx="627">
                  <v>2020</v>
                </pt>
                <pt idx="628">
                  <v>2023</v>
                </pt>
                <pt idx="629">
                  <v>2023</v>
                </pt>
                <pt idx="630">
                  <v>#N/A</v>
                </pt>
                <pt idx="631">
                  <v>2025</v>
                </pt>
                <pt idx="632">
                  <v>2022</v>
                </pt>
                <pt idx="633">
                  <v>2026</v>
                </pt>
                <pt idx="634">
                  <v>#N/A</v>
                </pt>
                <pt idx="635">
                  <v>#N/A</v>
                </pt>
                <pt idx="636">
                  <v>2025</v>
                </pt>
                <pt idx="637">
                  <v>2023</v>
                </pt>
                <pt idx="638">
                  <v>#N/A</v>
                </pt>
                <pt idx="639">
                  <v>2022</v>
                </pt>
                <pt idx="640">
                  <v>#N/A</v>
                </pt>
                <pt idx="641">
                  <v>#N/A</v>
                </pt>
                <pt idx="642">
                  <v>#N/A</v>
                </pt>
                <pt idx="643">
                  <v>#N/A</v>
                </pt>
                <pt idx="644">
                  <v>#N/A</v>
                </pt>
                <pt idx="645">
                  <v>#N/A</v>
                </pt>
                <pt idx="646">
                  <v>#N/A</v>
                </pt>
                <pt idx="647">
                  <v>#N/A</v>
                </pt>
                <pt idx="648">
                  <v>#N/A</v>
                </pt>
                <pt idx="649">
                  <v>2010</v>
                </pt>
                <pt idx="650">
                  <v>#N/A</v>
                </pt>
                <pt idx="651">
                  <v>2022</v>
                </pt>
                <pt idx="652">
                  <v>#N/A</v>
                </pt>
                <pt idx="653">
                  <v>#N/A</v>
                </pt>
                <pt idx="654">
                  <v>2020</v>
                </pt>
                <pt idx="655">
                  <v>2026</v>
                </pt>
                <pt idx="656">
                  <v>2014</v>
                </pt>
                <pt idx="657">
                  <v>#N/A</v>
                </pt>
                <pt idx="658">
                  <v>#N/A</v>
                </pt>
                <pt idx="659">
                  <v>2018</v>
                </pt>
                <pt idx="660">
                  <v>#N/A</v>
                </pt>
                <pt idx="661">
                  <v>#N/A</v>
                </pt>
                <pt idx="662">
                  <v>#N/A</v>
                </pt>
                <pt idx="663">
                  <v>2023</v>
                </pt>
                <pt idx="664">
                  <v>#N/A</v>
                </pt>
                <pt idx="665">
                  <v>#N/A</v>
                </pt>
                <pt idx="666">
                  <v>#N/A</v>
                </pt>
                <pt idx="667">
                  <v>2021</v>
                </pt>
                <pt idx="668">
                  <v>2025</v>
                </pt>
                <pt idx="669">
                  <v>#N/A</v>
                </pt>
                <pt idx="670">
                  <v>#N/A</v>
                </pt>
                <pt idx="671">
                  <v>#N/A</v>
                </pt>
                <pt idx="672">
                  <v>#N/A</v>
                </pt>
                <pt idx="673">
                  <v>2022</v>
                </pt>
                <pt idx="674">
                  <v>2015</v>
                </pt>
                <pt idx="675">
                  <v>2019</v>
                </pt>
                <pt idx="676">
                  <v>#N/A</v>
                </pt>
                <pt idx="677">
                  <v>2022</v>
                </pt>
                <pt idx="678">
                  <v>#N/A</v>
                </pt>
                <pt idx="679">
                  <v>#N/A</v>
                </pt>
                <pt idx="680">
                  <v>2012</v>
                </pt>
                <pt idx="681">
                  <v>2020</v>
                </pt>
                <pt idx="682">
                  <v>2008</v>
                </pt>
                <pt idx="683">
                  <v>#N/A</v>
                </pt>
                <pt idx="684">
                  <v>2022</v>
                </pt>
                <pt idx="685">
                  <v>2023</v>
                </pt>
                <pt idx="686">
                  <v>2019</v>
                </pt>
                <pt idx="687">
                  <v>#N/A</v>
                </pt>
                <pt idx="688">
                  <v>2024</v>
                </pt>
                <pt idx="689">
                  <v>#N/A</v>
                </pt>
                <pt idx="690">
                  <v>2017</v>
                </pt>
                <pt idx="691">
                  <v>2023</v>
                </pt>
                <pt idx="692">
                  <v>2025</v>
                </pt>
                <pt idx="693">
                  <v>#N/A</v>
                </pt>
                <pt idx="694">
                  <v>#N/A</v>
                </pt>
                <pt idx="695">
                  <v>2025</v>
                </pt>
                <pt idx="696">
                  <v>#N/A</v>
                </pt>
                <pt idx="697">
                  <v>#N/A</v>
                </pt>
                <pt idx="698">
                  <v>2017</v>
                </pt>
                <pt idx="699">
                  <v>#N/A</v>
                </pt>
                <pt idx="700">
                  <v>2019</v>
                </pt>
                <pt idx="701">
                  <v>2024</v>
                </pt>
                <pt idx="702">
                  <v>2017</v>
                </pt>
                <pt idx="703">
                  <v>#N/A</v>
                </pt>
                <pt idx="704">
                  <v>#N/A</v>
                </pt>
                <pt idx="705">
                  <v>#N/A</v>
                </pt>
                <pt idx="706">
                  <v>#N/A</v>
                </pt>
                <pt idx="707">
                  <v>2013</v>
                </pt>
                <pt idx="708">
                  <v>#N/A</v>
                </pt>
                <pt idx="709">
                  <v>2025</v>
                </pt>
                <pt idx="710">
                  <v>2023</v>
                </pt>
                <pt idx="711">
                  <v>2016</v>
                </pt>
                <pt idx="712">
                  <v>#N/A</v>
                </pt>
                <pt idx="713">
                  <v>2021</v>
                </pt>
                <pt idx="714">
                  <v>2025</v>
                </pt>
                <pt idx="715">
                  <v>#N/A</v>
                </pt>
                <pt idx="716">
                  <v>2022</v>
                </pt>
                <pt idx="717">
                  <v>2025</v>
                </pt>
                <pt idx="718">
                  <v>2021</v>
                </pt>
                <pt idx="719">
                  <v>2018</v>
                </pt>
                <pt idx="720">
                  <v>#N/A</v>
                </pt>
                <pt idx="721">
                  <v>#N/A</v>
                </pt>
                <pt idx="722">
                  <v>2023</v>
                </pt>
                <pt idx="723">
                  <v>#N/A</v>
                </pt>
                <pt idx="724">
                  <v>#N/A</v>
                </pt>
                <pt idx="725">
                  <v>#N/A</v>
                </pt>
                <pt idx="726">
                  <v>#N/A</v>
                </pt>
                <pt idx="727">
                  <v>#N/A</v>
                </pt>
                <pt idx="728">
                  <v>2023</v>
                </pt>
                <pt idx="729">
                  <v>#N/A</v>
                </pt>
                <pt idx="730">
                  <v>2026</v>
                </pt>
                <pt idx="731">
                  <v>2024</v>
                </pt>
                <pt idx="732">
                  <v>2024</v>
                </pt>
                <pt idx="733">
                  <v>#N/A</v>
                </pt>
                <pt idx="734">
                  <v>2026</v>
                </pt>
                <pt idx="735">
                  <v>2024</v>
                </pt>
                <pt idx="736">
                  <v>#N/A</v>
                </pt>
                <pt idx="737">
                  <v>2011</v>
                </pt>
                <pt idx="738">
                  <v>2014</v>
                </pt>
                <pt idx="739">
                  <v>#N/A</v>
                </pt>
                <pt idx="740">
                  <v>#N/A</v>
                </pt>
                <pt idx="741">
                  <v>#N/A</v>
                </pt>
                <pt idx="742">
                  <v>2016</v>
                </pt>
                <pt idx="743">
                  <v>#N/A</v>
                </pt>
                <pt idx="744">
                  <v>#N/A</v>
                </pt>
                <pt idx="745">
                  <v>#N/A</v>
                </pt>
                <pt idx="746">
                  <v>#N/A</v>
                </pt>
                <pt idx="747">
                  <v>2023</v>
                </pt>
                <pt idx="748">
                  <v>#N/A</v>
                </pt>
                <pt idx="749">
                  <v>#N/A</v>
                </pt>
                <pt idx="750">
                  <v>#N/A</v>
                </pt>
                <pt idx="751">
                  <v>#N/A</v>
                </pt>
                <pt idx="752">
                  <v>2024</v>
                </pt>
                <pt idx="753">
                  <v>#N/A</v>
                </pt>
                <pt idx="754">
                  <v>2024</v>
                </pt>
                <pt idx="755">
                  <v>#N/A</v>
                </pt>
                <pt idx="756">
                  <v>2022</v>
                </pt>
                <pt idx="757">
                  <v>2018</v>
                </pt>
                <pt idx="758">
                  <v>#N/A</v>
                </pt>
                <pt idx="759">
                  <v>#N/A</v>
                </pt>
                <pt idx="760">
                  <v>#N/A</v>
                </pt>
                <pt idx="761">
                  <v>2023</v>
                </pt>
                <pt idx="762">
                  <v>2023</v>
                </pt>
                <pt idx="763">
                  <v>#N/A</v>
                </pt>
                <pt idx="764">
                  <v>2022</v>
                </pt>
                <pt idx="765">
                  <v>#N/A</v>
                </pt>
                <pt idx="766">
                  <v>1991</v>
                </pt>
                <pt idx="767">
                  <v>2019</v>
                </pt>
                <pt idx="768">
                  <v>2022</v>
                </pt>
                <pt idx="769">
                  <v>#N/A</v>
                </pt>
                <pt idx="770">
                  <v>#N/A</v>
                </pt>
                <pt idx="771">
                  <v>#N/A</v>
                </pt>
                <pt idx="772">
                  <v>#N/A</v>
                </pt>
                <pt idx="773">
                  <v>#N/A</v>
                </pt>
                <pt idx="774">
                  <v>#N/A</v>
                </pt>
                <pt idx="775">
                  <v>#N/A</v>
                </pt>
                <pt idx="776">
                  <v>#N/A</v>
                </pt>
                <pt idx="777">
                  <v>#N/A</v>
                </pt>
                <pt idx="778">
                  <v>#N/A</v>
                </pt>
                <pt idx="779">
                  <v>2017</v>
                </pt>
                <pt idx="780">
                  <v>2014</v>
                </pt>
                <pt idx="781">
                  <v>#N/A</v>
                </pt>
                <pt idx="782">
                  <v>#N/A</v>
                </pt>
                <pt idx="783">
                  <v>#N/A</v>
                </pt>
                <pt idx="784">
                  <v>2017</v>
                </pt>
                <pt idx="785">
                  <v>#N/A</v>
                </pt>
                <pt idx="786">
                  <v>2025</v>
                </pt>
                <pt idx="787">
                  <v>#N/A</v>
                </pt>
                <pt idx="788">
                  <v>#N/A</v>
                </pt>
                <pt idx="789">
                  <v>#N/A</v>
                </pt>
                <pt idx="790">
                  <v>2024</v>
                </pt>
                <pt idx="791">
                  <v>2019</v>
                </pt>
                <pt idx="792">
                  <v>2025</v>
                </pt>
                <pt idx="793">
                  <v>2017</v>
                </pt>
                <pt idx="794">
                  <v>2022</v>
                </pt>
                <pt idx="795">
                  <v>#N/A</v>
                </pt>
                <pt idx="796">
                  <v>2018</v>
                </pt>
                <pt idx="797">
                  <v>#N/A</v>
                </pt>
                <pt idx="798">
                  <v>2023</v>
                </pt>
                <pt idx="799">
                  <v>2021</v>
                </pt>
                <pt idx="800">
                  <v>#N/A</v>
                </pt>
                <pt idx="801">
                  <v>2024</v>
                </pt>
                <pt idx="802">
                  <v>2026</v>
                </pt>
                <pt idx="803">
                  <v>#N/A</v>
                </pt>
                <pt idx="804">
                  <v>#N/A</v>
                </pt>
                <pt idx="805">
                  <v>#N/A</v>
                </pt>
                <pt idx="806">
                  <v>2019</v>
                </pt>
                <pt idx="807">
                  <v>2022</v>
                </pt>
                <pt idx="808">
                  <v>#N/A</v>
                </pt>
                <pt idx="809">
                  <v>2023</v>
                </pt>
                <pt idx="810">
                  <v>2024</v>
                </pt>
                <pt idx="811">
                  <v>2024</v>
                </pt>
                <pt idx="812">
                  <v>#N/A</v>
                </pt>
                <pt idx="813">
                  <v>#N/A</v>
                </pt>
                <pt idx="814">
                  <v>#N/A</v>
                </pt>
                <pt idx="815">
                  <v>2026</v>
                </pt>
                <pt idx="816">
                  <v>#N/A</v>
                </pt>
                <pt idx="817">
                  <v>2025</v>
                </pt>
                <pt idx="818">
                  <v>#N/A</v>
                </pt>
                <pt idx="819">
                  <v>#N/A</v>
                </pt>
                <pt idx="820">
                  <v>#N/A</v>
                </pt>
                <pt idx="821">
                  <v>2017</v>
                </pt>
                <pt idx="822">
                  <v>#N/A</v>
                </pt>
                <pt idx="823">
                  <v>2020</v>
                </pt>
                <pt idx="824">
                  <v>2025</v>
                </pt>
                <pt idx="825">
                  <v>2025</v>
                </pt>
                <pt idx="826">
                  <v>2024</v>
                </pt>
                <pt idx="827">
                  <v>#N/A</v>
                </pt>
                <pt idx="828">
                  <v>#N/A</v>
                </pt>
                <pt idx="829">
                  <v>2024</v>
                </pt>
                <pt idx="830">
                  <v>#N/A</v>
                </pt>
                <pt idx="831">
                  <v>#N/A</v>
                </pt>
                <pt idx="832">
                  <v>2024</v>
                </pt>
                <pt idx="833">
                  <v>#N/A</v>
                </pt>
                <pt idx="834">
                  <v>2018</v>
                </pt>
                <pt idx="835">
                  <v>2024</v>
                </pt>
                <pt idx="836">
                  <v>#N/A</v>
                </pt>
                <pt idx="837">
                  <v>#N/A</v>
                </pt>
                <pt idx="838">
                  <v>#N/A</v>
                </pt>
                <pt idx="839">
                  <v>#N/A</v>
                </pt>
                <pt idx="840">
                  <v>#N/A</v>
                </pt>
                <pt idx="841">
                  <v>2025</v>
                </pt>
                <pt idx="842">
                  <v>2023</v>
                </pt>
                <pt idx="843">
                  <v>#N/A</v>
                </pt>
                <pt idx="844">
                  <v>#N/A</v>
                </pt>
                <pt idx="845">
                  <v>#N/A</v>
                </pt>
                <pt idx="846">
                  <v>#N/A</v>
                </pt>
                <pt idx="847">
                  <v>#N/A</v>
                </pt>
                <pt idx="848">
                  <v>2014</v>
                </pt>
                <pt idx="849">
                  <v>2020</v>
                </pt>
                <pt idx="850">
                  <v>#N/A</v>
                </pt>
                <pt idx="851">
                  <v>#N/A</v>
                </pt>
                <pt idx="852">
                  <v>#N/A</v>
                </pt>
                <pt idx="853">
                  <v>#N/A</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numCache>
            </numRef>
          </xVal>
          <yVal>
            <numRef>
              <f>'Map Calc'!$H$1:$H$950</f>
              <numCache>
                <formatCode>General</formatCode>
                <ptCount val="950"/>
                <pt idx="0">
                  <v>0</v>
                </pt>
                <pt idx="1">
                  <v>1.046</v>
                </pt>
                <pt idx="2">
                  <v>#N/A</v>
                </pt>
                <pt idx="3">
                  <v>#N/A</v>
                </pt>
                <pt idx="4">
                  <v>1.115</v>
                </pt>
                <pt idx="5">
                  <v>1.138</v>
                </pt>
                <pt idx="6">
                  <v>1.161</v>
                </pt>
                <pt idx="7">
                  <v>1.184</v>
                </pt>
                <pt idx="8">
                  <v>#N/A</v>
                </pt>
                <pt idx="9">
                  <v>#N/A</v>
                </pt>
                <pt idx="10">
                  <v>#N/A</v>
                </pt>
                <pt idx="11">
                  <v>1.276</v>
                </pt>
                <pt idx="12">
                  <v>#N/A</v>
                </pt>
                <pt idx="13">
                  <v>1.322</v>
                </pt>
                <pt idx="14">
                  <v>#N/A</v>
                </pt>
                <pt idx="15">
                  <v>1.368</v>
                </pt>
                <pt idx="16">
                  <v>1.391</v>
                </pt>
                <pt idx="17">
                  <v>#N/A</v>
                </pt>
                <pt idx="18">
                  <v>#N/A</v>
                </pt>
                <pt idx="19">
                  <v>#N/A</v>
                </pt>
                <pt idx="20">
                  <v>1.483</v>
                </pt>
                <pt idx="21">
                  <v>#N/A</v>
                </pt>
                <pt idx="22">
                  <v>1.529</v>
                </pt>
                <pt idx="23">
                  <v>#N/A</v>
                </pt>
                <pt idx="24">
                  <v>#N/A</v>
                </pt>
                <pt idx="25">
                  <v>#N/A</v>
                </pt>
                <pt idx="26">
                  <v>#N/A</v>
                </pt>
                <pt idx="27">
                  <v>#N/A</v>
                </pt>
                <pt idx="28">
                  <v>#N/A</v>
                </pt>
                <pt idx="29">
                  <v>#N/A</v>
                </pt>
                <pt idx="30">
                  <v>1.713</v>
                </pt>
                <pt idx="31">
                  <v>#N/A</v>
                </pt>
                <pt idx="32">
                  <v>#N/A</v>
                </pt>
                <pt idx="33">
                  <v>1</v>
                </pt>
                <pt idx="34">
                  <v>1.023</v>
                </pt>
                <pt idx="35">
                  <v>1.046</v>
                </pt>
                <pt idx="36">
                  <v>#N/A</v>
                </pt>
                <pt idx="37">
                  <v>#N/A</v>
                </pt>
                <pt idx="38">
                  <v>1.115</v>
                </pt>
                <pt idx="39">
                  <v>1.138</v>
                </pt>
                <pt idx="40">
                  <v>1.161</v>
                </pt>
                <pt idx="41">
                  <v>#N/A</v>
                </pt>
                <pt idx="42">
                  <v>1.207</v>
                </pt>
                <pt idx="43">
                  <v>#N/A</v>
                </pt>
                <pt idx="44">
                  <v>#N/A</v>
                </pt>
                <pt idx="45">
                  <v>1.276</v>
                </pt>
                <pt idx="46">
                  <v>1.299</v>
                </pt>
                <pt idx="47">
                  <v>#N/A</v>
                </pt>
                <pt idx="48">
                  <v>#N/A</v>
                </pt>
                <pt idx="49">
                  <v>#N/A</v>
                </pt>
                <pt idx="50">
                  <v>#N/A</v>
                </pt>
                <pt idx="51">
                  <v>#N/A</v>
                </pt>
                <pt idx="52">
                  <v>#N/A</v>
                </pt>
                <pt idx="53">
                  <v>#N/A</v>
                </pt>
                <pt idx="54">
                  <v>#N/A</v>
                </pt>
                <pt idx="55">
                  <v>1.506</v>
                </pt>
                <pt idx="56">
                  <v>#N/A</v>
                </pt>
                <pt idx="57">
                  <v>#N/A</v>
                </pt>
                <pt idx="58">
                  <v>#N/A</v>
                </pt>
                <pt idx="59">
                  <v>1.598</v>
                </pt>
                <pt idx="60">
                  <v>1.621</v>
                </pt>
                <pt idx="61">
                  <v>1.644</v>
                </pt>
                <pt idx="62">
                  <v>#N/A</v>
                </pt>
                <pt idx="63">
                  <v>1.69</v>
                </pt>
                <pt idx="64">
                  <v>#N/A</v>
                </pt>
                <pt idx="65">
                  <v>1.736</v>
                </pt>
                <pt idx="66">
                  <v>1.759</v>
                </pt>
                <pt idx="67">
                  <v>#N/A</v>
                </pt>
                <pt idx="68">
                  <v>#N/A</v>
                </pt>
                <pt idx="69">
                  <v>#N/A</v>
                </pt>
                <pt idx="70">
                  <v>1.069</v>
                </pt>
                <pt idx="71">
                  <v>#N/A</v>
                </pt>
                <pt idx="72">
                  <v>#N/A</v>
                </pt>
                <pt idx="73">
                  <v>1.138</v>
                </pt>
                <pt idx="74">
                  <v>#N/A</v>
                </pt>
                <pt idx="75">
                  <v>1.184</v>
                </pt>
                <pt idx="76">
                  <v>1.207</v>
                </pt>
                <pt idx="77">
                  <v>#N/A</v>
                </pt>
                <pt idx="78">
                  <v>#N/A</v>
                </pt>
                <pt idx="79">
                  <v>1.276</v>
                </pt>
                <pt idx="80">
                  <v>1.299</v>
                </pt>
                <pt idx="81">
                  <v>#N/A</v>
                </pt>
                <pt idx="82">
                  <v>#N/A</v>
                </pt>
                <pt idx="83">
                  <v>1.368</v>
                </pt>
                <pt idx="84">
                  <v>#N/A</v>
                </pt>
                <pt idx="85">
                  <v>1.414</v>
                </pt>
                <pt idx="86">
                  <v>1.437</v>
                </pt>
                <pt idx="87">
                  <v>1.46</v>
                </pt>
                <pt idx="88">
                  <v>#N/A</v>
                </pt>
                <pt idx="89">
                  <v>#N/A</v>
                </pt>
                <pt idx="90">
                  <v>#N/A</v>
                </pt>
                <pt idx="91">
                  <v>1.552</v>
                </pt>
                <pt idx="92">
                  <v>#N/A</v>
                </pt>
                <pt idx="93">
                  <v>#N/A</v>
                </pt>
                <pt idx="94">
                  <v>1.621</v>
                </pt>
                <pt idx="95">
                  <v>#N/A</v>
                </pt>
                <pt idx="96">
                  <v>#N/A</v>
                </pt>
                <pt idx="97">
                  <v>1.69</v>
                </pt>
                <pt idx="98">
                  <v>1.713</v>
                </pt>
                <pt idx="99">
                  <v>#N/A</v>
                </pt>
                <pt idx="100">
                  <v>#N/A</v>
                </pt>
                <pt idx="101">
                  <v>#N/A</v>
                </pt>
                <pt idx="102">
                  <v>#N/A</v>
                </pt>
                <pt idx="103">
                  <v>#N/A</v>
                </pt>
                <pt idx="104">
                  <v>#N/A</v>
                </pt>
                <pt idx="105">
                  <v>#N/A</v>
                </pt>
                <pt idx="106">
                  <v>#N/A</v>
                </pt>
                <pt idx="107">
                  <v>#N/A</v>
                </pt>
                <pt idx="108">
                  <v>1.161</v>
                </pt>
                <pt idx="109">
                  <v>#N/A</v>
                </pt>
                <pt idx="110">
                  <v>#N/A</v>
                </pt>
                <pt idx="111">
                  <v>1.23</v>
                </pt>
                <pt idx="112">
                  <v>#N/A</v>
                </pt>
                <pt idx="113">
                  <v>1.276</v>
                </pt>
                <pt idx="114">
                  <v>#N/A</v>
                </pt>
                <pt idx="115">
                  <v>1.322</v>
                </pt>
                <pt idx="116">
                  <v>#N/A</v>
                </pt>
                <pt idx="117">
                  <v>1.368</v>
                </pt>
                <pt idx="118">
                  <v>1.391</v>
                </pt>
                <pt idx="119">
                  <v>#N/A</v>
                </pt>
                <pt idx="120">
                  <v>#N/A</v>
                </pt>
                <pt idx="121">
                  <v>#N/A</v>
                </pt>
                <pt idx="122">
                  <v>1.483</v>
                </pt>
                <pt idx="123">
                  <v>1.506</v>
                </pt>
                <pt idx="124">
                  <v>#N/A</v>
                </pt>
                <pt idx="125">
                  <v>#N/A</v>
                </pt>
                <pt idx="126">
                  <v>1.575</v>
                </pt>
                <pt idx="127">
                  <v>1.598</v>
                </pt>
                <pt idx="128">
                  <v>#N/A</v>
                </pt>
                <pt idx="129">
                  <v>#N/A</v>
                </pt>
                <pt idx="130">
                  <v>#N/A</v>
                </pt>
                <pt idx="131">
                  <v>#N/A</v>
                </pt>
                <pt idx="132">
                  <v>#N/A</v>
                </pt>
                <pt idx="133">
                  <v>#N/A</v>
                </pt>
                <pt idx="134">
                  <v>#N/A</v>
                </pt>
                <pt idx="135">
                  <v>1</v>
                </pt>
                <pt idx="136">
                  <v>#N/A</v>
                </pt>
                <pt idx="137">
                  <v>1.046</v>
                </pt>
                <pt idx="138">
                  <v>#N/A</v>
                </pt>
                <pt idx="139">
                  <v>#N/A</v>
                </pt>
                <pt idx="140">
                  <v>1.115</v>
                </pt>
                <pt idx="141">
                  <v>1.138</v>
                </pt>
                <pt idx="142">
                  <v>#N/A</v>
                </pt>
                <pt idx="143">
                  <v>1.184</v>
                </pt>
                <pt idx="144">
                  <v>1.207</v>
                </pt>
                <pt idx="145">
                  <v>#N/A</v>
                </pt>
                <pt idx="146">
                  <v>#N/A</v>
                </pt>
                <pt idx="147">
                  <v>#N/A</v>
                </pt>
                <pt idx="148">
                  <v>#N/A</v>
                </pt>
                <pt idx="149">
                  <v>#N/A</v>
                </pt>
                <pt idx="150">
                  <v>#N/A</v>
                </pt>
                <pt idx="151">
                  <v>#N/A</v>
                </pt>
                <pt idx="152">
                  <v>1.391</v>
                </pt>
                <pt idx="153">
                  <v>#N/A</v>
                </pt>
                <pt idx="154">
                  <v>#N/A</v>
                </pt>
                <pt idx="155">
                  <v>#N/A</v>
                </pt>
                <pt idx="156">
                  <v>#N/A</v>
                </pt>
                <pt idx="157">
                  <v>1.506</v>
                </pt>
                <pt idx="158">
                  <v>#N/A</v>
                </pt>
                <pt idx="159">
                  <v>#N/A</v>
                </pt>
                <pt idx="160">
                  <v>#N/A</v>
                </pt>
                <pt idx="161">
                  <v>#N/A</v>
                </pt>
                <pt idx="162">
                  <v>1.621</v>
                </pt>
                <pt idx="163">
                  <v>#N/A</v>
                </pt>
                <pt idx="164">
                  <v>1.667</v>
                </pt>
                <pt idx="165">
                  <v>1.69</v>
                </pt>
                <pt idx="166">
                  <v>1.713</v>
                </pt>
                <pt idx="167">
                  <v>1.736</v>
                </pt>
                <pt idx="168">
                  <v>#N/A</v>
                </pt>
                <pt idx="169">
                  <v>#N/A</v>
                </pt>
                <pt idx="170">
                  <v>1.023</v>
                </pt>
                <pt idx="171">
                  <v>1.046</v>
                </pt>
                <pt idx="172">
                  <v>1.069</v>
                </pt>
                <pt idx="173">
                  <v>#N/A</v>
                </pt>
                <pt idx="174">
                  <v>#N/A</v>
                </pt>
                <pt idx="175">
                  <v>1.138</v>
                </pt>
                <pt idx="176">
                  <v>1.161</v>
                </pt>
                <pt idx="177">
                  <v>1.184</v>
                </pt>
                <pt idx="178">
                  <v>1.207</v>
                </pt>
                <pt idx="179">
                  <v>#N/A</v>
                </pt>
                <pt idx="180">
                  <v>1.253</v>
                </pt>
                <pt idx="181">
                  <v>#N/A</v>
                </pt>
                <pt idx="182">
                  <v>#N/A</v>
                </pt>
                <pt idx="183">
                  <v>#N/A</v>
                </pt>
                <pt idx="184">
                  <v>1.345</v>
                </pt>
                <pt idx="185">
                  <v>1.368</v>
                </pt>
                <pt idx="186">
                  <v>#N/A</v>
                </pt>
                <pt idx="187">
                  <v>#N/A</v>
                </pt>
                <pt idx="188">
                  <v>1.437</v>
                </pt>
                <pt idx="189">
                  <v>#N/A</v>
                </pt>
                <pt idx="190">
                  <v>#N/A</v>
                </pt>
                <pt idx="191">
                  <v>#N/A</v>
                </pt>
                <pt idx="192">
                  <v>#N/A</v>
                </pt>
                <pt idx="193">
                  <v>#N/A</v>
                </pt>
                <pt idx="194">
                  <v>1.575</v>
                </pt>
                <pt idx="195">
                  <v>1.598</v>
                </pt>
                <pt idx="196">
                  <v>1.621</v>
                </pt>
                <pt idx="197">
                  <v>1.644</v>
                </pt>
                <pt idx="198">
                  <v>#N/A</v>
                </pt>
                <pt idx="199">
                  <v>#N/A</v>
                </pt>
                <pt idx="200">
                  <v>#N/A</v>
                </pt>
                <pt idx="201">
                  <v>#N/A</v>
                </pt>
                <pt idx="202">
                  <v>#N/A</v>
                </pt>
                <pt idx="203">
                  <v>#N/A</v>
                </pt>
                <pt idx="204">
                  <v>#N/A</v>
                </pt>
                <pt idx="205">
                  <v>#N/A</v>
                </pt>
                <pt idx="206">
                  <v>#N/A</v>
                </pt>
                <pt idx="207">
                  <v>#N/A</v>
                </pt>
                <pt idx="208">
                  <v>1.115</v>
                </pt>
                <pt idx="209">
                  <v>#N/A</v>
                </pt>
                <pt idx="210">
                  <v>1.161</v>
                </pt>
                <pt idx="211">
                  <v>1.184</v>
                </pt>
                <pt idx="212">
                  <v>#N/A</v>
                </pt>
                <pt idx="213">
                  <v>#N/A</v>
                </pt>
                <pt idx="214">
                  <v>#N/A</v>
                </pt>
                <pt idx="215">
                  <v>#N/A</v>
                </pt>
                <pt idx="216">
                  <v>#N/A</v>
                </pt>
                <pt idx="217">
                  <v>1.322</v>
                </pt>
                <pt idx="218">
                  <v>1.345</v>
                </pt>
                <pt idx="219">
                  <v>1.368</v>
                </pt>
                <pt idx="220">
                  <v>#N/A</v>
                </pt>
                <pt idx="221">
                  <v>#N/A</v>
                </pt>
                <pt idx="222">
                  <v>1.437</v>
                </pt>
                <pt idx="223">
                  <v>1.46</v>
                </pt>
                <pt idx="224">
                  <v>#N/A</v>
                </pt>
                <pt idx="225">
                  <v>#N/A</v>
                </pt>
                <pt idx="226">
                  <v>#N/A</v>
                </pt>
                <pt idx="227">
                  <v>#N/A</v>
                </pt>
                <pt idx="228">
                  <v>#N/A</v>
                </pt>
                <pt idx="229">
                  <v>1.598</v>
                </pt>
                <pt idx="230">
                  <v>#N/A</v>
                </pt>
                <pt idx="231">
                  <v>#N/A</v>
                </pt>
                <pt idx="232">
                  <v>#N/A</v>
                </pt>
                <pt idx="233">
                  <v>#N/A</v>
                </pt>
                <pt idx="234">
                  <v>#N/A</v>
                </pt>
                <pt idx="235">
                  <v>#N/A</v>
                </pt>
                <pt idx="236">
                  <v>#N/A</v>
                </pt>
                <pt idx="237">
                  <v>1</v>
                </pt>
                <pt idx="238">
                  <v>#N/A</v>
                </pt>
                <pt idx="239">
                  <v>#N/A</v>
                </pt>
                <pt idx="240">
                  <v>#N/A</v>
                </pt>
                <pt idx="241">
                  <v>#N/A</v>
                </pt>
                <pt idx="242">
                  <v>1.115</v>
                </pt>
                <pt idx="243">
                  <v>#N/A</v>
                </pt>
                <pt idx="244">
                  <v>1.161</v>
                </pt>
                <pt idx="245">
                  <v>1.184</v>
                </pt>
                <pt idx="246">
                  <v>#N/A</v>
                </pt>
                <pt idx="247">
                  <v>#N/A</v>
                </pt>
                <pt idx="248">
                  <v>1.253</v>
                </pt>
                <pt idx="249">
                  <v>1.276</v>
                </pt>
                <pt idx="250">
                  <v>1.299</v>
                </pt>
                <pt idx="251">
                  <v>1.322</v>
                </pt>
                <pt idx="252">
                  <v>#N/A</v>
                </pt>
                <pt idx="253">
                  <v>#N/A</v>
                </pt>
                <pt idx="254">
                  <v>1.391</v>
                </pt>
                <pt idx="255">
                  <v>#N/A</v>
                </pt>
                <pt idx="256">
                  <v>#N/A</v>
                </pt>
                <pt idx="257">
                  <v>1.46</v>
                </pt>
                <pt idx="258">
                  <v>1.483</v>
                </pt>
                <pt idx="259">
                  <v>#N/A</v>
                </pt>
                <pt idx="260">
                  <v>#N/A</v>
                </pt>
                <pt idx="261">
                  <v>#N/A</v>
                </pt>
                <pt idx="262">
                  <v>#N/A</v>
                </pt>
                <pt idx="263">
                  <v>1.598</v>
                </pt>
                <pt idx="264">
                  <v>1.621</v>
                </pt>
                <pt idx="265">
                  <v>1.644</v>
                </pt>
                <pt idx="266">
                  <v>#N/A</v>
                </pt>
                <pt idx="267">
                  <v>#N/A</v>
                </pt>
                <pt idx="268">
                  <v>#N/A</v>
                </pt>
                <pt idx="269">
                  <v>#N/A</v>
                </pt>
                <pt idx="270">
                  <v>#N/A</v>
                </pt>
                <pt idx="271">
                  <v>#N/A</v>
                </pt>
                <pt idx="272">
                  <v>#N/A</v>
                </pt>
                <pt idx="273">
                  <v>1.046</v>
                </pt>
                <pt idx="274">
                  <v>1.069</v>
                </pt>
                <pt idx="275">
                  <v>#N/A</v>
                </pt>
                <pt idx="276">
                  <v>1.115</v>
                </pt>
                <pt idx="277">
                  <v>#N/A</v>
                </pt>
                <pt idx="278">
                  <v>1.161</v>
                </pt>
                <pt idx="279">
                  <v>#N/A</v>
                </pt>
                <pt idx="280">
                  <v>#N/A</v>
                </pt>
                <pt idx="281">
                  <v>#N/A</v>
                </pt>
                <pt idx="282">
                  <v>1.253</v>
                </pt>
                <pt idx="283">
                  <v>#N/A</v>
                </pt>
                <pt idx="284">
                  <v>1.299</v>
                </pt>
                <pt idx="285">
                  <v>1.322</v>
                </pt>
                <pt idx="286">
                  <v>#N/A</v>
                </pt>
                <pt idx="287">
                  <v>#N/A</v>
                </pt>
                <pt idx="288">
                  <v>1.391</v>
                </pt>
                <pt idx="289">
                  <v>1.414</v>
                </pt>
                <pt idx="290">
                  <v>#N/A</v>
                </pt>
                <pt idx="291">
                  <v>#N/A</v>
                </pt>
                <pt idx="292">
                  <v>1.483</v>
                </pt>
                <pt idx="293">
                  <v>#N/A</v>
                </pt>
                <pt idx="294">
                  <v>1.529</v>
                </pt>
                <pt idx="295">
                  <v>1.552</v>
                </pt>
                <pt idx="296">
                  <v>#N/A</v>
                </pt>
                <pt idx="297">
                  <v>#N/A</v>
                </pt>
                <pt idx="298">
                  <v>#N/A</v>
                </pt>
                <pt idx="299">
                  <v>1.644</v>
                </pt>
                <pt idx="300">
                  <v>1.667</v>
                </pt>
                <pt idx="301">
                  <v>1.69</v>
                </pt>
                <pt idx="302">
                  <v>1.713</v>
                </pt>
                <pt idx="303">
                  <v>1.736</v>
                </pt>
                <pt idx="304">
                  <v>#N/A</v>
                </pt>
                <pt idx="305">
                  <v>#N/A</v>
                </pt>
                <pt idx="306">
                  <v>1.023</v>
                </pt>
                <pt idx="307">
                  <v>#N/A</v>
                </pt>
                <pt idx="308">
                  <v>1.069</v>
                </pt>
                <pt idx="309">
                  <v>1.092</v>
                </pt>
                <pt idx="310">
                  <v>1.115</v>
                </pt>
                <pt idx="311">
                  <v>#N/A</v>
                </pt>
                <pt idx="312">
                  <v>1.161</v>
                </pt>
                <pt idx="313">
                  <v>1.184</v>
                </pt>
                <pt idx="314">
                  <v>1.207</v>
                </pt>
                <pt idx="315">
                  <v>1.23</v>
                </pt>
                <pt idx="316">
                  <v>1.253</v>
                </pt>
                <pt idx="317">
                  <v>#N/A</v>
                </pt>
                <pt idx="318">
                  <v>1.299</v>
                </pt>
                <pt idx="319">
                  <v>1.322</v>
                </pt>
                <pt idx="320">
                  <v>#N/A</v>
                </pt>
                <pt idx="321">
                  <v>1.368</v>
                </pt>
                <pt idx="322">
                  <v>1.391</v>
                </pt>
                <pt idx="323">
                  <v>#N/A</v>
                </pt>
                <pt idx="324">
                  <v>#N/A</v>
                </pt>
                <pt idx="325">
                  <v>1.46</v>
                </pt>
                <pt idx="326">
                  <v>1.483</v>
                </pt>
                <pt idx="327">
                  <v>1.506</v>
                </pt>
                <pt idx="328">
                  <v>#N/A</v>
                </pt>
                <pt idx="329">
                  <v>#N/A</v>
                </pt>
                <pt idx="330">
                  <v>#N/A</v>
                </pt>
                <pt idx="331">
                  <v>1.598</v>
                </pt>
                <pt idx="332">
                  <v>1.621</v>
                </pt>
                <pt idx="333">
                  <v>1.644</v>
                </pt>
                <pt idx="334">
                  <v>#N/A</v>
                </pt>
                <pt idx="335">
                  <v>#N/A</v>
                </pt>
                <pt idx="336">
                  <v>1.713</v>
                </pt>
                <pt idx="337">
                  <v>1.736</v>
                </pt>
                <pt idx="338">
                  <v>#N/A</v>
                </pt>
                <pt idx="339">
                  <v>1</v>
                </pt>
                <pt idx="340">
                  <v>1.023</v>
                </pt>
                <pt idx="341">
                  <v>1.046</v>
                </pt>
                <pt idx="342">
                  <v>#N/A</v>
                </pt>
                <pt idx="343">
                  <v>1.092</v>
                </pt>
                <pt idx="344">
                  <v>1.115</v>
                </pt>
                <pt idx="345">
                  <v>1.138</v>
                </pt>
                <pt idx="346">
                  <v>1.161</v>
                </pt>
                <pt idx="347">
                  <v>1.184</v>
                </pt>
                <pt idx="348">
                  <v>1.207</v>
                </pt>
                <pt idx="349">
                  <v>#N/A</v>
                </pt>
                <pt idx="350">
                  <v>1.253</v>
                </pt>
                <pt idx="351">
                  <v>1.276</v>
                </pt>
                <pt idx="352">
                  <v>1.299</v>
                </pt>
                <pt idx="353">
                  <v>1.322</v>
                </pt>
                <pt idx="354">
                  <v>#N/A</v>
                </pt>
                <pt idx="355">
                  <v>#N/A</v>
                </pt>
                <pt idx="356">
                  <v>1.391</v>
                </pt>
                <pt idx="357">
                  <v>#N/A</v>
                </pt>
                <pt idx="358">
                  <v>#N/A</v>
                </pt>
                <pt idx="359">
                  <v>#N/A</v>
                </pt>
                <pt idx="360">
                  <v>1.483</v>
                </pt>
                <pt idx="361">
                  <v>#N/A</v>
                </pt>
                <pt idx="362">
                  <v>1.529</v>
                </pt>
                <pt idx="363">
                  <v>#N/A</v>
                </pt>
                <pt idx="364">
                  <v>1.575</v>
                </pt>
                <pt idx="365">
                  <v>#N/A</v>
                </pt>
                <pt idx="366">
                  <v>1.621</v>
                </pt>
                <pt idx="367">
                  <v>1.644</v>
                </pt>
                <pt idx="368">
                  <v>1.667</v>
                </pt>
                <pt idx="369">
                  <v>#N/A</v>
                </pt>
                <pt idx="370">
                  <v>#N/A</v>
                </pt>
                <pt idx="371">
                  <v>#N/A</v>
                </pt>
                <pt idx="372">
                  <v>#N/A</v>
                </pt>
                <pt idx="373">
                  <v>#N/A</v>
                </pt>
                <pt idx="374">
                  <v>#N/A</v>
                </pt>
                <pt idx="375">
                  <v>#N/A</v>
                </pt>
                <pt idx="376">
                  <v>#N/A</v>
                </pt>
                <pt idx="377">
                  <v>#N/A</v>
                </pt>
                <pt idx="378">
                  <v>#N/A</v>
                </pt>
                <pt idx="379">
                  <v>#N/A</v>
                </pt>
                <pt idx="380">
                  <v>#N/A</v>
                </pt>
                <pt idx="381">
                  <v>#N/A</v>
                </pt>
                <pt idx="382">
                  <v>1.207</v>
                </pt>
                <pt idx="383">
                  <v>1.23</v>
                </pt>
                <pt idx="384">
                  <v>#N/A</v>
                </pt>
                <pt idx="385">
                  <v>1.276</v>
                </pt>
                <pt idx="386">
                  <v>#N/A</v>
                </pt>
                <pt idx="387">
                  <v>1.322</v>
                </pt>
                <pt idx="388">
                  <v>#N/A</v>
                </pt>
                <pt idx="389">
                  <v>1.368</v>
                </pt>
                <pt idx="390">
                  <v>#N/A</v>
                </pt>
                <pt idx="391">
                  <v>1.414</v>
                </pt>
                <pt idx="392">
                  <v>#N/A</v>
                </pt>
                <pt idx="393">
                  <v>1.46</v>
                </pt>
                <pt idx="394">
                  <v>#N/A</v>
                </pt>
                <pt idx="395">
                  <v>#N/A</v>
                </pt>
                <pt idx="396">
                  <v>#N/A</v>
                </pt>
                <pt idx="397">
                  <v>#N/A</v>
                </pt>
                <pt idx="398">
                  <v>1.575</v>
                </pt>
                <pt idx="399">
                  <v>#N/A</v>
                </pt>
                <pt idx="400">
                  <v>#N/A</v>
                </pt>
                <pt idx="401">
                  <v>#N/A</v>
                </pt>
                <pt idx="402">
                  <v>1.667</v>
                </pt>
                <pt idx="403">
                  <v>#N/A</v>
                </pt>
                <pt idx="404">
                  <v>#N/A</v>
                </pt>
                <pt idx="405">
                  <v>#N/A</v>
                </pt>
                <pt idx="406">
                  <v>1.759</v>
                </pt>
                <pt idx="407">
                  <v>#N/A</v>
                </pt>
                <pt idx="408">
                  <v>#N/A</v>
                </pt>
                <pt idx="409">
                  <v>#N/A</v>
                </pt>
                <pt idx="410">
                  <v>#N/A</v>
                </pt>
                <pt idx="411">
                  <v>#N/A</v>
                </pt>
                <pt idx="412">
                  <v>1.115</v>
                </pt>
                <pt idx="413">
                  <v>#N/A</v>
                </pt>
                <pt idx="414">
                  <v>#N/A</v>
                </pt>
                <pt idx="415">
                  <v>#N/A</v>
                </pt>
                <pt idx="416">
                  <v>1.207</v>
                </pt>
                <pt idx="417">
                  <v>#N/A</v>
                </pt>
                <pt idx="418">
                  <v>#N/A</v>
                </pt>
                <pt idx="419">
                  <v>#N/A</v>
                </pt>
                <pt idx="420">
                  <v>#N/A</v>
                </pt>
                <pt idx="421">
                  <v>1.322</v>
                </pt>
                <pt idx="422">
                  <v>#N/A</v>
                </pt>
                <pt idx="423">
                  <v>1.368</v>
                </pt>
                <pt idx="424">
                  <v>1.391</v>
                </pt>
                <pt idx="425">
                  <v>1.414</v>
                </pt>
                <pt idx="426">
                  <v>1.437</v>
                </pt>
                <pt idx="427">
                  <v>#N/A</v>
                </pt>
                <pt idx="428">
                  <v>1.483</v>
                </pt>
                <pt idx="429">
                  <v>1.506</v>
                </pt>
                <pt idx="430">
                  <v>#N/A</v>
                </pt>
                <pt idx="431">
                  <v>1.552</v>
                </pt>
                <pt idx="432">
                  <v>#N/A</v>
                </pt>
                <pt idx="433">
                  <v>1.598</v>
                </pt>
                <pt idx="434">
                  <v>#N/A</v>
                </pt>
                <pt idx="435">
                  <v>#N/A</v>
                </pt>
                <pt idx="436">
                  <v>#N/A</v>
                </pt>
                <pt idx="437">
                  <v>#N/A</v>
                </pt>
                <pt idx="438">
                  <v>#N/A</v>
                </pt>
                <pt idx="439">
                  <v>1.736</v>
                </pt>
                <pt idx="440">
                  <v>1.759</v>
                </pt>
                <pt idx="441">
                  <v>#N/A</v>
                </pt>
                <pt idx="442">
                  <v>1.023</v>
                </pt>
                <pt idx="443">
                  <v>#N/A</v>
                </pt>
                <pt idx="444">
                  <v>#N/A</v>
                </pt>
                <pt idx="445">
                  <v>#N/A</v>
                </pt>
                <pt idx="446">
                  <v>#N/A</v>
                </pt>
                <pt idx="447">
                  <v>1.138</v>
                </pt>
                <pt idx="448">
                  <v>1.161</v>
                </pt>
                <pt idx="449">
                  <v>#N/A</v>
                </pt>
                <pt idx="450">
                  <v>#N/A</v>
                </pt>
                <pt idx="451">
                  <v>#N/A</v>
                </pt>
                <pt idx="452">
                  <v>#N/A</v>
                </pt>
                <pt idx="453">
                  <v>#N/A</v>
                </pt>
                <pt idx="454">
                  <v>#N/A</v>
                </pt>
                <pt idx="455">
                  <v>#N/A</v>
                </pt>
                <pt idx="456">
                  <v>#N/A</v>
                </pt>
                <pt idx="457">
                  <v>1.368</v>
                </pt>
                <pt idx="458">
                  <v>1.391</v>
                </pt>
                <pt idx="459">
                  <v>#N/A</v>
                </pt>
                <pt idx="460">
                  <v>1.437</v>
                </pt>
                <pt idx="461">
                  <v>1.46</v>
                </pt>
                <pt idx="462">
                  <v>1.483</v>
                </pt>
                <pt idx="463">
                  <v>1.506</v>
                </pt>
                <pt idx="464">
                  <v>#N/A</v>
                </pt>
                <pt idx="465">
                  <v>1.552</v>
                </pt>
                <pt idx="466">
                  <v>#N/A</v>
                </pt>
                <pt idx="467">
                  <v>#N/A</v>
                </pt>
                <pt idx="468">
                  <v>1.621</v>
                </pt>
                <pt idx="469">
                  <v>1.644</v>
                </pt>
                <pt idx="470">
                  <v>1.667</v>
                </pt>
                <pt idx="471">
                  <v>1.69</v>
                </pt>
                <pt idx="472">
                  <v>#N/A</v>
                </pt>
                <pt idx="473">
                  <v>1.736</v>
                </pt>
                <pt idx="474">
                  <v>1.759</v>
                </pt>
                <pt idx="475">
                  <v>#N/A</v>
                </pt>
                <pt idx="476">
                  <v>#N/A</v>
                </pt>
                <pt idx="477">
                  <v>#N/A</v>
                </pt>
                <pt idx="478">
                  <v>1.069</v>
                </pt>
                <pt idx="479">
                  <v>#N/A</v>
                </pt>
                <pt idx="480">
                  <v>1.115</v>
                </pt>
                <pt idx="481">
                  <v>#N/A</v>
                </pt>
                <pt idx="482">
                  <v>1.161</v>
                </pt>
                <pt idx="483">
                  <v>1.184</v>
                </pt>
                <pt idx="484">
                  <v>1.207</v>
                </pt>
                <pt idx="485">
                  <v>1.23</v>
                </pt>
                <pt idx="486">
                  <v>1.253</v>
                </pt>
                <pt idx="487">
                  <v>#N/A</v>
                </pt>
                <pt idx="488">
                  <v>1.299</v>
                </pt>
                <pt idx="489">
                  <v>1.322</v>
                </pt>
                <pt idx="490">
                  <v>1.345</v>
                </pt>
                <pt idx="491">
                  <v>1.368</v>
                </pt>
                <pt idx="492">
                  <v>#N/A</v>
                </pt>
                <pt idx="493">
                  <v>#N/A</v>
                </pt>
                <pt idx="494">
                  <v>1.437</v>
                </pt>
                <pt idx="495">
                  <v>1.46</v>
                </pt>
                <pt idx="496">
                  <v>1.483</v>
                </pt>
                <pt idx="497">
                  <v>1.506</v>
                </pt>
                <pt idx="498">
                  <v>#N/A</v>
                </pt>
                <pt idx="499">
                  <v>1.552</v>
                </pt>
                <pt idx="500">
                  <v>#N/A</v>
                </pt>
                <pt idx="501">
                  <v>1.598</v>
                </pt>
                <pt idx="502">
                  <v>#N/A</v>
                </pt>
                <pt idx="503">
                  <v>#N/A</v>
                </pt>
                <pt idx="504">
                  <v>1.667</v>
                </pt>
                <pt idx="505">
                  <v>1.69</v>
                </pt>
                <pt idx="506">
                  <v>#N/A</v>
                </pt>
                <pt idx="507">
                  <v>1.736</v>
                </pt>
                <pt idx="508">
                  <v>#N/A</v>
                </pt>
                <pt idx="509">
                  <v>1</v>
                </pt>
                <pt idx="510">
                  <v>1.023</v>
                </pt>
                <pt idx="511">
                  <v>1.046</v>
                </pt>
                <pt idx="512">
                  <v>1.069</v>
                </pt>
                <pt idx="513">
                  <v>#N/A</v>
                </pt>
                <pt idx="514">
                  <v>#N/A</v>
                </pt>
                <pt idx="515">
                  <v>#N/A</v>
                </pt>
                <pt idx="516">
                  <v>#N/A</v>
                </pt>
                <pt idx="517">
                  <v>#N/A</v>
                </pt>
                <pt idx="518">
                  <v>1.207</v>
                </pt>
                <pt idx="519">
                  <v>#N/A</v>
                </pt>
                <pt idx="520">
                  <v>#N/A</v>
                </pt>
                <pt idx="521">
                  <v>1.276</v>
                </pt>
                <pt idx="522">
                  <v>1.299</v>
                </pt>
                <pt idx="523">
                  <v>#N/A</v>
                </pt>
                <pt idx="524">
                  <v>#N/A</v>
                </pt>
                <pt idx="525">
                  <v>#N/A</v>
                </pt>
                <pt idx="526">
                  <v>#N/A</v>
                </pt>
                <pt idx="527">
                  <v>1.414</v>
                </pt>
                <pt idx="528">
                  <v>#N/A</v>
                </pt>
                <pt idx="529">
                  <v>1.46</v>
                </pt>
                <pt idx="530">
                  <v>#N/A</v>
                </pt>
                <pt idx="531">
                  <v>1.506</v>
                </pt>
                <pt idx="532">
                  <v>#N/A</v>
                </pt>
                <pt idx="533">
                  <v>#N/A</v>
                </pt>
                <pt idx="534">
                  <v>#N/A</v>
                </pt>
                <pt idx="535">
                  <v>#N/A</v>
                </pt>
                <pt idx="536">
                  <v>1.621</v>
                </pt>
                <pt idx="537">
                  <v>1.644</v>
                </pt>
                <pt idx="538">
                  <v>#N/A</v>
                </pt>
                <pt idx="539">
                  <v>#N/A</v>
                </pt>
                <pt idx="540">
                  <v>#N/A</v>
                </pt>
                <pt idx="541">
                  <v>#N/A</v>
                </pt>
                <pt idx="542">
                  <v>#N/A</v>
                </pt>
                <pt idx="543">
                  <v>#N/A</v>
                </pt>
                <pt idx="544">
                  <v>#N/A</v>
                </pt>
                <pt idx="545">
                  <v>1.046</v>
                </pt>
                <pt idx="546">
                  <v>#N/A</v>
                </pt>
                <pt idx="547">
                  <v>#N/A</v>
                </pt>
                <pt idx="548">
                  <v>#N/A</v>
                </pt>
                <pt idx="549">
                  <v>#N/A</v>
                </pt>
                <pt idx="550">
                  <v>#N/A</v>
                </pt>
                <pt idx="551">
                  <v>#N/A</v>
                </pt>
                <pt idx="552">
                  <v>#N/A</v>
                </pt>
                <pt idx="553">
                  <v>#N/A</v>
                </pt>
                <pt idx="554">
                  <v>#N/A</v>
                </pt>
                <pt idx="555">
                  <v>#N/A</v>
                </pt>
                <pt idx="556">
                  <v>#N/A</v>
                </pt>
                <pt idx="557">
                  <v>#N/A</v>
                </pt>
                <pt idx="558">
                  <v>#N/A</v>
                </pt>
                <pt idx="559">
                  <v>1.368</v>
                </pt>
                <pt idx="560">
                  <v>#N/A</v>
                </pt>
                <pt idx="561">
                  <v>1.414</v>
                </pt>
                <pt idx="562">
                  <v>#N/A</v>
                </pt>
                <pt idx="563">
                  <v>#N/A</v>
                </pt>
                <pt idx="564">
                  <v>1.483</v>
                </pt>
                <pt idx="565">
                  <v>#N/A</v>
                </pt>
                <pt idx="566">
                  <v>#N/A</v>
                </pt>
                <pt idx="567">
                  <v>#N/A</v>
                </pt>
                <pt idx="568">
                  <v>1.575</v>
                </pt>
                <pt idx="569">
                  <v>1.598</v>
                </pt>
                <pt idx="570">
                  <v>#N/A</v>
                </pt>
                <pt idx="571">
                  <v>1.644</v>
                </pt>
                <pt idx="572">
                  <v>1.667</v>
                </pt>
                <pt idx="573">
                  <v>1.69</v>
                </pt>
                <pt idx="574">
                  <v>1.713</v>
                </pt>
                <pt idx="575">
                  <v>1.736</v>
                </pt>
                <pt idx="576">
                  <v>#N/A</v>
                </pt>
                <pt idx="577">
                  <v>1</v>
                </pt>
                <pt idx="578">
                  <v>#N/A</v>
                </pt>
                <pt idx="579">
                  <v>1.046</v>
                </pt>
                <pt idx="580">
                  <v>1.069</v>
                </pt>
                <pt idx="581">
                  <v>1.092</v>
                </pt>
                <pt idx="582">
                  <v>1.115</v>
                </pt>
                <pt idx="583">
                  <v>#N/A</v>
                </pt>
                <pt idx="584">
                  <v>#N/A</v>
                </pt>
                <pt idx="585">
                  <v>#N/A</v>
                </pt>
                <pt idx="586">
                  <v>#N/A</v>
                </pt>
                <pt idx="587">
                  <v>#N/A</v>
                </pt>
                <pt idx="588">
                  <v>#N/A</v>
                </pt>
                <pt idx="589">
                  <v>1.276</v>
                </pt>
                <pt idx="590">
                  <v>1.299</v>
                </pt>
                <pt idx="591">
                  <v>1.322</v>
                </pt>
                <pt idx="592">
                  <v>1.345</v>
                </pt>
                <pt idx="593">
                  <v>#N/A</v>
                </pt>
                <pt idx="594">
                  <v>1.391</v>
                </pt>
                <pt idx="595">
                  <v>1.414</v>
                </pt>
                <pt idx="596">
                  <v>#N/A</v>
                </pt>
                <pt idx="597">
                  <v>#N/A</v>
                </pt>
                <pt idx="598">
                  <v>#N/A</v>
                </pt>
                <pt idx="599">
                  <v>1.506</v>
                </pt>
                <pt idx="600">
                  <v>1.529</v>
                </pt>
                <pt idx="601">
                  <v>#N/A</v>
                </pt>
                <pt idx="602">
                  <v>1.575</v>
                </pt>
                <pt idx="603">
                  <v>1.598</v>
                </pt>
                <pt idx="604">
                  <v>1.621</v>
                </pt>
                <pt idx="605">
                  <v>#N/A</v>
                </pt>
                <pt idx="606">
                  <v>#N/A</v>
                </pt>
                <pt idx="607">
                  <v>#N/A</v>
                </pt>
                <pt idx="608">
                  <v>#N/A</v>
                </pt>
                <pt idx="609">
                  <v>1.736</v>
                </pt>
                <pt idx="610">
                  <v>#N/A</v>
                </pt>
                <pt idx="611">
                  <v>#N/A</v>
                </pt>
                <pt idx="612">
                  <v>#N/A</v>
                </pt>
                <pt idx="613">
                  <v>#N/A</v>
                </pt>
                <pt idx="614">
                  <v>#N/A</v>
                </pt>
                <pt idx="615">
                  <v>#N/A</v>
                </pt>
                <pt idx="616">
                  <v>#N/A</v>
                </pt>
                <pt idx="617">
                  <v>#N/A</v>
                </pt>
                <pt idx="618">
                  <v>#N/A</v>
                </pt>
                <pt idx="619">
                  <v>1.184</v>
                </pt>
                <pt idx="620">
                  <v>#N/A</v>
                </pt>
                <pt idx="621">
                  <v>#N/A</v>
                </pt>
                <pt idx="622">
                  <v>#N/A</v>
                </pt>
                <pt idx="623">
                  <v>#N/A</v>
                </pt>
                <pt idx="624">
                  <v>#N/A</v>
                </pt>
                <pt idx="625">
                  <v>1.322</v>
                </pt>
                <pt idx="626">
                  <v>1.345</v>
                </pt>
                <pt idx="627">
                  <v>1.368</v>
                </pt>
                <pt idx="628">
                  <v>1.391</v>
                </pt>
                <pt idx="629">
                  <v>1.414</v>
                </pt>
                <pt idx="630">
                  <v>1.437</v>
                </pt>
                <pt idx="631">
                  <v>#N/A</v>
                </pt>
                <pt idx="632">
                  <v>1.483</v>
                </pt>
                <pt idx="633">
                  <v>1.506</v>
                </pt>
                <pt idx="634">
                  <v>1.529</v>
                </pt>
                <pt idx="635">
                  <v>#N/A</v>
                </pt>
                <pt idx="636">
                  <v>#N/A</v>
                </pt>
                <pt idx="637">
                  <v>1.598</v>
                </pt>
                <pt idx="638">
                  <v>1.621</v>
                </pt>
                <pt idx="639">
                  <v>#N/A</v>
                </pt>
                <pt idx="640">
                  <v>1.667</v>
                </pt>
                <pt idx="641">
                  <v>#N/A</v>
                </pt>
                <pt idx="642">
                  <v>#N/A</v>
                </pt>
                <pt idx="643">
                  <v>#N/A</v>
                </pt>
                <pt idx="644">
                  <v>#N/A</v>
                </pt>
                <pt idx="645">
                  <v>#N/A</v>
                </pt>
                <pt idx="646">
                  <v>#N/A</v>
                </pt>
                <pt idx="647">
                  <v>#N/A</v>
                </pt>
                <pt idx="648">
                  <v>#N/A</v>
                </pt>
                <pt idx="649">
                  <v>#N/A</v>
                </pt>
                <pt idx="650">
                  <v>1.115</v>
                </pt>
                <pt idx="651">
                  <v>#N/A</v>
                </pt>
                <pt idx="652">
                  <v>1.161</v>
                </pt>
                <pt idx="653">
                  <v>#N/A</v>
                </pt>
                <pt idx="654">
                  <v>#N/A</v>
                </pt>
                <pt idx="655">
                  <v>1.23</v>
                </pt>
                <pt idx="656">
                  <v>1.253</v>
                </pt>
                <pt idx="657">
                  <v>1.276</v>
                </pt>
                <pt idx="658">
                  <v>#N/A</v>
                </pt>
                <pt idx="659">
                  <v>#N/A</v>
                </pt>
                <pt idx="660">
                  <v>1.345</v>
                </pt>
                <pt idx="661">
                  <v>#N/A</v>
                </pt>
                <pt idx="662">
                  <v>#N/A</v>
                </pt>
                <pt idx="663">
                  <v>#N/A</v>
                </pt>
                <pt idx="664">
                  <v>1.437</v>
                </pt>
                <pt idx="665">
                  <v>#N/A</v>
                </pt>
                <pt idx="666">
                  <v>#N/A</v>
                </pt>
                <pt idx="667">
                  <v>#N/A</v>
                </pt>
                <pt idx="668">
                  <v>1.529</v>
                </pt>
                <pt idx="669">
                  <v>1.552</v>
                </pt>
                <pt idx="670">
                  <v>#N/A</v>
                </pt>
                <pt idx="671">
                  <v>#N/A</v>
                </pt>
                <pt idx="672">
                  <v>#N/A</v>
                </pt>
                <pt idx="673">
                  <v>#N/A</v>
                </pt>
                <pt idx="674">
                  <v>1.667</v>
                </pt>
                <pt idx="675">
                  <v>1.69</v>
                </pt>
                <pt idx="676">
                  <v>1.713</v>
                </pt>
                <pt idx="677">
                  <v>#N/A</v>
                </pt>
                <pt idx="678">
                  <v>1.759</v>
                </pt>
                <pt idx="679">
                  <v>#N/A</v>
                </pt>
                <pt idx="680">
                  <v>#N/A</v>
                </pt>
                <pt idx="681">
                  <v>1.046</v>
                </pt>
                <pt idx="682">
                  <v>1.069</v>
                </pt>
                <pt idx="683">
                  <v>1.092</v>
                </pt>
                <pt idx="684">
                  <v>#N/A</v>
                </pt>
                <pt idx="685">
                  <v>1.138</v>
                </pt>
                <pt idx="686">
                  <v>1.161</v>
                </pt>
                <pt idx="687">
                  <v>1.184</v>
                </pt>
                <pt idx="688">
                  <v>#N/A</v>
                </pt>
                <pt idx="689">
                  <v>1.23</v>
                </pt>
                <pt idx="690">
                  <v>#N/A</v>
                </pt>
                <pt idx="691">
                  <v>1.276</v>
                </pt>
                <pt idx="692">
                  <v>1.299</v>
                </pt>
                <pt idx="693">
                  <v>1.322</v>
                </pt>
                <pt idx="694">
                  <v>#N/A</v>
                </pt>
                <pt idx="695">
                  <v>#N/A</v>
                </pt>
                <pt idx="696">
                  <v>1.391</v>
                </pt>
                <pt idx="697">
                  <v>#N/A</v>
                </pt>
                <pt idx="698">
                  <v>#N/A</v>
                </pt>
                <pt idx="699">
                  <v>1.46</v>
                </pt>
                <pt idx="700">
                  <v>#N/A</v>
                </pt>
                <pt idx="701">
                  <v>1.506</v>
                </pt>
                <pt idx="702">
                  <v>1.529</v>
                </pt>
                <pt idx="703">
                  <v>1.552</v>
                </pt>
                <pt idx="704">
                  <v>#N/A</v>
                </pt>
                <pt idx="705">
                  <v>#N/A</v>
                </pt>
                <pt idx="706">
                  <v>#N/A</v>
                </pt>
                <pt idx="707">
                  <v>#N/A</v>
                </pt>
                <pt idx="708">
                  <v>1.667</v>
                </pt>
                <pt idx="709">
                  <v>#N/A</v>
                </pt>
                <pt idx="710">
                  <v>1.713</v>
                </pt>
                <pt idx="711">
                  <v>1.736</v>
                </pt>
                <pt idx="712">
                  <v>1.759</v>
                </pt>
                <pt idx="713">
                  <v>#N/A</v>
                </pt>
                <pt idx="714">
                  <v>1.023</v>
                </pt>
                <pt idx="715">
                  <v>1.046</v>
                </pt>
                <pt idx="716">
                  <v>#N/A</v>
                </pt>
                <pt idx="717">
                  <v>1.092</v>
                </pt>
                <pt idx="718">
                  <v>1.115</v>
                </pt>
                <pt idx="719">
                  <v>1.138</v>
                </pt>
                <pt idx="720">
                  <v>1.161</v>
                </pt>
                <pt idx="721">
                  <v>#N/A</v>
                </pt>
                <pt idx="722">
                  <v>#N/A</v>
                </pt>
                <pt idx="723">
                  <v>1.23</v>
                </pt>
                <pt idx="724">
                  <v>#N/A</v>
                </pt>
                <pt idx="725">
                  <v>#N/A</v>
                </pt>
                <pt idx="726">
                  <v>#N/A</v>
                </pt>
                <pt idx="727">
                  <v>#N/A</v>
                </pt>
                <pt idx="728">
                  <v>#N/A</v>
                </pt>
                <pt idx="729">
                  <v>1.368</v>
                </pt>
                <pt idx="730">
                  <v>#N/A</v>
                </pt>
                <pt idx="731">
                  <v>1.414</v>
                </pt>
                <pt idx="732">
                  <v>1.437</v>
                </pt>
                <pt idx="733">
                  <v>1.46</v>
                </pt>
                <pt idx="734">
                  <v>#N/A</v>
                </pt>
                <pt idx="735">
                  <v>1.506</v>
                </pt>
                <pt idx="736">
                  <v>1.529</v>
                </pt>
                <pt idx="737">
                  <v>#N/A</v>
                </pt>
                <pt idx="738">
                  <v>1.575</v>
                </pt>
                <pt idx="739">
                  <v>1.598</v>
                </pt>
                <pt idx="740">
                  <v>#N/A</v>
                </pt>
                <pt idx="741">
                  <v>#N/A</v>
                </pt>
                <pt idx="742">
                  <v>#N/A</v>
                </pt>
                <pt idx="743">
                  <v>1.69</v>
                </pt>
                <pt idx="744">
                  <v>#N/A</v>
                </pt>
                <pt idx="745">
                  <v>#N/A</v>
                </pt>
                <pt idx="746">
                  <v>#N/A</v>
                </pt>
                <pt idx="747">
                  <v>#N/A</v>
                </pt>
                <pt idx="748">
                  <v>1.023</v>
                </pt>
                <pt idx="749">
                  <v>#N/A</v>
                </pt>
                <pt idx="750">
                  <v>#N/A</v>
                </pt>
                <pt idx="751">
                  <v>#N/A</v>
                </pt>
                <pt idx="752">
                  <v>#N/A</v>
                </pt>
                <pt idx="753">
                  <v>1.138</v>
                </pt>
                <pt idx="754">
                  <v>#N/A</v>
                </pt>
                <pt idx="755">
                  <v>1.184</v>
                </pt>
                <pt idx="756">
                  <v>#N/A</v>
                </pt>
                <pt idx="757">
                  <v>1.23</v>
                </pt>
                <pt idx="758">
                  <v>1.253</v>
                </pt>
                <pt idx="759">
                  <v>#N/A</v>
                </pt>
                <pt idx="760">
                  <v>#N/A</v>
                </pt>
                <pt idx="761">
                  <v>#N/A</v>
                </pt>
                <pt idx="762">
                  <v>1.345</v>
                </pt>
                <pt idx="763">
                  <v>1.368</v>
                </pt>
                <pt idx="764">
                  <v>#N/A</v>
                </pt>
                <pt idx="765">
                  <v>1.414</v>
                </pt>
                <pt idx="766">
                  <v>#N/A</v>
                </pt>
                <pt idx="767">
                  <v>1.46</v>
                </pt>
                <pt idx="768">
                  <v>1.483</v>
                </pt>
                <pt idx="769">
                  <v>1.506</v>
                </pt>
                <pt idx="770">
                  <v>#N/A</v>
                </pt>
                <pt idx="771">
                  <v>#N/A</v>
                </pt>
                <pt idx="772">
                  <v>#N/A</v>
                </pt>
                <pt idx="773">
                  <v>#N/A</v>
                </pt>
                <pt idx="774">
                  <v>#N/A</v>
                </pt>
                <pt idx="775">
                  <v>#N/A</v>
                </pt>
                <pt idx="776">
                  <v>#N/A</v>
                </pt>
                <pt idx="777">
                  <v>#N/A</v>
                </pt>
                <pt idx="778">
                  <v>#N/A</v>
                </pt>
                <pt idx="779">
                  <v>#N/A</v>
                </pt>
                <pt idx="780">
                  <v>1.759</v>
                </pt>
                <pt idx="781">
                  <v>1</v>
                </pt>
                <pt idx="782">
                  <v>#N/A</v>
                </pt>
                <pt idx="783">
                  <v>#N/A</v>
                </pt>
                <pt idx="784">
                  <v>#N/A</v>
                </pt>
                <pt idx="785">
                  <v>1.092</v>
                </pt>
                <pt idx="786">
                  <v>#N/A</v>
                </pt>
                <pt idx="787">
                  <v>1.138</v>
                </pt>
                <pt idx="788">
                  <v>#N/A</v>
                </pt>
                <pt idx="789">
                  <v>#N/A</v>
                </pt>
                <pt idx="790">
                  <v>#N/A</v>
                </pt>
                <pt idx="791">
                  <v>1.23</v>
                </pt>
                <pt idx="792">
                  <v>1.253</v>
                </pt>
                <pt idx="793">
                  <v>1.276</v>
                </pt>
                <pt idx="794">
                  <v>1.299</v>
                </pt>
                <pt idx="795">
                  <v>1.322</v>
                </pt>
                <pt idx="796">
                  <v>#N/A</v>
                </pt>
                <pt idx="797">
                  <v>1.368</v>
                </pt>
                <pt idx="798">
                  <v>#N/A</v>
                </pt>
                <pt idx="799">
                  <v>1.414</v>
                </pt>
                <pt idx="800">
                  <v>1.437</v>
                </pt>
                <pt idx="801">
                  <v>#N/A</v>
                </pt>
                <pt idx="802">
                  <v>1.483</v>
                </pt>
                <pt idx="803">
                  <v>1.506</v>
                </pt>
                <pt idx="804">
                  <v>#N/A</v>
                </pt>
                <pt idx="805">
                  <v>#N/A</v>
                </pt>
                <pt idx="806">
                  <v>#N/A</v>
                </pt>
                <pt idx="807">
                  <v>1.598</v>
                </pt>
                <pt idx="808">
                  <v>1.621</v>
                </pt>
                <pt idx="809">
                  <v>#N/A</v>
                </pt>
                <pt idx="810">
                  <v>1.667</v>
                </pt>
                <pt idx="811">
                  <v>1.69</v>
                </pt>
                <pt idx="812">
                  <v>1.713</v>
                </pt>
                <pt idx="813">
                  <v>#N/A</v>
                </pt>
                <pt idx="814">
                  <v>#N/A</v>
                </pt>
                <pt idx="815">
                  <v>#N/A</v>
                </pt>
                <pt idx="816">
                  <v>1.023</v>
                </pt>
                <pt idx="817">
                  <v>#N/A</v>
                </pt>
                <pt idx="818">
                  <v>1.069</v>
                </pt>
                <pt idx="819">
                  <v>#N/A</v>
                </pt>
                <pt idx="820">
                  <v>#N/A</v>
                </pt>
                <pt idx="821">
                  <v>#N/A</v>
                </pt>
                <pt idx="822">
                  <v>1.161</v>
                </pt>
                <pt idx="823">
                  <v>#N/A</v>
                </pt>
                <pt idx="824">
                  <v>1.207</v>
                </pt>
                <pt idx="825">
                  <v>1.23</v>
                </pt>
                <pt idx="826">
                  <v>1.253</v>
                </pt>
                <pt idx="827">
                  <v>1.276</v>
                </pt>
                <pt idx="828">
                  <v>#N/A</v>
                </pt>
                <pt idx="829">
                  <v>#N/A</v>
                </pt>
                <pt idx="830">
                  <v>1.345</v>
                </pt>
                <pt idx="831">
                  <v>#N/A</v>
                </pt>
                <pt idx="832">
                  <v>#N/A</v>
                </pt>
                <pt idx="833">
                  <v>1.414</v>
                </pt>
                <pt idx="834">
                  <v>#N/A</v>
                </pt>
                <pt idx="835">
                  <v>1.46</v>
                </pt>
                <pt idx="836">
                  <v>1.483</v>
                </pt>
                <pt idx="837">
                  <v>#N/A</v>
                </pt>
                <pt idx="838">
                  <v>#N/A</v>
                </pt>
                <pt idx="839">
                  <v>#N/A</v>
                </pt>
                <pt idx="840">
                  <v>#N/A</v>
                </pt>
                <pt idx="841">
                  <v>#N/A</v>
                </pt>
                <pt idx="842">
                  <v>1.621</v>
                </pt>
                <pt idx="843">
                  <v>1.644</v>
                </pt>
                <pt idx="844">
                  <v>#N/A</v>
                </pt>
                <pt idx="845">
                  <v>#N/A</v>
                </pt>
                <pt idx="846">
                  <v>#N/A</v>
                </pt>
                <pt idx="847">
                  <v>#N/A</v>
                </pt>
                <pt idx="848">
                  <v>#N/A</v>
                </pt>
                <pt idx="849">
                  <v>1</v>
                </pt>
                <pt idx="850">
                  <v>1.023</v>
                </pt>
                <pt idx="851">
                  <v>#N/A</v>
                </pt>
                <pt idx="852">
                  <v>#N/A</v>
                </pt>
                <pt idx="853">
                  <v>#N/A</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pt idx="949">
                  <v>#N/A</v>
                </pt>
              </numCache>
            </numRef>
          </yVal>
          <smooth val="1"/>
        </ser>
        <ser>
          <idx val="1"/>
          <order val="1"/>
          <tx>
            <v>Strategy</v>
          </tx>
          <spPr>
            <a:ln>
              <a:noFill/>
              <a:prstDash val="solid"/>
            </a:ln>
          </spPr>
          <marker>
            <symbol val="circle"/>
            <size val="4"/>
            <spPr>
              <a:ln>
                <a:prstDash val="solid"/>
              </a:ln>
            </spPr>
          </marker>
          <xVal>
            <numRef>
              <f>'Map Calc'!$I$2:$I$950</f>
              <numCache>
                <formatCode>General</formatCode>
                <ptCount val="949"/>
                <pt idx="0">
                  <v>#N/A</v>
                </pt>
                <pt idx="1">
                  <v>#N/A</v>
                </pt>
                <pt idx="2">
                  <v>#N/A</v>
                </pt>
                <pt idx="3">
                  <v>#N/A</v>
                </pt>
                <pt idx="4">
                  <v>#N/A</v>
                </pt>
                <pt idx="5">
                  <v>#N/A</v>
                </pt>
                <pt idx="6">
                  <v>#N/A</v>
                </pt>
                <pt idx="7">
                  <v>#N/A</v>
                </pt>
                <pt idx="8">
                  <v>#N/A</v>
                </pt>
                <pt idx="9">
                  <v>#N/A</v>
                </pt>
                <pt idx="10">
                  <v>#N/A</v>
                </pt>
                <pt idx="11">
                  <v>#N/A</v>
                </pt>
                <pt idx="12">
                  <v>#N/A</v>
                </pt>
                <pt idx="13">
                  <v>2019</v>
                </pt>
                <pt idx="14">
                  <v>#N/A</v>
                </pt>
                <pt idx="15">
                  <v>#N/A</v>
                </pt>
                <pt idx="16">
                  <v>#N/A</v>
                </pt>
                <pt idx="17">
                  <v>#N/A</v>
                </pt>
                <pt idx="18">
                  <v>2025</v>
                </pt>
                <pt idx="19">
                  <v>#N/A</v>
                </pt>
                <pt idx="20">
                  <v>#N/A</v>
                </pt>
                <pt idx="21">
                  <v>#N/A</v>
                </pt>
                <pt idx="22">
                  <v>#N/A</v>
                </pt>
                <pt idx="23">
                  <v>#N/A</v>
                </pt>
                <pt idx="24">
                  <v>2022</v>
                </pt>
                <pt idx="25">
                  <v>2025</v>
                </pt>
                <pt idx="26">
                  <v>#N/A</v>
                </pt>
                <pt idx="27">
                  <v>#N/A</v>
                </pt>
                <pt idx="28">
                  <v>#N/A</v>
                </pt>
                <pt idx="29">
                  <v>#N/A</v>
                </pt>
                <pt idx="30">
                  <v>#N/A</v>
                </pt>
                <pt idx="31">
                  <v>#N/A</v>
                </pt>
                <pt idx="32">
                  <v>#N/A</v>
                </pt>
                <pt idx="33">
                  <v>#N/A</v>
                </pt>
                <pt idx="34">
                  <v>#N/A</v>
                </pt>
                <pt idx="35">
                  <v>#N/A</v>
                </pt>
                <pt idx="36">
                  <v>#N/A</v>
                </pt>
                <pt idx="37">
                  <v>#N/A</v>
                </pt>
                <pt idx="38">
                  <v>#N/A</v>
                </pt>
                <pt idx="39">
                  <v>#N/A</v>
                </pt>
                <pt idx="40">
                  <v>#N/A</v>
                </pt>
                <pt idx="41">
                  <v>#N/A</v>
                </pt>
                <pt idx="42">
                  <v>2020</v>
                </pt>
                <pt idx="43">
                  <v>#N/A</v>
                </pt>
                <pt idx="44">
                  <v>#N/A</v>
                </pt>
                <pt idx="45">
                  <v>#N/A</v>
                </pt>
                <pt idx="46">
                  <v>2014</v>
                </pt>
                <pt idx="47">
                  <v>2025</v>
                </pt>
                <pt idx="48">
                  <v>#N/A</v>
                </pt>
                <pt idx="49">
                  <v>2023</v>
                </pt>
                <pt idx="50">
                  <v>#N/A</v>
                </pt>
                <pt idx="51">
                  <v>2018</v>
                </pt>
                <pt idx="52">
                  <v>#N/A</v>
                </pt>
                <pt idx="53">
                  <v>2020</v>
                </pt>
                <pt idx="54">
                  <v>#N/A</v>
                </pt>
                <pt idx="55">
                  <v>#N/A</v>
                </pt>
                <pt idx="56">
                  <v>#N/A</v>
                </pt>
                <pt idx="57">
                  <v>2026</v>
                </pt>
                <pt idx="58">
                  <v>#N/A</v>
                </pt>
                <pt idx="59">
                  <v>#N/A</v>
                </pt>
                <pt idx="60">
                  <v>#N/A</v>
                </pt>
                <pt idx="61">
                  <v>2017</v>
                </pt>
                <pt idx="62">
                  <v>#N/A</v>
                </pt>
                <pt idx="63">
                  <v>#N/A</v>
                </pt>
                <pt idx="64">
                  <v>#N/A</v>
                </pt>
                <pt idx="65">
                  <v>#N/A</v>
                </pt>
                <pt idx="66">
                  <v>2024</v>
                </pt>
                <pt idx="67">
                  <v>#N/A</v>
                </pt>
                <pt idx="68">
                  <v>#N/A</v>
                </pt>
                <pt idx="69">
                  <v>#N/A</v>
                </pt>
                <pt idx="70">
                  <v>#N/A</v>
                </pt>
                <pt idx="71">
                  <v>#N/A</v>
                </pt>
                <pt idx="72">
                  <v>#N/A</v>
                </pt>
                <pt idx="73">
                  <v>#N/A</v>
                </pt>
                <pt idx="74">
                  <v>#N/A</v>
                </pt>
                <pt idx="75">
                  <v>#N/A</v>
                </pt>
                <pt idx="76">
                  <v>2023</v>
                </pt>
                <pt idx="77">
                  <v>2024</v>
                </pt>
                <pt idx="78">
                  <v>#N/A</v>
                </pt>
                <pt idx="79">
                  <v>#N/A</v>
                </pt>
                <pt idx="80">
                  <v>2025</v>
                </pt>
                <pt idx="81">
                  <v>2025</v>
                </pt>
                <pt idx="82">
                  <v>#N/A</v>
                </pt>
                <pt idx="83">
                  <v>#N/A</v>
                </pt>
                <pt idx="84">
                  <v>#N/A</v>
                </pt>
                <pt idx="85">
                  <v>#N/A</v>
                </pt>
                <pt idx="86">
                  <v>#N/A</v>
                </pt>
                <pt idx="87">
                  <v>#N/A</v>
                </pt>
                <pt idx="88">
                  <v>#N/A</v>
                </pt>
                <pt idx="89">
                  <v>#N/A</v>
                </pt>
                <pt idx="90">
                  <v>#N/A</v>
                </pt>
                <pt idx="91">
                  <v>#N/A</v>
                </pt>
                <pt idx="92">
                  <v>2026</v>
                </pt>
                <pt idx="93">
                  <v>#N/A</v>
                </pt>
                <pt idx="94">
                  <v>2021</v>
                </pt>
                <pt idx="95">
                  <v>2023</v>
                </pt>
                <pt idx="96">
                  <v>#N/A</v>
                </pt>
                <pt idx="97">
                  <v>#N/A</v>
                </pt>
                <pt idx="98">
                  <v>#N/A</v>
                </pt>
                <pt idx="99">
                  <v>#N/A</v>
                </pt>
                <pt idx="100">
                  <v>#N/A</v>
                </pt>
                <pt idx="101">
                  <v>#N/A</v>
                </pt>
                <pt idx="102">
                  <v>#N/A</v>
                </pt>
                <pt idx="103">
                  <v>#N/A</v>
                </pt>
                <pt idx="104">
                  <v>#N/A</v>
                </pt>
                <pt idx="105">
                  <v>#N/A</v>
                </pt>
                <pt idx="106">
                  <v>#N/A</v>
                </pt>
                <pt idx="107">
                  <v>#N/A</v>
                </pt>
                <pt idx="108">
                  <v>#N/A</v>
                </pt>
                <pt idx="109">
                  <v>#N/A</v>
                </pt>
                <pt idx="110">
                  <v>#N/A</v>
                </pt>
                <pt idx="111">
                  <v>#N/A</v>
                </pt>
                <pt idx="112">
                  <v>#N/A</v>
                </pt>
                <pt idx="113">
                  <v>2025</v>
                </pt>
                <pt idx="114">
                  <v>#N/A</v>
                </pt>
                <pt idx="115">
                  <v>#N/A</v>
                </pt>
                <pt idx="116">
                  <v>#N/A</v>
                </pt>
                <pt idx="117">
                  <v>#N/A</v>
                </pt>
                <pt idx="118">
                  <v>#N/A</v>
                </pt>
                <pt idx="119">
                  <v>#N/A</v>
                </pt>
                <pt idx="120">
                  <v>#N/A</v>
                </pt>
                <pt idx="121">
                  <v>#N/A</v>
                </pt>
                <pt idx="122">
                  <v>#N/A</v>
                </pt>
                <pt idx="123">
                  <v>#N/A</v>
                </pt>
                <pt idx="124">
                  <v>#N/A</v>
                </pt>
                <pt idx="125">
                  <v>#N/A</v>
                </pt>
                <pt idx="126">
                  <v>#N/A</v>
                </pt>
                <pt idx="127">
                  <v>2025</v>
                </pt>
                <pt idx="128">
                  <v>2024</v>
                </pt>
                <pt idx="129">
                  <v>#N/A</v>
                </pt>
                <pt idx="130">
                  <v>2025</v>
                </pt>
                <pt idx="131">
                  <v>#N/A</v>
                </pt>
                <pt idx="132">
                  <v>#N/A</v>
                </pt>
                <pt idx="133">
                  <v>#N/A</v>
                </pt>
                <pt idx="134">
                  <v>#N/A</v>
                </pt>
                <pt idx="135">
                  <v>#N/A</v>
                </pt>
                <pt idx="136">
                  <v>#N/A</v>
                </pt>
                <pt idx="137">
                  <v>2015</v>
                </pt>
                <pt idx="138">
                  <v>2020</v>
                </pt>
                <pt idx="139">
                  <v>#N/A</v>
                </pt>
                <pt idx="140">
                  <v>#N/A</v>
                </pt>
                <pt idx="141">
                  <v>#N/A</v>
                </pt>
                <pt idx="142">
                  <v>#N/A</v>
                </pt>
                <pt idx="143">
                  <v>#N/A</v>
                </pt>
                <pt idx="144">
                  <v>#N/A</v>
                </pt>
                <pt idx="145">
                  <v>#N/A</v>
                </pt>
                <pt idx="146">
                  <v>#N/A</v>
                </pt>
                <pt idx="147">
                  <v>2020</v>
                </pt>
                <pt idx="148">
                  <v>#N/A</v>
                </pt>
                <pt idx="149">
                  <v>2019</v>
                </pt>
                <pt idx="150">
                  <v>#N/A</v>
                </pt>
                <pt idx="151">
                  <v>#N/A</v>
                </pt>
                <pt idx="152">
                  <v>#N/A</v>
                </pt>
                <pt idx="153">
                  <v>#N/A</v>
                </pt>
                <pt idx="154">
                  <v>#N/A</v>
                </pt>
                <pt idx="155">
                  <v>#N/A</v>
                </pt>
                <pt idx="156">
                  <v>#N/A</v>
                </pt>
                <pt idx="157">
                  <v>2018</v>
                </pt>
                <pt idx="158">
                  <v>#N/A</v>
                </pt>
                <pt idx="159">
                  <v>2016</v>
                </pt>
                <pt idx="160">
                  <v>2020</v>
                </pt>
                <pt idx="161">
                  <v>#N/A</v>
                </pt>
                <pt idx="162">
                  <v>2026</v>
                </pt>
                <pt idx="163">
                  <v>#N/A</v>
                </pt>
                <pt idx="164">
                  <v>#N/A</v>
                </pt>
                <pt idx="165">
                  <v>#N/A</v>
                </pt>
                <pt idx="166">
                  <v>#N/A</v>
                </pt>
                <pt idx="167">
                  <v>2015</v>
                </pt>
                <pt idx="168">
                  <v>2023</v>
                </pt>
                <pt idx="169">
                  <v>#N/A</v>
                </pt>
                <pt idx="170">
                  <v>#N/A</v>
                </pt>
                <pt idx="171">
                  <v>#N/A</v>
                </pt>
                <pt idx="172">
                  <v>#N/A</v>
                </pt>
                <pt idx="173">
                  <v>2026</v>
                </pt>
                <pt idx="174">
                  <v>#N/A</v>
                </pt>
                <pt idx="175">
                  <v>#N/A</v>
                </pt>
                <pt idx="176">
                  <v>#N/A</v>
                </pt>
                <pt idx="177">
                  <v>#N/A</v>
                </pt>
                <pt idx="178">
                  <v>#N/A</v>
                </pt>
                <pt idx="179">
                  <v>#N/A</v>
                </pt>
                <pt idx="180">
                  <v>#N/A</v>
                </pt>
                <pt idx="181">
                  <v>#N/A</v>
                </pt>
                <pt idx="182">
                  <v>#N/A</v>
                </pt>
                <pt idx="183">
                  <v>#N/A</v>
                </pt>
                <pt idx="184">
                  <v>#N/A</v>
                </pt>
                <pt idx="185">
                  <v>#N/A</v>
                </pt>
                <pt idx="186">
                  <v>#N/A</v>
                </pt>
                <pt idx="187">
                  <v>#N/A</v>
                </pt>
                <pt idx="188">
                  <v>#N/A</v>
                </pt>
                <pt idx="189">
                  <v>2019</v>
                </pt>
                <pt idx="190">
                  <v>#N/A</v>
                </pt>
                <pt idx="191">
                  <v>2022</v>
                </pt>
                <pt idx="192">
                  <v>#N/A</v>
                </pt>
                <pt idx="193">
                  <v>#N/A</v>
                </pt>
                <pt idx="194">
                  <v>#N/A</v>
                </pt>
                <pt idx="195">
                  <v>#N/A</v>
                </pt>
                <pt idx="196">
                  <v>#N/A</v>
                </pt>
                <pt idx="197">
                  <v>#N/A</v>
                </pt>
                <pt idx="198">
                  <v>#N/A</v>
                </pt>
                <pt idx="199">
                  <v>#N/A</v>
                </pt>
                <pt idx="200">
                  <v>2025</v>
                </pt>
                <pt idx="201">
                  <v>#N/A</v>
                </pt>
                <pt idx="202">
                  <v>#N/A</v>
                </pt>
                <pt idx="203">
                  <v>#N/A</v>
                </pt>
                <pt idx="204">
                  <v>#N/A</v>
                </pt>
                <pt idx="205">
                  <v>#N/A</v>
                </pt>
                <pt idx="206">
                  <v>#N/A</v>
                </pt>
                <pt idx="207">
                  <v>#N/A</v>
                </pt>
                <pt idx="208">
                  <v>#N/A</v>
                </pt>
                <pt idx="209">
                  <v>#N/A</v>
                </pt>
                <pt idx="210">
                  <v>#N/A</v>
                </pt>
                <pt idx="211">
                  <v>#N/A</v>
                </pt>
                <pt idx="212">
                  <v>#N/A</v>
                </pt>
                <pt idx="213">
                  <v>#N/A</v>
                </pt>
                <pt idx="214">
                  <v>2022</v>
                </pt>
                <pt idx="215">
                  <v>2026</v>
                </pt>
                <pt idx="216">
                  <v>#N/A</v>
                </pt>
                <pt idx="217">
                  <v>#N/A</v>
                </pt>
                <pt idx="218">
                  <v>#N/A</v>
                </pt>
                <pt idx="219">
                  <v>#N/A</v>
                </pt>
                <pt idx="220">
                  <v>2019</v>
                </pt>
                <pt idx="221">
                  <v>#N/A</v>
                </pt>
                <pt idx="222">
                  <v>#N/A</v>
                </pt>
                <pt idx="223">
                  <v>#N/A</v>
                </pt>
                <pt idx="224">
                  <v>#N/A</v>
                </pt>
                <pt idx="225">
                  <v>#N/A</v>
                </pt>
                <pt idx="226">
                  <v>2025</v>
                </pt>
                <pt idx="227">
                  <v>#N/A</v>
                </pt>
                <pt idx="228">
                  <v>#N/A</v>
                </pt>
                <pt idx="229">
                  <v>2024</v>
                </pt>
                <pt idx="230">
                  <v>2025</v>
                </pt>
                <pt idx="231">
                  <v>2025</v>
                </pt>
                <pt idx="232">
                  <v>#N/A</v>
                </pt>
                <pt idx="233">
                  <v>#N/A</v>
                </pt>
                <pt idx="234">
                  <v>2021</v>
                </pt>
                <pt idx="235">
                  <v>#N/A</v>
                </pt>
                <pt idx="236">
                  <v>#N/A</v>
                </pt>
                <pt idx="237">
                  <v>#N/A</v>
                </pt>
                <pt idx="238">
                  <v>2016</v>
                </pt>
                <pt idx="239">
                  <v>#N/A</v>
                </pt>
                <pt idx="240">
                  <v>#N/A</v>
                </pt>
                <pt idx="241">
                  <v>#N/A</v>
                </pt>
                <pt idx="242">
                  <v>#N/A</v>
                </pt>
                <pt idx="243">
                  <v>#N/A</v>
                </pt>
                <pt idx="244">
                  <v>#N/A</v>
                </pt>
                <pt idx="245">
                  <v>2006</v>
                </pt>
                <pt idx="246">
                  <v>2023</v>
                </pt>
                <pt idx="247">
                  <v>#N/A</v>
                </pt>
                <pt idx="248">
                  <v>#N/A</v>
                </pt>
                <pt idx="249">
                  <v>#N/A</v>
                </pt>
                <pt idx="250">
                  <v>#N/A</v>
                </pt>
                <pt idx="251">
                  <v>#N/A</v>
                </pt>
                <pt idx="252">
                  <v>#N/A</v>
                </pt>
                <pt idx="253">
                  <v>#N/A</v>
                </pt>
                <pt idx="254">
                  <v>2024</v>
                </pt>
                <pt idx="255">
                  <v>#N/A</v>
                </pt>
                <pt idx="256">
                  <v>#N/A</v>
                </pt>
                <pt idx="257">
                  <v>#N/A</v>
                </pt>
                <pt idx="258">
                  <v>2025</v>
                </pt>
                <pt idx="259">
                  <v>#N/A</v>
                </pt>
                <pt idx="260">
                  <v>#N/A</v>
                </pt>
                <pt idx="261">
                  <v>#N/A</v>
                </pt>
                <pt idx="262">
                  <v>#N/A</v>
                </pt>
                <pt idx="263">
                  <v>#N/A</v>
                </pt>
                <pt idx="264">
                  <v>#N/A</v>
                </pt>
                <pt idx="265">
                  <v>#N/A</v>
                </pt>
                <pt idx="266">
                  <v>#N/A</v>
                </pt>
                <pt idx="267">
                  <v>#N/A</v>
                </pt>
                <pt idx="268">
                  <v>2018</v>
                </pt>
                <pt idx="269">
                  <v>2024</v>
                </pt>
                <pt idx="270">
                  <v>#N/A</v>
                </pt>
                <pt idx="271">
                  <v>#N/A</v>
                </pt>
                <pt idx="272">
                  <v>#N/A</v>
                </pt>
                <pt idx="273">
                  <v>#N/A</v>
                </pt>
                <pt idx="274">
                  <v>2025</v>
                </pt>
                <pt idx="275">
                  <v>#N/A</v>
                </pt>
                <pt idx="276">
                  <v>#N/A</v>
                </pt>
                <pt idx="277">
                  <v>#N/A</v>
                </pt>
                <pt idx="278">
                  <v>2018</v>
                </pt>
                <pt idx="279">
                  <v>2023</v>
                </pt>
                <pt idx="280">
                  <v>#N/A</v>
                </pt>
                <pt idx="281">
                  <v>#N/A</v>
                </pt>
                <pt idx="282">
                  <v>2022</v>
                </pt>
                <pt idx="283">
                  <v>#N/A</v>
                </pt>
                <pt idx="284">
                  <v>#N/A</v>
                </pt>
                <pt idx="285">
                  <v>#N/A</v>
                </pt>
                <pt idx="286">
                  <v>2012</v>
                </pt>
                <pt idx="287">
                  <v>#N/A</v>
                </pt>
                <pt idx="288">
                  <v>#N/A</v>
                </pt>
                <pt idx="289">
                  <v>#N/A</v>
                </pt>
                <pt idx="290">
                  <v>#N/A</v>
                </pt>
                <pt idx="291">
                  <v>#N/A</v>
                </pt>
                <pt idx="292">
                  <v>#N/A</v>
                </pt>
                <pt idx="293">
                  <v>#N/A</v>
                </pt>
                <pt idx="294">
                  <v>#N/A</v>
                </pt>
                <pt idx="295">
                  <v>#N/A</v>
                </pt>
                <pt idx="296">
                  <v>#N/A</v>
                </pt>
                <pt idx="297">
                  <v>#N/A</v>
                </pt>
                <pt idx="298">
                  <v>#N/A</v>
                </pt>
                <pt idx="299">
                  <v>#N/A</v>
                </pt>
                <pt idx="300">
                  <v>#N/A</v>
                </pt>
                <pt idx="301">
                  <v>#N/A</v>
                </pt>
                <pt idx="302">
                  <v>#N/A</v>
                </pt>
                <pt idx="303">
                  <v>#N/A</v>
                </pt>
                <pt idx="304">
                  <v>2025</v>
                </pt>
                <pt idx="305">
                  <v>#N/A</v>
                </pt>
                <pt idx="306">
                  <v>#N/A</v>
                </pt>
                <pt idx="307">
                  <v>#N/A</v>
                </pt>
                <pt idx="308">
                  <v>#N/A</v>
                </pt>
                <pt idx="309">
                  <v>#N/A</v>
                </pt>
                <pt idx="310">
                  <v>#N/A</v>
                </pt>
                <pt idx="311">
                  <v>#N/A</v>
                </pt>
                <pt idx="312">
                  <v>#N/A</v>
                </pt>
                <pt idx="313">
                  <v>#N/A</v>
                </pt>
                <pt idx="314">
                  <v>#N/A</v>
                </pt>
                <pt idx="315">
                  <v>#N/A</v>
                </pt>
                <pt idx="316">
                  <v>#N/A</v>
                </pt>
                <pt idx="317">
                  <v>#N/A</v>
                </pt>
                <pt idx="318">
                  <v>#N/A</v>
                </pt>
                <pt idx="319">
                  <v>#N/A</v>
                </pt>
                <pt idx="320">
                  <v>#N/A</v>
                </pt>
                <pt idx="321">
                  <v>#N/A</v>
                </pt>
                <pt idx="322">
                  <v>#N/A</v>
                </pt>
                <pt idx="323">
                  <v>2017</v>
                </pt>
                <pt idx="324">
                  <v>#N/A</v>
                </pt>
                <pt idx="325">
                  <v>#N/A</v>
                </pt>
                <pt idx="326">
                  <v>#N/A</v>
                </pt>
                <pt idx="327">
                  <v>#N/A</v>
                </pt>
                <pt idx="328">
                  <v>#N/A</v>
                </pt>
                <pt idx="329">
                  <v>#N/A</v>
                </pt>
                <pt idx="330">
                  <v>#N/A</v>
                </pt>
                <pt idx="331">
                  <v>#N/A</v>
                </pt>
                <pt idx="332">
                  <v>#N/A</v>
                </pt>
                <pt idx="333">
                  <v>#N/A</v>
                </pt>
                <pt idx="334">
                  <v>#N/A</v>
                </pt>
                <pt idx="335">
                  <v>#N/A</v>
                </pt>
                <pt idx="336">
                  <v>#N/A</v>
                </pt>
                <pt idx="337">
                  <v>#N/A</v>
                </pt>
                <pt idx="338">
                  <v>#N/A</v>
                </pt>
                <pt idx="339">
                  <v>#N/A</v>
                </pt>
                <pt idx="340">
                  <v>#N/A</v>
                </pt>
                <pt idx="341">
                  <v>#N/A</v>
                </pt>
                <pt idx="342">
                  <v>#N/A</v>
                </pt>
                <pt idx="343">
                  <v>#N/A</v>
                </pt>
                <pt idx="344">
                  <v>#N/A</v>
                </pt>
                <pt idx="345">
                  <v>#N/A</v>
                </pt>
                <pt idx="346">
                  <v>#N/A</v>
                </pt>
                <pt idx="347">
                  <v>#N/A</v>
                </pt>
                <pt idx="348">
                  <v>#N/A</v>
                </pt>
                <pt idx="349">
                  <v>#N/A</v>
                </pt>
                <pt idx="350">
                  <v>#N/A</v>
                </pt>
                <pt idx="351">
                  <v>#N/A</v>
                </pt>
                <pt idx="352">
                  <v>#N/A</v>
                </pt>
                <pt idx="353">
                  <v>2025</v>
                </pt>
                <pt idx="354">
                  <v>2026</v>
                </pt>
                <pt idx="355">
                  <v>#N/A</v>
                </pt>
                <pt idx="356">
                  <v>#N/A</v>
                </pt>
                <pt idx="357">
                  <v>#N/A</v>
                </pt>
                <pt idx="358">
                  <v>#N/A</v>
                </pt>
                <pt idx="359">
                  <v>#N/A</v>
                </pt>
                <pt idx="360">
                  <v>#N/A</v>
                </pt>
                <pt idx="361">
                  <v>#N/A</v>
                </pt>
                <pt idx="362">
                  <v>#N/A</v>
                </pt>
                <pt idx="363">
                  <v>#N/A</v>
                </pt>
                <pt idx="364">
                  <v>#N/A</v>
                </pt>
                <pt idx="365">
                  <v>#N/A</v>
                </pt>
                <pt idx="366">
                  <v>#N/A</v>
                </pt>
                <pt idx="367">
                  <v>#N/A</v>
                </pt>
                <pt idx="368">
                  <v>#N/A</v>
                </pt>
                <pt idx="369">
                  <v>2015</v>
                </pt>
                <pt idx="370">
                  <v>#N/A</v>
                </pt>
                <pt idx="371">
                  <v>2023</v>
                </pt>
                <pt idx="372">
                  <v>2025</v>
                </pt>
                <pt idx="373">
                  <v>#N/A</v>
                </pt>
                <pt idx="374">
                  <v>2021</v>
                </pt>
                <pt idx="375">
                  <v>2018</v>
                </pt>
                <pt idx="376">
                  <v>#N/A</v>
                </pt>
                <pt idx="377">
                  <v>2019</v>
                </pt>
                <pt idx="378">
                  <v>#N/A</v>
                </pt>
                <pt idx="379">
                  <v>#N/A</v>
                </pt>
                <pt idx="380">
                  <v>#N/A</v>
                </pt>
                <pt idx="381">
                  <v>#N/A</v>
                </pt>
                <pt idx="382">
                  <v>#N/A</v>
                </pt>
                <pt idx="383">
                  <v>#N/A</v>
                </pt>
                <pt idx="384">
                  <v>#N/A</v>
                </pt>
                <pt idx="385">
                  <v>2024</v>
                </pt>
                <pt idx="386">
                  <v>#N/A</v>
                </pt>
                <pt idx="387">
                  <v>#N/A</v>
                </pt>
                <pt idx="388">
                  <v>#N/A</v>
                </pt>
                <pt idx="389">
                  <v>2025</v>
                </pt>
                <pt idx="390">
                  <v>#N/A</v>
                </pt>
                <pt idx="391">
                  <v>2016</v>
                </pt>
                <pt idx="392">
                  <v>#N/A</v>
                </pt>
                <pt idx="393">
                  <v>2025</v>
                </pt>
                <pt idx="394">
                  <v>#N/A</v>
                </pt>
                <pt idx="395">
                  <v>#N/A</v>
                </pt>
                <pt idx="396">
                  <v>#N/A</v>
                </pt>
                <pt idx="397">
                  <v>#N/A</v>
                </pt>
                <pt idx="398">
                  <v>#N/A</v>
                </pt>
                <pt idx="399">
                  <v>#N/A</v>
                </pt>
                <pt idx="400">
                  <v>2019</v>
                </pt>
                <pt idx="401">
                  <v>#N/A</v>
                </pt>
                <pt idx="402">
                  <v>#N/A</v>
                </pt>
                <pt idx="403">
                  <v>2023</v>
                </pt>
                <pt idx="404">
                  <v>#N/A</v>
                </pt>
                <pt idx="405">
                  <v>#N/A</v>
                </pt>
                <pt idx="406">
                  <v>2024</v>
                </pt>
                <pt idx="407">
                  <v>2021</v>
                </pt>
                <pt idx="408">
                  <v>2017</v>
                </pt>
                <pt idx="409">
                  <v>2022</v>
                </pt>
                <pt idx="410">
                  <v>2025</v>
                </pt>
                <pt idx="411">
                  <v>#N/A</v>
                </pt>
                <pt idx="412">
                  <v>#N/A</v>
                </pt>
                <pt idx="413">
                  <v>#N/A</v>
                </pt>
                <pt idx="414">
                  <v>#N/A</v>
                </pt>
                <pt idx="415">
                  <v>#N/A</v>
                </pt>
                <pt idx="416">
                  <v>#N/A</v>
                </pt>
                <pt idx="417">
                  <v>#N/A</v>
                </pt>
                <pt idx="418">
                  <v>#N/A</v>
                </pt>
                <pt idx="419">
                  <v>#N/A</v>
                </pt>
                <pt idx="420">
                  <v>#N/A</v>
                </pt>
                <pt idx="421">
                  <v>2026</v>
                </pt>
                <pt idx="422">
                  <v>#N/A</v>
                </pt>
                <pt idx="423">
                  <v>#N/A</v>
                </pt>
                <pt idx="424">
                  <v>#N/A</v>
                </pt>
                <pt idx="425">
                  <v>#N/A</v>
                </pt>
                <pt idx="426">
                  <v>#N/A</v>
                </pt>
                <pt idx="427">
                  <v>#N/A</v>
                </pt>
                <pt idx="428">
                  <v>#N/A</v>
                </pt>
                <pt idx="429">
                  <v>#N/A</v>
                </pt>
                <pt idx="430">
                  <v>#N/A</v>
                </pt>
                <pt idx="431">
                  <v>2022</v>
                </pt>
                <pt idx="432">
                  <v>#N/A</v>
                </pt>
                <pt idx="433">
                  <v>#N/A</v>
                </pt>
                <pt idx="434">
                  <v>#N/A</v>
                </pt>
                <pt idx="435">
                  <v>#N/A</v>
                </pt>
                <pt idx="436">
                  <v>#N/A</v>
                </pt>
                <pt idx="437">
                  <v>2024</v>
                </pt>
                <pt idx="438">
                  <v>#N/A</v>
                </pt>
                <pt idx="439">
                  <v>#N/A</v>
                </pt>
                <pt idx="440">
                  <v>2026</v>
                </pt>
                <pt idx="441">
                  <v>#N/A</v>
                </pt>
                <pt idx="442">
                  <v>2024</v>
                </pt>
                <pt idx="443">
                  <v>#N/A</v>
                </pt>
                <pt idx="444">
                  <v>#N/A</v>
                </pt>
                <pt idx="445">
                  <v>#N/A</v>
                </pt>
                <pt idx="446">
                  <v>#N/A</v>
                </pt>
                <pt idx="447">
                  <v>#N/A</v>
                </pt>
                <pt idx="448">
                  <v>#N/A</v>
                </pt>
                <pt idx="449">
                  <v>#N/A</v>
                </pt>
                <pt idx="450">
                  <v>#N/A</v>
                </pt>
                <pt idx="451">
                  <v>#N/A</v>
                </pt>
                <pt idx="452">
                  <v>#N/A</v>
                </pt>
                <pt idx="453">
                  <v>#N/A</v>
                </pt>
                <pt idx="454">
                  <v>#N/A</v>
                </pt>
                <pt idx="455">
                  <v>#N/A</v>
                </pt>
                <pt idx="456">
                  <v>#N/A</v>
                </pt>
                <pt idx="457">
                  <v>#N/A</v>
                </pt>
                <pt idx="458">
                  <v>#N/A</v>
                </pt>
                <pt idx="459">
                  <v>#N/A</v>
                </pt>
                <pt idx="460">
                  <v>#N/A</v>
                </pt>
                <pt idx="461">
                  <v>#N/A</v>
                </pt>
                <pt idx="462">
                  <v>#N/A</v>
                </pt>
                <pt idx="463">
                  <v>#N/A</v>
                </pt>
                <pt idx="464">
                  <v>#N/A</v>
                </pt>
                <pt idx="465">
                  <v>#N/A</v>
                </pt>
                <pt idx="466">
                  <v>#N/A</v>
                </pt>
                <pt idx="467">
                  <v>#N/A</v>
                </pt>
                <pt idx="468">
                  <v>#N/A</v>
                </pt>
                <pt idx="469">
                  <v>#N/A</v>
                </pt>
                <pt idx="470">
                  <v>#N/A</v>
                </pt>
                <pt idx="471">
                  <v>#N/A</v>
                </pt>
                <pt idx="472">
                  <v>#N/A</v>
                </pt>
                <pt idx="473">
                  <v>#N/A</v>
                </pt>
                <pt idx="474">
                  <v>#N/A</v>
                </pt>
                <pt idx="475">
                  <v>#N/A</v>
                </pt>
                <pt idx="476">
                  <v>#N/A</v>
                </pt>
                <pt idx="477">
                  <v>#N/A</v>
                </pt>
                <pt idx="478">
                  <v>#N/A</v>
                </pt>
                <pt idx="479">
                  <v>#N/A</v>
                </pt>
                <pt idx="480">
                  <v>2024</v>
                </pt>
                <pt idx="481">
                  <v>#N/A</v>
                </pt>
                <pt idx="482">
                  <v>#N/A</v>
                </pt>
                <pt idx="483">
                  <v>#N/A</v>
                </pt>
                <pt idx="484">
                  <v>#N/A</v>
                </pt>
                <pt idx="485">
                  <v>#N/A</v>
                </pt>
                <pt idx="486">
                  <v>#N/A</v>
                </pt>
                <pt idx="487">
                  <v>#N/A</v>
                </pt>
                <pt idx="488">
                  <v>#N/A</v>
                </pt>
                <pt idx="489">
                  <v>#N/A</v>
                </pt>
                <pt idx="490">
                  <v>#N/A</v>
                </pt>
                <pt idx="491">
                  <v>#N/A</v>
                </pt>
                <pt idx="492">
                  <v>2024</v>
                </pt>
                <pt idx="493">
                  <v>#N/A</v>
                </pt>
                <pt idx="494">
                  <v>#N/A</v>
                </pt>
                <pt idx="495">
                  <v>#N/A</v>
                </pt>
                <pt idx="496">
                  <v>#N/A</v>
                </pt>
                <pt idx="497">
                  <v>2025</v>
                </pt>
                <pt idx="498">
                  <v>#N/A</v>
                </pt>
                <pt idx="499">
                  <v>2025</v>
                </pt>
                <pt idx="500">
                  <v>#N/A</v>
                </pt>
                <pt idx="501">
                  <v>#N/A</v>
                </pt>
                <pt idx="502">
                  <v>2024</v>
                </pt>
                <pt idx="503">
                  <v>#N/A</v>
                </pt>
                <pt idx="504">
                  <v>#N/A</v>
                </pt>
                <pt idx="505">
                  <v>2026</v>
                </pt>
                <pt idx="506">
                  <v>#N/A</v>
                </pt>
                <pt idx="507">
                  <v>#N/A</v>
                </pt>
                <pt idx="508">
                  <v>#N/A</v>
                </pt>
                <pt idx="509">
                  <v>#N/A</v>
                </pt>
                <pt idx="510">
                  <v>#N/A</v>
                </pt>
                <pt idx="511">
                  <v>#N/A</v>
                </pt>
                <pt idx="512">
                  <v>#N/A</v>
                </pt>
                <pt idx="513">
                  <v>#N/A</v>
                </pt>
                <pt idx="514">
                  <v>#N/A</v>
                </pt>
                <pt idx="515">
                  <v>#N/A</v>
                </pt>
                <pt idx="516">
                  <v>#N/A</v>
                </pt>
                <pt idx="517">
                  <v>#N/A</v>
                </pt>
                <pt idx="518">
                  <v>#N/A</v>
                </pt>
                <pt idx="519">
                  <v>#N/A</v>
                </pt>
                <pt idx="520">
                  <v>#N/A</v>
                </pt>
                <pt idx="521">
                  <v>#N/A</v>
                </pt>
                <pt idx="522">
                  <v>2025</v>
                </pt>
                <pt idx="523">
                  <v>#N/A</v>
                </pt>
                <pt idx="524">
                  <v>#N/A</v>
                </pt>
                <pt idx="525">
                  <v>#N/A</v>
                </pt>
                <pt idx="526">
                  <v>#N/A</v>
                </pt>
                <pt idx="527">
                  <v>2025</v>
                </pt>
                <pt idx="528">
                  <v>#N/A</v>
                </pt>
                <pt idx="529">
                  <v>#N/A</v>
                </pt>
                <pt idx="530">
                  <v>#N/A</v>
                </pt>
                <pt idx="531">
                  <v>#N/A</v>
                </pt>
                <pt idx="532">
                  <v>2021</v>
                </pt>
                <pt idx="533">
                  <v>#N/A</v>
                </pt>
                <pt idx="534">
                  <v>#N/A</v>
                </pt>
                <pt idx="535">
                  <v>#N/A</v>
                </pt>
                <pt idx="536">
                  <v>#N/A</v>
                </pt>
                <pt idx="537">
                  <v>#N/A</v>
                </pt>
                <pt idx="538">
                  <v>#N/A</v>
                </pt>
                <pt idx="539">
                  <v>2022</v>
                </pt>
                <pt idx="540">
                  <v>#N/A</v>
                </pt>
                <pt idx="541">
                  <v>#N/A</v>
                </pt>
                <pt idx="542">
                  <v>#N/A</v>
                </pt>
                <pt idx="543">
                  <v>#N/A</v>
                </pt>
                <pt idx="544">
                  <v>#N/A</v>
                </pt>
                <pt idx="545">
                  <v>2026</v>
                </pt>
                <pt idx="546">
                  <v>2021</v>
                </pt>
                <pt idx="547">
                  <v>2026</v>
                </pt>
                <pt idx="548">
                  <v>#N/A</v>
                </pt>
                <pt idx="549">
                  <v>#N/A</v>
                </pt>
                <pt idx="550">
                  <v>#N/A</v>
                </pt>
                <pt idx="551">
                  <v>#N/A</v>
                </pt>
                <pt idx="552">
                  <v>#N/A</v>
                </pt>
                <pt idx="553">
                  <v>#N/A</v>
                </pt>
                <pt idx="554">
                  <v>2024</v>
                </pt>
                <pt idx="555">
                  <v>2025</v>
                </pt>
                <pt idx="556">
                  <v>2020</v>
                </pt>
                <pt idx="557">
                  <v>#N/A</v>
                </pt>
                <pt idx="558">
                  <v>#N/A</v>
                </pt>
                <pt idx="559">
                  <v>2026</v>
                </pt>
                <pt idx="560">
                  <v>#N/A</v>
                </pt>
                <pt idx="561">
                  <v>#N/A</v>
                </pt>
                <pt idx="562">
                  <v>#N/A</v>
                </pt>
                <pt idx="563">
                  <v>#N/A</v>
                </pt>
                <pt idx="564">
                  <v>#N/A</v>
                </pt>
                <pt idx="565">
                  <v>2024</v>
                </pt>
                <pt idx="566">
                  <v>#N/A</v>
                </pt>
                <pt idx="567">
                  <v>#N/A</v>
                </pt>
                <pt idx="568">
                  <v>#N/A</v>
                </pt>
                <pt idx="569">
                  <v>#N/A</v>
                </pt>
                <pt idx="570">
                  <v>#N/A</v>
                </pt>
                <pt idx="571">
                  <v>#N/A</v>
                </pt>
                <pt idx="572">
                  <v>#N/A</v>
                </pt>
                <pt idx="573">
                  <v>#N/A</v>
                </pt>
                <pt idx="574">
                  <v>#N/A</v>
                </pt>
                <pt idx="575">
                  <v>2015</v>
                </pt>
                <pt idx="576">
                  <v>#N/A</v>
                </pt>
                <pt idx="577">
                  <v>#N/A</v>
                </pt>
                <pt idx="578">
                  <v>#N/A</v>
                </pt>
                <pt idx="579">
                  <v>#N/A</v>
                </pt>
                <pt idx="580">
                  <v>#N/A</v>
                </pt>
                <pt idx="581">
                  <v>#N/A</v>
                </pt>
                <pt idx="582">
                  <v>#N/A</v>
                </pt>
                <pt idx="583">
                  <v>#N/A</v>
                </pt>
                <pt idx="584">
                  <v>#N/A</v>
                </pt>
                <pt idx="585">
                  <v>#N/A</v>
                </pt>
                <pt idx="586">
                  <v>2020</v>
                </pt>
                <pt idx="587">
                  <v>#N/A</v>
                </pt>
                <pt idx="588">
                  <v>#N/A</v>
                </pt>
                <pt idx="589">
                  <v>#N/A</v>
                </pt>
                <pt idx="590">
                  <v>#N/A</v>
                </pt>
                <pt idx="591">
                  <v>#N/A</v>
                </pt>
                <pt idx="592">
                  <v>2014</v>
                </pt>
                <pt idx="593">
                  <v>#N/A</v>
                </pt>
                <pt idx="594">
                  <v>#N/A</v>
                </pt>
                <pt idx="595">
                  <v>#N/A</v>
                </pt>
                <pt idx="596">
                  <v>2024</v>
                </pt>
                <pt idx="597">
                  <v>#N/A</v>
                </pt>
                <pt idx="598">
                  <v>#N/A</v>
                </pt>
                <pt idx="599">
                  <v>#N/A</v>
                </pt>
                <pt idx="600">
                  <v>#N/A</v>
                </pt>
                <pt idx="601">
                  <v>#N/A</v>
                </pt>
                <pt idx="602">
                  <v>#N/A</v>
                </pt>
                <pt idx="603">
                  <v>#N/A</v>
                </pt>
                <pt idx="604">
                  <v>2021</v>
                </pt>
                <pt idx="605">
                  <v>2022</v>
                </pt>
                <pt idx="606">
                  <v>#N/A</v>
                </pt>
                <pt idx="607">
                  <v>2016</v>
                </pt>
                <pt idx="608">
                  <v>#N/A</v>
                </pt>
                <pt idx="609">
                  <v>#N/A</v>
                </pt>
                <pt idx="610">
                  <v>#N/A</v>
                </pt>
                <pt idx="611">
                  <v>#N/A</v>
                </pt>
                <pt idx="612">
                  <v>#N/A</v>
                </pt>
                <pt idx="613">
                  <v>2022</v>
                </pt>
                <pt idx="614">
                  <v>2021</v>
                </pt>
                <pt idx="615">
                  <v>2024</v>
                </pt>
                <pt idx="616">
                  <v>#N/A</v>
                </pt>
                <pt idx="617">
                  <v>#N/A</v>
                </pt>
                <pt idx="618">
                  <v>#N/A</v>
                </pt>
                <pt idx="619">
                  <v>#N/A</v>
                </pt>
                <pt idx="620">
                  <v>#N/A</v>
                </pt>
                <pt idx="621">
                  <v>#N/A</v>
                </pt>
                <pt idx="622">
                  <v>#N/A</v>
                </pt>
                <pt idx="623">
                  <v>#N/A</v>
                </pt>
                <pt idx="624">
                  <v>#N/A</v>
                </pt>
                <pt idx="625">
                  <v>#N/A</v>
                </pt>
                <pt idx="626">
                  <v>#N/A</v>
                </pt>
                <pt idx="627">
                  <v>#N/A</v>
                </pt>
                <pt idx="628">
                  <v>#N/A</v>
                </pt>
                <pt idx="629">
                  <v>#N/A</v>
                </pt>
                <pt idx="630">
                  <v>2025</v>
                </pt>
                <pt idx="631">
                  <v>#N/A</v>
                </pt>
                <pt idx="632">
                  <v>#N/A</v>
                </pt>
                <pt idx="633">
                  <v>#N/A</v>
                </pt>
                <pt idx="634">
                  <v>#N/A</v>
                </pt>
                <pt idx="635">
                  <v>2025</v>
                </pt>
                <pt idx="636">
                  <v>#N/A</v>
                </pt>
                <pt idx="637">
                  <v>#N/A</v>
                </pt>
                <pt idx="638">
                  <v>#N/A</v>
                </pt>
                <pt idx="639">
                  <v>#N/A</v>
                </pt>
                <pt idx="640">
                  <v>#N/A</v>
                </pt>
                <pt idx="641">
                  <v>#N/A</v>
                </pt>
                <pt idx="642">
                  <v>#N/A</v>
                </pt>
                <pt idx="643">
                  <v>#N/A</v>
                </pt>
                <pt idx="644">
                  <v>#N/A</v>
                </pt>
                <pt idx="645">
                  <v>#N/A</v>
                </pt>
                <pt idx="646">
                  <v>#N/A</v>
                </pt>
                <pt idx="647">
                  <v>#N/A</v>
                </pt>
                <pt idx="648">
                  <v>2023</v>
                </pt>
                <pt idx="649">
                  <v>#N/A</v>
                </pt>
                <pt idx="650">
                  <v>2022</v>
                </pt>
                <pt idx="651">
                  <v>#N/A</v>
                </pt>
                <pt idx="652">
                  <v>#N/A</v>
                </pt>
                <pt idx="653">
                  <v>2026</v>
                </pt>
                <pt idx="654">
                  <v>#N/A</v>
                </pt>
                <pt idx="655">
                  <v>#N/A</v>
                </pt>
                <pt idx="656">
                  <v>#N/A</v>
                </pt>
                <pt idx="657">
                  <v>#N/A</v>
                </pt>
                <pt idx="658">
                  <v>#N/A</v>
                </pt>
                <pt idx="659">
                  <v>#N/A</v>
                </pt>
                <pt idx="660">
                  <v>#N/A</v>
                </pt>
                <pt idx="661">
                  <v>#N/A</v>
                </pt>
                <pt idx="662">
                  <v>2018</v>
                </pt>
                <pt idx="663">
                  <v>#N/A</v>
                </pt>
                <pt idx="664">
                  <v>#N/A</v>
                </pt>
                <pt idx="665">
                  <v>#N/A</v>
                </pt>
                <pt idx="666">
                  <v>#N/A</v>
                </pt>
                <pt idx="667">
                  <v>#N/A</v>
                </pt>
                <pt idx="668">
                  <v>#N/A</v>
                </pt>
                <pt idx="669">
                  <v>2025</v>
                </pt>
                <pt idx="670">
                  <v>#N/A</v>
                </pt>
                <pt idx="671">
                  <v>#N/A</v>
                </pt>
                <pt idx="672">
                  <v>#N/A</v>
                </pt>
                <pt idx="673">
                  <v>#N/A</v>
                </pt>
                <pt idx="674">
                  <v>#N/A</v>
                </pt>
                <pt idx="675">
                  <v>#N/A</v>
                </pt>
                <pt idx="676">
                  <v>#N/A</v>
                </pt>
                <pt idx="677">
                  <v>#N/A</v>
                </pt>
                <pt idx="678">
                  <v>2023</v>
                </pt>
                <pt idx="679">
                  <v>#N/A</v>
                </pt>
                <pt idx="680">
                  <v>#N/A</v>
                </pt>
                <pt idx="681">
                  <v>#N/A</v>
                </pt>
                <pt idx="682">
                  <v>#N/A</v>
                </pt>
                <pt idx="683">
                  <v>#N/A</v>
                </pt>
                <pt idx="684">
                  <v>#N/A</v>
                </pt>
                <pt idx="685">
                  <v>#N/A</v>
                </pt>
                <pt idx="686">
                  <v>#N/A</v>
                </pt>
                <pt idx="687">
                  <v>#N/A</v>
                </pt>
                <pt idx="688">
                  <v>#N/A</v>
                </pt>
                <pt idx="689">
                  <v>#N/A</v>
                </pt>
                <pt idx="690">
                  <v>#N/A</v>
                </pt>
                <pt idx="691">
                  <v>#N/A</v>
                </pt>
                <pt idx="692">
                  <v>#N/A</v>
                </pt>
                <pt idx="693">
                  <v>#N/A</v>
                </pt>
                <pt idx="694">
                  <v>#N/A</v>
                </pt>
                <pt idx="695">
                  <v>#N/A</v>
                </pt>
                <pt idx="696">
                  <v>#N/A</v>
                </pt>
                <pt idx="697">
                  <v>2023</v>
                </pt>
                <pt idx="698">
                  <v>#N/A</v>
                </pt>
                <pt idx="699">
                  <v>2002</v>
                </pt>
                <pt idx="700">
                  <v>#N/A</v>
                </pt>
                <pt idx="701">
                  <v>#N/A</v>
                </pt>
                <pt idx="702">
                  <v>#N/A</v>
                </pt>
                <pt idx="703">
                  <v>2015</v>
                </pt>
                <pt idx="704">
                  <v>2021</v>
                </pt>
                <pt idx="705">
                  <v>#N/A</v>
                </pt>
                <pt idx="706">
                  <v>2025</v>
                </pt>
                <pt idx="707">
                  <v>#N/A</v>
                </pt>
                <pt idx="708">
                  <v>#N/A</v>
                </pt>
                <pt idx="709">
                  <v>#N/A</v>
                </pt>
                <pt idx="710">
                  <v>#N/A</v>
                </pt>
                <pt idx="711">
                  <v>#N/A</v>
                </pt>
                <pt idx="712">
                  <v>#N/A</v>
                </pt>
                <pt idx="713">
                  <v>#N/A</v>
                </pt>
                <pt idx="714">
                  <v>#N/A</v>
                </pt>
                <pt idx="715">
                  <v>#N/A</v>
                </pt>
                <pt idx="716">
                  <v>#N/A</v>
                </pt>
                <pt idx="717">
                  <v>#N/A</v>
                </pt>
                <pt idx="718">
                  <v>#N/A</v>
                </pt>
                <pt idx="719">
                  <v>#N/A</v>
                </pt>
                <pt idx="720">
                  <v>2026</v>
                </pt>
                <pt idx="721">
                  <v>#N/A</v>
                </pt>
                <pt idx="722">
                  <v>#N/A</v>
                </pt>
                <pt idx="723">
                  <v>#N/A</v>
                </pt>
                <pt idx="724">
                  <v>#N/A</v>
                </pt>
                <pt idx="725">
                  <v>#N/A</v>
                </pt>
                <pt idx="726">
                  <v>2026</v>
                </pt>
                <pt idx="727">
                  <v>#N/A</v>
                </pt>
                <pt idx="728">
                  <v>#N/A</v>
                </pt>
                <pt idx="729">
                  <v>2019</v>
                </pt>
                <pt idx="730">
                  <v>#N/A</v>
                </pt>
                <pt idx="731">
                  <v>#N/A</v>
                </pt>
                <pt idx="732">
                  <v>#N/A</v>
                </pt>
                <pt idx="733">
                  <v>2022</v>
                </pt>
                <pt idx="734">
                  <v>#N/A</v>
                </pt>
                <pt idx="735">
                  <v>#N/A</v>
                </pt>
                <pt idx="736">
                  <v>2025</v>
                </pt>
                <pt idx="737">
                  <v>#N/A</v>
                </pt>
                <pt idx="738">
                  <v>#N/A</v>
                </pt>
                <pt idx="739">
                  <v>#N/A</v>
                </pt>
                <pt idx="740">
                  <v>#N/A</v>
                </pt>
                <pt idx="741">
                  <v>#N/A</v>
                </pt>
                <pt idx="742">
                  <v>#N/A</v>
                </pt>
                <pt idx="743">
                  <v>#N/A</v>
                </pt>
                <pt idx="744">
                  <v>#N/A</v>
                </pt>
                <pt idx="745">
                  <v>2025</v>
                </pt>
                <pt idx="746">
                  <v>2024</v>
                </pt>
                <pt idx="747">
                  <v>#N/A</v>
                </pt>
                <pt idx="748">
                  <v>2021</v>
                </pt>
                <pt idx="749">
                  <v>2019</v>
                </pt>
                <pt idx="750">
                  <v>#N/A</v>
                </pt>
                <pt idx="751">
                  <v>2023</v>
                </pt>
                <pt idx="752">
                  <v>#N/A</v>
                </pt>
                <pt idx="753">
                  <v>#N/A</v>
                </pt>
                <pt idx="754">
                  <v>#N/A</v>
                </pt>
                <pt idx="755">
                  <v>#N/A</v>
                </pt>
                <pt idx="756">
                  <v>#N/A</v>
                </pt>
                <pt idx="757">
                  <v>#N/A</v>
                </pt>
                <pt idx="758">
                  <v>#N/A</v>
                </pt>
                <pt idx="759">
                  <v>2025</v>
                </pt>
                <pt idx="760">
                  <v>#N/A</v>
                </pt>
                <pt idx="761">
                  <v>#N/A</v>
                </pt>
                <pt idx="762">
                  <v>#N/A</v>
                </pt>
                <pt idx="763">
                  <v>#N/A</v>
                </pt>
                <pt idx="764">
                  <v>#N/A</v>
                </pt>
                <pt idx="765">
                  <v>2022</v>
                </pt>
                <pt idx="766">
                  <v>#N/A</v>
                </pt>
                <pt idx="767">
                  <v>#N/A</v>
                </pt>
                <pt idx="768">
                  <v>#N/A</v>
                </pt>
                <pt idx="769">
                  <v>#N/A</v>
                </pt>
                <pt idx="770">
                  <v>#N/A</v>
                </pt>
                <pt idx="771">
                  <v>#N/A</v>
                </pt>
                <pt idx="772">
                  <v>#N/A</v>
                </pt>
                <pt idx="773">
                  <v>#N/A</v>
                </pt>
                <pt idx="774">
                  <v>#N/A</v>
                </pt>
                <pt idx="775">
                  <v>#N/A</v>
                </pt>
                <pt idx="776">
                  <v>2025</v>
                </pt>
                <pt idx="777">
                  <v>#N/A</v>
                </pt>
                <pt idx="778">
                  <v>2024</v>
                </pt>
                <pt idx="779">
                  <v>#N/A</v>
                </pt>
                <pt idx="780">
                  <v>#N/A</v>
                </pt>
                <pt idx="781">
                  <v>#N/A</v>
                </pt>
                <pt idx="782">
                  <v>#N/A</v>
                </pt>
                <pt idx="783">
                  <v>#N/A</v>
                </pt>
                <pt idx="784">
                  <v>#N/A</v>
                </pt>
                <pt idx="785">
                  <v>#N/A</v>
                </pt>
                <pt idx="786">
                  <v>#N/A</v>
                </pt>
                <pt idx="787">
                  <v>#N/A</v>
                </pt>
                <pt idx="788">
                  <v>#N/A</v>
                </pt>
                <pt idx="789">
                  <v>2021</v>
                </pt>
                <pt idx="790">
                  <v>#N/A</v>
                </pt>
                <pt idx="791">
                  <v>#N/A</v>
                </pt>
                <pt idx="792">
                  <v>#N/A</v>
                </pt>
                <pt idx="793">
                  <v>#N/A</v>
                </pt>
                <pt idx="794">
                  <v>#N/A</v>
                </pt>
                <pt idx="795">
                  <v>#N/A</v>
                </pt>
                <pt idx="796">
                  <v>#N/A</v>
                </pt>
                <pt idx="797">
                  <v>#N/A</v>
                </pt>
                <pt idx="798">
                  <v>#N/A</v>
                </pt>
                <pt idx="799">
                  <v>#N/A</v>
                </pt>
                <pt idx="800">
                  <v>#N/A</v>
                </pt>
                <pt idx="801">
                  <v>#N/A</v>
                </pt>
                <pt idx="802">
                  <v>#N/A</v>
                </pt>
                <pt idx="803">
                  <v>#N/A</v>
                </pt>
                <pt idx="804">
                  <v>#N/A</v>
                </pt>
                <pt idx="805">
                  <v>#N/A</v>
                </pt>
                <pt idx="806">
                  <v>#N/A</v>
                </pt>
                <pt idx="807">
                  <v>#N/A</v>
                </pt>
                <pt idx="808">
                  <v>2024</v>
                </pt>
                <pt idx="809">
                  <v>#N/A</v>
                </pt>
                <pt idx="810">
                  <v>#N/A</v>
                </pt>
                <pt idx="811">
                  <v>#N/A</v>
                </pt>
                <pt idx="812">
                  <v>#N/A</v>
                </pt>
                <pt idx="813">
                  <v>2023</v>
                </pt>
                <pt idx="814">
                  <v>2025</v>
                </pt>
                <pt idx="815">
                  <v>#N/A</v>
                </pt>
                <pt idx="816">
                  <v>#N/A</v>
                </pt>
                <pt idx="817">
                  <v>#N/A</v>
                </pt>
                <pt idx="818">
                  <v>2017</v>
                </pt>
                <pt idx="819">
                  <v>#N/A</v>
                </pt>
                <pt idx="820">
                  <v>2012</v>
                </pt>
                <pt idx="821">
                  <v>#N/A</v>
                </pt>
                <pt idx="822">
                  <v>2005</v>
                </pt>
                <pt idx="823">
                  <v>#N/A</v>
                </pt>
                <pt idx="824">
                  <v>#N/A</v>
                </pt>
                <pt idx="825">
                  <v>#N/A</v>
                </pt>
                <pt idx="826">
                  <v>#N/A</v>
                </pt>
                <pt idx="827">
                  <v>2019</v>
                </pt>
                <pt idx="828">
                  <v>#N/A</v>
                </pt>
                <pt idx="829">
                  <v>#N/A</v>
                </pt>
                <pt idx="830">
                  <v>#N/A</v>
                </pt>
                <pt idx="831">
                  <v>2026</v>
                </pt>
                <pt idx="832">
                  <v>#N/A</v>
                </pt>
                <pt idx="833">
                  <v>#N/A</v>
                </pt>
                <pt idx="834">
                  <v>#N/A</v>
                </pt>
                <pt idx="835">
                  <v>#N/A</v>
                </pt>
                <pt idx="836">
                  <v>2021</v>
                </pt>
                <pt idx="837">
                  <v>#N/A</v>
                </pt>
                <pt idx="838">
                  <v>#N/A</v>
                </pt>
                <pt idx="839">
                  <v>#N/A</v>
                </pt>
                <pt idx="840">
                  <v>#N/A</v>
                </pt>
                <pt idx="841">
                  <v>#N/A</v>
                </pt>
                <pt idx="842">
                  <v>#N/A</v>
                </pt>
                <pt idx="843">
                  <v>#N/A</v>
                </pt>
                <pt idx="844">
                  <v>#N/A</v>
                </pt>
                <pt idx="845">
                  <v>#N/A</v>
                </pt>
                <pt idx="846">
                  <v>#N/A</v>
                </pt>
                <pt idx="847">
                  <v>#N/A</v>
                </pt>
                <pt idx="848">
                  <v>#N/A</v>
                </pt>
                <pt idx="849">
                  <v>#N/A</v>
                </pt>
                <pt idx="850">
                  <v>#N/A</v>
                </pt>
                <pt idx="851">
                  <v>#N/A</v>
                </pt>
                <pt idx="852">
                  <v>#N/A</v>
                </pt>
                <pt idx="853">
                  <v>#N/A</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numCache>
            </numRef>
          </xVal>
          <yVal>
            <numRef>
              <f>'Map Calc'!$J$1:$J$950</f>
              <numCache>
                <formatCode>General</formatCode>
                <ptCount val="950"/>
                <pt idx="0">
                  <v>0</v>
                </pt>
                <pt idx="1">
                  <v>#N/A</v>
                </pt>
                <pt idx="2">
                  <v>#N/A</v>
                </pt>
                <pt idx="3">
                  <v>#N/A</v>
                </pt>
                <pt idx="4">
                  <v>#N/A</v>
                </pt>
                <pt idx="5">
                  <v>#N/A</v>
                </pt>
                <pt idx="6">
                  <v>#N/A</v>
                </pt>
                <pt idx="7">
                  <v>#N/A</v>
                </pt>
                <pt idx="8">
                  <v>#N/A</v>
                </pt>
                <pt idx="9">
                  <v>#N/A</v>
                </pt>
                <pt idx="10">
                  <v>#N/A</v>
                </pt>
                <pt idx="11">
                  <v>#N/A</v>
                </pt>
                <pt idx="12">
                  <v>#N/A</v>
                </pt>
                <pt idx="13">
                  <v>#N/A</v>
                </pt>
                <pt idx="14">
                  <v>2.345</v>
                </pt>
                <pt idx="15">
                  <v>#N/A</v>
                </pt>
                <pt idx="16">
                  <v>#N/A</v>
                </pt>
                <pt idx="17">
                  <v>#N/A</v>
                </pt>
                <pt idx="18">
                  <v>#N/A</v>
                </pt>
                <pt idx="19">
                  <v>2.46</v>
                </pt>
                <pt idx="20">
                  <v>#N/A</v>
                </pt>
                <pt idx="21">
                  <v>#N/A</v>
                </pt>
                <pt idx="22">
                  <v>#N/A</v>
                </pt>
                <pt idx="23">
                  <v>#N/A</v>
                </pt>
                <pt idx="24">
                  <v>#N/A</v>
                </pt>
                <pt idx="25">
                  <v>2.598</v>
                </pt>
                <pt idx="26">
                  <v>2.621</v>
                </pt>
                <pt idx="27">
                  <v>#N/A</v>
                </pt>
                <pt idx="28">
                  <v>#N/A</v>
                </pt>
                <pt idx="29">
                  <v>#N/A</v>
                </pt>
                <pt idx="30">
                  <v>#N/A</v>
                </pt>
                <pt idx="31">
                  <v>#N/A</v>
                </pt>
                <pt idx="32">
                  <v>#N/A</v>
                </pt>
                <pt idx="33">
                  <v>#N/A</v>
                </pt>
                <pt idx="34">
                  <v>#N/A</v>
                </pt>
                <pt idx="35">
                  <v>#N/A</v>
                </pt>
                <pt idx="36">
                  <v>#N/A</v>
                </pt>
                <pt idx="37">
                  <v>#N/A</v>
                </pt>
                <pt idx="38">
                  <v>#N/A</v>
                </pt>
                <pt idx="39">
                  <v>#N/A</v>
                </pt>
                <pt idx="40">
                  <v>#N/A</v>
                </pt>
                <pt idx="41">
                  <v>#N/A</v>
                </pt>
                <pt idx="42">
                  <v>#N/A</v>
                </pt>
                <pt idx="43">
                  <v>2.23</v>
                </pt>
                <pt idx="44">
                  <v>#N/A</v>
                </pt>
                <pt idx="45">
                  <v>#N/A</v>
                </pt>
                <pt idx="46">
                  <v>#N/A</v>
                </pt>
                <pt idx="47">
                  <v>2.322</v>
                </pt>
                <pt idx="48">
                  <v>2.345</v>
                </pt>
                <pt idx="49">
                  <v>#N/A</v>
                </pt>
                <pt idx="50">
                  <v>2.391</v>
                </pt>
                <pt idx="51">
                  <v>#N/A</v>
                </pt>
                <pt idx="52">
                  <v>2.437</v>
                </pt>
                <pt idx="53">
                  <v>#N/A</v>
                </pt>
                <pt idx="54">
                  <v>2.483</v>
                </pt>
                <pt idx="55">
                  <v>#N/A</v>
                </pt>
                <pt idx="56">
                  <v>#N/A</v>
                </pt>
                <pt idx="57">
                  <v>#N/A</v>
                </pt>
                <pt idx="58">
                  <v>2.575</v>
                </pt>
                <pt idx="59">
                  <v>#N/A</v>
                </pt>
                <pt idx="60">
                  <v>#N/A</v>
                </pt>
                <pt idx="61">
                  <v>#N/A</v>
                </pt>
                <pt idx="62">
                  <v>2.667</v>
                </pt>
                <pt idx="63">
                  <v>#N/A</v>
                </pt>
                <pt idx="64">
                  <v>#N/A</v>
                </pt>
                <pt idx="65">
                  <v>#N/A</v>
                </pt>
                <pt idx="66">
                  <v>#N/A</v>
                </pt>
                <pt idx="67">
                  <v>2</v>
                </pt>
                <pt idx="68">
                  <v>#N/A</v>
                </pt>
                <pt idx="69">
                  <v>#N/A</v>
                </pt>
                <pt idx="70">
                  <v>#N/A</v>
                </pt>
                <pt idx="71">
                  <v>#N/A</v>
                </pt>
                <pt idx="72">
                  <v>#N/A</v>
                </pt>
                <pt idx="73">
                  <v>#N/A</v>
                </pt>
                <pt idx="74">
                  <v>#N/A</v>
                </pt>
                <pt idx="75">
                  <v>#N/A</v>
                </pt>
                <pt idx="76">
                  <v>#N/A</v>
                </pt>
                <pt idx="77">
                  <v>2.23</v>
                </pt>
                <pt idx="78">
                  <v>2.253</v>
                </pt>
                <pt idx="79">
                  <v>#N/A</v>
                </pt>
                <pt idx="80">
                  <v>#N/A</v>
                </pt>
                <pt idx="81">
                  <v>2.322</v>
                </pt>
                <pt idx="82">
                  <v>2.345</v>
                </pt>
                <pt idx="83">
                  <v>#N/A</v>
                </pt>
                <pt idx="84">
                  <v>#N/A</v>
                </pt>
                <pt idx="85">
                  <v>#N/A</v>
                </pt>
                <pt idx="86">
                  <v>#N/A</v>
                </pt>
                <pt idx="87">
                  <v>#N/A</v>
                </pt>
                <pt idx="88">
                  <v>#N/A</v>
                </pt>
                <pt idx="89">
                  <v>#N/A</v>
                </pt>
                <pt idx="90">
                  <v>#N/A</v>
                </pt>
                <pt idx="91">
                  <v>#N/A</v>
                </pt>
                <pt idx="92">
                  <v>#N/A</v>
                </pt>
                <pt idx="93">
                  <v>2.598</v>
                </pt>
                <pt idx="94">
                  <v>#N/A</v>
                </pt>
                <pt idx="95">
                  <v>2.644</v>
                </pt>
                <pt idx="96">
                  <v>2.667</v>
                </pt>
                <pt idx="97">
                  <v>#N/A</v>
                </pt>
                <pt idx="98">
                  <v>#N/A</v>
                </pt>
                <pt idx="99">
                  <v>#N/A</v>
                </pt>
                <pt idx="100">
                  <v>#N/A</v>
                </pt>
                <pt idx="101">
                  <v>#N/A</v>
                </pt>
                <pt idx="102">
                  <v>#N/A</v>
                </pt>
                <pt idx="103">
                  <v>#N/A</v>
                </pt>
                <pt idx="104">
                  <v>#N/A</v>
                </pt>
                <pt idx="105">
                  <v>#N/A</v>
                </pt>
                <pt idx="106">
                  <v>#N/A</v>
                </pt>
                <pt idx="107">
                  <v>#N/A</v>
                </pt>
                <pt idx="108">
                  <v>#N/A</v>
                </pt>
                <pt idx="109">
                  <v>#N/A</v>
                </pt>
                <pt idx="110">
                  <v>#N/A</v>
                </pt>
                <pt idx="111">
                  <v>#N/A</v>
                </pt>
                <pt idx="112">
                  <v>#N/A</v>
                </pt>
                <pt idx="113">
                  <v>#N/A</v>
                </pt>
                <pt idx="114">
                  <v>2.299</v>
                </pt>
                <pt idx="115">
                  <v>#N/A</v>
                </pt>
                <pt idx="116">
                  <v>#N/A</v>
                </pt>
                <pt idx="117">
                  <v>#N/A</v>
                </pt>
                <pt idx="118">
                  <v>#N/A</v>
                </pt>
                <pt idx="119">
                  <v>#N/A</v>
                </pt>
                <pt idx="120">
                  <v>#N/A</v>
                </pt>
                <pt idx="121">
                  <v>#N/A</v>
                </pt>
                <pt idx="122">
                  <v>#N/A</v>
                </pt>
                <pt idx="123">
                  <v>#N/A</v>
                </pt>
                <pt idx="124">
                  <v>#N/A</v>
                </pt>
                <pt idx="125">
                  <v>#N/A</v>
                </pt>
                <pt idx="126">
                  <v>#N/A</v>
                </pt>
                <pt idx="127">
                  <v>#N/A</v>
                </pt>
                <pt idx="128">
                  <v>2.621</v>
                </pt>
                <pt idx="129">
                  <v>2.644</v>
                </pt>
                <pt idx="130">
                  <v>#N/A</v>
                </pt>
                <pt idx="131">
                  <v>2.69</v>
                </pt>
                <pt idx="132">
                  <v>#N/A</v>
                </pt>
                <pt idx="133">
                  <v>#N/A</v>
                </pt>
                <pt idx="134">
                  <v>#N/A</v>
                </pt>
                <pt idx="135">
                  <v>#N/A</v>
                </pt>
                <pt idx="136">
                  <v>#N/A</v>
                </pt>
                <pt idx="137">
                  <v>#N/A</v>
                </pt>
                <pt idx="138">
                  <v>2.069</v>
                </pt>
                <pt idx="139">
                  <v>2.092</v>
                </pt>
                <pt idx="140">
                  <v>#N/A</v>
                </pt>
                <pt idx="141">
                  <v>#N/A</v>
                </pt>
                <pt idx="142">
                  <v>#N/A</v>
                </pt>
                <pt idx="143">
                  <v>#N/A</v>
                </pt>
                <pt idx="144">
                  <v>#N/A</v>
                </pt>
                <pt idx="145">
                  <v>#N/A</v>
                </pt>
                <pt idx="146">
                  <v>#N/A</v>
                </pt>
                <pt idx="147">
                  <v>#N/A</v>
                </pt>
                <pt idx="148">
                  <v>2.299</v>
                </pt>
                <pt idx="149">
                  <v>#N/A</v>
                </pt>
                <pt idx="150">
                  <v>2.345</v>
                </pt>
                <pt idx="151">
                  <v>#N/A</v>
                </pt>
                <pt idx="152">
                  <v>#N/A</v>
                </pt>
                <pt idx="153">
                  <v>#N/A</v>
                </pt>
                <pt idx="154">
                  <v>#N/A</v>
                </pt>
                <pt idx="155">
                  <v>#N/A</v>
                </pt>
                <pt idx="156">
                  <v>#N/A</v>
                </pt>
                <pt idx="157">
                  <v>#N/A</v>
                </pt>
                <pt idx="158">
                  <v>2.529</v>
                </pt>
                <pt idx="159">
                  <v>#N/A</v>
                </pt>
                <pt idx="160">
                  <v>2.575</v>
                </pt>
                <pt idx="161">
                  <v>2.598</v>
                </pt>
                <pt idx="162">
                  <v>#N/A</v>
                </pt>
                <pt idx="163">
                  <v>2.644</v>
                </pt>
                <pt idx="164">
                  <v>#N/A</v>
                </pt>
                <pt idx="165">
                  <v>#N/A</v>
                </pt>
                <pt idx="166">
                  <v>#N/A</v>
                </pt>
                <pt idx="167">
                  <v>#N/A</v>
                </pt>
                <pt idx="168">
                  <v>2.759</v>
                </pt>
                <pt idx="169">
                  <v>2</v>
                </pt>
                <pt idx="170">
                  <v>#N/A</v>
                </pt>
                <pt idx="171">
                  <v>#N/A</v>
                </pt>
                <pt idx="172">
                  <v>#N/A</v>
                </pt>
                <pt idx="173">
                  <v>#N/A</v>
                </pt>
                <pt idx="174">
                  <v>2.115</v>
                </pt>
                <pt idx="175">
                  <v>#N/A</v>
                </pt>
                <pt idx="176">
                  <v>#N/A</v>
                </pt>
                <pt idx="177">
                  <v>#N/A</v>
                </pt>
                <pt idx="178">
                  <v>#N/A</v>
                </pt>
                <pt idx="179">
                  <v>#N/A</v>
                </pt>
                <pt idx="180">
                  <v>#N/A</v>
                </pt>
                <pt idx="181">
                  <v>#N/A</v>
                </pt>
                <pt idx="182">
                  <v>#N/A</v>
                </pt>
                <pt idx="183">
                  <v>#N/A</v>
                </pt>
                <pt idx="184">
                  <v>#N/A</v>
                </pt>
                <pt idx="185">
                  <v>#N/A</v>
                </pt>
                <pt idx="186">
                  <v>#N/A</v>
                </pt>
                <pt idx="187">
                  <v>#N/A</v>
                </pt>
                <pt idx="188">
                  <v>#N/A</v>
                </pt>
                <pt idx="189">
                  <v>#N/A</v>
                </pt>
                <pt idx="190">
                  <v>2.483</v>
                </pt>
                <pt idx="191">
                  <v>#N/A</v>
                </pt>
                <pt idx="192">
                  <v>2.529</v>
                </pt>
                <pt idx="193">
                  <v>#N/A</v>
                </pt>
                <pt idx="194">
                  <v>#N/A</v>
                </pt>
                <pt idx="195">
                  <v>#N/A</v>
                </pt>
                <pt idx="196">
                  <v>#N/A</v>
                </pt>
                <pt idx="197">
                  <v>#N/A</v>
                </pt>
                <pt idx="198">
                  <v>#N/A</v>
                </pt>
                <pt idx="199">
                  <v>#N/A</v>
                </pt>
                <pt idx="200">
                  <v>#N/A</v>
                </pt>
                <pt idx="201">
                  <v>2.736</v>
                </pt>
                <pt idx="202">
                  <v>#N/A</v>
                </pt>
                <pt idx="203">
                  <v>#N/A</v>
                </pt>
                <pt idx="204">
                  <v>#N/A</v>
                </pt>
                <pt idx="205">
                  <v>#N/A</v>
                </pt>
                <pt idx="206">
                  <v>#N/A</v>
                </pt>
                <pt idx="207">
                  <v>#N/A</v>
                </pt>
                <pt idx="208">
                  <v>#N/A</v>
                </pt>
                <pt idx="209">
                  <v>#N/A</v>
                </pt>
                <pt idx="210">
                  <v>#N/A</v>
                </pt>
                <pt idx="211">
                  <v>#N/A</v>
                </pt>
                <pt idx="212">
                  <v>#N/A</v>
                </pt>
                <pt idx="213">
                  <v>#N/A</v>
                </pt>
                <pt idx="214">
                  <v>#N/A</v>
                </pt>
                <pt idx="215">
                  <v>2.276</v>
                </pt>
                <pt idx="216">
                  <v>2.299</v>
                </pt>
                <pt idx="217">
                  <v>#N/A</v>
                </pt>
                <pt idx="218">
                  <v>#N/A</v>
                </pt>
                <pt idx="219">
                  <v>#N/A</v>
                </pt>
                <pt idx="220">
                  <v>#N/A</v>
                </pt>
                <pt idx="221">
                  <v>2.414</v>
                </pt>
                <pt idx="222">
                  <v>#N/A</v>
                </pt>
                <pt idx="223">
                  <v>#N/A</v>
                </pt>
                <pt idx="224">
                  <v>#N/A</v>
                </pt>
                <pt idx="225">
                  <v>#N/A</v>
                </pt>
                <pt idx="226">
                  <v>#N/A</v>
                </pt>
                <pt idx="227">
                  <v>2.552</v>
                </pt>
                <pt idx="228">
                  <v>#N/A</v>
                </pt>
                <pt idx="229">
                  <v>#N/A</v>
                </pt>
                <pt idx="230">
                  <v>2.621</v>
                </pt>
                <pt idx="231">
                  <v>2.644</v>
                </pt>
                <pt idx="232">
                  <v>2.667</v>
                </pt>
                <pt idx="233">
                  <v>#N/A</v>
                </pt>
                <pt idx="234">
                  <v>#N/A</v>
                </pt>
                <pt idx="235">
                  <v>2.736</v>
                </pt>
                <pt idx="236">
                  <v>#N/A</v>
                </pt>
                <pt idx="237">
                  <v>#N/A</v>
                </pt>
                <pt idx="238">
                  <v>#N/A</v>
                </pt>
                <pt idx="239">
                  <v>2.046</v>
                </pt>
                <pt idx="240">
                  <v>#N/A</v>
                </pt>
                <pt idx="241">
                  <v>#N/A</v>
                </pt>
                <pt idx="242">
                  <v>#N/A</v>
                </pt>
                <pt idx="243">
                  <v>#N/A</v>
                </pt>
                <pt idx="244">
                  <v>#N/A</v>
                </pt>
                <pt idx="245">
                  <v>#N/A</v>
                </pt>
                <pt idx="246">
                  <v>2.207</v>
                </pt>
                <pt idx="247">
                  <v>2.23</v>
                </pt>
                <pt idx="248">
                  <v>#N/A</v>
                </pt>
                <pt idx="249">
                  <v>#N/A</v>
                </pt>
                <pt idx="250">
                  <v>#N/A</v>
                </pt>
                <pt idx="251">
                  <v>#N/A</v>
                </pt>
                <pt idx="252">
                  <v>#N/A</v>
                </pt>
                <pt idx="253">
                  <v>#N/A</v>
                </pt>
                <pt idx="254">
                  <v>#N/A</v>
                </pt>
                <pt idx="255">
                  <v>2.414</v>
                </pt>
                <pt idx="256">
                  <v>#N/A</v>
                </pt>
                <pt idx="257">
                  <v>#N/A</v>
                </pt>
                <pt idx="258">
                  <v>#N/A</v>
                </pt>
                <pt idx="259">
                  <v>2.506</v>
                </pt>
                <pt idx="260">
                  <v>#N/A</v>
                </pt>
                <pt idx="261">
                  <v>#N/A</v>
                </pt>
                <pt idx="262">
                  <v>#N/A</v>
                </pt>
                <pt idx="263">
                  <v>#N/A</v>
                </pt>
                <pt idx="264">
                  <v>#N/A</v>
                </pt>
                <pt idx="265">
                  <v>#N/A</v>
                </pt>
                <pt idx="266">
                  <v>#N/A</v>
                </pt>
                <pt idx="267">
                  <v>#N/A</v>
                </pt>
                <pt idx="268">
                  <v>#N/A</v>
                </pt>
                <pt idx="269">
                  <v>2.736</v>
                </pt>
                <pt idx="270">
                  <v>2.759</v>
                </pt>
                <pt idx="271">
                  <v>#N/A</v>
                </pt>
                <pt idx="272">
                  <v>#N/A</v>
                </pt>
                <pt idx="273">
                  <v>#N/A</v>
                </pt>
                <pt idx="274">
                  <v>#N/A</v>
                </pt>
                <pt idx="275">
                  <v>2.092</v>
                </pt>
                <pt idx="276">
                  <v>#N/A</v>
                </pt>
                <pt idx="277">
                  <v>#N/A</v>
                </pt>
                <pt idx="278">
                  <v>#N/A</v>
                </pt>
                <pt idx="279">
                  <v>2.184</v>
                </pt>
                <pt idx="280">
                  <v>2.207</v>
                </pt>
                <pt idx="281">
                  <v>#N/A</v>
                </pt>
                <pt idx="282">
                  <v>#N/A</v>
                </pt>
                <pt idx="283">
                  <v>2.276</v>
                </pt>
                <pt idx="284">
                  <v>#N/A</v>
                </pt>
                <pt idx="285">
                  <v>#N/A</v>
                </pt>
                <pt idx="286">
                  <v>#N/A</v>
                </pt>
                <pt idx="287">
                  <v>2.368</v>
                </pt>
                <pt idx="288">
                  <v>#N/A</v>
                </pt>
                <pt idx="289">
                  <v>#N/A</v>
                </pt>
                <pt idx="290">
                  <v>#N/A</v>
                </pt>
                <pt idx="291">
                  <v>#N/A</v>
                </pt>
                <pt idx="292">
                  <v>#N/A</v>
                </pt>
                <pt idx="293">
                  <v>#N/A</v>
                </pt>
                <pt idx="294">
                  <v>#N/A</v>
                </pt>
                <pt idx="295">
                  <v>#N/A</v>
                </pt>
                <pt idx="296">
                  <v>#N/A</v>
                </pt>
                <pt idx="297">
                  <v>#N/A</v>
                </pt>
                <pt idx="298">
                  <v>#N/A</v>
                </pt>
                <pt idx="299">
                  <v>#N/A</v>
                </pt>
                <pt idx="300">
                  <v>#N/A</v>
                </pt>
                <pt idx="301">
                  <v>#N/A</v>
                </pt>
                <pt idx="302">
                  <v>#N/A</v>
                </pt>
                <pt idx="303">
                  <v>#N/A</v>
                </pt>
                <pt idx="304">
                  <v>#N/A</v>
                </pt>
                <pt idx="305">
                  <v>2</v>
                </pt>
                <pt idx="306">
                  <v>#N/A</v>
                </pt>
                <pt idx="307">
                  <v>#N/A</v>
                </pt>
                <pt idx="308">
                  <v>#N/A</v>
                </pt>
                <pt idx="309">
                  <v>#N/A</v>
                </pt>
                <pt idx="310">
                  <v>#N/A</v>
                </pt>
                <pt idx="311">
                  <v>#N/A</v>
                </pt>
                <pt idx="312">
                  <v>#N/A</v>
                </pt>
                <pt idx="313">
                  <v>#N/A</v>
                </pt>
                <pt idx="314">
                  <v>#N/A</v>
                </pt>
                <pt idx="315">
                  <v>#N/A</v>
                </pt>
                <pt idx="316">
                  <v>#N/A</v>
                </pt>
                <pt idx="317">
                  <v>#N/A</v>
                </pt>
                <pt idx="318">
                  <v>#N/A</v>
                </pt>
                <pt idx="319">
                  <v>#N/A</v>
                </pt>
                <pt idx="320">
                  <v>#N/A</v>
                </pt>
                <pt idx="321">
                  <v>#N/A</v>
                </pt>
                <pt idx="322">
                  <v>#N/A</v>
                </pt>
                <pt idx="323">
                  <v>#N/A</v>
                </pt>
                <pt idx="324">
                  <v>2.437</v>
                </pt>
                <pt idx="325">
                  <v>#N/A</v>
                </pt>
                <pt idx="326">
                  <v>#N/A</v>
                </pt>
                <pt idx="327">
                  <v>#N/A</v>
                </pt>
                <pt idx="328">
                  <v>#N/A</v>
                </pt>
                <pt idx="329">
                  <v>#N/A</v>
                </pt>
                <pt idx="330">
                  <v>#N/A</v>
                </pt>
                <pt idx="331">
                  <v>#N/A</v>
                </pt>
                <pt idx="332">
                  <v>#N/A</v>
                </pt>
                <pt idx="333">
                  <v>#N/A</v>
                </pt>
                <pt idx="334">
                  <v>#N/A</v>
                </pt>
                <pt idx="335">
                  <v>#N/A</v>
                </pt>
                <pt idx="336">
                  <v>#N/A</v>
                </pt>
                <pt idx="337">
                  <v>#N/A</v>
                </pt>
                <pt idx="338">
                  <v>#N/A</v>
                </pt>
                <pt idx="339">
                  <v>#N/A</v>
                </pt>
                <pt idx="340">
                  <v>#N/A</v>
                </pt>
                <pt idx="341">
                  <v>#N/A</v>
                </pt>
                <pt idx="342">
                  <v>#N/A</v>
                </pt>
                <pt idx="343">
                  <v>#N/A</v>
                </pt>
                <pt idx="344">
                  <v>#N/A</v>
                </pt>
                <pt idx="345">
                  <v>#N/A</v>
                </pt>
                <pt idx="346">
                  <v>#N/A</v>
                </pt>
                <pt idx="347">
                  <v>#N/A</v>
                </pt>
                <pt idx="348">
                  <v>#N/A</v>
                </pt>
                <pt idx="349">
                  <v>#N/A</v>
                </pt>
                <pt idx="350">
                  <v>#N/A</v>
                </pt>
                <pt idx="351">
                  <v>#N/A</v>
                </pt>
                <pt idx="352">
                  <v>#N/A</v>
                </pt>
                <pt idx="353">
                  <v>#N/A</v>
                </pt>
                <pt idx="354">
                  <v>2.345</v>
                </pt>
                <pt idx="355">
                  <v>2.368</v>
                </pt>
                <pt idx="356">
                  <v>#N/A</v>
                </pt>
                <pt idx="357">
                  <v>#N/A</v>
                </pt>
                <pt idx="358">
                  <v>#N/A</v>
                </pt>
                <pt idx="359">
                  <v>#N/A</v>
                </pt>
                <pt idx="360">
                  <v>#N/A</v>
                </pt>
                <pt idx="361">
                  <v>#N/A</v>
                </pt>
                <pt idx="362">
                  <v>#N/A</v>
                </pt>
                <pt idx="363">
                  <v>#N/A</v>
                </pt>
                <pt idx="364">
                  <v>#N/A</v>
                </pt>
                <pt idx="365">
                  <v>#N/A</v>
                </pt>
                <pt idx="366">
                  <v>#N/A</v>
                </pt>
                <pt idx="367">
                  <v>#N/A</v>
                </pt>
                <pt idx="368">
                  <v>#N/A</v>
                </pt>
                <pt idx="369">
                  <v>#N/A</v>
                </pt>
                <pt idx="370">
                  <v>2.713</v>
                </pt>
                <pt idx="371">
                  <v>#N/A</v>
                </pt>
                <pt idx="372">
                  <v>2.759</v>
                </pt>
                <pt idx="373">
                  <v>2</v>
                </pt>
                <pt idx="374">
                  <v>#N/A</v>
                </pt>
                <pt idx="375">
                  <v>2.046</v>
                </pt>
                <pt idx="376">
                  <v>2.069</v>
                </pt>
                <pt idx="377">
                  <v>#N/A</v>
                </pt>
                <pt idx="378">
                  <v>2.115</v>
                </pt>
                <pt idx="379">
                  <v>#N/A</v>
                </pt>
                <pt idx="380">
                  <v>#N/A</v>
                </pt>
                <pt idx="381">
                  <v>#N/A</v>
                </pt>
                <pt idx="382">
                  <v>#N/A</v>
                </pt>
                <pt idx="383">
                  <v>#N/A</v>
                </pt>
                <pt idx="384">
                  <v>#N/A</v>
                </pt>
                <pt idx="385">
                  <v>#N/A</v>
                </pt>
                <pt idx="386">
                  <v>2.299</v>
                </pt>
                <pt idx="387">
                  <v>#N/A</v>
                </pt>
                <pt idx="388">
                  <v>#N/A</v>
                </pt>
                <pt idx="389">
                  <v>#N/A</v>
                </pt>
                <pt idx="390">
                  <v>2.391</v>
                </pt>
                <pt idx="391">
                  <v>#N/A</v>
                </pt>
                <pt idx="392">
                  <v>2.437</v>
                </pt>
                <pt idx="393">
                  <v>#N/A</v>
                </pt>
                <pt idx="394">
                  <v>2.483</v>
                </pt>
                <pt idx="395">
                  <v>#N/A</v>
                </pt>
                <pt idx="396">
                  <v>#N/A</v>
                </pt>
                <pt idx="397">
                  <v>#N/A</v>
                </pt>
                <pt idx="398">
                  <v>#N/A</v>
                </pt>
                <pt idx="399">
                  <v>#N/A</v>
                </pt>
                <pt idx="400">
                  <v>#N/A</v>
                </pt>
                <pt idx="401">
                  <v>2.644</v>
                </pt>
                <pt idx="402">
                  <v>#N/A</v>
                </pt>
                <pt idx="403">
                  <v>#N/A</v>
                </pt>
                <pt idx="404">
                  <v>2.713</v>
                </pt>
                <pt idx="405">
                  <v>#N/A</v>
                </pt>
                <pt idx="406">
                  <v>#N/A</v>
                </pt>
                <pt idx="407">
                  <v>2</v>
                </pt>
                <pt idx="408">
                  <v>2.023</v>
                </pt>
                <pt idx="409">
                  <v>2.046</v>
                </pt>
                <pt idx="410">
                  <v>2.069</v>
                </pt>
                <pt idx="411">
                  <v>2.092</v>
                </pt>
                <pt idx="412">
                  <v>#N/A</v>
                </pt>
                <pt idx="413">
                  <v>#N/A</v>
                </pt>
                <pt idx="414">
                  <v>#N/A</v>
                </pt>
                <pt idx="415">
                  <v>#N/A</v>
                </pt>
                <pt idx="416">
                  <v>#N/A</v>
                </pt>
                <pt idx="417">
                  <v>#N/A</v>
                </pt>
                <pt idx="418">
                  <v>#N/A</v>
                </pt>
                <pt idx="419">
                  <v>#N/A</v>
                </pt>
                <pt idx="420">
                  <v>#N/A</v>
                </pt>
                <pt idx="421">
                  <v>#N/A</v>
                </pt>
                <pt idx="422">
                  <v>2.345</v>
                </pt>
                <pt idx="423">
                  <v>#N/A</v>
                </pt>
                <pt idx="424">
                  <v>#N/A</v>
                </pt>
                <pt idx="425">
                  <v>#N/A</v>
                </pt>
                <pt idx="426">
                  <v>#N/A</v>
                </pt>
                <pt idx="427">
                  <v>#N/A</v>
                </pt>
                <pt idx="428">
                  <v>#N/A</v>
                </pt>
                <pt idx="429">
                  <v>#N/A</v>
                </pt>
                <pt idx="430">
                  <v>#N/A</v>
                </pt>
                <pt idx="431">
                  <v>#N/A</v>
                </pt>
                <pt idx="432">
                  <v>2.575</v>
                </pt>
                <pt idx="433">
                  <v>#N/A</v>
                </pt>
                <pt idx="434">
                  <v>#N/A</v>
                </pt>
                <pt idx="435">
                  <v>#N/A</v>
                </pt>
                <pt idx="436">
                  <v>#N/A</v>
                </pt>
                <pt idx="437">
                  <v>#N/A</v>
                </pt>
                <pt idx="438">
                  <v>2.713</v>
                </pt>
                <pt idx="439">
                  <v>#N/A</v>
                </pt>
                <pt idx="440">
                  <v>#N/A</v>
                </pt>
                <pt idx="441">
                  <v>2</v>
                </pt>
                <pt idx="442">
                  <v>#N/A</v>
                </pt>
                <pt idx="443">
                  <v>2.046</v>
                </pt>
                <pt idx="444">
                  <v>#N/A</v>
                </pt>
                <pt idx="445">
                  <v>#N/A</v>
                </pt>
                <pt idx="446">
                  <v>#N/A</v>
                </pt>
                <pt idx="447">
                  <v>#N/A</v>
                </pt>
                <pt idx="448">
                  <v>#N/A</v>
                </pt>
                <pt idx="449">
                  <v>#N/A</v>
                </pt>
                <pt idx="450">
                  <v>#N/A</v>
                </pt>
                <pt idx="451">
                  <v>#N/A</v>
                </pt>
                <pt idx="452">
                  <v>#N/A</v>
                </pt>
                <pt idx="453">
                  <v>#N/A</v>
                </pt>
                <pt idx="454">
                  <v>#N/A</v>
                </pt>
                <pt idx="455">
                  <v>#N/A</v>
                </pt>
                <pt idx="456">
                  <v>#N/A</v>
                </pt>
                <pt idx="457">
                  <v>#N/A</v>
                </pt>
                <pt idx="458">
                  <v>#N/A</v>
                </pt>
                <pt idx="459">
                  <v>#N/A</v>
                </pt>
                <pt idx="460">
                  <v>#N/A</v>
                </pt>
                <pt idx="461">
                  <v>#N/A</v>
                </pt>
                <pt idx="462">
                  <v>#N/A</v>
                </pt>
                <pt idx="463">
                  <v>#N/A</v>
                </pt>
                <pt idx="464">
                  <v>#N/A</v>
                </pt>
                <pt idx="465">
                  <v>#N/A</v>
                </pt>
                <pt idx="466">
                  <v>#N/A</v>
                </pt>
                <pt idx="467">
                  <v>#N/A</v>
                </pt>
                <pt idx="468">
                  <v>#N/A</v>
                </pt>
                <pt idx="469">
                  <v>#N/A</v>
                </pt>
                <pt idx="470">
                  <v>#N/A</v>
                </pt>
                <pt idx="471">
                  <v>#N/A</v>
                </pt>
                <pt idx="472">
                  <v>#N/A</v>
                </pt>
                <pt idx="473">
                  <v>#N/A</v>
                </pt>
                <pt idx="474">
                  <v>#N/A</v>
                </pt>
                <pt idx="475">
                  <v>#N/A</v>
                </pt>
                <pt idx="476">
                  <v>#N/A</v>
                </pt>
                <pt idx="477">
                  <v>#N/A</v>
                </pt>
                <pt idx="478">
                  <v>#N/A</v>
                </pt>
                <pt idx="479">
                  <v>#N/A</v>
                </pt>
                <pt idx="480">
                  <v>#N/A</v>
                </pt>
                <pt idx="481">
                  <v>2.138</v>
                </pt>
                <pt idx="482">
                  <v>#N/A</v>
                </pt>
                <pt idx="483">
                  <v>#N/A</v>
                </pt>
                <pt idx="484">
                  <v>#N/A</v>
                </pt>
                <pt idx="485">
                  <v>#N/A</v>
                </pt>
                <pt idx="486">
                  <v>#N/A</v>
                </pt>
                <pt idx="487">
                  <v>#N/A</v>
                </pt>
                <pt idx="488">
                  <v>#N/A</v>
                </pt>
                <pt idx="489">
                  <v>#N/A</v>
                </pt>
                <pt idx="490">
                  <v>#N/A</v>
                </pt>
                <pt idx="491">
                  <v>#N/A</v>
                </pt>
                <pt idx="492">
                  <v>#N/A</v>
                </pt>
                <pt idx="493">
                  <v>2.414</v>
                </pt>
                <pt idx="494">
                  <v>#N/A</v>
                </pt>
                <pt idx="495">
                  <v>#N/A</v>
                </pt>
                <pt idx="496">
                  <v>#N/A</v>
                </pt>
                <pt idx="497">
                  <v>#N/A</v>
                </pt>
                <pt idx="498">
                  <v>2.529</v>
                </pt>
                <pt idx="499">
                  <v>#N/A</v>
                </pt>
                <pt idx="500">
                  <v>2.575</v>
                </pt>
                <pt idx="501">
                  <v>#N/A</v>
                </pt>
                <pt idx="502">
                  <v>#N/A</v>
                </pt>
                <pt idx="503">
                  <v>2.644</v>
                </pt>
                <pt idx="504">
                  <v>#N/A</v>
                </pt>
                <pt idx="505">
                  <v>#N/A</v>
                </pt>
                <pt idx="506">
                  <v>2.713</v>
                </pt>
                <pt idx="507">
                  <v>#N/A</v>
                </pt>
                <pt idx="508">
                  <v>#N/A</v>
                </pt>
                <pt idx="509">
                  <v>#N/A</v>
                </pt>
                <pt idx="510">
                  <v>#N/A</v>
                </pt>
                <pt idx="511">
                  <v>#N/A</v>
                </pt>
                <pt idx="512">
                  <v>#N/A</v>
                </pt>
                <pt idx="513">
                  <v>#N/A</v>
                </pt>
                <pt idx="514">
                  <v>#N/A</v>
                </pt>
                <pt idx="515">
                  <v>#N/A</v>
                </pt>
                <pt idx="516">
                  <v>#N/A</v>
                </pt>
                <pt idx="517">
                  <v>#N/A</v>
                </pt>
                <pt idx="518">
                  <v>#N/A</v>
                </pt>
                <pt idx="519">
                  <v>#N/A</v>
                </pt>
                <pt idx="520">
                  <v>#N/A</v>
                </pt>
                <pt idx="521">
                  <v>#N/A</v>
                </pt>
                <pt idx="522">
                  <v>#N/A</v>
                </pt>
                <pt idx="523">
                  <v>2.322</v>
                </pt>
                <pt idx="524">
                  <v>#N/A</v>
                </pt>
                <pt idx="525">
                  <v>#N/A</v>
                </pt>
                <pt idx="526">
                  <v>#N/A</v>
                </pt>
                <pt idx="527">
                  <v>#N/A</v>
                </pt>
                <pt idx="528">
                  <v>2.437</v>
                </pt>
                <pt idx="529">
                  <v>#N/A</v>
                </pt>
                <pt idx="530">
                  <v>#N/A</v>
                </pt>
                <pt idx="531">
                  <v>#N/A</v>
                </pt>
                <pt idx="532">
                  <v>#N/A</v>
                </pt>
                <pt idx="533">
                  <v>2.552</v>
                </pt>
                <pt idx="534">
                  <v>#N/A</v>
                </pt>
                <pt idx="535">
                  <v>#N/A</v>
                </pt>
                <pt idx="536">
                  <v>#N/A</v>
                </pt>
                <pt idx="537">
                  <v>#N/A</v>
                </pt>
                <pt idx="538">
                  <v>#N/A</v>
                </pt>
                <pt idx="539">
                  <v>#N/A</v>
                </pt>
                <pt idx="540">
                  <v>2.713</v>
                </pt>
                <pt idx="541">
                  <v>#N/A</v>
                </pt>
                <pt idx="542">
                  <v>#N/A</v>
                </pt>
                <pt idx="543">
                  <v>#N/A</v>
                </pt>
                <pt idx="544">
                  <v>#N/A</v>
                </pt>
                <pt idx="545">
                  <v>#N/A</v>
                </pt>
                <pt idx="546">
                  <v>2.069</v>
                </pt>
                <pt idx="547">
                  <v>2.092</v>
                </pt>
                <pt idx="548">
                  <v>2.115</v>
                </pt>
                <pt idx="549">
                  <v>#N/A</v>
                </pt>
                <pt idx="550">
                  <v>#N/A</v>
                </pt>
                <pt idx="551">
                  <v>#N/A</v>
                </pt>
                <pt idx="552">
                  <v>#N/A</v>
                </pt>
                <pt idx="553">
                  <v>#N/A</v>
                </pt>
                <pt idx="554">
                  <v>#N/A</v>
                </pt>
                <pt idx="555">
                  <v>2.276</v>
                </pt>
                <pt idx="556">
                  <v>2.299</v>
                </pt>
                <pt idx="557">
                  <v>2.322</v>
                </pt>
                <pt idx="558">
                  <v>#N/A</v>
                </pt>
                <pt idx="559">
                  <v>#N/A</v>
                </pt>
                <pt idx="560">
                  <v>2.391</v>
                </pt>
                <pt idx="561">
                  <v>#N/A</v>
                </pt>
                <pt idx="562">
                  <v>#N/A</v>
                </pt>
                <pt idx="563">
                  <v>#N/A</v>
                </pt>
                <pt idx="564">
                  <v>#N/A</v>
                </pt>
                <pt idx="565">
                  <v>#N/A</v>
                </pt>
                <pt idx="566">
                  <v>2.529</v>
                </pt>
                <pt idx="567">
                  <v>#N/A</v>
                </pt>
                <pt idx="568">
                  <v>#N/A</v>
                </pt>
                <pt idx="569">
                  <v>#N/A</v>
                </pt>
                <pt idx="570">
                  <v>#N/A</v>
                </pt>
                <pt idx="571">
                  <v>#N/A</v>
                </pt>
                <pt idx="572">
                  <v>#N/A</v>
                </pt>
                <pt idx="573">
                  <v>#N/A</v>
                </pt>
                <pt idx="574">
                  <v>#N/A</v>
                </pt>
                <pt idx="575">
                  <v>#N/A</v>
                </pt>
                <pt idx="576">
                  <v>2.759</v>
                </pt>
                <pt idx="577">
                  <v>#N/A</v>
                </pt>
                <pt idx="578">
                  <v>#N/A</v>
                </pt>
                <pt idx="579">
                  <v>#N/A</v>
                </pt>
                <pt idx="580">
                  <v>#N/A</v>
                </pt>
                <pt idx="581">
                  <v>#N/A</v>
                </pt>
                <pt idx="582">
                  <v>#N/A</v>
                </pt>
                <pt idx="583">
                  <v>#N/A</v>
                </pt>
                <pt idx="584">
                  <v>#N/A</v>
                </pt>
                <pt idx="585">
                  <v>#N/A</v>
                </pt>
                <pt idx="586">
                  <v>#N/A</v>
                </pt>
                <pt idx="587">
                  <v>2.23</v>
                </pt>
                <pt idx="588">
                  <v>#N/A</v>
                </pt>
                <pt idx="589">
                  <v>#N/A</v>
                </pt>
                <pt idx="590">
                  <v>#N/A</v>
                </pt>
                <pt idx="591">
                  <v>#N/A</v>
                </pt>
                <pt idx="592">
                  <v>#N/A</v>
                </pt>
                <pt idx="593">
                  <v>2.368</v>
                </pt>
                <pt idx="594">
                  <v>#N/A</v>
                </pt>
                <pt idx="595">
                  <v>#N/A</v>
                </pt>
                <pt idx="596">
                  <v>#N/A</v>
                </pt>
                <pt idx="597">
                  <v>2.46</v>
                </pt>
                <pt idx="598">
                  <v>#N/A</v>
                </pt>
                <pt idx="599">
                  <v>#N/A</v>
                </pt>
                <pt idx="600">
                  <v>#N/A</v>
                </pt>
                <pt idx="601">
                  <v>#N/A</v>
                </pt>
                <pt idx="602">
                  <v>#N/A</v>
                </pt>
                <pt idx="603">
                  <v>#N/A</v>
                </pt>
                <pt idx="604">
                  <v>#N/A</v>
                </pt>
                <pt idx="605">
                  <v>2.644</v>
                </pt>
                <pt idx="606">
                  <v>2.667</v>
                </pt>
                <pt idx="607">
                  <v>#N/A</v>
                </pt>
                <pt idx="608">
                  <v>2.713</v>
                </pt>
                <pt idx="609">
                  <v>#N/A</v>
                </pt>
                <pt idx="610">
                  <v>#N/A</v>
                </pt>
                <pt idx="611">
                  <v>#N/A</v>
                </pt>
                <pt idx="612">
                  <v>#N/A</v>
                </pt>
                <pt idx="613">
                  <v>#N/A</v>
                </pt>
                <pt idx="614">
                  <v>2.069</v>
                </pt>
                <pt idx="615">
                  <v>2.092</v>
                </pt>
                <pt idx="616">
                  <v>2.115</v>
                </pt>
                <pt idx="617">
                  <v>#N/A</v>
                </pt>
                <pt idx="618">
                  <v>#N/A</v>
                </pt>
                <pt idx="619">
                  <v>#N/A</v>
                </pt>
                <pt idx="620">
                  <v>#N/A</v>
                </pt>
                <pt idx="621">
                  <v>#N/A</v>
                </pt>
                <pt idx="622">
                  <v>#N/A</v>
                </pt>
                <pt idx="623">
                  <v>#N/A</v>
                </pt>
                <pt idx="624">
                  <v>#N/A</v>
                </pt>
                <pt idx="625">
                  <v>#N/A</v>
                </pt>
                <pt idx="626">
                  <v>#N/A</v>
                </pt>
                <pt idx="627">
                  <v>#N/A</v>
                </pt>
                <pt idx="628">
                  <v>#N/A</v>
                </pt>
                <pt idx="629">
                  <v>#N/A</v>
                </pt>
                <pt idx="630">
                  <v>#N/A</v>
                </pt>
                <pt idx="631">
                  <v>2.46</v>
                </pt>
                <pt idx="632">
                  <v>#N/A</v>
                </pt>
                <pt idx="633">
                  <v>#N/A</v>
                </pt>
                <pt idx="634">
                  <v>#N/A</v>
                </pt>
                <pt idx="635">
                  <v>#N/A</v>
                </pt>
                <pt idx="636">
                  <v>2.575</v>
                </pt>
                <pt idx="637">
                  <v>#N/A</v>
                </pt>
                <pt idx="638">
                  <v>#N/A</v>
                </pt>
                <pt idx="639">
                  <v>#N/A</v>
                </pt>
                <pt idx="640">
                  <v>#N/A</v>
                </pt>
                <pt idx="641">
                  <v>#N/A</v>
                </pt>
                <pt idx="642">
                  <v>#N/A</v>
                </pt>
                <pt idx="643">
                  <v>#N/A</v>
                </pt>
                <pt idx="644">
                  <v>#N/A</v>
                </pt>
                <pt idx="645">
                  <v>#N/A</v>
                </pt>
                <pt idx="646">
                  <v>#N/A</v>
                </pt>
                <pt idx="647">
                  <v>#N/A</v>
                </pt>
                <pt idx="648">
                  <v>#N/A</v>
                </pt>
                <pt idx="649">
                  <v>2.092</v>
                </pt>
                <pt idx="650">
                  <v>#N/A</v>
                </pt>
                <pt idx="651">
                  <v>2.138</v>
                </pt>
                <pt idx="652">
                  <v>#N/A</v>
                </pt>
                <pt idx="653">
                  <v>#N/A</v>
                </pt>
                <pt idx="654">
                  <v>2.207</v>
                </pt>
                <pt idx="655">
                  <v>#N/A</v>
                </pt>
                <pt idx="656">
                  <v>#N/A</v>
                </pt>
                <pt idx="657">
                  <v>#N/A</v>
                </pt>
                <pt idx="658">
                  <v>#N/A</v>
                </pt>
                <pt idx="659">
                  <v>#N/A</v>
                </pt>
                <pt idx="660">
                  <v>#N/A</v>
                </pt>
                <pt idx="661">
                  <v>#N/A</v>
                </pt>
                <pt idx="662">
                  <v>#N/A</v>
                </pt>
                <pt idx="663">
                  <v>2.414</v>
                </pt>
                <pt idx="664">
                  <v>#N/A</v>
                </pt>
                <pt idx="665">
                  <v>#N/A</v>
                </pt>
                <pt idx="666">
                  <v>#N/A</v>
                </pt>
                <pt idx="667">
                  <v>#N/A</v>
                </pt>
                <pt idx="668">
                  <v>#N/A</v>
                </pt>
                <pt idx="669">
                  <v>#N/A</v>
                </pt>
                <pt idx="670">
                  <v>2.575</v>
                </pt>
                <pt idx="671">
                  <v>#N/A</v>
                </pt>
                <pt idx="672">
                  <v>#N/A</v>
                </pt>
                <pt idx="673">
                  <v>#N/A</v>
                </pt>
                <pt idx="674">
                  <v>#N/A</v>
                </pt>
                <pt idx="675">
                  <v>#N/A</v>
                </pt>
                <pt idx="676">
                  <v>#N/A</v>
                </pt>
                <pt idx="677">
                  <v>#N/A</v>
                </pt>
                <pt idx="678">
                  <v>#N/A</v>
                </pt>
                <pt idx="679">
                  <v>2</v>
                </pt>
                <pt idx="680">
                  <v>#N/A</v>
                </pt>
                <pt idx="681">
                  <v>#N/A</v>
                </pt>
                <pt idx="682">
                  <v>#N/A</v>
                </pt>
                <pt idx="683">
                  <v>#N/A</v>
                </pt>
                <pt idx="684">
                  <v>#N/A</v>
                </pt>
                <pt idx="685">
                  <v>#N/A</v>
                </pt>
                <pt idx="686">
                  <v>#N/A</v>
                </pt>
                <pt idx="687">
                  <v>#N/A</v>
                </pt>
                <pt idx="688">
                  <v>#N/A</v>
                </pt>
                <pt idx="689">
                  <v>#N/A</v>
                </pt>
                <pt idx="690">
                  <v>#N/A</v>
                </pt>
                <pt idx="691">
                  <v>#N/A</v>
                </pt>
                <pt idx="692">
                  <v>#N/A</v>
                </pt>
                <pt idx="693">
                  <v>#N/A</v>
                </pt>
                <pt idx="694">
                  <v>#N/A</v>
                </pt>
                <pt idx="695">
                  <v>#N/A</v>
                </pt>
                <pt idx="696">
                  <v>#N/A</v>
                </pt>
                <pt idx="697">
                  <v>#N/A</v>
                </pt>
                <pt idx="698">
                  <v>2.437</v>
                </pt>
                <pt idx="699">
                  <v>#N/A</v>
                </pt>
                <pt idx="700">
                  <v>2.483</v>
                </pt>
                <pt idx="701">
                  <v>#N/A</v>
                </pt>
                <pt idx="702">
                  <v>#N/A</v>
                </pt>
                <pt idx="703">
                  <v>#N/A</v>
                </pt>
                <pt idx="704">
                  <v>2.575</v>
                </pt>
                <pt idx="705">
                  <v>2.598</v>
                </pt>
                <pt idx="706">
                  <v>#N/A</v>
                </pt>
                <pt idx="707">
                  <v>2.644</v>
                </pt>
                <pt idx="708">
                  <v>#N/A</v>
                </pt>
                <pt idx="709">
                  <v>#N/A</v>
                </pt>
                <pt idx="710">
                  <v>#N/A</v>
                </pt>
                <pt idx="711">
                  <v>#N/A</v>
                </pt>
                <pt idx="712">
                  <v>#N/A</v>
                </pt>
                <pt idx="713">
                  <v>#N/A</v>
                </pt>
                <pt idx="714">
                  <v>#N/A</v>
                </pt>
                <pt idx="715">
                  <v>#N/A</v>
                </pt>
                <pt idx="716">
                  <v>#N/A</v>
                </pt>
                <pt idx="717">
                  <v>#N/A</v>
                </pt>
                <pt idx="718">
                  <v>#N/A</v>
                </pt>
                <pt idx="719">
                  <v>#N/A</v>
                </pt>
                <pt idx="720">
                  <v>#N/A</v>
                </pt>
                <pt idx="721">
                  <v>2.184</v>
                </pt>
                <pt idx="722">
                  <v>#N/A</v>
                </pt>
                <pt idx="723">
                  <v>#N/A</v>
                </pt>
                <pt idx="724">
                  <v>#N/A</v>
                </pt>
                <pt idx="725">
                  <v>#N/A</v>
                </pt>
                <pt idx="726">
                  <v>#N/A</v>
                </pt>
                <pt idx="727">
                  <v>2.322</v>
                </pt>
                <pt idx="728">
                  <v>#N/A</v>
                </pt>
                <pt idx="729">
                  <v>#N/A</v>
                </pt>
                <pt idx="730">
                  <v>2.391</v>
                </pt>
                <pt idx="731">
                  <v>#N/A</v>
                </pt>
                <pt idx="732">
                  <v>#N/A</v>
                </pt>
                <pt idx="733">
                  <v>#N/A</v>
                </pt>
                <pt idx="734">
                  <v>2.483</v>
                </pt>
                <pt idx="735">
                  <v>#N/A</v>
                </pt>
                <pt idx="736">
                  <v>#N/A</v>
                </pt>
                <pt idx="737">
                  <v>2.552</v>
                </pt>
                <pt idx="738">
                  <v>#N/A</v>
                </pt>
                <pt idx="739">
                  <v>#N/A</v>
                </pt>
                <pt idx="740">
                  <v>#N/A</v>
                </pt>
                <pt idx="741">
                  <v>#N/A</v>
                </pt>
                <pt idx="742">
                  <v>#N/A</v>
                </pt>
                <pt idx="743">
                  <v>#N/A</v>
                </pt>
                <pt idx="744">
                  <v>#N/A</v>
                </pt>
                <pt idx="745">
                  <v>#N/A</v>
                </pt>
                <pt idx="746">
                  <v>2.759</v>
                </pt>
                <pt idx="747">
                  <v>2</v>
                </pt>
                <pt idx="748">
                  <v>#N/A</v>
                </pt>
                <pt idx="749">
                  <v>2.046</v>
                </pt>
                <pt idx="750">
                  <v>2.069</v>
                </pt>
                <pt idx="751">
                  <v>#N/A</v>
                </pt>
                <pt idx="752">
                  <v>2.115</v>
                </pt>
                <pt idx="753">
                  <v>#N/A</v>
                </pt>
                <pt idx="754">
                  <v>#N/A</v>
                </pt>
                <pt idx="755">
                  <v>#N/A</v>
                </pt>
                <pt idx="756">
                  <v>#N/A</v>
                </pt>
                <pt idx="757">
                  <v>#N/A</v>
                </pt>
                <pt idx="758">
                  <v>#N/A</v>
                </pt>
                <pt idx="759">
                  <v>#N/A</v>
                </pt>
                <pt idx="760">
                  <v>2.299</v>
                </pt>
                <pt idx="761">
                  <v>#N/A</v>
                </pt>
                <pt idx="762">
                  <v>#N/A</v>
                </pt>
                <pt idx="763">
                  <v>#N/A</v>
                </pt>
                <pt idx="764">
                  <v>#N/A</v>
                </pt>
                <pt idx="765">
                  <v>#N/A</v>
                </pt>
                <pt idx="766">
                  <v>2.437</v>
                </pt>
                <pt idx="767">
                  <v>#N/A</v>
                </pt>
                <pt idx="768">
                  <v>#N/A</v>
                </pt>
                <pt idx="769">
                  <v>#N/A</v>
                </pt>
                <pt idx="770">
                  <v>#N/A</v>
                </pt>
                <pt idx="771">
                  <v>#N/A</v>
                </pt>
                <pt idx="772">
                  <v>#N/A</v>
                </pt>
                <pt idx="773">
                  <v>#N/A</v>
                </pt>
                <pt idx="774">
                  <v>#N/A</v>
                </pt>
                <pt idx="775">
                  <v>#N/A</v>
                </pt>
                <pt idx="776">
                  <v>#N/A</v>
                </pt>
                <pt idx="777">
                  <v>2.69</v>
                </pt>
                <pt idx="778">
                  <v>#N/A</v>
                </pt>
                <pt idx="779">
                  <v>2.736</v>
                </pt>
                <pt idx="780">
                  <v>#N/A</v>
                </pt>
                <pt idx="781">
                  <v>#N/A</v>
                </pt>
                <pt idx="782">
                  <v>#N/A</v>
                </pt>
                <pt idx="783">
                  <v>#N/A</v>
                </pt>
                <pt idx="784">
                  <v>#N/A</v>
                </pt>
                <pt idx="785">
                  <v>#N/A</v>
                </pt>
                <pt idx="786">
                  <v>#N/A</v>
                </pt>
                <pt idx="787">
                  <v>#N/A</v>
                </pt>
                <pt idx="788">
                  <v>#N/A</v>
                </pt>
                <pt idx="789">
                  <v>#N/A</v>
                </pt>
                <pt idx="790">
                  <v>2.207</v>
                </pt>
                <pt idx="791">
                  <v>#N/A</v>
                </pt>
                <pt idx="792">
                  <v>#N/A</v>
                </pt>
                <pt idx="793">
                  <v>#N/A</v>
                </pt>
                <pt idx="794">
                  <v>#N/A</v>
                </pt>
                <pt idx="795">
                  <v>#N/A</v>
                </pt>
                <pt idx="796">
                  <v>#N/A</v>
                </pt>
                <pt idx="797">
                  <v>#N/A</v>
                </pt>
                <pt idx="798">
                  <v>#N/A</v>
                </pt>
                <pt idx="799">
                  <v>#N/A</v>
                </pt>
                <pt idx="800">
                  <v>#N/A</v>
                </pt>
                <pt idx="801">
                  <v>#N/A</v>
                </pt>
                <pt idx="802">
                  <v>#N/A</v>
                </pt>
                <pt idx="803">
                  <v>#N/A</v>
                </pt>
                <pt idx="804">
                  <v>#N/A</v>
                </pt>
                <pt idx="805">
                  <v>#N/A</v>
                </pt>
                <pt idx="806">
                  <v>#N/A</v>
                </pt>
                <pt idx="807">
                  <v>#N/A</v>
                </pt>
                <pt idx="808">
                  <v>#N/A</v>
                </pt>
                <pt idx="809">
                  <v>2.644</v>
                </pt>
                <pt idx="810">
                  <v>#N/A</v>
                </pt>
                <pt idx="811">
                  <v>#N/A</v>
                </pt>
                <pt idx="812">
                  <v>#N/A</v>
                </pt>
                <pt idx="813">
                  <v>#N/A</v>
                </pt>
                <pt idx="814">
                  <v>2.759</v>
                </pt>
                <pt idx="815">
                  <v>2</v>
                </pt>
                <pt idx="816">
                  <v>#N/A</v>
                </pt>
                <pt idx="817">
                  <v>#N/A</v>
                </pt>
                <pt idx="818">
                  <v>#N/A</v>
                </pt>
                <pt idx="819">
                  <v>2.092</v>
                </pt>
                <pt idx="820">
                  <v>#N/A</v>
                </pt>
                <pt idx="821">
                  <v>2.138</v>
                </pt>
                <pt idx="822">
                  <v>#N/A</v>
                </pt>
                <pt idx="823">
                  <v>2.184</v>
                </pt>
                <pt idx="824">
                  <v>#N/A</v>
                </pt>
                <pt idx="825">
                  <v>#N/A</v>
                </pt>
                <pt idx="826">
                  <v>#N/A</v>
                </pt>
                <pt idx="827">
                  <v>#N/A</v>
                </pt>
                <pt idx="828">
                  <v>2.299</v>
                </pt>
                <pt idx="829">
                  <v>#N/A</v>
                </pt>
                <pt idx="830">
                  <v>#N/A</v>
                </pt>
                <pt idx="831">
                  <v>#N/A</v>
                </pt>
                <pt idx="832">
                  <v>2.391</v>
                </pt>
                <pt idx="833">
                  <v>#N/A</v>
                </pt>
                <pt idx="834">
                  <v>#N/A</v>
                </pt>
                <pt idx="835">
                  <v>#N/A</v>
                </pt>
                <pt idx="836">
                  <v>#N/A</v>
                </pt>
                <pt idx="837">
                  <v>2.506</v>
                </pt>
                <pt idx="838">
                  <v>#N/A</v>
                </pt>
                <pt idx="839">
                  <v>#N/A</v>
                </pt>
                <pt idx="840">
                  <v>#N/A</v>
                </pt>
                <pt idx="841">
                  <v>#N/A</v>
                </pt>
                <pt idx="842">
                  <v>#N/A</v>
                </pt>
                <pt idx="843">
                  <v>#N/A</v>
                </pt>
                <pt idx="844">
                  <v>#N/A</v>
                </pt>
                <pt idx="845">
                  <v>#N/A</v>
                </pt>
                <pt idx="846">
                  <v>#N/A</v>
                </pt>
                <pt idx="847">
                  <v>#N/A</v>
                </pt>
                <pt idx="848">
                  <v>#N/A</v>
                </pt>
                <pt idx="849">
                  <v>#N/A</v>
                </pt>
                <pt idx="850">
                  <v>#N/A</v>
                </pt>
                <pt idx="851">
                  <v>#N/A</v>
                </pt>
                <pt idx="852">
                  <v>#N/A</v>
                </pt>
                <pt idx="853">
                  <v>#N/A</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pt idx="949">
                  <v>#N/A</v>
                </pt>
              </numCache>
            </numRef>
          </yVal>
          <smooth val="1"/>
        </ser>
        <ser>
          <idx val="2"/>
          <order val="2"/>
          <tx>
            <v>Deckbuilder</v>
          </tx>
          <spPr>
            <a:ln>
              <a:noFill/>
              <a:prstDash val="solid"/>
            </a:ln>
          </spPr>
          <marker>
            <symbol val="circle"/>
            <size val="4"/>
            <spPr>
              <a:ln>
                <a:prstDash val="solid"/>
              </a:ln>
            </spPr>
          </marker>
          <xVal>
            <numRef>
              <f>'Map Calc'!$K$2:$K$950</f>
              <numCache>
                <formatCode>General</formatCode>
                <ptCount val="949"/>
                <pt idx="0">
                  <v>#N/A</v>
                </pt>
                <pt idx="1">
                  <v>#N/A</v>
                </pt>
                <pt idx="2">
                  <v>2026</v>
                </pt>
                <pt idx="3">
                  <v>#N/A</v>
                </pt>
                <pt idx="4">
                  <v>#N/A</v>
                </pt>
                <pt idx="5">
                  <v>#N/A</v>
                </pt>
                <pt idx="6">
                  <v>#N/A</v>
                </pt>
                <pt idx="7">
                  <v>#N/A</v>
                </pt>
                <pt idx="8">
                  <v>#N/A</v>
                </pt>
                <pt idx="9">
                  <v>2024</v>
                </pt>
                <pt idx="10">
                  <v>#N/A</v>
                </pt>
                <pt idx="11">
                  <v>2025</v>
                </pt>
                <pt idx="12">
                  <v>#N/A</v>
                </pt>
                <pt idx="13">
                  <v>#N/A</v>
                </pt>
                <pt idx="14">
                  <v>#N/A</v>
                </pt>
                <pt idx="15">
                  <v>#N/A</v>
                </pt>
                <pt idx="16">
                  <v>2023</v>
                </pt>
                <pt idx="17">
                  <v>2021</v>
                </pt>
                <pt idx="18">
                  <v>#N/A</v>
                </pt>
                <pt idx="19">
                  <v>#N/A</v>
                </pt>
                <pt idx="20">
                  <v>2022</v>
                </pt>
                <pt idx="21">
                  <v>#N/A</v>
                </pt>
                <pt idx="22">
                  <v>#N/A</v>
                </pt>
                <pt idx="23">
                  <v>#N/A</v>
                </pt>
                <pt idx="24">
                  <v>#N/A</v>
                </pt>
                <pt idx="25">
                  <v>#N/A</v>
                </pt>
                <pt idx="26">
                  <v>2024</v>
                </pt>
                <pt idx="27">
                  <v>#N/A</v>
                </pt>
                <pt idx="28">
                  <v>2024</v>
                </pt>
                <pt idx="29">
                  <v>#N/A</v>
                </pt>
                <pt idx="30">
                  <v>2020</v>
                </pt>
                <pt idx="31">
                  <v>2026</v>
                </pt>
                <pt idx="32">
                  <v>#N/A</v>
                </pt>
                <pt idx="33">
                  <v>#N/A</v>
                </pt>
                <pt idx="34">
                  <v>#N/A</v>
                </pt>
                <pt idx="35">
                  <v>2025</v>
                </pt>
                <pt idx="36">
                  <v>2025</v>
                </pt>
                <pt idx="37">
                  <v>#N/A</v>
                </pt>
                <pt idx="38">
                  <v>#N/A</v>
                </pt>
                <pt idx="39">
                  <v>#N/A</v>
                </pt>
                <pt idx="40">
                  <v>2023</v>
                </pt>
                <pt idx="41">
                  <v>#N/A</v>
                </pt>
                <pt idx="42">
                  <v>#N/A</v>
                </pt>
                <pt idx="43">
                  <v>#N/A</v>
                </pt>
                <pt idx="44">
                  <v>#N/A</v>
                </pt>
                <pt idx="45">
                  <v>#N/A</v>
                </pt>
                <pt idx="46">
                  <v>#N/A</v>
                </pt>
                <pt idx="47">
                  <v>#N/A</v>
                </pt>
                <pt idx="48">
                  <v>#N/A</v>
                </pt>
                <pt idx="49">
                  <v>#N/A</v>
                </pt>
                <pt idx="50">
                  <v>2022</v>
                </pt>
                <pt idx="51">
                  <v>#N/A</v>
                </pt>
                <pt idx="52">
                  <v>2023</v>
                </pt>
                <pt idx="53">
                  <v>#N/A</v>
                </pt>
                <pt idx="54">
                  <v>#N/A</v>
                </pt>
                <pt idx="55">
                  <v>2024</v>
                </pt>
                <pt idx="56">
                  <v>2020</v>
                </pt>
                <pt idx="57">
                  <v>#N/A</v>
                </pt>
                <pt idx="58">
                  <v>#N/A</v>
                </pt>
                <pt idx="59">
                  <v>#N/A</v>
                </pt>
                <pt idx="60">
                  <v>#N/A</v>
                </pt>
                <pt idx="61">
                  <v>#N/A</v>
                </pt>
                <pt idx="62">
                  <v>#N/A</v>
                </pt>
                <pt idx="63">
                  <v>2025</v>
                </pt>
                <pt idx="64">
                  <v>#N/A</v>
                </pt>
                <pt idx="65">
                  <v>#N/A</v>
                </pt>
                <pt idx="66">
                  <v>#N/A</v>
                </pt>
                <pt idx="67">
                  <v>#N/A</v>
                </pt>
                <pt idx="68">
                  <v>2022</v>
                </pt>
                <pt idx="69">
                  <v>#N/A</v>
                </pt>
                <pt idx="70">
                  <v>2026</v>
                </pt>
                <pt idx="71">
                  <v>2024</v>
                </pt>
                <pt idx="72">
                  <v>#N/A</v>
                </pt>
                <pt idx="73">
                  <v>2026</v>
                </pt>
                <pt idx="74">
                  <v>#N/A</v>
                </pt>
                <pt idx="75">
                  <v>#N/A</v>
                </pt>
                <pt idx="76">
                  <v>#N/A</v>
                </pt>
                <pt idx="77">
                  <v>#N/A</v>
                </pt>
                <pt idx="78">
                  <v>#N/A</v>
                </pt>
                <pt idx="79">
                  <v>#N/A</v>
                </pt>
                <pt idx="80">
                  <v>#N/A</v>
                </pt>
                <pt idx="81">
                  <v>#N/A</v>
                </pt>
                <pt idx="82">
                  <v>#N/A</v>
                </pt>
                <pt idx="83">
                  <v>2018</v>
                </pt>
                <pt idx="84">
                  <v>#N/A</v>
                </pt>
                <pt idx="85">
                  <v>#N/A</v>
                </pt>
                <pt idx="86">
                  <v>#N/A</v>
                </pt>
                <pt idx="87">
                  <v>2023</v>
                </pt>
                <pt idx="88">
                  <v>2021</v>
                </pt>
                <pt idx="89">
                  <v>2024</v>
                </pt>
                <pt idx="90">
                  <v>#N/A</v>
                </pt>
                <pt idx="91">
                  <v>#N/A</v>
                </pt>
                <pt idx="92">
                  <v>#N/A</v>
                </pt>
                <pt idx="93">
                  <v>#N/A</v>
                </pt>
                <pt idx="94">
                  <v>#N/A</v>
                </pt>
                <pt idx="95">
                  <v>#N/A</v>
                </pt>
                <pt idx="96">
                  <v>#N/A</v>
                </pt>
                <pt idx="97">
                  <v>#N/A</v>
                </pt>
                <pt idx="98">
                  <v>#N/A</v>
                </pt>
                <pt idx="99">
                  <v>#N/A</v>
                </pt>
                <pt idx="100">
                  <v>#N/A</v>
                </pt>
                <pt idx="101">
                  <v>#N/A</v>
                </pt>
                <pt idx="102">
                  <v>2024</v>
                </pt>
                <pt idx="103">
                  <v>#N/A</v>
                </pt>
                <pt idx="104">
                  <v>#N/A</v>
                </pt>
                <pt idx="105">
                  <v>#N/A</v>
                </pt>
                <pt idx="106">
                  <v>#N/A</v>
                </pt>
                <pt idx="107">
                  <v>#N/A</v>
                </pt>
                <pt idx="108">
                  <v>2025</v>
                </pt>
                <pt idx="109">
                  <v>#N/A</v>
                </pt>
                <pt idx="110">
                  <v>#N/A</v>
                </pt>
                <pt idx="111">
                  <v>#N/A</v>
                </pt>
                <pt idx="112">
                  <v>#N/A</v>
                </pt>
                <pt idx="113">
                  <v>#N/A</v>
                </pt>
                <pt idx="114">
                  <v>#N/A</v>
                </pt>
                <pt idx="115">
                  <v>2025</v>
                </pt>
                <pt idx="116">
                  <v>#N/A</v>
                </pt>
                <pt idx="117">
                  <v>#N/A</v>
                </pt>
                <pt idx="118">
                  <v>#N/A</v>
                </pt>
                <pt idx="119">
                  <v>#N/A</v>
                </pt>
                <pt idx="120">
                  <v>#N/A</v>
                </pt>
                <pt idx="121">
                  <v>#N/A</v>
                </pt>
                <pt idx="122">
                  <v>#N/A</v>
                </pt>
                <pt idx="123">
                  <v>2026</v>
                </pt>
                <pt idx="124">
                  <v>2019</v>
                </pt>
                <pt idx="125">
                  <v>#N/A</v>
                </pt>
                <pt idx="126">
                  <v>#N/A</v>
                </pt>
                <pt idx="127">
                  <v>#N/A</v>
                </pt>
                <pt idx="128">
                  <v>#N/A</v>
                </pt>
                <pt idx="129">
                  <v>2025</v>
                </pt>
                <pt idx="130">
                  <v>#N/A</v>
                </pt>
                <pt idx="131">
                  <v>2023</v>
                </pt>
                <pt idx="132">
                  <v>#N/A</v>
                </pt>
                <pt idx="133">
                  <v>2013</v>
                </pt>
                <pt idx="134">
                  <v>#N/A</v>
                </pt>
                <pt idx="135">
                  <v>2025</v>
                </pt>
                <pt idx="136">
                  <v>#N/A</v>
                </pt>
                <pt idx="137">
                  <v>#N/A</v>
                </pt>
                <pt idx="138">
                  <v>#N/A</v>
                </pt>
                <pt idx="139">
                  <v>#N/A</v>
                </pt>
                <pt idx="140">
                  <v>#N/A</v>
                </pt>
                <pt idx="141">
                  <v>#N/A</v>
                </pt>
                <pt idx="142">
                  <v>#N/A</v>
                </pt>
                <pt idx="143">
                  <v>#N/A</v>
                </pt>
                <pt idx="144">
                  <v>2023</v>
                </pt>
                <pt idx="145">
                  <v>2026</v>
                </pt>
                <pt idx="146">
                  <v>2023</v>
                </pt>
                <pt idx="147">
                  <v>#N/A</v>
                </pt>
                <pt idx="148">
                  <v>2025</v>
                </pt>
                <pt idx="149">
                  <v>#N/A</v>
                </pt>
                <pt idx="150">
                  <v>#N/A</v>
                </pt>
                <pt idx="151">
                  <v>#N/A</v>
                </pt>
                <pt idx="152">
                  <v>#N/A</v>
                </pt>
                <pt idx="153">
                  <v>2023</v>
                </pt>
                <pt idx="154">
                  <v>2025</v>
                </pt>
                <pt idx="155">
                  <v>2026</v>
                </pt>
                <pt idx="156">
                  <v>#N/A</v>
                </pt>
                <pt idx="157">
                  <v>#N/A</v>
                </pt>
                <pt idx="158">
                  <v>2024</v>
                </pt>
                <pt idx="159">
                  <v>#N/A</v>
                </pt>
                <pt idx="160">
                  <v>#N/A</v>
                </pt>
                <pt idx="161">
                  <v>#N/A</v>
                </pt>
                <pt idx="162">
                  <v>#N/A</v>
                </pt>
                <pt idx="163">
                  <v>#N/A</v>
                </pt>
                <pt idx="164">
                  <v>#N/A</v>
                </pt>
                <pt idx="165">
                  <v>#N/A</v>
                </pt>
                <pt idx="166">
                  <v>#N/A</v>
                </pt>
                <pt idx="167">
                  <v>#N/A</v>
                </pt>
                <pt idx="168">
                  <v>#N/A</v>
                </pt>
                <pt idx="169">
                  <v>#N/A</v>
                </pt>
                <pt idx="170">
                  <v>#N/A</v>
                </pt>
                <pt idx="171">
                  <v>#N/A</v>
                </pt>
                <pt idx="172">
                  <v>2025</v>
                </pt>
                <pt idx="173">
                  <v>#N/A</v>
                </pt>
                <pt idx="174">
                  <v>#N/A</v>
                </pt>
                <pt idx="175">
                  <v>#N/A</v>
                </pt>
                <pt idx="176">
                  <v>#N/A</v>
                </pt>
                <pt idx="177">
                  <v>#N/A</v>
                </pt>
                <pt idx="178">
                  <v>2023</v>
                </pt>
                <pt idx="179">
                  <v>#N/A</v>
                </pt>
                <pt idx="180">
                  <v>2019</v>
                </pt>
                <pt idx="181">
                  <v>2025</v>
                </pt>
                <pt idx="182">
                  <v>2025</v>
                </pt>
                <pt idx="183">
                  <v>#N/A</v>
                </pt>
                <pt idx="184">
                  <v>#N/A</v>
                </pt>
                <pt idx="185">
                  <v>2018</v>
                </pt>
                <pt idx="186">
                  <v>2021</v>
                </pt>
                <pt idx="187">
                  <v>#N/A</v>
                </pt>
                <pt idx="188">
                  <v>#N/A</v>
                </pt>
                <pt idx="189">
                  <v>#N/A</v>
                </pt>
                <pt idx="190">
                  <v>2025</v>
                </pt>
                <pt idx="191">
                  <v>#N/A</v>
                </pt>
                <pt idx="192">
                  <v>#N/A</v>
                </pt>
                <pt idx="193">
                  <v>#N/A</v>
                </pt>
                <pt idx="194">
                  <v>#N/A</v>
                </pt>
                <pt idx="195">
                  <v>#N/A</v>
                </pt>
                <pt idx="196">
                  <v>#N/A</v>
                </pt>
                <pt idx="197">
                  <v>2024</v>
                </pt>
                <pt idx="198">
                  <v>2026</v>
                </pt>
                <pt idx="199">
                  <v>2025</v>
                </pt>
                <pt idx="200">
                  <v>#N/A</v>
                </pt>
                <pt idx="201">
                  <v>2025</v>
                </pt>
                <pt idx="202">
                  <v>2024</v>
                </pt>
                <pt idx="203">
                  <v>2024</v>
                </pt>
                <pt idx="204">
                  <v>2019</v>
                </pt>
                <pt idx="205">
                  <v>2025</v>
                </pt>
                <pt idx="206">
                  <v>2025</v>
                </pt>
                <pt idx="207">
                  <v>#N/A</v>
                </pt>
                <pt idx="208">
                  <v>2024</v>
                </pt>
                <pt idx="209">
                  <v>#N/A</v>
                </pt>
                <pt idx="210">
                  <v>#N/A</v>
                </pt>
                <pt idx="211">
                  <v>2024</v>
                </pt>
                <pt idx="212">
                  <v>2025</v>
                </pt>
                <pt idx="213">
                  <v>2025</v>
                </pt>
                <pt idx="214">
                  <v>#N/A</v>
                </pt>
                <pt idx="215">
                  <v>#N/A</v>
                </pt>
                <pt idx="216">
                  <v>#N/A</v>
                </pt>
                <pt idx="217">
                  <v>#N/A</v>
                </pt>
                <pt idx="218">
                  <v>#N/A</v>
                </pt>
                <pt idx="219">
                  <v>#N/A</v>
                </pt>
                <pt idx="220">
                  <v>#N/A</v>
                </pt>
                <pt idx="221">
                  <v>#N/A</v>
                </pt>
                <pt idx="222">
                  <v>#N/A</v>
                </pt>
                <pt idx="223">
                  <v>#N/A</v>
                </pt>
                <pt idx="224">
                  <v>#N/A</v>
                </pt>
                <pt idx="225">
                  <v>#N/A</v>
                </pt>
                <pt idx="226">
                  <v>#N/A</v>
                </pt>
                <pt idx="227">
                  <v>2014</v>
                </pt>
                <pt idx="228">
                  <v>#N/A</v>
                </pt>
                <pt idx="229">
                  <v>#N/A</v>
                </pt>
                <pt idx="230">
                  <v>#N/A</v>
                </pt>
                <pt idx="231">
                  <v>#N/A</v>
                </pt>
                <pt idx="232">
                  <v>2024</v>
                </pt>
                <pt idx="233">
                  <v>#N/A</v>
                </pt>
                <pt idx="234">
                  <v>#N/A</v>
                </pt>
                <pt idx="235">
                  <v>#N/A</v>
                </pt>
                <pt idx="236">
                  <v>#N/A</v>
                </pt>
                <pt idx="237">
                  <v>#N/A</v>
                </pt>
                <pt idx="238">
                  <v>#N/A</v>
                </pt>
                <pt idx="239">
                  <v>#N/A</v>
                </pt>
                <pt idx="240">
                  <v>2024</v>
                </pt>
                <pt idx="241">
                  <v>#N/A</v>
                </pt>
                <pt idx="242">
                  <v>#N/A</v>
                </pt>
                <pt idx="243">
                  <v>#N/A</v>
                </pt>
                <pt idx="244">
                  <v>#N/A</v>
                </pt>
                <pt idx="245">
                  <v>#N/A</v>
                </pt>
                <pt idx="246">
                  <v>#N/A</v>
                </pt>
                <pt idx="247">
                  <v>#N/A</v>
                </pt>
                <pt idx="248">
                  <v>#N/A</v>
                </pt>
                <pt idx="249">
                  <v>#N/A</v>
                </pt>
                <pt idx="250">
                  <v>#N/A</v>
                </pt>
                <pt idx="251">
                  <v>#N/A</v>
                </pt>
                <pt idx="252">
                  <v>#N/A</v>
                </pt>
                <pt idx="253">
                  <v>#N/A</v>
                </pt>
                <pt idx="254">
                  <v>#N/A</v>
                </pt>
                <pt idx="255">
                  <v>2023</v>
                </pt>
                <pt idx="256">
                  <v>#N/A</v>
                </pt>
                <pt idx="257">
                  <v>#N/A</v>
                </pt>
                <pt idx="258">
                  <v>#N/A</v>
                </pt>
                <pt idx="259">
                  <v>#N/A</v>
                </pt>
                <pt idx="260">
                  <v>#N/A</v>
                </pt>
                <pt idx="261">
                  <v>#N/A</v>
                </pt>
                <pt idx="262">
                  <v>#N/A</v>
                </pt>
                <pt idx="263">
                  <v>#N/A</v>
                </pt>
                <pt idx="264">
                  <v>#N/A</v>
                </pt>
                <pt idx="265">
                  <v>2024</v>
                </pt>
                <pt idx="266">
                  <v>2024</v>
                </pt>
                <pt idx="267">
                  <v>#N/A</v>
                </pt>
                <pt idx="268">
                  <v>#N/A</v>
                </pt>
                <pt idx="269">
                  <v>#N/A</v>
                </pt>
                <pt idx="270">
                  <v>2021</v>
                </pt>
                <pt idx="271">
                  <v>#N/A</v>
                </pt>
                <pt idx="272">
                  <v>#N/A</v>
                </pt>
                <pt idx="273">
                  <v>#N/A</v>
                </pt>
                <pt idx="274">
                  <v>#N/A</v>
                </pt>
                <pt idx="275">
                  <v>#N/A</v>
                </pt>
                <pt idx="276">
                  <v>2026</v>
                </pt>
                <pt idx="277">
                  <v>#N/A</v>
                </pt>
                <pt idx="278">
                  <v>#N/A</v>
                </pt>
                <pt idx="279">
                  <v>#N/A</v>
                </pt>
                <pt idx="280">
                  <v>2020</v>
                </pt>
                <pt idx="281">
                  <v>#N/A</v>
                </pt>
                <pt idx="282">
                  <v>#N/A</v>
                </pt>
                <pt idx="283">
                  <v>#N/A</v>
                </pt>
                <pt idx="284">
                  <v>#N/A</v>
                </pt>
                <pt idx="285">
                  <v>#N/A</v>
                </pt>
                <pt idx="286">
                  <v>#N/A</v>
                </pt>
                <pt idx="287">
                  <v>#N/A</v>
                </pt>
                <pt idx="288">
                  <v>#N/A</v>
                </pt>
                <pt idx="289">
                  <v>#N/A</v>
                </pt>
                <pt idx="290">
                  <v>#N/A</v>
                </pt>
                <pt idx="291">
                  <v>#N/A</v>
                </pt>
                <pt idx="292">
                  <v>2026</v>
                </pt>
                <pt idx="293">
                  <v>#N/A</v>
                </pt>
                <pt idx="294">
                  <v>#N/A</v>
                </pt>
                <pt idx="295">
                  <v>#N/A</v>
                </pt>
                <pt idx="296">
                  <v>#N/A</v>
                </pt>
                <pt idx="297">
                  <v>#N/A</v>
                </pt>
                <pt idx="298">
                  <v>#N/A</v>
                </pt>
                <pt idx="299">
                  <v>#N/A</v>
                </pt>
                <pt idx="300">
                  <v>#N/A</v>
                </pt>
                <pt idx="301">
                  <v>#N/A</v>
                </pt>
                <pt idx="302">
                  <v>#N/A</v>
                </pt>
                <pt idx="303">
                  <v>#N/A</v>
                </pt>
                <pt idx="304">
                  <v>#N/A</v>
                </pt>
                <pt idx="305">
                  <v>#N/A</v>
                </pt>
                <pt idx="306">
                  <v>2026</v>
                </pt>
                <pt idx="307">
                  <v>#N/A</v>
                </pt>
                <pt idx="308">
                  <v>#N/A</v>
                </pt>
                <pt idx="309">
                  <v>#N/A</v>
                </pt>
                <pt idx="310">
                  <v>#N/A</v>
                </pt>
                <pt idx="311">
                  <v>#N/A</v>
                </pt>
                <pt idx="312">
                  <v>#N/A</v>
                </pt>
                <pt idx="313">
                  <v>#N/A</v>
                </pt>
                <pt idx="314">
                  <v>#N/A</v>
                </pt>
                <pt idx="315">
                  <v>#N/A</v>
                </pt>
                <pt idx="316">
                  <v>2020</v>
                </pt>
                <pt idx="317">
                  <v>#N/A</v>
                </pt>
                <pt idx="318">
                  <v>#N/A</v>
                </pt>
                <pt idx="319">
                  <v>2020</v>
                </pt>
                <pt idx="320">
                  <v>#N/A</v>
                </pt>
                <pt idx="321">
                  <v>#N/A</v>
                </pt>
                <pt idx="322">
                  <v>2015</v>
                </pt>
                <pt idx="323">
                  <v>#N/A</v>
                </pt>
                <pt idx="324">
                  <v>#N/A</v>
                </pt>
                <pt idx="325">
                  <v>#N/A</v>
                </pt>
                <pt idx="326">
                  <v>#N/A</v>
                </pt>
                <pt idx="327">
                  <v>#N/A</v>
                </pt>
                <pt idx="328">
                  <v>#N/A</v>
                </pt>
                <pt idx="329">
                  <v>2021</v>
                </pt>
                <pt idx="330">
                  <v>#N/A</v>
                </pt>
                <pt idx="331">
                  <v>#N/A</v>
                </pt>
                <pt idx="332">
                  <v>#N/A</v>
                </pt>
                <pt idx="333">
                  <v>2014</v>
                </pt>
                <pt idx="334">
                  <v>2017</v>
                </pt>
                <pt idx="335">
                  <v>#N/A</v>
                </pt>
                <pt idx="336">
                  <v>#N/A</v>
                </pt>
                <pt idx="337">
                  <v>#N/A</v>
                </pt>
                <pt idx="338">
                  <v>#N/A</v>
                </pt>
                <pt idx="339">
                  <v>#N/A</v>
                </pt>
                <pt idx="340">
                  <v>#N/A</v>
                </pt>
                <pt idx="341">
                  <v>2025</v>
                </pt>
                <pt idx="342">
                  <v>#N/A</v>
                </pt>
                <pt idx="343">
                  <v>#N/A</v>
                </pt>
                <pt idx="344">
                  <v>#N/A</v>
                </pt>
                <pt idx="345">
                  <v>#N/A</v>
                </pt>
                <pt idx="346">
                  <v>#N/A</v>
                </pt>
                <pt idx="347">
                  <v>#N/A</v>
                </pt>
                <pt idx="348">
                  <v>2023</v>
                </pt>
                <pt idx="349">
                  <v>#N/A</v>
                </pt>
                <pt idx="350">
                  <v>#N/A</v>
                </pt>
                <pt idx="351">
                  <v>#N/A</v>
                </pt>
                <pt idx="352">
                  <v>#N/A</v>
                </pt>
                <pt idx="353">
                  <v>#N/A</v>
                </pt>
                <pt idx="354">
                  <v>#N/A</v>
                </pt>
                <pt idx="355">
                  <v>#N/A</v>
                </pt>
                <pt idx="356">
                  <v>#N/A</v>
                </pt>
                <pt idx="357">
                  <v>#N/A</v>
                </pt>
                <pt idx="358">
                  <v>#N/A</v>
                </pt>
                <pt idx="359">
                  <v>#N/A</v>
                </pt>
                <pt idx="360">
                  <v>2026</v>
                </pt>
                <pt idx="361">
                  <v>#N/A</v>
                </pt>
                <pt idx="362">
                  <v>#N/A</v>
                </pt>
                <pt idx="363">
                  <v>#N/A</v>
                </pt>
                <pt idx="364">
                  <v>#N/A</v>
                </pt>
                <pt idx="365">
                  <v>#N/A</v>
                </pt>
                <pt idx="366">
                  <v>#N/A</v>
                </pt>
                <pt idx="367">
                  <v>#N/A</v>
                </pt>
                <pt idx="368">
                  <v>#N/A</v>
                </pt>
                <pt idx="369">
                  <v>#N/A</v>
                </pt>
                <pt idx="370">
                  <v>#N/A</v>
                </pt>
                <pt idx="371">
                  <v>#N/A</v>
                </pt>
                <pt idx="372">
                  <v>#N/A</v>
                </pt>
                <pt idx="373">
                  <v>2021</v>
                </pt>
                <pt idx="374">
                  <v>#N/A</v>
                </pt>
                <pt idx="375">
                  <v>#N/A</v>
                </pt>
                <pt idx="376">
                  <v>2025</v>
                </pt>
                <pt idx="377">
                  <v>#N/A</v>
                </pt>
                <pt idx="378">
                  <v>#N/A</v>
                </pt>
                <pt idx="379">
                  <v>#N/A</v>
                </pt>
                <pt idx="380">
                  <v>#N/A</v>
                </pt>
                <pt idx="381">
                  <v>#N/A</v>
                </pt>
                <pt idx="382">
                  <v>#N/A</v>
                </pt>
                <pt idx="383">
                  <v>#N/A</v>
                </pt>
                <pt idx="384">
                  <v>#N/A</v>
                </pt>
                <pt idx="385">
                  <v>#N/A</v>
                </pt>
                <pt idx="386">
                  <v>#N/A</v>
                </pt>
                <pt idx="387">
                  <v>#N/A</v>
                </pt>
                <pt idx="388">
                  <v>#N/A</v>
                </pt>
                <pt idx="389">
                  <v>#N/A</v>
                </pt>
                <pt idx="390">
                  <v>#N/A</v>
                </pt>
                <pt idx="391">
                  <v>#N/A</v>
                </pt>
                <pt idx="392">
                  <v>#N/A</v>
                </pt>
                <pt idx="393">
                  <v>#N/A</v>
                </pt>
                <pt idx="394">
                  <v>2025</v>
                </pt>
                <pt idx="395">
                  <v>2020</v>
                </pt>
                <pt idx="396">
                  <v>#N/A</v>
                </pt>
                <pt idx="397">
                  <v>#N/A</v>
                </pt>
                <pt idx="398">
                  <v>#N/A</v>
                </pt>
                <pt idx="399">
                  <v>#N/A</v>
                </pt>
                <pt idx="400">
                  <v>#N/A</v>
                </pt>
                <pt idx="401">
                  <v>#N/A</v>
                </pt>
                <pt idx="402">
                  <v>2026</v>
                </pt>
                <pt idx="403">
                  <v>#N/A</v>
                </pt>
                <pt idx="404">
                  <v>#N/A</v>
                </pt>
                <pt idx="405">
                  <v>#N/A</v>
                </pt>
                <pt idx="406">
                  <v>#N/A</v>
                </pt>
                <pt idx="407">
                  <v>#N/A</v>
                </pt>
                <pt idx="408">
                  <v>#N/A</v>
                </pt>
                <pt idx="409">
                  <v>#N/A</v>
                </pt>
                <pt idx="410">
                  <v>#N/A</v>
                </pt>
                <pt idx="411">
                  <v>#N/A</v>
                </pt>
                <pt idx="412">
                  <v>#N/A</v>
                </pt>
                <pt idx="413">
                  <v>2023</v>
                </pt>
                <pt idx="414">
                  <v>2022</v>
                </pt>
                <pt idx="415">
                  <v>#N/A</v>
                </pt>
                <pt idx="416">
                  <v>#N/A</v>
                </pt>
                <pt idx="417">
                  <v>2024</v>
                </pt>
                <pt idx="418">
                  <v>2021</v>
                </pt>
                <pt idx="419">
                  <v>2023</v>
                </pt>
                <pt idx="420">
                  <v>#N/A</v>
                </pt>
                <pt idx="421">
                  <v>#N/A</v>
                </pt>
                <pt idx="422">
                  <v>#N/A</v>
                </pt>
                <pt idx="423">
                  <v>#N/A</v>
                </pt>
                <pt idx="424">
                  <v>#N/A</v>
                </pt>
                <pt idx="425">
                  <v>#N/A</v>
                </pt>
                <pt idx="426">
                  <v>#N/A</v>
                </pt>
                <pt idx="427">
                  <v>#N/A</v>
                </pt>
                <pt idx="428">
                  <v>#N/A</v>
                </pt>
                <pt idx="429">
                  <v>2026</v>
                </pt>
                <pt idx="430">
                  <v>#N/A</v>
                </pt>
                <pt idx="431">
                  <v>#N/A</v>
                </pt>
                <pt idx="432">
                  <v>#N/A</v>
                </pt>
                <pt idx="433">
                  <v>2024</v>
                </pt>
                <pt idx="434">
                  <v>2024</v>
                </pt>
                <pt idx="435">
                  <v>2026</v>
                </pt>
                <pt idx="436">
                  <v>2025</v>
                </pt>
                <pt idx="437">
                  <v>#N/A</v>
                </pt>
                <pt idx="438">
                  <v>#N/A</v>
                </pt>
                <pt idx="439">
                  <v>#N/A</v>
                </pt>
                <pt idx="440">
                  <v>#N/A</v>
                </pt>
                <pt idx="441">
                  <v>#N/A</v>
                </pt>
                <pt idx="442">
                  <v>#N/A</v>
                </pt>
                <pt idx="443">
                  <v>#N/A</v>
                </pt>
                <pt idx="444">
                  <v>#N/A</v>
                </pt>
                <pt idx="445">
                  <v>#N/A</v>
                </pt>
                <pt idx="446">
                  <v>#N/A</v>
                </pt>
                <pt idx="447">
                  <v>#N/A</v>
                </pt>
                <pt idx="448">
                  <v>2021</v>
                </pt>
                <pt idx="449">
                  <v>#N/A</v>
                </pt>
                <pt idx="450">
                  <v>#N/A</v>
                </pt>
                <pt idx="451">
                  <v>#N/A</v>
                </pt>
                <pt idx="452">
                  <v>#N/A</v>
                </pt>
                <pt idx="453">
                  <v>2017</v>
                </pt>
                <pt idx="454">
                  <v>2020</v>
                </pt>
                <pt idx="455">
                  <v>2025</v>
                </pt>
                <pt idx="456">
                  <v>#N/A</v>
                </pt>
                <pt idx="457">
                  <v>#N/A</v>
                </pt>
                <pt idx="458">
                  <v>2026</v>
                </pt>
                <pt idx="459">
                  <v>#N/A</v>
                </pt>
                <pt idx="460">
                  <v>#N/A</v>
                </pt>
                <pt idx="461">
                  <v>#N/A</v>
                </pt>
                <pt idx="462">
                  <v>#N/A</v>
                </pt>
                <pt idx="463">
                  <v>#N/A</v>
                </pt>
                <pt idx="464">
                  <v>#N/A</v>
                </pt>
                <pt idx="465">
                  <v>#N/A</v>
                </pt>
                <pt idx="466">
                  <v>2024</v>
                </pt>
                <pt idx="467">
                  <v>#N/A</v>
                </pt>
                <pt idx="468">
                  <v>#N/A</v>
                </pt>
                <pt idx="469">
                  <v>#N/A</v>
                </pt>
                <pt idx="470">
                  <v>#N/A</v>
                </pt>
                <pt idx="471">
                  <v>#N/A</v>
                </pt>
                <pt idx="472">
                  <v>#N/A</v>
                </pt>
                <pt idx="473">
                  <v>#N/A</v>
                </pt>
                <pt idx="474">
                  <v>2025</v>
                </pt>
                <pt idx="475">
                  <v>#N/A</v>
                </pt>
                <pt idx="476">
                  <v>#N/A</v>
                </pt>
                <pt idx="477">
                  <v>#N/A</v>
                </pt>
                <pt idx="478">
                  <v>2022</v>
                </pt>
                <pt idx="479">
                  <v>#N/A</v>
                </pt>
                <pt idx="480">
                  <v>#N/A</v>
                </pt>
                <pt idx="481">
                  <v>#N/A</v>
                </pt>
                <pt idx="482">
                  <v>#N/A</v>
                </pt>
                <pt idx="483">
                  <v>#N/A</v>
                </pt>
                <pt idx="484">
                  <v>#N/A</v>
                </pt>
                <pt idx="485">
                  <v>#N/A</v>
                </pt>
                <pt idx="486">
                  <v>#N/A</v>
                </pt>
                <pt idx="487">
                  <v>#N/A</v>
                </pt>
                <pt idx="488">
                  <v>#N/A</v>
                </pt>
                <pt idx="489">
                  <v>#N/A</v>
                </pt>
                <pt idx="490">
                  <v>#N/A</v>
                </pt>
                <pt idx="491">
                  <v>2026</v>
                </pt>
                <pt idx="492">
                  <v>#N/A</v>
                </pt>
                <pt idx="493">
                  <v>#N/A</v>
                </pt>
                <pt idx="494">
                  <v>#N/A</v>
                </pt>
                <pt idx="495">
                  <v>#N/A</v>
                </pt>
                <pt idx="496">
                  <v>#N/A</v>
                </pt>
                <pt idx="497">
                  <v>#N/A</v>
                </pt>
                <pt idx="498">
                  <v>#N/A</v>
                </pt>
                <pt idx="499">
                  <v>#N/A</v>
                </pt>
                <pt idx="500">
                  <v>#N/A</v>
                </pt>
                <pt idx="501">
                  <v>2019</v>
                </pt>
                <pt idx="502">
                  <v>#N/A</v>
                </pt>
                <pt idx="503">
                  <v>#N/A</v>
                </pt>
                <pt idx="504">
                  <v>#N/A</v>
                </pt>
                <pt idx="505">
                  <v>#N/A</v>
                </pt>
                <pt idx="506">
                  <v>#N/A</v>
                </pt>
                <pt idx="507">
                  <v>2021</v>
                </pt>
                <pt idx="508">
                  <v>#N/A</v>
                </pt>
                <pt idx="509">
                  <v>#N/A</v>
                </pt>
                <pt idx="510">
                  <v>#N/A</v>
                </pt>
                <pt idx="511">
                  <v>#N/A</v>
                </pt>
                <pt idx="512">
                  <v>#N/A</v>
                </pt>
                <pt idx="513">
                  <v>#N/A</v>
                </pt>
                <pt idx="514">
                  <v>#N/A</v>
                </pt>
                <pt idx="515">
                  <v>#N/A</v>
                </pt>
                <pt idx="516">
                  <v>2025</v>
                </pt>
                <pt idx="517">
                  <v>#N/A</v>
                </pt>
                <pt idx="518">
                  <v>#N/A</v>
                </pt>
                <pt idx="519">
                  <v>#N/A</v>
                </pt>
                <pt idx="520">
                  <v>#N/A</v>
                </pt>
                <pt idx="521">
                  <v>#N/A</v>
                </pt>
                <pt idx="522">
                  <v>#N/A</v>
                </pt>
                <pt idx="523">
                  <v>#N/A</v>
                </pt>
                <pt idx="524">
                  <v>2025</v>
                </pt>
                <pt idx="525">
                  <v>#N/A</v>
                </pt>
                <pt idx="526">
                  <v>#N/A</v>
                </pt>
                <pt idx="527">
                  <v>#N/A</v>
                </pt>
                <pt idx="528">
                  <v>#N/A</v>
                </pt>
                <pt idx="529">
                  <v>#N/A</v>
                </pt>
                <pt idx="530">
                  <v>#N/A</v>
                </pt>
                <pt idx="531">
                  <v>#N/A</v>
                </pt>
                <pt idx="532">
                  <v>#N/A</v>
                </pt>
                <pt idx="533">
                  <v>2022</v>
                </pt>
                <pt idx="534">
                  <v>2026</v>
                </pt>
                <pt idx="535">
                  <v>#N/A</v>
                </pt>
                <pt idx="536">
                  <v>#N/A</v>
                </pt>
                <pt idx="537">
                  <v>2025</v>
                </pt>
                <pt idx="538">
                  <v>#N/A</v>
                </pt>
                <pt idx="539">
                  <v>#N/A</v>
                </pt>
                <pt idx="540">
                  <v>2026</v>
                </pt>
                <pt idx="541">
                  <v>2021</v>
                </pt>
                <pt idx="542">
                  <v>2026</v>
                </pt>
                <pt idx="543">
                  <v>2022</v>
                </pt>
                <pt idx="544">
                  <v>#N/A</v>
                </pt>
                <pt idx="545">
                  <v>#N/A</v>
                </pt>
                <pt idx="546">
                  <v>#N/A</v>
                </pt>
                <pt idx="547">
                  <v>#N/A</v>
                </pt>
                <pt idx="548">
                  <v>#N/A</v>
                </pt>
                <pt idx="549">
                  <v>#N/A</v>
                </pt>
                <pt idx="550">
                  <v>#N/A</v>
                </pt>
                <pt idx="551">
                  <v>#N/A</v>
                </pt>
                <pt idx="552">
                  <v>#N/A</v>
                </pt>
                <pt idx="553">
                  <v>#N/A</v>
                </pt>
                <pt idx="554">
                  <v>#N/A</v>
                </pt>
                <pt idx="555">
                  <v>#N/A</v>
                </pt>
                <pt idx="556">
                  <v>#N/A</v>
                </pt>
                <pt idx="557">
                  <v>#N/A</v>
                </pt>
                <pt idx="558">
                  <v>#N/A</v>
                </pt>
                <pt idx="559">
                  <v>#N/A</v>
                </pt>
                <pt idx="560">
                  <v>#N/A</v>
                </pt>
                <pt idx="561">
                  <v>#N/A</v>
                </pt>
                <pt idx="562">
                  <v>#N/A</v>
                </pt>
                <pt idx="563">
                  <v>#N/A</v>
                </pt>
                <pt idx="564">
                  <v>2026</v>
                </pt>
                <pt idx="565">
                  <v>#N/A</v>
                </pt>
                <pt idx="566">
                  <v>#N/A</v>
                </pt>
                <pt idx="567">
                  <v>#N/A</v>
                </pt>
                <pt idx="568">
                  <v>#N/A</v>
                </pt>
                <pt idx="569">
                  <v>2019</v>
                </pt>
                <pt idx="570">
                  <v>#N/A</v>
                </pt>
                <pt idx="571">
                  <v>#N/A</v>
                </pt>
                <pt idx="572">
                  <v>#N/A</v>
                </pt>
                <pt idx="573">
                  <v>#N/A</v>
                </pt>
                <pt idx="574">
                  <v>#N/A</v>
                </pt>
                <pt idx="575">
                  <v>#N/A</v>
                </pt>
                <pt idx="576">
                  <v>#N/A</v>
                </pt>
                <pt idx="577">
                  <v>2025</v>
                </pt>
                <pt idx="578">
                  <v>#N/A</v>
                </pt>
                <pt idx="579">
                  <v>#N/A</v>
                </pt>
                <pt idx="580">
                  <v>#N/A</v>
                </pt>
                <pt idx="581">
                  <v>#N/A</v>
                </pt>
                <pt idx="582">
                  <v>#N/A</v>
                </pt>
                <pt idx="583">
                  <v>#N/A</v>
                </pt>
                <pt idx="584">
                  <v>#N/A</v>
                </pt>
                <pt idx="585">
                  <v>2022</v>
                </pt>
                <pt idx="586">
                  <v>#N/A</v>
                </pt>
                <pt idx="587">
                  <v>2025</v>
                </pt>
                <pt idx="588">
                  <v>#N/A</v>
                </pt>
                <pt idx="589">
                  <v>#N/A</v>
                </pt>
                <pt idx="590">
                  <v>#N/A</v>
                </pt>
                <pt idx="591">
                  <v>#N/A</v>
                </pt>
                <pt idx="592">
                  <v>#N/A</v>
                </pt>
                <pt idx="593">
                  <v>#N/A</v>
                </pt>
                <pt idx="594">
                  <v>#N/A</v>
                </pt>
                <pt idx="595">
                  <v>#N/A</v>
                </pt>
                <pt idx="596">
                  <v>#N/A</v>
                </pt>
                <pt idx="597">
                  <v>#N/A</v>
                </pt>
                <pt idx="598">
                  <v>#N/A</v>
                </pt>
                <pt idx="599">
                  <v>#N/A</v>
                </pt>
                <pt idx="600">
                  <v>#N/A</v>
                </pt>
                <pt idx="601">
                  <v>#N/A</v>
                </pt>
                <pt idx="602">
                  <v>#N/A</v>
                </pt>
                <pt idx="603">
                  <v>#N/A</v>
                </pt>
                <pt idx="604">
                  <v>#N/A</v>
                </pt>
                <pt idx="605">
                  <v>#N/A</v>
                </pt>
                <pt idx="606">
                  <v>2024</v>
                </pt>
                <pt idx="607">
                  <v>#N/A</v>
                </pt>
                <pt idx="608">
                  <v>#N/A</v>
                </pt>
                <pt idx="609">
                  <v>2021</v>
                </pt>
                <pt idx="610">
                  <v>#N/A</v>
                </pt>
                <pt idx="611">
                  <v>2026</v>
                </pt>
                <pt idx="612">
                  <v>#N/A</v>
                </pt>
                <pt idx="613">
                  <v>#N/A</v>
                </pt>
                <pt idx="614">
                  <v>#N/A</v>
                </pt>
                <pt idx="615">
                  <v>#N/A</v>
                </pt>
                <pt idx="616">
                  <v>2026</v>
                </pt>
                <pt idx="617">
                  <v>2025</v>
                </pt>
                <pt idx="618">
                  <v>#N/A</v>
                </pt>
                <pt idx="619">
                  <v>2026</v>
                </pt>
                <pt idx="620">
                  <v>2025</v>
                </pt>
                <pt idx="621">
                  <v>2026</v>
                </pt>
                <pt idx="622">
                  <v>2023</v>
                </pt>
                <pt idx="623">
                  <v>#N/A</v>
                </pt>
                <pt idx="624">
                  <v>#N/A</v>
                </pt>
                <pt idx="625">
                  <v>#N/A</v>
                </pt>
                <pt idx="626">
                  <v>#N/A</v>
                </pt>
                <pt idx="627">
                  <v>#N/A</v>
                </pt>
                <pt idx="628">
                  <v>#N/A</v>
                </pt>
                <pt idx="629">
                  <v>#N/A</v>
                </pt>
                <pt idx="630">
                  <v>#N/A</v>
                </pt>
                <pt idx="631">
                  <v>#N/A</v>
                </pt>
                <pt idx="632">
                  <v>#N/A</v>
                </pt>
                <pt idx="633">
                  <v>#N/A</v>
                </pt>
                <pt idx="634">
                  <v>#N/A</v>
                </pt>
                <pt idx="635">
                  <v>#N/A</v>
                </pt>
                <pt idx="636">
                  <v>#N/A</v>
                </pt>
                <pt idx="637">
                  <v>#N/A</v>
                </pt>
                <pt idx="638">
                  <v>#N/A</v>
                </pt>
                <pt idx="639">
                  <v>#N/A</v>
                </pt>
                <pt idx="640">
                  <v>#N/A</v>
                </pt>
                <pt idx="641">
                  <v>#N/A</v>
                </pt>
                <pt idx="642">
                  <v>#N/A</v>
                </pt>
                <pt idx="643">
                  <v>#N/A</v>
                </pt>
                <pt idx="644">
                  <v>#N/A</v>
                </pt>
                <pt idx="645">
                  <v>#N/A</v>
                </pt>
                <pt idx="646">
                  <v>#N/A</v>
                </pt>
                <pt idx="647">
                  <v>#N/A</v>
                </pt>
                <pt idx="648">
                  <v>#N/A</v>
                </pt>
                <pt idx="649">
                  <v>#N/A</v>
                </pt>
                <pt idx="650">
                  <v>#N/A</v>
                </pt>
                <pt idx="651">
                  <v>#N/A</v>
                </pt>
                <pt idx="652">
                  <v>#N/A</v>
                </pt>
                <pt idx="653">
                  <v>#N/A</v>
                </pt>
                <pt idx="654">
                  <v>#N/A</v>
                </pt>
                <pt idx="655">
                  <v>#N/A</v>
                </pt>
                <pt idx="656">
                  <v>#N/A</v>
                </pt>
                <pt idx="657">
                  <v>2024</v>
                </pt>
                <pt idx="658">
                  <v>#N/A</v>
                </pt>
                <pt idx="659">
                  <v>#N/A</v>
                </pt>
                <pt idx="660">
                  <v>2017</v>
                </pt>
                <pt idx="661">
                  <v>2026</v>
                </pt>
                <pt idx="662">
                  <v>#N/A</v>
                </pt>
                <pt idx="663">
                  <v>#N/A</v>
                </pt>
                <pt idx="664">
                  <v>2025</v>
                </pt>
                <pt idx="665">
                  <v>2026</v>
                </pt>
                <pt idx="666">
                  <v>2025</v>
                </pt>
                <pt idx="667">
                  <v>#N/A</v>
                </pt>
                <pt idx="668">
                  <v>#N/A</v>
                </pt>
                <pt idx="669">
                  <v>#N/A</v>
                </pt>
                <pt idx="670">
                  <v>2016</v>
                </pt>
                <pt idx="671">
                  <v>#N/A</v>
                </pt>
                <pt idx="672">
                  <v>#N/A</v>
                </pt>
                <pt idx="673">
                  <v>#N/A</v>
                </pt>
                <pt idx="674">
                  <v>#N/A</v>
                </pt>
                <pt idx="675">
                  <v>#N/A</v>
                </pt>
                <pt idx="676">
                  <v>#N/A</v>
                </pt>
                <pt idx="677">
                  <v>#N/A</v>
                </pt>
                <pt idx="678">
                  <v>#N/A</v>
                </pt>
                <pt idx="679">
                  <v>2024</v>
                </pt>
                <pt idx="680">
                  <v>#N/A</v>
                </pt>
                <pt idx="681">
                  <v>#N/A</v>
                </pt>
                <pt idx="682">
                  <v>#N/A</v>
                </pt>
                <pt idx="683">
                  <v>2024</v>
                </pt>
                <pt idx="684">
                  <v>#N/A</v>
                </pt>
                <pt idx="685">
                  <v>#N/A</v>
                </pt>
                <pt idx="686">
                  <v>#N/A</v>
                </pt>
                <pt idx="687">
                  <v>#N/A</v>
                </pt>
                <pt idx="688">
                  <v>#N/A</v>
                </pt>
                <pt idx="689">
                  <v>2025</v>
                </pt>
                <pt idx="690">
                  <v>#N/A</v>
                </pt>
                <pt idx="691">
                  <v>#N/A</v>
                </pt>
                <pt idx="692">
                  <v>#N/A</v>
                </pt>
                <pt idx="693">
                  <v>2025</v>
                </pt>
                <pt idx="694">
                  <v>2025</v>
                </pt>
                <pt idx="695">
                  <v>#N/A</v>
                </pt>
                <pt idx="696">
                  <v>#N/A</v>
                </pt>
                <pt idx="697">
                  <v>#N/A</v>
                </pt>
                <pt idx="698">
                  <v>#N/A</v>
                </pt>
                <pt idx="699">
                  <v>#N/A</v>
                </pt>
                <pt idx="700">
                  <v>#N/A</v>
                </pt>
                <pt idx="701">
                  <v>#N/A</v>
                </pt>
                <pt idx="702">
                  <v>#N/A</v>
                </pt>
                <pt idx="703">
                  <v>#N/A</v>
                </pt>
                <pt idx="704">
                  <v>#N/A</v>
                </pt>
                <pt idx="705">
                  <v>2022</v>
                </pt>
                <pt idx="706">
                  <v>#N/A</v>
                </pt>
                <pt idx="707">
                  <v>#N/A</v>
                </pt>
                <pt idx="708">
                  <v>2025</v>
                </pt>
                <pt idx="709">
                  <v>#N/A</v>
                </pt>
                <pt idx="710">
                  <v>#N/A</v>
                </pt>
                <pt idx="711">
                  <v>#N/A</v>
                </pt>
                <pt idx="712">
                  <v>#N/A</v>
                </pt>
                <pt idx="713">
                  <v>#N/A</v>
                </pt>
                <pt idx="714">
                  <v>#N/A</v>
                </pt>
                <pt idx="715">
                  <v>#N/A</v>
                </pt>
                <pt idx="716">
                  <v>#N/A</v>
                </pt>
                <pt idx="717">
                  <v>#N/A</v>
                </pt>
                <pt idx="718">
                  <v>#N/A</v>
                </pt>
                <pt idx="719">
                  <v>#N/A</v>
                </pt>
                <pt idx="720">
                  <v>#N/A</v>
                </pt>
                <pt idx="721">
                  <v>2020</v>
                </pt>
                <pt idx="722">
                  <v>#N/A</v>
                </pt>
                <pt idx="723">
                  <v>#N/A</v>
                </pt>
                <pt idx="724">
                  <v>2026</v>
                </pt>
                <pt idx="725">
                  <v>#N/A</v>
                </pt>
                <pt idx="726">
                  <v>#N/A</v>
                </pt>
                <pt idx="727">
                  <v>#N/A</v>
                </pt>
                <pt idx="728">
                  <v>#N/A</v>
                </pt>
                <pt idx="729">
                  <v>#N/A</v>
                </pt>
                <pt idx="730">
                  <v>#N/A</v>
                </pt>
                <pt idx="731">
                  <v>#N/A</v>
                </pt>
                <pt idx="732">
                  <v>#N/A</v>
                </pt>
                <pt idx="733">
                  <v>#N/A</v>
                </pt>
                <pt idx="734">
                  <v>#N/A</v>
                </pt>
                <pt idx="735">
                  <v>#N/A</v>
                </pt>
                <pt idx="736">
                  <v>#N/A</v>
                </pt>
                <pt idx="737">
                  <v>#N/A</v>
                </pt>
                <pt idx="738">
                  <v>#N/A</v>
                </pt>
                <pt idx="739">
                  <v>#N/A</v>
                </pt>
                <pt idx="740">
                  <v>#N/A</v>
                </pt>
                <pt idx="741">
                  <v>2025</v>
                </pt>
                <pt idx="742">
                  <v>#N/A</v>
                </pt>
                <pt idx="743">
                  <v>#N/A</v>
                </pt>
                <pt idx="744">
                  <v>#N/A</v>
                </pt>
                <pt idx="745">
                  <v>#N/A</v>
                </pt>
                <pt idx="746">
                  <v>#N/A</v>
                </pt>
                <pt idx="747">
                  <v>#N/A</v>
                </pt>
                <pt idx="748">
                  <v>#N/A</v>
                </pt>
                <pt idx="749">
                  <v>#N/A</v>
                </pt>
                <pt idx="750">
                  <v>#N/A</v>
                </pt>
                <pt idx="751">
                  <v>#N/A</v>
                </pt>
                <pt idx="752">
                  <v>#N/A</v>
                </pt>
                <pt idx="753">
                  <v>2025</v>
                </pt>
                <pt idx="754">
                  <v>#N/A</v>
                </pt>
                <pt idx="755">
                  <v>2026</v>
                </pt>
                <pt idx="756">
                  <v>#N/A</v>
                </pt>
                <pt idx="757">
                  <v>#N/A</v>
                </pt>
                <pt idx="758">
                  <v>#N/A</v>
                </pt>
                <pt idx="759">
                  <v>#N/A</v>
                </pt>
                <pt idx="760">
                  <v>2025</v>
                </pt>
                <pt idx="761">
                  <v>#N/A</v>
                </pt>
                <pt idx="762">
                  <v>#N/A</v>
                </pt>
                <pt idx="763">
                  <v>2025</v>
                </pt>
                <pt idx="764">
                  <v>#N/A</v>
                </pt>
                <pt idx="765">
                  <v>#N/A</v>
                </pt>
                <pt idx="766">
                  <v>#N/A</v>
                </pt>
                <pt idx="767">
                  <v>#N/A</v>
                </pt>
                <pt idx="768">
                  <v>#N/A</v>
                </pt>
                <pt idx="769">
                  <v>#N/A</v>
                </pt>
                <pt idx="770">
                  <v>#N/A</v>
                </pt>
                <pt idx="771">
                  <v>#N/A</v>
                </pt>
                <pt idx="772">
                  <v>#N/A</v>
                </pt>
                <pt idx="773">
                  <v>#N/A</v>
                </pt>
                <pt idx="774">
                  <v>#N/A</v>
                </pt>
                <pt idx="775">
                  <v>2022</v>
                </pt>
                <pt idx="776">
                  <v>#N/A</v>
                </pt>
                <pt idx="777">
                  <v>2023</v>
                </pt>
                <pt idx="778">
                  <v>#N/A</v>
                </pt>
                <pt idx="779">
                  <v>#N/A</v>
                </pt>
                <pt idx="780">
                  <v>#N/A</v>
                </pt>
                <pt idx="781">
                  <v>2021</v>
                </pt>
                <pt idx="782">
                  <v>2025</v>
                </pt>
                <pt idx="783">
                  <v>2019</v>
                </pt>
                <pt idx="784">
                  <v>#N/A</v>
                </pt>
                <pt idx="785">
                  <v>2026</v>
                </pt>
                <pt idx="786">
                  <v>#N/A</v>
                </pt>
                <pt idx="787">
                  <v>#N/A</v>
                </pt>
                <pt idx="788">
                  <v>#N/A</v>
                </pt>
                <pt idx="789">
                  <v>#N/A</v>
                </pt>
                <pt idx="790">
                  <v>#N/A</v>
                </pt>
                <pt idx="791">
                  <v>#N/A</v>
                </pt>
                <pt idx="792">
                  <v>#N/A</v>
                </pt>
                <pt idx="793">
                  <v>#N/A</v>
                </pt>
                <pt idx="794">
                  <v>#N/A</v>
                </pt>
                <pt idx="795">
                  <v>#N/A</v>
                </pt>
                <pt idx="796">
                  <v>#N/A</v>
                </pt>
                <pt idx="797">
                  <v>2026</v>
                </pt>
                <pt idx="798">
                  <v>#N/A</v>
                </pt>
                <pt idx="799">
                  <v>#N/A</v>
                </pt>
                <pt idx="800">
                  <v>2020</v>
                </pt>
                <pt idx="801">
                  <v>#N/A</v>
                </pt>
                <pt idx="802">
                  <v>#N/A</v>
                </pt>
                <pt idx="803">
                  <v>2021</v>
                </pt>
                <pt idx="804">
                  <v>2025</v>
                </pt>
                <pt idx="805">
                  <v>2026</v>
                </pt>
                <pt idx="806">
                  <v>#N/A</v>
                </pt>
                <pt idx="807">
                  <v>#N/A</v>
                </pt>
                <pt idx="808">
                  <v>#N/A</v>
                </pt>
                <pt idx="809">
                  <v>#N/A</v>
                </pt>
                <pt idx="810">
                  <v>#N/A</v>
                </pt>
                <pt idx="811">
                  <v>#N/A</v>
                </pt>
                <pt idx="812">
                  <v>#N/A</v>
                </pt>
                <pt idx="813">
                  <v>#N/A</v>
                </pt>
                <pt idx="814">
                  <v>#N/A</v>
                </pt>
                <pt idx="815">
                  <v>#N/A</v>
                </pt>
                <pt idx="816">
                  <v>#N/A</v>
                </pt>
                <pt idx="817">
                  <v>#N/A</v>
                </pt>
                <pt idx="818">
                  <v>#N/A</v>
                </pt>
                <pt idx="819">
                  <v>#N/A</v>
                </pt>
                <pt idx="820">
                  <v>#N/A</v>
                </pt>
                <pt idx="821">
                  <v>#N/A</v>
                </pt>
                <pt idx="822">
                  <v>#N/A</v>
                </pt>
                <pt idx="823">
                  <v>#N/A</v>
                </pt>
                <pt idx="824">
                  <v>#N/A</v>
                </pt>
                <pt idx="825">
                  <v>#N/A</v>
                </pt>
                <pt idx="826">
                  <v>#N/A</v>
                </pt>
                <pt idx="827">
                  <v>#N/A</v>
                </pt>
                <pt idx="828">
                  <v>2023</v>
                </pt>
                <pt idx="829">
                  <v>#N/A</v>
                </pt>
                <pt idx="830">
                  <v>2026</v>
                </pt>
                <pt idx="831">
                  <v>#N/A</v>
                </pt>
                <pt idx="832">
                  <v>#N/A</v>
                </pt>
                <pt idx="833">
                  <v>2026</v>
                </pt>
                <pt idx="834">
                  <v>#N/A</v>
                </pt>
                <pt idx="835">
                  <v>#N/A</v>
                </pt>
                <pt idx="836">
                  <v>#N/A</v>
                </pt>
                <pt idx="837">
                  <v>2025</v>
                </pt>
                <pt idx="838">
                  <v>2025</v>
                </pt>
                <pt idx="839">
                  <v>2022</v>
                </pt>
                <pt idx="840">
                  <v>2026</v>
                </pt>
                <pt idx="841">
                  <v>#N/A</v>
                </pt>
                <pt idx="842">
                  <v>#N/A</v>
                </pt>
                <pt idx="843">
                  <v>2024</v>
                </pt>
                <pt idx="844">
                  <v>#N/A</v>
                </pt>
                <pt idx="845">
                  <v>#N/A</v>
                </pt>
                <pt idx="846">
                  <v>#N/A</v>
                </pt>
                <pt idx="847">
                  <v>2024</v>
                </pt>
                <pt idx="848">
                  <v>#N/A</v>
                </pt>
                <pt idx="849">
                  <v>#N/A</v>
                </pt>
                <pt idx="850">
                  <v>#N/A</v>
                </pt>
                <pt idx="851">
                  <v>2023</v>
                </pt>
                <pt idx="852">
                  <v>2026</v>
                </pt>
                <pt idx="853">
                  <v>#N/A</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numCache>
            </numRef>
          </xVal>
          <yVal>
            <numRef>
              <f>'Map Calc'!$L$1:$L$950</f>
              <numCache>
                <formatCode>General</formatCode>
                <ptCount val="950"/>
                <pt idx="0">
                  <v>0</v>
                </pt>
                <pt idx="1">
                  <v>#N/A</v>
                </pt>
                <pt idx="2">
                  <v>#N/A</v>
                </pt>
                <pt idx="3">
                  <v>3.092</v>
                </pt>
                <pt idx="4">
                  <v>#N/A</v>
                </pt>
                <pt idx="5">
                  <v>#N/A</v>
                </pt>
                <pt idx="6">
                  <v>#N/A</v>
                </pt>
                <pt idx="7">
                  <v>#N/A</v>
                </pt>
                <pt idx="8">
                  <v>#N/A</v>
                </pt>
                <pt idx="9">
                  <v>#N/A</v>
                </pt>
                <pt idx="10">
                  <v>3.253</v>
                </pt>
                <pt idx="11">
                  <v>#N/A</v>
                </pt>
                <pt idx="12">
                  <v>3.299</v>
                </pt>
                <pt idx="13">
                  <v>#N/A</v>
                </pt>
                <pt idx="14">
                  <v>#N/A</v>
                </pt>
                <pt idx="15">
                  <v>#N/A</v>
                </pt>
                <pt idx="16">
                  <v>#N/A</v>
                </pt>
                <pt idx="17">
                  <v>3.414</v>
                </pt>
                <pt idx="18">
                  <v>3.437</v>
                </pt>
                <pt idx="19">
                  <v>#N/A</v>
                </pt>
                <pt idx="20">
                  <v>#N/A</v>
                </pt>
                <pt idx="21">
                  <v>3.506</v>
                </pt>
                <pt idx="22">
                  <v>#N/A</v>
                </pt>
                <pt idx="23">
                  <v>#N/A</v>
                </pt>
                <pt idx="24">
                  <v>#N/A</v>
                </pt>
                <pt idx="25">
                  <v>#N/A</v>
                </pt>
                <pt idx="26">
                  <v>#N/A</v>
                </pt>
                <pt idx="27">
                  <v>3.644</v>
                </pt>
                <pt idx="28">
                  <v>#N/A</v>
                </pt>
                <pt idx="29">
                  <v>3.69</v>
                </pt>
                <pt idx="30">
                  <v>#N/A</v>
                </pt>
                <pt idx="31">
                  <v>3.736</v>
                </pt>
                <pt idx="32">
                  <v>3.759</v>
                </pt>
                <pt idx="33">
                  <v>#N/A</v>
                </pt>
                <pt idx="34">
                  <v>#N/A</v>
                </pt>
                <pt idx="35">
                  <v>#N/A</v>
                </pt>
                <pt idx="36">
                  <v>3.069</v>
                </pt>
                <pt idx="37">
                  <v>3.092</v>
                </pt>
                <pt idx="38">
                  <v>#N/A</v>
                </pt>
                <pt idx="39">
                  <v>#N/A</v>
                </pt>
                <pt idx="40">
                  <v>#N/A</v>
                </pt>
                <pt idx="41">
                  <v>3.184</v>
                </pt>
                <pt idx="42">
                  <v>#N/A</v>
                </pt>
                <pt idx="43">
                  <v>#N/A</v>
                </pt>
                <pt idx="44">
                  <v>#N/A</v>
                </pt>
                <pt idx="45">
                  <v>#N/A</v>
                </pt>
                <pt idx="46">
                  <v>#N/A</v>
                </pt>
                <pt idx="47">
                  <v>#N/A</v>
                </pt>
                <pt idx="48">
                  <v>#N/A</v>
                </pt>
                <pt idx="49">
                  <v>#N/A</v>
                </pt>
                <pt idx="50">
                  <v>#N/A</v>
                </pt>
                <pt idx="51">
                  <v>3.414</v>
                </pt>
                <pt idx="52">
                  <v>#N/A</v>
                </pt>
                <pt idx="53">
                  <v>3.46</v>
                </pt>
                <pt idx="54">
                  <v>#N/A</v>
                </pt>
                <pt idx="55">
                  <v>#N/A</v>
                </pt>
                <pt idx="56">
                  <v>3.529</v>
                </pt>
                <pt idx="57">
                  <v>3.552</v>
                </pt>
                <pt idx="58">
                  <v>#N/A</v>
                </pt>
                <pt idx="59">
                  <v>#N/A</v>
                </pt>
                <pt idx="60">
                  <v>#N/A</v>
                </pt>
                <pt idx="61">
                  <v>#N/A</v>
                </pt>
                <pt idx="62">
                  <v>#N/A</v>
                </pt>
                <pt idx="63">
                  <v>#N/A</v>
                </pt>
                <pt idx="64">
                  <v>3.713</v>
                </pt>
                <pt idx="65">
                  <v>#N/A</v>
                </pt>
                <pt idx="66">
                  <v>#N/A</v>
                </pt>
                <pt idx="67">
                  <v>#N/A</v>
                </pt>
                <pt idx="68">
                  <v>#N/A</v>
                </pt>
                <pt idx="69">
                  <v>3.046</v>
                </pt>
                <pt idx="70">
                  <v>#N/A</v>
                </pt>
                <pt idx="71">
                  <v>3.092</v>
                </pt>
                <pt idx="72">
                  <v>3.115</v>
                </pt>
                <pt idx="73">
                  <v>#N/A</v>
                </pt>
                <pt idx="74">
                  <v>3.161</v>
                </pt>
                <pt idx="75">
                  <v>#N/A</v>
                </pt>
                <pt idx="76">
                  <v>#N/A</v>
                </pt>
                <pt idx="77">
                  <v>#N/A</v>
                </pt>
                <pt idx="78">
                  <v>#N/A</v>
                </pt>
                <pt idx="79">
                  <v>#N/A</v>
                </pt>
                <pt idx="80">
                  <v>#N/A</v>
                </pt>
                <pt idx="81">
                  <v>#N/A</v>
                </pt>
                <pt idx="82">
                  <v>#N/A</v>
                </pt>
                <pt idx="83">
                  <v>#N/A</v>
                </pt>
                <pt idx="84">
                  <v>3.391</v>
                </pt>
                <pt idx="85">
                  <v>#N/A</v>
                </pt>
                <pt idx="86">
                  <v>#N/A</v>
                </pt>
                <pt idx="87">
                  <v>#N/A</v>
                </pt>
                <pt idx="88">
                  <v>3.483</v>
                </pt>
                <pt idx="89">
                  <v>3.506</v>
                </pt>
                <pt idx="90">
                  <v>3.529</v>
                </pt>
                <pt idx="91">
                  <v>#N/A</v>
                </pt>
                <pt idx="92">
                  <v>#N/A</v>
                </pt>
                <pt idx="93">
                  <v>#N/A</v>
                </pt>
                <pt idx="94">
                  <v>#N/A</v>
                </pt>
                <pt idx="95">
                  <v>#N/A</v>
                </pt>
                <pt idx="96">
                  <v>#N/A</v>
                </pt>
                <pt idx="97">
                  <v>#N/A</v>
                </pt>
                <pt idx="98">
                  <v>#N/A</v>
                </pt>
                <pt idx="99">
                  <v>#N/A</v>
                </pt>
                <pt idx="100">
                  <v>#N/A</v>
                </pt>
                <pt idx="101">
                  <v>#N/A</v>
                </pt>
                <pt idx="102">
                  <v>#N/A</v>
                </pt>
                <pt idx="103">
                  <v>3.046</v>
                </pt>
                <pt idx="104">
                  <v>#N/A</v>
                </pt>
                <pt idx="105">
                  <v>#N/A</v>
                </pt>
                <pt idx="106">
                  <v>#N/A</v>
                </pt>
                <pt idx="107">
                  <v>#N/A</v>
                </pt>
                <pt idx="108">
                  <v>#N/A</v>
                </pt>
                <pt idx="109">
                  <v>3.184</v>
                </pt>
                <pt idx="110">
                  <v>#N/A</v>
                </pt>
                <pt idx="111">
                  <v>#N/A</v>
                </pt>
                <pt idx="112">
                  <v>#N/A</v>
                </pt>
                <pt idx="113">
                  <v>#N/A</v>
                </pt>
                <pt idx="114">
                  <v>#N/A</v>
                </pt>
                <pt idx="115">
                  <v>#N/A</v>
                </pt>
                <pt idx="116">
                  <v>3.345</v>
                </pt>
                <pt idx="117">
                  <v>#N/A</v>
                </pt>
                <pt idx="118">
                  <v>#N/A</v>
                </pt>
                <pt idx="119">
                  <v>#N/A</v>
                </pt>
                <pt idx="120">
                  <v>#N/A</v>
                </pt>
                <pt idx="121">
                  <v>#N/A</v>
                </pt>
                <pt idx="122">
                  <v>#N/A</v>
                </pt>
                <pt idx="123">
                  <v>#N/A</v>
                </pt>
                <pt idx="124">
                  <v>3.529</v>
                </pt>
                <pt idx="125">
                  <v>3.552</v>
                </pt>
                <pt idx="126">
                  <v>#N/A</v>
                </pt>
                <pt idx="127">
                  <v>#N/A</v>
                </pt>
                <pt idx="128">
                  <v>#N/A</v>
                </pt>
                <pt idx="129">
                  <v>#N/A</v>
                </pt>
                <pt idx="130">
                  <v>3.667</v>
                </pt>
                <pt idx="131">
                  <v>#N/A</v>
                </pt>
                <pt idx="132">
                  <v>3.713</v>
                </pt>
                <pt idx="133">
                  <v>#N/A</v>
                </pt>
                <pt idx="134">
                  <v>3.759</v>
                </pt>
                <pt idx="135">
                  <v>#N/A</v>
                </pt>
                <pt idx="136">
                  <v>3.023</v>
                </pt>
                <pt idx="137">
                  <v>#N/A</v>
                </pt>
                <pt idx="138">
                  <v>#N/A</v>
                </pt>
                <pt idx="139">
                  <v>#N/A</v>
                </pt>
                <pt idx="140">
                  <v>#N/A</v>
                </pt>
                <pt idx="141">
                  <v>#N/A</v>
                </pt>
                <pt idx="142">
                  <v>#N/A</v>
                </pt>
                <pt idx="143">
                  <v>#N/A</v>
                </pt>
                <pt idx="144">
                  <v>#N/A</v>
                </pt>
                <pt idx="145">
                  <v>3.23</v>
                </pt>
                <pt idx="146">
                  <v>3.253</v>
                </pt>
                <pt idx="147">
                  <v>3.276</v>
                </pt>
                <pt idx="148">
                  <v>#N/A</v>
                </pt>
                <pt idx="149">
                  <v>3.322</v>
                </pt>
                <pt idx="150">
                  <v>#N/A</v>
                </pt>
                <pt idx="151">
                  <v>#N/A</v>
                </pt>
                <pt idx="152">
                  <v>#N/A</v>
                </pt>
                <pt idx="153">
                  <v>#N/A</v>
                </pt>
                <pt idx="154">
                  <v>3.437</v>
                </pt>
                <pt idx="155">
                  <v>3.46</v>
                </pt>
                <pt idx="156">
                  <v>3.483</v>
                </pt>
                <pt idx="157">
                  <v>#N/A</v>
                </pt>
                <pt idx="158">
                  <v>#N/A</v>
                </pt>
                <pt idx="159">
                  <v>3.552</v>
                </pt>
                <pt idx="160">
                  <v>#N/A</v>
                </pt>
                <pt idx="161">
                  <v>#N/A</v>
                </pt>
                <pt idx="162">
                  <v>#N/A</v>
                </pt>
                <pt idx="163">
                  <v>#N/A</v>
                </pt>
                <pt idx="164">
                  <v>#N/A</v>
                </pt>
                <pt idx="165">
                  <v>#N/A</v>
                </pt>
                <pt idx="166">
                  <v>#N/A</v>
                </pt>
                <pt idx="167">
                  <v>#N/A</v>
                </pt>
                <pt idx="168">
                  <v>#N/A</v>
                </pt>
                <pt idx="169">
                  <v>#N/A</v>
                </pt>
                <pt idx="170">
                  <v>#N/A</v>
                </pt>
                <pt idx="171">
                  <v>#N/A</v>
                </pt>
                <pt idx="172">
                  <v>#N/A</v>
                </pt>
                <pt idx="173">
                  <v>3.092</v>
                </pt>
                <pt idx="174">
                  <v>#N/A</v>
                </pt>
                <pt idx="175">
                  <v>#N/A</v>
                </pt>
                <pt idx="176">
                  <v>#N/A</v>
                </pt>
                <pt idx="177">
                  <v>#N/A</v>
                </pt>
                <pt idx="178">
                  <v>#N/A</v>
                </pt>
                <pt idx="179">
                  <v>3.23</v>
                </pt>
                <pt idx="180">
                  <v>#N/A</v>
                </pt>
                <pt idx="181">
                  <v>3.276</v>
                </pt>
                <pt idx="182">
                  <v>3.299</v>
                </pt>
                <pt idx="183">
                  <v>3.322</v>
                </pt>
                <pt idx="184">
                  <v>#N/A</v>
                </pt>
                <pt idx="185">
                  <v>#N/A</v>
                </pt>
                <pt idx="186">
                  <v>3.391</v>
                </pt>
                <pt idx="187">
                  <v>3.414</v>
                </pt>
                <pt idx="188">
                  <v>#N/A</v>
                </pt>
                <pt idx="189">
                  <v>#N/A</v>
                </pt>
                <pt idx="190">
                  <v>#N/A</v>
                </pt>
                <pt idx="191">
                  <v>3.506</v>
                </pt>
                <pt idx="192">
                  <v>#N/A</v>
                </pt>
                <pt idx="193">
                  <v>#N/A</v>
                </pt>
                <pt idx="194">
                  <v>#N/A</v>
                </pt>
                <pt idx="195">
                  <v>#N/A</v>
                </pt>
                <pt idx="196">
                  <v>#N/A</v>
                </pt>
                <pt idx="197">
                  <v>#N/A</v>
                </pt>
                <pt idx="198">
                  <v>3.667</v>
                </pt>
                <pt idx="199">
                  <v>3.69</v>
                </pt>
                <pt idx="200">
                  <v>3.713</v>
                </pt>
                <pt idx="201">
                  <v>#N/A</v>
                </pt>
                <pt idx="202">
                  <v>3.759</v>
                </pt>
                <pt idx="203">
                  <v>3</v>
                </pt>
                <pt idx="204">
                  <v>3.023</v>
                </pt>
                <pt idx="205">
                  <v>3.046</v>
                </pt>
                <pt idx="206">
                  <v>3.069</v>
                </pt>
                <pt idx="207">
                  <v>3.092</v>
                </pt>
                <pt idx="208">
                  <v>#N/A</v>
                </pt>
                <pt idx="209">
                  <v>3.138</v>
                </pt>
                <pt idx="210">
                  <v>#N/A</v>
                </pt>
                <pt idx="211">
                  <v>#N/A</v>
                </pt>
                <pt idx="212">
                  <v>3.207</v>
                </pt>
                <pt idx="213">
                  <v>3.23</v>
                </pt>
                <pt idx="214">
                  <v>3.253</v>
                </pt>
                <pt idx="215">
                  <v>#N/A</v>
                </pt>
                <pt idx="216">
                  <v>#N/A</v>
                </pt>
                <pt idx="217">
                  <v>#N/A</v>
                </pt>
                <pt idx="218">
                  <v>#N/A</v>
                </pt>
                <pt idx="219">
                  <v>#N/A</v>
                </pt>
                <pt idx="220">
                  <v>#N/A</v>
                </pt>
                <pt idx="221">
                  <v>#N/A</v>
                </pt>
                <pt idx="222">
                  <v>#N/A</v>
                </pt>
                <pt idx="223">
                  <v>#N/A</v>
                </pt>
                <pt idx="224">
                  <v>#N/A</v>
                </pt>
                <pt idx="225">
                  <v>#N/A</v>
                </pt>
                <pt idx="226">
                  <v>#N/A</v>
                </pt>
                <pt idx="227">
                  <v>#N/A</v>
                </pt>
                <pt idx="228">
                  <v>3.575</v>
                </pt>
                <pt idx="229">
                  <v>#N/A</v>
                </pt>
                <pt idx="230">
                  <v>#N/A</v>
                </pt>
                <pt idx="231">
                  <v>#N/A</v>
                </pt>
                <pt idx="232">
                  <v>#N/A</v>
                </pt>
                <pt idx="233">
                  <v>3.69</v>
                </pt>
                <pt idx="234">
                  <v>#N/A</v>
                </pt>
                <pt idx="235">
                  <v>#N/A</v>
                </pt>
                <pt idx="236">
                  <v>#N/A</v>
                </pt>
                <pt idx="237">
                  <v>#N/A</v>
                </pt>
                <pt idx="238">
                  <v>#N/A</v>
                </pt>
                <pt idx="239">
                  <v>#N/A</v>
                </pt>
                <pt idx="240">
                  <v>#N/A</v>
                </pt>
                <pt idx="241">
                  <v>3.092</v>
                </pt>
                <pt idx="242">
                  <v>#N/A</v>
                </pt>
                <pt idx="243">
                  <v>#N/A</v>
                </pt>
                <pt idx="244">
                  <v>#N/A</v>
                </pt>
                <pt idx="245">
                  <v>#N/A</v>
                </pt>
                <pt idx="246">
                  <v>#N/A</v>
                </pt>
                <pt idx="247">
                  <v>#N/A</v>
                </pt>
                <pt idx="248">
                  <v>#N/A</v>
                </pt>
                <pt idx="249">
                  <v>#N/A</v>
                </pt>
                <pt idx="250">
                  <v>#N/A</v>
                </pt>
                <pt idx="251">
                  <v>#N/A</v>
                </pt>
                <pt idx="252">
                  <v>#N/A</v>
                </pt>
                <pt idx="253">
                  <v>#N/A</v>
                </pt>
                <pt idx="254">
                  <v>#N/A</v>
                </pt>
                <pt idx="255">
                  <v>#N/A</v>
                </pt>
                <pt idx="256">
                  <v>3.437</v>
                </pt>
                <pt idx="257">
                  <v>#N/A</v>
                </pt>
                <pt idx="258">
                  <v>#N/A</v>
                </pt>
                <pt idx="259">
                  <v>#N/A</v>
                </pt>
                <pt idx="260">
                  <v>#N/A</v>
                </pt>
                <pt idx="261">
                  <v>#N/A</v>
                </pt>
                <pt idx="262">
                  <v>#N/A</v>
                </pt>
                <pt idx="263">
                  <v>#N/A</v>
                </pt>
                <pt idx="264">
                  <v>#N/A</v>
                </pt>
                <pt idx="265">
                  <v>#N/A</v>
                </pt>
                <pt idx="266">
                  <v>3.667</v>
                </pt>
                <pt idx="267">
                  <v>3.69</v>
                </pt>
                <pt idx="268">
                  <v>#N/A</v>
                </pt>
                <pt idx="269">
                  <v>#N/A</v>
                </pt>
                <pt idx="270">
                  <v>#N/A</v>
                </pt>
                <pt idx="271">
                  <v>3</v>
                </pt>
                <pt idx="272">
                  <v>#N/A</v>
                </pt>
                <pt idx="273">
                  <v>#N/A</v>
                </pt>
                <pt idx="274">
                  <v>#N/A</v>
                </pt>
                <pt idx="275">
                  <v>#N/A</v>
                </pt>
                <pt idx="276">
                  <v>#N/A</v>
                </pt>
                <pt idx="277">
                  <v>3.138</v>
                </pt>
                <pt idx="278">
                  <v>#N/A</v>
                </pt>
                <pt idx="279">
                  <v>#N/A</v>
                </pt>
                <pt idx="280">
                  <v>#N/A</v>
                </pt>
                <pt idx="281">
                  <v>3.23</v>
                </pt>
                <pt idx="282">
                  <v>#N/A</v>
                </pt>
                <pt idx="283">
                  <v>#N/A</v>
                </pt>
                <pt idx="284">
                  <v>#N/A</v>
                </pt>
                <pt idx="285">
                  <v>#N/A</v>
                </pt>
                <pt idx="286">
                  <v>#N/A</v>
                </pt>
                <pt idx="287">
                  <v>#N/A</v>
                </pt>
                <pt idx="288">
                  <v>#N/A</v>
                </pt>
                <pt idx="289">
                  <v>#N/A</v>
                </pt>
                <pt idx="290">
                  <v>#N/A</v>
                </pt>
                <pt idx="291">
                  <v>#N/A</v>
                </pt>
                <pt idx="292">
                  <v>#N/A</v>
                </pt>
                <pt idx="293">
                  <v>3.506</v>
                </pt>
                <pt idx="294">
                  <v>#N/A</v>
                </pt>
                <pt idx="295">
                  <v>#N/A</v>
                </pt>
                <pt idx="296">
                  <v>#N/A</v>
                </pt>
                <pt idx="297">
                  <v>#N/A</v>
                </pt>
                <pt idx="298">
                  <v>#N/A</v>
                </pt>
                <pt idx="299">
                  <v>#N/A</v>
                </pt>
                <pt idx="300">
                  <v>#N/A</v>
                </pt>
                <pt idx="301">
                  <v>#N/A</v>
                </pt>
                <pt idx="302">
                  <v>#N/A</v>
                </pt>
                <pt idx="303">
                  <v>#N/A</v>
                </pt>
                <pt idx="304">
                  <v>#N/A</v>
                </pt>
                <pt idx="305">
                  <v>#N/A</v>
                </pt>
                <pt idx="306">
                  <v>#N/A</v>
                </pt>
                <pt idx="307">
                  <v>3.046</v>
                </pt>
                <pt idx="308">
                  <v>#N/A</v>
                </pt>
                <pt idx="309">
                  <v>#N/A</v>
                </pt>
                <pt idx="310">
                  <v>#N/A</v>
                </pt>
                <pt idx="311">
                  <v>#N/A</v>
                </pt>
                <pt idx="312">
                  <v>#N/A</v>
                </pt>
                <pt idx="313">
                  <v>#N/A</v>
                </pt>
                <pt idx="314">
                  <v>#N/A</v>
                </pt>
                <pt idx="315">
                  <v>#N/A</v>
                </pt>
                <pt idx="316">
                  <v>#N/A</v>
                </pt>
                <pt idx="317">
                  <v>3.276</v>
                </pt>
                <pt idx="318">
                  <v>#N/A</v>
                </pt>
                <pt idx="319">
                  <v>#N/A</v>
                </pt>
                <pt idx="320">
                  <v>3.345</v>
                </pt>
                <pt idx="321">
                  <v>#N/A</v>
                </pt>
                <pt idx="322">
                  <v>#N/A</v>
                </pt>
                <pt idx="323">
                  <v>3.414</v>
                </pt>
                <pt idx="324">
                  <v>#N/A</v>
                </pt>
                <pt idx="325">
                  <v>#N/A</v>
                </pt>
                <pt idx="326">
                  <v>#N/A</v>
                </pt>
                <pt idx="327">
                  <v>#N/A</v>
                </pt>
                <pt idx="328">
                  <v>#N/A</v>
                </pt>
                <pt idx="329">
                  <v>#N/A</v>
                </pt>
                <pt idx="330">
                  <v>3.575</v>
                </pt>
                <pt idx="331">
                  <v>#N/A</v>
                </pt>
                <pt idx="332">
                  <v>#N/A</v>
                </pt>
                <pt idx="333">
                  <v>#N/A</v>
                </pt>
                <pt idx="334">
                  <v>3.667</v>
                </pt>
                <pt idx="335">
                  <v>3.69</v>
                </pt>
                <pt idx="336">
                  <v>#N/A</v>
                </pt>
                <pt idx="337">
                  <v>#N/A</v>
                </pt>
                <pt idx="338">
                  <v>#N/A</v>
                </pt>
                <pt idx="339">
                  <v>#N/A</v>
                </pt>
                <pt idx="340">
                  <v>#N/A</v>
                </pt>
                <pt idx="341">
                  <v>#N/A</v>
                </pt>
                <pt idx="342">
                  <v>3.069</v>
                </pt>
                <pt idx="343">
                  <v>#N/A</v>
                </pt>
                <pt idx="344">
                  <v>#N/A</v>
                </pt>
                <pt idx="345">
                  <v>#N/A</v>
                </pt>
                <pt idx="346">
                  <v>#N/A</v>
                </pt>
                <pt idx="347">
                  <v>#N/A</v>
                </pt>
                <pt idx="348">
                  <v>#N/A</v>
                </pt>
                <pt idx="349">
                  <v>3.23</v>
                </pt>
                <pt idx="350">
                  <v>#N/A</v>
                </pt>
                <pt idx="351">
                  <v>#N/A</v>
                </pt>
                <pt idx="352">
                  <v>#N/A</v>
                </pt>
                <pt idx="353">
                  <v>#N/A</v>
                </pt>
                <pt idx="354">
                  <v>#N/A</v>
                </pt>
                <pt idx="355">
                  <v>#N/A</v>
                </pt>
                <pt idx="356">
                  <v>#N/A</v>
                </pt>
                <pt idx="357">
                  <v>#N/A</v>
                </pt>
                <pt idx="358">
                  <v>#N/A</v>
                </pt>
                <pt idx="359">
                  <v>#N/A</v>
                </pt>
                <pt idx="360">
                  <v>#N/A</v>
                </pt>
                <pt idx="361">
                  <v>3.506</v>
                </pt>
                <pt idx="362">
                  <v>#N/A</v>
                </pt>
                <pt idx="363">
                  <v>#N/A</v>
                </pt>
                <pt idx="364">
                  <v>#N/A</v>
                </pt>
                <pt idx="365">
                  <v>#N/A</v>
                </pt>
                <pt idx="366">
                  <v>#N/A</v>
                </pt>
                <pt idx="367">
                  <v>#N/A</v>
                </pt>
                <pt idx="368">
                  <v>#N/A</v>
                </pt>
                <pt idx="369">
                  <v>#N/A</v>
                </pt>
                <pt idx="370">
                  <v>#N/A</v>
                </pt>
                <pt idx="371">
                  <v>#N/A</v>
                </pt>
                <pt idx="372">
                  <v>#N/A</v>
                </pt>
                <pt idx="373">
                  <v>#N/A</v>
                </pt>
                <pt idx="374">
                  <v>3.023</v>
                </pt>
                <pt idx="375">
                  <v>#N/A</v>
                </pt>
                <pt idx="376">
                  <v>#N/A</v>
                </pt>
                <pt idx="377">
                  <v>3.092</v>
                </pt>
                <pt idx="378">
                  <v>#N/A</v>
                </pt>
                <pt idx="379">
                  <v>#N/A</v>
                </pt>
                <pt idx="380">
                  <v>#N/A</v>
                </pt>
                <pt idx="381">
                  <v>#N/A</v>
                </pt>
                <pt idx="382">
                  <v>#N/A</v>
                </pt>
                <pt idx="383">
                  <v>#N/A</v>
                </pt>
                <pt idx="384">
                  <v>#N/A</v>
                </pt>
                <pt idx="385">
                  <v>#N/A</v>
                </pt>
                <pt idx="386">
                  <v>#N/A</v>
                </pt>
                <pt idx="387">
                  <v>#N/A</v>
                </pt>
                <pt idx="388">
                  <v>#N/A</v>
                </pt>
                <pt idx="389">
                  <v>#N/A</v>
                </pt>
                <pt idx="390">
                  <v>#N/A</v>
                </pt>
                <pt idx="391">
                  <v>#N/A</v>
                </pt>
                <pt idx="392">
                  <v>#N/A</v>
                </pt>
                <pt idx="393">
                  <v>#N/A</v>
                </pt>
                <pt idx="394">
                  <v>#N/A</v>
                </pt>
                <pt idx="395">
                  <v>3.506</v>
                </pt>
                <pt idx="396">
                  <v>3.529</v>
                </pt>
                <pt idx="397">
                  <v>#N/A</v>
                </pt>
                <pt idx="398">
                  <v>#N/A</v>
                </pt>
                <pt idx="399">
                  <v>#N/A</v>
                </pt>
                <pt idx="400">
                  <v>#N/A</v>
                </pt>
                <pt idx="401">
                  <v>#N/A</v>
                </pt>
                <pt idx="402">
                  <v>#N/A</v>
                </pt>
                <pt idx="403">
                  <v>3.69</v>
                </pt>
                <pt idx="404">
                  <v>#N/A</v>
                </pt>
                <pt idx="405">
                  <v>#N/A</v>
                </pt>
                <pt idx="406">
                  <v>#N/A</v>
                </pt>
                <pt idx="407">
                  <v>#N/A</v>
                </pt>
                <pt idx="408">
                  <v>#N/A</v>
                </pt>
                <pt idx="409">
                  <v>#N/A</v>
                </pt>
                <pt idx="410">
                  <v>#N/A</v>
                </pt>
                <pt idx="411">
                  <v>#N/A</v>
                </pt>
                <pt idx="412">
                  <v>#N/A</v>
                </pt>
                <pt idx="413">
                  <v>#N/A</v>
                </pt>
                <pt idx="414">
                  <v>3.161</v>
                </pt>
                <pt idx="415">
                  <v>3.184</v>
                </pt>
                <pt idx="416">
                  <v>#N/A</v>
                </pt>
                <pt idx="417">
                  <v>#N/A</v>
                </pt>
                <pt idx="418">
                  <v>3.253</v>
                </pt>
                <pt idx="419">
                  <v>3.276</v>
                </pt>
                <pt idx="420">
                  <v>3.299</v>
                </pt>
                <pt idx="421">
                  <v>#N/A</v>
                </pt>
                <pt idx="422">
                  <v>#N/A</v>
                </pt>
                <pt idx="423">
                  <v>#N/A</v>
                </pt>
                <pt idx="424">
                  <v>#N/A</v>
                </pt>
                <pt idx="425">
                  <v>#N/A</v>
                </pt>
                <pt idx="426">
                  <v>#N/A</v>
                </pt>
                <pt idx="427">
                  <v>#N/A</v>
                </pt>
                <pt idx="428">
                  <v>#N/A</v>
                </pt>
                <pt idx="429">
                  <v>#N/A</v>
                </pt>
                <pt idx="430">
                  <v>3.529</v>
                </pt>
                <pt idx="431">
                  <v>#N/A</v>
                </pt>
                <pt idx="432">
                  <v>#N/A</v>
                </pt>
                <pt idx="433">
                  <v>#N/A</v>
                </pt>
                <pt idx="434">
                  <v>3.621</v>
                </pt>
                <pt idx="435">
                  <v>3.644</v>
                </pt>
                <pt idx="436">
                  <v>3.667</v>
                </pt>
                <pt idx="437">
                  <v>3.69</v>
                </pt>
                <pt idx="438">
                  <v>#N/A</v>
                </pt>
                <pt idx="439">
                  <v>#N/A</v>
                </pt>
                <pt idx="440">
                  <v>#N/A</v>
                </pt>
                <pt idx="441">
                  <v>#N/A</v>
                </pt>
                <pt idx="442">
                  <v>#N/A</v>
                </pt>
                <pt idx="443">
                  <v>#N/A</v>
                </pt>
                <pt idx="444">
                  <v>#N/A</v>
                </pt>
                <pt idx="445">
                  <v>#N/A</v>
                </pt>
                <pt idx="446">
                  <v>#N/A</v>
                </pt>
                <pt idx="447">
                  <v>#N/A</v>
                </pt>
                <pt idx="448">
                  <v>#N/A</v>
                </pt>
                <pt idx="449">
                  <v>3.184</v>
                </pt>
                <pt idx="450">
                  <v>#N/A</v>
                </pt>
                <pt idx="451">
                  <v>#N/A</v>
                </pt>
                <pt idx="452">
                  <v>#N/A</v>
                </pt>
                <pt idx="453">
                  <v>#N/A</v>
                </pt>
                <pt idx="454">
                  <v>3.299</v>
                </pt>
                <pt idx="455">
                  <v>3.322</v>
                </pt>
                <pt idx="456">
                  <v>3.345</v>
                </pt>
                <pt idx="457">
                  <v>#N/A</v>
                </pt>
                <pt idx="458">
                  <v>#N/A</v>
                </pt>
                <pt idx="459">
                  <v>3.414</v>
                </pt>
                <pt idx="460">
                  <v>#N/A</v>
                </pt>
                <pt idx="461">
                  <v>#N/A</v>
                </pt>
                <pt idx="462">
                  <v>#N/A</v>
                </pt>
                <pt idx="463">
                  <v>#N/A</v>
                </pt>
                <pt idx="464">
                  <v>#N/A</v>
                </pt>
                <pt idx="465">
                  <v>#N/A</v>
                </pt>
                <pt idx="466">
                  <v>#N/A</v>
                </pt>
                <pt idx="467">
                  <v>3.598</v>
                </pt>
                <pt idx="468">
                  <v>#N/A</v>
                </pt>
                <pt idx="469">
                  <v>#N/A</v>
                </pt>
                <pt idx="470">
                  <v>#N/A</v>
                </pt>
                <pt idx="471">
                  <v>#N/A</v>
                </pt>
                <pt idx="472">
                  <v>#N/A</v>
                </pt>
                <pt idx="473">
                  <v>#N/A</v>
                </pt>
                <pt idx="474">
                  <v>#N/A</v>
                </pt>
                <pt idx="475">
                  <v>3</v>
                </pt>
                <pt idx="476">
                  <v>#N/A</v>
                </pt>
                <pt idx="477">
                  <v>#N/A</v>
                </pt>
                <pt idx="478">
                  <v>#N/A</v>
                </pt>
                <pt idx="479">
                  <v>3.092</v>
                </pt>
                <pt idx="480">
                  <v>#N/A</v>
                </pt>
                <pt idx="481">
                  <v>#N/A</v>
                </pt>
                <pt idx="482">
                  <v>#N/A</v>
                </pt>
                <pt idx="483">
                  <v>#N/A</v>
                </pt>
                <pt idx="484">
                  <v>#N/A</v>
                </pt>
                <pt idx="485">
                  <v>#N/A</v>
                </pt>
                <pt idx="486">
                  <v>#N/A</v>
                </pt>
                <pt idx="487">
                  <v>#N/A</v>
                </pt>
                <pt idx="488">
                  <v>#N/A</v>
                </pt>
                <pt idx="489">
                  <v>#N/A</v>
                </pt>
                <pt idx="490">
                  <v>#N/A</v>
                </pt>
                <pt idx="491">
                  <v>#N/A</v>
                </pt>
                <pt idx="492">
                  <v>3.391</v>
                </pt>
                <pt idx="493">
                  <v>#N/A</v>
                </pt>
                <pt idx="494">
                  <v>#N/A</v>
                </pt>
                <pt idx="495">
                  <v>#N/A</v>
                </pt>
                <pt idx="496">
                  <v>#N/A</v>
                </pt>
                <pt idx="497">
                  <v>#N/A</v>
                </pt>
                <pt idx="498">
                  <v>#N/A</v>
                </pt>
                <pt idx="499">
                  <v>#N/A</v>
                </pt>
                <pt idx="500">
                  <v>#N/A</v>
                </pt>
                <pt idx="501">
                  <v>#N/A</v>
                </pt>
                <pt idx="502">
                  <v>3.621</v>
                </pt>
                <pt idx="503">
                  <v>#N/A</v>
                </pt>
                <pt idx="504">
                  <v>#N/A</v>
                </pt>
                <pt idx="505">
                  <v>#N/A</v>
                </pt>
                <pt idx="506">
                  <v>#N/A</v>
                </pt>
                <pt idx="507">
                  <v>#N/A</v>
                </pt>
                <pt idx="508">
                  <v>3.759</v>
                </pt>
                <pt idx="509">
                  <v>#N/A</v>
                </pt>
                <pt idx="510">
                  <v>#N/A</v>
                </pt>
                <pt idx="511">
                  <v>#N/A</v>
                </pt>
                <pt idx="512">
                  <v>#N/A</v>
                </pt>
                <pt idx="513">
                  <v>#N/A</v>
                </pt>
                <pt idx="514">
                  <v>#N/A</v>
                </pt>
                <pt idx="515">
                  <v>#N/A</v>
                </pt>
                <pt idx="516">
                  <v>#N/A</v>
                </pt>
                <pt idx="517">
                  <v>3.184</v>
                </pt>
                <pt idx="518">
                  <v>#N/A</v>
                </pt>
                <pt idx="519">
                  <v>#N/A</v>
                </pt>
                <pt idx="520">
                  <v>#N/A</v>
                </pt>
                <pt idx="521">
                  <v>#N/A</v>
                </pt>
                <pt idx="522">
                  <v>#N/A</v>
                </pt>
                <pt idx="523">
                  <v>#N/A</v>
                </pt>
                <pt idx="524">
                  <v>#N/A</v>
                </pt>
                <pt idx="525">
                  <v>3.368</v>
                </pt>
                <pt idx="526">
                  <v>#N/A</v>
                </pt>
                <pt idx="527">
                  <v>#N/A</v>
                </pt>
                <pt idx="528">
                  <v>#N/A</v>
                </pt>
                <pt idx="529">
                  <v>#N/A</v>
                </pt>
                <pt idx="530">
                  <v>#N/A</v>
                </pt>
                <pt idx="531">
                  <v>#N/A</v>
                </pt>
                <pt idx="532">
                  <v>#N/A</v>
                </pt>
                <pt idx="533">
                  <v>#N/A</v>
                </pt>
                <pt idx="534">
                  <v>3.575</v>
                </pt>
                <pt idx="535">
                  <v>3.598</v>
                </pt>
                <pt idx="536">
                  <v>#N/A</v>
                </pt>
                <pt idx="537">
                  <v>#N/A</v>
                </pt>
                <pt idx="538">
                  <v>3.667</v>
                </pt>
                <pt idx="539">
                  <v>#N/A</v>
                </pt>
                <pt idx="540">
                  <v>#N/A</v>
                </pt>
                <pt idx="541">
                  <v>3.736</v>
                </pt>
                <pt idx="542">
                  <v>3.759</v>
                </pt>
                <pt idx="543">
                  <v>3</v>
                </pt>
                <pt idx="544">
                  <v>3.023</v>
                </pt>
                <pt idx="545">
                  <v>#N/A</v>
                </pt>
                <pt idx="546">
                  <v>#N/A</v>
                </pt>
                <pt idx="547">
                  <v>#N/A</v>
                </pt>
                <pt idx="548">
                  <v>#N/A</v>
                </pt>
                <pt idx="549">
                  <v>#N/A</v>
                </pt>
                <pt idx="550">
                  <v>#N/A</v>
                </pt>
                <pt idx="551">
                  <v>#N/A</v>
                </pt>
                <pt idx="552">
                  <v>#N/A</v>
                </pt>
                <pt idx="553">
                  <v>#N/A</v>
                </pt>
                <pt idx="554">
                  <v>#N/A</v>
                </pt>
                <pt idx="555">
                  <v>#N/A</v>
                </pt>
                <pt idx="556">
                  <v>#N/A</v>
                </pt>
                <pt idx="557">
                  <v>#N/A</v>
                </pt>
                <pt idx="558">
                  <v>#N/A</v>
                </pt>
                <pt idx="559">
                  <v>#N/A</v>
                </pt>
                <pt idx="560">
                  <v>#N/A</v>
                </pt>
                <pt idx="561">
                  <v>#N/A</v>
                </pt>
                <pt idx="562">
                  <v>#N/A</v>
                </pt>
                <pt idx="563">
                  <v>#N/A</v>
                </pt>
                <pt idx="564">
                  <v>#N/A</v>
                </pt>
                <pt idx="565">
                  <v>3.506</v>
                </pt>
                <pt idx="566">
                  <v>#N/A</v>
                </pt>
                <pt idx="567">
                  <v>#N/A</v>
                </pt>
                <pt idx="568">
                  <v>#N/A</v>
                </pt>
                <pt idx="569">
                  <v>#N/A</v>
                </pt>
                <pt idx="570">
                  <v>3.621</v>
                </pt>
                <pt idx="571">
                  <v>#N/A</v>
                </pt>
                <pt idx="572">
                  <v>#N/A</v>
                </pt>
                <pt idx="573">
                  <v>#N/A</v>
                </pt>
                <pt idx="574">
                  <v>#N/A</v>
                </pt>
                <pt idx="575">
                  <v>#N/A</v>
                </pt>
                <pt idx="576">
                  <v>#N/A</v>
                </pt>
                <pt idx="577">
                  <v>#N/A</v>
                </pt>
                <pt idx="578">
                  <v>3.023</v>
                </pt>
                <pt idx="579">
                  <v>#N/A</v>
                </pt>
                <pt idx="580">
                  <v>#N/A</v>
                </pt>
                <pt idx="581">
                  <v>#N/A</v>
                </pt>
                <pt idx="582">
                  <v>#N/A</v>
                </pt>
                <pt idx="583">
                  <v>#N/A</v>
                </pt>
                <pt idx="584">
                  <v>#N/A</v>
                </pt>
                <pt idx="585">
                  <v>#N/A</v>
                </pt>
                <pt idx="586">
                  <v>3.207</v>
                </pt>
                <pt idx="587">
                  <v>#N/A</v>
                </pt>
                <pt idx="588">
                  <v>3.253</v>
                </pt>
                <pt idx="589">
                  <v>#N/A</v>
                </pt>
                <pt idx="590">
                  <v>#N/A</v>
                </pt>
                <pt idx="591">
                  <v>#N/A</v>
                </pt>
                <pt idx="592">
                  <v>#N/A</v>
                </pt>
                <pt idx="593">
                  <v>#N/A</v>
                </pt>
                <pt idx="594">
                  <v>#N/A</v>
                </pt>
                <pt idx="595">
                  <v>#N/A</v>
                </pt>
                <pt idx="596">
                  <v>#N/A</v>
                </pt>
                <pt idx="597">
                  <v>#N/A</v>
                </pt>
                <pt idx="598">
                  <v>#N/A</v>
                </pt>
                <pt idx="599">
                  <v>#N/A</v>
                </pt>
                <pt idx="600">
                  <v>#N/A</v>
                </pt>
                <pt idx="601">
                  <v>#N/A</v>
                </pt>
                <pt idx="602">
                  <v>#N/A</v>
                </pt>
                <pt idx="603">
                  <v>#N/A</v>
                </pt>
                <pt idx="604">
                  <v>#N/A</v>
                </pt>
                <pt idx="605">
                  <v>#N/A</v>
                </pt>
                <pt idx="606">
                  <v>#N/A</v>
                </pt>
                <pt idx="607">
                  <v>3.69</v>
                </pt>
                <pt idx="608">
                  <v>#N/A</v>
                </pt>
                <pt idx="609">
                  <v>#N/A</v>
                </pt>
                <pt idx="610">
                  <v>3.759</v>
                </pt>
                <pt idx="611">
                  <v>#N/A</v>
                </pt>
                <pt idx="612">
                  <v>3.023</v>
                </pt>
                <pt idx="613">
                  <v>#N/A</v>
                </pt>
                <pt idx="614">
                  <v>#N/A</v>
                </pt>
                <pt idx="615">
                  <v>#N/A</v>
                </pt>
                <pt idx="616">
                  <v>#N/A</v>
                </pt>
                <pt idx="617">
                  <v>3.138</v>
                </pt>
                <pt idx="618">
                  <v>3.161</v>
                </pt>
                <pt idx="619">
                  <v>#N/A</v>
                </pt>
                <pt idx="620">
                  <v>3.207</v>
                </pt>
                <pt idx="621">
                  <v>3.23</v>
                </pt>
                <pt idx="622">
                  <v>3.253</v>
                </pt>
                <pt idx="623">
                  <v>3.276</v>
                </pt>
                <pt idx="624">
                  <v>#N/A</v>
                </pt>
                <pt idx="625">
                  <v>#N/A</v>
                </pt>
                <pt idx="626">
                  <v>#N/A</v>
                </pt>
                <pt idx="627">
                  <v>#N/A</v>
                </pt>
                <pt idx="628">
                  <v>#N/A</v>
                </pt>
                <pt idx="629">
                  <v>#N/A</v>
                </pt>
                <pt idx="630">
                  <v>#N/A</v>
                </pt>
                <pt idx="631">
                  <v>#N/A</v>
                </pt>
                <pt idx="632">
                  <v>#N/A</v>
                </pt>
                <pt idx="633">
                  <v>#N/A</v>
                </pt>
                <pt idx="634">
                  <v>#N/A</v>
                </pt>
                <pt idx="635">
                  <v>#N/A</v>
                </pt>
                <pt idx="636">
                  <v>#N/A</v>
                </pt>
                <pt idx="637">
                  <v>#N/A</v>
                </pt>
                <pt idx="638">
                  <v>#N/A</v>
                </pt>
                <pt idx="639">
                  <v>#N/A</v>
                </pt>
                <pt idx="640">
                  <v>#N/A</v>
                </pt>
                <pt idx="641">
                  <v>#N/A</v>
                </pt>
                <pt idx="642">
                  <v>#N/A</v>
                </pt>
                <pt idx="643">
                  <v>#N/A</v>
                </pt>
                <pt idx="644">
                  <v>#N/A</v>
                </pt>
                <pt idx="645">
                  <v>#N/A</v>
                </pt>
                <pt idx="646">
                  <v>#N/A</v>
                </pt>
                <pt idx="647">
                  <v>#N/A</v>
                </pt>
                <pt idx="648">
                  <v>#N/A</v>
                </pt>
                <pt idx="649">
                  <v>#N/A</v>
                </pt>
                <pt idx="650">
                  <v>#N/A</v>
                </pt>
                <pt idx="651">
                  <v>#N/A</v>
                </pt>
                <pt idx="652">
                  <v>#N/A</v>
                </pt>
                <pt idx="653">
                  <v>#N/A</v>
                </pt>
                <pt idx="654">
                  <v>#N/A</v>
                </pt>
                <pt idx="655">
                  <v>#N/A</v>
                </pt>
                <pt idx="656">
                  <v>#N/A</v>
                </pt>
                <pt idx="657">
                  <v>#N/A</v>
                </pt>
                <pt idx="658">
                  <v>3.299</v>
                </pt>
                <pt idx="659">
                  <v>#N/A</v>
                </pt>
                <pt idx="660">
                  <v>#N/A</v>
                </pt>
                <pt idx="661">
                  <v>3.368</v>
                </pt>
                <pt idx="662">
                  <v>3.391</v>
                </pt>
                <pt idx="663">
                  <v>#N/A</v>
                </pt>
                <pt idx="664">
                  <v>#N/A</v>
                </pt>
                <pt idx="665">
                  <v>3.46</v>
                </pt>
                <pt idx="666">
                  <v>3.483</v>
                </pt>
                <pt idx="667">
                  <v>3.506</v>
                </pt>
                <pt idx="668">
                  <v>#N/A</v>
                </pt>
                <pt idx="669">
                  <v>#N/A</v>
                </pt>
                <pt idx="670">
                  <v>#N/A</v>
                </pt>
                <pt idx="671">
                  <v>3.598</v>
                </pt>
                <pt idx="672">
                  <v>#N/A</v>
                </pt>
                <pt idx="673">
                  <v>#N/A</v>
                </pt>
                <pt idx="674">
                  <v>#N/A</v>
                </pt>
                <pt idx="675">
                  <v>#N/A</v>
                </pt>
                <pt idx="676">
                  <v>#N/A</v>
                </pt>
                <pt idx="677">
                  <v>#N/A</v>
                </pt>
                <pt idx="678">
                  <v>#N/A</v>
                </pt>
                <pt idx="679">
                  <v>#N/A</v>
                </pt>
                <pt idx="680">
                  <v>3.023</v>
                </pt>
                <pt idx="681">
                  <v>#N/A</v>
                </pt>
                <pt idx="682">
                  <v>#N/A</v>
                </pt>
                <pt idx="683">
                  <v>#N/A</v>
                </pt>
                <pt idx="684">
                  <v>3.115</v>
                </pt>
                <pt idx="685">
                  <v>#N/A</v>
                </pt>
                <pt idx="686">
                  <v>#N/A</v>
                </pt>
                <pt idx="687">
                  <v>#N/A</v>
                </pt>
                <pt idx="688">
                  <v>#N/A</v>
                </pt>
                <pt idx="689">
                  <v>#N/A</v>
                </pt>
                <pt idx="690">
                  <v>3.253</v>
                </pt>
                <pt idx="691">
                  <v>#N/A</v>
                </pt>
                <pt idx="692">
                  <v>#N/A</v>
                </pt>
                <pt idx="693">
                  <v>#N/A</v>
                </pt>
                <pt idx="694">
                  <v>3.345</v>
                </pt>
                <pt idx="695">
                  <v>3.368</v>
                </pt>
                <pt idx="696">
                  <v>#N/A</v>
                </pt>
                <pt idx="697">
                  <v>#N/A</v>
                </pt>
                <pt idx="698">
                  <v>#N/A</v>
                </pt>
                <pt idx="699">
                  <v>#N/A</v>
                </pt>
                <pt idx="700">
                  <v>#N/A</v>
                </pt>
                <pt idx="701">
                  <v>#N/A</v>
                </pt>
                <pt idx="702">
                  <v>#N/A</v>
                </pt>
                <pt idx="703">
                  <v>#N/A</v>
                </pt>
                <pt idx="704">
                  <v>#N/A</v>
                </pt>
                <pt idx="705">
                  <v>#N/A</v>
                </pt>
                <pt idx="706">
                  <v>3.621</v>
                </pt>
                <pt idx="707">
                  <v>#N/A</v>
                </pt>
                <pt idx="708">
                  <v>#N/A</v>
                </pt>
                <pt idx="709">
                  <v>3.69</v>
                </pt>
                <pt idx="710">
                  <v>#N/A</v>
                </pt>
                <pt idx="711">
                  <v>#N/A</v>
                </pt>
                <pt idx="712">
                  <v>#N/A</v>
                </pt>
                <pt idx="713">
                  <v>#N/A</v>
                </pt>
                <pt idx="714">
                  <v>#N/A</v>
                </pt>
                <pt idx="715">
                  <v>#N/A</v>
                </pt>
                <pt idx="716">
                  <v>#N/A</v>
                </pt>
                <pt idx="717">
                  <v>#N/A</v>
                </pt>
                <pt idx="718">
                  <v>#N/A</v>
                </pt>
                <pt idx="719">
                  <v>#N/A</v>
                </pt>
                <pt idx="720">
                  <v>#N/A</v>
                </pt>
                <pt idx="721">
                  <v>#N/A</v>
                </pt>
                <pt idx="722">
                  <v>3.207</v>
                </pt>
                <pt idx="723">
                  <v>#N/A</v>
                </pt>
                <pt idx="724">
                  <v>#N/A</v>
                </pt>
                <pt idx="725">
                  <v>3.276</v>
                </pt>
                <pt idx="726">
                  <v>#N/A</v>
                </pt>
                <pt idx="727">
                  <v>#N/A</v>
                </pt>
                <pt idx="728">
                  <v>#N/A</v>
                </pt>
                <pt idx="729">
                  <v>#N/A</v>
                </pt>
                <pt idx="730">
                  <v>#N/A</v>
                </pt>
                <pt idx="731">
                  <v>#N/A</v>
                </pt>
                <pt idx="732">
                  <v>#N/A</v>
                </pt>
                <pt idx="733">
                  <v>#N/A</v>
                </pt>
                <pt idx="734">
                  <v>#N/A</v>
                </pt>
                <pt idx="735">
                  <v>#N/A</v>
                </pt>
                <pt idx="736">
                  <v>#N/A</v>
                </pt>
                <pt idx="737">
                  <v>#N/A</v>
                </pt>
                <pt idx="738">
                  <v>#N/A</v>
                </pt>
                <pt idx="739">
                  <v>#N/A</v>
                </pt>
                <pt idx="740">
                  <v>#N/A</v>
                </pt>
                <pt idx="741">
                  <v>#N/A</v>
                </pt>
                <pt idx="742">
                  <v>3.667</v>
                </pt>
                <pt idx="743">
                  <v>#N/A</v>
                </pt>
                <pt idx="744">
                  <v>#N/A</v>
                </pt>
                <pt idx="745">
                  <v>#N/A</v>
                </pt>
                <pt idx="746">
                  <v>#N/A</v>
                </pt>
                <pt idx="747">
                  <v>#N/A</v>
                </pt>
                <pt idx="748">
                  <v>#N/A</v>
                </pt>
                <pt idx="749">
                  <v>#N/A</v>
                </pt>
                <pt idx="750">
                  <v>#N/A</v>
                </pt>
                <pt idx="751">
                  <v>#N/A</v>
                </pt>
                <pt idx="752">
                  <v>#N/A</v>
                </pt>
                <pt idx="753">
                  <v>#N/A</v>
                </pt>
                <pt idx="754">
                  <v>3.161</v>
                </pt>
                <pt idx="755">
                  <v>#N/A</v>
                </pt>
                <pt idx="756">
                  <v>3.207</v>
                </pt>
                <pt idx="757">
                  <v>#N/A</v>
                </pt>
                <pt idx="758">
                  <v>#N/A</v>
                </pt>
                <pt idx="759">
                  <v>#N/A</v>
                </pt>
                <pt idx="760">
                  <v>#N/A</v>
                </pt>
                <pt idx="761">
                  <v>3.322</v>
                </pt>
                <pt idx="762">
                  <v>#N/A</v>
                </pt>
                <pt idx="763">
                  <v>#N/A</v>
                </pt>
                <pt idx="764">
                  <v>3.391</v>
                </pt>
                <pt idx="765">
                  <v>#N/A</v>
                </pt>
                <pt idx="766">
                  <v>#N/A</v>
                </pt>
                <pt idx="767">
                  <v>#N/A</v>
                </pt>
                <pt idx="768">
                  <v>#N/A</v>
                </pt>
                <pt idx="769">
                  <v>#N/A</v>
                </pt>
                <pt idx="770">
                  <v>#N/A</v>
                </pt>
                <pt idx="771">
                  <v>#N/A</v>
                </pt>
                <pt idx="772">
                  <v>#N/A</v>
                </pt>
                <pt idx="773">
                  <v>#N/A</v>
                </pt>
                <pt idx="774">
                  <v>#N/A</v>
                </pt>
                <pt idx="775">
                  <v>#N/A</v>
                </pt>
                <pt idx="776">
                  <v>3.667</v>
                </pt>
                <pt idx="777">
                  <v>#N/A</v>
                </pt>
                <pt idx="778">
                  <v>3.713</v>
                </pt>
                <pt idx="779">
                  <v>#N/A</v>
                </pt>
                <pt idx="780">
                  <v>#N/A</v>
                </pt>
                <pt idx="781">
                  <v>#N/A</v>
                </pt>
                <pt idx="782">
                  <v>3.023</v>
                </pt>
                <pt idx="783">
                  <v>3.046</v>
                </pt>
                <pt idx="784">
                  <v>3.069</v>
                </pt>
                <pt idx="785">
                  <v>#N/A</v>
                </pt>
                <pt idx="786">
                  <v>3.115</v>
                </pt>
                <pt idx="787">
                  <v>#N/A</v>
                </pt>
                <pt idx="788">
                  <v>#N/A</v>
                </pt>
                <pt idx="789">
                  <v>#N/A</v>
                </pt>
                <pt idx="790">
                  <v>#N/A</v>
                </pt>
                <pt idx="791">
                  <v>#N/A</v>
                </pt>
                <pt idx="792">
                  <v>#N/A</v>
                </pt>
                <pt idx="793">
                  <v>#N/A</v>
                </pt>
                <pt idx="794">
                  <v>#N/A</v>
                </pt>
                <pt idx="795">
                  <v>#N/A</v>
                </pt>
                <pt idx="796">
                  <v>#N/A</v>
                </pt>
                <pt idx="797">
                  <v>#N/A</v>
                </pt>
                <pt idx="798">
                  <v>3.391</v>
                </pt>
                <pt idx="799">
                  <v>#N/A</v>
                </pt>
                <pt idx="800">
                  <v>#N/A</v>
                </pt>
                <pt idx="801">
                  <v>3.46</v>
                </pt>
                <pt idx="802">
                  <v>#N/A</v>
                </pt>
                <pt idx="803">
                  <v>#N/A</v>
                </pt>
                <pt idx="804">
                  <v>3.529</v>
                </pt>
                <pt idx="805">
                  <v>3.552</v>
                </pt>
                <pt idx="806">
                  <v>3.575</v>
                </pt>
                <pt idx="807">
                  <v>#N/A</v>
                </pt>
                <pt idx="808">
                  <v>#N/A</v>
                </pt>
                <pt idx="809">
                  <v>#N/A</v>
                </pt>
                <pt idx="810">
                  <v>#N/A</v>
                </pt>
                <pt idx="811">
                  <v>#N/A</v>
                </pt>
                <pt idx="812">
                  <v>#N/A</v>
                </pt>
                <pt idx="813">
                  <v>#N/A</v>
                </pt>
                <pt idx="814">
                  <v>#N/A</v>
                </pt>
                <pt idx="815">
                  <v>#N/A</v>
                </pt>
                <pt idx="816">
                  <v>#N/A</v>
                </pt>
                <pt idx="817">
                  <v>#N/A</v>
                </pt>
                <pt idx="818">
                  <v>#N/A</v>
                </pt>
                <pt idx="819">
                  <v>#N/A</v>
                </pt>
                <pt idx="820">
                  <v>#N/A</v>
                </pt>
                <pt idx="821">
                  <v>#N/A</v>
                </pt>
                <pt idx="822">
                  <v>#N/A</v>
                </pt>
                <pt idx="823">
                  <v>#N/A</v>
                </pt>
                <pt idx="824">
                  <v>#N/A</v>
                </pt>
                <pt idx="825">
                  <v>#N/A</v>
                </pt>
                <pt idx="826">
                  <v>#N/A</v>
                </pt>
                <pt idx="827">
                  <v>#N/A</v>
                </pt>
                <pt idx="828">
                  <v>#N/A</v>
                </pt>
                <pt idx="829">
                  <v>3.322</v>
                </pt>
                <pt idx="830">
                  <v>#N/A</v>
                </pt>
                <pt idx="831">
                  <v>3.368</v>
                </pt>
                <pt idx="832">
                  <v>#N/A</v>
                </pt>
                <pt idx="833">
                  <v>#N/A</v>
                </pt>
                <pt idx="834">
                  <v>3.437</v>
                </pt>
                <pt idx="835">
                  <v>#N/A</v>
                </pt>
                <pt idx="836">
                  <v>#N/A</v>
                </pt>
                <pt idx="837">
                  <v>#N/A</v>
                </pt>
                <pt idx="838">
                  <v>3.529</v>
                </pt>
                <pt idx="839">
                  <v>3.552</v>
                </pt>
                <pt idx="840">
                  <v>3.575</v>
                </pt>
                <pt idx="841">
                  <v>3.598</v>
                </pt>
                <pt idx="842">
                  <v>#N/A</v>
                </pt>
                <pt idx="843">
                  <v>#N/A</v>
                </pt>
                <pt idx="844">
                  <v>3.667</v>
                </pt>
                <pt idx="845">
                  <v>#N/A</v>
                </pt>
                <pt idx="846">
                  <v>#N/A</v>
                </pt>
                <pt idx="847">
                  <v>#N/A</v>
                </pt>
                <pt idx="848">
                  <v>3.759</v>
                </pt>
                <pt idx="849">
                  <v>#N/A</v>
                </pt>
                <pt idx="850">
                  <v>#N/A</v>
                </pt>
                <pt idx="851">
                  <v>#N/A</v>
                </pt>
                <pt idx="852">
                  <v>3.069</v>
                </pt>
                <pt idx="853">
                  <v>3.092</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pt idx="949">
                  <v>#N/A</v>
                </pt>
              </numCache>
            </numRef>
          </yVal>
          <smooth val="1"/>
        </ser>
        <ser>
          <idx val="3"/>
          <order val="3"/>
          <tx>
            <v>Traditional</v>
          </tx>
          <spPr>
            <a:ln>
              <a:noFill/>
              <a:prstDash val="solid"/>
            </a:ln>
          </spPr>
          <marker>
            <symbol val="circle"/>
            <size val="4"/>
            <spPr>
              <a:ln>
                <a:prstDash val="solid"/>
              </a:ln>
            </spPr>
          </marker>
          <xVal>
            <numRef>
              <f>'Map Calc'!$M$2:$M$950</f>
              <numCache>
                <formatCode>General</formatCode>
                <ptCount val="949"/>
                <pt idx="0">
                  <v>#N/A</v>
                </pt>
                <pt idx="1">
                  <v>2010</v>
                </pt>
                <pt idx="2">
                  <v>#N/A</v>
                </pt>
                <pt idx="3">
                  <v>#N/A</v>
                </pt>
                <pt idx="4">
                  <v>#N/A</v>
                </pt>
                <pt idx="5">
                  <v>#N/A</v>
                </pt>
                <pt idx="6">
                  <v>#N/A</v>
                </pt>
                <pt idx="7">
                  <v>2026</v>
                </pt>
                <pt idx="8">
                  <v>2015</v>
                </pt>
                <pt idx="9">
                  <v>#N/A</v>
                </pt>
                <pt idx="10">
                  <v>#N/A</v>
                </pt>
                <pt idx="11">
                  <v>#N/A</v>
                </pt>
                <pt idx="12">
                  <v>#N/A</v>
                </pt>
                <pt idx="13">
                  <v>#N/A</v>
                </pt>
                <pt idx="14">
                  <v>#N/A</v>
                </pt>
                <pt idx="15">
                  <v>#N/A</v>
                </pt>
                <pt idx="16">
                  <v>#N/A</v>
                </pt>
                <pt idx="17">
                  <v>#N/A</v>
                </pt>
                <pt idx="18">
                  <v>#N/A</v>
                </pt>
                <pt idx="19">
                  <v>#N/A</v>
                </pt>
                <pt idx="20">
                  <v>#N/A</v>
                </pt>
                <pt idx="21">
                  <v>#N/A</v>
                </pt>
                <pt idx="22">
                  <v>1994</v>
                </pt>
                <pt idx="23">
                  <v>1990</v>
                </pt>
                <pt idx="24">
                  <v>#N/A</v>
                </pt>
                <pt idx="25">
                  <v>#N/A</v>
                </pt>
                <pt idx="26">
                  <v>#N/A</v>
                </pt>
                <pt idx="27">
                  <v>2020</v>
                </pt>
                <pt idx="28">
                  <v>#N/A</v>
                </pt>
                <pt idx="29">
                  <v>#N/A</v>
                </pt>
                <pt idx="30">
                  <v>#N/A</v>
                </pt>
                <pt idx="31">
                  <v>#N/A</v>
                </pt>
                <pt idx="32">
                  <v>#N/A</v>
                </pt>
                <pt idx="33">
                  <v>#N/A</v>
                </pt>
                <pt idx="34">
                  <v>#N/A</v>
                </pt>
                <pt idx="35">
                  <v>#N/A</v>
                </pt>
                <pt idx="36">
                  <v>#N/A</v>
                </pt>
                <pt idx="37">
                  <v>#N/A</v>
                </pt>
                <pt idx="38">
                  <v>#N/A</v>
                </pt>
                <pt idx="39">
                  <v>#N/A</v>
                </pt>
                <pt idx="40">
                  <v>#N/A</v>
                </pt>
                <pt idx="41">
                  <v>#N/A</v>
                </pt>
                <pt idx="42">
                  <v>#N/A</v>
                </pt>
                <pt idx="43">
                  <v>2010</v>
                </pt>
                <pt idx="44">
                  <v>#N/A</v>
                </pt>
                <pt idx="45">
                  <v>#N/A</v>
                </pt>
                <pt idx="46">
                  <v>#N/A</v>
                </pt>
                <pt idx="47">
                  <v>#N/A</v>
                </pt>
                <pt idx="48">
                  <v>1997</v>
                </pt>
                <pt idx="49">
                  <v>#N/A</v>
                </pt>
                <pt idx="50">
                  <v>#N/A</v>
                </pt>
                <pt idx="51">
                  <v>#N/A</v>
                </pt>
                <pt idx="52">
                  <v>#N/A</v>
                </pt>
                <pt idx="53">
                  <v>#N/A</v>
                </pt>
                <pt idx="54">
                  <v>#N/A</v>
                </pt>
                <pt idx="55">
                  <v>#N/A</v>
                </pt>
                <pt idx="56">
                  <v>#N/A</v>
                </pt>
                <pt idx="57">
                  <v>#N/A</v>
                </pt>
                <pt idx="58">
                  <v>#N/A</v>
                </pt>
                <pt idx="59">
                  <v>#N/A</v>
                </pt>
                <pt idx="60">
                  <v>#N/A</v>
                </pt>
                <pt idx="61">
                  <v>#N/A</v>
                </pt>
                <pt idx="62">
                  <v>#N/A</v>
                </pt>
                <pt idx="63">
                  <v>#N/A</v>
                </pt>
                <pt idx="64">
                  <v>#N/A</v>
                </pt>
                <pt idx="65">
                  <v>#N/A</v>
                </pt>
                <pt idx="66">
                  <v>#N/A</v>
                </pt>
                <pt idx="67">
                  <v>1978</v>
                </pt>
                <pt idx="68">
                  <v>#N/A</v>
                </pt>
                <pt idx="69">
                  <v>#N/A</v>
                </pt>
                <pt idx="70">
                  <v>#N/A</v>
                </pt>
                <pt idx="71">
                  <v>#N/A</v>
                </pt>
                <pt idx="72">
                  <v>#N/A</v>
                </pt>
                <pt idx="73">
                  <v>#N/A</v>
                </pt>
                <pt idx="74">
                  <v>#N/A</v>
                </pt>
                <pt idx="75">
                  <v>#N/A</v>
                </pt>
                <pt idx="76">
                  <v>#N/A</v>
                </pt>
                <pt idx="77">
                  <v>#N/A</v>
                </pt>
                <pt idx="78">
                  <v>#N/A</v>
                </pt>
                <pt idx="79">
                  <v>#N/A</v>
                </pt>
                <pt idx="80">
                  <v>#N/A</v>
                </pt>
                <pt idx="81">
                  <v>#N/A</v>
                </pt>
                <pt idx="82">
                  <v>#N/A</v>
                </pt>
                <pt idx="83">
                  <v>#N/A</v>
                </pt>
                <pt idx="84">
                  <v>#N/A</v>
                </pt>
                <pt idx="85">
                  <v>#N/A</v>
                </pt>
                <pt idx="86">
                  <v>#N/A</v>
                </pt>
                <pt idx="87">
                  <v>#N/A</v>
                </pt>
                <pt idx="88">
                  <v>#N/A</v>
                </pt>
                <pt idx="89">
                  <v>#N/A</v>
                </pt>
                <pt idx="90">
                  <v>#N/A</v>
                </pt>
                <pt idx="91">
                  <v>2009</v>
                </pt>
                <pt idx="92">
                  <v>#N/A</v>
                </pt>
                <pt idx="93">
                  <v>#N/A</v>
                </pt>
                <pt idx="94">
                  <v>#N/A</v>
                </pt>
                <pt idx="95">
                  <v>#N/A</v>
                </pt>
                <pt idx="96">
                  <v>#N/A</v>
                </pt>
                <pt idx="97">
                  <v>#N/A</v>
                </pt>
                <pt idx="98">
                  <v>2010</v>
                </pt>
                <pt idx="99">
                  <v>2014</v>
                </pt>
                <pt idx="100">
                  <v>1994</v>
                </pt>
                <pt idx="101">
                  <v>2005</v>
                </pt>
                <pt idx="102">
                  <v>#N/A</v>
                </pt>
                <pt idx="103">
                  <v>2010</v>
                </pt>
                <pt idx="104">
                  <v>2020</v>
                </pt>
                <pt idx="105">
                  <v>2013</v>
                </pt>
                <pt idx="106">
                  <v>2025</v>
                </pt>
                <pt idx="107">
                  <v>#N/A</v>
                </pt>
                <pt idx="108">
                  <v>#N/A</v>
                </pt>
                <pt idx="109">
                  <v>1991</v>
                </pt>
                <pt idx="110">
                  <v>#N/A</v>
                </pt>
                <pt idx="111">
                  <v>2010</v>
                </pt>
                <pt idx="112">
                  <v>#N/A</v>
                </pt>
                <pt idx="113">
                  <v>#N/A</v>
                </pt>
                <pt idx="114">
                  <v>#N/A</v>
                </pt>
                <pt idx="115">
                  <v>#N/A</v>
                </pt>
                <pt idx="116">
                  <v>#N/A</v>
                </pt>
                <pt idx="117">
                  <v>#N/A</v>
                </pt>
                <pt idx="118">
                  <v>1998</v>
                </pt>
                <pt idx="119">
                  <v>1997</v>
                </pt>
                <pt idx="120">
                  <v>2019</v>
                </pt>
                <pt idx="121">
                  <v>#N/A</v>
                </pt>
                <pt idx="122">
                  <v>#N/A</v>
                </pt>
                <pt idx="123">
                  <v>#N/A</v>
                </pt>
                <pt idx="124">
                  <v>#N/A</v>
                </pt>
                <pt idx="125">
                  <v>#N/A</v>
                </pt>
                <pt idx="126">
                  <v>#N/A</v>
                </pt>
                <pt idx="127">
                  <v>#N/A</v>
                </pt>
                <pt idx="128">
                  <v>#N/A</v>
                </pt>
                <pt idx="129">
                  <v>#N/A</v>
                </pt>
                <pt idx="130">
                  <v>#N/A</v>
                </pt>
                <pt idx="131">
                  <v>#N/A</v>
                </pt>
                <pt idx="132">
                  <v>2017</v>
                </pt>
                <pt idx="133">
                  <v>#N/A</v>
                </pt>
                <pt idx="134">
                  <v>#N/A</v>
                </pt>
                <pt idx="135">
                  <v>#N/A</v>
                </pt>
                <pt idx="136">
                  <v>#N/A</v>
                </pt>
                <pt idx="137">
                  <v>#N/A</v>
                </pt>
                <pt idx="138">
                  <v>#N/A</v>
                </pt>
                <pt idx="139">
                  <v>#N/A</v>
                </pt>
                <pt idx="140">
                  <v>#N/A</v>
                </pt>
                <pt idx="141">
                  <v>2025</v>
                </pt>
                <pt idx="142">
                  <v>#N/A</v>
                </pt>
                <pt idx="143">
                  <v>#N/A</v>
                </pt>
                <pt idx="144">
                  <v>#N/A</v>
                </pt>
                <pt idx="145">
                  <v>#N/A</v>
                </pt>
                <pt idx="146">
                  <v>#N/A</v>
                </pt>
                <pt idx="147">
                  <v>#N/A</v>
                </pt>
                <pt idx="148">
                  <v>#N/A</v>
                </pt>
                <pt idx="149">
                  <v>#N/A</v>
                </pt>
                <pt idx="150">
                  <v>2015</v>
                </pt>
                <pt idx="151">
                  <v>#N/A</v>
                </pt>
                <pt idx="152">
                  <v>1998</v>
                </pt>
                <pt idx="153">
                  <v>#N/A</v>
                </pt>
                <pt idx="154">
                  <v>#N/A</v>
                </pt>
                <pt idx="155">
                  <v>#N/A</v>
                </pt>
                <pt idx="156">
                  <v>#N/A</v>
                </pt>
                <pt idx="157">
                  <v>#N/A</v>
                </pt>
                <pt idx="158">
                  <v>#N/A</v>
                </pt>
                <pt idx="159">
                  <v>#N/A</v>
                </pt>
                <pt idx="160">
                  <v>#N/A</v>
                </pt>
                <pt idx="161">
                  <v>#N/A</v>
                </pt>
                <pt idx="162">
                  <v>#N/A</v>
                </pt>
                <pt idx="163">
                  <v>#N/A</v>
                </pt>
                <pt idx="164">
                  <v>#N/A</v>
                </pt>
                <pt idx="165">
                  <v>#N/A</v>
                </pt>
                <pt idx="166">
                  <v>#N/A</v>
                </pt>
                <pt idx="167">
                  <v>#N/A</v>
                </pt>
                <pt idx="168">
                  <v>#N/A</v>
                </pt>
                <pt idx="169">
                  <v>#N/A</v>
                </pt>
                <pt idx="170">
                  <v>#N/A</v>
                </pt>
                <pt idx="171">
                  <v>#N/A</v>
                </pt>
                <pt idx="172">
                  <v>#N/A</v>
                </pt>
                <pt idx="173">
                  <v>#N/A</v>
                </pt>
                <pt idx="174">
                  <v>#N/A</v>
                </pt>
                <pt idx="175">
                  <v>#N/A</v>
                </pt>
                <pt idx="176">
                  <v>#N/A</v>
                </pt>
                <pt idx="177">
                  <v>#N/A</v>
                </pt>
                <pt idx="178">
                  <v>#N/A</v>
                </pt>
                <pt idx="179">
                  <v>#N/A</v>
                </pt>
                <pt idx="180">
                  <v>#N/A</v>
                </pt>
                <pt idx="181">
                  <v>#N/A</v>
                </pt>
                <pt idx="182">
                  <v>#N/A</v>
                </pt>
                <pt idx="183">
                  <v>#N/A</v>
                </pt>
                <pt idx="184">
                  <v>#N/A</v>
                </pt>
                <pt idx="185">
                  <v>#N/A</v>
                </pt>
                <pt idx="186">
                  <v>#N/A</v>
                </pt>
                <pt idx="187">
                  <v>#N/A</v>
                </pt>
                <pt idx="188">
                  <v>2026</v>
                </pt>
                <pt idx="189">
                  <v>#N/A</v>
                </pt>
                <pt idx="190">
                  <v>#N/A</v>
                </pt>
                <pt idx="191">
                  <v>#N/A</v>
                </pt>
                <pt idx="192">
                  <v>2010</v>
                </pt>
                <pt idx="193">
                  <v>#N/A</v>
                </pt>
                <pt idx="194">
                  <v>#N/A</v>
                </pt>
                <pt idx="195">
                  <v>#N/A</v>
                </pt>
                <pt idx="196">
                  <v>#N/A</v>
                </pt>
                <pt idx="197">
                  <v>#N/A</v>
                </pt>
                <pt idx="198">
                  <v>#N/A</v>
                </pt>
                <pt idx="199">
                  <v>#N/A</v>
                </pt>
                <pt idx="200">
                  <v>#N/A</v>
                </pt>
                <pt idx="201">
                  <v>#N/A</v>
                </pt>
                <pt idx="202">
                  <v>#N/A</v>
                </pt>
                <pt idx="203">
                  <v>#N/A</v>
                </pt>
                <pt idx="204">
                  <v>#N/A</v>
                </pt>
                <pt idx="205">
                  <v>#N/A</v>
                </pt>
                <pt idx="206">
                  <v>#N/A</v>
                </pt>
                <pt idx="207">
                  <v>#N/A</v>
                </pt>
                <pt idx="208">
                  <v>#N/A</v>
                </pt>
                <pt idx="209">
                  <v>#N/A</v>
                </pt>
                <pt idx="210">
                  <v>#N/A</v>
                </pt>
                <pt idx="211">
                  <v>#N/A</v>
                </pt>
                <pt idx="212">
                  <v>#N/A</v>
                </pt>
                <pt idx="213">
                  <v>#N/A</v>
                </pt>
                <pt idx="214">
                  <v>#N/A</v>
                </pt>
                <pt idx="215">
                  <v>#N/A</v>
                </pt>
                <pt idx="216">
                  <v>#N/A</v>
                </pt>
                <pt idx="217">
                  <v>#N/A</v>
                </pt>
                <pt idx="218">
                  <v>#N/A</v>
                </pt>
                <pt idx="219">
                  <v>2002</v>
                </pt>
                <pt idx="220">
                  <v>#N/A</v>
                </pt>
                <pt idx="221">
                  <v>#N/A</v>
                </pt>
                <pt idx="222">
                  <v>#N/A</v>
                </pt>
                <pt idx="223">
                  <v>1990</v>
                </pt>
                <pt idx="224">
                  <v>2006</v>
                </pt>
                <pt idx="225">
                  <v>2003</v>
                </pt>
                <pt idx="226">
                  <v>#N/A</v>
                </pt>
                <pt idx="227">
                  <v>#N/A</v>
                </pt>
                <pt idx="228">
                  <v>#N/A</v>
                </pt>
                <pt idx="229">
                  <v>#N/A</v>
                </pt>
                <pt idx="230">
                  <v>#N/A</v>
                </pt>
                <pt idx="231">
                  <v>#N/A</v>
                </pt>
                <pt idx="232">
                  <v>#N/A</v>
                </pt>
                <pt idx="233">
                  <v>2006</v>
                </pt>
                <pt idx="234">
                  <v>#N/A</v>
                </pt>
                <pt idx="235">
                  <v>2023</v>
                </pt>
                <pt idx="236">
                  <v>#N/A</v>
                </pt>
                <pt idx="237">
                  <v>2008</v>
                </pt>
                <pt idx="238">
                  <v>#N/A</v>
                </pt>
                <pt idx="239">
                  <v>2010</v>
                </pt>
                <pt idx="240">
                  <v>#N/A</v>
                </pt>
                <pt idx="241">
                  <v>#N/A</v>
                </pt>
                <pt idx="242">
                  <v>2011</v>
                </pt>
                <pt idx="243">
                  <v>#N/A</v>
                </pt>
                <pt idx="244">
                  <v>#N/A</v>
                </pt>
                <pt idx="245">
                  <v>#N/A</v>
                </pt>
                <pt idx="246">
                  <v>#N/A</v>
                </pt>
                <pt idx="247">
                  <v>#N/A</v>
                </pt>
                <pt idx="248">
                  <v>#N/A</v>
                </pt>
                <pt idx="249">
                  <v>#N/A</v>
                </pt>
                <pt idx="250">
                  <v>#N/A</v>
                </pt>
                <pt idx="251">
                  <v>2024</v>
                </pt>
                <pt idx="252">
                  <v>2008</v>
                </pt>
                <pt idx="253">
                  <v>#N/A</v>
                </pt>
                <pt idx="254">
                  <v>#N/A</v>
                </pt>
                <pt idx="255">
                  <v>#N/A</v>
                </pt>
                <pt idx="256">
                  <v>#N/A</v>
                </pt>
                <pt idx="257">
                  <v>#N/A</v>
                </pt>
                <pt idx="258">
                  <v>#N/A</v>
                </pt>
                <pt idx="259">
                  <v>2004</v>
                </pt>
                <pt idx="260">
                  <v>2015</v>
                </pt>
                <pt idx="261">
                  <v>2017</v>
                </pt>
                <pt idx="262">
                  <v>#N/A</v>
                </pt>
                <pt idx="263">
                  <v>#N/A</v>
                </pt>
                <pt idx="264">
                  <v>#N/A</v>
                </pt>
                <pt idx="265">
                  <v>#N/A</v>
                </pt>
                <pt idx="266">
                  <v>#N/A</v>
                </pt>
                <pt idx="267">
                  <v>1990</v>
                </pt>
                <pt idx="268">
                  <v>#N/A</v>
                </pt>
                <pt idx="269">
                  <v>#N/A</v>
                </pt>
                <pt idx="270">
                  <v>#N/A</v>
                </pt>
                <pt idx="271">
                  <v>2007</v>
                </pt>
                <pt idx="272">
                  <v>#N/A</v>
                </pt>
                <pt idx="273">
                  <v>#N/A</v>
                </pt>
                <pt idx="274">
                  <v>#N/A</v>
                </pt>
                <pt idx="275">
                  <v>#N/A</v>
                </pt>
                <pt idx="276">
                  <v>#N/A</v>
                </pt>
                <pt idx="277">
                  <v>#N/A</v>
                </pt>
                <pt idx="278">
                  <v>#N/A</v>
                </pt>
                <pt idx="279">
                  <v>#N/A</v>
                </pt>
                <pt idx="280">
                  <v>#N/A</v>
                </pt>
                <pt idx="281">
                  <v>#N/A</v>
                </pt>
                <pt idx="282">
                  <v>#N/A</v>
                </pt>
                <pt idx="283">
                  <v>#N/A</v>
                </pt>
                <pt idx="284">
                  <v>#N/A</v>
                </pt>
                <pt idx="285">
                  <v>2006</v>
                </pt>
                <pt idx="286">
                  <v>#N/A</v>
                </pt>
                <pt idx="287">
                  <v>#N/A</v>
                </pt>
                <pt idx="288">
                  <v>#N/A</v>
                </pt>
                <pt idx="289">
                  <v>2010</v>
                </pt>
                <pt idx="290">
                  <v>2014</v>
                </pt>
                <pt idx="291">
                  <v>#N/A</v>
                </pt>
                <pt idx="292">
                  <v>#N/A</v>
                </pt>
                <pt idx="293">
                  <v>#N/A</v>
                </pt>
                <pt idx="294">
                  <v>#N/A</v>
                </pt>
                <pt idx="295">
                  <v>2002</v>
                </pt>
                <pt idx="296">
                  <v>2007</v>
                </pt>
                <pt idx="297">
                  <v>2022</v>
                </pt>
                <pt idx="298">
                  <v>#N/A</v>
                </pt>
                <pt idx="299">
                  <v>#N/A</v>
                </pt>
                <pt idx="300">
                  <v>#N/A</v>
                </pt>
                <pt idx="301">
                  <v>#N/A</v>
                </pt>
                <pt idx="302">
                  <v>#N/A</v>
                </pt>
                <pt idx="303">
                  <v>2020</v>
                </pt>
                <pt idx="304">
                  <v>#N/A</v>
                </pt>
                <pt idx="305">
                  <v>#N/A</v>
                </pt>
                <pt idx="306">
                  <v>#N/A</v>
                </pt>
                <pt idx="307">
                  <v>#N/A</v>
                </pt>
                <pt idx="308">
                  <v>#N/A</v>
                </pt>
                <pt idx="309">
                  <v>#N/A</v>
                </pt>
                <pt idx="310">
                  <v>2014</v>
                </pt>
                <pt idx="311">
                  <v>#N/A</v>
                </pt>
                <pt idx="312">
                  <v>#N/A</v>
                </pt>
                <pt idx="313">
                  <v>#N/A</v>
                </pt>
                <pt idx="314">
                  <v>#N/A</v>
                </pt>
                <pt idx="315">
                  <v>#N/A</v>
                </pt>
                <pt idx="316">
                  <v>#N/A</v>
                </pt>
                <pt idx="317">
                  <v>#N/A</v>
                </pt>
                <pt idx="318">
                  <v>#N/A</v>
                </pt>
                <pt idx="319">
                  <v>#N/A</v>
                </pt>
                <pt idx="320">
                  <v>#N/A</v>
                </pt>
                <pt idx="321">
                  <v>#N/A</v>
                </pt>
                <pt idx="322">
                  <v>#N/A</v>
                </pt>
                <pt idx="323">
                  <v>#N/A</v>
                </pt>
                <pt idx="324">
                  <v>#N/A</v>
                </pt>
                <pt idx="325">
                  <v>#N/A</v>
                </pt>
                <pt idx="326">
                  <v>#N/A</v>
                </pt>
                <pt idx="327">
                  <v>1984</v>
                </pt>
                <pt idx="328">
                  <v>2022</v>
                </pt>
                <pt idx="329">
                  <v>#N/A</v>
                </pt>
                <pt idx="330">
                  <v>#N/A</v>
                </pt>
                <pt idx="331">
                  <v>#N/A</v>
                </pt>
                <pt idx="332">
                  <v>#N/A</v>
                </pt>
                <pt idx="333">
                  <v>#N/A</v>
                </pt>
                <pt idx="334">
                  <v>#N/A</v>
                </pt>
                <pt idx="335">
                  <v>#N/A</v>
                </pt>
                <pt idx="336">
                  <v>#N/A</v>
                </pt>
                <pt idx="337">
                  <v>2017</v>
                </pt>
                <pt idx="338">
                  <v>#N/A</v>
                </pt>
                <pt idx="339">
                  <v>#N/A</v>
                </pt>
                <pt idx="340">
                  <v>#N/A</v>
                </pt>
                <pt idx="341">
                  <v>#N/A</v>
                </pt>
                <pt idx="342">
                  <v>#N/A</v>
                </pt>
                <pt idx="343">
                  <v>#N/A</v>
                </pt>
                <pt idx="344">
                  <v>#N/A</v>
                </pt>
                <pt idx="345">
                  <v>#N/A</v>
                </pt>
                <pt idx="346">
                  <v>#N/A</v>
                </pt>
                <pt idx="347">
                  <v>#N/A</v>
                </pt>
                <pt idx="348">
                  <v>#N/A</v>
                </pt>
                <pt idx="349">
                  <v>#N/A</v>
                </pt>
                <pt idx="350">
                  <v>#N/A</v>
                </pt>
                <pt idx="351">
                  <v>#N/A</v>
                </pt>
                <pt idx="352">
                  <v>#N/A</v>
                </pt>
                <pt idx="353">
                  <v>#N/A</v>
                </pt>
                <pt idx="354">
                  <v>#N/A</v>
                </pt>
                <pt idx="355">
                  <v>#N/A</v>
                </pt>
                <pt idx="356">
                  <v>2026</v>
                </pt>
                <pt idx="357">
                  <v>2013</v>
                </pt>
                <pt idx="358">
                  <v>2025</v>
                </pt>
                <pt idx="359">
                  <v>#N/A</v>
                </pt>
                <pt idx="360">
                  <v>#N/A</v>
                </pt>
                <pt idx="361">
                  <v>#N/A</v>
                </pt>
                <pt idx="362">
                  <v>2012</v>
                </pt>
                <pt idx="363">
                  <v>#N/A</v>
                </pt>
                <pt idx="364">
                  <v>2017</v>
                </pt>
                <pt idx="365">
                  <v>#N/A</v>
                </pt>
                <pt idx="366">
                  <v>#N/A</v>
                </pt>
                <pt idx="367">
                  <v>#N/A</v>
                </pt>
                <pt idx="368">
                  <v>2007</v>
                </pt>
                <pt idx="369">
                  <v>#N/A</v>
                </pt>
                <pt idx="370">
                  <v>2011</v>
                </pt>
                <pt idx="371">
                  <v>#N/A</v>
                </pt>
                <pt idx="372">
                  <v>#N/A</v>
                </pt>
                <pt idx="373">
                  <v>#N/A</v>
                </pt>
                <pt idx="374">
                  <v>#N/A</v>
                </pt>
                <pt idx="375">
                  <v>#N/A</v>
                </pt>
                <pt idx="376">
                  <v>#N/A</v>
                </pt>
                <pt idx="377">
                  <v>#N/A</v>
                </pt>
                <pt idx="378">
                  <v>2001</v>
                </pt>
                <pt idx="379">
                  <v>2007</v>
                </pt>
                <pt idx="380">
                  <v>2006</v>
                </pt>
                <pt idx="381">
                  <v>#N/A</v>
                </pt>
                <pt idx="382">
                  <v>#N/A</v>
                </pt>
                <pt idx="383">
                  <v>2019</v>
                </pt>
                <pt idx="384">
                  <v>#N/A</v>
                </pt>
                <pt idx="385">
                  <v>#N/A</v>
                </pt>
                <pt idx="386">
                  <v>#N/A</v>
                </pt>
                <pt idx="387">
                  <v>2015</v>
                </pt>
                <pt idx="388">
                  <v>#N/A</v>
                </pt>
                <pt idx="389">
                  <v>#N/A</v>
                </pt>
                <pt idx="390">
                  <v>#N/A</v>
                </pt>
                <pt idx="391">
                  <v>#N/A</v>
                </pt>
                <pt idx="392">
                  <v>#N/A</v>
                </pt>
                <pt idx="393">
                  <v>#N/A</v>
                </pt>
                <pt idx="394">
                  <v>#N/A</v>
                </pt>
                <pt idx="395">
                  <v>#N/A</v>
                </pt>
                <pt idx="396">
                  <v>2020</v>
                </pt>
                <pt idx="397">
                  <v>#N/A</v>
                </pt>
                <pt idx="398">
                  <v>2006</v>
                </pt>
                <pt idx="399">
                  <v>1986</v>
                </pt>
                <pt idx="400">
                  <v>#N/A</v>
                </pt>
                <pt idx="401">
                  <v>#N/A</v>
                </pt>
                <pt idx="402">
                  <v>#N/A</v>
                </pt>
                <pt idx="403">
                  <v>#N/A</v>
                </pt>
                <pt idx="404">
                  <v>1995</v>
                </pt>
                <pt idx="405">
                  <v>#N/A</v>
                </pt>
                <pt idx="406">
                  <v>#N/A</v>
                </pt>
                <pt idx="407">
                  <v>#N/A</v>
                </pt>
                <pt idx="408">
                  <v>#N/A</v>
                </pt>
                <pt idx="409">
                  <v>#N/A</v>
                </pt>
                <pt idx="410">
                  <v>#N/A</v>
                </pt>
                <pt idx="411">
                  <v>#N/A</v>
                </pt>
                <pt idx="412">
                  <v>2019</v>
                </pt>
                <pt idx="413">
                  <v>#N/A</v>
                </pt>
                <pt idx="414">
                  <v>#N/A</v>
                </pt>
                <pt idx="415">
                  <v>#N/A</v>
                </pt>
                <pt idx="416">
                  <v>2001</v>
                </pt>
                <pt idx="417">
                  <v>#N/A</v>
                </pt>
                <pt idx="418">
                  <v>#N/A</v>
                </pt>
                <pt idx="419">
                  <v>#N/A</v>
                </pt>
                <pt idx="420">
                  <v>#N/A</v>
                </pt>
                <pt idx="421">
                  <v>#N/A</v>
                </pt>
                <pt idx="422">
                  <v>#N/A</v>
                </pt>
                <pt idx="423">
                  <v>#N/A</v>
                </pt>
                <pt idx="424">
                  <v>#N/A</v>
                </pt>
                <pt idx="425">
                  <v>#N/A</v>
                </pt>
                <pt idx="426">
                  <v>2020</v>
                </pt>
                <pt idx="427">
                  <v>#N/A</v>
                </pt>
                <pt idx="428">
                  <v>#N/A</v>
                </pt>
                <pt idx="429">
                  <v>#N/A</v>
                </pt>
                <pt idx="430">
                  <v>#N/A</v>
                </pt>
                <pt idx="431">
                  <v>#N/A</v>
                </pt>
                <pt idx="432">
                  <v>#N/A</v>
                </pt>
                <pt idx="433">
                  <v>#N/A</v>
                </pt>
                <pt idx="434">
                  <v>#N/A</v>
                </pt>
                <pt idx="435">
                  <v>#N/A</v>
                </pt>
                <pt idx="436">
                  <v>#N/A</v>
                </pt>
                <pt idx="437">
                  <v>#N/A</v>
                </pt>
                <pt idx="438">
                  <v>#N/A</v>
                </pt>
                <pt idx="439">
                  <v>#N/A</v>
                </pt>
                <pt idx="440">
                  <v>#N/A</v>
                </pt>
                <pt idx="441">
                  <v>#N/A</v>
                </pt>
                <pt idx="442">
                  <v>#N/A</v>
                </pt>
                <pt idx="443">
                  <v>2012</v>
                </pt>
                <pt idx="444">
                  <v>2011</v>
                </pt>
                <pt idx="445">
                  <v>1987</v>
                </pt>
                <pt idx="446">
                  <v>#N/A</v>
                </pt>
                <pt idx="447">
                  <v>#N/A</v>
                </pt>
                <pt idx="448">
                  <v>#N/A</v>
                </pt>
                <pt idx="449">
                  <v>2002</v>
                </pt>
                <pt idx="450">
                  <v>2003</v>
                </pt>
                <pt idx="451">
                  <v>2020</v>
                </pt>
                <pt idx="452">
                  <v>2022</v>
                </pt>
                <pt idx="453">
                  <v>#N/A</v>
                </pt>
                <pt idx="454">
                  <v>#N/A</v>
                </pt>
                <pt idx="455">
                  <v>#N/A</v>
                </pt>
                <pt idx="456">
                  <v>#N/A</v>
                </pt>
                <pt idx="457">
                  <v>#N/A</v>
                </pt>
                <pt idx="458">
                  <v>#N/A</v>
                </pt>
                <pt idx="459">
                  <v>#N/A</v>
                </pt>
                <pt idx="460">
                  <v>#N/A</v>
                </pt>
                <pt idx="461">
                  <v>#N/A</v>
                </pt>
                <pt idx="462">
                  <v>#N/A</v>
                </pt>
                <pt idx="463">
                  <v>2023</v>
                </pt>
                <pt idx="464">
                  <v>#N/A</v>
                </pt>
                <pt idx="465">
                  <v>1983</v>
                </pt>
                <pt idx="466">
                  <v>#N/A</v>
                </pt>
                <pt idx="467">
                  <v>#N/A</v>
                </pt>
                <pt idx="468">
                  <v>#N/A</v>
                </pt>
                <pt idx="469">
                  <v>#N/A</v>
                </pt>
                <pt idx="470">
                  <v>#N/A</v>
                </pt>
                <pt idx="471">
                  <v>2011</v>
                </pt>
                <pt idx="472">
                  <v>#N/A</v>
                </pt>
                <pt idx="473">
                  <v>#N/A</v>
                </pt>
                <pt idx="474">
                  <v>#N/A</v>
                </pt>
                <pt idx="475">
                  <v>2016</v>
                </pt>
                <pt idx="476">
                  <v>1995</v>
                </pt>
                <pt idx="477">
                  <v>#N/A</v>
                </pt>
                <pt idx="478">
                  <v>#N/A</v>
                </pt>
                <pt idx="479">
                  <v>#N/A</v>
                </pt>
                <pt idx="480">
                  <v>#N/A</v>
                </pt>
                <pt idx="481">
                  <v>#N/A</v>
                </pt>
                <pt idx="482">
                  <v>#N/A</v>
                </pt>
                <pt idx="483">
                  <v>#N/A</v>
                </pt>
                <pt idx="484">
                  <v>#N/A</v>
                </pt>
                <pt idx="485">
                  <v>#N/A</v>
                </pt>
                <pt idx="486">
                  <v>1987</v>
                </pt>
                <pt idx="487">
                  <v>#N/A</v>
                </pt>
                <pt idx="488">
                  <v>#N/A</v>
                </pt>
                <pt idx="489">
                  <v>#N/A</v>
                </pt>
                <pt idx="490">
                  <v>#N/A</v>
                </pt>
                <pt idx="491">
                  <v>#N/A</v>
                </pt>
                <pt idx="492">
                  <v>#N/A</v>
                </pt>
                <pt idx="493">
                  <v>#N/A</v>
                </pt>
                <pt idx="494">
                  <v>#N/A</v>
                </pt>
                <pt idx="495">
                  <v>#N/A</v>
                </pt>
                <pt idx="496">
                  <v>#N/A</v>
                </pt>
                <pt idx="497">
                  <v>#N/A</v>
                </pt>
                <pt idx="498">
                  <v>#N/A</v>
                </pt>
                <pt idx="499">
                  <v>#N/A</v>
                </pt>
                <pt idx="500">
                  <v>#N/A</v>
                </pt>
                <pt idx="501">
                  <v>#N/A</v>
                </pt>
                <pt idx="502">
                  <v>#N/A</v>
                </pt>
                <pt idx="503">
                  <v>#N/A</v>
                </pt>
                <pt idx="504">
                  <v>#N/A</v>
                </pt>
                <pt idx="505">
                  <v>#N/A</v>
                </pt>
                <pt idx="506">
                  <v>#N/A</v>
                </pt>
                <pt idx="507">
                  <v>#N/A</v>
                </pt>
                <pt idx="508">
                  <v>#N/A</v>
                </pt>
                <pt idx="509">
                  <v>#N/A</v>
                </pt>
                <pt idx="510">
                  <v>#N/A</v>
                </pt>
                <pt idx="511">
                  <v>#N/A</v>
                </pt>
                <pt idx="512">
                  <v>1987</v>
                </pt>
                <pt idx="513">
                  <v>2015</v>
                </pt>
                <pt idx="514">
                  <v>2019</v>
                </pt>
                <pt idx="515">
                  <v>2017</v>
                </pt>
                <pt idx="516">
                  <v>#N/A</v>
                </pt>
                <pt idx="517">
                  <v>#N/A</v>
                </pt>
                <pt idx="518">
                  <v>2014</v>
                </pt>
                <pt idx="519">
                  <v>2019</v>
                </pt>
                <pt idx="520">
                  <v>#N/A</v>
                </pt>
                <pt idx="521">
                  <v>#N/A</v>
                </pt>
                <pt idx="522">
                  <v>#N/A</v>
                </pt>
                <pt idx="523">
                  <v>2022</v>
                </pt>
                <pt idx="524">
                  <v>#N/A</v>
                </pt>
                <pt idx="525">
                  <v>2025</v>
                </pt>
                <pt idx="526">
                  <v>#N/A</v>
                </pt>
                <pt idx="527">
                  <v>#N/A</v>
                </pt>
                <pt idx="528">
                  <v>#N/A</v>
                </pt>
                <pt idx="529">
                  <v>2023</v>
                </pt>
                <pt idx="530">
                  <v>#N/A</v>
                </pt>
                <pt idx="531">
                  <v>2015</v>
                </pt>
                <pt idx="532">
                  <v>#N/A</v>
                </pt>
                <pt idx="533">
                  <v>#N/A</v>
                </pt>
                <pt idx="534">
                  <v>#N/A</v>
                </pt>
                <pt idx="535">
                  <v>#N/A</v>
                </pt>
                <pt idx="536">
                  <v>#N/A</v>
                </pt>
                <pt idx="537">
                  <v>#N/A</v>
                </pt>
                <pt idx="538">
                  <v>2012</v>
                </pt>
                <pt idx="539">
                  <v>#N/A</v>
                </pt>
                <pt idx="540">
                  <v>#N/A</v>
                </pt>
                <pt idx="541">
                  <v>#N/A</v>
                </pt>
                <pt idx="542">
                  <v>#N/A</v>
                </pt>
                <pt idx="543">
                  <v>#N/A</v>
                </pt>
                <pt idx="544">
                  <v>#N/A</v>
                </pt>
                <pt idx="545">
                  <v>#N/A</v>
                </pt>
                <pt idx="546">
                  <v>#N/A</v>
                </pt>
                <pt idx="547">
                  <v>#N/A</v>
                </pt>
                <pt idx="548">
                  <v>2009</v>
                </pt>
                <pt idx="549">
                  <v>2007</v>
                </pt>
                <pt idx="550">
                  <v>2012</v>
                </pt>
                <pt idx="551">
                  <v>2005</v>
                </pt>
                <pt idx="552">
                  <v>2020</v>
                </pt>
                <pt idx="553">
                  <v>2015</v>
                </pt>
                <pt idx="554">
                  <v>#N/A</v>
                </pt>
                <pt idx="555">
                  <v>#N/A</v>
                </pt>
                <pt idx="556">
                  <v>#N/A</v>
                </pt>
                <pt idx="557">
                  <v>2003</v>
                </pt>
                <pt idx="558">
                  <v>#N/A</v>
                </pt>
                <pt idx="559">
                  <v>#N/A</v>
                </pt>
                <pt idx="560">
                  <v>#N/A</v>
                </pt>
                <pt idx="561">
                  <v>2023</v>
                </pt>
                <pt idx="562">
                  <v>2014</v>
                </pt>
                <pt idx="563">
                  <v>#N/A</v>
                </pt>
                <pt idx="564">
                  <v>#N/A</v>
                </pt>
                <pt idx="565">
                  <v>#N/A</v>
                </pt>
                <pt idx="566">
                  <v>1992</v>
                </pt>
                <pt idx="567">
                  <v>#N/A</v>
                </pt>
                <pt idx="568">
                  <v>#N/A</v>
                </pt>
                <pt idx="569">
                  <v>#N/A</v>
                </pt>
                <pt idx="570">
                  <v>#N/A</v>
                </pt>
                <pt idx="571">
                  <v>#N/A</v>
                </pt>
                <pt idx="572">
                  <v>#N/A</v>
                </pt>
                <pt idx="573">
                  <v>#N/A</v>
                </pt>
                <pt idx="574">
                  <v>#N/A</v>
                </pt>
                <pt idx="575">
                  <v>#N/A</v>
                </pt>
                <pt idx="576">
                  <v>#N/A</v>
                </pt>
                <pt idx="577">
                  <v>#N/A</v>
                </pt>
                <pt idx="578">
                  <v>#N/A</v>
                </pt>
                <pt idx="579">
                  <v>#N/A</v>
                </pt>
                <pt idx="580">
                  <v>#N/A</v>
                </pt>
                <pt idx="581">
                  <v>#N/A</v>
                </pt>
                <pt idx="582">
                  <v>2020</v>
                </pt>
                <pt idx="583">
                  <v>2024</v>
                </pt>
                <pt idx="584">
                  <v>2026</v>
                </pt>
                <pt idx="585">
                  <v>#N/A</v>
                </pt>
                <pt idx="586">
                  <v>#N/A</v>
                </pt>
                <pt idx="587">
                  <v>#N/A</v>
                </pt>
                <pt idx="588">
                  <v>#N/A</v>
                </pt>
                <pt idx="589">
                  <v>#N/A</v>
                </pt>
                <pt idx="590">
                  <v>#N/A</v>
                </pt>
                <pt idx="591">
                  <v>#N/A</v>
                </pt>
                <pt idx="592">
                  <v>#N/A</v>
                </pt>
                <pt idx="593">
                  <v>#N/A</v>
                </pt>
                <pt idx="594">
                  <v>#N/A</v>
                </pt>
                <pt idx="595">
                  <v>1980</v>
                </pt>
                <pt idx="596">
                  <v>#N/A</v>
                </pt>
                <pt idx="597">
                  <v>2019</v>
                </pt>
                <pt idx="598">
                  <v>#N/A</v>
                </pt>
                <pt idx="599">
                  <v>#N/A</v>
                </pt>
                <pt idx="600">
                  <v>2007</v>
                </pt>
                <pt idx="601">
                  <v>#N/A</v>
                </pt>
                <pt idx="602">
                  <v>#N/A</v>
                </pt>
                <pt idx="603">
                  <v>#N/A</v>
                </pt>
                <pt idx="604">
                  <v>#N/A</v>
                </pt>
                <pt idx="605">
                  <v>#N/A</v>
                </pt>
                <pt idx="606">
                  <v>#N/A</v>
                </pt>
                <pt idx="607">
                  <v>#N/A</v>
                </pt>
                <pt idx="608">
                  <v>#N/A</v>
                </pt>
                <pt idx="609">
                  <v>#N/A</v>
                </pt>
                <pt idx="610">
                  <v>2023</v>
                </pt>
                <pt idx="611">
                  <v>#N/A</v>
                </pt>
                <pt idx="612">
                  <v>2014</v>
                </pt>
                <pt idx="613">
                  <v>#N/A</v>
                </pt>
                <pt idx="614">
                  <v>#N/A</v>
                </pt>
                <pt idx="615">
                  <v>#N/A</v>
                </pt>
                <pt idx="616">
                  <v>#N/A</v>
                </pt>
                <pt idx="617">
                  <v>#N/A</v>
                </pt>
                <pt idx="618">
                  <v>#N/A</v>
                </pt>
                <pt idx="619">
                  <v>#N/A</v>
                </pt>
                <pt idx="620">
                  <v>#N/A</v>
                </pt>
                <pt idx="621">
                  <v>#N/A</v>
                </pt>
                <pt idx="622">
                  <v>#N/A</v>
                </pt>
                <pt idx="623">
                  <v>2010</v>
                </pt>
                <pt idx="624">
                  <v>#N/A</v>
                </pt>
                <pt idx="625">
                  <v>#N/A</v>
                </pt>
                <pt idx="626">
                  <v>#N/A</v>
                </pt>
                <pt idx="627">
                  <v>#N/A</v>
                </pt>
                <pt idx="628">
                  <v>#N/A</v>
                </pt>
                <pt idx="629">
                  <v>#N/A</v>
                </pt>
                <pt idx="630">
                  <v>#N/A</v>
                </pt>
                <pt idx="631">
                  <v>#N/A</v>
                </pt>
                <pt idx="632">
                  <v>#N/A</v>
                </pt>
                <pt idx="633">
                  <v>#N/A</v>
                </pt>
                <pt idx="634">
                  <v>2015</v>
                </pt>
                <pt idx="635">
                  <v>#N/A</v>
                </pt>
                <pt idx="636">
                  <v>#N/A</v>
                </pt>
                <pt idx="637">
                  <v>#N/A</v>
                </pt>
                <pt idx="638">
                  <v>2014</v>
                </pt>
                <pt idx="639">
                  <v>#N/A</v>
                </pt>
                <pt idx="640">
                  <v>2008</v>
                </pt>
                <pt idx="641">
                  <v>2000</v>
                </pt>
                <pt idx="642">
                  <v>2010</v>
                </pt>
                <pt idx="643">
                  <v>2002</v>
                </pt>
                <pt idx="644">
                  <v>1996</v>
                </pt>
                <pt idx="645">
                  <v>2001</v>
                </pt>
                <pt idx="646">
                  <v>2024</v>
                </pt>
                <pt idx="647">
                  <v>2010</v>
                </pt>
                <pt idx="648">
                  <v>#N/A</v>
                </pt>
                <pt idx="649">
                  <v>#N/A</v>
                </pt>
                <pt idx="650">
                  <v>#N/A</v>
                </pt>
                <pt idx="651">
                  <v>#N/A</v>
                </pt>
                <pt idx="652">
                  <v>2012</v>
                </pt>
                <pt idx="653">
                  <v>#N/A</v>
                </pt>
                <pt idx="654">
                  <v>#N/A</v>
                </pt>
                <pt idx="655">
                  <v>#N/A</v>
                </pt>
                <pt idx="656">
                  <v>#N/A</v>
                </pt>
                <pt idx="657">
                  <v>#N/A</v>
                </pt>
                <pt idx="658">
                  <v>2006</v>
                </pt>
                <pt idx="659">
                  <v>#N/A</v>
                </pt>
                <pt idx="660">
                  <v>#N/A</v>
                </pt>
                <pt idx="661">
                  <v>#N/A</v>
                </pt>
                <pt idx="662">
                  <v>#N/A</v>
                </pt>
                <pt idx="663">
                  <v>#N/A</v>
                </pt>
                <pt idx="664">
                  <v>#N/A</v>
                </pt>
                <pt idx="665">
                  <v>#N/A</v>
                </pt>
                <pt idx="666">
                  <v>#N/A</v>
                </pt>
                <pt idx="667">
                  <v>#N/A</v>
                </pt>
                <pt idx="668">
                  <v>#N/A</v>
                </pt>
                <pt idx="669">
                  <v>#N/A</v>
                </pt>
                <pt idx="670">
                  <v>#N/A</v>
                </pt>
                <pt idx="671">
                  <v>2022</v>
                </pt>
                <pt idx="672">
                  <v>2023</v>
                </pt>
                <pt idx="673">
                  <v>#N/A</v>
                </pt>
                <pt idx="674">
                  <v>#N/A</v>
                </pt>
                <pt idx="675">
                  <v>#N/A</v>
                </pt>
                <pt idx="676">
                  <v>2016</v>
                </pt>
                <pt idx="677">
                  <v>#N/A</v>
                </pt>
                <pt idx="678">
                  <v>#N/A</v>
                </pt>
                <pt idx="679">
                  <v>#N/A</v>
                </pt>
                <pt idx="680">
                  <v>#N/A</v>
                </pt>
                <pt idx="681">
                  <v>#N/A</v>
                </pt>
                <pt idx="682">
                  <v>#N/A</v>
                </pt>
                <pt idx="683">
                  <v>#N/A</v>
                </pt>
                <pt idx="684">
                  <v>#N/A</v>
                </pt>
                <pt idx="685">
                  <v>#N/A</v>
                </pt>
                <pt idx="686">
                  <v>#N/A</v>
                </pt>
                <pt idx="687">
                  <v>2014</v>
                </pt>
                <pt idx="688">
                  <v>#N/A</v>
                </pt>
                <pt idx="689">
                  <v>#N/A</v>
                </pt>
                <pt idx="690">
                  <v>#N/A</v>
                </pt>
                <pt idx="691">
                  <v>#N/A</v>
                </pt>
                <pt idx="692">
                  <v>#N/A</v>
                </pt>
                <pt idx="693">
                  <v>#N/A</v>
                </pt>
                <pt idx="694">
                  <v>#N/A</v>
                </pt>
                <pt idx="695">
                  <v>#N/A</v>
                </pt>
                <pt idx="696">
                  <v>2020</v>
                </pt>
                <pt idx="697">
                  <v>#N/A</v>
                </pt>
                <pt idx="698">
                  <v>#N/A</v>
                </pt>
                <pt idx="699">
                  <v>#N/A</v>
                </pt>
                <pt idx="700">
                  <v>#N/A</v>
                </pt>
                <pt idx="701">
                  <v>#N/A</v>
                </pt>
                <pt idx="702">
                  <v>#N/A</v>
                </pt>
                <pt idx="703">
                  <v>#N/A</v>
                </pt>
                <pt idx="704">
                  <v>#N/A</v>
                </pt>
                <pt idx="705">
                  <v>#N/A</v>
                </pt>
                <pt idx="706">
                  <v>#N/A</v>
                </pt>
                <pt idx="707">
                  <v>#N/A</v>
                </pt>
                <pt idx="708">
                  <v>#N/A</v>
                </pt>
                <pt idx="709">
                  <v>#N/A</v>
                </pt>
                <pt idx="710">
                  <v>#N/A</v>
                </pt>
                <pt idx="711">
                  <v>#N/A</v>
                </pt>
                <pt idx="712">
                  <v>1982</v>
                </pt>
                <pt idx="713">
                  <v>#N/A</v>
                </pt>
                <pt idx="714">
                  <v>#N/A</v>
                </pt>
                <pt idx="715">
                  <v>2013</v>
                </pt>
                <pt idx="716">
                  <v>#N/A</v>
                </pt>
                <pt idx="717">
                  <v>#N/A</v>
                </pt>
                <pt idx="718">
                  <v>#N/A</v>
                </pt>
                <pt idx="719">
                  <v>#N/A</v>
                </pt>
                <pt idx="720">
                  <v>#N/A</v>
                </pt>
                <pt idx="721">
                  <v>#N/A</v>
                </pt>
                <pt idx="722">
                  <v>#N/A</v>
                </pt>
                <pt idx="723">
                  <v>1998</v>
                </pt>
                <pt idx="724">
                  <v>#N/A</v>
                </pt>
                <pt idx="725">
                  <v>2017</v>
                </pt>
                <pt idx="726">
                  <v>#N/A</v>
                </pt>
                <pt idx="727">
                  <v>2006</v>
                </pt>
                <pt idx="728">
                  <v>#N/A</v>
                </pt>
                <pt idx="729">
                  <v>#N/A</v>
                </pt>
                <pt idx="730">
                  <v>#N/A</v>
                </pt>
                <pt idx="731">
                  <v>#N/A</v>
                </pt>
                <pt idx="732">
                  <v>#N/A</v>
                </pt>
                <pt idx="733">
                  <v>#N/A</v>
                </pt>
                <pt idx="734">
                  <v>#N/A</v>
                </pt>
                <pt idx="735">
                  <v>#N/A</v>
                </pt>
                <pt idx="736">
                  <v>#N/A</v>
                </pt>
                <pt idx="737">
                  <v>#N/A</v>
                </pt>
                <pt idx="738">
                  <v>#N/A</v>
                </pt>
                <pt idx="739">
                  <v>2021</v>
                </pt>
                <pt idx="740">
                  <v>2000</v>
                </pt>
                <pt idx="741">
                  <v>#N/A</v>
                </pt>
                <pt idx="742">
                  <v>#N/A</v>
                </pt>
                <pt idx="743">
                  <v>2014</v>
                </pt>
                <pt idx="744">
                  <v>2013</v>
                </pt>
                <pt idx="745">
                  <v>#N/A</v>
                </pt>
                <pt idx="746">
                  <v>#N/A</v>
                </pt>
                <pt idx="747">
                  <v>#N/A</v>
                </pt>
                <pt idx="748">
                  <v>#N/A</v>
                </pt>
                <pt idx="749">
                  <v>#N/A</v>
                </pt>
                <pt idx="750">
                  <v>2004</v>
                </pt>
                <pt idx="751">
                  <v>#N/A</v>
                </pt>
                <pt idx="752">
                  <v>#N/A</v>
                </pt>
                <pt idx="753">
                  <v>#N/A</v>
                </pt>
                <pt idx="754">
                  <v>#N/A</v>
                </pt>
                <pt idx="755">
                  <v>#N/A</v>
                </pt>
                <pt idx="756">
                  <v>#N/A</v>
                </pt>
                <pt idx="757">
                  <v>#N/A</v>
                </pt>
                <pt idx="758">
                  <v>2014</v>
                </pt>
                <pt idx="759">
                  <v>#N/A</v>
                </pt>
                <pt idx="760">
                  <v>#N/A</v>
                </pt>
                <pt idx="761">
                  <v>#N/A</v>
                </pt>
                <pt idx="762">
                  <v>#N/A</v>
                </pt>
                <pt idx="763">
                  <v>#N/A</v>
                </pt>
                <pt idx="764">
                  <v>#N/A</v>
                </pt>
                <pt idx="765">
                  <v>#N/A</v>
                </pt>
                <pt idx="766">
                  <v>#N/A</v>
                </pt>
                <pt idx="767">
                  <v>#N/A</v>
                </pt>
                <pt idx="768">
                  <v>#N/A</v>
                </pt>
                <pt idx="769">
                  <v>1999</v>
                </pt>
                <pt idx="770">
                  <v>2002</v>
                </pt>
                <pt idx="771">
                  <v>1993</v>
                </pt>
                <pt idx="772">
                  <v>2025</v>
                </pt>
                <pt idx="773">
                  <v>2024</v>
                </pt>
                <pt idx="774">
                  <v>2021</v>
                </pt>
                <pt idx="775">
                  <v>#N/A</v>
                </pt>
                <pt idx="776">
                  <v>#N/A</v>
                </pt>
                <pt idx="777">
                  <v>#N/A</v>
                </pt>
                <pt idx="778">
                  <v>#N/A</v>
                </pt>
                <pt idx="779">
                  <v>#N/A</v>
                </pt>
                <pt idx="780">
                  <v>#N/A</v>
                </pt>
                <pt idx="781">
                  <v>#N/A</v>
                </pt>
                <pt idx="782">
                  <v>#N/A</v>
                </pt>
                <pt idx="783">
                  <v>#N/A</v>
                </pt>
                <pt idx="784">
                  <v>#N/A</v>
                </pt>
                <pt idx="785">
                  <v>#N/A</v>
                </pt>
                <pt idx="786">
                  <v>#N/A</v>
                </pt>
                <pt idx="787">
                  <v>2012</v>
                </pt>
                <pt idx="788">
                  <v>2021</v>
                </pt>
                <pt idx="789">
                  <v>#N/A</v>
                </pt>
                <pt idx="790">
                  <v>#N/A</v>
                </pt>
                <pt idx="791">
                  <v>#N/A</v>
                </pt>
                <pt idx="792">
                  <v>#N/A</v>
                </pt>
                <pt idx="793">
                  <v>#N/A</v>
                </pt>
                <pt idx="794">
                  <v>#N/A</v>
                </pt>
                <pt idx="795">
                  <v>1992</v>
                </pt>
                <pt idx="796">
                  <v>#N/A</v>
                </pt>
                <pt idx="797">
                  <v>#N/A</v>
                </pt>
                <pt idx="798">
                  <v>#N/A</v>
                </pt>
                <pt idx="799">
                  <v>#N/A</v>
                </pt>
                <pt idx="800">
                  <v>#N/A</v>
                </pt>
                <pt idx="801">
                  <v>#N/A</v>
                </pt>
                <pt idx="802">
                  <v>#N/A</v>
                </pt>
                <pt idx="803">
                  <v>#N/A</v>
                </pt>
                <pt idx="804">
                  <v>#N/A</v>
                </pt>
                <pt idx="805">
                  <v>#N/A</v>
                </pt>
                <pt idx="806">
                  <v>#N/A</v>
                </pt>
                <pt idx="807">
                  <v>#N/A</v>
                </pt>
                <pt idx="808">
                  <v>#N/A</v>
                </pt>
                <pt idx="809">
                  <v>#N/A</v>
                </pt>
                <pt idx="810">
                  <v>#N/A</v>
                </pt>
                <pt idx="811">
                  <v>#N/A</v>
                </pt>
                <pt idx="812">
                  <v>1998</v>
                </pt>
                <pt idx="813">
                  <v>#N/A</v>
                </pt>
                <pt idx="814">
                  <v>#N/A</v>
                </pt>
                <pt idx="815">
                  <v>#N/A</v>
                </pt>
                <pt idx="816">
                  <v>2023</v>
                </pt>
                <pt idx="817">
                  <v>#N/A</v>
                </pt>
                <pt idx="818">
                  <v>#N/A</v>
                </pt>
                <pt idx="819">
                  <v>2011</v>
                </pt>
                <pt idx="820">
                  <v>#N/A</v>
                </pt>
                <pt idx="821">
                  <v>#N/A</v>
                </pt>
                <pt idx="822">
                  <v>#N/A</v>
                </pt>
                <pt idx="823">
                  <v>#N/A</v>
                </pt>
                <pt idx="824">
                  <v>#N/A</v>
                </pt>
                <pt idx="825">
                  <v>#N/A</v>
                </pt>
                <pt idx="826">
                  <v>#N/A</v>
                </pt>
                <pt idx="827">
                  <v>#N/A</v>
                </pt>
                <pt idx="828">
                  <v>#N/A</v>
                </pt>
                <pt idx="829">
                  <v>#N/A</v>
                </pt>
                <pt idx="830">
                  <v>#N/A</v>
                </pt>
                <pt idx="831">
                  <v>#N/A</v>
                </pt>
                <pt idx="832">
                  <v>#N/A</v>
                </pt>
                <pt idx="833">
                  <v>#N/A</v>
                </pt>
                <pt idx="834">
                  <v>#N/A</v>
                </pt>
                <pt idx="835">
                  <v>#N/A</v>
                </pt>
                <pt idx="836">
                  <v>#N/A</v>
                </pt>
                <pt idx="837">
                  <v>#N/A</v>
                </pt>
                <pt idx="838">
                  <v>#N/A</v>
                </pt>
                <pt idx="839">
                  <v>#N/A</v>
                </pt>
                <pt idx="840">
                  <v>#N/A</v>
                </pt>
                <pt idx="841">
                  <v>#N/A</v>
                </pt>
                <pt idx="842">
                  <v>#N/A</v>
                </pt>
                <pt idx="843">
                  <v>#N/A</v>
                </pt>
                <pt idx="844">
                  <v>2017</v>
                </pt>
                <pt idx="845">
                  <v>2010</v>
                </pt>
                <pt idx="846">
                  <v>1994</v>
                </pt>
                <pt idx="847">
                  <v>#N/A</v>
                </pt>
                <pt idx="848">
                  <v>#N/A</v>
                </pt>
                <pt idx="849">
                  <v>#N/A</v>
                </pt>
                <pt idx="850">
                  <v>2025</v>
                </pt>
                <pt idx="851">
                  <v>#N/A</v>
                </pt>
                <pt idx="852">
                  <v>#N/A</v>
                </pt>
                <pt idx="853">
                  <v>2022</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numCache>
            </numRef>
          </xVal>
          <yVal>
            <numRef>
              <f>'Map Calc'!$N$1:$N$950</f>
              <numCache>
                <formatCode>General</formatCode>
                <ptCount val="950"/>
                <pt idx="0">
                  <v>0</v>
                </pt>
                <pt idx="1">
                  <v>#N/A</v>
                </pt>
                <pt idx="2">
                  <v>4.069</v>
                </pt>
                <pt idx="3">
                  <v>#N/A</v>
                </pt>
                <pt idx="4">
                  <v>#N/A</v>
                </pt>
                <pt idx="5">
                  <v>#N/A</v>
                </pt>
                <pt idx="6">
                  <v>#N/A</v>
                </pt>
                <pt idx="7">
                  <v>#N/A</v>
                </pt>
                <pt idx="8">
                  <v>4.207</v>
                </pt>
                <pt idx="9">
                  <v>4.23</v>
                </pt>
                <pt idx="10">
                  <v>#N/A</v>
                </pt>
                <pt idx="11">
                  <v>#N/A</v>
                </pt>
                <pt idx="12">
                  <v>#N/A</v>
                </pt>
                <pt idx="13">
                  <v>#N/A</v>
                </pt>
                <pt idx="14">
                  <v>#N/A</v>
                </pt>
                <pt idx="15">
                  <v>#N/A</v>
                </pt>
                <pt idx="16">
                  <v>#N/A</v>
                </pt>
                <pt idx="17">
                  <v>#N/A</v>
                </pt>
                <pt idx="18">
                  <v>#N/A</v>
                </pt>
                <pt idx="19">
                  <v>#N/A</v>
                </pt>
                <pt idx="20">
                  <v>#N/A</v>
                </pt>
                <pt idx="21">
                  <v>#N/A</v>
                </pt>
                <pt idx="22">
                  <v>#N/A</v>
                </pt>
                <pt idx="23">
                  <v>4.552</v>
                </pt>
                <pt idx="24">
                  <v>4.575</v>
                </pt>
                <pt idx="25">
                  <v>#N/A</v>
                </pt>
                <pt idx="26">
                  <v>#N/A</v>
                </pt>
                <pt idx="27">
                  <v>#N/A</v>
                </pt>
                <pt idx="28">
                  <v>4.667</v>
                </pt>
                <pt idx="29">
                  <v>#N/A</v>
                </pt>
                <pt idx="30">
                  <v>#N/A</v>
                </pt>
                <pt idx="31">
                  <v>#N/A</v>
                </pt>
                <pt idx="32">
                  <v>#N/A</v>
                </pt>
                <pt idx="33">
                  <v>#N/A</v>
                </pt>
                <pt idx="34">
                  <v>#N/A</v>
                </pt>
                <pt idx="35">
                  <v>#N/A</v>
                </pt>
                <pt idx="36">
                  <v>#N/A</v>
                </pt>
                <pt idx="37">
                  <v>#N/A</v>
                </pt>
                <pt idx="38">
                  <v>#N/A</v>
                </pt>
                <pt idx="39">
                  <v>#N/A</v>
                </pt>
                <pt idx="40">
                  <v>#N/A</v>
                </pt>
                <pt idx="41">
                  <v>#N/A</v>
                </pt>
                <pt idx="42">
                  <v>#N/A</v>
                </pt>
                <pt idx="43">
                  <v>#N/A</v>
                </pt>
                <pt idx="44">
                  <v>4.253</v>
                </pt>
                <pt idx="45">
                  <v>#N/A</v>
                </pt>
                <pt idx="46">
                  <v>#N/A</v>
                </pt>
                <pt idx="47">
                  <v>#N/A</v>
                </pt>
                <pt idx="48">
                  <v>#N/A</v>
                </pt>
                <pt idx="49">
                  <v>4.368</v>
                </pt>
                <pt idx="50">
                  <v>#N/A</v>
                </pt>
                <pt idx="51">
                  <v>#N/A</v>
                </pt>
                <pt idx="52">
                  <v>#N/A</v>
                </pt>
                <pt idx="53">
                  <v>#N/A</v>
                </pt>
                <pt idx="54">
                  <v>#N/A</v>
                </pt>
                <pt idx="55">
                  <v>#N/A</v>
                </pt>
                <pt idx="56">
                  <v>#N/A</v>
                </pt>
                <pt idx="57">
                  <v>#N/A</v>
                </pt>
                <pt idx="58">
                  <v>#N/A</v>
                </pt>
                <pt idx="59">
                  <v>#N/A</v>
                </pt>
                <pt idx="60">
                  <v>#N/A</v>
                </pt>
                <pt idx="61">
                  <v>#N/A</v>
                </pt>
                <pt idx="62">
                  <v>#N/A</v>
                </pt>
                <pt idx="63">
                  <v>#N/A</v>
                </pt>
                <pt idx="64">
                  <v>#N/A</v>
                </pt>
                <pt idx="65">
                  <v>#N/A</v>
                </pt>
                <pt idx="66">
                  <v>#N/A</v>
                </pt>
                <pt idx="67">
                  <v>#N/A</v>
                </pt>
                <pt idx="68">
                  <v>4.023</v>
                </pt>
                <pt idx="69">
                  <v>#N/A</v>
                </pt>
                <pt idx="70">
                  <v>#N/A</v>
                </pt>
                <pt idx="71">
                  <v>#N/A</v>
                </pt>
                <pt idx="72">
                  <v>#N/A</v>
                </pt>
                <pt idx="73">
                  <v>#N/A</v>
                </pt>
                <pt idx="74">
                  <v>#N/A</v>
                </pt>
                <pt idx="75">
                  <v>#N/A</v>
                </pt>
                <pt idx="76">
                  <v>#N/A</v>
                </pt>
                <pt idx="77">
                  <v>#N/A</v>
                </pt>
                <pt idx="78">
                  <v>#N/A</v>
                </pt>
                <pt idx="79">
                  <v>#N/A</v>
                </pt>
                <pt idx="80">
                  <v>#N/A</v>
                </pt>
                <pt idx="81">
                  <v>#N/A</v>
                </pt>
                <pt idx="82">
                  <v>#N/A</v>
                </pt>
                <pt idx="83">
                  <v>#N/A</v>
                </pt>
                <pt idx="84">
                  <v>#N/A</v>
                </pt>
                <pt idx="85">
                  <v>#N/A</v>
                </pt>
                <pt idx="86">
                  <v>#N/A</v>
                </pt>
                <pt idx="87">
                  <v>#N/A</v>
                </pt>
                <pt idx="88">
                  <v>#N/A</v>
                </pt>
                <pt idx="89">
                  <v>#N/A</v>
                </pt>
                <pt idx="90">
                  <v>#N/A</v>
                </pt>
                <pt idx="91">
                  <v>#N/A</v>
                </pt>
                <pt idx="92">
                  <v>4.575</v>
                </pt>
                <pt idx="93">
                  <v>#N/A</v>
                </pt>
                <pt idx="94">
                  <v>#N/A</v>
                </pt>
                <pt idx="95">
                  <v>#N/A</v>
                </pt>
                <pt idx="96">
                  <v>#N/A</v>
                </pt>
                <pt idx="97">
                  <v>#N/A</v>
                </pt>
                <pt idx="98">
                  <v>#N/A</v>
                </pt>
                <pt idx="99">
                  <v>4.736</v>
                </pt>
                <pt idx="100">
                  <v>4.759</v>
                </pt>
                <pt idx="101">
                  <v>4</v>
                </pt>
                <pt idx="102">
                  <v>4.023</v>
                </pt>
                <pt idx="103">
                  <v>#N/A</v>
                </pt>
                <pt idx="104">
                  <v>4.069</v>
                </pt>
                <pt idx="105">
                  <v>4.092</v>
                </pt>
                <pt idx="106">
                  <v>4.115</v>
                </pt>
                <pt idx="107">
                  <v>4.138</v>
                </pt>
                <pt idx="108">
                  <v>#N/A</v>
                </pt>
                <pt idx="109">
                  <v>#N/A</v>
                </pt>
                <pt idx="110">
                  <v>4.207</v>
                </pt>
                <pt idx="111">
                  <v>#N/A</v>
                </pt>
                <pt idx="112">
                  <v>4.253</v>
                </pt>
                <pt idx="113">
                  <v>#N/A</v>
                </pt>
                <pt idx="114">
                  <v>#N/A</v>
                </pt>
                <pt idx="115">
                  <v>#N/A</v>
                </pt>
                <pt idx="116">
                  <v>#N/A</v>
                </pt>
                <pt idx="117">
                  <v>#N/A</v>
                </pt>
                <pt idx="118">
                  <v>#N/A</v>
                </pt>
                <pt idx="119">
                  <v>4.414</v>
                </pt>
                <pt idx="120">
                  <v>4.437</v>
                </pt>
                <pt idx="121">
                  <v>4.46</v>
                </pt>
                <pt idx="122">
                  <v>#N/A</v>
                </pt>
                <pt idx="123">
                  <v>#N/A</v>
                </pt>
                <pt idx="124">
                  <v>#N/A</v>
                </pt>
                <pt idx="125">
                  <v>#N/A</v>
                </pt>
                <pt idx="126">
                  <v>#N/A</v>
                </pt>
                <pt idx="127">
                  <v>#N/A</v>
                </pt>
                <pt idx="128">
                  <v>#N/A</v>
                </pt>
                <pt idx="129">
                  <v>#N/A</v>
                </pt>
                <pt idx="130">
                  <v>#N/A</v>
                </pt>
                <pt idx="131">
                  <v>#N/A</v>
                </pt>
                <pt idx="132">
                  <v>#N/A</v>
                </pt>
                <pt idx="133">
                  <v>4.736</v>
                </pt>
                <pt idx="134">
                  <v>#N/A</v>
                </pt>
                <pt idx="135">
                  <v>#N/A</v>
                </pt>
                <pt idx="136">
                  <v>#N/A</v>
                </pt>
                <pt idx="137">
                  <v>#N/A</v>
                </pt>
                <pt idx="138">
                  <v>#N/A</v>
                </pt>
                <pt idx="139">
                  <v>#N/A</v>
                </pt>
                <pt idx="140">
                  <v>#N/A</v>
                </pt>
                <pt idx="141">
                  <v>#N/A</v>
                </pt>
                <pt idx="142">
                  <v>4.161</v>
                </pt>
                <pt idx="143">
                  <v>#N/A</v>
                </pt>
                <pt idx="144">
                  <v>#N/A</v>
                </pt>
                <pt idx="145">
                  <v>#N/A</v>
                </pt>
                <pt idx="146">
                  <v>#N/A</v>
                </pt>
                <pt idx="147">
                  <v>#N/A</v>
                </pt>
                <pt idx="148">
                  <v>#N/A</v>
                </pt>
                <pt idx="149">
                  <v>#N/A</v>
                </pt>
                <pt idx="150">
                  <v>#N/A</v>
                </pt>
                <pt idx="151">
                  <v>4.368</v>
                </pt>
                <pt idx="152">
                  <v>#N/A</v>
                </pt>
                <pt idx="153">
                  <v>4.414</v>
                </pt>
                <pt idx="154">
                  <v>#N/A</v>
                </pt>
                <pt idx="155">
                  <v>#N/A</v>
                </pt>
                <pt idx="156">
                  <v>#N/A</v>
                </pt>
                <pt idx="157">
                  <v>#N/A</v>
                </pt>
                <pt idx="158">
                  <v>#N/A</v>
                </pt>
                <pt idx="159">
                  <v>#N/A</v>
                </pt>
                <pt idx="160">
                  <v>#N/A</v>
                </pt>
                <pt idx="161">
                  <v>#N/A</v>
                </pt>
                <pt idx="162">
                  <v>#N/A</v>
                </pt>
                <pt idx="163">
                  <v>#N/A</v>
                </pt>
                <pt idx="164">
                  <v>#N/A</v>
                </pt>
                <pt idx="165">
                  <v>#N/A</v>
                </pt>
                <pt idx="166">
                  <v>#N/A</v>
                </pt>
                <pt idx="167">
                  <v>#N/A</v>
                </pt>
                <pt idx="168">
                  <v>#N/A</v>
                </pt>
                <pt idx="169">
                  <v>#N/A</v>
                </pt>
                <pt idx="170">
                  <v>#N/A</v>
                </pt>
                <pt idx="171">
                  <v>#N/A</v>
                </pt>
                <pt idx="172">
                  <v>#N/A</v>
                </pt>
                <pt idx="173">
                  <v>#N/A</v>
                </pt>
                <pt idx="174">
                  <v>#N/A</v>
                </pt>
                <pt idx="175">
                  <v>#N/A</v>
                </pt>
                <pt idx="176">
                  <v>#N/A</v>
                </pt>
                <pt idx="177">
                  <v>#N/A</v>
                </pt>
                <pt idx="178">
                  <v>#N/A</v>
                </pt>
                <pt idx="179">
                  <v>#N/A</v>
                </pt>
                <pt idx="180">
                  <v>#N/A</v>
                </pt>
                <pt idx="181">
                  <v>#N/A</v>
                </pt>
                <pt idx="182">
                  <v>#N/A</v>
                </pt>
                <pt idx="183">
                  <v>#N/A</v>
                </pt>
                <pt idx="184">
                  <v>#N/A</v>
                </pt>
                <pt idx="185">
                  <v>#N/A</v>
                </pt>
                <pt idx="186">
                  <v>#N/A</v>
                </pt>
                <pt idx="187">
                  <v>#N/A</v>
                </pt>
                <pt idx="188">
                  <v>#N/A</v>
                </pt>
                <pt idx="189">
                  <v>4.46</v>
                </pt>
                <pt idx="190">
                  <v>#N/A</v>
                </pt>
                <pt idx="191">
                  <v>#N/A</v>
                </pt>
                <pt idx="192">
                  <v>#N/A</v>
                </pt>
                <pt idx="193">
                  <v>4.552</v>
                </pt>
                <pt idx="194">
                  <v>#N/A</v>
                </pt>
                <pt idx="195">
                  <v>#N/A</v>
                </pt>
                <pt idx="196">
                  <v>#N/A</v>
                </pt>
                <pt idx="197">
                  <v>#N/A</v>
                </pt>
                <pt idx="198">
                  <v>#N/A</v>
                </pt>
                <pt idx="199">
                  <v>#N/A</v>
                </pt>
                <pt idx="200">
                  <v>#N/A</v>
                </pt>
                <pt idx="201">
                  <v>#N/A</v>
                </pt>
                <pt idx="202">
                  <v>#N/A</v>
                </pt>
                <pt idx="203">
                  <v>#N/A</v>
                </pt>
                <pt idx="204">
                  <v>#N/A</v>
                </pt>
                <pt idx="205">
                  <v>#N/A</v>
                </pt>
                <pt idx="206">
                  <v>#N/A</v>
                </pt>
                <pt idx="207">
                  <v>#N/A</v>
                </pt>
                <pt idx="208">
                  <v>#N/A</v>
                </pt>
                <pt idx="209">
                  <v>#N/A</v>
                </pt>
                <pt idx="210">
                  <v>#N/A</v>
                </pt>
                <pt idx="211">
                  <v>#N/A</v>
                </pt>
                <pt idx="212">
                  <v>#N/A</v>
                </pt>
                <pt idx="213">
                  <v>#N/A</v>
                </pt>
                <pt idx="214">
                  <v>#N/A</v>
                </pt>
                <pt idx="215">
                  <v>#N/A</v>
                </pt>
                <pt idx="216">
                  <v>#N/A</v>
                </pt>
                <pt idx="217">
                  <v>#N/A</v>
                </pt>
                <pt idx="218">
                  <v>#N/A</v>
                </pt>
                <pt idx="219">
                  <v>#N/A</v>
                </pt>
                <pt idx="220">
                  <v>4.391</v>
                </pt>
                <pt idx="221">
                  <v>#N/A</v>
                </pt>
                <pt idx="222">
                  <v>#N/A</v>
                </pt>
                <pt idx="223">
                  <v>#N/A</v>
                </pt>
                <pt idx="224">
                  <v>4.483</v>
                </pt>
                <pt idx="225">
                  <v>4.506</v>
                </pt>
                <pt idx="226">
                  <v>4.529</v>
                </pt>
                <pt idx="227">
                  <v>#N/A</v>
                </pt>
                <pt idx="228">
                  <v>#N/A</v>
                </pt>
                <pt idx="229">
                  <v>#N/A</v>
                </pt>
                <pt idx="230">
                  <v>#N/A</v>
                </pt>
                <pt idx="231">
                  <v>#N/A</v>
                </pt>
                <pt idx="232">
                  <v>#N/A</v>
                </pt>
                <pt idx="233">
                  <v>#N/A</v>
                </pt>
                <pt idx="234">
                  <v>4.713</v>
                </pt>
                <pt idx="235">
                  <v>#N/A</v>
                </pt>
                <pt idx="236">
                  <v>4.759</v>
                </pt>
                <pt idx="237">
                  <v>#N/A</v>
                </pt>
                <pt idx="238">
                  <v>4.023</v>
                </pt>
                <pt idx="239">
                  <v>#N/A</v>
                </pt>
                <pt idx="240">
                  <v>4.069</v>
                </pt>
                <pt idx="241">
                  <v>#N/A</v>
                </pt>
                <pt idx="242">
                  <v>#N/A</v>
                </pt>
                <pt idx="243">
                  <v>4.138</v>
                </pt>
                <pt idx="244">
                  <v>#N/A</v>
                </pt>
                <pt idx="245">
                  <v>#N/A</v>
                </pt>
                <pt idx="246">
                  <v>#N/A</v>
                </pt>
                <pt idx="247">
                  <v>#N/A</v>
                </pt>
                <pt idx="248">
                  <v>#N/A</v>
                </pt>
                <pt idx="249">
                  <v>#N/A</v>
                </pt>
                <pt idx="250">
                  <v>#N/A</v>
                </pt>
                <pt idx="251">
                  <v>#N/A</v>
                </pt>
                <pt idx="252">
                  <v>4.345</v>
                </pt>
                <pt idx="253">
                  <v>4.368</v>
                </pt>
                <pt idx="254">
                  <v>#N/A</v>
                </pt>
                <pt idx="255">
                  <v>#N/A</v>
                </pt>
                <pt idx="256">
                  <v>#N/A</v>
                </pt>
                <pt idx="257">
                  <v>#N/A</v>
                </pt>
                <pt idx="258">
                  <v>#N/A</v>
                </pt>
                <pt idx="259">
                  <v>#N/A</v>
                </pt>
                <pt idx="260">
                  <v>4.529</v>
                </pt>
                <pt idx="261">
                  <v>4.552</v>
                </pt>
                <pt idx="262">
                  <v>4.575</v>
                </pt>
                <pt idx="263">
                  <v>#N/A</v>
                </pt>
                <pt idx="264">
                  <v>#N/A</v>
                </pt>
                <pt idx="265">
                  <v>#N/A</v>
                </pt>
                <pt idx="266">
                  <v>#N/A</v>
                </pt>
                <pt idx="267">
                  <v>#N/A</v>
                </pt>
                <pt idx="268">
                  <v>4.713</v>
                </pt>
                <pt idx="269">
                  <v>#N/A</v>
                </pt>
                <pt idx="270">
                  <v>#N/A</v>
                </pt>
                <pt idx="271">
                  <v>#N/A</v>
                </pt>
                <pt idx="272">
                  <v>4.023</v>
                </pt>
                <pt idx="273">
                  <v>#N/A</v>
                </pt>
                <pt idx="274">
                  <v>#N/A</v>
                </pt>
                <pt idx="275">
                  <v>#N/A</v>
                </pt>
                <pt idx="276">
                  <v>#N/A</v>
                </pt>
                <pt idx="277">
                  <v>#N/A</v>
                </pt>
                <pt idx="278">
                  <v>#N/A</v>
                </pt>
                <pt idx="279">
                  <v>#N/A</v>
                </pt>
                <pt idx="280">
                  <v>#N/A</v>
                </pt>
                <pt idx="281">
                  <v>#N/A</v>
                </pt>
                <pt idx="282">
                  <v>#N/A</v>
                </pt>
                <pt idx="283">
                  <v>#N/A</v>
                </pt>
                <pt idx="284">
                  <v>#N/A</v>
                </pt>
                <pt idx="285">
                  <v>#N/A</v>
                </pt>
                <pt idx="286">
                  <v>4.345</v>
                </pt>
                <pt idx="287">
                  <v>#N/A</v>
                </pt>
                <pt idx="288">
                  <v>#N/A</v>
                </pt>
                <pt idx="289">
                  <v>#N/A</v>
                </pt>
                <pt idx="290">
                  <v>4.437</v>
                </pt>
                <pt idx="291">
                  <v>4.46</v>
                </pt>
                <pt idx="292">
                  <v>#N/A</v>
                </pt>
                <pt idx="293">
                  <v>#N/A</v>
                </pt>
                <pt idx="294">
                  <v>#N/A</v>
                </pt>
                <pt idx="295">
                  <v>#N/A</v>
                </pt>
                <pt idx="296">
                  <v>4.575</v>
                </pt>
                <pt idx="297">
                  <v>4.598</v>
                </pt>
                <pt idx="298">
                  <v>4.621</v>
                </pt>
                <pt idx="299">
                  <v>#N/A</v>
                </pt>
                <pt idx="300">
                  <v>#N/A</v>
                </pt>
                <pt idx="301">
                  <v>#N/A</v>
                </pt>
                <pt idx="302">
                  <v>#N/A</v>
                </pt>
                <pt idx="303">
                  <v>#N/A</v>
                </pt>
                <pt idx="304">
                  <v>4.759</v>
                </pt>
                <pt idx="305">
                  <v>#N/A</v>
                </pt>
                <pt idx="306">
                  <v>#N/A</v>
                </pt>
                <pt idx="307">
                  <v>#N/A</v>
                </pt>
                <pt idx="308">
                  <v>#N/A</v>
                </pt>
                <pt idx="309">
                  <v>#N/A</v>
                </pt>
                <pt idx="310">
                  <v>#N/A</v>
                </pt>
                <pt idx="311">
                  <v>4.138</v>
                </pt>
                <pt idx="312">
                  <v>#N/A</v>
                </pt>
                <pt idx="313">
                  <v>#N/A</v>
                </pt>
                <pt idx="314">
                  <v>#N/A</v>
                </pt>
                <pt idx="315">
                  <v>#N/A</v>
                </pt>
                <pt idx="316">
                  <v>#N/A</v>
                </pt>
                <pt idx="317">
                  <v>#N/A</v>
                </pt>
                <pt idx="318">
                  <v>#N/A</v>
                </pt>
                <pt idx="319">
                  <v>#N/A</v>
                </pt>
                <pt idx="320">
                  <v>#N/A</v>
                </pt>
                <pt idx="321">
                  <v>#N/A</v>
                </pt>
                <pt idx="322">
                  <v>#N/A</v>
                </pt>
                <pt idx="323">
                  <v>#N/A</v>
                </pt>
                <pt idx="324">
                  <v>#N/A</v>
                </pt>
                <pt idx="325">
                  <v>#N/A</v>
                </pt>
                <pt idx="326">
                  <v>#N/A</v>
                </pt>
                <pt idx="327">
                  <v>#N/A</v>
                </pt>
                <pt idx="328">
                  <v>4.529</v>
                </pt>
                <pt idx="329">
                  <v>4.552</v>
                </pt>
                <pt idx="330">
                  <v>#N/A</v>
                </pt>
                <pt idx="331">
                  <v>#N/A</v>
                </pt>
                <pt idx="332">
                  <v>#N/A</v>
                </pt>
                <pt idx="333">
                  <v>#N/A</v>
                </pt>
                <pt idx="334">
                  <v>#N/A</v>
                </pt>
                <pt idx="335">
                  <v>#N/A</v>
                </pt>
                <pt idx="336">
                  <v>#N/A</v>
                </pt>
                <pt idx="337">
                  <v>#N/A</v>
                </pt>
                <pt idx="338">
                  <v>4.759</v>
                </pt>
                <pt idx="339">
                  <v>#N/A</v>
                </pt>
                <pt idx="340">
                  <v>#N/A</v>
                </pt>
                <pt idx="341">
                  <v>#N/A</v>
                </pt>
                <pt idx="342">
                  <v>#N/A</v>
                </pt>
                <pt idx="343">
                  <v>#N/A</v>
                </pt>
                <pt idx="344">
                  <v>#N/A</v>
                </pt>
                <pt idx="345">
                  <v>#N/A</v>
                </pt>
                <pt idx="346">
                  <v>#N/A</v>
                </pt>
                <pt idx="347">
                  <v>#N/A</v>
                </pt>
                <pt idx="348">
                  <v>#N/A</v>
                </pt>
                <pt idx="349">
                  <v>#N/A</v>
                </pt>
                <pt idx="350">
                  <v>#N/A</v>
                </pt>
                <pt idx="351">
                  <v>#N/A</v>
                </pt>
                <pt idx="352">
                  <v>#N/A</v>
                </pt>
                <pt idx="353">
                  <v>#N/A</v>
                </pt>
                <pt idx="354">
                  <v>#N/A</v>
                </pt>
                <pt idx="355">
                  <v>#N/A</v>
                </pt>
                <pt idx="356">
                  <v>#N/A</v>
                </pt>
                <pt idx="357">
                  <v>4.414</v>
                </pt>
                <pt idx="358">
                  <v>4.437</v>
                </pt>
                <pt idx="359">
                  <v>4.46</v>
                </pt>
                <pt idx="360">
                  <v>#N/A</v>
                </pt>
                <pt idx="361">
                  <v>#N/A</v>
                </pt>
                <pt idx="362">
                  <v>#N/A</v>
                </pt>
                <pt idx="363">
                  <v>4.552</v>
                </pt>
                <pt idx="364">
                  <v>#N/A</v>
                </pt>
                <pt idx="365">
                  <v>4.598</v>
                </pt>
                <pt idx="366">
                  <v>#N/A</v>
                </pt>
                <pt idx="367">
                  <v>#N/A</v>
                </pt>
                <pt idx="368">
                  <v>#N/A</v>
                </pt>
                <pt idx="369">
                  <v>4.69</v>
                </pt>
                <pt idx="370">
                  <v>#N/A</v>
                </pt>
                <pt idx="371">
                  <v>4.736</v>
                </pt>
                <pt idx="372">
                  <v>#N/A</v>
                </pt>
                <pt idx="373">
                  <v>#N/A</v>
                </pt>
                <pt idx="374">
                  <v>#N/A</v>
                </pt>
                <pt idx="375">
                  <v>#N/A</v>
                </pt>
                <pt idx="376">
                  <v>#N/A</v>
                </pt>
                <pt idx="377">
                  <v>#N/A</v>
                </pt>
                <pt idx="378">
                  <v>#N/A</v>
                </pt>
                <pt idx="379">
                  <v>4.138</v>
                </pt>
                <pt idx="380">
                  <v>4.161</v>
                </pt>
                <pt idx="381">
                  <v>4.184</v>
                </pt>
                <pt idx="382">
                  <v>#N/A</v>
                </pt>
                <pt idx="383">
                  <v>#N/A</v>
                </pt>
                <pt idx="384">
                  <v>4.253</v>
                </pt>
                <pt idx="385">
                  <v>#N/A</v>
                </pt>
                <pt idx="386">
                  <v>#N/A</v>
                </pt>
                <pt idx="387">
                  <v>#N/A</v>
                </pt>
                <pt idx="388">
                  <v>4.345</v>
                </pt>
                <pt idx="389">
                  <v>#N/A</v>
                </pt>
                <pt idx="390">
                  <v>#N/A</v>
                </pt>
                <pt idx="391">
                  <v>#N/A</v>
                </pt>
                <pt idx="392">
                  <v>#N/A</v>
                </pt>
                <pt idx="393">
                  <v>#N/A</v>
                </pt>
                <pt idx="394">
                  <v>#N/A</v>
                </pt>
                <pt idx="395">
                  <v>#N/A</v>
                </pt>
                <pt idx="396">
                  <v>#N/A</v>
                </pt>
                <pt idx="397">
                  <v>4.552</v>
                </pt>
                <pt idx="398">
                  <v>#N/A</v>
                </pt>
                <pt idx="399">
                  <v>4.598</v>
                </pt>
                <pt idx="400">
                  <v>4.621</v>
                </pt>
                <pt idx="401">
                  <v>#N/A</v>
                </pt>
                <pt idx="402">
                  <v>#N/A</v>
                </pt>
                <pt idx="403">
                  <v>#N/A</v>
                </pt>
                <pt idx="404">
                  <v>#N/A</v>
                </pt>
                <pt idx="405">
                  <v>4.736</v>
                </pt>
                <pt idx="406">
                  <v>#N/A</v>
                </pt>
                <pt idx="407">
                  <v>#N/A</v>
                </pt>
                <pt idx="408">
                  <v>#N/A</v>
                </pt>
                <pt idx="409">
                  <v>#N/A</v>
                </pt>
                <pt idx="410">
                  <v>#N/A</v>
                </pt>
                <pt idx="411">
                  <v>#N/A</v>
                </pt>
                <pt idx="412">
                  <v>#N/A</v>
                </pt>
                <pt idx="413">
                  <v>4.138</v>
                </pt>
                <pt idx="414">
                  <v>#N/A</v>
                </pt>
                <pt idx="415">
                  <v>#N/A</v>
                </pt>
                <pt idx="416">
                  <v>#N/A</v>
                </pt>
                <pt idx="417">
                  <v>4.23</v>
                </pt>
                <pt idx="418">
                  <v>#N/A</v>
                </pt>
                <pt idx="419">
                  <v>#N/A</v>
                </pt>
                <pt idx="420">
                  <v>#N/A</v>
                </pt>
                <pt idx="421">
                  <v>#N/A</v>
                </pt>
                <pt idx="422">
                  <v>#N/A</v>
                </pt>
                <pt idx="423">
                  <v>#N/A</v>
                </pt>
                <pt idx="424">
                  <v>#N/A</v>
                </pt>
                <pt idx="425">
                  <v>#N/A</v>
                </pt>
                <pt idx="426">
                  <v>#N/A</v>
                </pt>
                <pt idx="427">
                  <v>4.46</v>
                </pt>
                <pt idx="428">
                  <v>#N/A</v>
                </pt>
                <pt idx="429">
                  <v>#N/A</v>
                </pt>
                <pt idx="430">
                  <v>#N/A</v>
                </pt>
                <pt idx="431">
                  <v>#N/A</v>
                </pt>
                <pt idx="432">
                  <v>#N/A</v>
                </pt>
                <pt idx="433">
                  <v>#N/A</v>
                </pt>
                <pt idx="434">
                  <v>#N/A</v>
                </pt>
                <pt idx="435">
                  <v>#N/A</v>
                </pt>
                <pt idx="436">
                  <v>#N/A</v>
                </pt>
                <pt idx="437">
                  <v>#N/A</v>
                </pt>
                <pt idx="438">
                  <v>#N/A</v>
                </pt>
                <pt idx="439">
                  <v>#N/A</v>
                </pt>
                <pt idx="440">
                  <v>#N/A</v>
                </pt>
                <pt idx="441">
                  <v>#N/A</v>
                </pt>
                <pt idx="442">
                  <v>#N/A</v>
                </pt>
                <pt idx="443">
                  <v>#N/A</v>
                </pt>
                <pt idx="444">
                  <v>4.069</v>
                </pt>
                <pt idx="445">
                  <v>4.092</v>
                </pt>
                <pt idx="446">
                  <v>4.115</v>
                </pt>
                <pt idx="447">
                  <v>#N/A</v>
                </pt>
                <pt idx="448">
                  <v>#N/A</v>
                </pt>
                <pt idx="449">
                  <v>#N/A</v>
                </pt>
                <pt idx="450">
                  <v>4.207</v>
                </pt>
                <pt idx="451">
                  <v>4.23</v>
                </pt>
                <pt idx="452">
                  <v>4.253</v>
                </pt>
                <pt idx="453">
                  <v>4.276</v>
                </pt>
                <pt idx="454">
                  <v>#N/A</v>
                </pt>
                <pt idx="455">
                  <v>#N/A</v>
                </pt>
                <pt idx="456">
                  <v>#N/A</v>
                </pt>
                <pt idx="457">
                  <v>#N/A</v>
                </pt>
                <pt idx="458">
                  <v>#N/A</v>
                </pt>
                <pt idx="459">
                  <v>#N/A</v>
                </pt>
                <pt idx="460">
                  <v>#N/A</v>
                </pt>
                <pt idx="461">
                  <v>#N/A</v>
                </pt>
                <pt idx="462">
                  <v>#N/A</v>
                </pt>
                <pt idx="463">
                  <v>#N/A</v>
                </pt>
                <pt idx="464">
                  <v>4.529</v>
                </pt>
                <pt idx="465">
                  <v>#N/A</v>
                </pt>
                <pt idx="466">
                  <v>4.575</v>
                </pt>
                <pt idx="467">
                  <v>#N/A</v>
                </pt>
                <pt idx="468">
                  <v>#N/A</v>
                </pt>
                <pt idx="469">
                  <v>#N/A</v>
                </pt>
                <pt idx="470">
                  <v>#N/A</v>
                </pt>
                <pt idx="471">
                  <v>#N/A</v>
                </pt>
                <pt idx="472">
                  <v>4.713</v>
                </pt>
                <pt idx="473">
                  <v>#N/A</v>
                </pt>
                <pt idx="474">
                  <v>#N/A</v>
                </pt>
                <pt idx="475">
                  <v>#N/A</v>
                </pt>
                <pt idx="476">
                  <v>4.023</v>
                </pt>
                <pt idx="477">
                  <v>4.046</v>
                </pt>
                <pt idx="478">
                  <v>#N/A</v>
                </pt>
                <pt idx="479">
                  <v>#N/A</v>
                </pt>
                <pt idx="480">
                  <v>#N/A</v>
                </pt>
                <pt idx="481">
                  <v>#N/A</v>
                </pt>
                <pt idx="482">
                  <v>#N/A</v>
                </pt>
                <pt idx="483">
                  <v>#N/A</v>
                </pt>
                <pt idx="484">
                  <v>#N/A</v>
                </pt>
                <pt idx="485">
                  <v>#N/A</v>
                </pt>
                <pt idx="486">
                  <v>#N/A</v>
                </pt>
                <pt idx="487">
                  <v>4.276</v>
                </pt>
                <pt idx="488">
                  <v>#N/A</v>
                </pt>
                <pt idx="489">
                  <v>#N/A</v>
                </pt>
                <pt idx="490">
                  <v>#N/A</v>
                </pt>
                <pt idx="491">
                  <v>#N/A</v>
                </pt>
                <pt idx="492">
                  <v>#N/A</v>
                </pt>
                <pt idx="493">
                  <v>#N/A</v>
                </pt>
                <pt idx="494">
                  <v>#N/A</v>
                </pt>
                <pt idx="495">
                  <v>#N/A</v>
                </pt>
                <pt idx="496">
                  <v>#N/A</v>
                </pt>
                <pt idx="497">
                  <v>#N/A</v>
                </pt>
                <pt idx="498">
                  <v>#N/A</v>
                </pt>
                <pt idx="499">
                  <v>#N/A</v>
                </pt>
                <pt idx="500">
                  <v>#N/A</v>
                </pt>
                <pt idx="501">
                  <v>#N/A</v>
                </pt>
                <pt idx="502">
                  <v>#N/A</v>
                </pt>
                <pt idx="503">
                  <v>#N/A</v>
                </pt>
                <pt idx="504">
                  <v>#N/A</v>
                </pt>
                <pt idx="505">
                  <v>#N/A</v>
                </pt>
                <pt idx="506">
                  <v>#N/A</v>
                </pt>
                <pt idx="507">
                  <v>#N/A</v>
                </pt>
                <pt idx="508">
                  <v>#N/A</v>
                </pt>
                <pt idx="509">
                  <v>#N/A</v>
                </pt>
                <pt idx="510">
                  <v>#N/A</v>
                </pt>
                <pt idx="511">
                  <v>#N/A</v>
                </pt>
                <pt idx="512">
                  <v>#N/A</v>
                </pt>
                <pt idx="513">
                  <v>4.092</v>
                </pt>
                <pt idx="514">
                  <v>4.115</v>
                </pt>
                <pt idx="515">
                  <v>4.138</v>
                </pt>
                <pt idx="516">
                  <v>4.161</v>
                </pt>
                <pt idx="517">
                  <v>#N/A</v>
                </pt>
                <pt idx="518">
                  <v>#N/A</v>
                </pt>
                <pt idx="519">
                  <v>4.23</v>
                </pt>
                <pt idx="520">
                  <v>4.253</v>
                </pt>
                <pt idx="521">
                  <v>#N/A</v>
                </pt>
                <pt idx="522">
                  <v>#N/A</v>
                </pt>
                <pt idx="523">
                  <v>#N/A</v>
                </pt>
                <pt idx="524">
                  <v>4.345</v>
                </pt>
                <pt idx="525">
                  <v>#N/A</v>
                </pt>
                <pt idx="526">
                  <v>4.391</v>
                </pt>
                <pt idx="527">
                  <v>#N/A</v>
                </pt>
                <pt idx="528">
                  <v>#N/A</v>
                </pt>
                <pt idx="529">
                  <v>#N/A</v>
                </pt>
                <pt idx="530">
                  <v>4.483</v>
                </pt>
                <pt idx="531">
                  <v>#N/A</v>
                </pt>
                <pt idx="532">
                  <v>4.529</v>
                </pt>
                <pt idx="533">
                  <v>#N/A</v>
                </pt>
                <pt idx="534">
                  <v>#N/A</v>
                </pt>
                <pt idx="535">
                  <v>#N/A</v>
                </pt>
                <pt idx="536">
                  <v>#N/A</v>
                </pt>
                <pt idx="537">
                  <v>#N/A</v>
                </pt>
                <pt idx="538">
                  <v>#N/A</v>
                </pt>
                <pt idx="539">
                  <v>4.69</v>
                </pt>
                <pt idx="540">
                  <v>#N/A</v>
                </pt>
                <pt idx="541">
                  <v>#N/A</v>
                </pt>
                <pt idx="542">
                  <v>#N/A</v>
                </pt>
                <pt idx="543">
                  <v>#N/A</v>
                </pt>
                <pt idx="544">
                  <v>#N/A</v>
                </pt>
                <pt idx="545">
                  <v>#N/A</v>
                </pt>
                <pt idx="546">
                  <v>#N/A</v>
                </pt>
                <pt idx="547">
                  <v>#N/A</v>
                </pt>
                <pt idx="548">
                  <v>#N/A</v>
                </pt>
                <pt idx="549">
                  <v>4.138</v>
                </pt>
                <pt idx="550">
                  <v>4.161</v>
                </pt>
                <pt idx="551">
                  <v>4.184</v>
                </pt>
                <pt idx="552">
                  <v>4.207</v>
                </pt>
                <pt idx="553">
                  <v>4.23</v>
                </pt>
                <pt idx="554">
                  <v>4.253</v>
                </pt>
                <pt idx="555">
                  <v>#N/A</v>
                </pt>
                <pt idx="556">
                  <v>#N/A</v>
                </pt>
                <pt idx="557">
                  <v>#N/A</v>
                </pt>
                <pt idx="558">
                  <v>4.345</v>
                </pt>
                <pt idx="559">
                  <v>#N/A</v>
                </pt>
                <pt idx="560">
                  <v>#N/A</v>
                </pt>
                <pt idx="561">
                  <v>#N/A</v>
                </pt>
                <pt idx="562">
                  <v>4.437</v>
                </pt>
                <pt idx="563">
                  <v>4.46</v>
                </pt>
                <pt idx="564">
                  <v>#N/A</v>
                </pt>
                <pt idx="565">
                  <v>#N/A</v>
                </pt>
                <pt idx="566">
                  <v>#N/A</v>
                </pt>
                <pt idx="567">
                  <v>4.552</v>
                </pt>
                <pt idx="568">
                  <v>#N/A</v>
                </pt>
                <pt idx="569">
                  <v>#N/A</v>
                </pt>
                <pt idx="570">
                  <v>#N/A</v>
                </pt>
                <pt idx="571">
                  <v>#N/A</v>
                </pt>
                <pt idx="572">
                  <v>#N/A</v>
                </pt>
                <pt idx="573">
                  <v>#N/A</v>
                </pt>
                <pt idx="574">
                  <v>#N/A</v>
                </pt>
                <pt idx="575">
                  <v>#N/A</v>
                </pt>
                <pt idx="576">
                  <v>#N/A</v>
                </pt>
                <pt idx="577">
                  <v>#N/A</v>
                </pt>
                <pt idx="578">
                  <v>#N/A</v>
                </pt>
                <pt idx="579">
                  <v>#N/A</v>
                </pt>
                <pt idx="580">
                  <v>#N/A</v>
                </pt>
                <pt idx="581">
                  <v>#N/A</v>
                </pt>
                <pt idx="582">
                  <v>#N/A</v>
                </pt>
                <pt idx="583">
                  <v>4.138</v>
                </pt>
                <pt idx="584">
                  <v>4.161</v>
                </pt>
                <pt idx="585">
                  <v>4.184</v>
                </pt>
                <pt idx="586">
                  <v>#N/A</v>
                </pt>
                <pt idx="587">
                  <v>#N/A</v>
                </pt>
                <pt idx="588">
                  <v>#N/A</v>
                </pt>
                <pt idx="589">
                  <v>#N/A</v>
                </pt>
                <pt idx="590">
                  <v>#N/A</v>
                </pt>
                <pt idx="591">
                  <v>#N/A</v>
                </pt>
                <pt idx="592">
                  <v>#N/A</v>
                </pt>
                <pt idx="593">
                  <v>#N/A</v>
                </pt>
                <pt idx="594">
                  <v>#N/A</v>
                </pt>
                <pt idx="595">
                  <v>#N/A</v>
                </pt>
                <pt idx="596">
                  <v>4.437</v>
                </pt>
                <pt idx="597">
                  <v>#N/A</v>
                </pt>
                <pt idx="598">
                  <v>4.483</v>
                </pt>
                <pt idx="599">
                  <v>#N/A</v>
                </pt>
                <pt idx="600">
                  <v>#N/A</v>
                </pt>
                <pt idx="601">
                  <v>4.552</v>
                </pt>
                <pt idx="602">
                  <v>#N/A</v>
                </pt>
                <pt idx="603">
                  <v>#N/A</v>
                </pt>
                <pt idx="604">
                  <v>#N/A</v>
                </pt>
                <pt idx="605">
                  <v>#N/A</v>
                </pt>
                <pt idx="606">
                  <v>#N/A</v>
                </pt>
                <pt idx="607">
                  <v>#N/A</v>
                </pt>
                <pt idx="608">
                  <v>#N/A</v>
                </pt>
                <pt idx="609">
                  <v>#N/A</v>
                </pt>
                <pt idx="610">
                  <v>#N/A</v>
                </pt>
                <pt idx="611">
                  <v>4</v>
                </pt>
                <pt idx="612">
                  <v>#N/A</v>
                </pt>
                <pt idx="613">
                  <v>4.046</v>
                </pt>
                <pt idx="614">
                  <v>#N/A</v>
                </pt>
                <pt idx="615">
                  <v>#N/A</v>
                </pt>
                <pt idx="616">
                  <v>#N/A</v>
                </pt>
                <pt idx="617">
                  <v>#N/A</v>
                </pt>
                <pt idx="618">
                  <v>#N/A</v>
                </pt>
                <pt idx="619">
                  <v>#N/A</v>
                </pt>
                <pt idx="620">
                  <v>#N/A</v>
                </pt>
                <pt idx="621">
                  <v>#N/A</v>
                </pt>
                <pt idx="622">
                  <v>#N/A</v>
                </pt>
                <pt idx="623">
                  <v>#N/A</v>
                </pt>
                <pt idx="624">
                  <v>4.299</v>
                </pt>
                <pt idx="625">
                  <v>#N/A</v>
                </pt>
                <pt idx="626">
                  <v>#N/A</v>
                </pt>
                <pt idx="627">
                  <v>#N/A</v>
                </pt>
                <pt idx="628">
                  <v>#N/A</v>
                </pt>
                <pt idx="629">
                  <v>#N/A</v>
                </pt>
                <pt idx="630">
                  <v>#N/A</v>
                </pt>
                <pt idx="631">
                  <v>#N/A</v>
                </pt>
                <pt idx="632">
                  <v>#N/A</v>
                </pt>
                <pt idx="633">
                  <v>#N/A</v>
                </pt>
                <pt idx="634">
                  <v>#N/A</v>
                </pt>
                <pt idx="635">
                  <v>4.552</v>
                </pt>
                <pt idx="636">
                  <v>#N/A</v>
                </pt>
                <pt idx="637">
                  <v>#N/A</v>
                </pt>
                <pt idx="638">
                  <v>#N/A</v>
                </pt>
                <pt idx="639">
                  <v>4.644</v>
                </pt>
                <pt idx="640">
                  <v>#N/A</v>
                </pt>
                <pt idx="641">
                  <v>4.69</v>
                </pt>
                <pt idx="642">
                  <v>4.713</v>
                </pt>
                <pt idx="643">
                  <v>4.736</v>
                </pt>
                <pt idx="644">
                  <v>4.759</v>
                </pt>
                <pt idx="645">
                  <v>4</v>
                </pt>
                <pt idx="646">
                  <v>4.023</v>
                </pt>
                <pt idx="647">
                  <v>4.046</v>
                </pt>
                <pt idx="648">
                  <v>4.069</v>
                </pt>
                <pt idx="649">
                  <v>#N/A</v>
                </pt>
                <pt idx="650">
                  <v>#N/A</v>
                </pt>
                <pt idx="651">
                  <v>#N/A</v>
                </pt>
                <pt idx="652">
                  <v>#N/A</v>
                </pt>
                <pt idx="653">
                  <v>4.184</v>
                </pt>
                <pt idx="654">
                  <v>#N/A</v>
                </pt>
                <pt idx="655">
                  <v>#N/A</v>
                </pt>
                <pt idx="656">
                  <v>#N/A</v>
                </pt>
                <pt idx="657">
                  <v>#N/A</v>
                </pt>
                <pt idx="658">
                  <v>#N/A</v>
                </pt>
                <pt idx="659">
                  <v>4.322</v>
                </pt>
                <pt idx="660">
                  <v>#N/A</v>
                </pt>
                <pt idx="661">
                  <v>#N/A</v>
                </pt>
                <pt idx="662">
                  <v>#N/A</v>
                </pt>
                <pt idx="663">
                  <v>#N/A</v>
                </pt>
                <pt idx="664">
                  <v>#N/A</v>
                </pt>
                <pt idx="665">
                  <v>#N/A</v>
                </pt>
                <pt idx="666">
                  <v>#N/A</v>
                </pt>
                <pt idx="667">
                  <v>#N/A</v>
                </pt>
                <pt idx="668">
                  <v>#N/A</v>
                </pt>
                <pt idx="669">
                  <v>#N/A</v>
                </pt>
                <pt idx="670">
                  <v>#N/A</v>
                </pt>
                <pt idx="671">
                  <v>#N/A</v>
                </pt>
                <pt idx="672">
                  <v>4.621</v>
                </pt>
                <pt idx="673">
                  <v>4.644</v>
                </pt>
                <pt idx="674">
                  <v>#N/A</v>
                </pt>
                <pt idx="675">
                  <v>#N/A</v>
                </pt>
                <pt idx="676">
                  <v>#N/A</v>
                </pt>
                <pt idx="677">
                  <v>4.736</v>
                </pt>
                <pt idx="678">
                  <v>#N/A</v>
                </pt>
                <pt idx="679">
                  <v>#N/A</v>
                </pt>
                <pt idx="680">
                  <v>#N/A</v>
                </pt>
                <pt idx="681">
                  <v>#N/A</v>
                </pt>
                <pt idx="682">
                  <v>#N/A</v>
                </pt>
                <pt idx="683">
                  <v>#N/A</v>
                </pt>
                <pt idx="684">
                  <v>#N/A</v>
                </pt>
                <pt idx="685">
                  <v>#N/A</v>
                </pt>
                <pt idx="686">
                  <v>#N/A</v>
                </pt>
                <pt idx="687">
                  <v>#N/A</v>
                </pt>
                <pt idx="688">
                  <v>4.207</v>
                </pt>
                <pt idx="689">
                  <v>#N/A</v>
                </pt>
                <pt idx="690">
                  <v>#N/A</v>
                </pt>
                <pt idx="691">
                  <v>#N/A</v>
                </pt>
                <pt idx="692">
                  <v>#N/A</v>
                </pt>
                <pt idx="693">
                  <v>#N/A</v>
                </pt>
                <pt idx="694">
                  <v>#N/A</v>
                </pt>
                <pt idx="695">
                  <v>#N/A</v>
                </pt>
                <pt idx="696">
                  <v>#N/A</v>
                </pt>
                <pt idx="697">
                  <v>4.414</v>
                </pt>
                <pt idx="698">
                  <v>#N/A</v>
                </pt>
                <pt idx="699">
                  <v>#N/A</v>
                </pt>
                <pt idx="700">
                  <v>#N/A</v>
                </pt>
                <pt idx="701">
                  <v>#N/A</v>
                </pt>
                <pt idx="702">
                  <v>#N/A</v>
                </pt>
                <pt idx="703">
                  <v>#N/A</v>
                </pt>
                <pt idx="704">
                  <v>#N/A</v>
                </pt>
                <pt idx="705">
                  <v>#N/A</v>
                </pt>
                <pt idx="706">
                  <v>#N/A</v>
                </pt>
                <pt idx="707">
                  <v>#N/A</v>
                </pt>
                <pt idx="708">
                  <v>#N/A</v>
                </pt>
                <pt idx="709">
                  <v>#N/A</v>
                </pt>
                <pt idx="710">
                  <v>#N/A</v>
                </pt>
                <pt idx="711">
                  <v>#N/A</v>
                </pt>
                <pt idx="712">
                  <v>#N/A</v>
                </pt>
                <pt idx="713">
                  <v>4</v>
                </pt>
                <pt idx="714">
                  <v>#N/A</v>
                </pt>
                <pt idx="715">
                  <v>#N/A</v>
                </pt>
                <pt idx="716">
                  <v>4.069</v>
                </pt>
                <pt idx="717">
                  <v>#N/A</v>
                </pt>
                <pt idx="718">
                  <v>#N/A</v>
                </pt>
                <pt idx="719">
                  <v>#N/A</v>
                </pt>
                <pt idx="720">
                  <v>#N/A</v>
                </pt>
                <pt idx="721">
                  <v>#N/A</v>
                </pt>
                <pt idx="722">
                  <v>#N/A</v>
                </pt>
                <pt idx="723">
                  <v>#N/A</v>
                </pt>
                <pt idx="724">
                  <v>4.253</v>
                </pt>
                <pt idx="725">
                  <v>#N/A</v>
                </pt>
                <pt idx="726">
                  <v>4.299</v>
                </pt>
                <pt idx="727">
                  <v>#N/A</v>
                </pt>
                <pt idx="728">
                  <v>4.345</v>
                </pt>
                <pt idx="729">
                  <v>#N/A</v>
                </pt>
                <pt idx="730">
                  <v>#N/A</v>
                </pt>
                <pt idx="731">
                  <v>#N/A</v>
                </pt>
                <pt idx="732">
                  <v>#N/A</v>
                </pt>
                <pt idx="733">
                  <v>#N/A</v>
                </pt>
                <pt idx="734">
                  <v>#N/A</v>
                </pt>
                <pt idx="735">
                  <v>#N/A</v>
                </pt>
                <pt idx="736">
                  <v>#N/A</v>
                </pt>
                <pt idx="737">
                  <v>#N/A</v>
                </pt>
                <pt idx="738">
                  <v>#N/A</v>
                </pt>
                <pt idx="739">
                  <v>#N/A</v>
                </pt>
                <pt idx="740">
                  <v>4.621</v>
                </pt>
                <pt idx="741">
                  <v>4.644</v>
                </pt>
                <pt idx="742">
                  <v>#N/A</v>
                </pt>
                <pt idx="743">
                  <v>#N/A</v>
                </pt>
                <pt idx="744">
                  <v>4.713</v>
                </pt>
                <pt idx="745">
                  <v>4.736</v>
                </pt>
                <pt idx="746">
                  <v>#N/A</v>
                </pt>
                <pt idx="747">
                  <v>#N/A</v>
                </pt>
                <pt idx="748">
                  <v>#N/A</v>
                </pt>
                <pt idx="749">
                  <v>#N/A</v>
                </pt>
                <pt idx="750">
                  <v>#N/A</v>
                </pt>
                <pt idx="751">
                  <v>4.092</v>
                </pt>
                <pt idx="752">
                  <v>#N/A</v>
                </pt>
                <pt idx="753">
                  <v>#N/A</v>
                </pt>
                <pt idx="754">
                  <v>#N/A</v>
                </pt>
                <pt idx="755">
                  <v>#N/A</v>
                </pt>
                <pt idx="756">
                  <v>#N/A</v>
                </pt>
                <pt idx="757">
                  <v>#N/A</v>
                </pt>
                <pt idx="758">
                  <v>#N/A</v>
                </pt>
                <pt idx="759">
                  <v>4.276</v>
                </pt>
                <pt idx="760">
                  <v>#N/A</v>
                </pt>
                <pt idx="761">
                  <v>#N/A</v>
                </pt>
                <pt idx="762">
                  <v>#N/A</v>
                </pt>
                <pt idx="763">
                  <v>#N/A</v>
                </pt>
                <pt idx="764">
                  <v>#N/A</v>
                </pt>
                <pt idx="765">
                  <v>#N/A</v>
                </pt>
                <pt idx="766">
                  <v>#N/A</v>
                </pt>
                <pt idx="767">
                  <v>#N/A</v>
                </pt>
                <pt idx="768">
                  <v>#N/A</v>
                </pt>
                <pt idx="769">
                  <v>#N/A</v>
                </pt>
                <pt idx="770">
                  <v>4.529</v>
                </pt>
                <pt idx="771">
                  <v>4.552</v>
                </pt>
                <pt idx="772">
                  <v>4.575</v>
                </pt>
                <pt idx="773">
                  <v>4.598</v>
                </pt>
                <pt idx="774">
                  <v>4.621</v>
                </pt>
                <pt idx="775">
                  <v>4.644</v>
                </pt>
                <pt idx="776">
                  <v>#N/A</v>
                </pt>
                <pt idx="777">
                  <v>#N/A</v>
                </pt>
                <pt idx="778">
                  <v>#N/A</v>
                </pt>
                <pt idx="779">
                  <v>#N/A</v>
                </pt>
                <pt idx="780">
                  <v>#N/A</v>
                </pt>
                <pt idx="781">
                  <v>#N/A</v>
                </pt>
                <pt idx="782">
                  <v>#N/A</v>
                </pt>
                <pt idx="783">
                  <v>#N/A</v>
                </pt>
                <pt idx="784">
                  <v>#N/A</v>
                </pt>
                <pt idx="785">
                  <v>#N/A</v>
                </pt>
                <pt idx="786">
                  <v>#N/A</v>
                </pt>
                <pt idx="787">
                  <v>#N/A</v>
                </pt>
                <pt idx="788">
                  <v>4.161</v>
                </pt>
                <pt idx="789">
                  <v>4.184</v>
                </pt>
                <pt idx="790">
                  <v>#N/A</v>
                </pt>
                <pt idx="791">
                  <v>#N/A</v>
                </pt>
                <pt idx="792">
                  <v>#N/A</v>
                </pt>
                <pt idx="793">
                  <v>#N/A</v>
                </pt>
                <pt idx="794">
                  <v>#N/A</v>
                </pt>
                <pt idx="795">
                  <v>#N/A</v>
                </pt>
                <pt idx="796">
                  <v>4.345</v>
                </pt>
                <pt idx="797">
                  <v>#N/A</v>
                </pt>
                <pt idx="798">
                  <v>#N/A</v>
                </pt>
                <pt idx="799">
                  <v>#N/A</v>
                </pt>
                <pt idx="800">
                  <v>#N/A</v>
                </pt>
                <pt idx="801">
                  <v>#N/A</v>
                </pt>
                <pt idx="802">
                  <v>#N/A</v>
                </pt>
                <pt idx="803">
                  <v>#N/A</v>
                </pt>
                <pt idx="804">
                  <v>#N/A</v>
                </pt>
                <pt idx="805">
                  <v>#N/A</v>
                </pt>
                <pt idx="806">
                  <v>#N/A</v>
                </pt>
                <pt idx="807">
                  <v>#N/A</v>
                </pt>
                <pt idx="808">
                  <v>#N/A</v>
                </pt>
                <pt idx="809">
                  <v>#N/A</v>
                </pt>
                <pt idx="810">
                  <v>#N/A</v>
                </pt>
                <pt idx="811">
                  <v>#N/A</v>
                </pt>
                <pt idx="812">
                  <v>#N/A</v>
                </pt>
                <pt idx="813">
                  <v>4.736</v>
                </pt>
                <pt idx="814">
                  <v>#N/A</v>
                </pt>
                <pt idx="815">
                  <v>#N/A</v>
                </pt>
                <pt idx="816">
                  <v>#N/A</v>
                </pt>
                <pt idx="817">
                  <v>4.046</v>
                </pt>
                <pt idx="818">
                  <v>#N/A</v>
                </pt>
                <pt idx="819">
                  <v>#N/A</v>
                </pt>
                <pt idx="820">
                  <v>4.115</v>
                </pt>
                <pt idx="821">
                  <v>#N/A</v>
                </pt>
                <pt idx="822">
                  <v>#N/A</v>
                </pt>
                <pt idx="823">
                  <v>#N/A</v>
                </pt>
                <pt idx="824">
                  <v>#N/A</v>
                </pt>
                <pt idx="825">
                  <v>#N/A</v>
                </pt>
                <pt idx="826">
                  <v>#N/A</v>
                </pt>
                <pt idx="827">
                  <v>#N/A</v>
                </pt>
                <pt idx="828">
                  <v>#N/A</v>
                </pt>
                <pt idx="829">
                  <v>#N/A</v>
                </pt>
                <pt idx="830">
                  <v>#N/A</v>
                </pt>
                <pt idx="831">
                  <v>#N/A</v>
                </pt>
                <pt idx="832">
                  <v>#N/A</v>
                </pt>
                <pt idx="833">
                  <v>#N/A</v>
                </pt>
                <pt idx="834">
                  <v>#N/A</v>
                </pt>
                <pt idx="835">
                  <v>#N/A</v>
                </pt>
                <pt idx="836">
                  <v>#N/A</v>
                </pt>
                <pt idx="837">
                  <v>#N/A</v>
                </pt>
                <pt idx="838">
                  <v>#N/A</v>
                </pt>
                <pt idx="839">
                  <v>#N/A</v>
                </pt>
                <pt idx="840">
                  <v>#N/A</v>
                </pt>
                <pt idx="841">
                  <v>#N/A</v>
                </pt>
                <pt idx="842">
                  <v>#N/A</v>
                </pt>
                <pt idx="843">
                  <v>#N/A</v>
                </pt>
                <pt idx="844">
                  <v>#N/A</v>
                </pt>
                <pt idx="845">
                  <v>4.69</v>
                </pt>
                <pt idx="846">
                  <v>4.713</v>
                </pt>
                <pt idx="847">
                  <v>4.736</v>
                </pt>
                <pt idx="848">
                  <v>#N/A</v>
                </pt>
                <pt idx="849">
                  <v>#N/A</v>
                </pt>
                <pt idx="850">
                  <v>#N/A</v>
                </pt>
                <pt idx="851">
                  <v>4.046</v>
                </pt>
                <pt idx="852">
                  <v>#N/A</v>
                </pt>
                <pt idx="853">
                  <v>#N/A</v>
                </pt>
                <pt idx="854">
                  <v>4.115</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pt idx="949">
                  <v>#N/A</v>
                </pt>
              </numCache>
            </numRef>
          </yVal>
          <smooth val="1"/>
        </ser>
        <dLbls>
          <showLegendKey val="0"/>
          <showVal val="0"/>
          <showCatName val="0"/>
          <showSerName val="0"/>
          <showPercent val="0"/>
          <showBubbleSize val="0"/>
        </dLbls>
        <axId val="10"/>
        <axId val="20"/>
      </scatterChart>
      <valAx>
        <axId val="10"/>
        <scaling>
          <orientation val="minMax"/>
        </scaling>
        <delete val="1"/>
        <axPos val="b"/>
        <majorGridlines/>
        <title>
          <tx>
            <rich>
              <a:bodyPr/>
              <a:lstStyle/>
              <a:p>
                <a:pPr>
                  <a:defRPr/>
                </a:pPr>
                <a:r>
                  <a:rPr lang="en-US"/>
                  <a:t>Release year</a:t>
                </a:r>
              </a:p>
            </rich>
          </tx>
          <overlay val="1"/>
        </title>
        <numFmt formatCode="General" sourceLinked="1"/>
        <majorTickMark val="none"/>
        <minorTickMark val="none"/>
        <tickLblPos val="nextTo"/>
        <crossAx val="20"/>
        <crosses val="autoZero"/>
        <crossBetween val="midCat"/>
      </valAx>
      <valAx>
        <axId val="20"/>
        <scaling>
          <orientation val="minMax"/>
        </scaling>
        <delete val="1"/>
        <axPos val="l"/>
        <majorGridlines/>
        <title>
          <tx>
            <rich>
              <a:bodyPr/>
              <a:lstStyle/>
              <a:p>
                <a:pPr>
                  <a:defRPr/>
                </a:pPr>
                <a:r>
                  <a:rPr lang="en-US"/>
                  <a:t>1 Action   2 Strategy   3 Deckbuilder   4 Traditional</a:t>
                </a:r>
              </a:p>
            </rich>
          </tx>
          <overlay val="1"/>
        </title>
        <numFmt formatCode="General" sourceLinked="1"/>
        <majorTickMark val="none"/>
        <minorTickMark val="none"/>
        <tickLblPos val="nextTo"/>
        <crossAx val="10"/>
        <crosses val="autoZero"/>
        <crossBetween val="midCat"/>
      </valAx>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56029</colOff>
      <row>24</row>
      <rowOff>22412</rowOff>
    </from>
    <ext cx="9360000" cy="3240000"/>
    <graphicFrame>
      <nvGraphicFramePr>
        <cNvPr id="1" name="Chart 1"/>
        <cNvGraphicFramePr/>
      </nvGraphicFramePr>
      <xfrm/>
      <a:graphic>
        <a:graphicData uri="http://schemas.openxmlformats.org/drawingml/2006/chart">
          <c:chart r:id="rId1"/>
        </a:graphicData>
      </a:graphic>
    </graphicFrame>
    <clientData/>
  </oneCellAnchor>
  <oneCellAnchor>
    <from>
      <col>8</col>
      <colOff>705970</colOff>
      <row>24</row>
      <rowOff>56029</rowOff>
    </from>
    <ext cx="9360000" cy="3240000"/>
    <graphicFrame>
      <nvGraphicFramePr>
        <cNvPr id="2" name="Chart 2"/>
        <cNvGraphicFramePr/>
      </nvGraphicFramePr>
      <xfrm/>
      <a:graphic>
        <a:graphicData uri="http://schemas.openxmlformats.org/drawingml/2006/chart">
          <c:chart r:id="rId2"/>
        </a:graphicData>
      </a:graphic>
    </graphicFrame>
    <clientData/>
  </oneCellAnchor>
  <oneCellAnchor>
    <from>
      <col>0</col>
      <colOff>56029</colOff>
      <row>41</row>
      <rowOff>134470</rowOff>
    </from>
    <ext cx="9360000" cy="3240000"/>
    <graphicFrame>
      <nvGraphicFramePr>
        <cNvPr id="3" name="Chart 3"/>
        <cNvGraphicFramePr/>
      </nvGraphicFramePr>
      <xfrm/>
      <a:graphic>
        <a:graphicData uri="http://schemas.openxmlformats.org/drawingml/2006/chart">
          <c:chart r:id="rId3"/>
        </a:graphicData>
      </a:graphic>
    </graphicFrame>
    <clientData/>
  </oneCellAnchor>
  <oneCellAnchor>
    <from>
      <col>8</col>
      <colOff>403411</colOff>
      <row>41</row>
      <rowOff>134470</rowOff>
    </from>
    <ext cx="936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100853</colOff>
      <row>58</row>
      <rowOff>145677</rowOff>
    </from>
    <ext cx="9360000" cy="3240000"/>
    <graphicFrame>
      <nvGraphicFramePr>
        <cNvPr id="5" name="Chart 5"/>
        <cNvGraphicFramePr/>
      </nvGraphicFramePr>
      <xfrm/>
      <a:graphic>
        <a:graphicData uri="http://schemas.openxmlformats.org/drawingml/2006/chart">
          <c:chart r:id="rId5"/>
        </a:graphicData>
      </a:graphic>
    </graphicFrame>
    <clientData/>
  </oneCellAnchor>
  <oneCellAnchor>
    <from>
      <col>8</col>
      <colOff>537882</colOff>
      <row>59</row>
      <rowOff>0</rowOff>
    </from>
    <ext cx="936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224117</colOff>
      <row>76</row>
      <rowOff>168089</rowOff>
    </from>
    <ext cx="9360000" cy="3240000"/>
    <graphicFrame>
      <nvGraphicFramePr>
        <cNvPr id="7" name="Chart 7"/>
        <cNvGraphicFramePr/>
      </nvGraphicFramePr>
      <xfrm/>
      <a:graphic>
        <a:graphicData uri="http://schemas.openxmlformats.org/drawingml/2006/chart">
          <c:chart r:id="rId7"/>
        </a:graphicData>
      </a:graphic>
    </graphicFrame>
    <clientData/>
  </oneCellAnchor>
  <oneCellAnchor>
    <from>
      <col>8</col>
      <colOff>537882</colOff>
      <row>77</row>
      <rowOff>33618</rowOff>
    </from>
    <ext cx="12240000" cy="4680000"/>
    <graphicFrame>
      <nvGraphicFramePr>
        <cNvPr id="8" name="Chart 8"/>
        <cNvGraphicFramePr/>
      </nvGraphicFramePr>
      <xfrm/>
      <a:graphic>
        <a:graphicData uri="http://schemas.openxmlformats.org/drawingml/2006/chart">
          <c:chart r:id="rId8"/>
        </a:graphicData>
      </a:graphic>
    </graphicFrame>
    <clientData/>
  </oneCellAnchor>
</wsDr>
</file>

<file path=xl/tables/table1.xml><?xml version="1.0" encoding="utf-8"?>
<table xmlns="http://schemas.openxmlformats.org/spreadsheetml/2006/main" id="1" name="Table1" displayName="Table1" ref="A1:J855" headerRowCount="1" totalsRowShown="0">
  <autoFilter ref="A1:J855"/>
  <sortState ref="A2:J855">
    <sortCondition ref="A835:A855"/>
  </sortState>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1228" headerRowCount="1" totalsRowShown="0">
  <autoFilter ref="A1:E1228"/>
  <sortState ref="A2:E1228">
    <sortCondition ref="A1204:A1228"/>
  </sortState>
  <tableColumns count="5">
    <tableColumn id="1" name="Influencer"/>
    <tableColumn id="2" name="Influencee"/>
    <tableColumn id="3" name="Influencer Time"/>
    <tableColumn id="4" name="Dev/Series Relation"/>
    <tableColumn id="5" name="Source"/>
  </tableColumns>
  <tableStyleInfo name="TableStyleMedium2" showFirstColumn="0" showLastColumn="0" showRowStripes="1" showColumnStripes="0"/>
</table>
</file>

<file path=xl/tables/table3.xml><?xml version="1.0" encoding="utf-8"?>
<table xmlns="http://schemas.openxmlformats.org/spreadsheetml/2006/main" id="3" name="Table532" displayName="Table532" ref="A1:Q12" headerRowCount="1" totalsRowShown="0" headerRowCellStyle="Normal" dataCellStyle="Normal">
  <autoFilter ref="A1:Q12"/>
  <sortState ref="A2:P11">
    <sortCondition ref="A10:A11"/>
  </sortState>
  <tableColumns count="17">
    <tableColumn id="1" name="Name"/>
    <tableColumn id="2" name="Game"/>
    <tableColumn id="3" name="Health"/>
    <tableColumn id="4" name="Gold"/>
    <tableColumn id="5" name="Bash"/>
    <tableColumn id="6" name="Dash"/>
    <tableColumn id="7" name="Push"/>
    <tableColumn id="8" name="Transmute"/>
    <tableColumn id="9" name="Scramble"/>
    <tableColumn id="10" name="Bombs"/>
    <tableColumn id="11" name="Keys"/>
    <tableColumn id="12" name="Random"/>
    <tableColumn id="13" name="Level Up"/>
    <tableColumn id="14" name="Reward"/>
    <tableColumn id="15" name="Description"/>
    <tableColumn id="16" name="Starting items"/>
    <tableColumn id="17" name="File"/>
  </tableColumns>
  <tableStyleInfo name="TableStyleMedium2" showFirstColumn="0" showLastColumn="0" showRowStripes="1" showColumnStripes="0"/>
</table>
</file>

<file path=xl/tables/table4.xml><?xml version="1.0" encoding="utf-8"?>
<table xmlns="http://schemas.openxmlformats.org/spreadsheetml/2006/main" id="4" name="Table33" displayName="Table33" ref="A1:J51" headerRowCount="1" totalsRowShown="0">
  <autoFilter ref="A1:J51"/>
  <sortState ref="A2:J42">
    <sortCondition ref="A32:A42"/>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id="5" name="Table34" displayName="Table34" ref="A1:L49" headerRowCount="1" totalsRowShown="0">
  <autoFilter ref="A1:L49"/>
  <sortState ref="A2:L49">
    <sortCondition ref="B2:B49"/>
    <sortCondition ref="C2:C49"/>
    <sortCondition ref="A2:A49"/>
  </sortState>
  <tableColumns count="12">
    <tableColumn id="1" name="Name"/>
    <tableColumn id="2" name="Type"/>
    <tableColumn id="3" name="Difficulty"/>
    <tableColumn id="12" name="Size"/>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6.xml><?xml version="1.0" encoding="utf-8"?>
<table xmlns="http://schemas.openxmlformats.org/spreadsheetml/2006/main" id="6" name="Table32" displayName="Table32" ref="A1:L39" headerRowCount="1" totalsRowShown="0">
  <autoFilter ref="A1:L39"/>
  <sortState ref="A2:L39">
    <sortCondition ref="B2:B39"/>
    <sortCondition ref="C2:C39"/>
    <sortCondition ref="A2:A39"/>
  </sortState>
  <tableColumns count="12">
    <tableColumn id="1" name="Name"/>
    <tableColumn id="2" name="Type"/>
    <tableColumn id="3" name="Difficulty"/>
    <tableColumn id="12" name="Size"/>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7.xml><?xml version="1.0" encoding="utf-8"?>
<table xmlns="http://schemas.openxmlformats.org/spreadsheetml/2006/main" id="7" name="Table37" displayName="Table37" ref="A1:M6" headerRowCount="1" totalsRowShown="0">
  <autoFilter ref="A1:M6"/>
  <tableColumns count="13">
    <tableColumn id="1" name="Name"/>
    <tableColumn id="2" name="Type"/>
    <tableColumn id="3" name="Game"/>
    <tableColumn id="4" name="On Player"/>
    <tableColumn id="5" name="On Player Effect"/>
    <tableColumn id="6" name="On Enemy"/>
    <tableColumn id="7" name="On Enemy Effect"/>
    <tableColumn id="8" name="Combat"/>
    <tableColumn id="9" name="Decrease"/>
    <tableColumn id="10" name="EnemyOnly"/>
    <tableColumn id="11" name="Enemy Combat Effect"/>
    <tableColumn id="12" name="Stackable"/>
    <tableColumn id="13" name="Image"/>
  </tableColumns>
  <tableStyleInfo name="TableStyleMedium2" showFirstColumn="0" showLastColumn="0" showRowStripes="1" showColumnStripes="0"/>
</table>
</file>

<file path=xl/tables/table8.xml><?xml version="1.0" encoding="utf-8"?>
<table xmlns="http://schemas.openxmlformats.org/spreadsheetml/2006/main" id="8" name="Table38" displayName="Table38" ref="A1:AK12" headerRowCount="1" totalsRowShown="0">
  <autoFilter ref="A1:AK12"/>
  <tableColumns count="37">
    <tableColumn id="1" name="Event"/>
    <tableColumn id="2" name="Game"/>
    <tableColumn id="3" name="Tier"/>
    <tableColumn id="4" name="Where"/>
    <tableColumn id="5" name="Requirement"/>
    <tableColumn id="6" name="Trigger"/>
    <tableColumn id="7" name="Rarity"/>
    <tableColumn id="8" name="Image"/>
    <tableColumn id="9" name="Prompt"/>
    <tableColumn id="10" name="Goal Met"/>
    <tableColumn id="11" name="Goal Missed"/>
    <tableColumn id="12" name="Chance Won"/>
    <tableColumn id="13" name="Chance Lost"/>
    <tableColumn id="14" name="Choice 1"/>
    <tableColumn id="15" name="Repeat 1"/>
    <tableColumn id="16" name="Result 1"/>
    <tableColumn id="17" name="Effect 1"/>
    <tableColumn id="18" name="Choice 2"/>
    <tableColumn id="19" name="Repeat 2"/>
    <tableColumn id="20" name="Result 2"/>
    <tableColumn id="21" name="Effect 2"/>
    <tableColumn id="22" name="Choice 3"/>
    <tableColumn id="23" name="Repeat 3"/>
    <tableColumn id="24" name="Result 3"/>
    <tableColumn id="25" name="Effect 3"/>
    <tableColumn id="26" name="Choice 4"/>
    <tableColumn id="27" name="Repeat 4"/>
    <tableColumn id="28" name="Result 4"/>
    <tableColumn id="29" name="Effect 4"/>
    <tableColumn id="30" name="Choice 5"/>
    <tableColumn id="31" name="Repeat 5"/>
    <tableColumn id="32" name="Result 5"/>
    <tableColumn id="33" name="Effect 5"/>
    <tableColumn id="34" name="Choice 6"/>
    <tableColumn id="35" name="Repeat 6"/>
    <tableColumn id="36" name="Result 6"/>
    <tableColumn id="37" name="Effect 6"/>
  </tableColumns>
  <tableStyleInfo name="TableStyleMedium2" showFirstColumn="0" showLastColumn="0" showRowStripes="1" showColumnStripes="0"/>
</table>
</file>

<file path=xl/tables/table9.xml><?xml version="1.0" encoding="utf-8"?>
<table xmlns="http://schemas.openxmlformats.org/spreadsheetml/2006/main" id="9" name="Table35" displayName="Table35" ref="A1:F8" headerRowCount="1" totalsRowShown="0">
  <autoFilter ref="A1:F8"/>
  <sortState ref="A2:D7">
    <sortCondition ref="A4:A7"/>
  </sortState>
  <tableColumns count="6">
    <tableColumn id="1" name="Scrolls"/>
    <tableColumn id="2" name="Game"/>
    <tableColumn id="3" name="Preference"/>
    <tableColumn id="4" name="Description"/>
    <tableColumn id="5" name="Effect"/>
    <tableColumn id="6" name="File"/>
  </tableColumns>
  <tableStyleInfo name="TableStyleMedium2" showFirstColumn="0" showLastColumn="0" showRowStripes="1" showColumnStripes="0"/>
</table>
</file>

<file path=xl/tables/table10.xml><?xml version="1.0" encoding="utf-8"?>
<table xmlns="http://schemas.openxmlformats.org/spreadsheetml/2006/main" id="10" name="Table43" displayName="Table43" ref="A1:G11" headerRowCount="1" totalsRowShown="0">
  <autoFilter ref="A1:G11"/>
  <tableColumns count="7">
    <tableColumn id="1" name="Name"/>
    <tableColumn id="2" name="Preference"/>
    <tableColumn id="3" name="Description"/>
    <tableColumn id="4" name="Effect"/>
    <tableColumn id="5" name="Horse Description"/>
    <tableColumn id="6" name="Horse Effect"/>
    <tableColumn id="7" name="Notes"/>
  </tableColumns>
  <tableStyleInfo name="TableStyleMedium2" showFirstColumn="0" showLastColumn="0" showRowStripes="1" showColumnStripes="0"/>
</table>
</file>

<file path=xl/tables/table11.xml><?xml version="1.0" encoding="utf-8"?>
<table xmlns="http://schemas.openxmlformats.org/spreadsheetml/2006/main" id="11" name="Table40" displayName="Table40" ref="A1:AK3" headerRowCount="1" totalsRowShown="0">
  <autoFilter ref="A1:AK3"/>
  <tableColumns count="37">
    <tableColumn id="1" name="Name"/>
    <tableColumn id="2" name="Game"/>
    <tableColumn id="3" name="Tag"/>
    <tableColumn id="4" name="Image"/>
    <tableColumn id="5" name="Rarity"/>
    <tableColumn id="6" name="Limit"/>
    <tableColumn id="7" name="Unique"/>
    <tableColumn id="8" name="Where"/>
    <tableColumn id="9" name="Requirement"/>
    <tableColumn id="10" name="Trigger"/>
    <tableColumn id="11" name="Prompt"/>
    <tableColumn id="12" name="Chance Won"/>
    <tableColumn id="13" name="Chance Lost"/>
    <tableColumn id="14" name="Choice 1"/>
    <tableColumn id="15" name="Repeat 1"/>
    <tableColumn id="16" name="Result 1"/>
    <tableColumn id="17" name="Effect 1"/>
    <tableColumn id="18" name="Choice 2"/>
    <tableColumn id="19" name="Repeat 2"/>
    <tableColumn id="20" name="Result 2"/>
    <tableColumn id="21" name="Effect 2"/>
    <tableColumn id="22" name="Choice 3"/>
    <tableColumn id="23" name="Repeat 3"/>
    <tableColumn id="24" name="Result 3"/>
    <tableColumn id="25" name="Effect 3"/>
    <tableColumn id="26" name="Choice 4"/>
    <tableColumn id="27" name="Repeat 4"/>
    <tableColumn id="28" name="Result 4"/>
    <tableColumn id="29" name="Effect 4"/>
    <tableColumn id="30" name="Choice 5"/>
    <tableColumn id="31" name="Repeat 5"/>
    <tableColumn id="32" name="Result 5"/>
    <tableColumn id="33" name="Effect 5"/>
    <tableColumn id="34" name="Choice 6"/>
    <tableColumn id="35" name="Repeat 6"/>
    <tableColumn id="36" name="Result 6"/>
    <tableColumn id="37" name="Effect 6"/>
  </tableColumns>
  <tableStyleInfo name="TableStyleMedium2" showFirstColumn="0" showLastColumn="0" showRowStripes="1" showColumnStripes="0"/>
</table>
</file>

<file path=xl/tables/table12.xml><?xml version="1.0" encoding="utf-8"?>
<table xmlns="http://schemas.openxmlformats.org/spreadsheetml/2006/main" id="12" name="Table39" displayName="Table39" ref="A1:F4" headerRowCount="1" totalsRowShown="0">
  <autoFilter ref="A1:F4"/>
  <tableColumns count="6">
    <tableColumn id="1" name="Curse"/>
    <tableColumn id="2" name="Game"/>
    <tableColumn id="3" name="Condition"/>
    <tableColumn id="4" name="Penalty"/>
    <tableColumn id="5" name="Timer"/>
    <tableColumn id="6" name="Image"/>
  </tableColumns>
  <tableStyleInfo name="TableStyleMedium2" showFirstColumn="0" showLastColumn="0" showRowStripes="1" showColumnStripes="0"/>
</table>
</file>

<file path=xl/tables/table13.xml><?xml version="1.0" encoding="utf-8"?>
<table xmlns="http://schemas.openxmlformats.org/spreadsheetml/2006/main" id="13" name="Table41" displayName="Table41" ref="A1:F2" headerRowCount="1" totalsRowShown="0">
  <autoFilter ref="A1:F2"/>
  <tableColumns count="6">
    <tableColumn id="1" name="Name"/>
    <tableColumn id="2" name="Description"/>
    <tableColumn id="3" name="Effect"/>
    <tableColumn id="4" name="Interactions"/>
    <tableColumn id="5" name="Decay"/>
    <tableColumn id="6" name="Img"/>
  </tableColumns>
  <tableStyleInfo name="TableStyleMedium2" showFirstColumn="0" showLastColumn="0" showRowStripes="1" showColumnStripes="0"/>
</table>
</file>

<file path=xl/tables/table14.xml><?xml version="1.0" encoding="utf-8"?>
<table xmlns="http://schemas.openxmlformats.org/spreadsheetml/2006/main" id="14" name="Table42" displayName="Table42" ref="A1:G2" headerRowCount="1" totalsRowShown="0">
  <autoFilter ref="A1:G2"/>
  <tableColumns count="7">
    <tableColumn id="1" name="Name"/>
    <tableColumn id="2" name="Type"/>
    <tableColumn id="3" name="Description"/>
    <tableColumn id="4" name="Effect"/>
    <tableColumn id="5" name="Interactions"/>
    <tableColumn id="6" name="Health"/>
    <tableColumn id="7" name="Img"/>
  </tableColumns>
  <tableStyleInfo name="TableStyleMedium2" showFirstColumn="0" showLastColumn="0" showRowStripes="1" showColumnStripes="0"/>
</table>
</file>

<file path=xl/tables/table15.xml><?xml version="1.0" encoding="utf-8"?>
<table xmlns="http://schemas.openxmlformats.org/spreadsheetml/2006/main" id="15" name="Table36" displayName="Table36" ref="A1:I3" headerRowCount="1" totalsRowShown="0">
  <autoFilter ref="A1:I3"/>
  <tableColumns count="9">
    <tableColumn id="1" name="Name"/>
    <tableColumn id="9" name="Game"/>
    <tableColumn id="2" name="Difficulty"/>
    <tableColumn id="3" name="Goal Type"/>
    <tableColumn id="4" name="Goal"/>
    <tableColumn id="5" name="Goal Effect"/>
    <tableColumn id="10" name="Limit"/>
    <tableColumn id="6" name="Extra Effect"/>
    <tableColumn id="7" name="Enemy Type"/>
  </tableColumns>
  <tableStyleInfo name="TableStyleMedium2" showFirstColumn="0" showLastColumn="0" showRowStripes="1" showColumnStripes="0"/>
</table>
</file>

<file path=xl/tables/table16.xml><?xml version="1.0" encoding="utf-8"?>
<table xmlns="http://schemas.openxmlformats.org/spreadsheetml/2006/main" id="16" name="Table7" displayName="Table7" ref="A1:E39" headerRowCount="1" totalsRowShown="0">
  <autoFilter ref="A1:E39"/>
  <tableColumns count="5">
    <tableColumn id="1" name="Name"/>
    <tableColumn id="2" name="Difficulty"/>
    <tableColumn id="3" name="Game"/>
    <tableColumn id="4" name="Type"/>
    <tableColumn id="5" name="Effect"/>
  </tableColumns>
  <tableStyleInfo showFirstColumn="0" showLastColumn="0" showRowStripes="1" showColumnStripes="0"/>
</table>
</file>

<file path=xl/tables/table17.xml><?xml version="1.0" encoding="utf-8"?>
<table xmlns="http://schemas.openxmlformats.org/spreadsheetml/2006/main" id="17" name="Table3" displayName="Table3" ref="A1:J127" headerRowCount="1" totalsRowShown="0">
  <autoFilter ref="A1:J127"/>
  <sortState ref="A2:J127">
    <sortCondition ref="A118:A127"/>
  </sortState>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StyleInfo showFirstColumn="0" showLastColumn="0" showRowStripes="1" showColumnStripes="0"/>
</table>
</file>

<file path=xl/tables/table18.xml><?xml version="1.0" encoding="utf-8"?>
<table xmlns="http://schemas.openxmlformats.org/spreadsheetml/2006/main" id="18" name="Table23" displayName="Table23" ref="A1:M5" headerRowCount="1"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StyleInfo showFirstColumn="0" showLastColumn="0" showRowStripes="1" showColumnStripes="0"/>
</table>
</file>

<file path=xl/tables/table19.xml><?xml version="1.0" encoding="utf-8"?>
<table xmlns="http://schemas.openxmlformats.org/spreadsheetml/2006/main" id="19"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StyleInfo showFirstColumn="0" showLastColumn="0" showRowStripes="1" showColumnStripes="0"/>
</table>
</file>

<file path=xl/tables/table20.xml><?xml version="1.0" encoding="utf-8"?>
<table xmlns="http://schemas.openxmlformats.org/spreadsheetml/2006/main" id="20"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showFirstColumn="0" showLastColumn="0" showRowStripes="1" showColumnStripes="0"/>
</table>
</file>

<file path=xl/tables/table21.xml><?xml version="1.0" encoding="utf-8"?>
<table xmlns="http://schemas.openxmlformats.org/spreadsheetml/2006/main" id="21" name="Table28" displayName="Table28" ref="A1:T7" headerRowCount="1"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StyleInfo showFirstColumn="0" showLastColumn="0" showRowStripes="1" showColumnStripes="0"/>
</table>
</file>

<file path=xl/tables/table22.xml><?xml version="1.0" encoding="utf-8"?>
<table xmlns="http://schemas.openxmlformats.org/spreadsheetml/2006/main" id="22" name="Table11" displayName="Table11" ref="A1:E17" headerRowCount="1" totalsRowShown="0">
  <autoFilter ref="A1:E17"/>
  <tableColumns count="5">
    <tableColumn id="1" name="Name"/>
    <tableColumn id="2" name="Type"/>
    <tableColumn id="3" name="Challenge"/>
    <tableColumn id="4" name="Penalty Card"/>
    <tableColumn id="5" name="Effect"/>
  </tableColumns>
  <tableStyleInfo showFirstColumn="0" showLastColumn="0" showRowStripes="1" showColumnStripes="0"/>
</table>
</file>

<file path=xl/tables/table23.xml><?xml version="1.0" encoding="utf-8"?>
<table xmlns="http://schemas.openxmlformats.org/spreadsheetml/2006/main" id="23" name="Table14" displayName="Table14" ref="A1:K61" headerRowCount="1"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StyleInfo showFirstColumn="0" showLastColumn="0" showRowStripes="1" showColumnStripes="0"/>
</table>
</file>

<file path=xl/tables/table24.xml><?xml version="1.0" encoding="utf-8"?>
<table xmlns="http://schemas.openxmlformats.org/spreadsheetml/2006/main" id="24" name="Table25" displayName="Table25" ref="A1:M43" headerRowCount="1" totalsRowShown="0">
  <autoFilter ref="A1:M43"/>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StyleInfo showFirstColumn="0" showLastColumn="0" showRowStripes="1" showColumnStripes="0"/>
</table>
</file>

<file path=xl/tables/table25.xml><?xml version="1.0" encoding="utf-8"?>
<table xmlns="http://schemas.openxmlformats.org/spreadsheetml/2006/main" id="25" name="Table17" displayName="Table17" ref="A1:E8" headerRowCount="1" totalsRowShown="0">
  <autoFilter ref="A1:E8"/>
  <tableColumns count="5">
    <tableColumn id="1" name="Name"/>
    <tableColumn id="2" name="Effect on Attack"/>
    <tableColumn id="3" name="Extra Effects "/>
    <tableColumn id="4" name="Extra Effects 2"/>
    <tableColumn id="5" name="Color"/>
  </tableColumns>
  <tableStyleInfo showFirstColumn="0" showLastColumn="0" showRowStripes="1" showColumnStripes="0"/>
</table>
</file>

<file path=xl/tables/table26.xml><?xml version="1.0" encoding="utf-8"?>
<table xmlns="http://schemas.openxmlformats.org/spreadsheetml/2006/main" id="26" name="Table1316" displayName="Table1316" ref="A1:D30" headerRowCount="1" totalsRowShown="0">
  <autoFilter ref="A1:D30"/>
  <tableColumns count="4">
    <tableColumn id="1" name="Name"/>
    <tableColumn id="2" name="Description"/>
    <tableColumn id="3" name="Can Be Attached To"/>
    <tableColumn id="4" name="Forms"/>
  </tableColumns>
  <tableStyleInfo showFirstColumn="0" showLastColumn="0" showRowStripes="1" showColumnStripes="0"/>
</table>
</file>

<file path=xl/tables/table27.xml><?xml version="1.0" encoding="utf-8"?>
<table xmlns="http://schemas.openxmlformats.org/spreadsheetml/2006/main" id="27" name="Table24" displayName="Table24" ref="A1:M22" headerRowCount="1"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StyleInfo showFirstColumn="0" showLastColumn="0" showRowStripes="1" showColumnStripes="0"/>
</table>
</file>

<file path=xl/tables/table28.xml><?xml version="1.0" encoding="utf-8"?>
<table xmlns="http://schemas.openxmlformats.org/spreadsheetml/2006/main" id="28" name="Table21" displayName="Table21" ref="A1:M13" headerRowCount="1"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StyleInfo showFirstColumn="0" showLastColumn="0" showRowStripes="1" showColumnStripes="0"/>
</table>
</file>

<file path=xl/tables/table29.xml><?xml version="1.0" encoding="utf-8"?>
<table xmlns="http://schemas.openxmlformats.org/spreadsheetml/2006/main" id="29" name="Table20" displayName="Table20" ref="A1:E13" headerRowCount="1" totalsRowShown="0">
  <autoFilter ref="A1:E13"/>
  <tableColumns count="5">
    <tableColumn id="1" name="Name"/>
    <tableColumn id="2" name="Rarity"/>
    <tableColumn id="3" name="Effect"/>
    <tableColumn id="4" name="Reference"/>
    <tableColumn id="5" name="File"/>
  </tableColumns>
  <tableStyleInfo showFirstColumn="0" showLastColumn="0" showRowStripes="1" showColumnStripes="0"/>
</table>
</file>

<file path=xl/tables/table30.xml><?xml version="1.0" encoding="utf-8"?>
<table xmlns="http://schemas.openxmlformats.org/spreadsheetml/2006/main" id="30" name="Table5" displayName="Table5" ref="A1:X7" headerRowCount="1"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StyleInfo showFirstColumn="0" showLastColumn="0" showRowStripes="1" showColumnStripes="0"/>
</table>
</file>

<file path=xl/tables/table31.xml><?xml version="1.0" encoding="utf-8"?>
<table xmlns="http://schemas.openxmlformats.org/spreadsheetml/2006/main" id="31" name="Table18" displayName="Table18" ref="A1:J209" headerRowCount="1"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StyleInfo showFirstColumn="0" showLastColumn="0" showRowStripes="1" showColumnStripes="0"/>
</table>
</file>

<file path=xl/tables/table32.xml><?xml version="1.0" encoding="utf-8"?>
<table xmlns="http://schemas.openxmlformats.org/spreadsheetml/2006/main" id="32" name="Table22" displayName="Table22" ref="A1:O171" headerRowCount="1" totalsRowShown="0">
  <autoFilter ref="A1:O171"/>
  <sortState ref="A2:O171">
    <sortCondition ref="A149:A171"/>
  </sortState>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StyleInfo showFirstColumn="0" showLastColumn="0" showRowStripes="1" showColumnStripes="0"/>
</table>
</file>

<file path=xl/tables/table33.xml><?xml version="1.0" encoding="utf-8"?>
<table xmlns="http://schemas.openxmlformats.org/spreadsheetml/2006/main" id="33"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showFirstColumn="0" showLastColumn="0" showRowStripes="1" showColumnStripes="0"/>
</table>
</file>

<file path=xl/tables/table34.xml><?xml version="1.0" encoding="utf-8"?>
<table xmlns="http://schemas.openxmlformats.org/spreadsheetml/2006/main" id="34" name="Table13" displayName="Table13" ref="A1:F21" headerRowCount="1" totalsRowShown="0">
  <autoFilter ref="A1:F21"/>
  <tableColumns count="6">
    <tableColumn id="1" name="Name"/>
    <tableColumn id="2" name="Description"/>
    <tableColumn id="3" name="Preferred Target"/>
    <tableColumn id="4" name="File"/>
    <tableColumn id="5" name="Scaling"/>
    <tableColumn id="6" name="Rarity"/>
  </tableColumns>
  <tableStyleInfo showFirstColumn="0" showLastColumn="0" showRowStripes="1" showColumnStripes="0"/>
</table>
</file>

<file path=xl/tables/table35.xml><?xml version="1.0" encoding="utf-8"?>
<table xmlns="http://schemas.openxmlformats.org/spreadsheetml/2006/main" id="35"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StyleInfo showFirstColumn="0" showLastColumn="0" showRowStripes="1" showColumnStripes="0"/>
</table>
</file>

<file path=xl/tables/table36.xml><?xml version="1.0" encoding="utf-8"?>
<table xmlns="http://schemas.openxmlformats.org/spreadsheetml/2006/main" id="36" name="Table9" displayName="Table9" ref="A1:E39" headerRowCount="1" totalsRowShown="0">
  <autoFilter ref="A1:E39"/>
  <tableColumns count="5">
    <tableColumn id="1" name="Name"/>
    <tableColumn id="2" name="Rarity"/>
    <tableColumn id="3" name="Types"/>
    <tableColumn id="4" name="Game"/>
    <tableColumn id="5" name="Image"/>
  </tableColumns>
  <tableStyleInfo showFirstColumn="0" showLastColumn="0" showRowStripes="1" showColumnStripes="0"/>
</table>
</file>

<file path=xl/tables/table37.xml><?xml version="1.0" encoding="utf-8"?>
<table xmlns="http://schemas.openxmlformats.org/spreadsheetml/2006/main" id="37" name="Table10" displayName="Table10" ref="A1:M37" headerRowCount="1"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StyleInfo showFirstColumn="0" showLastColumn="0" showRowStripes="1" showColumnStripes="0"/>
</table>
</file>

<file path=xl/tables/table38.xml><?xml version="1.0" encoding="utf-8"?>
<table xmlns="http://schemas.openxmlformats.org/spreadsheetml/2006/main" id="38" name="Table29" displayName="Table29" ref="A1:Q6" headerRowCount="1"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showFirstColumn="0" showLastColumn="0" showRowStripes="1" showColumnStripes="0"/>
</table>
</file>

<file path=xl/tables/table39.xml><?xml version="1.0" encoding="utf-8"?>
<table xmlns="http://schemas.openxmlformats.org/spreadsheetml/2006/main" id="39" name="Table16" displayName="Table16" ref="A1:I19" headerRowCount="1"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showFirstColumn="0" showLastColumn="0" showRowStripes="1" showColumnStripes="0"/>
</table>
</file>

<file path=xl/tables/table40.xml><?xml version="1.0" encoding="utf-8"?>
<table xmlns="http://schemas.openxmlformats.org/spreadsheetml/2006/main" id="40" name="Table19" displayName="Table19" ref="A1:E8" headerRowCount="1" totalsRowShown="0">
  <autoFilter ref="A1:E8"/>
  <tableColumns count="5">
    <tableColumn id="1" name="Name"/>
    <tableColumn id="2" name="Year"/>
    <tableColumn id="3" name="Original"/>
    <tableColumn id="4" name="File"/>
    <tableColumn id="5" name="Link"/>
  </tableColumns>
  <tableStyleInfo showFirstColumn="0" showLastColumn="0" showRowStripes="1" showColumnStripes="0"/>
</table>
</file>

<file path=xl/tables/table41.xml><?xml version="1.0" encoding="utf-8"?>
<table xmlns="http://schemas.openxmlformats.org/spreadsheetml/2006/main" id="41" name="Table8" displayName="Table8" ref="A1:C11" headerRowCount="1" totalsRowShown="0">
  <autoFilter ref="A1:C11"/>
  <tableColumns count="3">
    <tableColumn id="1" name="Name"/>
    <tableColumn id="2" name="Description"/>
    <tableColumn id="3" name="Type"/>
  </tableColumns>
  <tableStyleInfo showFirstColumn="0" showLastColumn="0" showRowStripes="1" showColumnStripes="0"/>
</table>
</file>

<file path=xl/tables/table42.xml><?xml version="1.0" encoding="utf-8"?>
<table xmlns="http://schemas.openxmlformats.org/spreadsheetml/2006/main" id="42" name="Table6" displayName="Table6" ref="A1:F61" headerRowCount="1" totalsRowShown="0">
  <autoFilter ref="A1:F61"/>
  <tableColumns count="6">
    <tableColumn id="1" name="Name"/>
    <tableColumn id="2" name="Stat"/>
    <tableColumn id="3" name="Power"/>
    <tableColumn id="4" name="Duration"/>
    <tableColumn id="5" name="Description"/>
    <tableColumn id="6" name="Type"/>
  </tableColumns>
  <tableStyleInfo showFirstColumn="0" showLastColumn="0" showRowStripes="1" showColumnStripes="0"/>
</table>
</file>

<file path=xl/tables/table43.xml><?xml version="1.0" encoding="utf-8"?>
<table xmlns="http://schemas.openxmlformats.org/spreadsheetml/2006/main" id="43" name="Table12" displayName="Table12" ref="A1:B42" headerRowCount="1" totalsRowShown="0">
  <autoFilter ref="A1:B42"/>
  <tableColumns count="2">
    <tableColumn id="1" name="Goal"/>
    <tableColumn id="2"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551860/Abandon_Ship/" TargetMode="External" Id="rId10" /><Relationship Type="http://schemas.openxmlformats.org/officeDocument/2006/relationships/hyperlink" Target="https://store.steampowered.com/app/1904480/Absolum/" TargetMode="External" Id="rId11" /><Relationship Type="http://schemas.openxmlformats.org/officeDocument/2006/relationships/hyperlink" Target="https://store.steampowered.com/app/1815570/Aces__Adventures/" TargetMode="External" Id="rId12" /><Relationship Type="http://schemas.openxmlformats.org/officeDocument/2006/relationships/hyperlink" Target="https://store.steampowered.com/app/1385380/Across_the_Obelisk/" TargetMode="External" Id="rId13" /><Relationship Type="http://schemas.openxmlformats.org/officeDocument/2006/relationships/hyperlink" Target="https://store.steampowered.com/app/2288470/Aethermancer/" TargetMode="External" Id="rId14" /><Relationship Type="http://schemas.openxmlformats.org/officeDocument/2006/relationships/hyperlink" Target="https://store.steampowered.com/app/1479140/AKxolotl_Together/" TargetMode="External" Id="rId15" /><Relationship Type="http://schemas.openxmlformats.org/officeDocument/2006/relationships/hyperlink" Target="https://store.steampowered.com/app/1668690/Alina_of_the_Arena/" TargetMode="External" Id="rId16" /><Relationship Type="http://schemas.openxmlformats.org/officeDocument/2006/relationships/hyperlink" Target="https://store.steampowered.com/app/1372660/An_Amazing_Wizard/" TargetMode="External" Id="rId17" /><Relationship Type="http://schemas.openxmlformats.org/officeDocument/2006/relationships/hyperlink" Target="https://store.steampowered.com/app/333300/ADOM_Ancient_Domains_Of_Mystery/" TargetMode="External" Id="rId18" /><Relationship Type="http://schemas.openxmlformats.org/officeDocument/2006/relationships/hyperlink" Target="https://store.steampowered.com/app/2116850/Another_Farm_Roguelike/" TargetMode="External" Id="rId19" /><Relationship Type="http://schemas.openxmlformats.org/officeDocument/2006/relationships/hyperlink" Target="https://store.steampowered.com/app/2332970/ARC_SEED/" TargetMode="External" Id="rId20" /><Relationship Type="http://schemas.openxmlformats.org/officeDocument/2006/relationships/hyperlink" Target="https://store.steampowered.com/app/1056840/Arcanium_Rise_of_Akhan/" TargetMode="External" Id="rId21" /><Relationship Type="http://schemas.openxmlformats.org/officeDocument/2006/relationships/hyperlink" Target="https://store.steampowered.com/app/4252700/Archon_Soul/" TargetMode="External" Id="rId22" /><Relationship Type="http://schemas.openxmlformats.org/officeDocument/2006/relationships/hyperlink" Target="https://store.steampowered.com/app/2779570/Archons/" TargetMode="External" Id="rId23" /><Relationship Type="http://schemas.openxmlformats.org/officeDocument/2006/relationships/hyperlink" Target="https://store.steampowered.com/app/3100310/Arms_of_God/" TargetMode="External" Id="rId24" /><Relationship Type="http://schemas.openxmlformats.org/officeDocument/2006/relationships/hyperlink" Target="https://store.steampowered.com/app/2780710/Asgards_Fall__Viking_Survivors/" TargetMode="External" Id="rId25" /><Relationship Type="http://schemas.openxmlformats.org/officeDocument/2006/relationships/hyperlink" Target="https://store.steampowered.com/app/1280930/Astral_Ascent/" TargetMode="External" Id="rId26" /><Relationship Type="http://schemas.openxmlformats.org/officeDocument/2006/relationships/hyperlink" Target="https://store.steampowered.com/app/1755830/Astrea_SixSided_Oracles/" TargetMode="External" Id="rId27" /><Relationship Type="http://schemas.openxmlformats.org/officeDocument/2006/relationships/hyperlink" Target="https://store.steampowered.com/app/3503440/Astro_Prospector/" TargetMode="External" Id="rId28" /><Relationship Type="http://schemas.openxmlformats.org/officeDocument/2006/relationships/hyperlink" Target="https://store.steampowered.com/app/1234940/Astronarch/" TargetMode="External" Id="rId29" /><Relationship Type="http://schemas.openxmlformats.org/officeDocument/2006/relationships/hyperlink" Target="https://store.steampowered.com/app/2228490/Atomic_Owl/" TargetMode="External" Id="rId30" /><Relationship Type="http://schemas.openxmlformats.org/officeDocument/2006/relationships/hyperlink" Target="https://store.steampowered.com/app/757320/Atomicrops/" TargetMode="External" Id="rId31" /><Relationship Type="http://schemas.openxmlformats.org/officeDocument/2006/relationships/hyperlink" Target="https://store.steampowered.com/app/1970580/Backpack_Hero/" TargetMode="External" Id="rId32" /><Relationship Type="http://schemas.openxmlformats.org/officeDocument/2006/relationships/hyperlink" Target="https://store.steampowered.com/app/688420/Bad_North_Jotunn_Edition/" TargetMode="External" Id="rId33" /><Relationship Type="http://schemas.openxmlformats.org/officeDocument/2006/relationships/hyperlink" Target="https://store.steampowered.com/app/2379780/Balatro/" TargetMode="External" Id="rId34" /><Relationship Type="http://schemas.openxmlformats.org/officeDocument/2006/relationships/hyperlink" Target="https://store.steampowered.com/app/2062430/BALL_x_PIT/" TargetMode="External" Id="rId35" /><Relationship Type="http://schemas.openxmlformats.org/officeDocument/2006/relationships/hyperlink" Target="https://store.steampowered.com/app/2667120/Ballionaire/" TargetMode="External" Id="rId36" /><Relationship Type="http://schemas.openxmlformats.org/officeDocument/2006/relationships/hyperlink" Target="https://store.steampowered.com/app/1075740/Banners_of_Ruin/" TargetMode="External" Id="rId37" /><Relationship Type="http://schemas.openxmlformats.org/officeDocument/2006/relationships/hyperlink" Target="https://store.steampowered.com/app/3664320/BARDA_Backpack_Roguelike/" TargetMode="External" Id="rId38" /><Relationship Type="http://schemas.openxmlformats.org/officeDocument/2006/relationships/hyperlink" Target="https://store.steampowered.com/app/371970/Barony/" TargetMode="External" Id="rId39" /><Relationship Type="http://schemas.openxmlformats.org/officeDocument/2006/relationships/hyperlink" Target="https://store.steampowered.com/app/365360/Battle_Brothers/" TargetMode="External" Id="rId40" /><Relationship Type="http://schemas.openxmlformats.org/officeDocument/2006/relationships/hyperlink" Target="https://store.steampowered.com/app/1421290/Battle_Shapers/" TargetMode="External" Id="rId41" /><Relationship Type="http://schemas.openxmlformats.org/officeDocument/2006/relationships/hyperlink" Target="https://store.steampowered.com/app/2499520/Be_My_Horde/" TargetMode="External" Id="rId42" /><Relationship Type="http://schemas.openxmlformats.org/officeDocument/2006/relationships/hyperlink" Target="https://store.steampowered.com/app/1072640/Beat_Blast/" TargetMode="External" Id="rId43" /><Relationship Type="http://schemas.openxmlformats.org/officeDocument/2006/relationships/hyperlink" Target="https://store.steampowered.com/app/3007660/Bella_Wants_Blood/" TargetMode="External" Id="rId44" /><Relationship Type="http://schemas.openxmlformats.org/officeDocument/2006/relationships/hyperlink" Target="https://store.steampowered.com/app/1803400/Beneath_Oresa/" TargetMode="External" Id="rId45" /><Relationship Type="http://schemas.openxmlformats.org/officeDocument/2006/relationships/hyperlink" Target="https://store.steampowered.com/app/1730080/Beyond_the_Long_Night/" TargetMode="External" Id="rId46" /><Relationship Type="http://schemas.openxmlformats.org/officeDocument/2006/relationships/hyperlink" Target="https://store.steampowered.com/app/2789810/Bingle_Bingle/" TargetMode="External" Id="rId47" /><Relationship Type="http://schemas.openxmlformats.org/officeDocument/2006/relationships/hyperlink" Target="https://store.steampowered.com/app/3689520/Bioprototype/" TargetMode="External" Id="rId48" /><Relationship Type="http://schemas.openxmlformats.org/officeDocument/2006/relationships/hyperlink" Target="https://store.steampowered.com/app/3100370/Black_Jacket/" TargetMode="External" Id="rId49" /><Relationship Type="http://schemas.openxmlformats.org/officeDocument/2006/relationships/hyperlink" Target="https://store.steampowered.com/app/585710/Blazing_Beaks/" TargetMode="External" Id="rId50" /><Relationship Type="http://schemas.openxmlformats.org/officeDocument/2006/relationships/hyperlink" Target="https://store.steampowered.com/app/2193050/Bleak_Sword_DX/" TargetMode="External" Id="rId51" /><Relationship Type="http://schemas.openxmlformats.org/officeDocument/2006/relationships/hyperlink" Target="https://store.steampowered.com/app/2427570/Block_Tower_TD/" TargetMode="External" Id="rId52" /><Relationship Type="http://schemas.openxmlformats.org/officeDocument/2006/relationships/hyperlink" Target="https://store.steampowered.com/app/2837350/Block_Tower_TD_2/" TargetMode="External" Id="rId53" /><Relationship Type="http://schemas.openxmlformats.org/officeDocument/2006/relationships/hyperlink" Target="https://store.steampowered.com/app/2747550/Bloodshed/" TargetMode="External" Id="rId54" /><Relationship Type="http://schemas.openxmlformats.org/officeDocument/2006/relationships/hyperlink" Target="https://store.steampowered.com/app/1944570/Boneraiser_Minions/" TargetMode="External" Id="rId55" /><Relationship Type="http://schemas.openxmlformats.org/officeDocument/2006/relationships/hyperlink" Target="https://store.steampowered.com/app/1968730/Bounty_of_One/" TargetMode="External" Id="rId56" /><Relationship Type="http://schemas.openxmlformats.org/officeDocument/2006/relationships/hyperlink" Target="https://store.steampowered.com/app/674930/Boyfriend_Dungeon/" TargetMode="External" Id="rId57" /><Relationship Type="http://schemas.openxmlformats.org/officeDocument/2006/relationships/hyperlink" Target="https://store.steampowered.com/app/1286350/BPM_BULLETS_PER_MINUTE/" TargetMode="External" Id="rId58" /><Relationship Type="http://schemas.openxmlformats.org/officeDocument/2006/relationships/hyperlink" Target="https://store.steampowered.com/app/2451820/Brawl_Tactics_Origins/" TargetMode="External" Id="rId59" /><Relationship Type="http://schemas.openxmlformats.org/officeDocument/2006/relationships/hyperlink" Target="https://store.steampowered.com/app/1394130/Breach_Wanderers/" TargetMode="External" Id="rId60" /><Relationship Type="http://schemas.openxmlformats.org/officeDocument/2006/relationships/hyperlink" Target="https://store.steampowered.com/app/2118810/Breachway/" TargetMode="External" Id="rId61" /><Relationship Type="http://schemas.openxmlformats.org/officeDocument/2006/relationships/hyperlink" Target="https://store.steampowered.com/app/3473250/BroomSweeper/" TargetMode="External" Id="rId62" /><Relationship Type="http://schemas.openxmlformats.org/officeDocument/2006/relationships/hyperlink" Target="https://store.steampowered.com/app/1942280/Brotato/" TargetMode="External" Id="rId63" /><Relationship Type="http://schemas.openxmlformats.org/officeDocument/2006/relationships/hyperlink" Target="https://store.steampowered.com/app/1734320/Brutal_Orchestra/" TargetMode="External" Id="rId64" /><Relationship Type="http://schemas.openxmlformats.org/officeDocument/2006/relationships/hyperlink" Target="https://store.steampowered.com/app/2835570/Buckshot_Roulette/" TargetMode="External" Id="rId65" /><Relationship Type="http://schemas.openxmlformats.org/officeDocument/2006/relationships/hyperlink" Target="https://store.steampowered.com/app/298560/Captain_Forever_Remix/" TargetMode="External" Id="rId66" /><Relationship Type="http://schemas.openxmlformats.org/officeDocument/2006/relationships/hyperlink" Target="https://store.steampowered.com/app/378030/Cardinal_Quest_2/" TargetMode="External" Id="rId67" /><Relationship Type="http://schemas.openxmlformats.org/officeDocument/2006/relationships/hyperlink" Target="https://store.steampowered.com/app/315840/Catacomb_Kids/" TargetMode="External" Id="rId68" /><Relationship Type="http://schemas.openxmlformats.org/officeDocument/2006/relationships/hyperlink" Target="https://store.steampowered.com/app/3128280/Cats__Dice/" TargetMode="External" Id="rId69" /><Relationship Type="http://schemas.openxmlformats.org/officeDocument/2006/relationships/hyperlink" Target="https://store.steampowered.com/app/452060/Caveblazers/" TargetMode="External" Id="rId70" /><Relationship Type="http://schemas.openxmlformats.org/officeDocument/2006/relationships/hyperlink" Target="https://store.steampowered.com/app/333640/Caves_of_Qud/" TargetMode="External" Id="rId71" /><Relationship Type="http://schemas.openxmlformats.org/officeDocument/2006/relationships/hyperlink" Target="https://store.steampowered.com/app/1084220/Cavity_Busters/" TargetMode="External" Id="rId72" /><Relationship Type="http://schemas.openxmlformats.org/officeDocument/2006/relationships/hyperlink" Target="https://store.steampowered.com/app/2308000/Centipede_Gun/" TargetMode="External" Id="rId73" /><Relationship Type="http://schemas.openxmlformats.org/officeDocument/2006/relationships/hyperlink" Target="https://store.steampowered.com/app/2065000/Chess_Survivors/" TargetMode="External" Id="rId74" /><Relationship Type="http://schemas.openxmlformats.org/officeDocument/2006/relationships/hyperlink" Target="https://store.steampowered.com/app/330020/Children_of_Morta/" TargetMode="External" Id="rId75" /><Relationship Type="http://schemas.openxmlformats.org/officeDocument/2006/relationships/hyperlink" Target="https://store.steampowered.com/app/2336200/Choo_Choo_Survivor/" TargetMode="External" Id="rId76" /><Relationship Type="http://schemas.openxmlformats.org/officeDocument/2006/relationships/hyperlink" Target="https://store.steampowered.com/app/3494210/Choo_Choo_Survivor_2/" TargetMode="External" Id="rId77" /><Relationship Type="http://schemas.openxmlformats.org/officeDocument/2006/relationships/hyperlink" Target="https://store.steampowered.com/app/3923750/Chosen_Garden/" TargetMode="External" Id="rId78" /><Relationship Type="http://schemas.openxmlformats.org/officeDocument/2006/relationships/hyperlink" Target="https://store.steampowered.com/app/1188930/Chrono_Ark/" TargetMode="External" Id="rId79" /><Relationship Type="http://schemas.openxmlformats.org/officeDocument/2006/relationships/hyperlink" Target="https://store.steampowered.com/app/3314790/CloverPit/" TargetMode="External" Id="rId80" /><Relationship Type="http://schemas.openxmlformats.org/officeDocument/2006/relationships/hyperlink" Target="https://store.steampowered.com/app/2453360/Cluckmech_Oasis/" TargetMode="External" Id="rId81" /><Relationship Type="http://schemas.openxmlformats.org/officeDocument/2006/relationships/hyperlink" Target="https://store.steampowered.com/app/2179850/Cobalt_Core/" TargetMode="External" Id="rId82" /><Relationship Type="http://schemas.openxmlformats.org/officeDocument/2006/relationships/hyperlink" Target="https://store.steampowered.com/app/264690/Coin_Crypt/" TargetMode="External" Id="rId83" /><Relationship Type="http://schemas.openxmlformats.org/officeDocument/2006/relationships/hyperlink" Target="https://store.steampowered.com/app/940710/Colt_Canyon/" TargetMode="External" Id="rId84" /><Relationship Type="http://schemas.openxmlformats.org/officeDocument/2006/relationships/hyperlink" Target="https://store.steampowered.com/app/1061880/Conan_Chop_Chop/" TargetMode="External" Id="rId85" /><Relationship Type="http://schemas.openxmlformats.org/officeDocument/2006/relationships/hyperlink" Target="https://store.steampowered.com/app/318230/Convoy/" TargetMode="External" Id="rId86" /><Relationship Type="http://schemas.openxmlformats.org/officeDocument/2006/relationships/hyperlink" Target="https://store.steampowered.com/app/1203360/Core_Defense/" TargetMode="External" Id="rId87" /><Relationship Type="http://schemas.openxmlformats.org/officeDocument/2006/relationships/hyperlink" Target="https://store.steampowered.com/app/1601740/Corpse_Keeper/" TargetMode="External" Id="rId88" /><Relationship Type="http://schemas.openxmlformats.org/officeDocument/2006/relationships/hyperlink" Target="https://store.steampowered.com/app/774801/Crab_Champions/" TargetMode="External" Id="rId89" /><Relationship Type="http://schemas.openxmlformats.org/officeDocument/2006/relationships/hyperlink" Target="https://store.steampowered.com/app/2137760/Crafty_Survivors/" TargetMode="External" Id="rId90" /><Relationship Type="http://schemas.openxmlformats.org/officeDocument/2006/relationships/hyperlink" Target="https://store.steampowered.com/app/293780/Crawl/" TargetMode="External" Id="rId91" /><Relationship Type="http://schemas.openxmlformats.org/officeDocument/2006/relationships/hyperlink" Target="https://store.steampowered.com/app/2348090/Crop_Rotation/" TargetMode="External" Id="rId92" /><Relationship Type="http://schemas.openxmlformats.org/officeDocument/2006/relationships/hyperlink" Target="https://store.steampowered.com/app/1619520/Cross_Blitz/" TargetMode="External" Id="rId93" /><Relationship Type="http://schemas.openxmlformats.org/officeDocument/2006/relationships/hyperlink" Target="https://store.steampowered.com/app/1000010/Crown_Trick/" TargetMode="External" Id="rId94" /><Relationship Type="http://schemas.openxmlformats.org/officeDocument/2006/relationships/hyperlink" Target="https://store.steampowered.com/app/1098610/Crush_the_Industry/" TargetMode="External" Id="rId95" /><Relationship Type="http://schemas.openxmlformats.org/officeDocument/2006/relationships/hyperlink" Target="https://store.steampowered.com/app/873940/Crying_Suns/" TargetMode="External" Id="rId96" /><Relationship Type="http://schemas.openxmlformats.org/officeDocument/2006/relationships/hyperlink" Target="https://store.steampowered.com/app/247080/Crypt_of_the_NecroDancer/" TargetMode="External" Id="rId97" /><Relationship Type="http://schemas.openxmlformats.org/officeDocument/2006/relationships/hyperlink" Target="https://store.steampowered.com/app/344740/CRYPTARK/" TargetMode="External" Id="rId98" /><Relationship Type="http://schemas.openxmlformats.org/officeDocument/2006/relationships/hyperlink" Target="https://store.steampowered.com/app/3332600/Cubic_Cosmos/" TargetMode="External" Id="rId99" /><Relationship Type="http://schemas.openxmlformats.org/officeDocument/2006/relationships/hyperlink" Target="https://store.steampowered.com/app/3144340/Cult_of_PiN/" TargetMode="External" Id="rId100" /><Relationship Type="http://schemas.openxmlformats.org/officeDocument/2006/relationships/hyperlink" Target="https://store.steampowered.com/app/1313140/Cult_of_the_Lamb/" TargetMode="External" Id="rId101" /><Relationship Type="http://schemas.openxmlformats.org/officeDocument/2006/relationships/hyperlink" Target="https://store.steampowered.com/app/718670/Cultist_Simulator/" TargetMode="External" Id="rId102" /><Relationship Type="http://schemas.openxmlformats.org/officeDocument/2006/relationships/hyperlink" Target="https://store.steampowered.com/app/2967670/Cupiclaw/" TargetMode="External" Id="rId103" /><Relationship Type="http://schemas.openxmlformats.org/officeDocument/2006/relationships/hyperlink" Target="https://store.steampowered.com/app/358130/Curious_Expedition/" TargetMode="External" Id="rId104" /><Relationship Type="http://schemas.openxmlformats.org/officeDocument/2006/relationships/hyperlink" Target="https://store.steampowered.com/app/1123770/Curse_of_the_Dead_Gods/" TargetMode="External" Id="rId105" /><Relationship Type="http://schemas.openxmlformats.org/officeDocument/2006/relationships/hyperlink" Target="https://store.steampowered.com/app/2449040/Cursorblade/" TargetMode="External" Id="rId106" /><Relationship Type="http://schemas.openxmlformats.org/officeDocument/2006/relationships/hyperlink" Target="https://store.steampowered.com/app/718590/Dark_Devotion/" TargetMode="External" Id="rId107" /><Relationship Type="http://schemas.openxmlformats.org/officeDocument/2006/relationships/hyperlink" Target="https://store.steampowered.com/app/3088070/Dark_Light_Survivor/" TargetMode="External" Id="rId108" /><Relationship Type="http://schemas.openxmlformats.org/officeDocument/2006/relationships/hyperlink" Target="https://store.steampowered.com/app/262060/Darkest_Dungeon/" TargetMode="External" Id="rId109" /><Relationship Type="http://schemas.openxmlformats.org/officeDocument/2006/relationships/hyperlink" Target="https://store.steampowered.com/app/1940340/Darkest_Dungeon_II/" TargetMode="External" Id="rId110" /><Relationship Type="http://schemas.openxmlformats.org/officeDocument/2006/relationships/hyperlink" Target="https://store.steampowered.com/app/1868140/DAVE_THE_DIVER/" TargetMode="External" Id="rId111" /><Relationship Type="http://schemas.openxmlformats.org/officeDocument/2006/relationships/hyperlink" Target="https://store.steampowered.com/app/588650/Dead_Cells/" TargetMode="External" Id="rId112" /><Relationship Type="http://schemas.openxmlformats.org/officeDocument/2006/relationships/hyperlink" Target="https://store.steampowered.com/app/1484720/Dead_Estate/" TargetMode="External" Id="rId113" /><Relationship Type="http://schemas.openxmlformats.org/officeDocument/2006/relationships/hyperlink" Target="https://store.steampowered.com/app/3512300/Dead_Finger_Dice/" TargetMode="External" Id="rId114" /><Relationship Type="http://schemas.openxmlformats.org/officeDocument/2006/relationships/hyperlink" Target="https://store.steampowered.com/app/2646720/Dead_Weight/" TargetMode="External" Id="rId115" /><Relationship Type="http://schemas.openxmlformats.org/officeDocument/2006/relationships/hyperlink" Target="https://store.steampowered.com/app/2334730/Death_Must_Die/" TargetMode="External" Id="rId116" /><Relationship Type="http://schemas.openxmlformats.org/officeDocument/2006/relationships/hyperlink" Target="https://store.steampowered.com/app/252610/Death_Road_to_Canada/" TargetMode="External" Id="rId117" /><Relationship Type="http://schemas.openxmlformats.org/officeDocument/2006/relationships/hyperlink" Target="https://store.steampowered.com/app/1619570/Death_Roads_Tournament/" TargetMode="External" Id="rId118" /><Relationship Type="http://schemas.openxmlformats.org/officeDocument/2006/relationships/hyperlink" Target="https://store.steampowered.com/app/326150/Death_Skid_Marks/" TargetMode="External" Id="rId119" /><Relationship Type="http://schemas.openxmlformats.org/officeDocument/2006/relationships/hyperlink" Target="https://store.steampowered.com/app/1016730/Deck_of_Ashes/" TargetMode="External" Id="rId120" /><Relationship Type="http://schemas.openxmlformats.org/officeDocument/2006/relationships/hyperlink" Target="https://store.steampowered.com/app/3179730/Deck_of_Haunts/" TargetMode="External" Id="rId121" /><Relationship Type="http://schemas.openxmlformats.org/officeDocument/2006/relationships/hyperlink" Target="https://store.steampowered.com/app/2870340/Decktamer/" TargetMode="External" Id="rId122" /><Relationship Type="http://schemas.openxmlformats.org/officeDocument/2006/relationships/hyperlink" Target="https://store.steampowered.com/app/325090/Deep_Dungeons_of_Doom/" TargetMode="External" Id="rId123" /><Relationship Type="http://schemas.openxmlformats.org/officeDocument/2006/relationships/hyperlink" Target="https://store.steampowered.com/app/1552080/Deepest_Chamber_Resurrection/" TargetMode="External" Id="rId124" /><Relationship Type="http://schemas.openxmlformats.org/officeDocument/2006/relationships/hyperlink" Target="https://store.steampowered.com/app/3720420/Demon_Lord_Just_a_Block/" TargetMode="External" Id="rId125" /><Relationship Type="http://schemas.openxmlformats.org/officeDocument/2006/relationships/hyperlink" Target="https://store.steampowered.com/app/3444020/Demonic_Mahjong/" TargetMode="External" Id="rId126" /><Relationship Type="http://schemas.openxmlformats.org/officeDocument/2006/relationships/hyperlink" Target="https://store.steampowered.com/app/1588340/Demonlore/" TargetMode="External" Id="rId127" /><Relationship Type="http://schemas.openxmlformats.org/officeDocument/2006/relationships/hyperlink" Target="https://store.steampowered.com/app/3339780/Desktop_Survivors_98/" TargetMode="External" Id="rId128" /><Relationship Type="http://schemas.openxmlformats.org/officeDocument/2006/relationships/hyperlink" Target="https://store.steampowered.com/app/1227280/Despots_Game_Dystopian_Battle_Simulator/" TargetMode="External" Id="rId129" /><Relationship Type="http://schemas.openxmlformats.org/officeDocument/2006/relationships/hyperlink" Target="https://store.steampowered.com/app/2693930/Dice__Fold/" TargetMode="External" Id="rId130" /><Relationship Type="http://schemas.openxmlformats.org/officeDocument/2006/relationships/hyperlink" Target="https://store.steampowered.com/app/3112170/Dice_Legends" TargetMode="External" Id="rId131" /><Relationship Type="http://schemas.openxmlformats.org/officeDocument/2006/relationships/hyperlink" Target="https://store.steampowered.com/app/3435260/Dice_With_Death/" TargetMode="External" Id="rId132" /><Relationship Type="http://schemas.openxmlformats.org/officeDocument/2006/relationships/hyperlink" Target="https://store.steampowered.com/app/1996430/Dicefolk/" TargetMode="External" Id="rId133" /><Relationship Type="http://schemas.openxmlformats.org/officeDocument/2006/relationships/hyperlink" Target="https://store.steampowered.com/app/2501600/DICEOMANCER/" TargetMode="External" Id="rId134" /><Relationship Type="http://schemas.openxmlformats.org/officeDocument/2006/relationships/hyperlink" Target="https://store.steampowered.com/app/861540/Dicey_Dungeons/" TargetMode="External" Id="rId135" /><Relationship Type="http://schemas.openxmlformats.org/officeDocument/2006/relationships/hyperlink" Target="https://store.steampowered.com/app/2026820/Die_in_the_Dungeon/" TargetMode="External" Id="rId136" /><Relationship Type="http://schemas.openxmlformats.org/officeDocument/2006/relationships/hyperlink" Target="https://store.steampowered.com/app/1442840/DIG__Deep_In_Galaxies/" TargetMode="External" Id="rId137" /><Relationship Type="http://schemas.openxmlformats.org/officeDocument/2006/relationships/hyperlink" Target="https://store.steampowered.com/app/2083160/Disfigure/" TargetMode="External" Id="rId138" /><Relationship Type="http://schemas.openxmlformats.org/officeDocument/2006/relationships/hyperlink" Target="https://store.steampowered.com/app/3590290/DIVE_or_DIE__Children_of_Rain/" TargetMode="External" Id="rId139" /><Relationship Type="http://schemas.openxmlformats.org/officeDocument/2006/relationships/hyperlink" Target="https://store.steampowered.com/app/3839300/Dogpile/" TargetMode="External" Id="rId140" /><Relationship Type="http://schemas.openxmlformats.org/officeDocument/2006/relationships/hyperlink" Target="https://store.steampowered.com/app/1637320/Dome_Keeper/" TargetMode="External" Id="rId141" /><Relationship Type="http://schemas.openxmlformats.org/officeDocument/2006/relationships/hyperlink" Target="https://store.steampowered.com/app/3930510/Dont_Let_It_Starve/" TargetMode="External" Id="rId142" /><Relationship Type="http://schemas.openxmlformats.org/officeDocument/2006/relationships/hyperlink" Target="https://store.steampowered.com/app/219740/Dont_Starve/" TargetMode="External" Id="rId143" /><Relationship Type="http://schemas.openxmlformats.org/officeDocument/2006/relationships/hyperlink" Target="https://store.steampowered.com/app/322330/Dont_Starve_Together/" TargetMode="External" Id="rId144" /><Relationship Type="http://schemas.openxmlformats.org/officeDocument/2006/relationships/hyperlink" Target="https://store.steampowered.com/app/1967260/Double_Dragon_Gaiden_Rise_Of_The_Dragons/" TargetMode="External" Id="rId145" /><Relationship Type="http://schemas.openxmlformats.org/officeDocument/2006/relationships/hyperlink" Target="https://store.steampowered.com/app/360740/Downwell/" TargetMode="External" Id="rId146" /><Relationship Type="http://schemas.openxmlformats.org/officeDocument/2006/relationships/hyperlink" Target="https://store.steampowered.com/app/3103780/DRAPLINE/" TargetMode="External" Id="rId147" /><Relationship Type="http://schemas.openxmlformats.org/officeDocument/2006/relationships/hyperlink" Target="https://store.steampowered.com/app/1040420/Dreamscaper/" TargetMode="External" Id="rId148" /><Relationship Type="http://schemas.openxmlformats.org/officeDocument/2006/relationships/hyperlink" Target="https://store.steampowered.com/app/2525310/Drop_Duchy/" TargetMode="External" Id="rId149" /><Relationship Type="http://schemas.openxmlformats.org/officeDocument/2006/relationships/hyperlink" Target="https://store.steampowered.com/app/2356780/Dungeon_Clawler/" TargetMode="External" Id="rId150" /><Relationship Type="http://schemas.openxmlformats.org/officeDocument/2006/relationships/hyperlink" Target="https://store.steampowered.com/app/861330/Dungeon_Deathball/" TargetMode="External" Id="rId151" /><Relationship Type="http://schemas.openxmlformats.org/officeDocument/2006/relationships/hyperlink" Target="https://store.steampowered.com/app/1824580/Dungeon_Drafters/" TargetMode="External" Id="rId152" /><Relationship Type="http://schemas.openxmlformats.org/officeDocument/2006/relationships/hyperlink" Target="https://store.steampowered.com/app/429620/Dungeon_Rushers/" TargetMode="External" Id="rId153" /><Relationship Type="http://schemas.openxmlformats.org/officeDocument/2006/relationships/hyperlink" Target="https://store.steampowered.com/app/288120/Dungeonmans/" TargetMode="External" Id="rId154" /><Relationship Type="http://schemas.openxmlformats.org/officeDocument/2006/relationships/hyperlink" Target="https://store.steampowered.com/app/2400510/Dungeons__Degenerate_Gamblers/" TargetMode="External" Id="rId155" /><Relationship Type="http://schemas.openxmlformats.org/officeDocument/2006/relationships/hyperlink" Target="https://store.steampowered.com/app/98800/Dungeons_of_Dredmor/" TargetMode="External" Id="rId156" /><Relationship Type="http://schemas.openxmlformats.org/officeDocument/2006/relationships/hyperlink" Target="https://store.steampowered.com/app/753420/Dungreed/" TargetMode="External" Id="rId157" /><Relationship Type="http://schemas.openxmlformats.org/officeDocument/2006/relationships/hyperlink" Target="https://store.steampowered.com/app/975370/Dwarf_Fortress/" TargetMode="External" Id="rId158" /><Relationship Type="http://schemas.openxmlformats.org/officeDocument/2006/relationships/hyperlink" Target="https://store.steampowered.com/app/2622380/ELDEN_RING_NIGHTREIGN/" TargetMode="External" Id="rId159" /><Relationship Type="http://schemas.openxmlformats.org/officeDocument/2006/relationships/hyperlink" Target="https://store.steampowered.com/app/252630/Eldritch/" TargetMode="External" Id="rId160" /><Relationship Type="http://schemas.openxmlformats.org/officeDocument/2006/relationships/hyperlink" Target="https://store.steampowered.com/app/2217740/Kitty_Survivors_Rogues_of_Catmere/" TargetMode="External" Id="rId161" /><Relationship Type="http://schemas.openxmlformats.org/officeDocument/2006/relationships/hyperlink" Target="https://store.steampowered.com/app/2489560/Elewar_Fused_Survivors/" TargetMode="External" Id="rId162" /><Relationship Type="http://schemas.openxmlformats.org/officeDocument/2006/relationships/hyperlink" Target="https://store.steampowered.com/app/1135230/Ember_Knights/" TargetMode="External" Id="rId163" /><Relationship Type="http://schemas.openxmlformats.org/officeDocument/2006/relationships/hyperlink" Target="https://store.steampowered.com/app/2459550/Emberward/" TargetMode="External" Id="rId164" /><Relationship Type="http://schemas.openxmlformats.org/officeDocument/2006/relationships/hyperlink" Target="https://store.steampowered.com/app/2343600/Endgame_of_Devil/" TargetMode="External" Id="rId165" /><Relationship Type="http://schemas.openxmlformats.org/officeDocument/2006/relationships/hyperlink" Target="https://store.steampowered.com/app/1425000/Endless_Alice/" TargetMode="External" Id="rId166" /><Relationship Type="http://schemas.openxmlformats.org/officeDocument/2006/relationships/hyperlink" Target="https://store.steampowered.com/app/311690/Enter_the_Gungeon/" TargetMode="External" Id="rId167" /><Relationship Type="http://schemas.openxmlformats.org/officeDocument/2006/relationships/hyperlink" Target="https://store.steampowered.com/app/3526710/Everything_is_Crab_The_Animal_Evolution_Roguelite/" TargetMode="External" Id="rId168" /><Relationship Type="http://schemas.openxmlformats.org/officeDocument/2006/relationships/hyperlink" Target="https://store.steampowered.com/app/2281820/Evolings/" TargetMode="External" Id="rId169" /><Relationship Type="http://schemas.openxmlformats.org/officeDocument/2006/relationships/hyperlink" Target="https://store.steampowered.com/app/1209490/Exit_the_Gungeon/" TargetMode="External" Id="rId170" /><Relationship Type="http://schemas.openxmlformats.org/officeDocument/2006/relationships/hyperlink" Target="https://store.steampowered.com/app/2605600/Facehand/" TargetMode="External" Id="rId171" /><Relationship Type="http://schemas.openxmlformats.org/officeDocument/2006/relationships/hyperlink" Target="https://store.steampowered.com/app/2305500/FAIRY_TAIL_DUNGEONS/" TargetMode="External" Id="rId172" /><Relationship Type="http://schemas.openxmlformats.org/officeDocument/2006/relationships/hyperlink" Target="https://store.steampowered.com/app/2332260/Feed_the_Deep/" TargetMode="External" Id="rId173" /><Relationship Type="http://schemas.openxmlformats.org/officeDocument/2006/relationships/hyperlink" Target="https://store.steampowered.com/app/1265820/Fights_in_Tight_Spaces/" TargetMode="External" Id="rId174" /><Relationship Type="http://schemas.openxmlformats.org/officeDocument/2006/relationships/hyperlink" Target="https://store.steampowered.com/app/3000120/FISH_FEAR_ME/" TargetMode="External" Id="rId175" /><Relationship Type="http://schemas.openxmlformats.org/officeDocument/2006/relationships/hyperlink" Target="https://store.steampowered.com/app/401710/Flinthook/" TargetMode="External" Id="rId176" /><Relationship Type="http://schemas.openxmlformats.org/officeDocument/2006/relationships/hyperlink" Target="https://store.steampowered.com/app/3219010/Fogpiercer/" TargetMode="External" Id="rId177" /><Relationship Type="http://schemas.openxmlformats.org/officeDocument/2006/relationships/hyperlink" Target="https://store.steampowered.com/app/2206240/Footgun_Underground/" TargetMode="External" Id="rId178" /><Relationship Type="http://schemas.openxmlformats.org/officeDocument/2006/relationships/hyperlink" Target="https://store.steampowered.com/app/527230/For_The_King/" TargetMode="External" Id="rId179" /><Relationship Type="http://schemas.openxmlformats.org/officeDocument/2006/relationships/hyperlink" Target="https://store.steampowered.com/app/1676840/For_The_King_II/" TargetMode="External" Id="rId180" /><Relationship Type="http://schemas.openxmlformats.org/officeDocument/2006/relationships/hyperlink" Target="https://store.steampowered.com/app/1201830/For_The_Warp/" TargetMode="External" Id="rId181" /><Relationship Type="http://schemas.openxmlformats.org/officeDocument/2006/relationships/hyperlink" Target="https://store.steampowered.com/app/1766390/FORWARD_Escape_the_Fold__Ultimate_Edition/" TargetMode="External" Id="rId182" /><Relationship Type="http://schemas.openxmlformats.org/officeDocument/2006/relationships/hyperlink" Target="https://store.steampowered.com/app/622370/Freaky_Awesome/" TargetMode="External" Id="rId183" /><Relationship Type="http://schemas.openxmlformats.org/officeDocument/2006/relationships/hyperlink" Target="https://store.steampowered.com/app/3585160/From_The_Top/" TargetMode="External" Id="rId184" /><Relationship Type="http://schemas.openxmlformats.org/officeDocument/2006/relationships/hyperlink" Target="https://store.steampowered.com/app/212680/FTL_Faster_Than_Light/" TargetMode="External" Id="rId185" /><Relationship Type="http://schemas.openxmlformats.org/officeDocument/2006/relationships/hyperlink" Target="https://store.steampowered.com/app/225280/Full_Mojo_Rampage/" TargetMode="External" Id="rId186" /><Relationship Type="http://schemas.openxmlformats.org/officeDocument/2006/relationships/hyperlink" Target="https://store.steampowered.com/app/465200/Fury_Unleashed/" TargetMode="External" Id="rId187" /><Relationship Type="http://schemas.openxmlformats.org/officeDocument/2006/relationships/hyperlink" Target="https://store.steampowered.com/app/1536620/Galactic_Glitch/" TargetMode="External" Id="rId188" /><Relationship Type="http://schemas.openxmlformats.org/officeDocument/2006/relationships/hyperlink" Target="https://store.steampowered.com/app/1565090/GearHead_Caramel/" TargetMode="External" Id="rId189" /><Relationship Type="http://schemas.openxmlformats.org/officeDocument/2006/relationships/hyperlink" Target="https://store.steampowered.com/app/2891310/Genome_Guardian/" TargetMode="External" Id="rId190" /><Relationship Type="http://schemas.openxmlformats.org/officeDocument/2006/relationships/hyperlink" Target="https://store.steampowered.com/app/4130120/Genome_Guardian_2/" TargetMode="External" Id="rId191" /><Relationship Type="http://schemas.openxmlformats.org/officeDocument/2006/relationships/hyperlink" Target="https://store.steampowered.com/app/1255650/Geometry_Arena/" TargetMode="External" Id="rId192" /><Relationship Type="http://schemas.openxmlformats.org/officeDocument/2006/relationships/hyperlink" Target="https://store.steampowered.com/app/1667700/Geometry_Arena_2/" TargetMode="External" Id="rId193" /><Relationship Type="http://schemas.openxmlformats.org/officeDocument/2006/relationships/hyperlink" Target="https://store.steampowered.com/app/3558190/GnollHack/" TargetMode="External" Id="rId194" /><Relationship Type="http://schemas.openxmlformats.org/officeDocument/2006/relationships/hyperlink" Target="https://store.steampowered.com/app/3133060/Gnomes/" TargetMode="External" Id="rId195" /><Relationship Type="http://schemas.openxmlformats.org/officeDocument/2006/relationships/hyperlink" Target="https://store.steampowered.com/app/2008510/Go_Mecha_Ball/" TargetMode="External" Id="rId196" /><Relationship Type="http://schemas.openxmlformats.org/officeDocument/2006/relationships/hyperlink" Target="https://store.steampowered.com/app/2342950/God_Of_Weapons/" TargetMode="External" Id="rId197" /><Relationship Type="http://schemas.openxmlformats.org/officeDocument/2006/relationships/hyperlink" Target="https://store.steampowered.com/app/2687400/GODBREAKERS/" TargetMode="External" Id="rId198" /><Relationship Type="http://schemas.openxmlformats.org/officeDocument/2006/relationships/hyperlink" Target="https://store.steampowered.com/app/1154810/Going_Under/" TargetMode="External" Id="rId199" /><Relationship Type="http://schemas.openxmlformats.org/officeDocument/2006/relationships/hyperlink" Target="https://store.steampowered.com/app/497800/Golden_Krone_Hotel/" TargetMode="External" Id="rId200" /><Relationship Type="http://schemas.openxmlformats.org/officeDocument/2006/relationships/hyperlink" Target="https://store.steampowered.com/app/1245430/Golden_Light/" TargetMode="External" Id="rId201" /><Relationship Type="http://schemas.openxmlformats.org/officeDocument/2006/relationships/hyperlink" Target="https://store.steampowered.com/app/1579020/Golfie/" TargetMode="External" Id="rId202" /><Relationship Type="http://schemas.openxmlformats.org/officeDocument/2006/relationships/hyperlink" Target="https://store.steampowered.com/app/437570/GoNNER/" TargetMode="External" Id="rId203" /><Relationship Type="http://schemas.openxmlformats.org/officeDocument/2006/relationships/hyperlink" Target="https://store.steampowered.com/app/1117670/GONNER2/" TargetMode="External" Id="rId204" /><Relationship Type="http://schemas.openxmlformats.org/officeDocument/2006/relationships/hyperlink" Target="https://store.steampowered.com/app/981430/Gordian_Quest/" TargetMode="External" Id="rId205" /><Relationship Type="http://schemas.openxmlformats.org/officeDocument/2006/relationships/hyperlink" Target="https://store.steampowered.com/app/2218400/Greedland/" TargetMode="External" Id="rId206" /><Relationship Type="http://schemas.openxmlformats.org/officeDocument/2006/relationships/hyperlink" Target="https://store.steampowered.com/app/601840/Griftlands/" TargetMode="External" Id="rId207" /><Relationship Type="http://schemas.openxmlformats.org/officeDocument/2006/relationships/hyperlink" Target="https://store.steampowered.com/app/3072640/Guidus_Zero/" TargetMode="External" Id="rId208" /><Relationship Type="http://schemas.openxmlformats.org/officeDocument/2006/relationships/hyperlink" Target="https://store.steampowered.com/app/317820/Guild_of_Dungeoneering_Ultimate_Edition/" TargetMode="External" Id="rId209" /><Relationship Type="http://schemas.openxmlformats.org/officeDocument/2006/relationships/hyperlink" Target="https://store.steampowered.com/app/3112010/Gumballs__Dungeons/" TargetMode="External" Id="rId210" /><Relationship Type="http://schemas.openxmlformats.org/officeDocument/2006/relationships/hyperlink" Target="https://store.steampowered.com/app/1217060/Gunfire_Reborn/" TargetMode="External" Id="rId211" /><Relationship Type="http://schemas.openxmlformats.org/officeDocument/2006/relationships/hyperlink" Target="https://store.steampowered.com/app/1512480/Gunlocked/" TargetMode="External" Id="rId212" /><Relationship Type="http://schemas.openxmlformats.org/officeDocument/2006/relationships/hyperlink" Target="https://store.steampowered.com/app/3492830/Gunlocked_2/" TargetMode="External" Id="rId213" /><Relationship Type="http://schemas.openxmlformats.org/officeDocument/2006/relationships/hyperlink" Target="https://store.steampowered.com/app/1260590/Hadean_Tactics/" TargetMode="External" Id="rId214" /><Relationship Type="http://schemas.openxmlformats.org/officeDocument/2006/relationships/hyperlink" Target="https://store.steampowered.com/app/1145360/Hades/" TargetMode="External" Id="rId215" /><Relationship Type="http://schemas.openxmlformats.org/officeDocument/2006/relationships/hyperlink" Target="https://store.steampowered.com/app/1145350/Hades_II/" TargetMode="External" Id="rId216" /><Relationship Type="http://schemas.openxmlformats.org/officeDocument/2006/relationships/hyperlink" Target="https://store.steampowered.com/app/2218750/Halls_of_Torment/" TargetMode="External" Id="rId217" /><Relationship Type="http://schemas.openxmlformats.org/officeDocument/2006/relationships/hyperlink" Target="https://store.steampowered.com/app/266510/Hand_of_Fate/" TargetMode="External" Id="rId218" /><Relationship Type="http://schemas.openxmlformats.org/officeDocument/2006/relationships/hyperlink" Target="https://store.steampowered.com/app/3075410/Hand_of_Fate_Hordes/" TargetMode="External" Id="rId219" /><Relationship Type="http://schemas.openxmlformats.org/officeDocument/2006/relationships/hyperlink" Target="https://store.steampowered.com/app/662540/Haque/" TargetMode="External" Id="rId220" /><Relationship Type="http://schemas.openxmlformats.org/officeDocument/2006/relationships/hyperlink" Target="https://store.steampowered.com/app/1796470/Haste/" TargetMode="External" Id="rId221" /><Relationship Type="http://schemas.openxmlformats.org/officeDocument/2006/relationships/hyperlink" Target="https://store.steampowered.com/app/1740720/Have_a_Nice_Death/" TargetMode="External" Id="rId222" /><Relationship Type="http://schemas.openxmlformats.org/officeDocument/2006/relationships/hyperlink" Target="https://store.steampowered.com/app/2824490/He_is_Coming/" TargetMode="External" Id="rId223" /><Relationship Type="http://schemas.openxmlformats.org/officeDocument/2006/relationships/hyperlink" Target="https://store.steampowered.com/app/268130/Heat_Signature/" TargetMode="External" Id="rId224" /><Relationship Type="http://schemas.openxmlformats.org/officeDocument/2006/relationships/hyperlink" Target="https://store.steampowered.com/app/297120/Heavy_Bullets/" TargetMode="External" Id="rId225" /><Relationship Type="http://schemas.openxmlformats.org/officeDocument/2006/relationships/hyperlink" Target="https://store.steampowered.com/app/1782460/Hell_Clock/" TargetMode="External" Id="rId226" /><Relationship Type="http://schemas.openxmlformats.org/officeDocument/2006/relationships/hyperlink" Target="https://store.steampowered.com/app/3372060/Hell_Maiden/" TargetMode="External" Id="rId227" /><Relationship Type="http://schemas.openxmlformats.org/officeDocument/2006/relationships/hyperlink" Target="https://store.steampowered.com/app/1201540/HELLCARD/" TargetMode="External" Id="rId228" /><Relationship Type="http://schemas.openxmlformats.org/officeDocument/2006/relationships/hyperlink" Target="https://store.steampowered.com/app/1295630/Helskate/" TargetMode="External" Id="rId229" /><Relationship Type="http://schemas.openxmlformats.org/officeDocument/2006/relationships/hyperlink" Target="https://store.steampowered.com/app/2181610/Heretics_Fork/" TargetMode="External" Id="rId230" /><Relationship Type="http://schemas.openxmlformats.org/officeDocument/2006/relationships/hyperlink" Target="https://store.steampowered.com/app/677120/Heroes_of_Hammerwatch/" TargetMode="External" Id="rId231" /><Relationship Type="http://schemas.openxmlformats.org/officeDocument/2006/relationships/hyperlink" Target="https://store.steampowered.com/app/619820/Heroes_of_Hammerwatch_II/" TargetMode="External" Id="rId232" /><Relationship Type="http://schemas.openxmlformats.org/officeDocument/2006/relationships/hyperlink" Target="https://store.steampowered.com/app/3059390/Hexagod/" TargetMode="External" Id="rId233" /><Relationship Type="http://schemas.openxmlformats.org/officeDocument/2006/relationships/hyperlink" Target="https://store.steampowered.com/app/2420510/HoloCure__Save_the_Fans/" TargetMode="External" Id="rId234" /><Relationship Type="http://schemas.openxmlformats.org/officeDocument/2006/relationships/hyperlink" Target="https://store.steampowered.com/app/4215730/HoloDungeon_Koyori_vs_HollowLive_in_Honsha_Tower/" TargetMode="External" Id="rId235" /><Relationship Type="http://schemas.openxmlformats.org/officeDocument/2006/relationships/hyperlink" Target="https://store.steampowered.com/app/3934270/How_Many_Dudes/" TargetMode="External" Id="rId236" /><Relationship Type="http://schemas.openxmlformats.org/officeDocument/2006/relationships/hyperlink" Target="https://store.steampowered.com/app/342610/HyperRogue/" TargetMode="External" Id="rId237" /><Relationship Type="http://schemas.openxmlformats.org/officeDocument/2006/relationships/hyperlink" Target="https://store.steampowered.com/app/3109580/I_Am_Legion_Stand_Survivors/" TargetMode="External" Id="rId238" /><Relationship Type="http://schemas.openxmlformats.org/officeDocument/2006/relationships/hyperlink" Target="https://store.steampowered.com/app/1835970/ICEwall/" TargetMode="External" Id="rId239" /><Relationship Type="http://schemas.openxmlformats.org/officeDocument/2006/relationships/hyperlink" Target="https://store.steampowered.com/app/595140/Immortal_Redneck/" TargetMode="External" Id="rId240" /><Relationship Type="http://schemas.openxmlformats.org/officeDocument/2006/relationships/hyperlink" Target="https://store.steampowered.com/app/509570/In_Celebration_of_Violence/" TargetMode="External" Id="rId241" /><Relationship Type="http://schemas.openxmlformats.org/officeDocument/2006/relationships/hyperlink" Target="https://store.steampowered.com/app/1062810/Inkbound/" TargetMode="External" Id="rId242" /><Relationship Type="http://schemas.openxmlformats.org/officeDocument/2006/relationships/hyperlink" Target="https://store.steampowered.com/app/3141310/Inkshade/" TargetMode="External" Id="rId243" /><Relationship Type="http://schemas.openxmlformats.org/officeDocument/2006/relationships/hyperlink" Target="https://store.steampowered.com/app/1092790/Inscryption/" TargetMode="External" Id="rId244" /><Relationship Type="http://schemas.openxmlformats.org/officeDocument/2006/relationships/hyperlink" Target="https://store.steampowered.com/app/1385100/Insurmountable/" TargetMode="External" Id="rId245" /><Relationship Type="http://schemas.openxmlformats.org/officeDocument/2006/relationships/hyperlink" Target="https://store.steampowered.com/app/590380/Into_the_Breach/" TargetMode="External" Id="rId246" /><Relationship Type="http://schemas.openxmlformats.org/officeDocument/2006/relationships/hyperlink" Target="https://store.steampowered.com/app/2576200/Into_The_Grid/" TargetMode="External" Id="rId247" /><Relationship Type="http://schemas.openxmlformats.org/officeDocument/2006/relationships/hyperlink" Target="https://store.steampowered.com/app/807120/Iratus_Lord_of_the_Dead/" TargetMode="External" Id="rId248" /><Relationship Type="http://schemas.openxmlformats.org/officeDocument/2006/relationships/hyperlink" Target="https://store.steampowered.com/app/811320/Jupiter_Hell/" TargetMode="External" Id="rId249" /><Relationship Type="http://schemas.openxmlformats.org/officeDocument/2006/relationships/hyperlink" Target="https://store.steampowered.com/app/1059980/Just_King/" TargetMode="External" Id="rId250" /><Relationship Type="http://schemas.openxmlformats.org/officeDocument/2006/relationships/hyperlink" Target="https://store.steampowered.com/app/2125540/Kdomon_Hyper_Auto_Battlers/" TargetMode="External" Id="rId251" /><Relationship Type="http://schemas.openxmlformats.org/officeDocument/2006/relationships/hyperlink" Target="https://store.steampowered.com/app/3032830/Katanaut/" TargetMode="External" Id="rId252" /><Relationship Type="http://schemas.openxmlformats.org/officeDocument/2006/relationships/hyperlink" Target="https://store.steampowered.com/app/329970/KeeperRL/" TargetMode="External" Id="rId253" /><Relationship Type="http://schemas.openxmlformats.org/officeDocument/2006/relationships/hyperlink" Target="https://store.steampowered.com/app/2002220/Keepers_Toll/" TargetMode="External" Id="rId254" /><Relationship Type="http://schemas.openxmlformats.org/officeDocument/2006/relationships/hyperlink" Target="https://store.steampowered.com/app/3093050/Kill_The_Music/" TargetMode="External" Id="rId255" /><Relationship Type="http://schemas.openxmlformats.org/officeDocument/2006/relationships/hyperlink" Target="https://store.steampowered.com/app/496300/Kingdom_New_Lands/" TargetMode="External" Id="rId256" /><Relationship Type="http://schemas.openxmlformats.org/officeDocument/2006/relationships/hyperlink" Target="https://store.steampowered.com/app/2217740/Kitty_Survivors_Rogues_of_Catmere/" TargetMode="External" Id="rId257" /><Relationship Type="http://schemas.openxmlformats.org/officeDocument/2006/relationships/hyperlink" Target="https://store.steampowered.com/app/3093400/Knightica/" TargetMode="External" Id="rId258" /><Relationship Type="http://schemas.openxmlformats.org/officeDocument/2006/relationships/hyperlink" Target="https://store.steampowered.com/app/2315400/Knights_in_Tight_Spaces/" TargetMode="External" Id="rId259" /><Relationship Type="http://schemas.openxmlformats.org/officeDocument/2006/relationships/hyperlink" Target="https://store.steampowered.com/app/1808320/Lake_of_Creatures/" TargetMode="External" Id="rId260" /><Relationship Type="http://schemas.openxmlformats.org/officeDocument/2006/relationships/hyperlink" Target="https://store.steampowered.com/app/978520/Legend_of_Keepers_Career_of_a_Dungeon_Manager/" TargetMode="External" Id="rId261" /><Relationship Type="http://schemas.openxmlformats.org/officeDocument/2006/relationships/hyperlink" Target="https://store.steampowered.com/app/2111090/Lets_Revolution/" TargetMode="External" Id="rId262" /><Relationship Type="http://schemas.openxmlformats.org/officeDocument/2006/relationships/hyperlink" Target="https://store.steampowered.com/app/1452070/LONE_RUIN/" TargetMode="External" Id="rId263" /><Relationship Type="http://schemas.openxmlformats.org/officeDocument/2006/relationships/hyperlink" Target="https://store.steampowered.com/app/2056210/LONESTAR/" TargetMode="External" Id="rId264" /><Relationship Type="http://schemas.openxmlformats.org/officeDocument/2006/relationships/hyperlink" Target="https://store.steampowered.com/app/1282730/Loop_Hero/" TargetMode="External" Id="rId265" /><Relationship Type="http://schemas.openxmlformats.org/officeDocument/2006/relationships/hyperlink" Target="https://store.steampowered.com/app/1494260/Loot_River/" TargetMode="External" Id="rId266" /><Relationship Type="http://schemas.openxmlformats.org/officeDocument/2006/relationships/hyperlink" Target="https://store.steampowered.com/app/2638050/Lost_For_Swords/" TargetMode="External" Id="rId267" /><Relationship Type="http://schemas.openxmlformats.org/officeDocument/2006/relationships/hyperlink" Target="https://store.steampowered.com/app/1404850/Luck_be_a_Landlord/" TargetMode="External" Id="rId268" /><Relationship Type="http://schemas.openxmlformats.org/officeDocument/2006/relationships/hyperlink" Target="https://store.steampowered.com/app/2404510/Lucky_Hero/" TargetMode="External" Id="rId269" /><Relationship Type="http://schemas.openxmlformats.org/officeDocument/2006/relationships/hyperlink" Target="https://store.steampowered.com/app/4092940/Lucky_Shot/" TargetMode="External" Id="rId270" /><Relationship Type="http://schemas.openxmlformats.org/officeDocument/2006/relationships/hyperlink" Target="https://store.steampowered.com/app/2369580/Mad_King_Redemption/" TargetMode="External" Id="rId271" /><Relationship Type="http://schemas.openxmlformats.org/officeDocument/2006/relationships/hyperlink" Target="https://store.steampowered.com/app/1184810/Mainframe_Defenders/" TargetMode="External" Id="rId272" /><Relationship Type="http://schemas.openxmlformats.org/officeDocument/2006/relationships/hyperlink" Target="https://store.steampowered.com/app/630720/Mana_Spark/" TargetMode="External" Id="rId273" /><Relationship Type="http://schemas.openxmlformats.org/officeDocument/2006/relationships/hyperlink" Target="https://store.steampowered.com/app/2542350/Masks_of_the_Void_Origins/" TargetMode="External" Id="rId274" /><Relationship Type="http://schemas.openxmlformats.org/officeDocument/2006/relationships/hyperlink" Target="https://store.steampowered.com/app/3009310/Master_of_Piece/" TargetMode="External" Id="rId275" /><Relationship Type="http://schemas.openxmlformats.org/officeDocument/2006/relationships/hyperlink" Target="https://store.steampowered.com/app/3385370/Maze_Mice/" TargetMode="External" Id="rId276" /><Relationship Type="http://schemas.openxmlformats.org/officeDocument/2006/relationships/hyperlink" Target="https://store.steampowered.com/app/1842510/Mechanibot/" TargetMode="External" Id="rId277" /><Relationship Type="http://schemas.openxmlformats.org/officeDocument/2006/relationships/hyperlink" Target="https://store.steampowered.com/app/3405340/Megabonk/" TargetMode="External" Id="rId278" /><Relationship Type="http://schemas.openxmlformats.org/officeDocument/2006/relationships/hyperlink" Target="https://store.steampowered.com/app/2644610/Menace_from_the_Deep/" TargetMode="External" Id="rId279" /><Relationship Type="http://schemas.openxmlformats.org/officeDocument/2006/relationships/hyperlink" Target="https://store.steampowered.com/app/3519530/Merge_Maestro/" TargetMode="External" Id="rId280" /><Relationship Type="http://schemas.openxmlformats.org/officeDocument/2006/relationships/hyperlink" Target="https://store.steampowered.com/app/1590760/Metal_Slug_Tactics/" TargetMode="External" Id="rId281" /><Relationship Type="http://schemas.openxmlformats.org/officeDocument/2006/relationships/hyperlink" Target="https://store.steampowered.com/app/1173200/Metal_Unit/" TargetMode="External" Id="rId282" /><Relationship Type="http://schemas.openxmlformats.org/officeDocument/2006/relationships/hyperlink" Target="https://store.steampowered.com/app/1490610/METALLIC_CHILD/" TargetMode="External" Id="rId283" /><Relationship Type="http://schemas.openxmlformats.org/officeDocument/2006/relationships/hyperlink" Target="https://store.steampowered.com/app/686060/Mewgenics/" TargetMode="External" Id="rId284" /><Relationship Type="http://schemas.openxmlformats.org/officeDocument/2006/relationships/hyperlink" Target="https://store.steampowered.com/app/2455920/Mimic_Logic/" TargetMode="External" Id="rId285" /><Relationship Type="http://schemas.openxmlformats.org/officeDocument/2006/relationships/hyperlink" Target="https://store.steampowered.com/app/2102320/MISTROGUE_Mist_and_the_Living_Dungeons/" TargetMode="External" Id="rId286" /><Relationship Type="http://schemas.openxmlformats.org/officeDocument/2006/relationships/hyperlink" Target="https://store.steampowered.com/app/1660290/Monmusu_Gladiator/" TargetMode="External" Id="rId287" /><Relationship Type="http://schemas.openxmlformats.org/officeDocument/2006/relationships/hyperlink" Target="https://store.steampowered.com/app/496620/Monster_Slayers/" TargetMode="External" Id="rId288" /><Relationship Type="http://schemas.openxmlformats.org/officeDocument/2006/relationships/hyperlink" Target="https://store.steampowered.com/app/1102190/Monster_Train/" TargetMode="External" Id="rId289" /><Relationship Type="http://schemas.openxmlformats.org/officeDocument/2006/relationships/hyperlink" Target="https://store.steampowered.com/app/2934220/Monsters_are_Coming/" TargetMode="External" Id="rId290" /><Relationship Type="http://schemas.openxmlformats.org/officeDocument/2006/relationships/hyperlink" Target="https://store.steampowered.com/app/296710/Monstrum/" TargetMode="External" Id="rId291" /><Relationship Type="http://schemas.openxmlformats.org/officeDocument/2006/relationships/hyperlink" Target="https://store.steampowered.com/app/3141630/Montabi/" TargetMode="External" Id="rId292" /><Relationship Type="http://schemas.openxmlformats.org/officeDocument/2006/relationships/hyperlink" Target="https://store.steampowered.com/app/320040/Moon_Hunters/" TargetMode="External" Id="rId293" /><Relationship Type="http://schemas.openxmlformats.org/officeDocument/2006/relationships/hyperlink" Target="https://store.steampowered.com/app/606150/Moonlighter/" TargetMode="External" Id="rId294" /><Relationship Type="http://schemas.openxmlformats.org/officeDocument/2006/relationships/hyperlink" Target="https://store.steampowered.com/app/2373630/Moonring/" TargetMode="External" Id="rId295" /><Relationship Type="http://schemas.openxmlformats.org/officeDocument/2006/relationships/hyperlink" Target="https://store.steampowered.com/app/3052450/Morimens/" TargetMode="External" Id="rId296" /><Relationship Type="http://schemas.openxmlformats.org/officeDocument/2006/relationships/hyperlink" Target="https://store.steampowered.com/app/1494810/Mortal_Sin/" TargetMode="External" Id="rId297" /><Relationship Type="http://schemas.openxmlformats.org/officeDocument/2006/relationships/hyperlink" Target="https://store.steampowered.com/app/574090/MOTHERGUNSHIP/" TargetMode="External" Id="rId298" /><Relationship Type="http://schemas.openxmlformats.org/officeDocument/2006/relationships/hyperlink" Target="https://store.steampowered.com/app/1931240/MOTHERGUNSHIP_FORGE/" TargetMode="External" Id="rId299" /><Relationship Type="http://schemas.openxmlformats.org/officeDocument/2006/relationships/hyperlink" Target="https://store.steampowered.com/app/1214670/Mr_Suns_Hatbox/" TargetMode="External" Id="rId300" /><Relationship Type="http://schemas.openxmlformats.org/officeDocument/2006/relationships/hyperlink" Target="https://store.steampowered.com/app/1625450/Muck/" TargetMode="External" Id="rId301" /><Relationship Type="http://schemas.openxmlformats.org/officeDocument/2006/relationships/hyperlink" Target="https://store.steampowered.com/app/409000/Mystery_Chronicle_One_Way_Heroics/" TargetMode="External" Id="rId302" /><Relationship Type="http://schemas.openxmlformats.org/officeDocument/2006/relationships/hyperlink" Target="https://store.steampowered.com/app/2508940/Mythical_Concept_STARNAUT/" TargetMode="External" Id="rId303" /><Relationship Type="http://schemas.openxmlformats.org/officeDocument/2006/relationships/hyperlink" Target="https://store.steampowered.com/app/1535100/Nadir_A_Grimdark_Deckbuilder/" TargetMode="External" Id="rId304" /><Relationship Type="http://schemas.openxmlformats.org/officeDocument/2006/relationships/hyperlink" Target="https://store.steampowered.com/app/1786830/NecroBouncer/" TargetMode="External" Id="rId305" /><Relationship Type="http://schemas.openxmlformats.org/officeDocument/2006/relationships/hyperlink" Target="https://store.steampowered.com/app/2852980/Necroking/" TargetMode="External" Id="rId306" /><Relationship Type="http://schemas.openxmlformats.org/officeDocument/2006/relationships/hyperlink" Target="https://store.steampowered.com/app/1949190/Necrosmith/" TargetMode="External" Id="rId307" /><Relationship Type="http://schemas.openxmlformats.org/officeDocument/2006/relationships/hyperlink" Target="https://store.steampowered.com/app/2277320/Necrosmith_2/" TargetMode="External" Id="rId308" /><Relationship Type="http://schemas.openxmlformats.org/officeDocument/2006/relationships/hyperlink" Target="https://store.steampowered.com/app/788100/Neon_Abyss/" TargetMode="External" Id="rId309" /><Relationship Type="http://schemas.openxmlformats.org/officeDocument/2006/relationships/hyperlink" Target="https://store.steampowered.com/app/2735580/Netherworld_Covenant/" TargetMode="External" Id="rId310" /><Relationship Type="http://schemas.openxmlformats.org/officeDocument/2006/relationships/hyperlink" Target="https://store.steampowered.com/app/1048350/Nigate_Tale/" TargetMode="External" Id="rId311" /><Relationship Type="http://schemas.openxmlformats.org/officeDocument/2006/relationships/hyperlink" Target="https://store.steampowered.com/app/3668370/Night_Swarm/" TargetMode="External" Id="rId312" /><Relationship Type="http://schemas.openxmlformats.org/officeDocument/2006/relationships/hyperlink" Target="https://store.steampowered.com/app/881100/Noita/" TargetMode="External" Id="rId313" /><Relationship Type="http://schemas.openxmlformats.org/officeDocument/2006/relationships/hyperlink" Target="https://store.steampowered.com/app/1929870/Nomad_Survival/" TargetMode="External" Id="rId314" /><Relationship Type="http://schemas.openxmlformats.org/officeDocument/2006/relationships/hyperlink" Target="https://store.steampowered.com/app/2225960/Noobs_Are_Coming/" TargetMode="External" Id="rId315" /><Relationship Type="http://schemas.openxmlformats.org/officeDocument/2006/relationships/hyperlink" Target="https://store.steampowered.com/app/1737340/Noobs_Want_to_Live/" TargetMode="External" Id="rId316" /><Relationship Type="http://schemas.openxmlformats.org/officeDocument/2006/relationships/hyperlink" Target="https://store.steampowered.com/app/3028310/Nordhold/" TargetMode="External" Id="rId317" /><Relationship Type="http://schemas.openxmlformats.org/officeDocument/2006/relationships/hyperlink" Target="https://store.steampowered.com/app/2068280/Nordic_Ashes_Survivors_of_Ragnarok/" TargetMode="External" Id="rId318" /><Relationship Type="http://schemas.openxmlformats.org/officeDocument/2006/relationships/hyperlink" Target="https://store.steampowered.com/app/858210/Nova_Drift/" TargetMode="External" Id="rId319" /><Relationship Type="http://schemas.openxmlformats.org/officeDocument/2006/relationships/hyperlink" Target="https://store.steampowered.com/app/681730/Nowhere_Prophet/" TargetMode="External" Id="rId320" /><Relationship Type="http://schemas.openxmlformats.org/officeDocument/2006/relationships/hyperlink" Target="https://store.steampowered.com/app/3191030/Nubbys_Number_Factory/" TargetMode="External" Id="rId321" /><Relationship Type="http://schemas.openxmlformats.org/officeDocument/2006/relationships/hyperlink" Target="https://store.steampowered.com/app/242680/Nuclear_Throne/" TargetMode="External" Id="rId322" /><Relationship Type="http://schemas.openxmlformats.org/officeDocument/2006/relationships/hyperlink" Target="https://store.steampowered.com/app/2854740/Nunholy/" TargetMode="External" Id="rId323" /><Relationship Type="http://schemas.openxmlformats.org/officeDocument/2006/relationships/hyperlink" Target="https://store.steampowered.com/app/1373260/Obsidian_Prince/" TargetMode="External" Id="rId324" /><Relationship Type="http://schemas.openxmlformats.org/officeDocument/2006/relationships/hyperlink" Target="https://store.steampowered.com/app/525620/Octogeddon/" TargetMode="External" Id="rId325" /><Relationship Type="http://schemas.openxmlformats.org/officeDocument/2006/relationships/hyperlink" Target="https://store.steampowered.com/app/3375890/Ogre_Chambers_2222/" TargetMode="External" Id="rId326" /><Relationship Type="http://schemas.openxmlformats.org/officeDocument/2006/relationships/hyperlink" Target="https://store.steampowered.com/app/1163600/Omega_Labyrinth_Life/" TargetMode="External" Id="rId327" /><Relationship Type="http://schemas.openxmlformats.org/officeDocument/2006/relationships/hyperlink" Target="https://store.steampowered.com/app/960690/One_Step_From_Eden/" TargetMode="External" Id="rId328" /><Relationship Type="http://schemas.openxmlformats.org/officeDocument/2006/relationships/hyperlink" Target="https://store.steampowered.com/app/266210/One_Way_Heroics/" TargetMode="External" Id="rId329" /><Relationship Type="http://schemas.openxmlformats.org/officeDocument/2006/relationships/hyperlink" Target="https://store.steampowered.com/app/1688320/OneBit_Adventure/" TargetMode="External" Id="rId330" /><Relationship Type="http://schemas.openxmlformats.org/officeDocument/2006/relationships/hyperlink" Target="https://store.steampowered.com/app/1608640/OTXO/" TargetMode="External" Id="rId331" /><Relationship Type="http://schemas.openxmlformats.org/officeDocument/2006/relationships/hyperlink" Target="https://store.steampowered.com/app/262790/Our_Darker_Purpose/" TargetMode="External" Id="rId332" /><Relationship Type="http://schemas.openxmlformats.org/officeDocument/2006/relationships/hyperlink" Target="https://store.steampowered.com/app/3410180/Overlooting/" TargetMode="External" Id="rId333" /><Relationship Type="http://schemas.openxmlformats.org/officeDocument/2006/relationships/hyperlink" Target="https://store.steampowered.com/app/3179860/Pairs__Perils/" TargetMode="External" Id="rId334" /><Relationship Type="http://schemas.openxmlformats.org/officeDocument/2006/relationships/hyperlink" Target="https://store.steampowered.com/app/1504250/Paper_Planet/" TargetMode="External" Id="rId335" /><Relationship Type="http://schemas.openxmlformats.org/officeDocument/2006/relationships/hyperlink" Target="https://store.steampowered.com/app/1347970/Patch_Quest/" TargetMode="External" Id="rId336" /><Relationship Type="http://schemas.openxmlformats.org/officeDocument/2006/relationships/hyperlink" Target="https://store.steampowered.com/app/2128270/Path_of_Achra/" TargetMode="External" Id="rId337" /><Relationship Type="http://schemas.openxmlformats.org/officeDocument/2006/relationships/hyperlink" Target="https://store.steampowered.com/app/3808690/Pathogenic/" TargetMode="External" Id="rId338" /><Relationship Type="http://schemas.openxmlformats.org/officeDocument/2006/relationships/hyperlink" Target="https://store.steampowered.com/app/1142080/Pawnbarian/" TargetMode="External" Id="rId339" /><Relationship Type="http://schemas.openxmlformats.org/officeDocument/2006/relationships/hyperlink" Target="https://store.steampowered.com/app/1296610/Peglin/" TargetMode="External" Id="rId340" /><Relationship Type="http://schemas.openxmlformats.org/officeDocument/2006/relationships/hyperlink" Target="https://store.steampowered.com/app/4403010/Pegs_X_Stickers/" TargetMode="External" Id="rId341" /><Relationship Type="http://schemas.openxmlformats.org/officeDocument/2006/relationships/hyperlink" Target="https://store.steampowered.com/app/2479320/Pesticide_Not_Required/" TargetMode="External" Id="rId342" /><Relationship Type="http://schemas.openxmlformats.org/officeDocument/2006/relationships/hyperlink" Target="https://store.steampowered.com/app/2088840/Picayune_Dreams/" TargetMode="External" Id="rId343" /><Relationship Type="http://schemas.openxmlformats.org/officeDocument/2006/relationships/hyperlink" Target="https://store.steampowered.com/app/2797650/Pip_My_Dice/" TargetMode="External" Id="rId344" /><Relationship Type="http://schemas.openxmlformats.org/officeDocument/2006/relationships/hyperlink" Target="https://store.steampowered.com/app/365900/Pixel_Dungeon/" TargetMode="External" Id="rId345" /><Relationship Type="http://schemas.openxmlformats.org/officeDocument/2006/relationships/hyperlink" Target="https://store.steampowered.com/app/1599600/PlateUp/" TargetMode="External" Id="rId346" /><Relationship Type="http://schemas.openxmlformats.org/officeDocument/2006/relationships/hyperlink" Target="https://store.steampowered.com/app/3948580/Plinbo_Roguelike_Plinko/" TargetMode="External" Id="rId347" /><Relationship Type="http://schemas.openxmlformats.org/officeDocument/2006/relationships/hyperlink" Target="https://store.steampowered.com/app/2870280/Pogo_Rogue/" TargetMode="External" Id="rId348" /><Relationship Type="http://schemas.openxmlformats.org/officeDocument/2006/relationships/hyperlink" Target="https://store.steampowered.com/app/3618850/Pronoun_Palace/" TargetMode="External" Id="rId349" /><Relationship Type="http://schemas.openxmlformats.org/officeDocument/2006/relationships/hyperlink" Target="https://store.steampowered.com/app/2053360/PUTRID_SHOT_ULTRA/" TargetMode="External" Id="rId350" /><Relationship Type="http://schemas.openxmlformats.org/officeDocument/2006/relationships/hyperlink" Target="https://store.steampowered.com/app/2059170/Quasimorph/" TargetMode="External" Id="rId351" /><Relationship Type="http://schemas.openxmlformats.org/officeDocument/2006/relationships/hyperlink" Target="https://store.steampowered.com/app/270050/Quest_of_Dungeons/" TargetMode="External" Id="rId352" /><Relationship Type="http://schemas.openxmlformats.org/officeDocument/2006/relationships/hyperlink" Target="https://store.steampowered.com/app/3784030/RACCOIN_Coin_Pusher_Roguelike/" TargetMode="External" Id="rId353" /><Relationship Type="http://schemas.openxmlformats.org/officeDocument/2006/relationships/hyperlink" Target="https://store.steampowered.com/app/2311990/Rack_and_Slay/" TargetMode="External" Id="rId354" /><Relationship Type="http://schemas.openxmlformats.org/officeDocument/2006/relationships/hyperlink" Target="https://store.steampowered.com/app/314410/Rampage_Knights/" TargetMode="External" Id="rId355" /><Relationship Type="http://schemas.openxmlformats.org/officeDocument/2006/relationships/hyperlink" Target="https://store.steampowered.com/app/1108370/Ratropolis/" TargetMode="External" Id="rId356" /><Relationship Type="http://schemas.openxmlformats.org/officeDocument/2006/relationships/hyperlink" Target="https://store.steampowered.com/app/2071280/Ravenswatch/" TargetMode="External" Id="rId357" /><Relationship Type="http://schemas.openxmlformats.org/officeDocument/2006/relationships/hyperlink" Target="https://store.steampowered.com/app/200210/Realm_of_the_Mad_God_Exalt/" TargetMode="External" Id="rId358" /><Relationship Type="http://schemas.openxmlformats.org/officeDocument/2006/relationships/hyperlink" Target="https://store.steampowered.com/app/296970/Renowned_Explorers_International_Society/" TargetMode="External" Id="rId359" /><Relationship Type="http://schemas.openxmlformats.org/officeDocument/2006/relationships/hyperlink" Target="https://store.steampowered.com/app/2055500/Repetendium/" TargetMode="External" Id="rId360" /><Relationship Type="http://schemas.openxmlformats.org/officeDocument/2006/relationships/hyperlink" Target="https://store.steampowered.com/app/3509430/Replicat/?curator_clanid=45876201" TargetMode="External" Id="rId361" /><Relationship Type="http://schemas.openxmlformats.org/officeDocument/2006/relationships/hyperlink" Target="https://store.steampowered.com/app/2185780/Return_to_abyss/" TargetMode="External" Id="rId362" /><Relationship Type="http://schemas.openxmlformats.org/officeDocument/2006/relationships/hyperlink" Target="https://store.steampowered.com/app/1649240/Returnal/" TargetMode="External" Id="rId363" /><Relationship Type="http://schemas.openxmlformats.org/officeDocument/2006/relationships/hyperlink" Target="https://store.steampowered.com/app/1175460/Revita/" TargetMode="External" Id="rId364" /><Relationship Type="http://schemas.openxmlformats.org/officeDocument/2006/relationships/hyperlink" Target="https://store.steampowered.com/app/2951580/Rhythm_Witch_Beat_Death/" TargetMode="External" Id="rId365" /><Relationship Type="http://schemas.openxmlformats.org/officeDocument/2006/relationships/hyperlink" Target="https://store.steampowered.com/app/1271280/Rift_Wizard/" TargetMode="External" Id="rId366" /><Relationship Type="http://schemas.openxmlformats.org/officeDocument/2006/relationships/hyperlink" Target="https://store.steampowered.com/app/2058570/Rift_Wizard_2/" TargetMode="External" Id="rId367" /><Relationship Type="http://schemas.openxmlformats.org/officeDocument/2006/relationships/hyperlink" Target="https://store.steampowered.com/app/4366330/Rift_Wizard_3/" TargetMode="External" Id="rId368" /><Relationship Type="http://schemas.openxmlformats.org/officeDocument/2006/relationships/hyperlink" Target="https://store.steampowered.com/app/2008050/Right_and_Down/" TargetMode="External" Id="rId369" /><Relationship Type="http://schemas.openxmlformats.org/officeDocument/2006/relationships/hyperlink" Target="https://store.steampowered.com/app/998740/Ring_of_Pain/" TargetMode="External" Id="rId370" /><Relationship Type="http://schemas.openxmlformats.org/officeDocument/2006/relationships/hyperlink" Target="https://store.steampowered.com/app/3308190/Ringer/" TargetMode="External" Id="rId371" /><Relationship Type="http://schemas.openxmlformats.org/officeDocument/2006/relationships/hyperlink" Target="https://store.steampowered.com/app/248820/Risk_of_Rain_2013/" TargetMode="External" Id="rId372" /><Relationship Type="http://schemas.openxmlformats.org/officeDocument/2006/relationships/hyperlink" Target="https://store.steampowered.com/app/632360/Risk_of_Rain_2/" TargetMode="External" Id="rId373" /><Relationship Type="http://schemas.openxmlformats.org/officeDocument/2006/relationships/hyperlink" Target="https://store.steampowered.com/app/1337520/Risk_of_Rain_Returns/" TargetMode="External" Id="rId374" /><Relationship Type="http://schemas.openxmlformats.org/officeDocument/2006/relationships/hyperlink" Target="https://store.steampowered.com/app/692890/Roboquest/" TargetMode="External" Id="rId375" /><Relationship Type="http://schemas.openxmlformats.org/officeDocument/2006/relationships/hyperlink" Target="https://store.steampowered.com/app/3069810/Rocket_Rats/" TargetMode="External" Id="rId376" /><Relationship Type="http://schemas.openxmlformats.org/officeDocument/2006/relationships/hyperlink" Target="https://store.steampowered.com/app/1443430/Rogue/" TargetMode="External" Id="rId377" /><Relationship Type="http://schemas.openxmlformats.org/officeDocument/2006/relationships/hyperlink" Target="https://store.steampowered.com/app/787810/Rogue_Heroes_Ruins_of_Tasos/" TargetMode="External" Id="rId378" /><Relationship Type="http://schemas.openxmlformats.org/officeDocument/2006/relationships/hyperlink" Target="https://store.steampowered.com/app/241600/Rogue_Legacy/" TargetMode="External" Id="rId379" /><Relationship Type="http://schemas.openxmlformats.org/officeDocument/2006/relationships/hyperlink" Target="https://store.steampowered.com/app/1253920/Rogue_Legacy_2/" TargetMode="External" Id="rId380" /><Relationship Type="http://schemas.openxmlformats.org/officeDocument/2006/relationships/hyperlink" Target="https://store.steampowered.com/app/1069690/Rogue_Lords/" TargetMode="External" Id="rId381" /><Relationship Type="http://schemas.openxmlformats.org/officeDocument/2006/relationships/hyperlink" Target="https://store.steampowered.com/app/1494560/Rogue_Voltage/" TargetMode="External" Id="rId382" /><Relationship Type="http://schemas.openxmlformats.org/officeDocument/2006/relationships/hyperlink" Target="https://store.steampowered.com/app/2067920/Rogue_Genesia/" TargetMode="External" Id="rId383" /><Relationship Type="http://schemas.openxmlformats.org/officeDocument/2006/relationships/hyperlink" Target="https://store.steampowered.com/app/1076200/Roguebook/" TargetMode="External" Id="rId384" /><Relationship Type="http://schemas.openxmlformats.org/officeDocument/2006/relationships/hyperlink" Target="https://store.steampowered.com/app/265990/Rogues_Tale/" TargetMode="External" Id="rId385" /><Relationship Type="http://schemas.openxmlformats.org/officeDocument/2006/relationships/hyperlink" Target="https://store.steampowered.com/app/1443100/RogueSlide/" TargetMode="External" Id="rId386" /><Relationship Type="http://schemas.openxmlformats.org/officeDocument/2006/relationships/hyperlink" Target="https://store.steampowered.com/app/1585910/Roll/" TargetMode="External" Id="rId387" /><Relationship Type="http://schemas.openxmlformats.org/officeDocument/2006/relationships/hyperlink" Target="https://store.steampowered.com/app/2904290/RollScape/" TargetMode="External" Id="rId388" /><Relationship Type="http://schemas.openxmlformats.org/officeDocument/2006/relationships/hyperlink" Target="https://store.steampowered.com/app/3399930/Roulette_Dungeon/" TargetMode="External" Id="rId389" /><Relationship Type="http://schemas.openxmlformats.org/officeDocument/2006/relationships/hyperlink" Target="https://store.steampowered.com/app/1557740/ROUNDS/" TargetMode="External" Id="rId390" /><Relationship Type="http://schemas.openxmlformats.org/officeDocument/2006/relationships/hyperlink" Target="https://store.steampowered.com/app/3542380/Rune_Dice/" TargetMode="External" Id="rId391" /><Relationship Type="http://schemas.openxmlformats.org/officeDocument/2006/relationships/hyperlink" Target="https://store.steampowered.com/app/3073990/Runeborn/" TargetMode="External" Id="rId392" /><Relationship Type="http://schemas.openxmlformats.org/officeDocument/2006/relationships/hyperlink" Target="https://store.steampowered.com/app/3656560/Runeveil/" TargetMode="External" Id="rId393" /><Relationship Type="http://schemas.openxmlformats.org/officeDocument/2006/relationships/hyperlink" Target="https://store.steampowered.com/app/2113040/RUNGORE/" TargetMode="External" Id="rId394" /><Relationship Type="http://schemas.openxmlformats.org/officeDocument/2006/relationships/hyperlink" Target="https://store.steampowered.com/app/1639080/Sandwalkers/" TargetMode="External" Id="rId395" /><Relationship Type="http://schemas.openxmlformats.org/officeDocument/2006/relationships/hyperlink" Target="https://store.steampowered.com/app/2181720/Scarlet_Tower/" TargetMode="External" Id="rId396" /><Relationship Type="http://schemas.openxmlformats.org/officeDocument/2006/relationships/hyperlink" Target="https://store.steampowered.com/app/2084300/Schism/" TargetMode="External" Id="rId397" /><Relationship Type="http://schemas.openxmlformats.org/officeDocument/2006/relationships/hyperlink" Target="https://store.steampowered.com/app/1037020/ScourgeBringer/" TargetMode="External" Id="rId398" /><Relationship Type="http://schemas.openxmlformats.org/officeDocument/2006/relationships/hyperlink" Target="https://store.steampowered.com/app/2111870/Section_13/" TargetMode="External" Id="rId399" /><Relationship Type="http://schemas.openxmlformats.org/officeDocument/2006/relationships/hyperlink" Target="https://store.steampowered.com/app/3039930/Seedborne_Soldiers/" TargetMode="External" Id="rId400" /><Relationship Type="http://schemas.openxmlformats.org/officeDocument/2006/relationships/hyperlink" Target="https://store.steampowered.com/app/1919460/Seraphs_Last_Stand/" TargetMode="External" Id="rId401" /><Relationship Type="http://schemas.openxmlformats.org/officeDocument/2006/relationships/hyperlink" Target="https://store.steampowered.com/app/3069050/Serpents_Gaze/" TargetMode="External" Id="rId402" /><Relationship Type="http://schemas.openxmlformats.org/officeDocument/2006/relationships/hyperlink" Target="https://store.steampowered.com/app/2202590/Shape_Shifter_Formations/" TargetMode="External" Id="rId403" /><Relationship Type="http://schemas.openxmlformats.org/officeDocument/2006/relationships/hyperlink" Target="https://store.steampowered.com/app/1286580/Ship_of_Fools/" TargetMode="External" Id="rId404" /><Relationship Type="http://schemas.openxmlformats.org/officeDocument/2006/relationships/hyperlink" Target="https://store.steampowered.com/app/2178480/Shiren_the_Wanderer_The_Mystery_Dungeon_of_Serpentcoil_Island/" TargetMode="External" Id="rId405" /><Relationship Type="http://schemas.openxmlformats.org/officeDocument/2006/relationships/hyperlink" Target="https://store.steampowered.com/app/1178790/Shiren_the_Wanderer_The_Tower_of_Fortune_and_the_Dice_of_Fate/" TargetMode="External" Id="rId406" /><Relationship Type="http://schemas.openxmlformats.org/officeDocument/2006/relationships/hyperlink" Target="https://store.steampowered.com/app/2084000/Shogun_Showdown/" TargetMode="External" Id="rId407" /><Relationship Type="http://schemas.openxmlformats.org/officeDocument/2006/relationships/hyperlink" Target="https://store.steampowered.com/app/1972440/Shotgun_King_The_Final_Checkmate/" TargetMode="External" Id="rId408" /><Relationship Type="http://schemas.openxmlformats.org/officeDocument/2006/relationships/hyperlink" Target="https://store.steampowered.com/app/4594150/Sir_We_Have_an_Orc_Problem" TargetMode="External" Id="rId409" /><Relationship Type="http://schemas.openxmlformats.org/officeDocument/2006/relationships/hyperlink" Target="https://store.steampowered.com/app/1147560/Skul_The_Hero_Slayer/" TargetMode="External" Id="rId410" /><Relationship Type="http://schemas.openxmlformats.org/officeDocument/2006/relationships/hyperlink" Target="https://store.steampowered.com/app/381020/Sky_Rogue/" TargetMode="External" Id="rId411" /><Relationship Type="http://schemas.openxmlformats.org/officeDocument/2006/relationships/hyperlink" Target="https://store.steampowered.com/app/3085620/Skys_The_Limit_MAHJONG/" TargetMode="External" Id="rId412" /><Relationship Type="http://schemas.openxmlformats.org/officeDocument/2006/relationships/hyperlink" Target="https://store.steampowered.com/app/598060/Slashers_Keep/" TargetMode="External" Id="rId413" /><Relationship Type="http://schemas.openxmlformats.org/officeDocument/2006/relationships/hyperlink" Target="https://store.steampowered.com/app/646570/Slay_the_Spire/" TargetMode="External" Id="rId414" /><Relationship Type="http://schemas.openxmlformats.org/officeDocument/2006/relationships/hyperlink" Target="https://store.steampowered.com/app/2868840/Slay_the_Spire_2/" TargetMode="External" Id="rId415" /><Relationship Type="http://schemas.openxmlformats.org/officeDocument/2006/relationships/hyperlink" Target="https://store.steampowered.com/app/1775490/Slice__Dice/" TargetMode="External" Id="rId416" /><Relationship Type="http://schemas.openxmlformats.org/officeDocument/2006/relationships/hyperlink" Target="https://store.steampowered.com/app/2348610/Slime_3K_Rise_Against_Despot/" TargetMode="External" Id="rId417" /><Relationship Type="http://schemas.openxmlformats.org/officeDocument/2006/relationships/hyperlink" Target="https://store.steampowered.com/app/3631290/Slots__Daggers/" TargetMode="External" Id="rId418" /><Relationship Type="http://schemas.openxmlformats.org/officeDocument/2006/relationships/hyperlink" Target="https://store.steampowered.com/app/915310/SNKRX/" TargetMode="External" Id="rId419" /><Relationship Type="http://schemas.openxmlformats.org/officeDocument/2006/relationships/hyperlink" Target="https://store.steampowered.com/app/2178990/Sodaman/" TargetMode="External" Id="rId420" /><Relationship Type="http://schemas.openxmlformats.org/officeDocument/2006/relationships/hyperlink" Target="https://store.steampowered.com/app/2738490/Sol_Cesto/" TargetMode="External" Id="rId421" /><Relationship Type="http://schemas.openxmlformats.org/officeDocument/2006/relationships/hyperlink" Target="https://store.steampowered.com/app/463980/Solitairica/" TargetMode="External" Id="rId422" /><Relationship Type="http://schemas.openxmlformats.org/officeDocument/2006/relationships/hyperlink" Target="https://store.steampowered.com/app/2066020/Soulstone_Survivors/" TargetMode="External" Id="rId423" /><Relationship Type="http://schemas.openxmlformats.org/officeDocument/2006/relationships/hyperlink" Target="https://store.steampowered.com/app/1144910/Space_Gladiators" TargetMode="External" Id="rId424" /><Relationship Type="http://schemas.openxmlformats.org/officeDocument/2006/relationships/hyperlink" Target="https://store.steampowered.com/app/371430/Space_Grunts/" TargetMode="External" Id="rId425" /><Relationship Type="http://schemas.openxmlformats.org/officeDocument/2006/relationships/hyperlink" Target="https://store.steampowered.com/app/2007530/Spellbook_Demonslayers/" TargetMode="External" Id="rId426" /><Relationship Type="http://schemas.openxmlformats.org/officeDocument/2006/relationships/hyperlink" Target="https://store.steampowered.com/app/1990110/SpellRogue/" TargetMode="External" Id="rId427" /><Relationship Type="http://schemas.openxmlformats.org/officeDocument/2006/relationships/hyperlink" Target="https://store.steampowered.com/app/239350/Spelunky/" TargetMode="External" Id="rId428" /><Relationship Type="http://schemas.openxmlformats.org/officeDocument/2006/relationships/hyperlink" Target="https://store.steampowered.com/app/418530/Spelunky_2/" TargetMode="External" Id="rId429" /><Relationship Type="http://schemas.openxmlformats.org/officeDocument/2006/relationships/hyperlink" Target="https://store.steampowered.com/app/2917350/Spin_Hero/" TargetMode="External" Id="rId430" /><Relationship Type="http://schemas.openxmlformats.org/officeDocument/2006/relationships/hyperlink" Target="https://store.steampowered.com/app/1914580/Spirit_Hunters_Infinite_Horde/" TargetMode="External" Id="rId431" /><Relationship Type="http://schemas.openxmlformats.org/officeDocument/2006/relationships/hyperlink" Target="https://store.steampowered.com/app/1835240/Spiritfall/" TargetMode="External" Id="rId432" /><Relationship Type="http://schemas.openxmlformats.org/officeDocument/2006/relationships/hyperlink" Target="https://store.steampowered.com/app/1078200/Spirits_Abyss/" TargetMode="External" Id="rId433" /><Relationship Type="http://schemas.openxmlformats.org/officeDocument/2006/relationships/hyperlink" Target="https://store.steampowered.com/app/311720/Sproggiwood/" TargetMode="External" Id="rId434" /><Relationship Type="http://schemas.openxmlformats.org/officeDocument/2006/relationships/hyperlink" Target="https://store.steampowered.com/app/2573200/Squeaky_Squad/" TargetMode="External" Id="rId435" /><Relationship Type="http://schemas.openxmlformats.org/officeDocument/2006/relationships/hyperlink" Target="https://store.steampowered.com/app/3908810/Stackflow/" TargetMode="External" Id="rId436" /><Relationship Type="http://schemas.openxmlformats.org/officeDocument/2006/relationships/hyperlink" Target="https://store.steampowered.com/app/603960/Star_of_Providence/" TargetMode="External" Id="rId437" /><Relationship Type="http://schemas.openxmlformats.org/officeDocument/2006/relationships/hyperlink" Target="https://store.steampowered.com/app/2060750/Star_Survivor/" TargetMode="External" Id="rId438" /><Relationship Type="http://schemas.openxmlformats.org/officeDocument/2006/relationships/hyperlink" Target="https://store.steampowered.com/app/3201010/Starlight_Revolver/" TargetMode="External" Id="rId439" /><Relationship Type="http://schemas.openxmlformats.org/officeDocument/2006/relationships/hyperlink" Target="https://store.steampowered.com/app/2097570/StarVaders/" TargetMode="External" Id="rId440" /><Relationship Type="http://schemas.openxmlformats.org/officeDocument/2006/relationships/hyperlink" Target="https://store.steampowered.com/app/2085540/Stick_It_to_the_Stickman/" TargetMode="External" Id="rId441" /><Relationship Type="http://schemas.openxmlformats.org/officeDocument/2006/relationships/hyperlink" Target="https://store.steampowered.com/app/442780/STRAFE_Gold_Edition/" TargetMode="External" Id="rId442" /><Relationship Type="http://schemas.openxmlformats.org/officeDocument/2006/relationships/hyperlink" Target="https://store.steampowered.com/app/512900/Streets_of_Rogue/" TargetMode="External" Id="rId443" /><Relationship Type="http://schemas.openxmlformats.org/officeDocument/2006/relationships/hyperlink" Target="https://store.steampowered.com/app/535480/Sundered_Eldritch_Edition/" TargetMode="External" Id="rId444" /><Relationship Type="http://schemas.openxmlformats.org/officeDocument/2006/relationships/hyperlink" Target="https://store.steampowered.com/app/304650/SUNLESS_SEA/" TargetMode="External" Id="rId445" /><Relationship Type="http://schemas.openxmlformats.org/officeDocument/2006/relationships/hyperlink" Target="https://store.steampowered.com/app/1714040/Super_Auto_Pets/" TargetMode="External" Id="rId446" /><Relationship Type="http://schemas.openxmlformats.org/officeDocument/2006/relationships/hyperlink" Target="https://store.steampowered.com/app/1767170/Super_Bullet_Break/" TargetMode="External" Id="rId447" /><Relationship Type="http://schemas.openxmlformats.org/officeDocument/2006/relationships/hyperlink" Target="https://store.steampowered.com/app/2289750/Super_Fantasy_Kingdom/" TargetMode="External" Id="rId448" /><Relationship Type="http://schemas.openxmlformats.org/officeDocument/2006/relationships/hyperlink" Target="https://store.steampowered.com/app/224820/Super_House_of_Dead_Ninjas/" TargetMode="External" Id="rId449" /><Relationship Type="http://schemas.openxmlformats.org/officeDocument/2006/relationships/hyperlink" Target="https://store.steampowered.com/app/1375900/Swarm_Grinder/" TargetMode="External" Id="rId450" /><Relationship Type="http://schemas.openxmlformats.org/officeDocument/2006/relationships/hyperlink" Target="https://store.steampowered.com/app/442210/Switchcars/" TargetMode="External" Id="rId451" /><Relationship Type="http://schemas.openxmlformats.org/officeDocument/2006/relationships/hyperlink" Target="https://store.steampowered.com/app/2231080/Sword_of_Fargoal/" TargetMode="External" Id="rId452" /><Relationship Type="http://schemas.openxmlformats.org/officeDocument/2006/relationships/hyperlink" Target="https://store.steampowered.com/app/1243890/Sword_of_the_Necromancer/" TargetMode="External" Id="rId453" /><Relationship Type="http://schemas.openxmlformats.org/officeDocument/2006/relationships/hyperlink" Target="https://store.steampowered.com/app/2782880/Sword_of_the_Necromancer_Resurrection/" TargetMode="External" Id="rId454" /><Relationship Type="http://schemas.openxmlformats.org/officeDocument/2006/relationships/hyperlink" Target="https://store.steampowered.com/app/233700/Sword_of_the_Stars_The_Pit/" TargetMode="External" Id="rId455" /><Relationship Type="http://schemas.openxmlformats.org/officeDocument/2006/relationships/hyperlink" Target="https://store.steampowered.com/app/1804270/Swordship/" TargetMode="External" Id="rId456" /><Relationship Type="http://schemas.openxmlformats.org/officeDocument/2006/relationships/hyperlink" Target="https://store.steampowered.com/app/1763250/SWORN/" TargetMode="External" Id="rId457" /><Relationship Type="http://schemas.openxmlformats.org/officeDocument/2006/relationships/hyperlink" Target="https://store.steampowered.com/app/528230/SYNTHETIK_Legion_Rising/" TargetMode="External" Id="rId458" /><Relationship Type="http://schemas.openxmlformats.org/officeDocument/2006/relationships/hyperlink" Target="https://store.steampowered.com/app/3337380/Tabletop_Tavern/" TargetMode="External" Id="rId459" /><Relationship Type="http://schemas.openxmlformats.org/officeDocument/2006/relationships/hyperlink" Target="https://store.steampowered.com/app/1199030/Tainted_Grail_Conquest/" TargetMode="External" Id="rId460" /><Relationship Type="http://schemas.openxmlformats.org/officeDocument/2006/relationships/hyperlink" Target="https://store.steampowered.com/app/2435090/Talented/" TargetMode="External" Id="rId461" /><Relationship Type="http://schemas.openxmlformats.org/officeDocument/2006/relationships/hyperlink" Target="https://store.steampowered.com/app/259680/Tales_of_MajEyal/" TargetMode="External" Id="rId462" /><Relationship Type="http://schemas.openxmlformats.org/officeDocument/2006/relationships/hyperlink" Target="https://store.steampowered.com/app/1725410/Talespinner/" TargetMode="External" Id="rId463" /><Relationship Type="http://schemas.openxmlformats.org/officeDocument/2006/relationships/hyperlink" Target="https://store.steampowered.com/app/628770/Tangledeep/" TargetMode="External" Id="rId464" /><Relationship Type="http://schemas.openxmlformats.org/officeDocument/2006/relationships/hyperlink" Target="https://store.steampowered.com/app/2245620/Tangy_TD/" TargetMode="External" Id="rId465" /><Relationship Type="http://schemas.openxmlformats.org/officeDocument/2006/relationships/hyperlink" Target="https://store.steampowered.com/app/1566200/Tape_to_Tape/" TargetMode="External" Id="rId466" /><Relationship Type="http://schemas.openxmlformats.org/officeDocument/2006/relationships/hyperlink" Target="https://store.steampowered.com/app/1913120/Tears_of_Metal/" TargetMode="External" Id="rId467" /><Relationship Type="http://schemas.openxmlformats.org/officeDocument/2006/relationships/hyperlink" Target="https://store.steampowered.com/app/2996040/Teenage_Mutant_Ninja_Turtles_Splintered_Fate/" TargetMode="External" Id="rId468" /><Relationship Type="http://schemas.openxmlformats.org/officeDocument/2006/relationships/hyperlink" Target="https://store.steampowered.com/app/1244800/Terraformers/" TargetMode="External" Id="rId469" /><Relationship Type="http://schemas.openxmlformats.org/officeDocument/2006/relationships/hyperlink" Target="https://store.steampowered.com/app/3596700/TerraTech_Legion/" TargetMode="External" Id="rId470" /><Relationship Type="http://schemas.openxmlformats.org/officeDocument/2006/relationships/hyperlink" Target="https://store.steampowered.com/app/113200/The_Binding_of_Isaac/" TargetMode="External" Id="rId471" /><Relationship Type="http://schemas.openxmlformats.org/officeDocument/2006/relationships/hyperlink" Target="https://store.steampowered.com/app/250900/The_Binding_of_Isaac_Rebirth/" TargetMode="External" Id="rId472" /><Relationship Type="http://schemas.openxmlformats.org/officeDocument/2006/relationships/hyperlink" Target="https://store.steampowered.com/app/318600/The_Flame_in_the_Flood/" TargetMode="External" Id="rId473" /><Relationship Type="http://schemas.openxmlformats.org/officeDocument/2006/relationships/hyperlink" Target="https://store.steampowered.com/app/2753900/The_King_is_Watching/" TargetMode="External" Id="rId474" /><Relationship Type="http://schemas.openxmlformats.org/officeDocument/2006/relationships/hyperlink" Target="https://store.steampowered.com/app/2563800/The_Last_Game/" TargetMode="External" Id="rId475" /><Relationship Type="http://schemas.openxmlformats.org/officeDocument/2006/relationships/hyperlink" Target="https://store.steampowered.com/app/1105670/The_Last_Spell/" TargetMode="External" Id="rId476" /><Relationship Type="http://schemas.openxmlformats.org/officeDocument/2006/relationships/hyperlink" Target="https://store.steampowered.com/app/1148650/The_Legend_of_BumBo/" TargetMode="External" Id="rId477" /><Relationship Type="http://schemas.openxmlformats.org/officeDocument/2006/relationships/hyperlink" Target="https://store.steampowered.com/app/2096510/The_Ouroboros_King/" TargetMode="External" Id="rId478" /><Relationship Type="http://schemas.openxmlformats.org/officeDocument/2006/relationships/hyperlink" Target="https://store.steampowered.com/app/2717880/The_Rogue_Prince_of_Persia/" TargetMode="External" Id="rId479" /><Relationship Type="http://schemas.openxmlformats.org/officeDocument/2006/relationships/hyperlink" Target="https://store.steampowered.com/app/1727590/THE_SPIRIT_LIFT/" TargetMode="External" Id="rId480" /><Relationship Type="http://schemas.openxmlformats.org/officeDocument/2006/relationships/hyperlink" Target="https://store.steampowered.com/app/986040/The_Unliving/" TargetMode="External" Id="rId481" /><Relationship Type="http://schemas.openxmlformats.org/officeDocument/2006/relationships/hyperlink" Target="https://store.steampowered.com/app/1056490/The_World_is_Your_Weapon/" TargetMode="External" Id="rId482" /><Relationship Type="http://schemas.openxmlformats.org/officeDocument/2006/relationships/hyperlink" Target="https://store.steampowered.com/app/2211390/Time_Survivors/" TargetMode="External" Id="rId483" /><Relationship Type="http://schemas.openxmlformats.org/officeDocument/2006/relationships/hyperlink" Target="https://store.steampowered.com/app/1290330/Time_Wasters/" TargetMode="External" Id="rId484" /><Relationship Type="http://schemas.openxmlformats.org/officeDocument/2006/relationships/hyperlink" Target="https://store.steampowered.com/app/3405540/Tiny_Auto_Knights" TargetMode="External" Id="rId485" /><Relationship Type="http://schemas.openxmlformats.org/officeDocument/2006/relationships/hyperlink" Target="https://store.steampowered.com/app/2088570/Tiny_Rogues/" TargetMode="External" Id="rId486" /><Relationship Type="http://schemas.openxmlformats.org/officeDocument/2006/relationships/hyperlink" Target="https://store.steampowered.com/app/1909420/Tinyfolks/" TargetMode="External" Id="rId487" /><Relationship Type="http://schemas.openxmlformats.org/officeDocument/2006/relationships/hyperlink" Target="https://store.steampowered.com/app/1165470/TombStar/" TargetMode="External" Id="rId488" /><Relationship Type="http://schemas.openxmlformats.org/officeDocument/2006/relationships/hyperlink" Target="https://store.steampowered.com/app/3601130/Touhou_Crawl/" TargetMode="External" Id="rId489" /><Relationship Type="http://schemas.openxmlformats.org/officeDocument/2006/relationships/hyperlink" Target="https://store.steampowered.com/app/1847150/Touhou_Genso_Wanderer_FORESIGHT/" TargetMode="External" Id="rId490" /><Relationship Type="http://schemas.openxmlformats.org/officeDocument/2006/relationships/hyperlink" Target="https://store.steampowered.com/app/1005120/Touhou_Genso_Wanderer_Lotus_Labyrinth_R/" TargetMode="External" Id="rId491" /><Relationship Type="http://schemas.openxmlformats.org/officeDocument/2006/relationships/hyperlink" Target="https://store.steampowered.com/app/2009860/Tower_Escape/" TargetMode="External" Id="rId492" /><Relationship Type="http://schemas.openxmlformats.org/officeDocument/2006/relationships/hyperlink" Target="https://store.steampowered.com/app/593700/Tower_Fortress/" TargetMode="External" Id="rId493" /><Relationship Type="http://schemas.openxmlformats.org/officeDocument/2006/relationships/hyperlink" Target="https://store.steampowered.com/app/266110/Tower_of_Guns/" TargetMode="External" Id="rId494" /><Relationship Type="http://schemas.openxmlformats.org/officeDocument/2006/relationships/hyperlink" Target="https://store.steampowered.com/app/1709900/Tower_Tactics_Liberation/" TargetMode="External" Id="rId495" /><Relationship Type="http://schemas.openxmlformats.org/officeDocument/2006/relationships/hyperlink" Target="https://store.steampowered.com/app/1038370/Trials_of_Fire/" TargetMode="External" Id="rId496" /><Relationship Type="http://schemas.openxmlformats.org/officeDocument/2006/relationships/hyperlink" Target="https://store.steampowered.com/app/457890/TumbleSeed/" TargetMode="External" Id="rId497" /><Relationship Type="http://schemas.openxmlformats.org/officeDocument/2006/relationships/hyperlink" Target="https://store.steampowered.com/app/3802470/Turnbound/" TargetMode="External" Id="rId498" /><Relationship Type="http://schemas.openxmlformats.org/officeDocument/2006/relationships/hyperlink" Target="https://store.steampowered.com/app/2259260/Tyrants_Realm/" TargetMode="External" Id="rId499" /><Relationship Type="http://schemas.openxmlformats.org/officeDocument/2006/relationships/hyperlink" Target="https://store.steampowered.com/app/1266820/Ultimate_ADOM__Caverns_of_Chaos/" TargetMode="External" Id="rId500" /><Relationship Type="http://schemas.openxmlformats.org/officeDocument/2006/relationships/hyperlink" Target="https://store.steampowered.com/app/3224770/Umamusume_Pretty_Derby/" TargetMode="External" Id="rId501" /><Relationship Type="http://schemas.openxmlformats.org/officeDocument/2006/relationships/hyperlink" Target="https://store.steampowered.com/app/656350/UnderMine/" TargetMode="External" Id="rId502" /><Relationship Type="http://schemas.openxmlformats.org/officeDocument/2006/relationships/hyperlink" Target="https://store.steampowered.com/app/351700/UnReal_World/" TargetMode="External" Id="rId503" /><Relationship Type="http://schemas.openxmlformats.org/officeDocument/2006/relationships/hyperlink" Target="https://store.steampowered.com/app/2206270/Vampire_Hunters/" TargetMode="External" Id="rId504" /><Relationship Type="http://schemas.openxmlformats.org/officeDocument/2006/relationships/hyperlink" Target="https://store.steampowered.com/app/1794680/Vampire_Survivors/" TargetMode="External" Id="rId505" /><Relationship Type="http://schemas.openxmlformats.org/officeDocument/2006/relationships/hyperlink" Target="https://store.steampowered.com/app/1135810/Vault_of_the_Void/" TargetMode="External" Id="rId506" /><Relationship Type="http://schemas.openxmlformats.org/officeDocument/2006/relationships/hyperlink" Target="https://store.steampowered.com/app/3741860/Vital_Shell/" TargetMode="External" Id="rId507" /><Relationship Type="http://schemas.openxmlformats.org/officeDocument/2006/relationships/hyperlink" Target="https://store.steampowered.com/app/857980/Void_Bastards/" TargetMode="External" Id="rId508" /><Relationship Type="http://schemas.openxmlformats.org/officeDocument/2006/relationships/hyperlink" Target="https://store.steampowered.com/app/2005210/Void_Scrappers/" TargetMode="External" Id="rId509" /><Relationship Type="http://schemas.openxmlformats.org/officeDocument/2006/relationships/hyperlink" Target="https://store.steampowered.com/app/1304680/Voidigo/" TargetMode="External" Id="rId510" /><Relationship Type="http://schemas.openxmlformats.org/officeDocument/2006/relationships/hyperlink" Target="https://store.steampowered.com/app/2464530/VOIN/" TargetMode="External" Id="rId511" /><Relationship Type="http://schemas.openxmlformats.org/officeDocument/2006/relationships/hyperlink" Target="https://store.steampowered.com/app/2187290/Wall_World/" TargetMode="External" Id="rId512" /><Relationship Type="http://schemas.openxmlformats.org/officeDocument/2006/relationships/hyperlink" Target="https://store.steampowered.com/app/3178350/WARRIORS_Abyss/" TargetMode="External" Id="rId513" /><Relationship Type="http://schemas.openxmlformats.org/officeDocument/2006/relationships/hyperlink" Target="https://store.steampowered.com/app/659540/Warsim_The_Realm_of_Aslona/" TargetMode="External" Id="rId514" /><Relationship Type="http://schemas.openxmlformats.org/officeDocument/2006/relationships/hyperlink" Target="https://store.steampowered.com/app/264160/WazHack/" TargetMode="External" Id="rId515" /><Relationship Type="http://schemas.openxmlformats.org/officeDocument/2006/relationships/hyperlink" Target="https://store.steampowered.com/app/307110/We_Need_To_Go_Deeper/" TargetMode="External" Id="rId516" /><Relationship Type="http://schemas.openxmlformats.org/officeDocument/2006/relationships/hyperlink" Target="https://store.steampowered.com/app/226120/Weird_Worlds_Return_to_Infinite_Space/" TargetMode="External" Id="rId517" /><Relationship Type="http://schemas.openxmlformats.org/officeDocument/2006/relationships/hyperlink" Target="https://store.steampowered.com/app/1016790/West_of_Dead/" TargetMode="External" Id="rId518" /><Relationship Type="http://schemas.openxmlformats.org/officeDocument/2006/relationships/hyperlink" Target="https://store.steampowered.com/app/1811990/Wildfrost/" TargetMode="External" Id="rId519" /><Relationship Type="http://schemas.openxmlformats.org/officeDocument/2006/relationships/hyperlink" Target="https://store.steampowered.com/app/4206270/Wireworks/" TargetMode="External" Id="rId520" /><Relationship Type="http://schemas.openxmlformats.org/officeDocument/2006/relationships/hyperlink" Target="https://store.steampowered.com/app/3156770/Witchfire/" TargetMode="External" Id="rId521" /><Relationship Type="http://schemas.openxmlformats.org/officeDocument/2006/relationships/hyperlink" Target="https://store.steampowered.com/app/445980/Wizard_of_Legend/" TargetMode="External" Id="rId522" /><Relationship Type="http://schemas.openxmlformats.org/officeDocument/2006/relationships/hyperlink" Target="https://store.steampowered.com/app/2193540/Wizard_of_Legend_2/" TargetMode="External" Id="rId523" /><Relationship Type="http://schemas.openxmlformats.org/officeDocument/2006/relationships/hyperlink" Target="https://store.steampowered.com/app/1274210/WizardChess/" TargetMode="External" Id="rId524" /><Relationship Type="http://schemas.openxmlformats.org/officeDocument/2006/relationships/hyperlink" Target="https://store.steampowered.com/app/3140120/Wordatro/" TargetMode="External" Id="rId525" /><Relationship Type="http://schemas.openxmlformats.org/officeDocument/2006/relationships/hyperlink" Target="https://store.steampowered.com/app/1732090/Words_Can_Kill/" TargetMode="External" Id="rId526" /><Relationship Type="http://schemas.openxmlformats.org/officeDocument/2006/relationships/hyperlink" Target="https://store.steampowered.com/app/3640430/Worlds_Upon_The_Wind/" TargetMode="External" Id="rId527" /><Relationship Type="http://schemas.openxmlformats.org/officeDocument/2006/relationships/hyperlink" Target="https://store.steampowered.com/app/2163330/Yet_Another_Zombie_Survivors/" TargetMode="External" Id="rId528" /><Relationship Type="http://schemas.openxmlformats.org/officeDocument/2006/relationships/hyperlink" Target="https://store.steampowered.com/app/2459750/Yohane_the_Parhelion__NUMAZU_in_the_MIRAGE/" TargetMode="External" Id="rId529" /><Relationship Type="http://schemas.openxmlformats.org/officeDocument/2006/relationships/hyperlink" Target="https://store.steampowered.com/app/1732070/ZHP_Unlosing_Ranger_vs_Darkdeath_Evilman/" TargetMode="External" Id="rId530" /><Relationship Type="http://schemas.openxmlformats.org/officeDocument/2006/relationships/hyperlink" Target="https://store.steampowered.com/app/2229560/Zet_Zillions/" TargetMode="External" Id="rId531" /><Relationship Type="http://schemas.openxmlformats.org/officeDocument/2006/relationships/hyperlink" Target="https://store.steampowered.com/app/308420/Ziggurat/" TargetMode="External" Id="rId532" /><Relationship Type="http://schemas.openxmlformats.org/officeDocument/2006/relationships/hyperlink" Target="https://store.steampowered.com/app/1159560/Ziggurat_2/" TargetMode="External" Id="rId533" /><Relationship Type="http://schemas.openxmlformats.org/officeDocument/2006/relationships/hyperlink" Target="https://store.steampowered.com/app/1434540/Zoeti/" TargetMode="External" Id="rId534" /><Relationship Type="http://schemas.openxmlformats.org/officeDocument/2006/relationships/hyperlink" Target="https://store.steampowered.com/app/3282420/Zoominoes/" TargetMode="External" Id="rId535" /><Relationship Type="http://schemas.openxmlformats.org/officeDocument/2006/relationships/hyperlink" Target="https://store.steampowered.com/app/2125420/Zorbus/" TargetMode="External" Id="rId536" /><Relationship Type="http://schemas.openxmlformats.org/officeDocument/2006/relationships/table" Target="/xl/tables/table1.xml" Id="rId53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x.com/mumpitzgames/status/1925572756806017381" TargetMode="External" Id="rId2" /><Relationship Type="http://schemas.openxmlformats.org/officeDocument/2006/relationships/hyperlink" Target="https://store.steampowered.com/app/3333700/The_Royal_Writ/" TargetMode="External" Id="rId3" /><Relationship Type="http://schemas.openxmlformats.org/officeDocument/2006/relationships/hyperlink" Target="https://www.akuparagames.com/2026/06/09/meeting-mankibo-the-team-behind-montabi/" TargetMode="External" Id="rId4" /><Relationship Type="http://schemas.openxmlformats.org/officeDocument/2006/relationships/hyperlink" Target="https://www.reddit.com/r/roguelikes/comments/1kanmof/crablike_an_underwater_dungeon_crawler/" TargetMode="External" Id="rId5" /><Relationship Type="http://schemas.openxmlformats.org/officeDocument/2006/relationships/hyperlink" Target="https://www.youtube.com/watch?v=JXv8hQguGCI" TargetMode="External" Id="rId6" /><Relationship Type="http://schemas.openxmlformats.org/officeDocument/2006/relationships/hyperlink" Target="https://frozendepths.net/roguelike/info.php" TargetMode="External" Id="rId7" /><Relationship Type="http://schemas.openxmlformats.org/officeDocument/2006/relationships/hyperlink" Target="https://roguebasin.com/index.php/GearHead_Caramel" TargetMode="External" Id="rId8" /><Relationship Type="http://schemas.openxmlformats.org/officeDocument/2006/relationships/hyperlink" Target="https://zenorogue.blogspot.com/search/label/sources" TargetMode="External" Id="rId9" /><Relationship Type="http://schemas.openxmlformats.org/officeDocument/2006/relationships/hyperlink" Target="https://roguebasin.com/index.php/LambdaRogue" TargetMode="External" Id="rId10" /><Relationship Type="http://schemas.openxmlformats.org/officeDocument/2006/relationships/hyperlink" Target="http://www.zincland.com/powder/?pagename=about" TargetMode="External" Id="rId11" /><Relationship Type="http://schemas.openxmlformats.org/officeDocument/2006/relationships/hyperlink" Target="https://www.patreon.com/roguempire/about" TargetMode="External" Id="rId12" /><Relationship Type="http://schemas.openxmlformats.org/officeDocument/2006/relationships/hyperlink" Target="https://www.shadowofthewyrm.org/about.html" TargetMode="External" Id="rId13" /><Relationship Type="http://schemas.openxmlformats.org/officeDocument/2006/relationships/hyperlink" Target="https://x.com/ArturSmiarowski/status/1870390372389597210" TargetMode="External" Id="rId14" /><Relationship Type="http://schemas.openxmlformats.org/officeDocument/2006/relationships/hyperlink" Target="https://www.roguebasin.com/index.php/Sproggiwood" TargetMode="External" Id="rId15" /><Relationship Type="http://schemas.openxmlformats.org/officeDocument/2006/relationships/hyperlink" Target="https://www.kickstarter.com/projects/1926605606/stoneshard-open-world-roguelike-rpg-with-tactical" TargetMode="External" Id="rId16" /><Relationship Type="http://schemas.openxmlformats.org/officeDocument/2006/relationships/hyperlink" Target="https://x.com/tametick/status/1202248124221272064" TargetMode="External" Id="rId17" /><Relationship Type="http://schemas.openxmlformats.org/officeDocument/2006/relationships/hyperlink" Target="https://roguebasin.com/index.php/Crablike" TargetMode="External" Id="rId18" /><Relationship Type="http://schemas.openxmlformats.org/officeDocument/2006/relationships/hyperlink" Target="https://roguebasin.com/index.php?title=Diablo" TargetMode="External" Id="rId19" /><Relationship Type="http://schemas.openxmlformats.org/officeDocument/2006/relationships/hyperlink" Target="https://www.youtube.com/watch?v=JXv8hQguGCI" TargetMode="External" Id="rId20" /><Relationship Type="http://schemas.openxmlformats.org/officeDocument/2006/relationships/hyperlink" Target="https://roguebasin.com/index.php/LambdaRogue" TargetMode="External" Id="rId21" /><Relationship Type="http://schemas.openxmlformats.org/officeDocument/2006/relationships/hyperlink" Target="http://www.zincland.com/powder/?pagename=about" TargetMode="External" Id="rId22" /><Relationship Type="http://schemas.openxmlformats.org/officeDocument/2006/relationships/hyperlink" Target="https://roguebasin.com/index.php/Sil" TargetMode="External" Id="rId23" /><Relationship Type="http://schemas.openxmlformats.org/officeDocument/2006/relationships/hyperlink" Target="https://roguebasin.com/index.php/The_Ground_Gives_Way" TargetMode="External" Id="rId24" /><Relationship Type="http://schemas.openxmlformats.org/officeDocument/2006/relationships/hyperlink" Target="https://roguebasin.com/index.php/Zangband" TargetMode="External" Id="rId25" /><Relationship Type="http://schemas.openxmlformats.org/officeDocument/2006/relationships/hyperlink" Target="https://roguebasin.com/index.php/ZMAngband" TargetMode="External" Id="rId26" /><Relationship Type="http://schemas.openxmlformats.org/officeDocument/2006/relationships/hyperlink" Target="https://steamcommunity.com/app/1830970/discussions/0/6660355571253835571/" TargetMode="External" Id="rId27" /><Relationship Type="http://schemas.openxmlformats.org/officeDocument/2006/relationships/hyperlink" Target="https://store.steampowered.com/app/2479320/Pesticide_Not_Required/" TargetMode="External" Id="rId28" /><Relationship Type="http://schemas.openxmlformats.org/officeDocument/2006/relationships/hyperlink" Target="https://www.youtube.com/watch?v=kYUYXX5vdkU" TargetMode="External" Id="rId29" /><Relationship Type="http://schemas.openxmlformats.org/officeDocument/2006/relationships/hyperlink" Target="http://www.roguelikeradio.com/2019/02/episode-151-haque.html" TargetMode="External" Id="rId30" /><Relationship Type="http://schemas.openxmlformats.org/officeDocument/2006/relationships/hyperlink" Target="https://x.com/GrimorioG/status/1213196249509376001?s=20" TargetMode="External" Id="rId31" /><Relationship Type="http://schemas.openxmlformats.org/officeDocument/2006/relationships/hyperlink" Target="https://www.reddit.com/r/IndieGaming/comments/1iooyqr/roguelike_autobattler_cute_creatures_what_do_you/" TargetMode="External" Id="rId32" /><Relationship Type="http://schemas.openxmlformats.org/officeDocument/2006/relationships/hyperlink" Target="https://codetheory.itch.io/lootplot-playtest" TargetMode="External" Id="rId33" /><Relationship Type="http://schemas.openxmlformats.org/officeDocument/2006/relationships/hyperlink" Target="https://x.com/mumpitzgames/status/1925572756806017381" TargetMode="External" Id="rId34" /><Relationship Type="http://schemas.openxmlformats.org/officeDocument/2006/relationships/hyperlink" Target="https://youtu.be/DY-KwfFTU9g" TargetMode="External" Id="rId35" /><Relationship Type="http://schemas.openxmlformats.org/officeDocument/2006/relationships/hyperlink" Target="https://www.reddit.com/r/IndieGaming/comments/13vr0mm/comment/jm7alk0/?context=3" TargetMode="External" Id="rId36" /><Relationship Type="http://schemas.openxmlformats.org/officeDocument/2006/relationships/hyperlink" Target="https://x.com/Mudita_Games/status/1988179400454500794" TargetMode="External" Id="rId37" /><Relationship Type="http://schemas.openxmlformats.org/officeDocument/2006/relationships/hyperlink" Target="https://steamcommunity.com/app/1494560/discussions/0/4335355681660890217/" TargetMode="External" Id="rId38" /><Relationship Type="http://schemas.openxmlformats.org/officeDocument/2006/relationships/hyperlink" Target="https://store.steampowered.com/app/3823370/Beyond_Words/" TargetMode="External" Id="rId39" /><Relationship Type="http://schemas.openxmlformats.org/officeDocument/2006/relationships/hyperlink" Target="https://youtu.be/HyhYA69y62c" TargetMode="External" Id="rId40" /><Relationship Type="http://schemas.openxmlformats.org/officeDocument/2006/relationships/hyperlink" Target="https://forum.gamemaker.io/index.php?threads/cats-dice-a-big-number-dice-building-roguelike-inspired-by-games-such-as-balatro-and-slice-dice.114871/" TargetMode="External" Id="rId41" /><Relationship Type="http://schemas.openxmlformats.org/officeDocument/2006/relationships/hyperlink" Target="https://x.com/CraftmosGames/status/2032372023327146439?s=20" TargetMode="External" Id="rId42" /><Relationship Type="http://schemas.openxmlformats.org/officeDocument/2006/relationships/hyperlink" Target="https://store.steampowered.com/app/3314790/CloverPit/" TargetMode="External" Id="rId43" /><Relationship Type="http://schemas.openxmlformats.org/officeDocument/2006/relationships/hyperlink" Target="https://www.gamespress.com/Solo-Developer-Bigosaur-Launches-Basketball-Roguelike-Clutchtime-Baske" TargetMode="External" Id="rId44" /><Relationship Type="http://schemas.openxmlformats.org/officeDocument/2006/relationships/hyperlink" Target="https://www.reddit.com/r/roguelites/comments/1u78c4e/2_years_later_my_solo_pinball_roguelike_project/" TargetMode="External" Id="rId45" /><Relationship Type="http://schemas.openxmlformats.org/officeDocument/2006/relationships/hyperlink" Target="https://www.youtube.com/watch?v=7SjRhK9wdEE" TargetMode="External" Id="rId46" /><Relationship Type="http://schemas.openxmlformats.org/officeDocument/2006/relationships/hyperlink" Target="https://rocketadrift.itch.io/dead-finger-dice-a-billionaire-killing-game/devlog/963841/dead-finger-dice-demo-out-now" TargetMode="External" Id="rId47" /><Relationship Type="http://schemas.openxmlformats.org/officeDocument/2006/relationships/hyperlink" Target="https://www.reddit.com/r/IndieGaming/comments/1pjdyue/bucket_list_item_complete_presenting_at_day_of/" TargetMode="External" Id="rId48" /><Relationship Type="http://schemas.openxmlformats.org/officeDocument/2006/relationships/hyperlink" Target="https://www.pocketgamer.com/gambonanza/developer-interview/" TargetMode="External" Id="rId49" /><Relationship Type="http://schemas.openxmlformats.org/officeDocument/2006/relationships/hyperlink" Target="https://bscotch.itch.io/how-many-dudes" TargetMode="External" Id="rId50" /><Relationship Type="http://schemas.openxmlformats.org/officeDocument/2006/relationships/hyperlink" Target="https://codetheory.itch.io/lootplot-playtest" TargetMode="External" Id="rId51" /><Relationship Type="http://schemas.openxmlformats.org/officeDocument/2006/relationships/hyperlink" Target="https://x.com/PlayLuckyShot/status/2084999450808782908" TargetMode="External" Id="rId52" /><Relationship Type="http://schemas.openxmlformats.org/officeDocument/2006/relationships/hyperlink" Target="https://www.youtube.com/watch?v=cjh1J2AuT_4" TargetMode="External" Id="rId53" /><Relationship Type="http://schemas.openxmlformats.org/officeDocument/2006/relationships/hyperlink" Target="https://store.steampowered.com/app/3205380/Omelet_You_Cook/" TargetMode="External" Id="rId54"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55" /><Relationship Type="http://schemas.openxmlformats.org/officeDocument/2006/relationships/hyperlink" Target="https://x.com/MrMorrisGames/status/2030327854383190254" TargetMode="External" Id="rId56" /><Relationship Type="http://schemas.openxmlformats.org/officeDocument/2006/relationships/hyperlink" Target="https://store.steampowered.com/app/2797650/Pip_My_Dice/" TargetMode="External" Id="rId57" /><Relationship Type="http://schemas.openxmlformats.org/officeDocument/2006/relationships/hyperlink" Target="https://retconmagazine.com/how-raccoin-a-game-about-watching-a-machine-push-coins-came-to-life-interview/" TargetMode="External" Id="rId58" /><Relationship Type="http://schemas.openxmlformats.org/officeDocument/2006/relationships/hyperlink" Target="https://x.com/brainoidgames/status/1925653290278121609" TargetMode="External" Id="rId59" /><Relationship Type="http://schemas.openxmlformats.org/officeDocument/2006/relationships/hyperlink" Target="https://steamcommunity.com/games/2904290/announcements/detail/4185610799649293674" TargetMode="External" Id="rId60" /><Relationship Type="http://schemas.openxmlformats.org/officeDocument/2006/relationships/hyperlink" Target="https://x.com/CLLC_studio/status/1925866594078453892" TargetMode="External" Id="rId61" /><Relationship Type="http://schemas.openxmlformats.org/officeDocument/2006/relationships/hyperlink" Target="https://www.reddit.com/r/pcgaming/comments/1ix1kj1/we_are_the_developers_of_runeborn_a_dark_fantasy/" TargetMode="External" Id="rId62" /><Relationship Type="http://schemas.openxmlformats.org/officeDocument/2006/relationships/hyperlink" Target="https://www.reddit.com/r/deckbuildingroguelike/comments/1qszp8o/runeveil_sts_meets_balatro_is_on_steam/" TargetMode="External" Id="rId63" /><Relationship Type="http://schemas.openxmlformats.org/officeDocument/2006/relationships/hyperlink" Target="https://store.steampowered.com/app/3496890/Slot_or_Not/" TargetMode="External" Id="rId64" /><Relationship Type="http://schemas.openxmlformats.org/officeDocument/2006/relationships/hyperlink" Target="https://www.reddit.com/r/Games/comments/1giltps/sodaman_tape_corps_balatro_inspired_roguelite/" TargetMode="External" Id="rId65" /><Relationship Type="http://schemas.openxmlformats.org/officeDocument/2006/relationships/hyperlink" Target="https://www.youtube.com/watch?v=ZVQBDWbGPIg" TargetMode="External" Id="rId66" /><Relationship Type="http://schemas.openxmlformats.org/officeDocument/2006/relationships/hyperlink" Target="https://store.steampowered.com/app/2902440/Steves_Warehouse_Physics_Roguelike_Chaos/" TargetMode="External" Id="rId67" /><Relationship Type="http://schemas.openxmlformats.org/officeDocument/2006/relationships/hyperlink" Target="https://store.steampowered.com/app/3333700/The_Royal_Writ/" TargetMode="External" Id="rId68" /><Relationship Type="http://schemas.openxmlformats.org/officeDocument/2006/relationships/hyperlink" Target="https://gmtk.substack.com/p/how-i-made-word-play" TargetMode="External" Id="rId69" /><Relationship Type="http://schemas.openxmlformats.org/officeDocument/2006/relationships/hyperlink" Target="https://www.youtube.com/watch?v=9MTnAtXsJn0" TargetMode="External" Id="rId70" /><Relationship Type="http://schemas.openxmlformats.org/officeDocument/2006/relationships/hyperlink" Target="https://www.youtube.com/watch?v=cjh1J2AuT_4" TargetMode="External" Id="rId71" /><Relationship Type="http://schemas.openxmlformats.org/officeDocument/2006/relationships/hyperlink" Target="https://store.steampowered.com/app/3205380/Omelet_You_Cook/" TargetMode="External" Id="rId72" /><Relationship Type="http://schemas.openxmlformats.org/officeDocument/2006/relationships/hyperlink" Target="https://gamerant.com/the-last-spell-game-interview-launch-dlc/" TargetMode="External" Id="rId73" /><Relationship Type="http://schemas.openxmlformats.org/officeDocument/2006/relationships/hyperlink" Target="https://youtu.be/VGMszILvj78" TargetMode="External" Id="rId74" /><Relationship Type="http://schemas.openxmlformats.org/officeDocument/2006/relationships/hyperlink" Target="https://www.ign.com/articles/claim-a-key-for-hellcard-the-turn-based-deckbuilding-rogue-lite-from-book-of-demons-developer" TargetMode="External" Id="rId75" /><Relationship Type="http://schemas.openxmlformats.org/officeDocument/2006/relationships/hyperlink" Target="https://steamcommunity.com/app/1823390/discussions/2/6893400166994423780/" TargetMode="External" Id="rId76" /><Relationship Type="http://schemas.openxmlformats.org/officeDocument/2006/relationships/hyperlink" Target="https://roguebasin.com/index.php/Labyrinth_of_Legendary_Loot" TargetMode="External" Id="rId77" /><Relationship Type="http://schemas.openxmlformats.org/officeDocument/2006/relationships/hyperlink" Target="https://roguebasin.com/index.php/Pixel_Dungeon" TargetMode="External" Id="rId78" /><Relationship Type="http://schemas.openxmlformats.org/officeDocument/2006/relationships/hyperlink" Target="https://roguebasin.com/index.php/ROGUE-FP" TargetMode="External" Id="rId79" /><Relationship Type="http://schemas.openxmlformats.org/officeDocument/2006/relationships/hyperlink" Target="https://steamcommunity.com/app/371430/discussions/0/494631967651210890/" TargetMode="External" Id="rId80" /><Relationship Type="http://schemas.openxmlformats.org/officeDocument/2006/relationships/hyperlink" Target="https://steamcommunity.com/app/506870/discussions/0/1354868867726398236/" TargetMode="External" Id="rId81" /><Relationship Type="http://schemas.openxmlformats.org/officeDocument/2006/relationships/hyperlink" Target="https://www.youtube.com/watch?v=G8e_zxWb3QA" TargetMode="External" Id="rId82" /><Relationship Type="http://schemas.openxmlformats.org/officeDocument/2006/relationships/hyperlink" Target="https://steamcommunity.com/app/3100310/discussions/0/735910198043224446/" TargetMode="External" Id="rId83" /><Relationship Type="http://schemas.openxmlformats.org/officeDocument/2006/relationships/hyperlink" Target="https://caifuhao.eastmoney.com/news/20260725235351583816280" TargetMode="External" Id="rId84" /><Relationship Type="http://schemas.openxmlformats.org/officeDocument/2006/relationships/hyperlink" Target="https://x.com/9fingergames/status/1702411051290006007" TargetMode="External" Id="rId85" /><Relationship Type="http://schemas.openxmlformats.org/officeDocument/2006/relationships/hyperlink" Target="https://x.com/nikkonikkoLTD/status/1984291038723457227?s=20" TargetMode="External" Id="rId86" /><Relationship Type="http://schemas.openxmlformats.org/officeDocument/2006/relationships/hyperlink" Target="https://gamingtrend.com/previews/little-angels-maid-survivors-preview-playx4-a-brotato-esque-horde-survival-game-with-anime-packaging-and-evolutions-to-the-genre/" TargetMode="External" Id="rId87" /><Relationship Type="http://schemas.openxmlformats.org/officeDocument/2006/relationships/hyperlink" Target="https://store.steampowered.com/app/2225960/Noobs_Are_Coming/" TargetMode="External" Id="rId88" /><Relationship Type="http://schemas.openxmlformats.org/officeDocument/2006/relationships/hyperlink" Target="https://store.steampowered.com/app/2479320/Pesticide_Not_Required/" TargetMode="External" Id="rId89" /><Relationship Type="http://schemas.openxmlformats.org/officeDocument/2006/relationships/hyperlink" Target="https://www.youtube.com/watch?v=kYUYXX5vdkU" TargetMode="External" Id="rId90" /><Relationship Type="http://schemas.openxmlformats.org/officeDocument/2006/relationships/hyperlink" Target="https://www.reddit.com/r/Games/comments/16x0fkk/shape_shifter_formations_castec_studios_an_action/" TargetMode="External" Id="rId9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92" /><Relationship Type="http://schemas.openxmlformats.org/officeDocument/2006/relationships/hyperlink" Target="https://store.steampowered.com/app/3314790/CloverPit/" TargetMode="External" Id="rId93" /><Relationship Type="http://schemas.openxmlformats.org/officeDocument/2006/relationships/hyperlink" Target="https://www.reddit.com/r/Games/comments/2osauc/hi_rgames_were_a_group_of_aaa_and_exaaa/" TargetMode="External" Id="rId94" /><Relationship Type="http://schemas.openxmlformats.org/officeDocument/2006/relationships/hyperlink" Target="https://roguebasin.com/index.php/ZMAngband" TargetMode="External" Id="rId95" /><Relationship Type="http://schemas.openxmlformats.org/officeDocument/2006/relationships/hyperlink" Target="https://roguebasin.com/index.php/Cataclysm:_Bright_Nights" TargetMode="External" Id="rId96" /><Relationship Type="http://schemas.openxmlformats.org/officeDocument/2006/relationships/hyperlink" Target="https://roguebasin.com/index.php/CataclysmDDA" TargetMode="External" Id="rId97" /><Relationship Type="http://schemas.openxmlformats.org/officeDocument/2006/relationships/hyperlink" Target="https://www.youtube.com/watch?v=DASCE8BbvOI&amp;t=1s%20(Got%20to%20play%20the%20kickstarter%20version%20early)" TargetMode="External" Id="rId98" /><Relationship Type="http://schemas.openxmlformats.org/officeDocument/2006/relationships/hyperlink" Target="https://gonintendo.com/contents/37637-tmnt-splintered-fate-devs-say-they-were-inspired-by-hades-dead-cells-and-more" TargetMode="External" Id="rId99" /><Relationship Type="http://schemas.openxmlformats.org/officeDocument/2006/relationships/hyperlink" Target="https://www.reddit.com/r/roguelikes/comments/fwbx5g/mainframe_defenders_cogmind_inspired_tactics/" TargetMode="External" Id="rId100" /><Relationship Type="http://schemas.openxmlformats.org/officeDocument/2006/relationships/hyperlink" Target="https://steamcommunity.com/app/1519490/discussions/0/5456682769556329213/" TargetMode="External" Id="rId101" /><Relationship Type="http://schemas.openxmlformats.org/officeDocument/2006/relationships/hyperlink" Target="https://malcolmsith.newgrounds.com/news/post/1504514" TargetMode="External" Id="rId102" /><Relationship Type="http://schemas.openxmlformats.org/officeDocument/2006/relationships/hyperlink" Target="https://rogueliker.com/vellum-inspirations/" TargetMode="External" Id="rId103" /><Relationship Type="http://schemas.openxmlformats.org/officeDocument/2006/relationships/hyperlink" Target="https://www.reddit.com/r/IAmA/comments/4po4pn/i_am_the_developer_of_20xx_the_megaman_xinspired/" TargetMode="External" Id="rId104" /><Relationship Type="http://schemas.openxmlformats.org/officeDocument/2006/relationships/hyperlink" Target="https://en.wikipedia.org/wiki/BPM:_Bullets_Per_Minute" TargetMode="External" Id="rId105" /><Relationship Type="http://schemas.openxmlformats.org/officeDocument/2006/relationships/hyperlink" Target="https://www.youtube.com/watch?v=dfLSGkKC2ug" TargetMode="External" Id="rId106" /><Relationship Type="http://schemas.openxmlformats.org/officeDocument/2006/relationships/hyperlink" Target="https://www.reddit.com/r/Games/comments/1syyjc8/ama_demon_lord_just_a_block_the_gridbased/" TargetMode="External" Id="rId107" /><Relationship Type="http://schemas.openxmlformats.org/officeDocument/2006/relationships/hyperlink" Target="https://zenorogue.blogspot.com/search/label/sources" TargetMode="External" Id="rId108" /><Relationship Type="http://schemas.openxmlformats.org/officeDocument/2006/relationships/hyperlink" Target="https://mcvuk.com/business-news/when-we-made-wildfrost/" TargetMode="External" Id="rId109" /><Relationship Type="http://schemas.openxmlformats.org/officeDocument/2006/relationships/hyperlink" Target="https://www.nettosgameroom.com/2025/09/interview-with-team-tapas-creators-of.html" TargetMode="External" Id="rId110" /><Relationship Type="http://schemas.openxmlformats.org/officeDocument/2006/relationships/hyperlink" Target="https://caifuhao.eastmoney.com/news/20260725235351583816280" TargetMode="External" Id="rId111" /><Relationship Type="http://schemas.openxmlformats.org/officeDocument/2006/relationships/hyperlink" Target="https://mcvuk.com/business-news/when-we-made-wildfrost/" TargetMode="External" Id="rId112" /><Relationship Type="http://schemas.openxmlformats.org/officeDocument/2006/relationships/hyperlink" Target="https://www.reddit.com/r/IndieGaming/comments/evnabb/a_short_impression_of_insurmountable_our_new_game/" TargetMode="External" Id="rId113" /><Relationship Type="http://schemas.openxmlformats.org/officeDocument/2006/relationships/hyperlink" Target="https://x.com/studio_goblinz/status/1703121970680807815?s=20" TargetMode="External" Id="rId114" /><Relationship Type="http://schemas.openxmlformats.org/officeDocument/2006/relationships/hyperlink" Target="https://steamcommunity.com/app/2735580/discussions/0/595152144826392997/" TargetMode="External" Id="rId115" /><Relationship Type="http://schemas.openxmlformats.org/officeDocument/2006/relationships/hyperlink" Target="https://www.scousegamer88.com/2021/03/31/astral-ascent-hibernian-workshop-interview/" TargetMode="External" Id="rId116" /><Relationship Type="http://schemas.openxmlformats.org/officeDocument/2006/relationships/hyperlink" Target="https://www.reddit.com/r/pcgaming/comments/1kxi8ze/as_we_descend_strategy_roguelike_deckbuilder/" TargetMode="External" Id="rId117" /><Relationship Type="http://schemas.openxmlformats.org/officeDocument/2006/relationships/hyperlink" Target="https://www.kickstarter.com/projects/thermitegames/corpse-keeper" TargetMode="External" Id="rId118" /><Relationship Type="http://schemas.openxmlformats.org/officeDocument/2006/relationships/hyperlink" Target="https://youtu.be/tbs9o6bck1U" TargetMode="External" Id="rId119" /><Relationship Type="http://schemas.openxmlformats.org/officeDocument/2006/relationships/hyperlink" Target="https://steamcommunity.com/app/1016730/discussions/0/1814296907961762044/" TargetMode="External" Id="rId120" /><Relationship Type="http://schemas.openxmlformats.org/officeDocument/2006/relationships/hyperlink" Target="https://www.pcgamer.com/turn-based-roguelike-deep-sky-derelicts-channels-darkest-dungeon-in-space/" TargetMode="External" Id="rId121" /><Relationship Type="http://schemas.openxmlformats.org/officeDocument/2006/relationships/hyperlink" Target="https://www.gamespress.com/Die-For-The-Lich-is-coming-to-Early-Access-on-November-10th-2025" TargetMode="External" Id="rId122" /><Relationship Type="http://schemas.openxmlformats.org/officeDocument/2006/relationships/hyperlink" Target="https://steamcommunity.com/app/429620/discussions/0/352788552271906911/" TargetMode="External" Id="rId123" /><Relationship Type="http://schemas.openxmlformats.org/officeDocument/2006/relationships/hyperlink" Target="https://www.reddit.com/r/roguelites/comments/r8cay9/weve_been_developing_the_roguelite_escape_the_mad/" TargetMode="External" Id="rId124" /><Relationship Type="http://schemas.openxmlformats.org/officeDocument/2006/relationships/hyperlink" Target="https://www.youtube.com/watch?v=ZqMZqQ-wrko" TargetMode="External" Id="rId125" /><Relationship Type="http://schemas.openxmlformats.org/officeDocument/2006/relationships/hyperlink" Target="https://iratus.org/faq" TargetMode="External" Id="rId126" /><Relationship Type="http://schemas.openxmlformats.org/officeDocument/2006/relationships/hyperlink" Target="https://x.com/NadirTheGame/status/1585925975115702273?s=20" TargetMode="External" Id="rId127" /><Relationship Type="http://schemas.openxmlformats.org/officeDocument/2006/relationships/hyperlink" Target="https://x.com/studio_goblinz/status/1703121970680807815?s=20" TargetMode="External" Id="rId128" /><Relationship Type="http://schemas.openxmlformats.org/officeDocument/2006/relationships/hyperlink" Target="https://shogunshowdown.wiki.gg/wiki/Shogun_Showdown" TargetMode="External" Id="rId129" /><Relationship Type="http://schemas.openxmlformats.org/officeDocument/2006/relationships/hyperlink" Target="https://www.reddit.com/r/IAmA/comments/aj6sq1/comment/eet5qh4/" TargetMode="External" Id="rId130" /><Relationship Type="http://schemas.openxmlformats.org/officeDocument/2006/relationships/hyperlink" Target="https://www.kickstarter.com/projects/1926605606/stoneshard-open-world-roguelike-rpg-with-tactical" TargetMode="External" Id="rId131" /><Relationship Type="http://schemas.openxmlformats.org/officeDocument/2006/relationships/hyperlink" Target="https://www.reddit.com/r/indiegames/comments/171yt60/our_first_gamevoice_of_belldonademo_release/" TargetMode="External" Id="rId132" /><Relationship Type="http://schemas.openxmlformats.org/officeDocument/2006/relationships/hyperlink" Target="https://store.steampowered.com/news/app/3590290/view/508482584447025703" TargetMode="External" Id="rId133" /><Relationship Type="http://schemas.openxmlformats.org/officeDocument/2006/relationships/hyperlink" Target="https://www.polygon.com/absolum-roguelike-interview-dotemu-guard-crush/" TargetMode="External" Id="rId134" /><Relationship Type="http://schemas.openxmlformats.org/officeDocument/2006/relationships/hyperlink" Target="https://x.com/AnAmazingWizard/status/1489554155597352962?s=20" TargetMode="External" Id="rId135" /><Relationship Type="http://schemas.openxmlformats.org/officeDocument/2006/relationships/hyperlink" Target="https://x.com/monstertheaterx/status/1819715822203355558?s=20" TargetMode="External" Id="rId136" /><Relationship Type="http://schemas.openxmlformats.org/officeDocument/2006/relationships/hyperlink" Target="https://80.lv/articles/battle-shapers-how-blender-unity-helped-create-the-game-s-vibrant-world" TargetMode="External" Id="rId137" /><Relationship Type="http://schemas.openxmlformats.org/officeDocument/2006/relationships/hyperlink" Target="https://www.reddit.com/r/IndieGaming/comments/1pji5gu/dunjungle_the_monkey_action_roguelite_is_out_on/" TargetMode="External" Id="rId138" /><Relationship Type="http://schemas.openxmlformats.org/officeDocument/2006/relationships/hyperlink" Target="https://store.steampowered.com/app/465200/Fury_Unleashed/" TargetMode="External" Id="rId139" /><Relationship Type="http://schemas.openxmlformats.org/officeDocument/2006/relationships/hyperlink" Target="https://x.com/JFGamesPR/status/1803711115047625170" TargetMode="External" Id="rId140" /><Relationship Type="http://schemas.openxmlformats.org/officeDocument/2006/relationships/hyperlink" Target="https://x.com/VoidmawGames/status/2024503993805000848?s=20" TargetMode="External" Id="rId141" /><Relationship Type="http://schemas.openxmlformats.org/officeDocument/2006/relationships/hyperlink" Target="https://noisypixel.net/metal-unit-interview-waifus-2d-action-felix-soumpholphakdy/" TargetMode="External" Id="rId142" /><Relationship Type="http://schemas.openxmlformats.org/officeDocument/2006/relationships/hyperlink" Target="https://www.thecgview.com/p/roboquest-developer-interview" TargetMode="External" Id="rId143" /><Relationship Type="http://schemas.openxmlformats.org/officeDocument/2006/relationships/hyperlink" Target="https://www.reddit.com/r/roguelites/comments/m2341u/space_gladiators_my_isaac_inspired_grotesque/" TargetMode="External" Id="rId144" /><Relationship Type="http://schemas.openxmlformats.org/officeDocument/2006/relationships/hyperlink" Target="https://gonintendo.com/contents/37637-tmnt-splintered-fate-devs-say-they-were-inspired-by-hades-dead-cells-and-more" TargetMode="External" Id="rId145" /><Relationship Type="http://schemas.openxmlformats.org/officeDocument/2006/relationships/hyperlink" Target="https://www.cbr.com/rogue-prince-of-persia-asadi-xye-dylan-eurlings-interview/" TargetMode="External" Id="rId146" /><Relationship Type="http://schemas.openxmlformats.org/officeDocument/2006/relationships/hyperlink" Target="https://en.wikipedia.org/wiki/Windblown" TargetMode="External" Id="rId147" /><Relationship Type="http://schemas.openxmlformats.org/officeDocument/2006/relationships/hyperlink" Target="https://youtu.be/VGMszILvj78" TargetMode="External" Id="rId148" /><Relationship Type="http://schemas.openxmlformats.org/officeDocument/2006/relationships/hyperlink" Target="https://www.reddit.com/r/Games/comments/1giltps/sodaman_tape_corps_balatro_inspired_roguelite/" TargetMode="External" Id="rId149" /><Relationship Type="http://schemas.openxmlformats.org/officeDocument/2006/relationships/hyperlink" Target="https://www.reddit.com/r/iosgaming/comments/1hjehh9/lost_for_swords_a_dungeon_crawler_focusing_on/" TargetMode="External" Id="rId150" /><Relationship Type="http://schemas.openxmlformats.org/officeDocument/2006/relationships/hyperlink" Target="https://steamcommunity.com/app/3100310/discussions/0/735910198042983690/" TargetMode="External" Id="rId151" /><Relationship Type="http://schemas.openxmlformats.org/officeDocument/2006/relationships/hyperlink" Target="https://steamcommunity.com/app/449960/discussions/0/352788917765198084/?ctp=2" TargetMode="External" Id="rId152" /><Relationship Type="http://schemas.openxmlformats.org/officeDocument/2006/relationships/hyperlink" Target="https://x.com/tametick/status/1202248124221272064" TargetMode="External" Id="rId153" /><Relationship Type="http://schemas.openxmlformats.org/officeDocument/2006/relationships/hyperlink" Target="https://x.com/MirariRelics/status/2083184893182489017?s=20" TargetMode="External" Id="rId154" /><Relationship Type="http://schemas.openxmlformats.org/officeDocument/2006/relationships/hyperlink" Target="https://www.youtube.com/watch?v=mGVNTEOoBXc" TargetMode="External" Id="rId155" /><Relationship Type="http://schemas.openxmlformats.org/officeDocument/2006/relationships/hyperlink" Target="https://www.reddit.com/r/Games/comments/2osauc/hi_rgames_were_a_group_of_aaa_and_exaaa/" TargetMode="External" Id="rId156" /><Relationship Type="http://schemas.openxmlformats.org/officeDocument/2006/relationships/hyperlink" Target="https://steamcommunity.com/app/1823390/discussions/2/6893400166994423780/" TargetMode="External" Id="rId157" /><Relationship Type="http://schemas.openxmlformats.org/officeDocument/2006/relationships/hyperlink" Target="https://www.w4games.com/blog/w4-games-news-1/interview-with-chasing-carrots-developer-of-halls-of-torment-120" TargetMode="External" Id="rId158" /><Relationship Type="http://schemas.openxmlformats.org/officeDocument/2006/relationships/hyperlink" Target="https://roguesnail.com/hell-clock-our-new-roguelike-arpg-in-a-dark-fantasy-twist-on-brazils-war-of-canudos/" TargetMode="External" Id="rId159" /><Relationship Type="http://schemas.openxmlformats.org/officeDocument/2006/relationships/hyperlink" Target="https://www.reddit.com/r/Games/comments/1c3l5e8/jotunnslayer_hordes_of_hel_games_farm_roguelike/" TargetMode="External" Id="rId160" /><Relationship Type="http://schemas.openxmlformats.org/officeDocument/2006/relationships/hyperlink" Target="https://roguebasin.com/index.php?title=LambdaRogue" TargetMode="External" Id="rId161" /><Relationship Type="http://schemas.openxmlformats.org/officeDocument/2006/relationships/hyperlink" Target="https://x.com/edmundmcmillen/status/2073665726712614938?s=20" TargetMode="External" Id="rId162" /><Relationship Type="http://schemas.openxmlformats.org/officeDocument/2006/relationships/hyperlink" Target="http://www.zincland.com/powder/?pagename=about" TargetMode="External" Id="rId163" /><Relationship Type="http://schemas.openxmlformats.org/officeDocument/2006/relationships/hyperlink" Target="https://www.youtube.com/watch?v=xsmbVWflwpw" TargetMode="External" Id="rId164" /><Relationship Type="http://schemas.openxmlformats.org/officeDocument/2006/relationships/hyperlink" Target="https://roguebasin.com/index.php/Sword_of_the_Stars:_The_Pit" TargetMode="External" Id="rId165" /><Relationship Type="http://schemas.openxmlformats.org/officeDocument/2006/relationships/hyperlink" Target="https://www.reddit.com/r/WebGames/comments/1m6esqf/archon_soul_its_been_a_year_and_a_half_of_hard/" TargetMode="External" Id="rId166" /><Relationship Type="http://schemas.openxmlformats.org/officeDocument/2006/relationships/hyperlink" Target="https://www.reddit.com/r/Games/comments/1dbw5hw/dice_fold_tinymice_slay_the_spire_but_with_dice/" TargetMode="External" Id="rId167" /><Relationship Type="http://schemas.openxmlformats.org/officeDocument/2006/relationships/hyperlink" Target="https://www.gamespress.com/Die-For-The-Lich-is-coming-to-Early-Access-on-November-10th-2025" TargetMode="External" Id="rId168" /><Relationship Type="http://schemas.openxmlformats.org/officeDocument/2006/relationships/hyperlink" Target="https://store.steampowered.com/app/3548520/DOG_WITCH/" TargetMode="External" Id="rId169" /><Relationship Type="http://schemas.openxmlformats.org/officeDocument/2006/relationships/hyperlink" Target="https://x.com/cleanfallgame/status/1958500517597876299?s=20" TargetMode="External" Id="rId170" /><Relationship Type="http://schemas.openxmlformats.org/officeDocument/2006/relationships/hyperlink" Target="https://store.steampowered.com/news/app/2934220/view/698764742929416235?l=english" TargetMode="External" Id="rId171" /><Relationship Type="http://schemas.openxmlformats.org/officeDocument/2006/relationships/hyperlink" Target="https://store.steampowered.com/news/app/2187290/view/3683427098080954737" TargetMode="External" Id="rId172" /><Relationship Type="http://schemas.openxmlformats.org/officeDocument/2006/relationships/hyperlink" Target="https://www.youtube.com/watch?v=txv0XsRrFwo" TargetMode="External" Id="rId173" /><Relationship Type="http://schemas.openxmlformats.org/officeDocument/2006/relationships/hyperlink" Target="https://en.wikipedia.org/wiki/Road_Not_Taken" TargetMode="External" Id="rId174" /><Relationship Type="http://schemas.openxmlformats.org/officeDocument/2006/relationships/hyperlink" Target="https://www.reddit.com/r/NintendoSwitch/comments/75yryq/hi_we_are_the_molasses_flood_creators_of_the/" TargetMode="External" Id="rId175" /><Relationship Type="http://schemas.openxmlformats.org/officeDocument/2006/relationships/hyperlink" Target="https://www.roguelikeradio.com/2011/10/interview-with-ido-yehieli.html" TargetMode="External" Id="rId176" /><Relationship Type="http://schemas.openxmlformats.org/officeDocument/2006/relationships/hyperlink" Target="https://roguebasin.com/index.php/Cataclysm" TargetMode="External" Id="rId177" /><Relationship Type="http://schemas.openxmlformats.org/officeDocument/2006/relationships/hyperlink" Target="https://www.youtube.com/watch?v=JXv8hQguGCI" TargetMode="External" Id="rId178" /><Relationship Type="http://schemas.openxmlformats.org/officeDocument/2006/relationships/hyperlink" Target="https://frozendepths.net/roguelike/info.php" TargetMode="External" Id="rId179" /><Relationship Type="http://schemas.openxmlformats.org/officeDocument/2006/relationships/hyperlink" Target="https://steamcommunity.com/app/371430/discussions/0/494631967651210890/" TargetMode="External" Id="rId180" /><Relationship Type="http://schemas.openxmlformats.org/officeDocument/2006/relationships/hyperlink" Target="https://x.com/TeamWoodGames/status/1383470923156647938?s=20" TargetMode="External" Id="rId181" /><Relationship Type="http://schemas.openxmlformats.org/officeDocument/2006/relationships/hyperlink" Target="https://en.wikipedia.org/wiki/Teamfight_Tactics" TargetMode="External" Id="rId182" /><Relationship Type="http://schemas.openxmlformats.org/officeDocument/2006/relationships/hyperlink" Target="https://gamestudio.n-ix.com/case-study/the-bazaar-game-development-story/" TargetMode="External" Id="rId183" /><Relationship Type="http://schemas.openxmlformats.org/officeDocument/2006/relationships/hyperlink" Target="https://www.youtube.com/watch?v=5fR9VYTfm2A&amp;t=1s" TargetMode="External" Id="rId184" /><Relationship Type="http://schemas.openxmlformats.org/officeDocument/2006/relationships/hyperlink" Target="https://www.reddit.com/r/nintendo/comments/6k942k/yo_we_made_gonner_and_it_just_came_out_on_the/" TargetMode="External" Id="rId185" /><Relationship Type="http://schemas.openxmlformats.org/officeDocument/2006/relationships/hyperlink" Target="https://gamerant.com/lone-ruin-interview-roguelike-indie-game-design-inspirations-visuals-coding/" TargetMode="External" Id="rId186" /><Relationship Type="http://schemas.openxmlformats.org/officeDocument/2006/relationships/hyperlink" Target="https://monstervine.com/ic/IC-LR-Interview.mp3" TargetMode="External" Id="rId187" /><Relationship Type="http://schemas.openxmlformats.org/officeDocument/2006/relationships/hyperlink" Target="https://steamcommunity.com/app/616000/discussions/0/1319962663550892419/" TargetMode="External" Id="rId188" /><Relationship Type="http://schemas.openxmlformats.org/officeDocument/2006/relationships/hyperlink" Target="https://www.fanbyte.com/legacy/shovel-knight-dig-interview" TargetMode="External" Id="rId189" /><Relationship Type="http://schemas.openxmlformats.org/officeDocument/2006/relationships/hyperlink" Target="https://x.com/Nitrome/status/931133911408828421?s=20" TargetMode="External" Id="rId190" /><Relationship Type="http://schemas.openxmlformats.org/officeDocument/2006/relationships/hyperlink" Target="https://www.reddit.com/r/nintendo/comments/691a58/we_are_team_tumbleseed_and_we_launched_tumbleseed/" TargetMode="External" Id="rId191" /><Relationship Type="http://schemas.openxmlformats.org/officeDocument/2006/relationships/hyperlink" Target="https://www.polygon.com/pc/2019/4/7/18299068/dicey-dungeons-terry-cavanagh-gdc-preview" TargetMode="External" Id="rId192" /><Relationship Type="http://schemas.openxmlformats.org/officeDocument/2006/relationships/hyperlink" Target="https://store.steampowered.com/app/496620/Monster_Slayers/" TargetMode="External" Id="rId193" /><Relationship Type="http://schemas.openxmlformats.org/officeDocument/2006/relationships/hyperlink" Target="https://game-wisdom.com/podcast/five-year-development-behind-nowhere-prophet%20mentions%20plaing%20dream%20quest%20in%20this%20interview" TargetMode="External" Id="rId194" /><Relationship Type="http://schemas.openxmlformats.org/officeDocument/2006/relationships/hyperlink" Target="https://podcasts.apple.com/us/podcast/slay-the-spire-with-anthony-giovannetti/id1435365252?i=1000447140877" TargetMode="External" Id="rId195" /><Relationship Type="http://schemas.openxmlformats.org/officeDocument/2006/relationships/hyperlink" Target="https://roguebasin.com/index.php/Cataclysm" TargetMode="External" Id="rId196" /><Relationship Type="http://schemas.openxmlformats.org/officeDocument/2006/relationships/hyperlink" Target="https://www.gridsagegames.com/forums/index.php?topic=648.msg5316" TargetMode="External" Id="rId197" /><Relationship Type="http://schemas.openxmlformats.org/officeDocument/2006/relationships/hyperlink" Target="https://www.qcfdesign.com/wiki/DesktopDungeons/index.php?title=Desktop_Dungeons" TargetMode="External" Id="rId198" /><Relationship Type="http://schemas.openxmlformats.org/officeDocument/2006/relationships/hyperlink" Target="https://www.reddit.com/r/Games/comments/2osauc/hi_rgames_were_a_group_of_aaa_and_exaaa/" TargetMode="External" Id="rId199" /><Relationship Type="http://schemas.openxmlformats.org/officeDocument/2006/relationships/hyperlink" Target="https://www.youtube.com/watch?v=xsmbVWflwpw" TargetMode="External" Id="rId200" /><Relationship Type="http://schemas.openxmlformats.org/officeDocument/2006/relationships/hyperlink" Target="https://store.steampowered.com/app/3601130/Touhou_Crawl/" TargetMode="External" Id="rId201" /><Relationship Type="http://schemas.openxmlformats.org/officeDocument/2006/relationships/hyperlink" Target="https://www.gamedeveloper.com/game-platforms/eugene-paik-talks-about-vagante-a-roguelite-8-years-in-the-making" TargetMode="External" Id="rId202" /><Relationship Type="http://schemas.openxmlformats.org/officeDocument/2006/relationships/hyperlink" Target="https://roguebasin.com/index.php/ZMAngband" TargetMode="External" Id="rId203" /><Relationship Type="http://schemas.openxmlformats.org/officeDocument/2006/relationships/hyperlink" Target="https://www.reddit.com/r/Games/comments/7ukbl1/im_the_lead_developer_of_tangledeep_a_roguelike/" TargetMode="External" Id="rId204" /><Relationship Type="http://schemas.openxmlformats.org/officeDocument/2006/relationships/hyperlink" Target="https://www.roguebasin.com/index.php/I_Am_Overburdened" TargetMode="External" Id="rId205" /><Relationship Type="http://schemas.openxmlformats.org/officeDocument/2006/relationships/hyperlink" Target="https://www.gameskinny.com/culture/interview-with-colin-day-creator-of-rogue-wizards-and-founder-of-spellbind-studios/" TargetMode="External" Id="rId206" /><Relationship Type="http://schemas.openxmlformats.org/officeDocument/2006/relationships/hyperlink" Target="https://steamcommunity.com/app/1519490/discussions/0/5456682769556329213/" TargetMode="External" Id="rId207" /><Relationship Type="http://schemas.openxmlformats.org/officeDocument/2006/relationships/hyperlink" Target="https://www.youtube.com/watch?v=JXv8hQguGCI" TargetMode="External" Id="rId208" /><Relationship Type="http://schemas.openxmlformats.org/officeDocument/2006/relationships/hyperlink" Target="https://steamcommunity.com/app/329970/discussions/0/620700960829035333/" TargetMode="External" Id="rId209" /><Relationship Type="http://schemas.openxmlformats.org/officeDocument/2006/relationships/hyperlink" Target="https://www.bay12forums.com/smf/index.php?topic=182370.0" TargetMode="External" Id="rId210" /><Relationship Type="http://schemas.openxmlformats.org/officeDocument/2006/relationships/hyperlink" Target="https://store.epicgames.com/en-US/news/super-fantasy-kingdom-city-builder-next-vampire-survivors-obsession" TargetMode="External" Id="rId211" /><Relationship Type="http://schemas.openxmlformats.org/officeDocument/2006/relationships/hyperlink" Target="https://www.youtube.com/watch?v=giIIoIKntnw" TargetMode="External" Id="rId212" /><Relationship Type="http://schemas.openxmlformats.org/officeDocument/2006/relationships/hyperlink" Target="https://youtu.be/-I__TxhbQgw" TargetMode="External" Id="rId213" /><Relationship Type="http://schemas.openxmlformats.org/officeDocument/2006/relationships/hyperlink" Target="http://www.bay12forums.com/smf/index.php?topic=173000.0" TargetMode="External" Id="rId214" /><Relationship Type="http://schemas.openxmlformats.org/officeDocument/2006/relationships/hyperlink" Target="https://roguebasin.com/index.php/Wayward" TargetMode="External" Id="rId215" /><Relationship Type="http://schemas.openxmlformats.org/officeDocument/2006/relationships/hyperlink" Target="https://x.com/TheFeebleMinds/status/2027340299630989393" TargetMode="External" Id="rId216" /><Relationship Type="http://schemas.openxmlformats.org/officeDocument/2006/relationships/hyperlink" Target="https://www.youtube.com/watch?v=JXv8hQguGCI" TargetMode="External" Id="rId217" /><Relationship Type="http://schemas.openxmlformats.org/officeDocument/2006/relationships/hyperlink" Target="https://rogueliker.com/vellum-inspirations/" TargetMode="External" Id="rId218" /><Relationship Type="http://schemas.openxmlformats.org/officeDocument/2006/relationships/hyperlink" Target="https://www.reddit.com/r/playmygame/comments/sqb852/our_spellcasting_roguelike_abandoned_archive_now/" TargetMode="External" Id="rId219" /><Relationship Type="http://schemas.openxmlformats.org/officeDocument/2006/relationships/hyperlink" Target="https://www.reddit.com/r/Games/comments/v2kcsr/ama_were_the_team_behind_akxolotl_a_cute_but/" TargetMode="External" Id="rId220" /><Relationship Type="http://schemas.openxmlformats.org/officeDocument/2006/relationships/hyperlink" Target="https://www.reddit.com/r/Games/comments/czn9i5/were_the_developers_of_atomicrops_an_action/" TargetMode="External" Id="rId221" /><Relationship Type="http://schemas.openxmlformats.org/officeDocument/2006/relationships/hyperlink" Target="https://web.archive.org/web/20220130212105/https:/www.indiegameoftheweek.com/BeyondTheLongNight" TargetMode="External" Id="rId222" /><Relationship Type="http://schemas.openxmlformats.org/officeDocument/2006/relationships/hyperlink" Target="https://www.reddit.com/r/roguelites/comments/r8cay9/weve_been_developing_the_roguelite_escape_the_mad/" TargetMode="External" Id="rId223" /><Relationship Type="http://schemas.openxmlformats.org/officeDocument/2006/relationships/hyperlink" Target="https://x.com/JFGamesPR/status/1803711115047625170" TargetMode="External" Id="rId224" /><Relationship Type="http://schemas.openxmlformats.org/officeDocument/2006/relationships/hyperlink" Target="https://en.wikipedia.org/wiki/Gunfire_Reborn" TargetMode="External" Id="rId225" /><Relationship Type="http://schemas.openxmlformats.org/officeDocument/2006/relationships/hyperlink" Target="https://www.reddit.com/r/Games/comments/ziyl7m/this_is_alchemy_sheep_the_studio_behind_a/" TargetMode="External" Id="rId226" /><Relationship Type="http://schemas.openxmlformats.org/officeDocument/2006/relationships/hyperlink" Target="https://fextralife.com/odinfall-a-new-viking-themed-roguelite-coming-to-early-access/" TargetMode="External" Id="rId227" /><Relationship Type="http://schemas.openxmlformats.org/officeDocument/2006/relationships/hyperlink" Target="https://x.com/pathogenicgame/status/2085041700716654606?s=20" TargetMode="External" Id="rId228" /><Relationship Type="http://schemas.openxmlformats.org/officeDocument/2006/relationships/hyperlink" Target="https://www.gamedeveloper.com/design/ram-random-access-mayhem-s-body-swapping-mechanic-was-born-from-challenges-playing-roguelikes" TargetMode="External" Id="rId229" /><Relationship Type="http://schemas.openxmlformats.org/officeDocument/2006/relationships/hyperlink" Target="https://x.com/GrimorioG/status/1213196249509376001?s=20" TargetMode="External" Id="rId230" /><Relationship Type="http://schemas.openxmlformats.org/officeDocument/2006/relationships/hyperlink" Target="https://www.nme.com/news/gaming-news/crossy-road-creator-announces-space-western-shooter-tombstar-3258744" TargetMode="External" Id="rId231" /><Relationship Type="http://schemas.openxmlformats.org/officeDocument/2006/relationships/hyperlink" Target="https://www.reddit.com/r/JRPG/comments/1h4umpj/lets_talk_about_dragon_crystal_segas_own_early/" TargetMode="External" Id="rId232" /><Relationship Type="http://schemas.openxmlformats.org/officeDocument/2006/relationships/hyperlink" Target="https://store.steampowered.com/app/2308000/Centipede_Gun/" TargetMode="External" Id="rId233" /><Relationship Type="http://schemas.openxmlformats.org/officeDocument/2006/relationships/hyperlink" Target="https://x.com/studio_goblinz/status/1703121970680807815?s=20" TargetMode="External" Id="rId234" /><Relationship Type="http://schemas.openxmlformats.org/officeDocument/2006/relationships/hyperlink" Target="https://bigbossbattle.com/abandon-ship-interview-fireblade-softwares-gary-burchell/" TargetMode="External" Id="rId235" /><Relationship Type="http://schemas.openxmlformats.org/officeDocument/2006/relationships/hyperlink" Target="https://arcanium-rise-of-akhan.xsollasitebuilder.com/" TargetMode="External" Id="rId236" /><Relationship Type="http://schemas.openxmlformats.org/officeDocument/2006/relationships/hyperlink" Target="https://steamcommunity.com/app/2118810/discussions/1/3980680532379147080/" TargetMode="External" Id="rId237" /><Relationship Type="http://schemas.openxmlformats.org/officeDocument/2006/relationships/hyperlink" Target="https://store.steampowered.com/app/318230/Convoy/" TargetMode="External" Id="rId238" /><Relationship Type="http://schemas.openxmlformats.org/officeDocument/2006/relationships/hyperlink" Target="https://medium.com/@gofig.news/a-coffee-break-with-fr&#233;d&#233;ric-lopez-crying-suns-3b030eb4f455" TargetMode="External" Id="rId239" /><Relationship Type="http://schemas.openxmlformats.org/officeDocument/2006/relationships/hyperlink" Target="https://medium.com/@alexiskennedy/q-a-with-alexis-kennedy-co-founder-of-weather-factory-dd35393c66f3" TargetMode="External" Id="rId240" /><Relationship Type="http://schemas.openxmlformats.org/officeDocument/2006/relationships/hyperlink" Target="https://steamcommunity.com/app/326150/discussions/0/617320168090466146/" TargetMode="External" Id="rId241" /><Relationship Type="http://schemas.openxmlformats.org/officeDocument/2006/relationships/hyperlink" Target="https://www.pcgamer.com/turn-based-roguelike-deep-sky-derelicts-channels-darkest-dungeon-in-space/" TargetMode="External" Id="rId242" /><Relationship Type="http://schemas.openxmlformats.org/officeDocument/2006/relationships/hyperlink" Target="https://www.reddit.com/r/NintendoSwitch/comments/trax0e/hi_im_the_developer_of_for_the_warp_a_scifi/" TargetMode="External" Id="rId243" /><Relationship Type="http://schemas.openxmlformats.org/officeDocument/2006/relationships/hyperlink" Target="https://medium.com/@morganjaffit/games-dont-credit-their-influences-they-should-a32e9904d800" TargetMode="External" Id="rId244" /><Relationship Type="http://schemas.openxmlformats.org/officeDocument/2006/relationships/hyperlink" Target="https://switchplayer.net/2017/05/08/grabbing-a-frozenbyte-with-some-has-been-heroes/" TargetMode="External" Id="rId245" /><Relationship Type="http://schemas.openxmlformats.org/officeDocument/2006/relationships/hyperlink" Target="https://www.reddit.com/r/IndieGaming/comments/evnabb/a_short_impression_of_insurmountable_our_new_game/" TargetMode="External" Id="rId246" /><Relationship Type="http://schemas.openxmlformats.org/officeDocument/2006/relationships/hyperlink" Target="https://forums.tigsource.com/index.php?topic=41609.0" TargetMode="External" Id="rId247" /><Relationship Type="http://schemas.openxmlformats.org/officeDocument/2006/relationships/hyperlink" Target="https://steamcommunity.com/app/681730/discussions/0/2132869574262194220/" TargetMode="External" Id="rId248" /><Relationship Type="http://schemas.openxmlformats.org/officeDocument/2006/relationships/hyperlink" Target="https://www.polygon.com/2013/6/20/4439320/our-darker-purpose-kickstarter-avidly-wild-games/" TargetMode="External" Id="rId249" /><Relationship Type="http://schemas.openxmlformats.org/officeDocument/2006/relationships/hyperlink" Target="https://steamcommunity.com/app/296970/discussions/0/483368526579730066/" TargetMode="External" Id="rId250" /><Relationship Type="http://schemas.openxmlformats.org/officeDocument/2006/relationships/hyperlink" Target="https://en.wikipedia.org/wiki/Road_Not_Taken" TargetMode="External" Id="rId251" /><Relationship Type="http://schemas.openxmlformats.org/officeDocument/2006/relationships/hyperlink" Target="https://steamcommunity.com/app/1494560/discussions/0/4335355681660890217/" TargetMode="External" Id="rId252" /><Relationship Type="http://schemas.openxmlformats.org/officeDocument/2006/relationships/hyperlink" Target="https://screenrant.com/shape-of-dreams-eunseop-shim-interview/" TargetMode="External" Id="rId253" /><Relationship Type="http://schemas.openxmlformats.org/officeDocument/2006/relationships/hyperlink" Target="https://en.wikipedia.org/wiki/Slay_the_Spire" TargetMode="External" Id="rId254" /><Relationship Type="http://schemas.openxmlformats.org/officeDocument/2006/relationships/hyperlink" Target="https://youtu.be/j6rOHgGxdHY" TargetMode="External" Id="rId255" /><Relationship Type="http://schemas.openxmlformats.org/officeDocument/2006/relationships/hyperlink" Target="https://medium.com/@alexiskennedy/q-a-with-alexis-kennedy-co-founder-of-weather-factory-dd35393c66f3" TargetMode="External" Id="rId256" /><Relationship Type="http://schemas.openxmlformats.org/officeDocument/2006/relationships/hyperlink" Target="https://www.emuglx.org/reportaze/interview/exclusive-switchcars-interview/" TargetMode="External" Id="rId257" /><Relationship Type="http://schemas.openxmlformats.org/officeDocument/2006/relationships/hyperlink" Target="https://youtu.be/X_7TB97jCug%20&amp;%20check%20folder" TargetMode="External" Id="rId258" /><Relationship Type="http://schemas.openxmlformats.org/officeDocument/2006/relationships/hyperlink" Target="https://youtu.be/-I__TxhbQgw" TargetMode="External" Id="rId259" /><Relationship Type="http://schemas.openxmlformats.org/officeDocument/2006/relationships/hyperlink" Target="https://www.youtube.com/watch?v=G8e_zxWb3QA" TargetMode="External" Id="rId260" /><Relationship Type="http://schemas.openxmlformats.org/officeDocument/2006/relationships/hyperlink" Target="https://store.steampowered.com/news/app/1434540/view/2939150821227809707" TargetMode="External" Id="rId261" /><Relationship Type="http://schemas.openxmlformats.org/officeDocument/2006/relationships/hyperlink" Target="https://steamcommunity.com/app/1016730/discussions/0/1814296907961762044/" TargetMode="External" Id="rId262" /><Relationship Type="http://schemas.openxmlformats.org/officeDocument/2006/relationships/hyperlink" Target="https://www.gamingfurever.com/news/editorials/brew-interview-with-ceo-of-snow-leaf-studios-isak-wahl" TargetMode="External" Id="rId263" /><Relationship Type="http://schemas.openxmlformats.org/officeDocument/2006/relationships/hyperlink" Target="https://store.epicgames.com/en-US/news/darkblade-ascent-brings-the-roguelike-to-the-soulslike" TargetMode="External" Id="rId264" /><Relationship Type="http://schemas.openxmlformats.org/officeDocument/2006/relationships/hyperlink" Target="https://rogueliker.com/vellum-inspirations/" TargetMode="External" Id="rId265" /><Relationship Type="http://schemas.openxmlformats.org/officeDocument/2006/relationships/hyperlink" Target="https://roguebasin.com/index.php/ADOM" TargetMode="External" Id="rId266" /><Relationship Type="http://schemas.openxmlformats.org/officeDocument/2006/relationships/hyperlink" Target="https://roguebasin.com/index.php/Slaves_to_Armok_II:_Dwarf_Fortress" TargetMode="External" Id="rId267" /><Relationship Type="http://schemas.openxmlformats.org/officeDocument/2006/relationships/hyperlink" Target="https://roguebasin.com/index.php/GearHead" TargetMode="External" Id="rId268" /><Relationship Type="http://schemas.openxmlformats.org/officeDocument/2006/relationships/hyperlink" Target="https://roguebasin.com/index.php/GearHead_Caramel" TargetMode="External" Id="rId269" /><Relationship Type="http://schemas.openxmlformats.org/officeDocument/2006/relationships/hyperlink" Target="https://roguebasin.com/index.php/NetHack" TargetMode="External" Id="rId270" /><Relationship Type="http://schemas.openxmlformats.org/officeDocument/2006/relationships/hyperlink" Target="https://roguebasin.com/index.php/ZMAngband" TargetMode="External" Id="rId271" /><Relationship Type="http://schemas.openxmlformats.org/officeDocument/2006/relationships/hyperlink" Target="https://x.com/AnAmazingWizard/status/1489554155597352962?s=20" TargetMode="External" Id="rId272" /><Relationship Type="http://schemas.openxmlformats.org/officeDocument/2006/relationships/hyperlink" Target="https://www.reddit.com/r/survivorslikes/comments/1jvtb6m/we_released_asgards_fall_on_steam/" TargetMode="External" Id="rId273" /><Relationship Type="http://schemas.openxmlformats.org/officeDocument/2006/relationships/hyperlink" Target="https://80.lv/articles/battle-shapers-how-blender-unity-helped-create-the-game-s-vibrant-world" TargetMode="External" Id="rId274" /><Relationship Type="http://schemas.openxmlformats.org/officeDocument/2006/relationships/hyperlink" Target="https://youtu.be/HyhYA69y62c" TargetMode="External" Id="rId275" /><Relationship Type="http://schemas.openxmlformats.org/officeDocument/2006/relationships/hyperlink" Target="https://www.gamingfurever.com/news/editorials/brew-interview-with-ceo-of-snow-leaf-studios-isak-wahl" TargetMode="External" Id="rId276" /><Relationship Type="http://schemas.openxmlformats.org/officeDocument/2006/relationships/hyperlink" Target="https://store.epicgames.com/en-US/news/darkblade-ascent-brings-the-roguelike-to-the-soulslike" TargetMode="External" Id="rId277" /><Relationship Type="http://schemas.openxmlformats.org/officeDocument/2006/relationships/hyperlink" Target="https://filipmagnuswrites.wordpress.com/2023/12/07/in-the-oven-death-must-die-is-a-love-letter-to-your-favourite-games/" TargetMode="External" Id="rId278" /><Relationship Type="http://schemas.openxmlformats.org/officeDocument/2006/relationships/hyperlink" Target="https://www.reddit.com/r/Games/comments/1syyjc8/ama_demon_lord_just_a_block_the_gridbased/" TargetMode="External" Id="rId279" /><Relationship Type="http://schemas.openxmlformats.org/officeDocument/2006/relationships/hyperlink" Target="https://www.reddit.com/r/IndieGaming/comments/1pji5gu/dunjungle_the_monkey_action_roguelite_is_out_on/" TargetMode="External" Id="rId280" /><Relationship Type="http://schemas.openxmlformats.org/officeDocument/2006/relationships/hyperlink" Target="https://twotinydice.itch.io/forward/devlog/355393/development-update-2-new-game-mode-cool-features" TargetMode="External" Id="rId281" /><Relationship Type="http://schemas.openxmlformats.org/officeDocument/2006/relationships/hyperlink" Target="https://www.nettosgameroom.com/2025/09/interview-with-team-tapas-creators-of.html" TargetMode="External" Id="rId282" /><Relationship Type="http://schemas.openxmlformats.org/officeDocument/2006/relationships/hyperlink" Target="https://gamerant.com/have-a-nice-death-tim-burton-one-punch-man-anime-game-inspirations/" TargetMode="External" Id="rId283" /><Relationship Type="http://schemas.openxmlformats.org/officeDocument/2006/relationships/hyperlink" Target="https://www.youtube.com/watch?v=ZqMZqQ-wrko" TargetMode="External" Id="rId284" /><Relationship Type="http://schemas.openxmlformats.org/officeDocument/2006/relationships/hyperlink" Target="https://store.steampowered.com/news/app/3372060/view/600783816474231378?l=english" TargetMode="External" Id="rId285" /><Relationship Type="http://schemas.openxmlformats.org/officeDocument/2006/relationships/hyperlink" Target="https://youtu.be/tGdbRTxu4Ew" TargetMode="External" Id="rId286" /><Relationship Type="http://schemas.openxmlformats.org/officeDocument/2006/relationships/hyperlink" Target="https://www.polygon.com/gaming/610928/lost-random-eternal-die-roguelike-developer-insights/" TargetMode="External" Id="rId287" /><Relationship Type="http://schemas.openxmlformats.org/officeDocument/2006/relationships/hyperlink" Target="https://x.com/MasksOfTheVoid/status/2084174185505448157?s=20" TargetMode="External" Id="rId288" /><Relationship Type="http://schemas.openxmlformats.org/officeDocument/2006/relationships/hyperlink" Target="https://steamcommunity.com/app/2735580/discussions/0/595152144826392997/" TargetMode="External" Id="rId289" /><Relationship Type="http://schemas.openxmlformats.org/officeDocument/2006/relationships/hyperlink" Target="https://rogueliker.com/realm-of-ink-interview/" TargetMode="External" Id="rId290" /><Relationship Type="http://schemas.openxmlformats.org/officeDocument/2006/relationships/hyperlink" Target="https://www.reddit.com/r/roguelites/comments/xtr9td/tomorrow_we_have_a_huge_announcement_for/" TargetMode="External" Id="rId291" /><Relationship Type="http://schemas.openxmlformats.org/officeDocument/2006/relationships/hyperlink" Target="https://www.gamescom.global/en/product/starlight-revolver-pahdo" TargetMode="External" Id="rId292" /><Relationship Type="http://schemas.openxmlformats.org/officeDocument/2006/relationships/hyperlink" Target="https://store.epicgames.com/en-US/news/super-fantasy-kingdom-city-builder-next-vampire-survivors-obsession" TargetMode="External" Id="rId293" /><Relationship Type="http://schemas.openxmlformats.org/officeDocument/2006/relationships/hyperlink" Target="https://steamcommunity.com/app/1763250/discussions/0/4289188745218594758/" TargetMode="External" Id="rId294" /><Relationship Type="http://schemas.openxmlformats.org/officeDocument/2006/relationships/hyperlink" Target="https://www.reddit.com/r/Games/comments/w6vkdf/tape_to_tape_a_roguelite_hockey_game/" TargetMode="External" Id="rId295" /><Relationship Type="http://schemas.openxmlformats.org/officeDocument/2006/relationships/hyperlink" Target="https://www.thegamer.com/teenage-mutant-ninja-turtles-tmnt-splintered-fate-leads-talk-idw-inspirations-2025-dlc-and-the-comparisons-to-hades/" TargetMode="External" Id="rId296" /><Relationship Type="http://schemas.openxmlformats.org/officeDocument/2006/relationships/hyperlink" Target="https://rogueliker.com/vellum-inspirations/" TargetMode="External" Id="rId297" /><Relationship Type="http://schemas.openxmlformats.org/officeDocument/2006/relationships/hyperlink" Target="https://youtu.be/VGMszILvj78" TargetMode="External" Id="rId298" /><Relationship Type="http://schemas.openxmlformats.org/officeDocument/2006/relationships/hyperlink" Target="https://www.indie-games.eu/hell-maiden-touhou-meets-vampire-survivors-interview/" TargetMode="External" Id="rId299" /><Relationship Type="http://schemas.openxmlformats.org/officeDocument/2006/relationships/hyperlink" Target="https://www.reddit.com/r/roguelites/comments/r8cay9/weve_been_developing_the_roguelite_escape_the_mad/" TargetMode="External" Id="rId300" /><Relationship Type="http://schemas.openxmlformats.org/officeDocument/2006/relationships/hyperlink" Target="https://zenorogue.blogspot.com/search/label/sources" TargetMode="External" Id="rId301" /><Relationship Type="http://schemas.openxmlformats.org/officeDocument/2006/relationships/hyperlink" Target="https://youtu.be/s_I07Iq_2XM?si=AWX0JtDGVzx0vl36" TargetMode="External" Id="rId302" /><Relationship Type="http://schemas.openxmlformats.org/officeDocument/2006/relationships/hyperlink" Target="https://roguebasin.com/index.php/The_Ground_Gives_Way" TargetMode="External" Id="rId303" /><Relationship Type="http://schemas.openxmlformats.org/officeDocument/2006/relationships/hyperlink" Target="https://youtu.be/HyhYA69y62c" TargetMode="External" Id="rId304" /><Relationship Type="http://schemas.openxmlformats.org/officeDocument/2006/relationships/hyperlink" Target="https://www.rockpapershotgun.com/the-making-of-cobalt-core-how-tabletop-simulator-and-inscryption-were-the-secret-catalysts-behind-this-clever-deckbuilding-roguelike" TargetMode="External" Id="rId305" /><Relationship Type="http://schemas.openxmlformats.org/officeDocument/2006/relationships/hyperlink" Target="https://www.youtube.com/watch?v=7SjRhK9wdEE" TargetMode="External" Id="rId306" /><Relationship Type="http://schemas.openxmlformats.org/officeDocument/2006/relationships/hyperlink" Target="https://steamcommunity.com/app/3585160/discussions/0/663844088186935277/" TargetMode="External" Id="rId307" /><Relationship Type="http://schemas.openxmlformats.org/officeDocument/2006/relationships/hyperlink" Target="https://x.com/imgame_official/status/1925464077654249724" TargetMode="External" Id="rId308" /><Relationship Type="http://schemas.openxmlformats.org/officeDocument/2006/relationships/hyperlink" Target="https://moodytail.itch.io/pocket-crystal-league" TargetMode="External" Id="rId309" /><Relationship Type="http://schemas.openxmlformats.org/officeDocument/2006/relationships/hyperlink" Target="https://pokevoid.com/" TargetMode="External" Id="rId310" /><Relationship Type="http://schemas.openxmlformats.org/officeDocument/2006/relationships/hyperlink" Target="https://store.steampowered.com/app/3333700/The_Royal_Writ/" TargetMode="External" Id="rId311" /><Relationship Type="http://schemas.openxmlformats.org/officeDocument/2006/relationships/hyperlink" Target="https://store.steampowered.com/app/1668690/Alina_of_the_Arena/" TargetMode="External" Id="rId312" /><Relationship Type="http://schemas.openxmlformats.org/officeDocument/2006/relationships/hyperlink" Target="https://en.wikipedia.org/wiki/Backpack_Hero" TargetMode="External" Id="rId313" /><Relationship Type="http://schemas.openxmlformats.org/officeDocument/2006/relationships/hyperlink" Target="https://x.com/Klukva_Games/status/1750485532868522090" TargetMode="External" Id="rId314" /><Relationship Type="http://schemas.openxmlformats.org/officeDocument/2006/relationships/hyperlink" Target="https://youtu.be/zLmdMjZtDs4" TargetMode="External" Id="rId315" /><Relationship Type="http://schemas.openxmlformats.org/officeDocument/2006/relationships/hyperlink" Target="https://www.reddit.com/r/Games/comments/1kjulpf/fogpiercer_mad_cookies_train_building_roguelike/" TargetMode="External" Id="rId316" /><Relationship Type="http://schemas.openxmlformats.org/officeDocument/2006/relationships/hyperlink" Target="https://x.com/imgame_official/status/1925464077654249724" TargetMode="External" Id="rId317" /><Relationship Type="http://schemas.openxmlformats.org/officeDocument/2006/relationships/hyperlink" Target="https://www.thegamer.com/metal-slug-tactics-interview/" TargetMode="External" Id="rId318" /><Relationship Type="http://schemas.openxmlformats.org/officeDocument/2006/relationships/hyperlink" Target="https://www.reddit.com/r/Games/comments/vftn02/pawnbarian_j4nw_a_chessinspired_tactical_puzzle/" TargetMode="External" Id="rId319" /><Relationship Type="http://schemas.openxmlformats.org/officeDocument/2006/relationships/hyperlink" Target="https://steamcommunity.com/app/1494560/discussions/0/4335355681660890217/" TargetMode="External" Id="rId320" /><Relationship Type="http://schemas.openxmlformats.org/officeDocument/2006/relationships/hyperlink" Target="https://www.reddit.com/r/IndieGaming/comments/1m9tpw9/a_whole_25_years_after_release_my_spellcrafting/" TargetMode="External" Id="rId321" /><Relationship Type="http://schemas.openxmlformats.org/officeDocument/2006/relationships/hyperlink" Target="https://gamerant.com/the-last-spell-game-interview-launch-dlc/" TargetMode="External" Id="rId322" /><Relationship Type="http://schemas.openxmlformats.org/officeDocument/2006/relationships/hyperlink" Target="https://www.reddit.com/r/Games/comments/10uappd/the_ouroboros_king_oriol_cosp_chess_based/" TargetMode="External" Id="rId323" /><Relationship Type="http://schemas.openxmlformats.org/officeDocument/2006/relationships/hyperlink" Target="https://www.siliconera.com/catacomb-kids-interview-spelunky-comparisons-and-the-early-access-gamble/" TargetMode="External" Id="rId324" /><Relationship Type="http://schemas.openxmlformats.org/officeDocument/2006/relationships/hyperlink" Target="https://steamcommunity.com/app/2821800/discussions/0/4346617656894336061/" TargetMode="External" Id="rId325" /><Relationship Type="http://schemas.openxmlformats.org/officeDocument/2006/relationships/hyperlink" Target="https://roguebasin.com/index.php/Dungeon_Crawl_Stone_Soup" TargetMode="External" Id="rId326" /><Relationship Type="http://schemas.openxmlformats.org/officeDocument/2006/relationships/hyperlink" Target="https://frozendepths.net/roguelike/info.php" TargetMode="External" Id="rId327" /><Relationship Type="http://schemas.openxmlformats.org/officeDocument/2006/relationships/hyperlink" Target="http://www.zincland.com/powder/?pagename=about" TargetMode="External" Id="rId328" /><Relationship Type="http://schemas.openxmlformats.org/officeDocument/2006/relationships/hyperlink" Target="https://www.gamedeveloper.com/design/making-a-case-for-short-games" TargetMode="External" Id="rId329" /><Relationship Type="http://schemas.openxmlformats.org/officeDocument/2006/relationships/hyperlink" Target="https://store.steampowered.com/app/2113040/RUNGORE/" TargetMode="External" Id="rId330" /><Relationship Type="http://schemas.openxmlformats.org/officeDocument/2006/relationships/hyperlink" Target="https://store.epicgames.com/en-US/news/super-fantasy-kingdom-city-builder-next-vampire-survivors-obsession" TargetMode="External" Id="rId331" /><Relationship Type="http://schemas.openxmlformats.org/officeDocument/2006/relationships/hyperlink" Target="https://youtu.be/DpEmpx4isOQ" TargetMode="External" Id="rId332" /><Relationship Type="http://schemas.openxmlformats.org/officeDocument/2006/relationships/hyperlink" Target="https://x.com/sparklewing925/status/1926056500113346640" TargetMode="External" Id="rId333" /><Relationship Type="http://schemas.openxmlformats.org/officeDocument/2006/relationships/hyperlink" Target="https://www.roguebasin.com/index.php/I_Am_Overburdened" TargetMode="External" Id="rId334" /><Relationship Type="http://schemas.openxmlformats.org/officeDocument/2006/relationships/hyperlink" Target="https://en.wikipedia.org/wiki/Balatro" TargetMode="External" Id="rId335" /><Relationship Type="http://schemas.openxmlformats.org/officeDocument/2006/relationships/hyperlink" Target="https://www.reddit.com/r/indiegames/comments/1b21ga6/we_are_developing_a_strategy_deckbuilding_game/" TargetMode="External" Id="rId336" /><Relationship Type="http://schemas.openxmlformats.org/officeDocument/2006/relationships/hyperlink" Target="https://x.com/Typin_/status/2033598772677140518?s=20" TargetMode="External" Id="rId337" /><Relationship Type="http://schemas.openxmlformats.org/officeDocument/2006/relationships/hyperlink" Target="https://www.reddit.com/r/indiegames/comments/1gg9w9m/the_new_luck_be_a_landlordstyle_game_dog_and/" TargetMode="External" Id="rId338" /><Relationship Type="http://schemas.openxmlformats.org/officeDocument/2006/relationships/hyperlink" Target="https://store.steampowered.com/app/3205380/Omelet_You_Cook/" TargetMode="External" Id="rId339" /><Relationship Type="http://schemas.openxmlformats.org/officeDocument/2006/relationships/hyperlink" Target="https://steamcommunity.com/app/1794400/discussions/0/3409803709049368658/" TargetMode="External" Id="rId340" /><Relationship Type="http://schemas.openxmlformats.org/officeDocument/2006/relationships/hyperlink" Target="https://x.com/CLLC_studio/status/1925866594078453892" TargetMode="External" Id="rId341" /><Relationship Type="http://schemas.openxmlformats.org/officeDocument/2006/relationships/hyperlink" Target="https://www.kxan.com/business/press-releases/ein-presswire/785406016/idream-interactive-unveils-runeborn-a-dark-fantasy-roguelike-deckbuilder-at-steam-next-fest/" TargetMode="External" Id="rId342" /><Relationship Type="http://schemas.openxmlformats.org/officeDocument/2006/relationships/hyperlink" Target="https://x.com/sparklewing925/status/1926056500113346640" TargetMode="External" Id="rId343" /><Relationship Type="http://schemas.openxmlformats.org/officeDocument/2006/relationships/hyperlink" Target="https://store.steampowered.com/app/2902440/Steves_Warehouse_Physics_Roguelike_Chaos/" TargetMode="External" Id="rId344" /><Relationship Type="http://schemas.openxmlformats.org/officeDocument/2006/relationships/hyperlink" Target="https://x.com/SoramameKoubou/status/1786329686978777095" TargetMode="External" Id="rId345" /><Relationship Type="http://schemas.openxmlformats.org/officeDocument/2006/relationships/hyperlink" Target="https://en.wikipedia.org/wiki/Vampire_Survivors" TargetMode="External" Id="rId346" /><Relationship Type="http://schemas.openxmlformats.org/officeDocument/2006/relationships/hyperlink" Target="https://steamcommunity.com/app/1016730/discussions/0/181429690796176204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www.digitallydownloaded.net/2021/10/four-quick-questions-for-developer-of.html" TargetMode="External" Id="rId349" /><Relationship Type="http://schemas.openxmlformats.org/officeDocument/2006/relationships/hyperlink" Target="https://x.com/imgame_official/status/1925464077654249724" TargetMode="External" Id="rId350" /><Relationship Type="http://schemas.openxmlformats.org/officeDocument/2006/relationships/hyperlink" Target="https://steamcommunity.com/app/1461910/discussions/0/3363649332031630216/?l=finnish" TargetMode="External" Id="rId351" /><Relationship Type="http://schemas.openxmlformats.org/officeDocument/2006/relationships/hyperlink" Target="https://store.steampowered.com/app/3333700/The_Royal_Writ/" TargetMode="External" Id="rId352" /><Relationship Type="http://schemas.openxmlformats.org/officeDocument/2006/relationships/hyperlink" Target="https://x.com/MasksOfTheVoid/status/2084174185505448157?s=20" TargetMode="External" Id="rId353" /><Relationship Type="http://schemas.openxmlformats.org/officeDocument/2006/relationships/hyperlink" Target="https://roguebasin.com/index.php/Angband" TargetMode="External" Id="rId354" /><Relationship Type="http://schemas.openxmlformats.org/officeDocument/2006/relationships/hyperlink" Target="https://roguebasin.com/index.php?title=Diablo" TargetMode="External" Id="rId355" /><Relationship Type="http://schemas.openxmlformats.org/officeDocument/2006/relationships/hyperlink" Target="http://www.zincland.com/powder/?pagename=about" TargetMode="External" Id="rId356" /><Relationship Type="http://schemas.openxmlformats.org/officeDocument/2006/relationships/hyperlink" Target="https://www.reddit.com/r/pcgaming/comments/1p30oqw/were_big_distraction_an_indie_studio_founded_by/" TargetMode="External" Id="rId357" /><Relationship Type="http://schemas.openxmlformats.org/officeDocument/2006/relationships/hyperlink" Target="https://www.gamedeveloper.com/business/marketing-on-the-app-store-the-cautionary-tale-of-i-100-rogues-i-" TargetMode="External" Id="rId358" /><Relationship Type="http://schemas.openxmlformats.org/officeDocument/2006/relationships/hyperlink" Target="https://www.reddit.com/r/roguelikes/comments/1iyzkws/house_of_necrosis_demo_is_out_now_on_steam/" TargetMode="External" Id="rId359" /><Relationship Type="http://schemas.openxmlformats.org/officeDocument/2006/relationships/hyperlink" Target="https://www.moguragames.com/smokingwolfinterview/" TargetMode="External" Id="rId360" /><Relationship Type="http://schemas.openxmlformats.org/officeDocument/2006/relationships/hyperlink" Target="https://x.com/sparklewing925/status/1926056500113346640" TargetMode="External" Id="rId361" /><Relationship Type="http://schemas.openxmlformats.org/officeDocument/2006/relationships/hyperlink" Target="https://www.pcgamer.com/how-a-videogame-composer-designed-the-tangledeep-rpg/" TargetMode="External" Id="rId362" /><Relationship Type="http://schemas.openxmlformats.org/officeDocument/2006/relationships/hyperlink" Target="https://youtu.be/VGMszILvj78" TargetMode="External" Id="rId363" /><Relationship Type="http://schemas.openxmlformats.org/officeDocument/2006/relationships/hyperlink" Target="https://indiegraph.wordpress.com/2013/12/11/interview-with-the-creator-of-barony/" TargetMode="External" Id="rId364" /><Relationship Type="http://schemas.openxmlformats.org/officeDocument/2006/relationships/hyperlink" Target="https://forums.tigsource.com/index.php?topic=25392.0" TargetMode="External" Id="rId365" /><Relationship Type="http://schemas.openxmlformats.org/officeDocument/2006/relationships/hyperlink" Target="https://roguebasin.com/index.php?title=Diablo" TargetMode="External" Id="rId366" /><Relationship Type="http://schemas.openxmlformats.org/officeDocument/2006/relationships/hyperlink" Target="https://www.roguebasin.com/index.php/Dragonslayer" TargetMode="External" Id="rId367" /><Relationship Type="http://schemas.openxmlformats.org/officeDocument/2006/relationships/hyperlink" Target="https://www.roguebasin.com/index.php/Dungeons_of_Dredmor" TargetMode="External" Id="rId368" /><Relationship Type="http://schemas.openxmlformats.org/officeDocument/2006/relationships/hyperlink" Target="https://darkrpgs.home.blog/2019/03/08/interview-with-miro-haverinen-the-creator-of-the-dark-rpg-fear-hunger/" TargetMode="External" Id="rId369" /><Relationship Type="http://schemas.openxmlformats.org/officeDocument/2006/relationships/hyperlink" Target="https://frozendepths.net/roguelike/info.php" TargetMode="External" Id="rId370" /><Relationship Type="http://schemas.openxmlformats.org/officeDocument/2006/relationships/hyperlink" Target="https://zenorogue.blogspot.com/search/label/sources" TargetMode="External" Id="rId371" /><Relationship Type="http://schemas.openxmlformats.org/officeDocument/2006/relationships/hyperlink" Target="http://roguebasin.com/index.php/IVAN" TargetMode="External" Id="rId372" /><Relationship Type="http://schemas.openxmlformats.org/officeDocument/2006/relationships/hyperlink" Target="https://roguebasin.com/index.php/LambdaRogue" TargetMode="External" Id="rId373" /><Relationship Type="http://schemas.openxmlformats.org/officeDocument/2006/relationships/hyperlink" Target="https://roguebasin.com/index.php/Linley%27s_Dungeon_Crawl" TargetMode="External" Id="rId374" /><Relationship Type="http://schemas.openxmlformats.org/officeDocument/2006/relationships/hyperlink" Target="https://www.roguebasin.com/index.php/Pathos:_NetHack_Codex" TargetMode="External" Id="rId375" /><Relationship Type="http://schemas.openxmlformats.org/officeDocument/2006/relationships/hyperlink" Target="https://roguebasin.com/index.php/POWDER" TargetMode="External" Id="rId376" /><Relationship Type="http://schemas.openxmlformats.org/officeDocument/2006/relationships/hyperlink" Target="https://crpgaddict.blogspot.com/2020/02/game-354-ragnarok-1992.html" TargetMode="External" Id="rId377" /><Relationship Type="http://schemas.openxmlformats.org/officeDocument/2006/relationships/hyperlink" Target="https://www.youtube.com/watch?v=xsmbVWflwpw" TargetMode="External" Id="rId378" /><Relationship Type="http://schemas.openxmlformats.org/officeDocument/2006/relationships/hyperlink" Target="https://www.gamedeveloper.com/design/making-a-case-for-short-games" TargetMode="External" Id="rId379" /><Relationship Type="http://schemas.openxmlformats.org/officeDocument/2006/relationships/hyperlink" Target="https://www.roguebasin.com/index.php/Sword_of_the_Stars:_The_Pit" TargetMode="External" Id="rId380" /><Relationship Type="http://schemas.openxmlformats.org/officeDocument/2006/relationships/hyperlink" Target="http://www.roguelikeradio.com/2013/09/this-is-episode-80-of-roguelike-radio.html" TargetMode="External" Id="rId381" /><Relationship Type="http://schemas.openxmlformats.org/officeDocument/2006/relationships/hyperlink" Target="https://www.reddit.com/r/WazHack/comments/2dgp8s/question_is_wazhack_based_of_of_nethack/" TargetMode="External" Id="rId382" /><Relationship Type="http://schemas.openxmlformats.org/officeDocument/2006/relationships/hyperlink" Target="https://www.sohu.com/a/740136808_204824" TargetMode="External" Id="rId383" /><Relationship Type="http://schemas.openxmlformats.org/officeDocument/2006/relationships/hyperlink" Target="https://steamcommunity.com/app/3808690/discussions/0/574921459914426009/" TargetMode="External" Id="rId384" /><Relationship Type="http://schemas.openxmlformats.org/officeDocument/2006/relationships/hyperlink" Target="https://youtu.be/3C_nZPTNy4E" TargetMode="External" Id="rId385" /><Relationship Type="http://schemas.openxmlformats.org/officeDocument/2006/relationships/hyperlink" Target="https://www.youtube.com/watch?v=7SjRhK9wdEE" TargetMode="External" Id="rId386" /><Relationship Type="http://schemas.openxmlformats.org/officeDocument/2006/relationships/hyperlink" Target="https://x.com/MrMorrisGames/status/2030327854383190254" TargetMode="External" Id="rId387" /><Relationship Type="http://schemas.openxmlformats.org/officeDocument/2006/relationships/hyperlink" Target="https://www.reddit.com/r/Games/comments/v2kcsr/ama_were_the_team_behind_akxolotl_a_cute_but/" TargetMode="External" Id="rId388" /><Relationship Type="http://schemas.openxmlformats.org/officeDocument/2006/relationships/hyperlink" Target="https://www.reddit.com/r/Games/comments/czn9i5/were_the_developers_of_atomicrops_an_action/" TargetMode="External" Id="rId389" /><Relationship Type="http://schemas.openxmlformats.org/officeDocument/2006/relationships/hyperlink" Target="https://milkbar-lads.itch.io/dead-estate" TargetMode="External" Id="rId390" /><Relationship Type="http://schemas.openxmlformats.org/officeDocument/2006/relationships/hyperlink" Target="https://en.wikipedia.org/wiki/Enter_the_Gungeon" TargetMode="External" Id="rId391" /><Relationship Type="http://schemas.openxmlformats.org/officeDocument/2006/relationships/hyperlink" Target="https://gamingbolt.com/gonner-interview-a-colorful-and-challenging-ride" TargetMode="External" Id="rId392" /><Relationship Type="http://schemas.openxmlformats.org/officeDocument/2006/relationships/hyperlink" Target="http://www.roguelikeradio.com/2019/02/episode-151-haque.html" TargetMode="External" Id="rId393" /><Relationship Type="http://schemas.openxmlformats.org/officeDocument/2006/relationships/hyperlink" Target="https://gamerant.com/lone-ruin-interview-roguelike-indie-game-design-inspirations-visuals-coding/" TargetMode="External" Id="rId394" /><Relationship Type="http://schemas.openxmlformats.org/officeDocument/2006/relationships/hyperlink" Target="https://www.reddit.com/r/Games/comments/ziyl7m/this_is_alchemy_sheep_the_studio_behind_a/" TargetMode="External" Id="rId395" /><Relationship Type="http://schemas.openxmlformats.org/officeDocument/2006/relationships/hyperlink" Target="https://fextralife.com/odinfall-a-new-viking-themed-roguelite-coming-to-early-access/" TargetMode="External" Id="rId396" /><Relationship Type="http://schemas.openxmlformats.org/officeDocument/2006/relationships/hyperlink" Target="https://x.com/AntennaGames/status/2062052913199956449" TargetMode="External" Id="rId397" /><Relationship Type="http://schemas.openxmlformats.org/officeDocument/2006/relationships/hyperlink" Target="https://www.gamedeveloper.com/design/ram-random-access-mayhem-s-body-swapping-mechanic-was-born-from-challenges-playing-roguelikes" TargetMode="External" Id="rId398" /><Relationship Type="http://schemas.openxmlformats.org/officeDocument/2006/relationships/hyperlink" Target="https://www.thecgview.com/p/roboquest-developer-interview" TargetMode="External" Id="rId399" /><Relationship Type="http://schemas.openxmlformats.org/officeDocument/2006/relationships/hyperlink" Target="https://store.steampowered.com/app/512900/Streets_of_Rogue/" TargetMode="External" Id="rId400" /><Relationship Type="http://schemas.openxmlformats.org/officeDocument/2006/relationships/hyperlink" Target="https://www.shadowofthewyrm.org/about.html" TargetMode="External" Id="rId401" /><Relationship Type="http://schemas.openxmlformats.org/officeDocument/2006/relationships/hyperlink" Target="http://www.roguelikeradio.com/2013/09/this-is-episode-80-of-roguelike-radio.html" TargetMode="External" Id="rId402" /><Relationship Type="http://schemas.openxmlformats.org/officeDocument/2006/relationships/hyperlink" Target="https://www.reddit.com/r/Games/comments/10uappd/the_ouroboros_king_oriol_cosp_chess_based/" TargetMode="External" Id="rId403" /><Relationship Type="http://schemas.openxmlformats.org/officeDocument/2006/relationships/hyperlink" Target="https://www.reddit.com/r/roguelites/comments/1ic44r5/my_angry_bird_roguelike_is_finally_out_on_steam/" TargetMode="External" Id="rId404" /><Relationship Type="http://schemas.openxmlformats.org/officeDocument/2006/relationships/hyperlink" Target="https://www.reddit.com/r/roguelites/comments/1u78c4e/2_years_later_my_solo_pinball_roguelike_project/" TargetMode="External" Id="rId405" /><Relationship Type="http://schemas.openxmlformats.org/officeDocument/2006/relationships/hyperlink" Target="https://www.facebook.com/reel/931892201606258" TargetMode="External" Id="rId406" /><Relationship Type="http://schemas.openxmlformats.org/officeDocument/2006/relationships/hyperlink" Target="https://x.com/MrMorrisGames/status/2030327854383190254" TargetMode="External" Id="rId407" /><Relationship Type="http://schemas.openxmlformats.org/officeDocument/2006/relationships/hyperlink" Target="https://www.reddit.com/r/Games/comments/1ker0jk/rune_dice_smart_raven_studio_peglininspired/" TargetMode="External" Id="rId408" /><Relationship Type="http://schemas.openxmlformats.org/officeDocument/2006/relationships/hyperlink" Target="https://store.steampowered.com/app/2902440/Steves_Warehouse_Physics_Roguelike_Chaos/" TargetMode="External" Id="rId409" /><Relationship Type="http://schemas.openxmlformats.org/officeDocument/2006/relationships/hyperlink" Target="https://youtu.be/ShnrIAmnN8I" TargetMode="External" Id="rId410" /><Relationship Type="http://schemas.openxmlformats.org/officeDocument/2006/relationships/hyperlink" Target="https://www.reddit.com/r/indiegames/comments/1kfcwzq/i_worked_4_years_fulltime_on_my_dream_game/" TargetMode="External" Id="rId411" /><Relationship Type="http://schemas.openxmlformats.org/officeDocument/2006/relationships/hyperlink" Target="https://www.akuparagames.com/2026/06/09/meeting-mankibo-the-team-behind-montabi/" TargetMode="External" Id="rId412" /><Relationship Type="http://schemas.openxmlformats.org/officeDocument/2006/relationships/hyperlink" Target="https://pokevoid.com/" TargetMode="External" Id="rId413" /><Relationship Type="http://schemas.openxmlformats.org/officeDocument/2006/relationships/hyperlink" Target="https://creators.spotify.com/pod/show/the-indie-diarist/episodes/Indie-Diary-5-Enrique-Dryere-Triple-B-Titles---Creativity-as-Sacrifice--Secrets-of-Inspiration--DnD-and----Poker-e207m5b" TargetMode="External" Id="rId414" /><Relationship Type="http://schemas.openxmlformats.org/officeDocument/2006/relationships/hyperlink" Target="https://www.gamedeveloper.com/business/marketing-on-the-app-store-the-cautionary-tale-of-i-100-rogues-i-" TargetMode="External" Id="rId415" /><Relationship Type="http://schemas.openxmlformats.org/officeDocument/2006/relationships/hyperlink" Target="https://www.siliconera.com/catacomb-kids-interview-spelunky-comparisons-and-the-early-access-gamble/" TargetMode="External" Id="rId416" /><Relationship Type="http://schemas.openxmlformats.org/officeDocument/2006/relationships/hyperlink" Target="https://roguebasin.com/index.php/Haque" TargetMode="External" Id="rId417" /><Relationship Type="http://schemas.openxmlformats.org/officeDocument/2006/relationships/hyperlink" Target="https://roguebasin.com/index.php/The_Ground_Gives_Way" TargetMode="External" Id="rId418" /><Relationship Type="http://schemas.openxmlformats.org/officeDocument/2006/relationships/hyperlink" Target="https://roguebasin.com/index.php?title=Wayward" TargetMode="External" Id="rId419" /><Relationship Type="http://schemas.openxmlformats.org/officeDocument/2006/relationships/hyperlink" Target="https://zenorogue.blogspot.com/search/label/sources" TargetMode="External" Id="rId420" /><Relationship Type="http://schemas.openxmlformats.org/officeDocument/2006/relationships/hyperlink" Target="https://screenrant.com/shape-of-dreams-eunseop-shim-interview/" TargetMode="External" Id="rId421" /><Relationship Type="http://schemas.openxmlformats.org/officeDocument/2006/relationships/hyperlink" Target="https://x.com/search?q=from%3AMiraricogames%20survivors&amp;src=typed_query" TargetMode="External" Id="rId422" /><Relationship Type="http://schemas.openxmlformats.org/officeDocument/2006/relationships/hyperlink" Target="https://www.reddit.com/r/pcgaming/comments/1f9y4d8/weve_been_making_our_totally_normal_coop_shooter/" TargetMode="External" Id="rId423" /><Relationship Type="http://schemas.openxmlformats.org/officeDocument/2006/relationships/hyperlink" Target="https://www.julianedisonart.com/icov" TargetMode="External" Id="rId424" /><Relationship Type="http://schemas.openxmlformats.org/officeDocument/2006/relationships/hyperlink" Target="https://screenrant.com/shape-of-dreams-eunseop-shim-interview/" TargetMode="External" Id="rId425" /><Relationship Type="http://schemas.openxmlformats.org/officeDocument/2006/relationships/hyperlink" Target="https://www.reddit.com/r/IAmA/comments/9m53vr/after_a_failed_kickstarter_and_3_years_of_working/" TargetMode="External" Id="rId426" /><Relationship Type="http://schemas.openxmlformats.org/officeDocument/2006/relationships/hyperlink" Target="https://x.com/MirariRelics/status/2083184893182489017?s=20" TargetMode="External" Id="rId427" /><Relationship Type="http://schemas.openxmlformats.org/officeDocument/2006/relationships/hyperlink" Target="https://steamcommunity.com/app/1425000/discussions/0/595137684887848950/" TargetMode="External" Id="rId428" /><Relationship Type="http://schemas.openxmlformats.org/officeDocument/2006/relationships/hyperlink" Target="https://www.reddit.com/r/pcgaming/comments/1p30oqw/were_big_distraction_an_indie_studio_founded_by/" TargetMode="External" Id="rId429" /><Relationship Type="http://schemas.openxmlformats.org/officeDocument/2006/relationships/hyperlink" Target="https://youtu.be/GWc7QppCPHM" TargetMode="External" Id="rId430" /><Relationship Type="http://schemas.openxmlformats.org/officeDocument/2006/relationships/hyperlink" Target="https://www.reddit.com/r/Games/comments/16x0fkk/shape_shifter_formations_castec_studios_an_action/" TargetMode="External" Id="rId431" /><Relationship Type="http://schemas.openxmlformats.org/officeDocument/2006/relationships/hyperlink" Target="https://www.reddit.com/r/pcgaming/comments/1f9y4d8/weve_been_making_our_totally_normal_coop_shooter/" TargetMode="External" Id="rId432" /><Relationship Type="http://schemas.openxmlformats.org/officeDocument/2006/relationships/hyperlink" Target="https://youtu.be/Jn9yS2eSJzg" TargetMode="External" Id="rId433" /><Relationship Type="http://schemas.openxmlformats.org/officeDocument/2006/relationships/hyperlink" Target="https://rogueliker.com/vellum-inspirations/" TargetMode="External" Id="rId434" /><Relationship Type="http://schemas.openxmlformats.org/officeDocument/2006/relationships/hyperlink" Target="https://www.gamingfurever.com/news/editorials/brew-interview-with-ceo-of-snow-leaf-studios-isak-wahl" TargetMode="External" Id="rId435" /><Relationship Type="http://schemas.openxmlformats.org/officeDocument/2006/relationships/hyperlink" Target="https://www.reddit.com/r/pcgaming/comments/1f9y4d8/weve_been_making_our_totally_normal_coop_shooter/" TargetMode="External" Id="rId436" /><Relationship Type="http://schemas.openxmlformats.org/officeDocument/2006/relationships/hyperlink" Target="https://www.gamedeveloper.com/design/how-michael-brough-s-love-of-exploring-a-single-game-mechanic-beget-i-cinco-paus-i-" TargetMode="External" Id="rId437" /><Relationship Type="http://schemas.openxmlformats.org/officeDocument/2006/relationships/hyperlink" Target="https://roguebasin.com/index.php/Brogue" TargetMode="External" Id="rId438" /><Relationship Type="http://schemas.openxmlformats.org/officeDocument/2006/relationships/hyperlink" Target="https://www.honestgamers.com/15273/game-boy/cave-noire/review.html%20(not%20an%20actual%20source,%20just%20an%20informed%20speculation)" TargetMode="External" Id="rId439" /><Relationship Type="http://schemas.openxmlformats.org/officeDocument/2006/relationships/hyperlink" Target="https://www.reddit.com/r/Games/comments/2e7eti/hello_rgames_we_are_the_creators_of_the_roguelike/" TargetMode="External" Id="rId440" /><Relationship Type="http://schemas.openxmlformats.org/officeDocument/2006/relationships/hyperlink" Target="https://segadoes.com/2017/06/16/fatal-labyrinth/" TargetMode="External" Id="rId441" /><Relationship Type="http://schemas.openxmlformats.org/officeDocument/2006/relationships/hyperlink" Target="https://www.reddit.com/r/gamedev/comments/o8bzkt/one_year_into_early_access_for_golden_light_lets/" TargetMode="External" Id="rId442" /><Relationship Type="http://schemas.openxmlformats.org/officeDocument/2006/relationships/hyperlink" Target="https://zenorogue.blogspot.com/search/label/sources" TargetMode="External" Id="rId443" /><Relationship Type="http://schemas.openxmlformats.org/officeDocument/2006/relationships/hyperlink" Target="https://roguebasin.com/index.php/Larn" TargetMode="External" Id="rId444" /><Relationship Type="http://schemas.openxmlformats.org/officeDocument/2006/relationships/hyperlink" Target="https://roguebasin.com/index.php/Moria" TargetMode="External" Id="rId445" /><Relationship Type="http://schemas.openxmlformats.org/officeDocument/2006/relationships/hyperlink" Target="https://www.youtube.com/watch?v=DASCE8BbvOI&amp;t=1s" TargetMode="External" Id="rId446" /><Relationship Type="http://schemas.openxmlformats.org/officeDocument/2006/relationships/hyperlink" Target="https://www.reddit.com/r/JRPG/comments/1k54nny/lets_discover_rogue_hearts_dungeon_jun_ota_and/" TargetMode="External" Id="rId447" /><Relationship Type="http://schemas.openxmlformats.org/officeDocument/2006/relationships/hyperlink" Target="https://roguebasin.com/index.php/ROGUE-FP" TargetMode="External" Id="rId448" /><Relationship Type="http://schemas.openxmlformats.org/officeDocument/2006/relationships/hyperlink" Target="https://www.roguebasin.com/index.php/Rogue's_Tale" TargetMode="External" Id="rId449" /><Relationship Type="http://schemas.openxmlformats.org/officeDocument/2006/relationships/hyperlink" Target="https://www.roguebasin.com/index.php/Sword_of_the_Stars:_The_Pit" TargetMode="External" Id="rId450" /><Relationship Type="http://schemas.openxmlformats.org/officeDocument/2006/relationships/hyperlink" Target="https://www.reddit.com/r/JRPG/comments/1k54nny/lets_discover_rogue_hearts_dungeon_jun_ota_and/" TargetMode="External" Id="rId451" /><Relationship Type="http://schemas.openxmlformats.org/officeDocument/2006/relationships/hyperlink" Target="https://en.wikipedia.org/wiki/ToeJam_%26_Earl" TargetMode="External" Id="rId452" /><Relationship Type="http://schemas.openxmlformats.org/officeDocument/2006/relationships/hyperlink" Target="https://en.wikipedia.org/wiki/Torneko%27s_Great_Adventure" TargetMode="External" Id="rId453" /><Relationship Type="http://schemas.openxmlformats.org/officeDocument/2006/relationships/hyperlink" Target="https://www.reddit.com/r/Games/comments/2e7eti/hello_rgames_we_are_the_creators_of_the_roguelike/" TargetMode="External" Id="rId454" /><Relationship Type="http://schemas.openxmlformats.org/officeDocument/2006/relationships/hyperlink" Target="https://youtu.be/0MY03yNkuFI" TargetMode="External" Id="rId455" /><Relationship Type="http://schemas.openxmlformats.org/officeDocument/2006/relationships/hyperlink" Target="https://www.reddit.com/r/IndieGaming/comments/1pji5gu/dunjungle_the_monkey_action_roguelite_is_out_on/" TargetMode="External" Id="rId456" /><Relationship Type="http://schemas.openxmlformats.org/officeDocument/2006/relationships/hyperlink" Target="https://store.steampowered.com/app/465200/Fury_Unleashed/" TargetMode="External" Id="rId457" /><Relationship Type="http://schemas.openxmlformats.org/officeDocument/2006/relationships/hyperlink" Target="https://gamerheadquarters.com/articles/immortal-redneck-interview.html" TargetMode="External" Id="rId458" /><Relationship Type="http://schemas.openxmlformats.org/officeDocument/2006/relationships/hyperlink" Target="https://mcvuk.com/development-news/when-we-made-moonlighter/" TargetMode="External" Id="rId459" /><Relationship Type="http://schemas.openxmlformats.org/officeDocument/2006/relationships/hyperlink" Target="https://www.facebook.com/DreamHack/videos/rogue-heroes-ruins-of-tasos-developers-explain-how-why-the-game-came-together-go/440879170356208/" TargetMode="External" Id="rId460" /><Relationship Type="http://schemas.openxmlformats.org/officeDocument/2006/relationships/hyperlink" Target="https://www.reddit.com/r/roguelites/comments/m2341u/space_gladiators_my_isaac_inspired_grotesque/" TargetMode="External" Id="rId461" /><Relationship Type="http://schemas.openxmlformats.org/officeDocument/2006/relationships/hyperlink" Target="https://steamcommunity.com/app/535480/discussions/0/1693785035806645807/" TargetMode="External" Id="rId462" /><Relationship Type="http://schemas.openxmlformats.org/officeDocument/2006/relationships/hyperlink" Target="https://steamcommunity.com/app/3226530/discussions/0/592890533790115891/" TargetMode="External" Id="rId463" /><Relationship Type="http://schemas.openxmlformats.org/officeDocument/2006/relationships/hyperlink" Target="https://youtu.be/MgSjfLOYMXg" TargetMode="External" Id="rId464" /><Relationship Type="http://schemas.openxmlformats.org/officeDocument/2006/relationships/hyperlink" Target="https://steamcommunity.com/games/2904290/announcements/detail/4185610799649293674" TargetMode="External" Id="rId465" /><Relationship Type="http://schemas.openxmlformats.org/officeDocument/2006/relationships/hyperlink" Target="https://x.com/AntennaGames/status/2062052913199956449" TargetMode="External" Id="rId466" /><Relationship Type="http://schemas.openxmlformats.org/officeDocument/2006/relationships/hyperlink" Target="https://www.reddit.com/r/iosgaming/comments/1hjehh9/lost_for_swords_a_dungeon_crawler_focusing_on/" TargetMode="External" Id="rId467" /><Relationship Type="http://schemas.openxmlformats.org/officeDocument/2006/relationships/hyperlink" Target="https://steamcommunity.com/app/242680/discussions/0/648811852292061582/" TargetMode="External" Id="rId468" /><Relationship Type="http://schemas.openxmlformats.org/officeDocument/2006/relationships/hyperlink" Target="https://www.youtube.com/watch?v=dfLSGkKC2ug" TargetMode="External" Id="rId469" /><Relationship Type="http://schemas.openxmlformats.org/officeDocument/2006/relationships/hyperlink" Target="https://www.reddit.com/r/Games/comments/10uappd/the_ouroboros_king_oriol_cosp_chess_based/" TargetMode="External" Id="rId470" /><Relationship Type="http://schemas.openxmlformats.org/officeDocument/2006/relationships/hyperlink" Target="https://rogueliker.com/realm-of-ink-interview/" TargetMode="External" Id="rId471" /><Relationship Type="http://schemas.openxmlformats.org/officeDocument/2006/relationships/hyperlink" Target="https://www.youtube.com/watch?v=9fxnPkfyHuA" TargetMode="External" Id="rId472" /><Relationship Type="http://schemas.openxmlformats.org/officeDocument/2006/relationships/hyperlink" Target="https://youtu.be/VGMszILvj78" TargetMode="External" Id="rId473" /><Relationship Type="http://schemas.openxmlformats.org/officeDocument/2006/relationships/hyperlink" Target="https://creators.spotify.com/pod/show/the-indie-diarist/episodes/Indie-Diary-5-Enrique-Dryere-Triple-B-Titles---Creativity-as-Sacrifice--Secrets-of-Inspiration--DnD-and----Poker-e207m5b" TargetMode="External" Id="rId474" /><Relationship Type="http://schemas.openxmlformats.org/officeDocument/2006/relationships/hyperlink" Target="https://store.steampowered.com/app/1668690/Alina_of_the_Arena/" TargetMode="External" Id="rId475" /><Relationship Type="http://schemas.openxmlformats.org/officeDocument/2006/relationships/hyperlink" Target="https://arcanium-rise-of-akhan.xsollasitebuilder.com/" TargetMode="External" Id="rId476" /><Relationship Type="http://schemas.openxmlformats.org/officeDocument/2006/relationships/hyperlink" Target="https://www.reddit.com/r/WebGames/comments/1m6esqf/archon_soul_its_been_a_year_and_a_half_of_hard/" TargetMode="External" Id="rId477" /><Relationship Type="http://schemas.openxmlformats.org/officeDocument/2006/relationships/hyperlink" Target="https://www.reddit.com/r/roguelites/comments/1ic44r5/my_angry_bird_roguelike_is_finally_out_on_steam/" TargetMode="External" Id="rId478" /><Relationship Type="http://schemas.openxmlformats.org/officeDocument/2006/relationships/hyperlink" Target="https://www.kickstarter.com/projects/hibernian-workshop/astral-ascent" TargetMode="External" Id="rId479" /><Relationship Type="http://schemas.openxmlformats.org/officeDocument/2006/relationships/hyperlink" Target="https://indiecator.org/2022/09/26/astrea-six-sided-oracles-interview/" TargetMode="External" Id="rId480" /><Relationship Type="http://schemas.openxmlformats.org/officeDocument/2006/relationships/hyperlink" Target="https://www.reddit.com/r/Games/comments/czn9i5/were_the_developers_of_atomicrops_an_action/" TargetMode="External" Id="rId481" /><Relationship Type="http://schemas.openxmlformats.org/officeDocument/2006/relationships/hyperlink" Target="https://x.com/Mudita_Games/status/1988179400454500794" TargetMode="External" Id="rId482" /><Relationship Type="http://schemas.openxmlformats.org/officeDocument/2006/relationships/hyperlink" Target="https://www.gamingonlinux.com/2024/07/bite-sized-roguelike-tower-defense-game-bella-wants-blood-releases-july-24/" TargetMode="External" Id="rId483" /><Relationship Type="http://schemas.openxmlformats.org/officeDocument/2006/relationships/hyperlink" Target="https://steamcommunity.com/app/1803400/discussions/0/3883848697076653164/?l=hungarian" TargetMode="External" Id="rId484" /><Relationship Type="http://schemas.openxmlformats.org/officeDocument/2006/relationships/hyperlink" Target="https://youtu.be/HyhYA69y62c" TargetMode="External" Id="rId485" /><Relationship Type="http://schemas.openxmlformats.org/officeDocument/2006/relationships/hyperlink" Target="https://www.reddit.com/r/Games/comments/s5izbt/breach_wanderers_baronnerie_games_roguelike/" TargetMode="External" Id="rId486" /><Relationship Type="http://schemas.openxmlformats.org/officeDocument/2006/relationships/hyperlink" Target="https://steamcommunity.com/app/2118810/discussions/1/3980680532379147080/" TargetMode="External" Id="rId487" /><Relationship Type="http://schemas.openxmlformats.org/officeDocument/2006/relationships/hyperlink" Target="https://hardcoregamer.com/chaos-zero-nightmare-director-interview-tgs-2025/" TargetMode="External" Id="rId488" /><Relationship Type="http://schemas.openxmlformats.org/officeDocument/2006/relationships/hyperlink" Target="https://www.youtube.com/watch?v=SI0_xHvFIKM" TargetMode="External" Id="rId489" /><Relationship Type="http://schemas.openxmlformats.org/officeDocument/2006/relationships/hyperlink" Target="https://caifuhao.eastmoney.com/news/20260725235351583816280" TargetMode="External" Id="rId490" /><Relationship Type="http://schemas.openxmlformats.org/officeDocument/2006/relationships/hyperlink" Target="https://store.steampowered.com/app/3035330/Dicealot/" TargetMode="External" Id="rId491" /><Relationship Type="http://schemas.openxmlformats.org/officeDocument/2006/relationships/hyperlink" Target="https://www.reddit.com/r/TowerDefense/comments/epx1qr/ive_just_released_core_defense_a_very_difficult/" TargetMode="External" Id="rId492" /><Relationship Type="http://schemas.openxmlformats.org/officeDocument/2006/relationships/hyperlink" Target="https://store.steampowered.com/app/3035330/Dicealot/" TargetMode="External" Id="rId493" /><Relationship Type="http://schemas.openxmlformats.org/officeDocument/2006/relationships/hyperlink" Target="https://www.youtube.com/watch?v=7SjRhK9wdEE" TargetMode="External" Id="rId494" /><Relationship Type="http://schemas.openxmlformats.org/officeDocument/2006/relationships/hyperlink" Target="https://steamcommunity.com/app/1016730/discussions/0/1814296907961762044/" TargetMode="External" Id="rId495" /><Relationship Type="http://schemas.openxmlformats.org/officeDocument/2006/relationships/hyperlink" Target="https://youtu.be/VGMszILvj78" TargetMode="External" Id="rId496" /><Relationship Type="http://schemas.openxmlformats.org/officeDocument/2006/relationships/hyperlink" Target="https://indiegamepicks.wordpress.com/2023/10/18/deepest-chamber-resurrection-interview/" TargetMode="External" Id="rId497" /><Relationship Type="http://schemas.openxmlformats.org/officeDocument/2006/relationships/hyperlink" Target="https://x.com/dicefold/status/1805536239212544285" TargetMode="External" Id="rId498" /><Relationship Type="http://schemas.openxmlformats.org/officeDocument/2006/relationships/hyperlink" Target="https://www.reddit.com/r/slaythespire/comments/1mqcqmg/dice_legends_a_love_letter_and_homage_to_slay_the/" TargetMode="External" Id="rId499" /><Relationship Type="http://schemas.openxmlformats.org/officeDocument/2006/relationships/hyperlink" Target="https://www.nintendolife.com/features/only-pokemon-can-make-pokemon-dicefolk-devs-on-finding-a-voice-in-a-crowded-genre" TargetMode="External" Id="rId500" /><Relationship Type="http://schemas.openxmlformats.org/officeDocument/2006/relationships/hyperlink" Target="https://www.gamespress.com/Die-For-The-Lich-is-coming-to-Early-Access-on-November-10th-2025" TargetMode="External" Id="rId501" /><Relationship Type="http://schemas.openxmlformats.org/officeDocument/2006/relationships/hyperlink" Target="https://x.com/dieinthedungeon/status/1829950757699010949" TargetMode="External" Id="rId502" /><Relationship Type="http://schemas.openxmlformats.org/officeDocument/2006/relationships/hyperlink" Target="https://store.steampowered.com/app/3548520/DOG_WITCH/" TargetMode="External" Id="rId503" /><Relationship Type="http://schemas.openxmlformats.org/officeDocument/2006/relationships/hyperlink" Target="https://youtu.be/zLmdMjZtDs4" TargetMode="External" Id="rId504" /><Relationship Type="http://schemas.openxmlformats.org/officeDocument/2006/relationships/hyperlink" Target="https://www.reddit.com/r/Games/comments/1kjulpf/fogpiercer_mad_cookies_train_building_roguelike/" TargetMode="External" Id="rId505" /><Relationship Type="http://schemas.openxmlformats.org/officeDocument/2006/relationships/hyperlink" Target="https://www.reddit.com/r/NintendoSwitch/comments/trax0e/hi_im_the_developer_of_for_the_warp_a_scifi/" TargetMode="External" Id="rId506" /><Relationship Type="http://schemas.openxmlformats.org/officeDocument/2006/relationships/hyperlink" Target="https://twotinydice.itch.io/forward/devlog/355393/development-update-2-new-game-mode-cool-features" TargetMode="External" Id="rId507" /><Relationship Type="http://schemas.openxmlformats.org/officeDocument/2006/relationships/hyperlink" Target="https://www.pocketgamer.com/gordian-quest/interview/" TargetMode="External" Id="rId508" /><Relationship Type="http://schemas.openxmlformats.org/officeDocument/2006/relationships/hyperlink" Target="https://x.com/hellmaidengame/status/1929946431311241324" TargetMode="External" Id="rId509" /><Relationship Type="http://schemas.openxmlformats.org/officeDocument/2006/relationships/hyperlink" Target="https://www.ign.com/articles/claim-a-key-for-hellcard-the-turn-based-deckbuilding-rogue-lite-from-book-of-demons-developer" TargetMode="External" Id="rId510" /><Relationship Type="http://schemas.openxmlformats.org/officeDocument/2006/relationships/hyperlink" Target="https://www.digitallydownloaded.net/2021/10/four-quick-questions-for-developer-of.html" TargetMode="External" Id="rId511" /><Relationship Type="http://schemas.openxmlformats.org/officeDocument/2006/relationships/hyperlink" Target="https://iratus.org/faq" TargetMode="External" Id="rId512" /><Relationship Type="http://schemas.openxmlformats.org/officeDocument/2006/relationships/hyperlink" Target="https://www.reddit.com/r/iosgaming/comments/1hjehh9/lost_for_swords_a_dungeon_crawler_focusing_on/" TargetMode="External" Id="rId513" /><Relationship Type="http://schemas.openxmlformats.org/officeDocument/2006/relationships/hyperlink" Target="https://steamcommunity.com/app/1266430/discussions/0/3194745319517826630/" TargetMode="External" Id="rId514" /><Relationship Type="http://schemas.openxmlformats.org/officeDocument/2006/relationships/hyperlink" Target="https://en.wikipedia.org/wiki/Luck_Be_a_Landlord" TargetMode="External" Id="rId515" /><Relationship Type="http://schemas.openxmlformats.org/officeDocument/2006/relationships/hyperlink" Target="https://www.sohu.com/a/740136808_204824" TargetMode="External" Id="rId516" /><Relationship Type="http://schemas.openxmlformats.org/officeDocument/2006/relationships/hyperlink" Target="https://x.com/imgame_official/status/1925464077654249724" TargetMode="External" Id="rId517" /><Relationship Type="http://schemas.openxmlformats.org/officeDocument/2006/relationships/hyperlink" Target="https://store.steampowered.com/app/3035330/Dicealot/" TargetMode="External" Id="rId518" /><Relationship Type="http://schemas.openxmlformats.org/officeDocument/2006/relationships/hyperlink" Target="https://youtu.be/VGMszILvj78" TargetMode="External" Id="rId519" /><Relationship Type="http://schemas.openxmlformats.org/officeDocument/2006/relationships/hyperlink" Target="https://x.com/PlayMontabi/status/2084484478647595121?s=20" TargetMode="External" Id="rId520" /><Relationship Type="http://schemas.openxmlformats.org/officeDocument/2006/relationships/hyperlink" Target="https://youtu.be/-Vsd5hUMAT8" TargetMode="External" Id="rId521" /><Relationship Type="http://schemas.openxmlformats.org/officeDocument/2006/relationships/hyperlink" Target="https://x.com/NadirTheGame/status/1585925975115702273?s=20" TargetMode="External" Id="rId522" /><Relationship Type="http://schemas.openxmlformats.org/officeDocument/2006/relationships/hyperlink" Target="https://youtu.be/lr9xu3YNwZE" TargetMode="External" Id="rId523" /><Relationship Type="http://schemas.openxmlformats.org/officeDocument/2006/relationships/hyperlink" Target="https://www.reddit.com/r/Games/comments/vftn02/pawnbarian_j4nw_a_chessinspired_tactical_puzzle/" TargetMode="External" Id="rId524" /><Relationship Type="http://schemas.openxmlformats.org/officeDocument/2006/relationships/hyperlink" Target="https://en.wikipedia.org/wiki/Peglin" TargetMode="External" Id="rId525" /><Relationship Type="http://schemas.openxmlformats.org/officeDocument/2006/relationships/hyperlink" Target="https://www.reddit.com/r/pokemon/comments/1rp0vq7/i_made_a_roguelike_pokemon_autobattler/" TargetMode="External" Id="rId526" /><Relationship Type="http://schemas.openxmlformats.org/officeDocument/2006/relationships/hyperlink" Target="https://pokevoid.com/" TargetMode="External" Id="rId527" /><Relationship Type="http://schemas.openxmlformats.org/officeDocument/2006/relationships/hyperlink" Target="https://x.com/brainoidgames/status/1925653290278121609" TargetMode="External" Id="rId528" /><Relationship Type="http://schemas.openxmlformats.org/officeDocument/2006/relationships/hyperlink" Target="https://www.reddit.com/r/NintendoSwitch/comments/10q0wez/ama_the_roguelike_that_is_played_using_only_two/" TargetMode="External" Id="rId529" /><Relationship Type="http://schemas.openxmlformats.org/officeDocument/2006/relationships/hyperlink" Target="https://steamcommunity.com/app/1461910/discussions/0/3363649332031630216/?l=finnish" TargetMode="External" Id="rId530" /><Relationship Type="http://schemas.openxmlformats.org/officeDocument/2006/relationships/hyperlink" Target="https://steamcommunity.com/app/1494560/discussions/0/4335355681660890217/" TargetMode="External" Id="rId531" /><Relationship Type="http://schemas.openxmlformats.org/officeDocument/2006/relationships/hyperlink" Target="https://www.reddit.com/r/godot/comments/1lo0rfm/14_months_of_work_on_my_1st_game_demo_is_now/" TargetMode="External" Id="rId532" /><Relationship Type="http://schemas.openxmlformats.org/officeDocument/2006/relationships/hyperlink" Target="https://x.com/CLLC_studio/status/1925866594078453892" TargetMode="External" Id="rId533" /><Relationship Type="http://schemas.openxmlformats.org/officeDocument/2006/relationships/hyperlink" Target="https://www.reddit.com/r/deckbuildingroguelike/comments/1qszp8o/runeveil_sts_meets_balatro_is_on_steam/" TargetMode="External" Id="rId534" /><Relationship Type="http://schemas.openxmlformats.org/officeDocument/2006/relationships/hyperlink" Target="https://store.steampowered.com/app/2113040/RUNGORE/" TargetMode="External" Id="rId535" /><Relationship Type="http://schemas.openxmlformats.org/officeDocument/2006/relationships/hyperlink" Target="https://forum.godotengine.org/t/seedborne-soldiers-an-auto-battler-roguelike-demo-now-available-on-steam/83974" TargetMode="External" Id="rId536" /><Relationship Type="http://schemas.openxmlformats.org/officeDocument/2006/relationships/hyperlink" Target="https://x.com/sparklewing925/status/1926056500113346640" TargetMode="External" Id="rId537" /><Relationship Type="http://schemas.openxmlformats.org/officeDocument/2006/relationships/hyperlink" Target="https://store.steampowered.com/app/3496890/Slot_or_Not/" TargetMode="External" Id="rId538" /><Relationship Type="http://schemas.openxmlformats.org/officeDocument/2006/relationships/hyperlink" Target="https://www.reddit.com/r/slaythespire/comments/1g25q6g/design_lessons_from_sts_or_how_i_got_inspired_to/" TargetMode="External" Id="rId539" /><Relationship Type="http://schemas.openxmlformats.org/officeDocument/2006/relationships/hyperlink" Target="https://x.com/tjgamedev/status/1850115152118796296" TargetMode="External" Id="rId540" /><Relationship Type="http://schemas.openxmlformats.org/officeDocument/2006/relationships/hyperlink" Target="https://steamcommunity.com/app/1199030/discussions/0/5011908545188375361/?ctp=2" TargetMode="External" Id="rId541" /><Relationship Type="http://schemas.openxmlformats.org/officeDocument/2006/relationships/hyperlink" Target="https://x.com/Talespinner_/status/1925872666474401877?s=20" TargetMode="External" Id="rId542" /><Relationship Type="http://schemas.openxmlformats.org/officeDocument/2006/relationships/hyperlink" Target="https://www.reddit.com/r/slaythespire/comments/173zdvp/i_am_a_solo_developer_working_on_the_last_flame_a/" TargetMode="External" Id="rId543" /><Relationship Type="http://schemas.openxmlformats.org/officeDocument/2006/relationships/hyperlink" Target="https://store.steampowered.com/app/3035330/Dicealot/" TargetMode="External" Id="rId544" /><Relationship Type="http://schemas.openxmlformats.org/officeDocument/2006/relationships/hyperlink" Target="https://store.steampowered.com/app/3333700/The_Royal_Writ/" TargetMode="External" Id="rId545" /><Relationship Type="http://schemas.openxmlformats.org/officeDocument/2006/relationships/hyperlink" Target="https://en.touhouwiki.net/wiki/Touhou:_Lost_Branch_of_Legend%20%20(also%20just%20look%20at%20it)" TargetMode="External" Id="rId546" /><Relationship Type="http://schemas.openxmlformats.org/officeDocument/2006/relationships/hyperlink" Target="https://www.shacknews.com/article/110700/undermine-dev-unearths-roguelike-rpg-info-in-interview" TargetMode="External" Id="rId547" /><Relationship Type="http://schemas.openxmlformats.org/officeDocument/2006/relationships/hyperlink" Target="https://www.reddit.com/r/roguelites/comments/1djfzyz/started_as_a_solodev_with_no_programming/" TargetMode="External" Id="rId548" /><Relationship Type="http://schemas.openxmlformats.org/officeDocument/2006/relationships/hyperlink" Target="https://youtu.be/VGMszILvj78" TargetMode="External" Id="rId549" /><Relationship Type="http://schemas.openxmlformats.org/officeDocument/2006/relationships/hyperlink" Target="https://automaton-media.com/en/interviews/interview-koei-tecmos-warriors-abyss-is-a-major-japanese-developers-take-on-the-roguelite-genre-made-by-a-hardcore-roguelite-lover/" TargetMode="External" Id="rId550" /><Relationship Type="http://schemas.openxmlformats.org/officeDocument/2006/relationships/hyperlink" Target="https://mcvuk.com/business-news/when-we-made-wildfrost/" TargetMode="External" Id="rId551" /><Relationship Type="http://schemas.openxmlformats.org/officeDocument/2006/relationships/hyperlink" Target="https://youtu.be/cX-tottt9i0" TargetMode="External" Id="rId552" /><Relationship Type="http://schemas.openxmlformats.org/officeDocument/2006/relationships/hyperlink" Target="https://www.reddit.com/r/IndieGame/comments/1s28b5c/we_have_such_a_game_do_you_think_people_will_like/" TargetMode="External" Id="rId553" /><Relationship Type="http://schemas.openxmlformats.org/officeDocument/2006/relationships/hyperlink" Target="https://www.reddit.com/r/Games/comments/r4a4sv/words_can_kill_typing_monkey_slay_the_spire/" TargetMode="External" Id="rId554" /><Relationship Type="http://schemas.openxmlformats.org/officeDocument/2006/relationships/hyperlink" Target="https://store.steampowered.com/news/app/1434540/view/2939150821227809707" TargetMode="External" Id="rId555" /><Relationship Type="http://schemas.openxmlformats.org/officeDocument/2006/relationships/hyperlink" Target="https://forum.gamemaker.io/index.php?threads/cats-dice-a-big-number-dice-building-roguelike-inspired-by-games-such-as-balatro-and-slice-dice.114871/" TargetMode="External" Id="rId556" /><Relationship Type="http://schemas.openxmlformats.org/officeDocument/2006/relationships/hyperlink" Target="https://store.steampowered.com/app/2308000/Centipede_Gun/" TargetMode="External" Id="rId557" /><Relationship Type="http://schemas.openxmlformats.org/officeDocument/2006/relationships/hyperlink" Target="https://gamerant.com/lone-ruin-interview-roguelike-indie-game-design-inspirations-visuals-coding/" TargetMode="External" Id="rId558" /><Relationship Type="http://schemas.openxmlformats.org/officeDocument/2006/relationships/hyperlink" Target="https://indiegraph.wordpress.com/2013/12/11/interview-with-the-creator-of-barony/" TargetMode="External" Id="rId559" /><Relationship Type="http://schemas.openxmlformats.org/officeDocument/2006/relationships/hyperlink" Target="https://www.siliconera.com/catacomb-kids-interview-spelunky-comparisons-and-the-early-access-gamble/" TargetMode="External" Id="rId560" /><Relationship Type="http://schemas.openxmlformats.org/officeDocument/2006/relationships/hyperlink" Target="https://en.wikipedia.org/wiki/Caveblazers" TargetMode="External" Id="rId561" /><Relationship Type="http://schemas.openxmlformats.org/officeDocument/2006/relationships/hyperlink" Target="https://x.com/cleanfallgame/status/1958500517597876299?s=20" TargetMode="External" Id="rId562" /><Relationship Type="http://schemas.openxmlformats.org/officeDocument/2006/relationships/hyperlink" Target="https://dumbandfat.com/coincrypt/" TargetMode="External" Id="rId563" /><Relationship Type="http://schemas.openxmlformats.org/officeDocument/2006/relationships/hyperlink" Target="https://www.reddit.com/r/Games/comments/2e7eti/hello_rgames_we_are_the_creators_of_the_roguelike/" TargetMode="External" Id="rId564" /><Relationship Type="http://schemas.openxmlformats.org/officeDocument/2006/relationships/hyperlink" Target="https://en.wikipedia.org/wiki/Downwell_(video_game)" TargetMode="External" Id="rId565" /><Relationship Type="http://schemas.openxmlformats.org/officeDocument/2006/relationships/hyperlink" Target="https://www.reddit.com/r/IndieGaming/comments/1pji5gu/dunjungle_the_monkey_action_roguelite_is_out_on/" TargetMode="External" Id="rId566" /><Relationship Type="http://schemas.openxmlformats.org/officeDocument/2006/relationships/hyperlink" Target="https://bsky.app/profile/dphrygian.com/post/3mgga4hmbg22r" TargetMode="External" Id="rId567" /><Relationship Type="http://schemas.openxmlformats.org/officeDocument/2006/relationships/hyperlink" Target="https://gamingbolt.com/gonner-interview-a-colorful-and-challenging-ride" TargetMode="External" Id="rId568" /><Relationship Type="http://schemas.openxmlformats.org/officeDocument/2006/relationships/hyperlink" Target="https://monstervine.com/ic/IC-LR-Interview.mp3" TargetMode="External" Id="rId569" /><Relationship Type="http://schemas.openxmlformats.org/officeDocument/2006/relationships/hyperlink" Target="https://wesleyjkurtz.wixsite.com/orangedrop/post/mana-spark-kishimoto-studios-indie-devs-behemutt-an-in-depth-interview" TargetMode="External" Id="rId570" /><Relationship Type="http://schemas.openxmlformats.org/officeDocument/2006/relationships/hyperlink" Target="https://forums.tigsource.com/index.php?topic=41609.0" TargetMode="External" Id="rId571" /><Relationship Type="http://schemas.openxmlformats.org/officeDocument/2006/relationships/hyperlink" Target="https://www.gamedeveloper.com/business/road-to-the-igf-2023-kenny-sun-s-mr-sun-s-hatbox" TargetMode="External" Id="rId572" /><Relationship Type="http://schemas.openxmlformats.org/officeDocument/2006/relationships/hyperlink" Target="https://www.youtube.com/watch?v=DASCE8BbvOI&amp;t=1s" TargetMode="External" Id="rId573" /><Relationship Type="http://schemas.openxmlformats.org/officeDocument/2006/relationships/hyperlink" Target="https://en.wikipedia.org/wiki/Rogue_Legacy" TargetMode="External" Id="rId574" /><Relationship Type="http://schemas.openxmlformats.org/officeDocument/2006/relationships/hyperlink" Target="https://www.fanbyte.com/legacy/shovel-knight-dig-interview" TargetMode="External" Id="rId575" /><Relationship Type="http://schemas.openxmlformats.org/officeDocument/2006/relationships/hyperlink" Target="https://store.steampowered.com/app/1078200/Spirits_Abyss/" TargetMode="External" Id="rId576" /><Relationship Type="http://schemas.openxmlformats.org/officeDocument/2006/relationships/hyperlink" Target="https://youtu.be/zKQl9Xp3dxo" TargetMode="External" Id="rId577" /><Relationship Type="http://schemas.openxmlformats.org/officeDocument/2006/relationships/hyperlink" Target="https://en.wikipedia.org/wiki/Streets_of_Rogue" TargetMode="External" Id="rId578" /><Relationship Type="http://schemas.openxmlformats.org/officeDocument/2006/relationships/hyperlink" Target="https://www.emuglx.org/reportaze/interview/exclusive-switchcars-interview/" TargetMode="External" Id="rId579" /><Relationship Type="http://schemas.openxmlformats.org/officeDocument/2006/relationships/hyperlink" Target="https://www.reddit.com/r/nintendo/comments/691a58/we_are_team_tumbleseed_and_we_launched_tumbleseed/" TargetMode="External" Id="rId580" /><Relationship Type="http://schemas.openxmlformats.org/officeDocument/2006/relationships/hyperlink" Target="https://www.gamedeveloper.com/game-platforms/eugene-paik-talks-about-vagante-a-roguelite-8-years-in-the-making" TargetMode="External" Id="rId581" /><Relationship Type="http://schemas.openxmlformats.org/officeDocument/2006/relationships/hyperlink" Target="https://www.reddit.com/r/roguelikes/comments/5zi6kq/y&#333;danji_coffeebreak_mobile_roguelike_themed_after/" TargetMode="External" Id="rId582" /><Relationship Type="http://schemas.openxmlformats.org/officeDocument/2006/relationships/hyperlink" Target="https://steamcommunity.com/app/1823390/discussions/2/6893400166994423780/" TargetMode="External" Id="rId583" /><Relationship Type="http://schemas.openxmlformats.org/officeDocument/2006/relationships/hyperlink" Target="https://www.youtube.com/watch?v=7SjRhK9wdEE" TargetMode="External" Id="rId584" /><Relationship Type="http://schemas.openxmlformats.org/officeDocument/2006/relationships/hyperlink" Target="https://www.reddit.com/r/IndieGaming/comments/1iooyqr/roguelike_autobattler_cute_creatures_what_do_you/" TargetMode="External" Id="rId585" /><Relationship Type="http://schemas.openxmlformats.org/officeDocument/2006/relationships/hyperlink" Target="https://x.com/CLLC_studio/status/1925866594078453892" TargetMode="External" Id="rId586" /><Relationship Type="http://schemas.openxmlformats.org/officeDocument/2006/relationships/hyperlink" Target="https://x.com/mumpitzgames/status/1925572756806017381" TargetMode="External" Id="rId587" /><Relationship Type="http://schemas.openxmlformats.org/officeDocument/2006/relationships/hyperlink" Target="https://gamingbolt.com/gonner-interview-a-colorful-and-challenging-ride" TargetMode="External" Id="rId588" /><Relationship Type="http://schemas.openxmlformats.org/officeDocument/2006/relationships/hyperlink" Target="https://www.gameskinny.com/culture/interview-with-colin-day-creator-of-rogue-wizards-and-founder-of-spellbind-studios/" TargetMode="External" Id="rId589" /><Relationship Type="http://schemas.openxmlformats.org/officeDocument/2006/relationships/hyperlink" Target="https://www.roguelikeradio.com/2011/10/interview-with-ido-yehieli.html" TargetMode="External" Id="rId590" /><Relationship Type="http://schemas.openxmlformats.org/officeDocument/2006/relationships/hyperlink" Target="https://www.youtube.com/watch?v=JXv8hQguGCI" TargetMode="External" Id="rId591" /><Relationship Type="http://schemas.openxmlformats.org/officeDocument/2006/relationships/hyperlink" Target="https://roguebasin.com/index.php/Labyrinth_of_Legendary_Loot" TargetMode="External" Id="rId592" /><Relationship Type="http://schemas.openxmlformats.org/officeDocument/2006/relationships/hyperlink" Target="https://www.youtube.com/watch?v=xsmbVWflwpw" TargetMode="External" Id="rId593" /><Relationship Type="http://schemas.openxmlformats.org/officeDocument/2006/relationships/hyperlink" Target="https://www.patreon.com/roguempire/about" TargetMode="External" Id="rId594" /><Relationship Type="http://schemas.openxmlformats.org/officeDocument/2006/relationships/hyperlink" Target="https://www.reddit.com/r/Games/comments/7ukbl1/im_the_lead_developer_of_tangledeep_a_roguelike/" TargetMode="External" Id="rId595" /><Relationship Type="http://schemas.openxmlformats.org/officeDocument/2006/relationships/hyperlink" Target="https://roguebasin.com/index.php/Labyrinth_of_Legendary_Loot" TargetMode="External" Id="rId596" /><Relationship Type="http://schemas.openxmlformats.org/officeDocument/2006/relationships/hyperlink" Target="https://www.reddit.com/r/IndieGaming/comments/1iooyqr/roguelike_autobattler_cute_creatures_what_do_you/" TargetMode="External" Id="rId597" /><Relationship Type="http://schemas.openxmlformats.org/officeDocument/2006/relationships/hyperlink" Target="https://forum.godotengine.org/t/seedborne-soldiers-an-auto-battler-roguelike-demo-now-available-on-steam/83974" TargetMode="External" Id="rId598" /><Relationship Type="http://schemas.openxmlformats.org/officeDocument/2006/relationships/hyperlink" Target="https://gamestudio.n-ix.com/case-study/the-bazaar-game-development-story/" TargetMode="External" Id="rId599" /><Relationship Type="http://schemas.openxmlformats.org/officeDocument/2006/relationships/hyperlink" Target="https://x.com/mumpitzgames/status/1925572756806017381" TargetMode="External" Id="rId600" /><Relationship Type="http://schemas.openxmlformats.org/officeDocument/2006/relationships/hyperlink" Target="https://youtu.be/DY-KwfFTU9g" TargetMode="External" Id="rId601" /><Relationship Type="http://schemas.openxmlformats.org/officeDocument/2006/relationships/hyperlink" Target="https://www.reddit.com/r/IAmA/comments/4po4pn/i_am_the_developer_of_20xx_the_megaman_xinspired/" TargetMode="External" Id="rId602" /><Relationship Type="http://schemas.openxmlformats.org/officeDocument/2006/relationships/hyperlink" Target="https://youtu.be/wJ2cgBoxsi4" TargetMode="External" Id="rId603" /><Relationship Type="http://schemas.openxmlformats.org/officeDocument/2006/relationships/hyperlink" Target="https://www.reddit.com/r/NintendoSwitch/comments/8jv8rd/im_matt_bitner_sole_developer_of_a_robot_named/" TargetMode="External" Id="rId604" /><Relationship Type="http://schemas.openxmlformats.org/officeDocument/2006/relationships/hyperlink" Target="https://x.com/AnAmazingWizard/status/1489554155597352962?s=20" TargetMode="External" Id="rId605" /><Relationship Type="http://schemas.openxmlformats.org/officeDocument/2006/relationships/hyperlink" Target="https://web.archive.org/web/20220130212105/https:/www.indiegameoftheweek.com/BeyondTheLongNight" TargetMode="External" Id="rId606" /><Relationship Type="http://schemas.openxmlformats.org/officeDocument/2006/relationships/hyperlink" Target="https://steamcommunity.com/app/1734320/discussions/0/598515896185532848/" TargetMode="External" Id="rId607" /><Relationship Type="http://schemas.openxmlformats.org/officeDocument/2006/relationships/hyperlink" Target="https://www.reddit.com/r/bindingofisaac/comments/icvtkc/cavity_busters_toothpunk_roguelite_with_some/" TargetMode="External" Id="rId608" /><Relationship Type="http://schemas.openxmlformats.org/officeDocument/2006/relationships/hyperlink" Target="https://caifuhao.eastmoney.com/news/20260725235351583816280" TargetMode="External" Id="rId609" /><Relationship Type="http://schemas.openxmlformats.org/officeDocument/2006/relationships/hyperlink" Target="https://conanchopchop.fandom.com/wiki/Conan_Chop_Chop" TargetMode="External" Id="rId610" /><Relationship Type="http://schemas.openxmlformats.org/officeDocument/2006/relationships/hyperlink" Target="https://www.reddit.com/r/Games/comments/2e7eti/hello_rgames_we_are_the_creators_of_the_roguelike/" TargetMode="External" Id="rId611" /><Relationship Type="http://schemas.openxmlformats.org/officeDocument/2006/relationships/hyperlink" Target="https://x.com/2_left_thumbs/status/1625686255093813249?s=20" TargetMode="External" Id="rId612" /><Relationship Type="http://schemas.openxmlformats.org/officeDocument/2006/relationships/hyperlink" Target="https://steamcommunity.com/app/225280/discussions/0/846961716374404705/" TargetMode="External" Id="rId613" /><Relationship Type="http://schemas.openxmlformats.org/officeDocument/2006/relationships/hyperlink" Target="https://www.reddit.com/r/gamedev/comments/o8bzkt/one_year_into_early_access_for_golden_light_lets/" TargetMode="External" Id="rId614" /><Relationship Type="http://schemas.openxmlformats.org/officeDocument/2006/relationships/hyperlink" Target="https://switchplayer.net/2017/05/08/grabbing-a-frozenbyte-with-some-has-been-heroes/" TargetMode="External" Id="rId615" /><Relationship Type="http://schemas.openxmlformats.org/officeDocument/2006/relationships/hyperlink" Target="https://www.sohu.com/a/740136808_204824" TargetMode="External" Id="rId616" /><Relationship Type="http://schemas.openxmlformats.org/officeDocument/2006/relationships/hyperlink" Target="https://wesleyjkurtz.wixsite.com/orangedrop/post/mana-spark-kishimoto-studios-indie-devs-behemutt-an-in-depth-interview" TargetMode="External" Id="rId617" /><Relationship Type="http://schemas.openxmlformats.org/officeDocument/2006/relationships/hyperlink" Target="https://x.com/MasksOfTheVoid/status/2084174185505448157?s=20" TargetMode="External" Id="rId618" /><Relationship Type="http://schemas.openxmlformats.org/officeDocument/2006/relationships/hyperlink" Target="https://forums.tigsource.com/index.php?topic=41609.0" TargetMode="External" Id="rId619" /><Relationship Type="http://schemas.openxmlformats.org/officeDocument/2006/relationships/hyperlink" Target="https://mcvuk.com/development-news/when-we-made-moonlighter/" TargetMode="External" Id="rId620" /><Relationship Type="http://schemas.openxmlformats.org/officeDocument/2006/relationships/hyperlink" Target="https://store.steampowered.com/app/2225960/Noobs_Are_Coming/" TargetMode="External" Id="rId621" /><Relationship Type="http://schemas.openxmlformats.org/officeDocument/2006/relationships/hyperlink" Target="https://blog.novadrift.io/nova-drift-frequently-asked-questions/" TargetMode="External" Id="rId622" /><Relationship Type="http://schemas.openxmlformats.org/officeDocument/2006/relationships/hyperlink" Target="https://youtu.be/lr9xu3YNwZE" TargetMode="External" Id="rId623" /><Relationship Type="http://schemas.openxmlformats.org/officeDocument/2006/relationships/hyperlink" Target="https://www.polygon.com/2013/6/20/4439320/our-darker-purpose-kickstarter-avidly-wild-games/" TargetMode="External" Id="rId624" /><Relationship Type="http://schemas.openxmlformats.org/officeDocument/2006/relationships/hyperlink" Target="https://youtu.be/G_Oc86mFc8A" TargetMode="External" Id="rId625" /><Relationship Type="http://schemas.openxmlformats.org/officeDocument/2006/relationships/hyperlink" Target="https://www.reddit.com/r/Spore/comments/1uz4aye/just_released_my_game_pathogenic_its_basically/" TargetMode="External" Id="rId626" /><Relationship Type="http://schemas.openxmlformats.org/officeDocument/2006/relationships/hyperlink" Target="https://store.steampowered.com/news/app/3618850/view/527614642864786784?l=english" TargetMode="External" Id="rId627" /><Relationship Type="http://schemas.openxmlformats.org/officeDocument/2006/relationships/hyperlink" Target="https://games.tiscali.cz/novinky/cesky-tym-rake-in-grass-se-hlasi-se-slibnou-arkadou-rampage-knights-240475" TargetMode="External" Id="rId628" /><Relationship Type="http://schemas.openxmlformats.org/officeDocument/2006/relationships/hyperlink" Target="https://en.wikipedia.org/wiki/Rogue_Legacy" TargetMode="External" Id="rId629" /><Relationship Type="http://schemas.openxmlformats.org/officeDocument/2006/relationships/hyperlink" Target="https://podcasts.apple.com/us/podcast/slay-the-spire-with-anthony-giovannetti/id1435365252?i=1000447140877" TargetMode="External" Id="rId630" /><Relationship Type="http://schemas.openxmlformats.org/officeDocument/2006/relationships/hyperlink" Target="https://www.reddit.com/r/roguelites/comments/m2341u/space_gladiators_my_isaac_inspired_grotesque/" TargetMode="External" Id="rId631" /><Relationship Type="http://schemas.openxmlformats.org/officeDocument/2006/relationships/hyperlink" Target="https://github.com/ScottBurger/going_rogue_podcast/blob/master/docs/providence.md" TargetMode="External" Id="rId632" /><Relationship Type="http://schemas.openxmlformats.org/officeDocument/2006/relationships/hyperlink" Target="https://www.emuglx.org/reportaze/interview/exclusive-switchcars-interview/" TargetMode="External" Id="rId633" /><Relationship Type="http://schemas.openxmlformats.org/officeDocument/2006/relationships/hyperlink" Target="https://steamcommunity.com/app/2563800/discussions/0/4756451565242385846/" TargetMode="External" Id="rId634" /><Relationship Type="http://schemas.openxmlformats.org/officeDocument/2006/relationships/hyperlink" Target="https://www.nme.com/news/gaming-news/crossy-road-creator-announces-space-western-shooter-tombstar-3258744" TargetMode="External" Id="rId635" /><Relationship Type="http://schemas.openxmlformats.org/officeDocument/2006/relationships/hyperlink" Target="https://www.terribleposture.com/tower-of-guns/" TargetMode="External" Id="rId636" /><Relationship Type="http://schemas.openxmlformats.org/officeDocument/2006/relationships/hyperlink" Target="https://www.reddit.com/r/nintendo/comments/691a58/we_are_team_tumbleseed_and_we_launched_tumbleseed/" TargetMode="External" Id="rId637" /><Relationship Type="http://schemas.openxmlformats.org/officeDocument/2006/relationships/hyperlink" Target="https://www.youtube.com/watch?v=giIIoIKntnw" TargetMode="External" Id="rId638" /><Relationship Type="http://schemas.openxmlformats.org/officeDocument/2006/relationships/hyperlink" Target="https://www.shacknews.com/article/110700/undermine-dev-unearths-roguelike-rpg-info-in-interview" TargetMode="External" Id="rId639" /><Relationship Type="http://schemas.openxmlformats.org/officeDocument/2006/relationships/hyperlink" Target="https://www.reddit.com/r/JRPG/comments/1k54nny/lets_discover_rogue_hearts_dungeon_jun_ota_and/" TargetMode="External" Id="rId640" /><Relationship Type="http://schemas.openxmlformats.org/officeDocument/2006/relationships/hyperlink" Target="https://roguebasin.com/index.php/ZMAngband" TargetMode="External" Id="rId641" /><Relationship Type="http://schemas.openxmlformats.org/officeDocument/2006/relationships/hyperlink" Target="https://steamcommunity.com/app/1734320/discussions/0/598515896185532848/" TargetMode="External" Id="rId642" /><Relationship Type="http://schemas.openxmlformats.org/officeDocument/2006/relationships/hyperlink" Target="https://store.steampowered.com/news/app/3618850/view/527612739964633653?l=english" TargetMode="External" Id="rId643" /><Relationship Type="http://schemas.openxmlformats.org/officeDocument/2006/relationships/hyperlink" Target="https://youtu.be/VGMszILvj78" TargetMode="External" Id="rId644" /><Relationship Type="http://schemas.openxmlformats.org/officeDocument/2006/relationships/hyperlink" Target="https://steamcommunity.com/app/2563800/discussions/0/4756451565242385846/" TargetMode="External" Id="rId645" /><Relationship Type="http://schemas.openxmlformats.org/officeDocument/2006/relationships/hyperlink" Target="https://baldis-basics-in-education-and-learning.fandom.com/wiki/Inspiration_and_reference" TargetMode="External" Id="rId646" /><Relationship Type="http://schemas.openxmlformats.org/officeDocument/2006/relationships/hyperlink" Target="https://www.dualshockers.com/touhou-genso-wanderer-interview-director-jyunya-talks-about-the-best-rouge-like-game-in-japan/" TargetMode="External" Id="rId647" /><Relationship Type="http://schemas.openxmlformats.org/officeDocument/2006/relationships/hyperlink" Target="https://en.wikipedia.org/wiki/Baroque_(video_game)" TargetMode="External" Id="rId648" /><Relationship Type="http://schemas.openxmlformats.org/officeDocument/2006/relationships/hyperlink" Target="https://www.youtube.com/watch?v=txv0XsRrFwo" TargetMode="External" Id="rId649" /><Relationship Type="http://schemas.openxmlformats.org/officeDocument/2006/relationships/hyperlink" Target="https://www.youtube.com/watch?v=txv0XsRrFwo" TargetMode="External" Id="rId650" /><Relationship Type="http://schemas.openxmlformats.org/officeDocument/2006/relationships/hyperlink" Target="https://www.reddit.com/r/roguelikes/comments/1iyzkws/house_of_necrosis_demo_is_out_now_on_steam/" TargetMode="External" Id="rId651" /><Relationship Type="http://schemas.openxmlformats.org/officeDocument/2006/relationships/hyperlink" Target="https://store.steampowered.com/app/2102320/MISTROGUE_Mist_and_the_Living_Dungeons/" TargetMode="External" Id="rId652" /><Relationship Type="http://schemas.openxmlformats.org/officeDocument/2006/relationships/hyperlink" Target="https://store.steampowered.com/app/1229260/Monster_Girls_and_the_Mysterious_Adventure/" TargetMode="External" Id="rId653" /><Relationship Type="http://schemas.openxmlformats.org/officeDocument/2006/relationships/hyperlink" Target="https://www.youtube.com/watch?v=txv0XsRrFwo" TargetMode="External" Id="rId654" /><Relationship Type="http://schemas.openxmlformats.org/officeDocument/2006/relationships/hyperlink" Target="https://www.moguragames.com/smokingwolfinterview/" TargetMode="External" Id="rId655" /><Relationship Type="http://schemas.openxmlformats.org/officeDocument/2006/relationships/hyperlink" Target="https://www.simplelove.co/entry/20141209/1418122763" TargetMode="External" Id="rId656" /><Relationship Type="http://schemas.openxmlformats.org/officeDocument/2006/relationships/hyperlink" Target="https://x.com/kagaya_wqy/status/1152559201945677825" TargetMode="External" Id="rId657" /><Relationship Type="http://schemas.openxmlformats.org/officeDocument/2006/relationships/hyperlink" Target="https://www.youtube.com/watch?v=5fR9VYTfm2A&amp;t=1s" TargetMode="External" Id="rId658" /><Relationship Type="http://schemas.openxmlformats.org/officeDocument/2006/relationships/hyperlink" Target="https://x.com/ArturSmiarowski/status/1870390372389597210" TargetMode="External" Id="rId659" /><Relationship Type="http://schemas.openxmlformats.org/officeDocument/2006/relationships/hyperlink" Target="https://steamcommunity.com/app/3100310/discussions/0/735910198043224446/" TargetMode="External" Id="rId660" /><Relationship Type="http://schemas.openxmlformats.org/officeDocument/2006/relationships/hyperlink" Target="https://www.polygon.com/ball-x-pit-review/" TargetMode="External" Id="rId661" /><Relationship Type="http://schemas.openxmlformats.org/officeDocument/2006/relationships/hyperlink" Target="https://youtu.be/VGMszILvj78" TargetMode="External" Id="rId662" /><Relationship Type="http://schemas.openxmlformats.org/officeDocument/2006/relationships/hyperlink" Target="https://youtu.be/HyhYA69y62c" TargetMode="External" Id="rId663" /><Relationship Type="http://schemas.openxmlformats.org/officeDocument/2006/relationships/hyperlink" Target="https://www.youtube.com/watch?v=dfLSGkKC2ug" TargetMode="External" Id="rId664" /><Relationship Type="http://schemas.openxmlformats.org/officeDocument/2006/relationships/hyperlink" Target="https://steamcommunity.com/app/3088070/discussions/0/562532756309055685/" TargetMode="External" Id="rId665" /><Relationship Type="http://schemas.openxmlformats.org/officeDocument/2006/relationships/hyperlink" Target="https://www.youtube.com/watch?v=mGVNTEOoBXc" TargetMode="External" Id="rId666" /><Relationship Type="http://schemas.openxmlformats.org/officeDocument/2006/relationships/hyperlink" Target="https://www.reddit.com/r/IndieGaming/comments/1dnw8jb/been_working_on_an_experimental_survivorslike/" TargetMode="External" Id="rId667" /><Relationship Type="http://schemas.openxmlformats.org/officeDocument/2006/relationships/hyperlink" Target="https://xuanmingzhou.com/blog/glyphica-a-solo-dev-retrospective/" TargetMode="External" Id="rId668" /><Relationship Type="http://schemas.openxmlformats.org/officeDocument/2006/relationships/hyperlink" Target="https://store.steampowered.com/app/2218400/Greedland/" TargetMode="External" Id="rId669" /><Relationship Type="http://schemas.openxmlformats.org/officeDocument/2006/relationships/hyperlink" Target="https://www.indie-games.eu/hell-maiden-touhou-meets-vampire-survivors-interview/" TargetMode="External" Id="rId670" /><Relationship Type="http://schemas.openxmlformats.org/officeDocument/2006/relationships/hyperlink" Target="https://www.reddit.com/r/shmups/comments/y3uhl5/i_just_released_my_game_icewall_an_action/" TargetMode="External" Id="rId671" /><Relationship Type="http://schemas.openxmlformats.org/officeDocument/2006/relationships/hyperlink" Target="https://store.steampowered.com/news/app/2934220/view/698764742929416235?l=english" TargetMode="External" Id="rId672" /><Relationship Type="http://schemas.openxmlformats.org/officeDocument/2006/relationships/hyperlink" Target="https://store.steampowered.com/app/2479320/Pesticide_Not_Required/" TargetMode="External" Id="rId673" /><Relationship Type="http://schemas.openxmlformats.org/officeDocument/2006/relationships/hyperlink" Target="https://www.reddit.com/r/Games/comments/116odn6/star_survivor_prologue_spaceowl_games_scifi/" TargetMode="External" Id="rId674" /><Relationship Type="http://schemas.openxmlformats.org/officeDocument/2006/relationships/hyperlink" Target="https://www.reddit.com/r/Games/comments/196wldd/swarm_grinder_last_bite_games_a_roguelite_game/" TargetMode="External" Id="rId675" /><Relationship Type="http://schemas.openxmlformats.org/officeDocument/2006/relationships/hyperlink" Target="https://store.epicgames.com/news/terratech-legion-interview-russ-clark-car-building-freedom-bullet-heaven?lang=hi" TargetMode="External" Id="rId676" /><Relationship Type="http://schemas.openxmlformats.org/officeDocument/2006/relationships/hyperlink" Target="https://www.reddit.com/r/DestroyMyGame/comments/119wet3/looking_for_feedback_on_this_vs_inspired/" TargetMode="External" Id="rId677" /><Relationship Type="http://schemas.openxmlformats.org/officeDocument/2006/relationships/hyperlink" Target="https://tonemadison.com/articles/whisker-squadron-survivor-takes-aim-at-its-pain-points/" TargetMode="External" Id="rId678" /><Relationship Type="http://schemas.openxmlformats.org/officeDocument/2006/relationships/hyperlink" Target="https://80.lv/articles/making-hack-and-slash-action-rpg-voin-as-solo-developer" TargetMode="External" Id="rId679" /><Relationship Type="http://schemas.openxmlformats.org/officeDocument/2006/relationships/hyperlink" Target="https://www.reddit.com/r/playmygame/comments/sqb852/our_spellcasting_roguelike_abandoned_archive_now/" TargetMode="External" Id="rId680" /><Relationship Type="http://schemas.openxmlformats.org/officeDocument/2006/relationships/hyperlink" Target="https://www.scousegamer88.com/2021/03/31/astral-ascent-hibernian-workshop-interview/" TargetMode="External" Id="rId681" /><Relationship Type="http://schemas.openxmlformats.org/officeDocument/2006/relationships/hyperlink" Target="https://www.roguebasin.com/index.php/Cthangband" TargetMode="External" Id="rId682" /><Relationship Type="http://schemas.openxmlformats.org/officeDocument/2006/relationships/hyperlink" Target="https://roguebasin.com/index.php/PernAngband" TargetMode="External" Id="rId683" /><Relationship Type="http://schemas.openxmlformats.org/officeDocument/2006/relationships/hyperlink" Target="https://roguebasin.com/index.php/ZMAngband" TargetMode="External" Id="rId684" /><Relationship Type="http://schemas.openxmlformats.org/officeDocument/2006/relationships/hyperlink" Target="https://rogueliker.com/vellum-inspirations/" TargetMode="External" Id="rId685" /><Relationship Type="http://schemas.openxmlformats.org/officeDocument/2006/relationships/table" Target="/xl/tables/table2.xml" Id="rId68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6.xml.rels><Relationships xmlns="http://schemas.openxmlformats.org/package/2006/relationships"><Relationship Type="http://schemas.openxmlformats.org/officeDocument/2006/relationships/table" Target="/xl/tables/table15.xml" Id="rId1" /></Relationships>
</file>

<file path=xl/worksheets/_rels/sheet17.xml.rels><Relationships xmlns="http://schemas.openxmlformats.org/package/2006/relationships"><Relationship Type="http://schemas.openxmlformats.org/officeDocument/2006/relationships/drawing" Target="/xl/drawings/drawing1.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_rels/sheet39.xml.rels><Relationships xmlns="http://schemas.openxmlformats.org/package/2006/relationships"><Relationship Type="http://schemas.openxmlformats.org/officeDocument/2006/relationships/table" Target="/xl/tables/table37.xml" Id="rId1" /></Relationships>
</file>

<file path=xl/worksheets/_rels/sheet40.xml.rels><Relationships xmlns="http://schemas.openxmlformats.org/package/2006/relationships"><Relationship Type="http://schemas.openxmlformats.org/officeDocument/2006/relationships/table" Target="/xl/tables/table38.xml" Id="rId1" /></Relationships>
</file>

<file path=xl/worksheets/_rels/sheet41.xml.rels><Relationships xmlns="http://schemas.openxmlformats.org/package/2006/relationships"><Relationship Type="http://schemas.openxmlformats.org/officeDocument/2006/relationships/table" Target="/xl/tables/table39.xml" Id="rId1" /></Relationships>
</file>

<file path=xl/worksheets/_rels/sheet42.xml.rels><Relationships xmlns="http://schemas.openxmlformats.org/package/2006/relationships"><Relationship Type="http://schemas.openxmlformats.org/officeDocument/2006/relationships/hyperlink" Target="https://firch.github.io/BuncoWeb/" TargetMode="External" Id="rId1" /><Relationship Type="http://schemas.openxmlformats.org/officeDocument/2006/relationships/table" Target="/xl/tables/table40.xml" Id="rId2" /></Relationships>
</file>

<file path=xl/worksheets/_rels/sheet43.xml.rels><Relationships xmlns="http://schemas.openxmlformats.org/package/2006/relationships"><Relationship Type="http://schemas.openxmlformats.org/officeDocument/2006/relationships/table" Target="/xl/tables/table41.xml" Id="rId1" /></Relationships>
</file>

<file path=xl/worksheets/_rels/sheet44.xml.rels><Relationships xmlns="http://schemas.openxmlformats.org/package/2006/relationships"><Relationship Type="http://schemas.openxmlformats.org/officeDocument/2006/relationships/table" Target="/xl/tables/table42.xml" Id="rId1" /></Relationships>
</file>

<file path=xl/worksheets/_rels/sheet45.xml.rels><Relationships xmlns="http://schemas.openxmlformats.org/package/2006/relationships"><Relationship Type="http://schemas.openxmlformats.org/officeDocument/2006/relationships/table" Target="/xl/tables/table43.xml" Id="rId1" /></Relationships>
</file>

<file path=xl/worksheets/sheet1.xml><?xml version="1.0" encoding="utf-8"?>
<worksheet xmlns="http://schemas.openxmlformats.org/spreadsheetml/2006/main">
  <sheetPr>
    <outlinePr summaryBelow="1" summaryRight="1"/>
    <pageSetUpPr/>
  </sheetPr>
  <dimension ref="A1:J855"/>
  <sheetViews>
    <sheetView topLeftCell="A808" zoomScaleNormal="100" workbookViewId="0">
      <selection activeCell="D190" sqref="D190"/>
    </sheetView>
  </sheetViews>
  <sheetFormatPr baseColWidth="8" defaultColWidth="8.7109375" defaultRowHeight="15"/>
  <cols>
    <col width="67" customWidth="1" min="1" max="1"/>
    <col width="13.42578125" bestFit="1" customWidth="1" min="3" max="3"/>
    <col width="14.42578125" bestFit="1" customWidth="1" min="4" max="4"/>
    <col width="14.28515625" bestFit="1" customWidth="1" min="5" max="5"/>
    <col width="26.42578125" bestFit="1" customWidth="1" min="6" max="6"/>
    <col width="39.85546875" customWidth="1" min="7" max="7"/>
    <col width="9.7109375" customWidth="1" min="8" max="8"/>
    <col width="84.28515625" customWidth="1" min="9" max="9"/>
    <col width="78.28515625" customWidth="1" min="10" max="10"/>
  </cols>
  <sheetData>
    <row r="1" ht="15" customHeight="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ht="15" customHeight="1">
      <c r="A2" t="inlineStr">
        <is>
          <t>[Redacted]</t>
        </is>
      </c>
      <c r="B2" t="n">
        <v>2024</v>
      </c>
      <c r="C2" t="inlineStr">
        <is>
          <t>Action</t>
        </is>
      </c>
      <c r="D2">
        <f>TRUE()</f>
        <v/>
      </c>
      <c r="E2">
        <f>COUNTIF(connections!A:A, A2) &gt; 0</f>
        <v/>
      </c>
      <c r="G2" t="inlineStr">
        <is>
          <t>redacted</t>
        </is>
      </c>
    </row>
    <row r="3" ht="15" customHeight="1">
      <c r="A3" t="inlineStr">
        <is>
          <t>100 Rogues</t>
        </is>
      </c>
      <c r="B3" t="n">
        <v>2010</v>
      </c>
      <c r="C3" t="inlineStr">
        <is>
          <t>Traditional</t>
        </is>
      </c>
      <c r="D3">
        <f>TRUE()</f>
        <v/>
      </c>
      <c r="E3">
        <f>COUNTIF(connections!A:A, A3) &gt; 0</f>
        <v/>
      </c>
      <c r="G3" t="inlineStr">
        <is>
          <t>100-rogues</t>
        </is>
      </c>
    </row>
    <row r="4" ht="15" customHeight="1">
      <c r="A4" t="inlineStr">
        <is>
          <t>2 Fights in 2 Tight Spaces</t>
        </is>
      </c>
      <c r="B4" t="n">
        <v>2026</v>
      </c>
      <c r="C4" t="inlineStr">
        <is>
          <t>Deckbuilder</t>
        </is>
      </c>
      <c r="D4">
        <f>TRUE()</f>
        <v/>
      </c>
      <c r="E4">
        <f>COUNTIF(connections!A:A, A4) &gt; 0</f>
        <v/>
      </c>
      <c r="G4" t="inlineStr">
        <is>
          <t>2-fights-in-2-tight-spaces</t>
        </is>
      </c>
      <c r="J4" s="1" t="inlineStr">
        <is>
          <t>https://store.steampowered.com/app/3734890/2_Fights_in_2_Tight_Spaces/</t>
        </is>
      </c>
    </row>
    <row r="5" ht="15" customHeight="1">
      <c r="A5" t="inlineStr">
        <is>
          <t>20 Minutes Till Dawn</t>
        </is>
      </c>
      <c r="B5" t="n">
        <v>2022</v>
      </c>
      <c r="C5" t="inlineStr">
        <is>
          <t>Action</t>
        </is>
      </c>
      <c r="D5">
        <f>TRUE()</f>
        <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ht="15" customHeight="1">
      <c r="A6" t="inlineStr">
        <is>
          <t>20XX</t>
        </is>
      </c>
      <c r="B6" t="n">
        <v>2017</v>
      </c>
      <c r="C6" t="inlineStr">
        <is>
          <t>Action</t>
        </is>
      </c>
      <c r="D6">
        <f>TRUE()</f>
        <v/>
      </c>
      <c r="E6">
        <f>COUNTIF(connections!A:A, A6) &gt; 0</f>
        <v/>
      </c>
      <c r="G6" t="inlineStr">
        <is>
          <t>20xx</t>
        </is>
      </c>
      <c r="H6" t="inlineStr">
        <is>
          <t>Yes</t>
        </is>
      </c>
      <c r="I6" t="inlineStr">
        <is>
          <t>C:\Users\Owner\Documents\Roguelike Roguelike\Roguelikes\20XX.url</t>
        </is>
      </c>
      <c r="J6" s="1" t="inlineStr">
        <is>
          <t>https://store.steampowered.com/app/322110/20XX/</t>
        </is>
      </c>
    </row>
    <row r="7" ht="15" customHeight="1">
      <c r="A7" t="inlineStr">
        <is>
          <t>30XX</t>
        </is>
      </c>
      <c r="B7" t="n">
        <v>2021</v>
      </c>
      <c r="C7" t="inlineStr">
        <is>
          <t>Action</t>
        </is>
      </c>
      <c r="D7">
        <f>TRUE()</f>
        <v/>
      </c>
      <c r="E7">
        <f>COUNTIF(connections!A:A, A7) &gt; 0</f>
        <v/>
      </c>
      <c r="G7" t="inlineStr">
        <is>
          <t>30xx</t>
        </is>
      </c>
      <c r="H7" t="inlineStr">
        <is>
          <t>Yes</t>
        </is>
      </c>
      <c r="I7" t="inlineStr">
        <is>
          <t>C:\Users\Owner\Documents\Roguelike Roguelike\Roguelikes\30XX.url</t>
        </is>
      </c>
      <c r="J7" s="1" t="inlineStr">
        <is>
          <t>https://store.steampowered.com/app/1029210/30XX/</t>
        </is>
      </c>
    </row>
    <row r="8" ht="15" customHeight="1">
      <c r="A8" t="inlineStr">
        <is>
          <t>33 Immortals</t>
        </is>
      </c>
      <c r="B8" t="n">
        <v>2026</v>
      </c>
      <c r="C8" t="inlineStr">
        <is>
          <t>Action</t>
        </is>
      </c>
      <c r="D8">
        <f>TRUE()</f>
        <v/>
      </c>
      <c r="E8">
        <f>COUNTIF(connections!A:A, A8) &gt; 0</f>
        <v/>
      </c>
      <c r="F8" t="inlineStr">
        <is>
          <t>hell</t>
        </is>
      </c>
      <c r="G8" t="inlineStr">
        <is>
          <t>33-immortals</t>
        </is>
      </c>
      <c r="J8" s="1" t="inlineStr">
        <is>
          <t>https://store.steampowered.com/app/958520/33_Immortals/</t>
        </is>
      </c>
    </row>
    <row r="9" ht="15" customHeight="1">
      <c r="A9" t="inlineStr">
        <is>
          <t>868-Back</t>
        </is>
      </c>
      <c r="B9" t="n">
        <v>2026</v>
      </c>
      <c r="C9" t="inlineStr">
        <is>
          <t>Traditional</t>
        </is>
      </c>
      <c r="D9">
        <f>TRUE()</f>
        <v/>
      </c>
      <c r="E9">
        <f>COUNTIF(connections!A:A, A9) &gt; 0</f>
        <v/>
      </c>
      <c r="G9" t="inlineStr">
        <is>
          <t>868-back</t>
        </is>
      </c>
      <c r="J9" s="1" t="inlineStr">
        <is>
          <t>https://store.steampowered.com/app/3304110/868BACK/</t>
        </is>
      </c>
    </row>
    <row r="10" ht="15" customHeight="1">
      <c r="A10" t="inlineStr">
        <is>
          <t>868-Hack</t>
        </is>
      </c>
      <c r="B10" t="n">
        <v>2015</v>
      </c>
      <c r="C10" t="inlineStr">
        <is>
          <t>Traditional</t>
        </is>
      </c>
      <c r="D10">
        <f>TRUE()</f>
        <v/>
      </c>
      <c r="E10">
        <f>COUNTIF(connections!A:A, A10) &gt; 0</f>
        <v/>
      </c>
      <c r="G10" t="inlineStr">
        <is>
          <t>868-hack</t>
        </is>
      </c>
      <c r="H10" t="inlineStr">
        <is>
          <t>Yes</t>
        </is>
      </c>
      <c r="I10" t="inlineStr">
        <is>
          <t>C:\Users\Owner\Documents\Roguelike Roguelike\Roguelikes\868-HACK.url</t>
        </is>
      </c>
      <c r="J10" s="1" t="inlineStr">
        <is>
          <t>https://store.steampowered.com/app/274700/868HACK/</t>
        </is>
      </c>
    </row>
    <row r="11" ht="15" customHeight="1">
      <c r="A11" t="inlineStr">
        <is>
          <t>9 Kings</t>
        </is>
      </c>
      <c r="B11" t="n">
        <v>2024</v>
      </c>
      <c r="C11" t="inlineStr">
        <is>
          <t>Deckbuilder</t>
        </is>
      </c>
      <c r="D11">
        <f>TRUE()</f>
        <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ht="15" customHeight="1">
      <c r="A12" t="inlineStr">
        <is>
          <t>99 Levels to Hell</t>
        </is>
      </c>
      <c r="B12" t="n">
        <v>2013</v>
      </c>
      <c r="C12" t="inlineStr">
        <is>
          <t>Action</t>
        </is>
      </c>
      <c r="D12">
        <f>TRUE()</f>
        <v/>
      </c>
      <c r="E12">
        <f>COUNTIF(connections!A:A, A12) &gt; 0</f>
        <v/>
      </c>
      <c r="F12" t="inlineStr">
        <is>
          <t>hell</t>
        </is>
      </c>
      <c r="G12" t="inlineStr">
        <is>
          <t>99-levels-to-hell</t>
        </is>
      </c>
    </row>
    <row r="13" ht="15" customHeight="1">
      <c r="A13" t="inlineStr">
        <is>
          <t>A la Card</t>
        </is>
      </c>
      <c r="B13" t="n">
        <v>2025</v>
      </c>
      <c r="C13" t="inlineStr">
        <is>
          <t>Deckbuilder</t>
        </is>
      </c>
      <c r="D13">
        <f>TRUE()</f>
        <v/>
      </c>
      <c r="E13">
        <f>COUNTIF(connections!A:A, A13) &gt; 0</f>
        <v/>
      </c>
      <c r="G13" t="inlineStr">
        <is>
          <t>a-la-card</t>
        </is>
      </c>
    </row>
    <row r="14" ht="15" customHeight="1">
      <c r="A14" t="inlineStr">
        <is>
          <t>A Robot Named Fight!</t>
        </is>
      </c>
      <c r="B14" t="n">
        <v>2017</v>
      </c>
      <c r="C14" t="inlineStr">
        <is>
          <t>Action</t>
        </is>
      </c>
      <c r="D14">
        <f>TRUE()</f>
        <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ht="15" customHeight="1">
      <c r="A15" t="inlineStr">
        <is>
          <t>Abandon Ship</t>
        </is>
      </c>
      <c r="B15" t="n">
        <v>2019</v>
      </c>
      <c r="C15" t="inlineStr">
        <is>
          <t>Strategy</t>
        </is>
      </c>
      <c r="D15">
        <f>TRUE()</f>
        <v/>
      </c>
      <c r="E15">
        <f>COUNTIF(connections!A:A, A15) &gt; 0</f>
        <v/>
      </c>
      <c r="G15" t="inlineStr">
        <is>
          <t>abandon-ship</t>
        </is>
      </c>
      <c r="H15" t="inlineStr">
        <is>
          <t>Yes</t>
        </is>
      </c>
      <c r="I15" t="inlineStr">
        <is>
          <t>C:\Users\Owner\Documents\Roguelike Roguelike\Roguelikes\Abandon Ship.url</t>
        </is>
      </c>
      <c r="J15" s="11" t="inlineStr">
        <is>
          <t>https://store.steampowered.com/app/551860/Abandon_Ship/</t>
        </is>
      </c>
    </row>
    <row r="16" ht="15" customHeight="1">
      <c r="A16" t="inlineStr">
        <is>
          <t>Abandoned Archive</t>
        </is>
      </c>
      <c r="B16" t="n">
        <v>2025</v>
      </c>
      <c r="C16" t="inlineStr">
        <is>
          <t>Action</t>
        </is>
      </c>
      <c r="D16">
        <f>TRUE()</f>
        <v/>
      </c>
      <c r="E16">
        <f>COUNTIF(connections!A:A, A16) &gt; 0</f>
        <v/>
      </c>
      <c r="G16" t="inlineStr">
        <is>
          <t>abandoned-archive</t>
        </is>
      </c>
    </row>
    <row r="17" ht="15" customHeight="1">
      <c r="A17" t="inlineStr">
        <is>
          <t>Absolum</t>
        </is>
      </c>
      <c r="B17" t="n">
        <v>2025</v>
      </c>
      <c r="C17" t="inlineStr">
        <is>
          <t>Action</t>
        </is>
      </c>
      <c r="D17">
        <f>TRUE()</f>
        <v/>
      </c>
      <c r="E17">
        <f>COUNTIF(connections!A:A, A17) &gt; 0</f>
        <v/>
      </c>
      <c r="F17" t="inlineStr">
        <is>
          <t>beat 'em up</t>
        </is>
      </c>
      <c r="G17" t="inlineStr">
        <is>
          <t>absolum</t>
        </is>
      </c>
      <c r="H17" t="inlineStr">
        <is>
          <t>Yes</t>
        </is>
      </c>
      <c r="I17" t="inlineStr">
        <is>
          <t>C:\Users\Owner\Documents\Roguelike Roguelike\Roguelikes\Absolum.url</t>
        </is>
      </c>
      <c r="J17" s="1" t="inlineStr">
        <is>
          <t>https://store.steampowered.com/app/1904480/Absolum/</t>
        </is>
      </c>
    </row>
    <row r="18" ht="15" customHeight="1">
      <c r="A18" t="inlineStr">
        <is>
          <t>Aces &amp; Adventures</t>
        </is>
      </c>
      <c r="B18" t="n">
        <v>2023</v>
      </c>
      <c r="C18" t="inlineStr">
        <is>
          <t>Deckbuilder</t>
        </is>
      </c>
      <c r="D18">
        <f>TRUE()</f>
        <v/>
      </c>
      <c r="E18">
        <f>COUNTIF(connections!A:A, A18) &gt; 0</f>
        <v/>
      </c>
      <c r="G18" t="inlineStr">
        <is>
          <t>aces-adventures</t>
        </is>
      </c>
      <c r="H18" t="inlineStr">
        <is>
          <t>Yes</t>
        </is>
      </c>
      <c r="I18" t="inlineStr">
        <is>
          <t>C:\Users\Owner\Documents\Roguelike Roguelike\Roguelikes\Aces and Adventures.url</t>
        </is>
      </c>
      <c r="J18" s="1" t="inlineStr">
        <is>
          <t>https://store.steampowered.com/app/1815570/Aces__Adventures/</t>
        </is>
      </c>
    </row>
    <row r="19" ht="15" customHeight="1">
      <c r="A19" t="inlineStr">
        <is>
          <t>Across the Obelisk</t>
        </is>
      </c>
      <c r="B19" t="n">
        <v>2021</v>
      </c>
      <c r="C19" t="inlineStr">
        <is>
          <t>Deckbuilder</t>
        </is>
      </c>
      <c r="D19">
        <f>TRUE()</f>
        <v/>
      </c>
      <c r="E19">
        <f>COUNTIF(connections!A:A, A19) &gt; 0</f>
        <v/>
      </c>
      <c r="G19" t="inlineStr">
        <is>
          <t>across-the-obelisk</t>
        </is>
      </c>
      <c r="H19" t="inlineStr">
        <is>
          <t>Yes</t>
        </is>
      </c>
      <c r="I19" t="inlineStr">
        <is>
          <t>C:\Users\Owner\Documents\Roguelike Roguelike\Roguelikes\Across the Obelisk.url</t>
        </is>
      </c>
      <c r="J19" s="1" t="inlineStr">
        <is>
          <t>https://store.steampowered.com/app/1385380/Across_the_Obelisk/</t>
        </is>
      </c>
    </row>
    <row r="20" ht="15" customHeight="1">
      <c r="A20" t="inlineStr">
        <is>
          <t>Aethermancer</t>
        </is>
      </c>
      <c r="B20" t="n">
        <v>2025</v>
      </c>
      <c r="C20" t="inlineStr">
        <is>
          <t>Strategy</t>
        </is>
      </c>
      <c r="D20">
        <f>TRUE()</f>
        <v/>
      </c>
      <c r="E20">
        <f>COUNTIF(connections!A:A, A20) &gt; 0</f>
        <v/>
      </c>
      <c r="G20" t="inlineStr">
        <is>
          <t>aethermancer</t>
        </is>
      </c>
      <c r="H20" t="inlineStr">
        <is>
          <t>Yes</t>
        </is>
      </c>
      <c r="I20" t="inlineStr">
        <is>
          <t>C:\Users\Owner\Documents\Roguelike Roguelike\Roguelikes\Aethermancer.url</t>
        </is>
      </c>
      <c r="J20" s="1" t="inlineStr">
        <is>
          <t>https://store.steampowered.com/app/2288470/Aethermancer/</t>
        </is>
      </c>
    </row>
    <row r="21" ht="15" customHeight="1">
      <c r="A21" t="inlineStr">
        <is>
          <t>AK-xolotl</t>
        </is>
      </c>
      <c r="B21" t="n">
        <v>2023</v>
      </c>
      <c r="C21" t="inlineStr">
        <is>
          <t>Action</t>
        </is>
      </c>
      <c r="D21">
        <f>TRUE()</f>
        <v/>
      </c>
      <c r="E21">
        <f>COUNTIF(connections!A:A, A21) &gt; 0</f>
        <v/>
      </c>
      <c r="G21" t="inlineStr">
        <is>
          <t>ak-xolotl</t>
        </is>
      </c>
      <c r="H21" t="inlineStr">
        <is>
          <t>Yes</t>
        </is>
      </c>
      <c r="I21" t="inlineStr">
        <is>
          <t>C:\Users\Owner\Documents\Roguelike Roguelike\Roguelikes\AK-xolotl Together.url</t>
        </is>
      </c>
      <c r="J21" s="1" t="inlineStr">
        <is>
          <t>https://store.steampowered.com/app/1479140/AKxolotl_Together/</t>
        </is>
      </c>
    </row>
    <row r="22" ht="15" customHeight="1">
      <c r="A22" t="inlineStr">
        <is>
          <t>Alina of the Arena</t>
        </is>
      </c>
      <c r="B22" t="n">
        <v>2022</v>
      </c>
      <c r="C22" t="inlineStr">
        <is>
          <t>Deckbuilder</t>
        </is>
      </c>
      <c r="D22">
        <f>TRUE()</f>
        <v/>
      </c>
      <c r="E22">
        <f>COUNTIF(connections!A:A, A22) &gt; 0</f>
        <v/>
      </c>
      <c r="G22" t="inlineStr">
        <is>
          <t>alina-of-the-arena</t>
        </is>
      </c>
      <c r="H22" t="inlineStr">
        <is>
          <t>Yes</t>
        </is>
      </c>
      <c r="I22" t="inlineStr">
        <is>
          <t>C:\Users\Owner\Documents\Roguelike Roguelike\Roguelikes\Alina of the Arena.url</t>
        </is>
      </c>
      <c r="J22" s="1" t="inlineStr">
        <is>
          <t>https://store.steampowered.com/app/1668690/Alina_of_the_Arena/</t>
        </is>
      </c>
    </row>
    <row r="23" ht="15" customHeight="1">
      <c r="A23" t="inlineStr">
        <is>
          <t>An Amazing Wizard</t>
        </is>
      </c>
      <c r="B23" t="n">
        <v>2025</v>
      </c>
      <c r="C23" t="inlineStr">
        <is>
          <t>Action</t>
        </is>
      </c>
      <c r="D23">
        <f>TRUE()</f>
        <v/>
      </c>
      <c r="E23">
        <f>COUNTIF(connections!A:A, A23) &gt; 0</f>
        <v/>
      </c>
      <c r="G23" t="inlineStr">
        <is>
          <t>an-amazing-wizard</t>
        </is>
      </c>
      <c r="J23" s="11" t="inlineStr">
        <is>
          <t>https://store.steampowered.com/app/1372660/An_Amazing_Wizard/</t>
        </is>
      </c>
    </row>
    <row r="24" ht="15" customHeight="1">
      <c r="A24" t="inlineStr">
        <is>
          <t>Ancient Domains of Mystery</t>
        </is>
      </c>
      <c r="B24" t="n">
        <v>1994</v>
      </c>
      <c r="C24" t="inlineStr">
        <is>
          <t>Traditional</t>
        </is>
      </c>
      <c r="D24">
        <f>TRUE()</f>
        <v/>
      </c>
      <c r="E24">
        <f>COUNTIF(connections!A:A, A24) &gt; 0</f>
        <v/>
      </c>
      <c r="G24" t="inlineStr">
        <is>
          <t>ancient-domains-of-mystery</t>
        </is>
      </c>
      <c r="H24" t="inlineStr">
        <is>
          <t>Yes</t>
        </is>
      </c>
      <c r="I24" t="inlineStr">
        <is>
          <t>C:\Users\Owner\Documents\Roguelike Roguelike\Roguelikes\ADOM (Ancient Domains Of Mystery).url</t>
        </is>
      </c>
      <c r="J24" s="1" t="inlineStr">
        <is>
          <t>https://store.steampowered.com/app/333300/ADOM_Ancient_Domains_Of_Mystery/</t>
        </is>
      </c>
    </row>
    <row r="25" ht="15" customHeight="1">
      <c r="A25" t="inlineStr">
        <is>
          <t>Angband</t>
        </is>
      </c>
      <c r="B25" t="n">
        <v>1990</v>
      </c>
      <c r="C25" t="inlineStr">
        <is>
          <t>Traditional</t>
        </is>
      </c>
      <c r="D25">
        <f>TRUE()</f>
        <v/>
      </c>
      <c r="E25">
        <f>COUNTIF(connections!A:A, A25) &gt; 0</f>
        <v/>
      </c>
      <c r="G25" t="inlineStr">
        <is>
          <t>angband</t>
        </is>
      </c>
      <c r="H25" t="inlineStr">
        <is>
          <t>Yes</t>
        </is>
      </c>
      <c r="I25" t="inlineStr">
        <is>
          <t>C:\Users\Owner\Documents\Roguelike Roguelike\Roguelikes\angband.lnk</t>
        </is>
      </c>
    </row>
    <row r="26" ht="15" customHeight="1">
      <c r="A26" t="inlineStr">
        <is>
          <t>Another Farm Roguelike</t>
        </is>
      </c>
      <c r="B26" t="n">
        <v>2022</v>
      </c>
      <c r="C26" t="inlineStr">
        <is>
          <t>Strategy</t>
        </is>
      </c>
      <c r="D26">
        <f>FALSE()</f>
        <v/>
      </c>
      <c r="E26">
        <f>COUNTIF(connections!A:A, A26) &gt; 0</f>
        <v/>
      </c>
      <c r="F26" t="inlineStr">
        <is>
          <t>food</t>
        </is>
      </c>
      <c r="G26" t="inlineStr">
        <is>
          <t>another-farm-roguelike</t>
        </is>
      </c>
      <c r="H26" t="inlineStr">
        <is>
          <t>Yes</t>
        </is>
      </c>
      <c r="I26" t="inlineStr">
        <is>
          <t>C:\Users\Owner\Documents\Roguelike Roguelike\Roguelikes\Another Farm Roguelike.url</t>
        </is>
      </c>
      <c r="J26" s="1" t="inlineStr">
        <is>
          <t>https://store.steampowered.com/app/2116850/Another_Farm_Roguelike/</t>
        </is>
      </c>
    </row>
    <row r="27" ht="15" customHeight="1">
      <c r="A27" t="inlineStr">
        <is>
          <t>Another Farm Roguelike: Rebirth</t>
        </is>
      </c>
      <c r="B27" t="n">
        <v>2025</v>
      </c>
      <c r="C27" t="inlineStr">
        <is>
          <t>Strategy</t>
        </is>
      </c>
      <c r="D27">
        <f>FALSE()</f>
        <v/>
      </c>
      <c r="E27">
        <f>COUNTIF(connections!A:A, A27) &gt; 0</f>
        <v/>
      </c>
      <c r="F27" t="inlineStr">
        <is>
          <t>food</t>
        </is>
      </c>
      <c r="G27" t="inlineStr">
        <is>
          <t>another-farm-roguelike-rebirth</t>
        </is>
      </c>
    </row>
    <row r="28" ht="15" customHeight="1">
      <c r="A28" t="inlineStr">
        <is>
          <t>Aotenjo: Infinite Hands</t>
        </is>
      </c>
      <c r="B28" t="n">
        <v>2024</v>
      </c>
      <c r="C28" t="inlineStr">
        <is>
          <t>Deckbuilder</t>
        </is>
      </c>
      <c r="D28">
        <f>TRUE()</f>
        <v/>
      </c>
      <c r="E28">
        <f>COUNTIF(connections!A:A, A28) &gt; 0</f>
        <v/>
      </c>
      <c r="F28" t="inlineStr">
        <is>
          <t>mahjong</t>
        </is>
      </c>
      <c r="G28" t="inlineStr">
        <is>
          <t>aotenjo-infinite-hands</t>
        </is>
      </c>
    </row>
    <row r="29" ht="15" customHeight="1">
      <c r="A29" t="inlineStr">
        <is>
          <t>Approaching Infinity</t>
        </is>
      </c>
      <c r="B29" t="n">
        <v>2020</v>
      </c>
      <c r="C29" t="inlineStr">
        <is>
          <t>Traditional</t>
        </is>
      </c>
      <c r="D29">
        <f>TRUE()</f>
        <v/>
      </c>
      <c r="E29">
        <f>COUNTIF(connections!A:A, A29) &gt; 0</f>
        <v/>
      </c>
      <c r="F29" t="inlineStr">
        <is>
          <t>space</t>
        </is>
      </c>
      <c r="G29" t="inlineStr">
        <is>
          <t>approaching-infinity</t>
        </is>
      </c>
    </row>
    <row r="30" ht="15" customHeight="1">
      <c r="A30" t="inlineStr">
        <is>
          <t>Arc Seed</t>
        </is>
      </c>
      <c r="B30" t="n">
        <v>2024</v>
      </c>
      <c r="C30" t="inlineStr">
        <is>
          <t>Deckbuilder</t>
        </is>
      </c>
      <c r="D30">
        <f>TRUE()</f>
        <v/>
      </c>
      <c r="E30">
        <f>COUNTIF(connections!A:A, A30) &gt; 0</f>
        <v/>
      </c>
      <c r="F30" t="inlineStr">
        <is>
          <t>mecha</t>
        </is>
      </c>
      <c r="G30" t="inlineStr">
        <is>
          <t>arc-seed</t>
        </is>
      </c>
      <c r="H30" t="inlineStr">
        <is>
          <t>Yes</t>
        </is>
      </c>
      <c r="I30" t="inlineStr">
        <is>
          <t>C:\Users\Owner\Documents\Roguelike Roguelike\Roguelikes\ARC SEED.url</t>
        </is>
      </c>
      <c r="J30" s="11" t="inlineStr">
        <is>
          <t>https://store.steampowered.com/app/2332970/ARC_SEED/</t>
        </is>
      </c>
    </row>
    <row r="31" ht="15" customHeight="1">
      <c r="A31" t="inlineStr">
        <is>
          <t>Arcane Trigger</t>
        </is>
      </c>
      <c r="B31" t="n">
        <v>2025</v>
      </c>
      <c r="C31" t="inlineStr">
        <is>
          <t>Action</t>
        </is>
      </c>
      <c r="D31">
        <f>FALSE()</f>
        <v/>
      </c>
      <c r="E31">
        <f>COUNTIF(connections!A:A, A31) &gt; 0</f>
        <v/>
      </c>
      <c r="G31" t="inlineStr">
        <is>
          <t>arcane-trigger</t>
        </is>
      </c>
    </row>
    <row r="32" ht="15" customHeight="1">
      <c r="A32" t="inlineStr">
        <is>
          <t>Arcanium: Rise of Akhan</t>
        </is>
      </c>
      <c r="B32" t="n">
        <v>2020</v>
      </c>
      <c r="C32" t="inlineStr">
        <is>
          <t>Deckbuilder</t>
        </is>
      </c>
      <c r="D32">
        <f>TRUE()</f>
        <v/>
      </c>
      <c r="E32">
        <f>COUNTIF(connections!A:A, A32) &gt; 0</f>
        <v/>
      </c>
      <c r="G32" t="inlineStr">
        <is>
          <t>arcanium-rise-of-akhan</t>
        </is>
      </c>
      <c r="H32" t="inlineStr">
        <is>
          <t>Yes</t>
        </is>
      </c>
      <c r="I32" t="inlineStr">
        <is>
          <t>C:\Users\Owner\Documents\Roguelike Roguelike\Roguelikes\Arcanium.url</t>
        </is>
      </c>
      <c r="J32" s="1" t="inlineStr">
        <is>
          <t>https://store.steampowered.com/app/1056840/Arcanium_Rise_of_Akhan/</t>
        </is>
      </c>
    </row>
    <row r="33" ht="15" customHeight="1">
      <c r="A33" t="inlineStr">
        <is>
          <t>Archon Soul</t>
        </is>
      </c>
      <c r="B33" t="n">
        <v>2026</v>
      </c>
      <c r="C33" t="inlineStr">
        <is>
          <t>Deckbuilder</t>
        </is>
      </c>
      <c r="D33">
        <f>TRUE()</f>
        <v/>
      </c>
      <c r="E33">
        <f>COUNTIF(connections!A:A, A33) &gt; 0</f>
        <v/>
      </c>
      <c r="G33" t="inlineStr">
        <is>
          <t>archon-soul</t>
        </is>
      </c>
      <c r="J33" s="11" t="inlineStr">
        <is>
          <t>https://store.steampowered.com/app/4252700/Archon_Soul/</t>
        </is>
      </c>
    </row>
    <row r="34" ht="15" customHeight="1">
      <c r="A34" t="inlineStr">
        <is>
          <t>Archons</t>
        </is>
      </c>
      <c r="B34" t="n">
        <v>2024</v>
      </c>
      <c r="C34" t="inlineStr">
        <is>
          <t>Action</t>
        </is>
      </c>
      <c r="D34">
        <f>TRUE()</f>
        <v/>
      </c>
      <c r="E34">
        <f>COUNTIF(connections!A:A, A34) &gt; 0</f>
        <v/>
      </c>
      <c r="G34" t="inlineStr">
        <is>
          <t>archons</t>
        </is>
      </c>
      <c r="H34" t="inlineStr">
        <is>
          <t>Yes</t>
        </is>
      </c>
      <c r="I34" t="inlineStr">
        <is>
          <t>C:\Users\Owner\Documents\Roguelike Roguelike\Roguelikes\Archons.url</t>
        </is>
      </c>
      <c r="J34" s="1" t="inlineStr">
        <is>
          <t>https://store.steampowered.com/app/2779570/Archons/</t>
        </is>
      </c>
    </row>
    <row r="35" ht="15" customHeight="1">
      <c r="A35" t="inlineStr">
        <is>
          <t>Arms of God</t>
        </is>
      </c>
      <c r="B35" t="n">
        <v>2026</v>
      </c>
      <c r="C35" t="inlineStr">
        <is>
          <t>Action</t>
        </is>
      </c>
      <c r="D35">
        <f>TRUE()</f>
        <v/>
      </c>
      <c r="E35">
        <f>COUNTIF(connections!A:A, A35) &gt; 0</f>
        <v/>
      </c>
      <c r="G35" t="inlineStr">
        <is>
          <t>arms-of-god</t>
        </is>
      </c>
      <c r="J35" s="11" t="inlineStr">
        <is>
          <t>https://store.steampowered.com/app/3100310/Arms_of_God/</t>
        </is>
      </c>
    </row>
    <row r="36" ht="15" customHeight="1">
      <c r="A36" t="inlineStr">
        <is>
          <t>Army of Ruin</t>
        </is>
      </c>
      <c r="B36" t="n">
        <v>2022</v>
      </c>
      <c r="C36" t="inlineStr">
        <is>
          <t>Action</t>
        </is>
      </c>
      <c r="D36">
        <f>TRUE()</f>
        <v/>
      </c>
      <c r="E36">
        <f>COUNTIF(connections!A:A, A36) &gt; 0</f>
        <v/>
      </c>
      <c r="G36" t="inlineStr">
        <is>
          <t>army-of-ruin</t>
        </is>
      </c>
    </row>
    <row r="37" ht="15" customHeight="1">
      <c r="A37" t="inlineStr">
        <is>
          <t>Arrogue</t>
        </is>
      </c>
      <c r="B37" t="n">
        <v>2025</v>
      </c>
      <c r="C37" t="inlineStr">
        <is>
          <t>Deckbuilder</t>
        </is>
      </c>
      <c r="D37">
        <f>TRUE()</f>
        <v/>
      </c>
      <c r="E37">
        <f>COUNTIF(connections!A:A, A37) &gt; 0</f>
        <v/>
      </c>
      <c r="G37" t="inlineStr">
        <is>
          <t>arrogue</t>
        </is>
      </c>
    </row>
    <row r="38" ht="15" customHeight="1">
      <c r="A38" t="inlineStr">
        <is>
          <t>As We Descend</t>
        </is>
      </c>
      <c r="B38" t="n">
        <v>2025</v>
      </c>
      <c r="C38" t="inlineStr">
        <is>
          <t>Deckbuilder</t>
        </is>
      </c>
      <c r="D38">
        <f>TRUE()</f>
        <v/>
      </c>
      <c r="E38">
        <f>COUNTIF(connections!A:A, A38) &gt; 0</f>
        <v/>
      </c>
      <c r="G38" t="inlineStr">
        <is>
          <t>as-we-descend</t>
        </is>
      </c>
    </row>
    <row r="39" ht="15" customHeight="1">
      <c r="A39" t="inlineStr">
        <is>
          <t>Asgard's Fall: Viking Survivors</t>
        </is>
      </c>
      <c r="B39" t="n">
        <v>2025</v>
      </c>
      <c r="C39" t="inlineStr">
        <is>
          <t>Action</t>
        </is>
      </c>
      <c r="D39">
        <f>TRUE()</f>
        <v/>
      </c>
      <c r="E39">
        <f>COUNTIF(connections!A:A, A39) &gt; 0</f>
        <v/>
      </c>
      <c r="F39" t="inlineStr">
        <is>
          <t>viking</t>
        </is>
      </c>
      <c r="G39" t="inlineStr">
        <is>
          <t>asgards-fall-viking-survivors</t>
        </is>
      </c>
      <c r="H39" t="inlineStr">
        <is>
          <t>Yes</t>
        </is>
      </c>
      <c r="I39" t="inlineStr">
        <is>
          <t>C:\Users\Owner\Documents\Roguelike Roguelike\Roguelikes\Asgard's Fall — Viking Survivors.url</t>
        </is>
      </c>
      <c r="J39" s="1" t="inlineStr">
        <is>
          <t>https://store.steampowered.com/app/2780710/Asgards_Fall__Viking_Survivors/</t>
        </is>
      </c>
    </row>
    <row r="40" ht="15" customHeight="1">
      <c r="A40" t="inlineStr">
        <is>
          <t>Asterogues</t>
        </is>
      </c>
      <c r="B40" t="n">
        <v>2023</v>
      </c>
      <c r="C40" t="inlineStr">
        <is>
          <t>Action</t>
        </is>
      </c>
      <c r="D40">
        <f>TRUE()</f>
        <v/>
      </c>
      <c r="E40">
        <f>COUNTIF(connections!A:A, A40) &gt; 0</f>
        <v/>
      </c>
      <c r="F40" t="inlineStr">
        <is>
          <t>space</t>
        </is>
      </c>
      <c r="G40" t="inlineStr">
        <is>
          <t>asterogues</t>
        </is>
      </c>
    </row>
    <row r="41" ht="15" customHeight="1">
      <c r="A41" t="inlineStr">
        <is>
          <t>Astral Ascent</t>
        </is>
      </c>
      <c r="B41" t="n">
        <v>2022</v>
      </c>
      <c r="C41" t="inlineStr">
        <is>
          <t>Action</t>
        </is>
      </c>
      <c r="D41">
        <f>TRUE()</f>
        <v/>
      </c>
      <c r="E41">
        <f>COUNTIF(connections!A:A, A41) &gt; 0</f>
        <v/>
      </c>
      <c r="G41" t="inlineStr">
        <is>
          <t>astral-ascent</t>
        </is>
      </c>
      <c r="H41" t="inlineStr">
        <is>
          <t>Yes</t>
        </is>
      </c>
      <c r="I41" t="inlineStr">
        <is>
          <t>C:\Users\Owner\Documents\Roguelike Roguelike\Roguelikes\Astral Ascent.url</t>
        </is>
      </c>
      <c r="J41" s="1" t="inlineStr">
        <is>
          <t>https://store.steampowered.com/app/1280930/Astral_Ascent/</t>
        </is>
      </c>
    </row>
    <row r="42" ht="15" customHeight="1">
      <c r="A42" t="inlineStr">
        <is>
          <t>Astrea: Six-Sided Oracles</t>
        </is>
      </c>
      <c r="B42" t="n">
        <v>2023</v>
      </c>
      <c r="C42" t="inlineStr">
        <is>
          <t>Deckbuilder</t>
        </is>
      </c>
      <c r="D42">
        <f>TRUE()</f>
        <v/>
      </c>
      <c r="E42">
        <f>COUNTIF(connections!A:A, A42) &gt; 0</f>
        <v/>
      </c>
      <c r="F42" t="inlineStr">
        <is>
          <t>dice</t>
        </is>
      </c>
      <c r="G42" t="inlineStr">
        <is>
          <t>astrea-six-sided-oracles</t>
        </is>
      </c>
      <c r="H42" t="inlineStr">
        <is>
          <t>Yes</t>
        </is>
      </c>
      <c r="I42" t="inlineStr">
        <is>
          <t>C:\Users\Owner\Documents\Roguelike Roguelike\Roguelikes\Astrea Six-Sided Oracles.url</t>
        </is>
      </c>
      <c r="J42" s="1" t="inlineStr">
        <is>
          <t>https://store.steampowered.com/app/1755830/Astrea_SixSided_Oracles/</t>
        </is>
      </c>
    </row>
    <row r="43" ht="15" customHeight="1">
      <c r="A43" t="inlineStr">
        <is>
          <t>Astro Prospector</t>
        </is>
      </c>
      <c r="B43" t="n">
        <v>2025</v>
      </c>
      <c r="C43" t="inlineStr">
        <is>
          <t>Action</t>
        </is>
      </c>
      <c r="D43">
        <f>TRUE()</f>
        <v/>
      </c>
      <c r="E43">
        <f>COUNTIF(connections!A:A, A43) &gt; 0</f>
        <v/>
      </c>
      <c r="F43" t="inlineStr">
        <is>
          <t>space</t>
        </is>
      </c>
      <c r="G43" t="inlineStr">
        <is>
          <t>astro-prospector</t>
        </is>
      </c>
      <c r="H43" t="inlineStr">
        <is>
          <t>Yes</t>
        </is>
      </c>
      <c r="I43" t="inlineStr">
        <is>
          <t>C:\Users\Owner\Documents\Roguelike Roguelike\Roguelikes\Astro Prospector.url</t>
        </is>
      </c>
      <c r="J43" s="1" t="inlineStr">
        <is>
          <t>https://store.steampowered.com/app/3503440/Astro_Prospector/</t>
        </is>
      </c>
    </row>
    <row r="44" ht="15" customHeight="1">
      <c r="A44" t="inlineStr">
        <is>
          <t>Astronarch</t>
        </is>
      </c>
      <c r="B44" t="n">
        <v>2020</v>
      </c>
      <c r="C44" t="inlineStr">
        <is>
          <t>Strategy</t>
        </is>
      </c>
      <c r="D44">
        <f>TRUE()</f>
        <v/>
      </c>
      <c r="E44">
        <f>COUNTIF(connections!A:A, A44) &gt; 0</f>
        <v/>
      </c>
      <c r="G44" t="inlineStr">
        <is>
          <t>astronarch</t>
        </is>
      </c>
      <c r="H44" t="inlineStr">
        <is>
          <t>Yes</t>
        </is>
      </c>
      <c r="I44" t="inlineStr">
        <is>
          <t>C:\Users\Owner\Documents\Roguelike Roguelike\Roguelikes\Astronarch.url</t>
        </is>
      </c>
      <c r="J44" s="1" t="inlineStr">
        <is>
          <t>https://store.steampowered.com/app/1234940/Astronarch/</t>
        </is>
      </c>
    </row>
    <row r="45" ht="15" customHeight="1">
      <c r="A45" t="inlineStr">
        <is>
          <t>Atai no Gensoukyou</t>
        </is>
      </c>
      <c r="B45" t="n">
        <v>2010</v>
      </c>
      <c r="C45" t="inlineStr">
        <is>
          <t>Traditional</t>
        </is>
      </c>
      <c r="D45">
        <f>TRUE()</f>
        <v/>
      </c>
      <c r="E45">
        <f>COUNTIF(connections!A:A, A45) &gt; 0</f>
        <v/>
      </c>
      <c r="F45" t="inlineStr">
        <is>
          <t>touhou</t>
        </is>
      </c>
      <c r="G45" t="inlineStr">
        <is>
          <t>atai-no-gensoukyou</t>
        </is>
      </c>
    </row>
    <row r="46" ht="15" customHeight="1">
      <c r="A46" t="inlineStr">
        <is>
          <t>Atomic Owl</t>
        </is>
      </c>
      <c r="B46" t="n">
        <v>2025</v>
      </c>
      <c r="C46" t="inlineStr">
        <is>
          <t>Action</t>
        </is>
      </c>
      <c r="D46">
        <f>TRUE()</f>
        <v/>
      </c>
      <c r="E46">
        <f>COUNTIF(connections!A:A, A46) &gt; 0</f>
        <v/>
      </c>
      <c r="G46" t="inlineStr">
        <is>
          <t>atomic-owl</t>
        </is>
      </c>
      <c r="J46" s="11" t="inlineStr">
        <is>
          <t>https://store.steampowered.com/app/2228490/Atomic_Owl/</t>
        </is>
      </c>
    </row>
    <row r="47" ht="15" customHeight="1">
      <c r="A47" t="inlineStr">
        <is>
          <t>Atomicrops</t>
        </is>
      </c>
      <c r="B47" t="n">
        <v>2020</v>
      </c>
      <c r="C47" t="inlineStr">
        <is>
          <t>Action</t>
        </is>
      </c>
      <c r="D47">
        <f>TRUE()</f>
        <v/>
      </c>
      <c r="E47">
        <f>COUNTIF(connections!A:A, A47) &gt; 0</f>
        <v/>
      </c>
      <c r="F47" t="inlineStr">
        <is>
          <t>food</t>
        </is>
      </c>
      <c r="G47" t="inlineStr">
        <is>
          <t>atomicrops</t>
        </is>
      </c>
      <c r="H47" t="inlineStr">
        <is>
          <t>Yes</t>
        </is>
      </c>
      <c r="I47" t="inlineStr">
        <is>
          <t>C:\Users\Owner\Documents\Roguelike Roguelike\Roguelikes\Atomicrops.url</t>
        </is>
      </c>
      <c r="J47" s="1" t="inlineStr">
        <is>
          <t>https://store.steampowered.com/app/757320/Atomicrops/</t>
        </is>
      </c>
    </row>
    <row r="48" ht="15" customHeight="1">
      <c r="A48" t="inlineStr">
        <is>
          <t>Auro: A Monster-Bumping Adventure</t>
        </is>
      </c>
      <c r="B48" t="n">
        <v>2014</v>
      </c>
      <c r="C48" t="inlineStr">
        <is>
          <t>Strategy</t>
        </is>
      </c>
      <c r="D48">
        <f>TRUE()</f>
        <v/>
      </c>
      <c r="E48">
        <f>COUNTIF(connections!A:A, A48) &gt; 0</f>
        <v/>
      </c>
      <c r="G48" t="inlineStr">
        <is>
          <t>auro-a-monster-bumping-adventure</t>
        </is>
      </c>
    </row>
    <row r="49" ht="15" customHeight="1">
      <c r="A49" t="inlineStr">
        <is>
          <t>Auto Rogue</t>
        </is>
      </c>
      <c r="B49" t="n">
        <v>2025</v>
      </c>
      <c r="C49" t="inlineStr">
        <is>
          <t>Strategy</t>
        </is>
      </c>
      <c r="D49">
        <f>FALSE()</f>
        <v/>
      </c>
      <c r="E49">
        <f>COUNTIF(connections!A:A, A49) &gt; 0</f>
        <v/>
      </c>
      <c r="G49" t="inlineStr">
        <is>
          <t>auto-rogue</t>
        </is>
      </c>
    </row>
    <row r="50" ht="15" customHeight="1">
      <c r="A50" t="inlineStr">
        <is>
          <t>Azure Dreams</t>
        </is>
      </c>
      <c r="B50" t="n">
        <v>1997</v>
      </c>
      <c r="C50" t="inlineStr">
        <is>
          <t>Traditional</t>
        </is>
      </c>
      <c r="D50">
        <f>TRUE()</f>
        <v/>
      </c>
      <c r="E50">
        <f>COUNTIF(connections!A:A, A50) &gt; 0</f>
        <v/>
      </c>
      <c r="G50" t="inlineStr">
        <is>
          <t>azure-dreams</t>
        </is>
      </c>
      <c r="H50" t="inlineStr">
        <is>
          <t>Yes</t>
        </is>
      </c>
      <c r="I50" t="inlineStr">
        <is>
          <t>C:\Users\Owner\Documents\Roguelike Roguelike\Roguelikes\Azure Dreams.lnk</t>
        </is>
      </c>
    </row>
    <row r="51" ht="15" customHeight="1">
      <c r="A51" t="inlineStr">
        <is>
          <t>Backpack Battles</t>
        </is>
      </c>
      <c r="B51" t="n">
        <v>2023</v>
      </c>
      <c r="C51" t="inlineStr">
        <is>
          <t>Strategy</t>
        </is>
      </c>
      <c r="D51">
        <f>TRUE()</f>
        <v/>
      </c>
      <c r="E51">
        <f>COUNTIF(connections!A:A, A51) &gt; 0</f>
        <v/>
      </c>
      <c r="G51" t="inlineStr">
        <is>
          <t>backpack-battles</t>
        </is>
      </c>
    </row>
    <row r="52" ht="15" customHeight="1">
      <c r="A52" t="inlineStr">
        <is>
          <t>Backpack Hero</t>
        </is>
      </c>
      <c r="B52" t="n">
        <v>2022</v>
      </c>
      <c r="C52" t="inlineStr">
        <is>
          <t>Deckbuilder</t>
        </is>
      </c>
      <c r="D52">
        <f>TRUE()</f>
        <v/>
      </c>
      <c r="E52">
        <f>COUNTIF(connections!A:A, A52) &gt; 0</f>
        <v/>
      </c>
      <c r="G52" t="inlineStr">
        <is>
          <t>backpack-hero</t>
        </is>
      </c>
      <c r="H52" t="inlineStr">
        <is>
          <t>Yes</t>
        </is>
      </c>
      <c r="I52" t="inlineStr">
        <is>
          <t>C:\Users\Owner\Documents\Roguelike Roguelike\Roguelikes\Backpack Hero.url</t>
        </is>
      </c>
      <c r="J52" s="1" t="inlineStr">
        <is>
          <t>https://store.steampowered.com/app/1970580/Backpack_Hero/</t>
        </is>
      </c>
    </row>
    <row r="53" ht="15" customHeight="1">
      <c r="A53" t="inlineStr">
        <is>
          <t>Bad North</t>
        </is>
      </c>
      <c r="B53" t="n">
        <v>2018</v>
      </c>
      <c r="C53" t="inlineStr">
        <is>
          <t>Strategy</t>
        </is>
      </c>
      <c r="D53">
        <f>TRUE()</f>
        <v/>
      </c>
      <c r="E53">
        <f>COUNTIF(connections!A:A, A53) &gt; 0</f>
        <v/>
      </c>
      <c r="G53" t="inlineStr">
        <is>
          <t>bad-north</t>
        </is>
      </c>
      <c r="H53" t="inlineStr">
        <is>
          <t>Yes</t>
        </is>
      </c>
      <c r="I53" t="inlineStr">
        <is>
          <t>https://store.steampowered.com/app/688420/Bad_North_Jotunn_Edition/</t>
        </is>
      </c>
      <c r="J53" s="1" t="inlineStr">
        <is>
          <t>https://store.steampowered.com/app/688420/Bad_North_Jotunn_Edition/</t>
        </is>
      </c>
    </row>
    <row r="54" ht="15" customHeight="1">
      <c r="A54" t="inlineStr">
        <is>
          <t>Balatro</t>
        </is>
      </c>
      <c r="B54" t="n">
        <v>2023</v>
      </c>
      <c r="C54" t="inlineStr">
        <is>
          <t>Deckbuilder</t>
        </is>
      </c>
      <c r="D54">
        <f>TRUE()</f>
        <v/>
      </c>
      <c r="E54">
        <f>COUNTIF(connections!A:A, A54) &gt; 0</f>
        <v/>
      </c>
      <c r="F54" t="inlineStr">
        <is>
          <t>casino</t>
        </is>
      </c>
      <c r="G54" t="inlineStr">
        <is>
          <t>balatro</t>
        </is>
      </c>
      <c r="H54" t="inlineStr">
        <is>
          <t>Yes</t>
        </is>
      </c>
      <c r="I54" t="inlineStr">
        <is>
          <t>C:\Users\Owner\Documents\Roguelike Roguelike\Roguelikes\Balatro.url</t>
        </is>
      </c>
      <c r="J54" s="1" t="inlineStr">
        <is>
          <t>https://store.steampowered.com/app/2379780/Balatro/</t>
        </is>
      </c>
    </row>
    <row r="55" ht="15" customHeight="1">
      <c r="A55" t="inlineStr">
        <is>
          <t>Baldi's Basics Plus</t>
        </is>
      </c>
      <c r="B55" t="n">
        <v>2020</v>
      </c>
      <c r="C55" t="inlineStr">
        <is>
          <t>Strategy</t>
        </is>
      </c>
      <c r="D55">
        <f>TRUE()</f>
        <v/>
      </c>
      <c r="E55">
        <f>COUNTIF(connections!A:A, A55) &gt; 0</f>
        <v/>
      </c>
      <c r="G55" t="inlineStr">
        <is>
          <t>baldis-basics-plus</t>
        </is>
      </c>
    </row>
    <row r="56" ht="15" customHeight="1">
      <c r="A56" t="inlineStr">
        <is>
          <t>Ball x Pit</t>
        </is>
      </c>
      <c r="B56" t="n">
        <v>2025</v>
      </c>
      <c r="C56" t="inlineStr">
        <is>
          <t>Action</t>
        </is>
      </c>
      <c r="D56">
        <f>TRUE()</f>
        <v/>
      </c>
      <c r="E56">
        <f>COUNTIF(connections!A:A, A56) &gt; 0</f>
        <v/>
      </c>
      <c r="G56" t="inlineStr">
        <is>
          <t>ball-x-pit</t>
        </is>
      </c>
      <c r="H56" t="inlineStr">
        <is>
          <t>Yes</t>
        </is>
      </c>
      <c r="I56" t="inlineStr">
        <is>
          <t>C:\Users\Owner\Documents\Roguelike Roguelike\Roguelikes\BALL x PIT.url</t>
        </is>
      </c>
      <c r="J56" s="1" t="inlineStr">
        <is>
          <t>https://store.steampowered.com/app/2062430/BALL_x_PIT/</t>
        </is>
      </c>
    </row>
    <row r="57" ht="15" customHeight="1">
      <c r="A57" t="inlineStr">
        <is>
          <t>Ballionaire</t>
        </is>
      </c>
      <c r="B57" t="n">
        <v>2024</v>
      </c>
      <c r="C57" t="inlineStr">
        <is>
          <t>Deckbuilder</t>
        </is>
      </c>
      <c r="D57">
        <f>TRUE()</f>
        <v/>
      </c>
      <c r="E57">
        <f>COUNTIF(connections!A:A, A57) &gt; 0</f>
        <v/>
      </c>
      <c r="F57" t="inlineStr">
        <is>
          <t>casino</t>
        </is>
      </c>
      <c r="G57" t="inlineStr">
        <is>
          <t>ballionaire</t>
        </is>
      </c>
      <c r="H57" t="inlineStr">
        <is>
          <t>Yes</t>
        </is>
      </c>
      <c r="I57" t="inlineStr">
        <is>
          <t>C:\Users\Owner\Documents\Roguelike Roguelike\Roguelikes\Ballionaire.url</t>
        </is>
      </c>
      <c r="J57" s="1" t="inlineStr">
        <is>
          <t>https://store.steampowered.com/app/2667120/Ballionaire/</t>
        </is>
      </c>
    </row>
    <row r="58" ht="15" customHeight="1">
      <c r="A58" t="inlineStr">
        <is>
          <t>Banners of Ruin</t>
        </is>
      </c>
      <c r="B58" t="n">
        <v>2020</v>
      </c>
      <c r="C58" t="inlineStr">
        <is>
          <t>Deckbuilder</t>
        </is>
      </c>
      <c r="D58">
        <f>TRUE()</f>
        <v/>
      </c>
      <c r="E58">
        <f>COUNTIF(connections!A:A, A58) &gt; 0</f>
        <v/>
      </c>
      <c r="G58" t="inlineStr">
        <is>
          <t>banners-of-ruin</t>
        </is>
      </c>
      <c r="H58" t="inlineStr">
        <is>
          <t>Yes</t>
        </is>
      </c>
      <c r="I58" t="inlineStr">
        <is>
          <t>C:\Users\Owner\Documents\Roguelike Roguelike\Roguelikes\Banners of Ruin.url</t>
        </is>
      </c>
      <c r="J58" s="1" t="inlineStr">
        <is>
          <t>https://store.steampowered.com/app/1075740/Banners_of_Ruin/</t>
        </is>
      </c>
    </row>
    <row r="59" ht="15" customHeight="1">
      <c r="A59" t="inlineStr">
        <is>
          <t>Barda</t>
        </is>
      </c>
      <c r="B59" t="n">
        <v>2026</v>
      </c>
      <c r="C59" t="inlineStr">
        <is>
          <t>Strategy</t>
        </is>
      </c>
      <c r="D59">
        <f>TRUE()</f>
        <v/>
      </c>
      <c r="E59">
        <f>COUNTIF(connections!A:A, A59) &gt; 0</f>
        <v/>
      </c>
      <c r="G59" t="inlineStr">
        <is>
          <t>barda</t>
        </is>
      </c>
      <c r="J59" s="11" t="inlineStr">
        <is>
          <t>https://store.steampowered.com/app/3664320/BARDA_Backpack_Roguelike/</t>
        </is>
      </c>
    </row>
    <row r="60" ht="15" customHeight="1">
      <c r="A60" t="inlineStr">
        <is>
          <t>Barony</t>
        </is>
      </c>
      <c r="B60" t="n">
        <v>2015</v>
      </c>
      <c r="C60" t="inlineStr">
        <is>
          <t>Action</t>
        </is>
      </c>
      <c r="D60">
        <f>TRUE()</f>
        <v/>
      </c>
      <c r="E60">
        <f>COUNTIF(connections!A:A, A60) &gt; 0</f>
        <v/>
      </c>
      <c r="G60" t="inlineStr">
        <is>
          <t>barony</t>
        </is>
      </c>
      <c r="H60" t="inlineStr">
        <is>
          <t>Yes</t>
        </is>
      </c>
      <c r="I60" t="inlineStr">
        <is>
          <t>C:\Users\Owner\Documents\Roguelike Roguelike\Roguelikes\Barony.url</t>
        </is>
      </c>
      <c r="J60" s="1" t="inlineStr">
        <is>
          <t>https://store.steampowered.com/app/371970/Barony/</t>
        </is>
      </c>
    </row>
    <row r="61" ht="15" customHeight="1">
      <c r="A61" t="inlineStr">
        <is>
          <t>Baroque</t>
        </is>
      </c>
      <c r="B61" t="n">
        <v>1998</v>
      </c>
      <c r="C61" t="inlineStr">
        <is>
          <t>Action</t>
        </is>
      </c>
      <c r="D61">
        <f>TRUE()</f>
        <v/>
      </c>
      <c r="E61">
        <f>COUNTIF(connections!A:A, A61) &gt; 0</f>
        <v/>
      </c>
      <c r="G61" t="inlineStr">
        <is>
          <t>baroque</t>
        </is>
      </c>
    </row>
    <row r="62" ht="15" customHeight="1">
      <c r="A62" t="inlineStr">
        <is>
          <t>Baroque (2007)</t>
        </is>
      </c>
      <c r="B62" t="n">
        <v>2007</v>
      </c>
      <c r="C62" t="inlineStr">
        <is>
          <t>Action</t>
        </is>
      </c>
      <c r="D62">
        <f>FALSE()</f>
        <v/>
      </c>
      <c r="E62">
        <f>COUNTIF(connections!A:A, A62) &gt; 0</f>
        <v/>
      </c>
      <c r="G62" t="inlineStr">
        <is>
          <t>baroque-2007</t>
        </is>
      </c>
    </row>
    <row r="63" ht="15" customHeight="1">
      <c r="A63" t="inlineStr">
        <is>
          <t>Battle Brothers</t>
        </is>
      </c>
      <c r="B63" t="n">
        <v>2017</v>
      </c>
      <c r="C63" t="inlineStr">
        <is>
          <t>Strategy</t>
        </is>
      </c>
      <c r="D63">
        <f>TRUE()</f>
        <v/>
      </c>
      <c r="E63">
        <f>COUNTIF(connections!A:A, A63) &gt; 0</f>
        <v/>
      </c>
      <c r="G63" t="inlineStr">
        <is>
          <t>battle-brothers</t>
        </is>
      </c>
      <c r="H63" t="inlineStr">
        <is>
          <t>Yes</t>
        </is>
      </c>
      <c r="I63" t="inlineStr">
        <is>
          <t>C:\Users\Owner\Documents\Roguelike Roguelike\Roguelikes\BattleBrothers.lnk</t>
        </is>
      </c>
      <c r="J63" s="1" t="inlineStr">
        <is>
          <t>https://store.steampowered.com/app/365360/Battle_Brothers/</t>
        </is>
      </c>
    </row>
    <row r="64" ht="15" customHeight="1">
      <c r="A64" t="inlineStr">
        <is>
          <t>Battle Shapers</t>
        </is>
      </c>
      <c r="B64" t="n">
        <v>2023</v>
      </c>
      <c r="C64" t="inlineStr">
        <is>
          <t>Action</t>
        </is>
      </c>
      <c r="D64">
        <f>TRUE()</f>
        <v/>
      </c>
      <c r="E64">
        <f>COUNTIF(connections!A:A, A64) &gt; 0</f>
        <v/>
      </c>
      <c r="G64" t="inlineStr">
        <is>
          <t>battle-shapers</t>
        </is>
      </c>
      <c r="H64" t="inlineStr">
        <is>
          <t>Yes</t>
        </is>
      </c>
      <c r="I64" t="inlineStr">
        <is>
          <t>C:\Users\Owner\Documents\Roguelike Roguelike\Roguelikes\Battle Shapers.url</t>
        </is>
      </c>
      <c r="J64" s="1" t="inlineStr">
        <is>
          <t>https://store.steampowered.com/app/1421290/Battle_Shapers/</t>
        </is>
      </c>
    </row>
    <row r="65" ht="15" customHeight="1">
      <c r="A65" t="inlineStr">
        <is>
          <t>BAZR</t>
        </is>
      </c>
      <c r="B65" t="n">
        <v>2025</v>
      </c>
      <c r="C65" t="inlineStr">
        <is>
          <t>Deckbuilder</t>
        </is>
      </c>
      <c r="D65">
        <f>TRUE()</f>
        <v/>
      </c>
      <c r="E65">
        <f>COUNTIF(connections!A:A, A65) &gt; 0</f>
        <v/>
      </c>
      <c r="G65" t="inlineStr">
        <is>
          <t>bazr</t>
        </is>
      </c>
      <c r="H65" t="inlineStr">
        <is>
          <t>Yes</t>
        </is>
      </c>
      <c r="I65" t="inlineStr">
        <is>
          <t>C:\Users\Owner\Documents\Roguelike Roguelike\Roguelikes\BAZR.lnk</t>
        </is>
      </c>
    </row>
    <row r="66" ht="15" customHeight="1">
      <c r="A66" t="inlineStr">
        <is>
          <t>Be My Horde</t>
        </is>
      </c>
      <c r="B66" t="n">
        <v>2024</v>
      </c>
      <c r="C66" t="inlineStr">
        <is>
          <t>Action</t>
        </is>
      </c>
      <c r="D66">
        <f>TRUE()</f>
        <v/>
      </c>
      <c r="E66">
        <f>COUNTIF(connections!A:A, A66) &gt; 0</f>
        <v/>
      </c>
      <c r="G66" t="inlineStr">
        <is>
          <t>be-my-horde</t>
        </is>
      </c>
      <c r="H66" t="inlineStr">
        <is>
          <t>Yes</t>
        </is>
      </c>
      <c r="I66" t="inlineStr">
        <is>
          <t>C:\Users\Owner\Documents\Roguelike Roguelike\Roguelikes\Be My Horde.url</t>
        </is>
      </c>
      <c r="J66" s="1" t="inlineStr">
        <is>
          <t>https://store.steampowered.com/app/2499520/Be_My_Horde/</t>
        </is>
      </c>
    </row>
    <row r="67" ht="15" customHeight="1">
      <c r="A67" t="inlineStr">
        <is>
          <t>Beat Blast</t>
        </is>
      </c>
      <c r="B67" t="n">
        <v>2020</v>
      </c>
      <c r="C67" t="inlineStr">
        <is>
          <t>Action</t>
        </is>
      </c>
      <c r="D67">
        <f>FALSE()</f>
        <v/>
      </c>
      <c r="E67">
        <f>COUNTIF(connections!A:A, A67) &gt; 0</f>
        <v/>
      </c>
      <c r="F67" t="inlineStr">
        <is>
          <t>rhythm</t>
        </is>
      </c>
      <c r="G67" t="inlineStr">
        <is>
          <t>beat-blast</t>
        </is>
      </c>
      <c r="H67" t="inlineStr">
        <is>
          <t>Yes</t>
        </is>
      </c>
      <c r="I67" t="inlineStr">
        <is>
          <t>C:\Users\Owner\Documents\Roguelike Roguelike\Roguelikes\Beat Blast.url</t>
        </is>
      </c>
      <c r="J67" s="1" t="inlineStr">
        <is>
          <t>https://store.steampowered.com/app/1072640/Beat_Blast/</t>
        </is>
      </c>
    </row>
    <row r="68" ht="15" customHeight="1">
      <c r="A68" t="inlineStr">
        <is>
          <t>Bella Wants Blood</t>
        </is>
      </c>
      <c r="B68" t="n">
        <v>2024</v>
      </c>
      <c r="C68" t="inlineStr">
        <is>
          <t>Strategy</t>
        </is>
      </c>
      <c r="D68">
        <f>TRUE()</f>
        <v/>
      </c>
      <c r="E68">
        <f>COUNTIF(connections!A:A, A68) &gt; 0</f>
        <v/>
      </c>
      <c r="F68" t="inlineStr">
        <is>
          <t>tower defense</t>
        </is>
      </c>
      <c r="G68" t="inlineStr">
        <is>
          <t>bella-wants-blood</t>
        </is>
      </c>
      <c r="H68" t="inlineStr">
        <is>
          <t>Yes</t>
        </is>
      </c>
      <c r="I68" t="inlineStr">
        <is>
          <t>C:\Users\Owner\Documents\Roguelike Roguelike\Roguelikes\Bella Wants Blood.url</t>
        </is>
      </c>
      <c r="J68" s="1" t="inlineStr">
        <is>
          <t>https://store.steampowered.com/app/3007660/Bella_Wants_Blood/</t>
        </is>
      </c>
    </row>
    <row r="69" ht="15" customHeight="1">
      <c r="A69" t="inlineStr">
        <is>
          <t>Beneath Apple Manor</t>
        </is>
      </c>
      <c r="B69" t="n">
        <v>1978</v>
      </c>
      <c r="C69" t="inlineStr">
        <is>
          <t>Traditional</t>
        </is>
      </c>
      <c r="D69">
        <f>FALSE()</f>
        <v/>
      </c>
      <c r="E69">
        <f>COUNTIF(connections!A:A, A69) &gt; 0</f>
        <v/>
      </c>
      <c r="G69" t="inlineStr">
        <is>
          <t>beneath-apple-manor</t>
        </is>
      </c>
      <c r="H69" t="inlineStr">
        <is>
          <t>Yes</t>
        </is>
      </c>
      <c r="I69" t="inlineStr">
        <is>
          <t>C:\Users\Owner\Documents\Roguelike Roguelike\Roguelikes\Beneath Apple Manor.lnk</t>
        </is>
      </c>
    </row>
    <row r="70" ht="15" customHeight="1">
      <c r="A70" t="inlineStr">
        <is>
          <t>Beneath Oresa</t>
        </is>
      </c>
      <c r="B70" t="n">
        <v>2022</v>
      </c>
      <c r="C70" t="inlineStr">
        <is>
          <t>Deckbuilder</t>
        </is>
      </c>
      <c r="D70">
        <f>TRUE()</f>
        <v/>
      </c>
      <c r="E70">
        <f>COUNTIF(connections!A:A, A70) &gt; 0</f>
        <v/>
      </c>
      <c r="G70" t="inlineStr">
        <is>
          <t>beneath-oresa</t>
        </is>
      </c>
      <c r="H70" t="inlineStr">
        <is>
          <t>Yes</t>
        </is>
      </c>
      <c r="I70" t="inlineStr">
        <is>
          <t>C:\Users\Owner\Documents\Roguelike Roguelike\Roguelikes\Beneath Oresa.url</t>
        </is>
      </c>
      <c r="J70" s="1" t="inlineStr">
        <is>
          <t>https://store.steampowered.com/app/1803400/Beneath_Oresa/</t>
        </is>
      </c>
    </row>
    <row r="71" ht="15" customHeight="1">
      <c r="A71" t="inlineStr">
        <is>
          <t>Beyond the Long Night</t>
        </is>
      </c>
      <c r="B71" t="n">
        <v>2023</v>
      </c>
      <c r="C71" t="inlineStr">
        <is>
          <t>Action</t>
        </is>
      </c>
      <c r="D71">
        <f>TRUE()</f>
        <v/>
      </c>
      <c r="E71">
        <f>COUNTIF(connections!A:A, A71) &gt; 0</f>
        <v/>
      </c>
      <c r="G71" t="inlineStr">
        <is>
          <t>beyond-the-long-night</t>
        </is>
      </c>
      <c r="H71" t="inlineStr">
        <is>
          <t>Yes</t>
        </is>
      </c>
      <c r="I71" t="inlineStr">
        <is>
          <t>C:\Users\Owner\Documents\Roguelike Roguelike\Roguelikes\Beyond the Long Night.url</t>
        </is>
      </c>
      <c r="J71" s="1" t="inlineStr">
        <is>
          <t>https://store.steampowered.com/app/1730080/Beyond_the_Long_Night/</t>
        </is>
      </c>
    </row>
    <row r="72" ht="15" customHeight="1">
      <c r="A72" t="inlineStr">
        <is>
          <t>Beyond Words</t>
        </is>
      </c>
      <c r="B72" t="n">
        <v>2026</v>
      </c>
      <c r="C72" t="inlineStr">
        <is>
          <t>Deckbuilder</t>
        </is>
      </c>
      <c r="D72">
        <f>TRUE()</f>
        <v/>
      </c>
      <c r="E72">
        <f>COUNTIF(connections!A:A, A72) &gt; 0</f>
        <v/>
      </c>
      <c r="G72" t="inlineStr">
        <is>
          <t>beyond-words</t>
        </is>
      </c>
    </row>
    <row r="73" ht="15" customHeight="1">
      <c r="A73" t="inlineStr">
        <is>
          <t>Bingle Bingle</t>
        </is>
      </c>
      <c r="B73" t="n">
        <v>2024</v>
      </c>
      <c r="C73" t="inlineStr">
        <is>
          <t>Deckbuilder</t>
        </is>
      </c>
      <c r="D73">
        <f>TRUE()</f>
        <v/>
      </c>
      <c r="E73">
        <f>COUNTIF(connections!A:A, A73) &gt; 0</f>
        <v/>
      </c>
      <c r="F73" t="inlineStr">
        <is>
          <t>casino</t>
        </is>
      </c>
      <c r="G73" t="inlineStr">
        <is>
          <t>bingle-bingle</t>
        </is>
      </c>
      <c r="H73" t="inlineStr">
        <is>
          <t>Yes</t>
        </is>
      </c>
      <c r="I73" t="inlineStr">
        <is>
          <t>C:\Users\Owner\Documents\Roguelike Roguelike\Roguelikes\Bingle Bingle.url</t>
        </is>
      </c>
      <c r="J73" s="1" t="inlineStr">
        <is>
          <t>https://store.steampowered.com/app/2789810/Bingle_Bingle/</t>
        </is>
      </c>
    </row>
    <row r="74" ht="15" customHeight="1">
      <c r="A74" t="inlineStr">
        <is>
          <t>Bioprototype</t>
        </is>
      </c>
      <c r="B74" t="n">
        <v>2022</v>
      </c>
      <c r="C74" t="inlineStr">
        <is>
          <t>Action</t>
        </is>
      </c>
      <c r="D74">
        <f>TRUE()</f>
        <v/>
      </c>
      <c r="E74">
        <f>COUNTIF(connections!A:A, A74) &gt; 0</f>
        <v/>
      </c>
      <c r="G74" t="inlineStr">
        <is>
          <t>bioprototype</t>
        </is>
      </c>
      <c r="J74" s="11" t="inlineStr">
        <is>
          <t>https://store.steampowered.com/app/3689520/Bioprototype/</t>
        </is>
      </c>
    </row>
    <row r="75" ht="15" customHeight="1">
      <c r="A75" t="inlineStr">
        <is>
          <t>Black Jacket</t>
        </is>
      </c>
      <c r="B75" t="n">
        <v>2026</v>
      </c>
      <c r="C75" t="inlineStr">
        <is>
          <t>Deckbuilder</t>
        </is>
      </c>
      <c r="D75">
        <f>TRUE()</f>
        <v/>
      </c>
      <c r="E75">
        <f>COUNTIF(connections!A:A, A75) &gt; 0</f>
        <v/>
      </c>
      <c r="F75" t="inlineStr">
        <is>
          <t>casino</t>
        </is>
      </c>
      <c r="G75" t="inlineStr">
        <is>
          <t>black-jacket</t>
        </is>
      </c>
      <c r="J75" s="11" t="inlineStr">
        <is>
          <t>https://store.steampowered.com/app/3100370/Black_Jacket/</t>
        </is>
      </c>
    </row>
    <row r="76" ht="15" customHeight="1">
      <c r="A76" t="inlineStr">
        <is>
          <t>Blazing Beaks</t>
        </is>
      </c>
      <c r="B76" t="n">
        <v>2019</v>
      </c>
      <c r="C76" t="inlineStr">
        <is>
          <t>Action</t>
        </is>
      </c>
      <c r="D76">
        <f>TRUE()</f>
        <v/>
      </c>
      <c r="E76">
        <f>COUNTIF(connections!A:A, A76) &gt; 0</f>
        <v/>
      </c>
      <c r="G76" t="inlineStr">
        <is>
          <t>blazing-beaks</t>
        </is>
      </c>
      <c r="H76" t="inlineStr">
        <is>
          <t>Yes</t>
        </is>
      </c>
      <c r="I76" t="inlineStr">
        <is>
          <t>C:\Users\Owner\Documents\Roguelike Roguelike\Roguelikes\Blazing Beaks.url</t>
        </is>
      </c>
      <c r="J76" s="1" t="inlineStr">
        <is>
          <t>https://store.steampowered.com/app/585710/Blazing_Beaks/</t>
        </is>
      </c>
    </row>
    <row r="77" ht="15" customHeight="1">
      <c r="A77" t="inlineStr">
        <is>
          <t>Bleak Sword</t>
        </is>
      </c>
      <c r="B77" t="n">
        <v>2019</v>
      </c>
      <c r="C77" t="inlineStr">
        <is>
          <t>Action</t>
        </is>
      </c>
      <c r="D77">
        <f>TRUE()</f>
        <v/>
      </c>
      <c r="E77">
        <f>COUNTIF(connections!A:A, A77) &gt; 0</f>
        <v/>
      </c>
      <c r="G77" t="inlineStr">
        <is>
          <t>bleak-sword</t>
        </is>
      </c>
      <c r="H77" t="inlineStr">
        <is>
          <t>Yes</t>
        </is>
      </c>
      <c r="I77" t="inlineStr">
        <is>
          <t>C:\Users\Owner\Documents\Roguelike Roguelike\Roguelikes\Bleak Sword DX.url</t>
        </is>
      </c>
      <c r="J77" s="1" t="inlineStr">
        <is>
          <t>https://store.steampowered.com/app/2193050/Bleak_Sword_DX/</t>
        </is>
      </c>
    </row>
    <row r="78" ht="15" customHeight="1">
      <c r="A78" t="inlineStr">
        <is>
          <t>Block Tower TD</t>
        </is>
      </c>
      <c r="B78" t="n">
        <v>2023</v>
      </c>
      <c r="C78" t="inlineStr">
        <is>
          <t>Strategy</t>
        </is>
      </c>
      <c r="D78">
        <f>FALSE()</f>
        <v/>
      </c>
      <c r="E78">
        <f>COUNTIF(connections!A:A, A78) &gt; 0</f>
        <v/>
      </c>
      <c r="F78" t="inlineStr">
        <is>
          <t>tower defense</t>
        </is>
      </c>
      <c r="G78" t="inlineStr">
        <is>
          <t>block-tower-td</t>
        </is>
      </c>
      <c r="H78" t="inlineStr">
        <is>
          <t>Yes</t>
        </is>
      </c>
      <c r="I78" t="inlineStr">
        <is>
          <t>C:\Users\Owner\Documents\Roguelike Roguelike\Roguelikes\Block Tower TD.url</t>
        </is>
      </c>
      <c r="J78" s="1" t="inlineStr">
        <is>
          <t>https://store.steampowered.com/app/2427570/Block_Tower_TD/</t>
        </is>
      </c>
    </row>
    <row r="79" ht="15" customHeight="1">
      <c r="A79" t="inlineStr">
        <is>
          <t>Block Tower TD 2</t>
        </is>
      </c>
      <c r="B79" t="n">
        <v>2024</v>
      </c>
      <c r="C79" t="inlineStr">
        <is>
          <t>Strategy</t>
        </is>
      </c>
      <c r="D79">
        <f>FALSE()</f>
        <v/>
      </c>
      <c r="E79">
        <f>COUNTIF(connections!A:A, A79) &gt; 0</f>
        <v/>
      </c>
      <c r="F79" t="inlineStr">
        <is>
          <t>tower defense</t>
        </is>
      </c>
      <c r="G79" t="inlineStr">
        <is>
          <t>block-tower-td-2</t>
        </is>
      </c>
      <c r="H79" t="inlineStr">
        <is>
          <t>Yes</t>
        </is>
      </c>
      <c r="I79" t="inlineStr">
        <is>
          <t>C:\Users\Owner\Documents\Roguelike Roguelike\Roguelikes\Block Tower TD 2.url</t>
        </is>
      </c>
      <c r="J79" s="1" t="inlineStr">
        <is>
          <t>https://store.steampowered.com/app/2837350/Block_Tower_TD_2/</t>
        </is>
      </c>
    </row>
    <row r="80" ht="15" customHeight="1">
      <c r="A80" t="inlineStr">
        <is>
          <t>BloodDome99</t>
        </is>
      </c>
      <c r="B80" t="n">
        <v>2023</v>
      </c>
      <c r="C80" t="inlineStr">
        <is>
          <t>Action</t>
        </is>
      </c>
      <c r="D80">
        <f>TRUE()</f>
        <v/>
      </c>
      <c r="E80">
        <f>COUNTIF(connections!A:A, A80) &gt; 0</f>
        <v/>
      </c>
      <c r="G80" t="inlineStr">
        <is>
          <t>blooddome99</t>
        </is>
      </c>
    </row>
    <row r="81" ht="15" customHeight="1">
      <c r="A81" t="inlineStr">
        <is>
          <t>Bloodshed</t>
        </is>
      </c>
      <c r="B81" t="n">
        <v>2024</v>
      </c>
      <c r="C81" t="inlineStr">
        <is>
          <t>Action</t>
        </is>
      </c>
      <c r="D81">
        <f>TRUE()</f>
        <v/>
      </c>
      <c r="E81">
        <f>COUNTIF(connections!A:A, A81) &gt; 0</f>
        <v/>
      </c>
      <c r="G81" t="inlineStr">
        <is>
          <t>bloodshed</t>
        </is>
      </c>
      <c r="H81" t="inlineStr">
        <is>
          <t>Yes</t>
        </is>
      </c>
      <c r="I81" t="inlineStr">
        <is>
          <t>C:\Users\Owner\Documents\Roguelike Roguelike\Roguelikes\Bloodshed.url</t>
        </is>
      </c>
      <c r="J81" s="1" t="inlineStr">
        <is>
          <t>https://store.steampowered.com/app/2747550/Bloodshed/</t>
        </is>
      </c>
    </row>
    <row r="82" ht="15" customHeight="1">
      <c r="A82" t="inlineStr">
        <is>
          <t>Bloons TD 6: Rogue Legends</t>
        </is>
      </c>
      <c r="B82" t="n">
        <v>2025</v>
      </c>
      <c r="C82" t="inlineStr">
        <is>
          <t>Strategy</t>
        </is>
      </c>
      <c r="D82">
        <f>FALSE()</f>
        <v/>
      </c>
      <c r="E82">
        <f>COUNTIF(connections!A:A, A82) &gt; 0</f>
        <v/>
      </c>
      <c r="F82" t="inlineStr">
        <is>
          <t>tower defense</t>
        </is>
      </c>
      <c r="G82" t="inlineStr">
        <is>
          <t>bloons-td-6-rogue-legends</t>
        </is>
      </c>
    </row>
    <row r="83" ht="15" customHeight="1">
      <c r="A83" t="inlineStr">
        <is>
          <t>Blue Prince</t>
        </is>
      </c>
      <c r="B83" t="n">
        <v>2025</v>
      </c>
      <c r="C83" t="inlineStr">
        <is>
          <t>Strategy</t>
        </is>
      </c>
      <c r="D83">
        <f>FALSE()</f>
        <v/>
      </c>
      <c r="E83">
        <f>COUNTIF(connections!A:A, A83) &gt; 0</f>
        <v/>
      </c>
      <c r="G83" t="inlineStr">
        <is>
          <t>blue-prince</t>
        </is>
      </c>
    </row>
    <row r="84" ht="15" customHeight="1">
      <c r="A84" t="inlineStr">
        <is>
          <t>Boneraiser Minions</t>
        </is>
      </c>
      <c r="B84" t="n">
        <v>2022</v>
      </c>
      <c r="C84" t="inlineStr">
        <is>
          <t>Action</t>
        </is>
      </c>
      <c r="D84">
        <f>TRUE()</f>
        <v/>
      </c>
      <c r="E84">
        <f>COUNTIF(connections!A:A, A84) &gt; 0</f>
        <v/>
      </c>
      <c r="F84" t="inlineStr">
        <is>
          <t>undead</t>
        </is>
      </c>
      <c r="G84" t="inlineStr">
        <is>
          <t>boneraiser-minions</t>
        </is>
      </c>
      <c r="H84" t="inlineStr">
        <is>
          <t>Yes</t>
        </is>
      </c>
      <c r="I84" t="inlineStr">
        <is>
          <t>C:\Users\Owner\Documents\Roguelike Roguelike\Roguelikes\Boneraiser Minions.url</t>
        </is>
      </c>
      <c r="J84" s="1" t="inlineStr">
        <is>
          <t>https://store.steampowered.com/app/1944570/Boneraiser_Minions/</t>
        </is>
      </c>
    </row>
    <row r="85" ht="15" customHeight="1">
      <c r="A85" t="inlineStr">
        <is>
          <t>Book of Demons</t>
        </is>
      </c>
      <c r="B85" t="n">
        <v>2018</v>
      </c>
      <c r="C85" t="inlineStr">
        <is>
          <t>Deckbuilder</t>
        </is>
      </c>
      <c r="D85">
        <f>TRUE()</f>
        <v/>
      </c>
      <c r="E85">
        <f>COUNTIF(connections!A:A, A85) &gt; 0</f>
        <v/>
      </c>
      <c r="G85" t="inlineStr">
        <is>
          <t>book-of-demons</t>
        </is>
      </c>
    </row>
    <row r="86" ht="15" customHeight="1">
      <c r="A86" t="inlineStr">
        <is>
          <t>Bounty of One</t>
        </is>
      </c>
      <c r="B86" t="n">
        <v>2022</v>
      </c>
      <c r="C86" t="inlineStr">
        <is>
          <t>Action</t>
        </is>
      </c>
      <c r="D86">
        <f>TRUE()</f>
        <v/>
      </c>
      <c r="E86">
        <f>COUNTIF(connections!A:A, A86) &gt; 0</f>
        <v/>
      </c>
      <c r="F86" t="inlineStr">
        <is>
          <t>western</t>
        </is>
      </c>
      <c r="G86" t="inlineStr">
        <is>
          <t>bounty-of-one</t>
        </is>
      </c>
      <c r="H86" t="inlineStr">
        <is>
          <t>Yes</t>
        </is>
      </c>
      <c r="I86" t="inlineStr">
        <is>
          <t>C:\Users\Owner\Documents\Roguelike Roguelike\Roguelikes\Bounty of One.url</t>
        </is>
      </c>
      <c r="J86" s="1" t="inlineStr">
        <is>
          <t>https://store.steampowered.com/app/1968730/Bounty_of_One/</t>
        </is>
      </c>
    </row>
    <row r="87" ht="15" customHeight="1">
      <c r="A87" t="inlineStr">
        <is>
          <t>Boyfriend Dungeon</t>
        </is>
      </c>
      <c r="B87" t="n">
        <v>2021</v>
      </c>
      <c r="C87" t="inlineStr">
        <is>
          <t>Action</t>
        </is>
      </c>
      <c r="D87">
        <f>FALSE()</f>
        <v/>
      </c>
      <c r="E87">
        <f>COUNTIF(connections!A:A, A87) &gt; 0</f>
        <v/>
      </c>
      <c r="G87" t="inlineStr">
        <is>
          <t>boyfriend-dungeon</t>
        </is>
      </c>
      <c r="H87" t="inlineStr">
        <is>
          <t>Yes</t>
        </is>
      </c>
      <c r="I87" t="inlineStr">
        <is>
          <t>C:\Users\Owner\Documents\Roguelike Roguelike\Roguelikes\Boyfriend Dungeon.url</t>
        </is>
      </c>
      <c r="J87" s="1" t="inlineStr">
        <is>
          <t>https://store.steampowered.com/app/674930/Boyfriend_Dungeon/</t>
        </is>
      </c>
    </row>
    <row r="88" ht="15" customHeight="1">
      <c r="A88" t="inlineStr">
        <is>
          <t>BPM: Bullets Per Minute</t>
        </is>
      </c>
      <c r="B88" t="n">
        <v>2020</v>
      </c>
      <c r="C88" t="inlineStr">
        <is>
          <t>Action</t>
        </is>
      </c>
      <c r="D88">
        <f>TRUE()</f>
        <v/>
      </c>
      <c r="E88">
        <f>COUNTIF(connections!A:A, A88) &gt; 0</f>
        <v/>
      </c>
      <c r="F88" t="inlineStr">
        <is>
          <t>rhythm</t>
        </is>
      </c>
      <c r="G88" t="inlineStr">
        <is>
          <t>bpm-bullets-per-minute</t>
        </is>
      </c>
      <c r="H88" t="inlineStr">
        <is>
          <t>Yes</t>
        </is>
      </c>
      <c r="I88" t="inlineStr">
        <is>
          <t>C:\Users\Owner\Documents\Roguelike Roguelike\Roguelikes\BPM BULLETS PER MINUTE.url</t>
        </is>
      </c>
      <c r="J88" s="1" t="inlineStr">
        <is>
          <t>https://store.steampowered.com/app/1286350/BPM_BULLETS_PER_MINUTE/</t>
        </is>
      </c>
    </row>
    <row r="89" ht="15" customHeight="1">
      <c r="A89" t="inlineStr">
        <is>
          <t>Brawl Tactics: Origins</t>
        </is>
      </c>
      <c r="B89" t="n">
        <v>2023</v>
      </c>
      <c r="C89" t="inlineStr">
        <is>
          <t>Deckbuilder</t>
        </is>
      </c>
      <c r="D89">
        <f>TRUE()</f>
        <v/>
      </c>
      <c r="E89">
        <f>COUNTIF(connections!A:A, A89) &gt; 0</f>
        <v/>
      </c>
      <c r="G89" t="inlineStr">
        <is>
          <t>brawl-tactics-origins</t>
        </is>
      </c>
      <c r="J89" s="1" t="inlineStr">
        <is>
          <t>https://store.steampowered.com/app/2451820/Brawl_Tactics_Origins/</t>
        </is>
      </c>
    </row>
    <row r="90" ht="15" customHeight="1">
      <c r="A90" t="inlineStr">
        <is>
          <t>Breach Wanderers</t>
        </is>
      </c>
      <c r="B90" t="n">
        <v>2021</v>
      </c>
      <c r="C90" t="inlineStr">
        <is>
          <t>Deckbuilder</t>
        </is>
      </c>
      <c r="D90">
        <f>TRUE()</f>
        <v/>
      </c>
      <c r="E90">
        <f>COUNTIF(connections!A:A, A90) &gt; 0</f>
        <v/>
      </c>
      <c r="G90" t="inlineStr">
        <is>
          <t>breach-wanderers</t>
        </is>
      </c>
      <c r="H90" t="inlineStr">
        <is>
          <t>Yes</t>
        </is>
      </c>
      <c r="I90" t="inlineStr">
        <is>
          <t>C:\Users\Owner\Documents\Roguelike Roguelike\Roguelikes\Breach Wanderers.url</t>
        </is>
      </c>
      <c r="J90" s="1" t="inlineStr">
        <is>
          <t>https://store.steampowered.com/app/1394130/Breach_Wanderers/</t>
        </is>
      </c>
    </row>
    <row r="91" ht="15" customHeight="1">
      <c r="A91" t="inlineStr">
        <is>
          <t>Breachway</t>
        </is>
      </c>
      <c r="B91" t="n">
        <v>2024</v>
      </c>
      <c r="C91" t="inlineStr">
        <is>
          <t>Deckbuilder</t>
        </is>
      </c>
      <c r="D91">
        <f>TRUE()</f>
        <v/>
      </c>
      <c r="E91">
        <f>COUNTIF(connections!A:A, A91) &gt; 0</f>
        <v/>
      </c>
      <c r="F91" t="inlineStr">
        <is>
          <t>space</t>
        </is>
      </c>
      <c r="G91" t="inlineStr">
        <is>
          <t>breachway</t>
        </is>
      </c>
      <c r="H91" t="inlineStr">
        <is>
          <t>Yes</t>
        </is>
      </c>
      <c r="I91" t="inlineStr">
        <is>
          <t>C:\Users\Owner\Documents\Roguelike Roguelike\Roguelikes\Breachway.url</t>
        </is>
      </c>
      <c r="J91" s="1" t="inlineStr">
        <is>
          <t>https://store.steampowered.com/app/2118810/Breachway/</t>
        </is>
      </c>
    </row>
    <row r="92" ht="15" customHeight="1">
      <c r="A92" t="inlineStr">
        <is>
          <t>Brew</t>
        </is>
      </c>
      <c r="B92" t="n">
        <v>2025</v>
      </c>
      <c r="C92" t="inlineStr">
        <is>
          <t>Action</t>
        </is>
      </c>
      <c r="D92">
        <f>TRUE()</f>
        <v/>
      </c>
      <c r="E92">
        <f>COUNTIF(connections!A:A, A92) &gt; 0</f>
        <v/>
      </c>
      <c r="G92" t="inlineStr">
        <is>
          <t>brew</t>
        </is>
      </c>
    </row>
    <row r="93" ht="15" customHeight="1">
      <c r="A93" t="inlineStr">
        <is>
          <t>Brogue</t>
        </is>
      </c>
      <c r="B93" t="n">
        <v>2009</v>
      </c>
      <c r="C93" t="inlineStr">
        <is>
          <t>Traditional</t>
        </is>
      </c>
      <c r="D93">
        <f>TRUE()</f>
        <v/>
      </c>
      <c r="E93">
        <f>COUNTIF(connections!A:A, A93) &gt; 0</f>
        <v/>
      </c>
      <c r="G93" t="inlineStr">
        <is>
          <t>brogue</t>
        </is>
      </c>
      <c r="H93" t="inlineStr">
        <is>
          <t>Yes</t>
        </is>
      </c>
      <c r="I93" t="inlineStr">
        <is>
          <t>C:\Users\Owner\Documents\Roguelike Roguelike\Roguelikes\brogue.lnk</t>
        </is>
      </c>
    </row>
    <row r="94" ht="15" customHeight="1">
      <c r="A94" t="inlineStr">
        <is>
          <t>BroomSweeper</t>
        </is>
      </c>
      <c r="B94" t="n">
        <v>2026</v>
      </c>
      <c r="C94" t="inlineStr">
        <is>
          <t>Strategy</t>
        </is>
      </c>
      <c r="D94">
        <f>TRUE()</f>
        <v/>
      </c>
      <c r="E94">
        <f>COUNTIF(connections!A:A, A94) &gt; 0</f>
        <v/>
      </c>
      <c r="G94" t="inlineStr">
        <is>
          <t>broomsweeper</t>
        </is>
      </c>
      <c r="H94" t="inlineStr">
        <is>
          <t>Yes</t>
        </is>
      </c>
      <c r="I94" t="inlineStr">
        <is>
          <t>C:\Users\Owner\Documents\Roguelike Roguelike\Roguelikes\BroomSweeper.url</t>
        </is>
      </c>
      <c r="J94" s="1" t="inlineStr">
        <is>
          <t>https://store.steampowered.com/app/3473250/BroomSweeper/</t>
        </is>
      </c>
    </row>
    <row r="95" ht="15" customHeight="1">
      <c r="A95" t="inlineStr">
        <is>
          <t>Brotato</t>
        </is>
      </c>
      <c r="B95" t="n">
        <v>2022</v>
      </c>
      <c r="C95" t="inlineStr">
        <is>
          <t>Action</t>
        </is>
      </c>
      <c r="D95">
        <f>TRUE()</f>
        <v/>
      </c>
      <c r="E95">
        <f>COUNTIF(connections!A:A, A95) &gt; 0</f>
        <v/>
      </c>
      <c r="G95" t="inlineStr">
        <is>
          <t>brotato</t>
        </is>
      </c>
      <c r="H95" t="inlineStr">
        <is>
          <t>Yes</t>
        </is>
      </c>
      <c r="I95" t="inlineStr">
        <is>
          <t>C:\Users\Owner\Documents\Roguelike Roguelike\Roguelikes\Brotato.url</t>
        </is>
      </c>
      <c r="J95" s="1" t="inlineStr">
        <is>
          <t>https://store.steampowered.com/app/1942280/Brotato/</t>
        </is>
      </c>
    </row>
    <row r="96" ht="15" customHeight="1">
      <c r="A96" t="inlineStr">
        <is>
          <t>Brutal Orchestra</t>
        </is>
      </c>
      <c r="B96" t="n">
        <v>2021</v>
      </c>
      <c r="C96" t="inlineStr">
        <is>
          <t>Strategy</t>
        </is>
      </c>
      <c r="D96">
        <f>TRUE()</f>
        <v/>
      </c>
      <c r="E96">
        <f>COUNTIF(connections!A:A, A96) &gt; 0</f>
        <v/>
      </c>
      <c r="G96" t="inlineStr">
        <is>
          <t>brutal-orchestra</t>
        </is>
      </c>
      <c r="H96" t="inlineStr">
        <is>
          <t>Yes</t>
        </is>
      </c>
      <c r="I96" t="inlineStr">
        <is>
          <t>C:\Users\Owner\Documents\Roguelike Roguelike\Roguelikes\Brutal Orchestra.url</t>
        </is>
      </c>
      <c r="J96" s="1" t="inlineStr">
        <is>
          <t>https://store.steampowered.com/app/1734320/Brutal_Orchestra/</t>
        </is>
      </c>
    </row>
    <row r="97" ht="15" customHeight="1">
      <c r="A97" t="inlineStr">
        <is>
          <t>Buckshot Roulette</t>
        </is>
      </c>
      <c r="B97" t="n">
        <v>2023</v>
      </c>
      <c r="C97" t="inlineStr">
        <is>
          <t>Strategy</t>
        </is>
      </c>
      <c r="D97">
        <f>TRUE()</f>
        <v/>
      </c>
      <c r="E97">
        <f>COUNTIF(connections!A:A, A97) &gt; 0</f>
        <v/>
      </c>
      <c r="F97" t="inlineStr">
        <is>
          <t>horror</t>
        </is>
      </c>
      <c r="G97" t="inlineStr">
        <is>
          <t>buckshot-roulette</t>
        </is>
      </c>
      <c r="H97" t="inlineStr">
        <is>
          <t>Yes</t>
        </is>
      </c>
      <c r="I97" t="inlineStr">
        <is>
          <t>C:\Users\Owner\Documents\Roguelike Roguelike\Roguelikes\Buckshot Roulette.url</t>
        </is>
      </c>
      <c r="J97" s="1" t="inlineStr">
        <is>
          <t>https://store.steampowered.com/app/2835570/Buckshot_Roulette/</t>
        </is>
      </c>
    </row>
    <row r="98" ht="15" customHeight="1">
      <c r="A98" t="inlineStr">
        <is>
          <t>Candies 'n Curses</t>
        </is>
      </c>
      <c r="B98" t="n">
        <v>2018</v>
      </c>
      <c r="C98" t="inlineStr">
        <is>
          <t>Action</t>
        </is>
      </c>
      <c r="D98">
        <f>TRUE()</f>
        <v/>
      </c>
      <c r="E98">
        <f>COUNTIF(connections!A:A, A98) &gt; 0</f>
        <v/>
      </c>
      <c r="G98" t="inlineStr">
        <is>
          <t>candies-n-curses</t>
        </is>
      </c>
      <c r="H98" t="inlineStr">
        <is>
          <t>Yes</t>
        </is>
      </c>
      <c r="I98" t="inlineStr">
        <is>
          <t>C:\Users\Owner\Documents\Roguelike Roguelike\Roguelikes\Candies 'n Curses.lnk</t>
        </is>
      </c>
    </row>
    <row r="99" ht="15" customHeight="1">
      <c r="A99" t="inlineStr">
        <is>
          <t>Captain Forever Remix</t>
        </is>
      </c>
      <c r="B99" t="n">
        <v>2016</v>
      </c>
      <c r="C99" t="inlineStr">
        <is>
          <t>Action</t>
        </is>
      </c>
      <c r="D99">
        <f>FALSE()</f>
        <v/>
      </c>
      <c r="E99">
        <f>COUNTIF(connections!A:A, A99) &gt; 0</f>
        <v/>
      </c>
      <c r="G99" t="inlineStr">
        <is>
          <t>captain-forever-remix</t>
        </is>
      </c>
      <c r="H99" t="inlineStr">
        <is>
          <t>Yes</t>
        </is>
      </c>
      <c r="I99" t="inlineStr">
        <is>
          <t>C:\Users\Owner\Documents\Roguelike Roguelike\Roguelikes\Captain Forever Remix.url</t>
        </is>
      </c>
      <c r="J99" s="1" t="inlineStr">
        <is>
          <t>https://store.steampowered.com/app/298560/Captain_Forever_Remix/</t>
        </is>
      </c>
    </row>
    <row r="100" ht="15" customHeight="1">
      <c r="A100" t="inlineStr">
        <is>
          <t>Cardinal Quest</t>
        </is>
      </c>
      <c r="B100" t="n">
        <v>2010</v>
      </c>
      <c r="C100" t="inlineStr">
        <is>
          <t>Traditional</t>
        </is>
      </c>
      <c r="D100">
        <f>TRUE()</f>
        <v/>
      </c>
      <c r="E100">
        <f>COUNTIF(connections!A:A, A100) &gt; 0</f>
        <v/>
      </c>
      <c r="G100" t="inlineStr">
        <is>
          <t>cardinal-quest</t>
        </is>
      </c>
    </row>
    <row r="101" ht="15" customHeight="1">
      <c r="A101" t="inlineStr">
        <is>
          <t>Cardinal Quest 2</t>
        </is>
      </c>
      <c r="B101" t="n">
        <v>2014</v>
      </c>
      <c r="C101" t="inlineStr">
        <is>
          <t>Traditional</t>
        </is>
      </c>
      <c r="D101">
        <f>TRUE()</f>
        <v/>
      </c>
      <c r="E101">
        <f>COUNTIF(connections!A:A, A101) &gt; 0</f>
        <v/>
      </c>
      <c r="G101" t="inlineStr">
        <is>
          <t>cardinal-quest-2</t>
        </is>
      </c>
      <c r="J101" s="11" t="inlineStr">
        <is>
          <t>https://store.steampowered.com/app/378030/Cardinal_Quest_2/</t>
        </is>
      </c>
    </row>
    <row r="102" ht="15" customHeight="1">
      <c r="A102" t="inlineStr">
        <is>
          <t>Castle of the Winds</t>
        </is>
      </c>
      <c r="B102" t="n">
        <v>1994</v>
      </c>
      <c r="C102" t="inlineStr">
        <is>
          <t>Traditional</t>
        </is>
      </c>
      <c r="D102">
        <f>TRUE()</f>
        <v/>
      </c>
      <c r="E102">
        <f>COUNTIF(connections!A:A, A102) &gt; 0</f>
        <v/>
      </c>
      <c r="G102" t="inlineStr">
        <is>
          <t>castle-of-the-winds</t>
        </is>
      </c>
      <c r="H102" t="inlineStr">
        <is>
          <t>Yes</t>
        </is>
      </c>
      <c r="I102" t="inlineStr">
        <is>
          <t>C:\Users\Owner\Documents\Roguelike Roguelike\Roguelikes\Castle of the Winds.url</t>
        </is>
      </c>
    </row>
    <row r="103" ht="15" customHeight="1">
      <c r="A103" t="inlineStr">
        <is>
          <t>CastlevaniaRL</t>
        </is>
      </c>
      <c r="B103" t="n">
        <v>2005</v>
      </c>
      <c r="C103" t="inlineStr">
        <is>
          <t>Traditional</t>
        </is>
      </c>
      <c r="D103">
        <f>TRUE()</f>
        <v/>
      </c>
      <c r="E103">
        <f>COUNTIF(connections!A:A, A103) &gt; 0</f>
        <v/>
      </c>
      <c r="G103" t="inlineStr">
        <is>
          <t>castlevaniarl</t>
        </is>
      </c>
      <c r="H103" t="inlineStr">
        <is>
          <t>Yes</t>
        </is>
      </c>
      <c r="I103" t="inlineStr">
        <is>
          <t>C:\Users\Owner\Documents\Roguelike Roguelike\Roguelikes\CastlevaniaRL.lnk</t>
        </is>
      </c>
    </row>
    <row r="104" ht="15" customHeight="1">
      <c r="A104" t="inlineStr">
        <is>
          <t>Cat God Ranch</t>
        </is>
      </c>
      <c r="B104" t="n">
        <v>2024</v>
      </c>
      <c r="C104" t="inlineStr">
        <is>
          <t>Deckbuilder</t>
        </is>
      </c>
      <c r="D104">
        <f>TRUE()</f>
        <v/>
      </c>
      <c r="E104">
        <f>COUNTIF(connections!A:A, A104) &gt; 0</f>
        <v/>
      </c>
      <c r="F104" t="inlineStr">
        <is>
          <t>cats</t>
        </is>
      </c>
      <c r="G104" t="inlineStr">
        <is>
          <t>cat-god-ranch</t>
        </is>
      </c>
    </row>
    <row r="105" ht="15" customHeight="1">
      <c r="A105" t="inlineStr">
        <is>
          <t>Cataclysm</t>
        </is>
      </c>
      <c r="B105" t="n">
        <v>2010</v>
      </c>
      <c r="C105" t="inlineStr">
        <is>
          <t>Traditional</t>
        </is>
      </c>
      <c r="D105">
        <f>TRUE()</f>
        <v/>
      </c>
      <c r="E105">
        <f>COUNTIF(connections!A:A, A105) &gt; 0</f>
        <v/>
      </c>
      <c r="F105" t="inlineStr">
        <is>
          <t>undead</t>
        </is>
      </c>
      <c r="G105" t="inlineStr">
        <is>
          <t>cataclysm</t>
        </is>
      </c>
      <c r="H105" t="inlineStr">
        <is>
          <t>Yes</t>
        </is>
      </c>
      <c r="I105" t="inlineStr">
        <is>
          <t>C:\Users\Owner\Documents\Roguelike Roguelike\Roguelikes\cataclysm.lnk</t>
        </is>
      </c>
    </row>
    <row r="106" ht="15" customHeight="1">
      <c r="A106" t="inlineStr">
        <is>
          <t>Cataclysm: Bright Nights</t>
        </is>
      </c>
      <c r="B106" t="n">
        <v>2020</v>
      </c>
      <c r="C106" t="inlineStr">
        <is>
          <t>Traditional</t>
        </is>
      </c>
      <c r="D106">
        <f>TRUE()</f>
        <v/>
      </c>
      <c r="E106">
        <f>COUNTIF(connections!A:A, A106) &gt; 0</f>
        <v/>
      </c>
      <c r="F106" t="inlineStr">
        <is>
          <t>undead</t>
        </is>
      </c>
      <c r="G106" t="inlineStr">
        <is>
          <t>cataclysm-bright-nights</t>
        </is>
      </c>
    </row>
    <row r="107" ht="15" customHeight="1">
      <c r="A107" t="inlineStr">
        <is>
          <t>Cataclysm: Dark Days Ahead</t>
        </is>
      </c>
      <c r="B107" t="n">
        <v>2013</v>
      </c>
      <c r="C107" t="inlineStr">
        <is>
          <t>Traditional</t>
        </is>
      </c>
      <c r="D107">
        <f>TRUE()</f>
        <v/>
      </c>
      <c r="E107">
        <f>COUNTIF(connections!A:A, A107) &gt; 0</f>
        <v/>
      </c>
      <c r="F107" t="inlineStr">
        <is>
          <t>undead</t>
        </is>
      </c>
      <c r="G107" t="inlineStr">
        <is>
          <t>cataclysm-dark-days-ahead</t>
        </is>
      </c>
    </row>
    <row r="108" ht="15" customHeight="1">
      <c r="A108" t="inlineStr">
        <is>
          <t>Cataclysm: The Last Generation</t>
        </is>
      </c>
      <c r="B108" t="n">
        <v>2025</v>
      </c>
      <c r="C108" t="inlineStr">
        <is>
          <t>Traditional</t>
        </is>
      </c>
      <c r="D108">
        <f>TRUE()</f>
        <v/>
      </c>
      <c r="E108">
        <f>COUNTIF(connections!A:A, A108) &gt; 0</f>
        <v/>
      </c>
      <c r="F108" t="inlineStr">
        <is>
          <t>undead</t>
        </is>
      </c>
      <c r="G108" t="inlineStr">
        <is>
          <t>cataclysm-the-last-generation</t>
        </is>
      </c>
    </row>
    <row r="109" ht="15" customHeight="1">
      <c r="A109" t="inlineStr">
        <is>
          <t>Catacomb Kids</t>
        </is>
      </c>
      <c r="B109" t="n">
        <v>2015</v>
      </c>
      <c r="C109" t="inlineStr">
        <is>
          <t>Action</t>
        </is>
      </c>
      <c r="D109" t="b">
        <v>1</v>
      </c>
      <c r="E109">
        <f>COUNTIF(connections!A:A, A109) &gt; 0</f>
        <v/>
      </c>
      <c r="G109" t="inlineStr">
        <is>
          <t>catacomb-kids</t>
        </is>
      </c>
      <c r="J109" s="11" t="inlineStr">
        <is>
          <t>https://store.steampowered.com/app/315840/Catacomb_Kids/</t>
        </is>
      </c>
    </row>
    <row r="110" ht="15" customHeight="1">
      <c r="A110" t="inlineStr">
        <is>
          <t>Cats &amp; Dice</t>
        </is>
      </c>
      <c r="B110" t="n">
        <v>2025</v>
      </c>
      <c r="C110" t="inlineStr">
        <is>
          <t>Deckbuilder</t>
        </is>
      </c>
      <c r="D110">
        <f>TRUE()</f>
        <v/>
      </c>
      <c r="E110">
        <f>COUNTIF(connections!A:A, A110) &gt; 0</f>
        <v/>
      </c>
      <c r="F110" t="inlineStr">
        <is>
          <t>cats</t>
        </is>
      </c>
      <c r="G110" t="inlineStr">
        <is>
          <t>cats-dice</t>
        </is>
      </c>
      <c r="J110" s="1" t="inlineStr">
        <is>
          <t>https://store.steampowered.com/app/3128280/Cats__Dice/</t>
        </is>
      </c>
    </row>
    <row r="111" ht="15" customHeight="1">
      <c r="A111" t="inlineStr">
        <is>
          <t>Cave Noire</t>
        </is>
      </c>
      <c r="B111" t="n">
        <v>1991</v>
      </c>
      <c r="C111" t="inlineStr">
        <is>
          <t>Traditional</t>
        </is>
      </c>
      <c r="D111">
        <f>TRUE()</f>
        <v/>
      </c>
      <c r="E111">
        <f>COUNTIF(connections!A:A, A111) &gt; 0</f>
        <v/>
      </c>
      <c r="G111" t="inlineStr">
        <is>
          <t>cave-noire</t>
        </is>
      </c>
      <c r="H111" t="inlineStr">
        <is>
          <t>Yes</t>
        </is>
      </c>
      <c r="I111" t="inlineStr">
        <is>
          <t>C:\Users\Owner\Documents\Roguelike Roguelike\Roguelikes\Cave Noire.lnk</t>
        </is>
      </c>
    </row>
    <row r="112" ht="15" customHeight="1">
      <c r="A112" t="inlineStr">
        <is>
          <t>Caveblazers</t>
        </is>
      </c>
      <c r="B112" t="n">
        <v>2017</v>
      </c>
      <c r="C112" t="inlineStr">
        <is>
          <t>Action</t>
        </is>
      </c>
      <c r="D112">
        <f>TRUE()</f>
        <v/>
      </c>
      <c r="E112">
        <f>COUNTIF(connections!A:A, A112) &gt; 0</f>
        <v/>
      </c>
      <c r="G112" t="inlineStr">
        <is>
          <t>caveblazers</t>
        </is>
      </c>
      <c r="H112" t="inlineStr">
        <is>
          <t>Yes</t>
        </is>
      </c>
      <c r="I112" t="inlineStr">
        <is>
          <t>C:\Users\Owner\Documents\Roguelike Roguelike\Roguelikes\Caveblazers.url</t>
        </is>
      </c>
      <c r="J112" s="1" t="inlineStr">
        <is>
          <t>https://store.steampowered.com/app/452060/Caveblazers/</t>
        </is>
      </c>
    </row>
    <row r="113" ht="15" customHeight="1">
      <c r="A113" t="inlineStr">
        <is>
          <t>Caves of Qud</t>
        </is>
      </c>
      <c r="B113" t="n">
        <v>2010</v>
      </c>
      <c r="C113" t="inlineStr">
        <is>
          <t>Traditional</t>
        </is>
      </c>
      <c r="D113">
        <f>TRUE()</f>
        <v/>
      </c>
      <c r="E113">
        <f>COUNTIF(connections!A:A, A113) &gt; 0</f>
        <v/>
      </c>
      <c r="G113" t="inlineStr">
        <is>
          <t>caves-of-qud</t>
        </is>
      </c>
      <c r="H113" t="inlineStr">
        <is>
          <t>Yes</t>
        </is>
      </c>
      <c r="I113" t="inlineStr">
        <is>
          <t>C:\Users\Owner\Documents\Roguelike Roguelike\Roguelikes\Caves of Qud.url</t>
        </is>
      </c>
      <c r="J113" s="1" t="inlineStr">
        <is>
          <t>https://store.steampowered.com/app/333640/Caves_of_Qud/</t>
        </is>
      </c>
    </row>
    <row r="114" ht="15" customHeight="1">
      <c r="A114" t="inlineStr">
        <is>
          <t>Cavity Busters</t>
        </is>
      </c>
      <c r="B114" t="n">
        <v>2020</v>
      </c>
      <c r="C114" t="inlineStr">
        <is>
          <t>Action</t>
        </is>
      </c>
      <c r="D114">
        <f>TRUE()</f>
        <v/>
      </c>
      <c r="E114">
        <f>COUNTIF(connections!A:A, A114) &gt; 0</f>
        <v/>
      </c>
      <c r="G114" t="inlineStr">
        <is>
          <t>cavity-busters</t>
        </is>
      </c>
      <c r="H114" t="inlineStr">
        <is>
          <t>Yes</t>
        </is>
      </c>
      <c r="I114" t="inlineStr">
        <is>
          <t>C:\Users\Owner\Documents\Roguelike Roguelike\Roguelikes\Cavity Busters.url</t>
        </is>
      </c>
      <c r="J114" s="1" t="inlineStr">
        <is>
          <t>https://store.steampowered.com/app/1084220/Cavity_Busters/</t>
        </is>
      </c>
    </row>
    <row r="115" ht="15" customHeight="1">
      <c r="A115" t="inlineStr">
        <is>
          <t>Cell Command</t>
        </is>
      </c>
      <c r="B115" t="n">
        <v>2025</v>
      </c>
      <c r="C115" t="inlineStr">
        <is>
          <t>Strategy</t>
        </is>
      </c>
      <c r="D115">
        <f>FALSE()</f>
        <v/>
      </c>
      <c r="E115">
        <f>COUNTIF(connections!A:A, A115) &gt; 0</f>
        <v/>
      </c>
      <c r="G115" t="inlineStr">
        <is>
          <t>cell-command</t>
        </is>
      </c>
    </row>
    <row r="116" ht="15" customHeight="1">
      <c r="A116" t="inlineStr">
        <is>
          <t>Centipede Gun</t>
        </is>
      </c>
      <c r="B116" t="n">
        <v>2023</v>
      </c>
      <c r="C116" t="inlineStr">
        <is>
          <t>Action</t>
        </is>
      </c>
      <c r="D116">
        <f>TRUE()</f>
        <v/>
      </c>
      <c r="E116">
        <f>COUNTIF(connections!A:A, A116) &gt; 0</f>
        <v/>
      </c>
      <c r="G116" t="inlineStr">
        <is>
          <t>centipede-gun</t>
        </is>
      </c>
      <c r="H116" t="inlineStr">
        <is>
          <t>Yes</t>
        </is>
      </c>
      <c r="I116" t="inlineStr">
        <is>
          <t>C:\Users\Owner\Documents\Roguelike Roguelike\Roguelikes\Centipede Gun.url</t>
        </is>
      </c>
      <c r="J116" s="1" t="inlineStr">
        <is>
          <t>https://store.steampowered.com/app/2308000/Centipede_Gun/</t>
        </is>
      </c>
    </row>
    <row r="117" ht="15" customHeight="1">
      <c r="A117" t="inlineStr">
        <is>
          <t>Chaos Zero Nightmare</t>
        </is>
      </c>
      <c r="B117" t="n">
        <v>2025</v>
      </c>
      <c r="C117" t="inlineStr">
        <is>
          <t>Deckbuilder</t>
        </is>
      </c>
      <c r="D117">
        <f>TRUE()</f>
        <v/>
      </c>
      <c r="E117">
        <f>COUNTIF(connections!A:A, A117) &gt; 0</f>
        <v/>
      </c>
      <c r="F117" t="inlineStr">
        <is>
          <t>gacha</t>
        </is>
      </c>
      <c r="G117" t="inlineStr">
        <is>
          <t>chaos-zero-nightmare</t>
        </is>
      </c>
      <c r="H117" t="inlineStr">
        <is>
          <t>Yes</t>
        </is>
      </c>
      <c r="I117" t="inlineStr">
        <is>
          <t>C:\Users\Owner\Documents\Roguelike Roguelike\Roguelikes\Chaos Zero Nightmare.url</t>
        </is>
      </c>
    </row>
    <row r="118" ht="15" customHeight="1">
      <c r="A118" t="inlineStr">
        <is>
          <t>Chess Survivors</t>
        </is>
      </c>
      <c r="B118" t="n">
        <v>2022</v>
      </c>
      <c r="C118" t="inlineStr">
        <is>
          <t>Action</t>
        </is>
      </c>
      <c r="D118">
        <f>TRUE()</f>
        <v/>
      </c>
      <c r="E118">
        <f>COUNTIF(connections!A:A, A118) &gt; 0</f>
        <v/>
      </c>
      <c r="G118" t="inlineStr">
        <is>
          <t>chess-survivors</t>
        </is>
      </c>
      <c r="J118" s="11" t="inlineStr">
        <is>
          <t>https://store.steampowered.com/app/2065000/Chess_Survivors/</t>
        </is>
      </c>
    </row>
    <row r="119" ht="15" customHeight="1">
      <c r="A119" t="inlineStr">
        <is>
          <t>Children of Morta</t>
        </is>
      </c>
      <c r="B119" t="n">
        <v>2019</v>
      </c>
      <c r="C119" t="inlineStr">
        <is>
          <t>Action</t>
        </is>
      </c>
      <c r="D119">
        <f>TRUE()</f>
        <v/>
      </c>
      <c r="E119">
        <f>COUNTIF(connections!A:A, A119) &gt; 0</f>
        <v/>
      </c>
      <c r="G119" t="inlineStr">
        <is>
          <t>children-of-morta</t>
        </is>
      </c>
      <c r="H119" t="inlineStr">
        <is>
          <t>Yes</t>
        </is>
      </c>
      <c r="I119" t="inlineStr">
        <is>
          <t>C:\Users\Owner\Documents\Roguelike Roguelike\Roguelikes\Children of Morta.url</t>
        </is>
      </c>
      <c r="J119" s="1" t="inlineStr">
        <is>
          <t>https://store.steampowered.com/app/330020/Children_of_Morta/</t>
        </is>
      </c>
    </row>
    <row r="120" ht="15" customHeight="1">
      <c r="A120" t="inlineStr">
        <is>
          <t>Chocobo's Dungeon 2</t>
        </is>
      </c>
      <c r="B120" t="n">
        <v>1998</v>
      </c>
      <c r="C120" t="inlineStr">
        <is>
          <t>Traditional</t>
        </is>
      </c>
      <c r="D120">
        <f>TRUE()</f>
        <v/>
      </c>
      <c r="E120">
        <f>COUNTIF(connections!A:A, A120) &gt; 0</f>
        <v/>
      </c>
      <c r="G120" t="inlineStr">
        <is>
          <t>chocobos-dungeon-2</t>
        </is>
      </c>
      <c r="H120" t="inlineStr">
        <is>
          <t>Yes</t>
        </is>
      </c>
      <c r="I120" t="inlineStr">
        <is>
          <t>C:\Users\Owner\Documents\Roguelike Roguelike\Roguelikes\Chocobo's Dungeon 2.lnk</t>
        </is>
      </c>
    </row>
    <row r="121" ht="15" customHeight="1">
      <c r="A121" t="inlineStr">
        <is>
          <t>Chocobo's Mysterious Dungeon</t>
        </is>
      </c>
      <c r="B121" t="n">
        <v>1997</v>
      </c>
      <c r="C121" t="inlineStr">
        <is>
          <t>Traditional</t>
        </is>
      </c>
      <c r="D121">
        <f>TRUE()</f>
        <v/>
      </c>
      <c r="E121">
        <f>COUNTIF(connections!A:A, A121) &gt; 0</f>
        <v/>
      </c>
      <c r="G121" t="inlineStr">
        <is>
          <t>chocobos-mysterious-dungeon</t>
        </is>
      </c>
      <c r="H121" t="inlineStr">
        <is>
          <t>Yes</t>
        </is>
      </c>
      <c r="I121" t="inlineStr">
        <is>
          <t>C:\Users\Owner\Documents\Roguelike Roguelike\Roguelikes\Chocobos Mystery Dungeon.lnk</t>
        </is>
      </c>
    </row>
    <row r="122" ht="15" customHeight="1">
      <c r="A122" t="inlineStr">
        <is>
          <t>Chocobo's Mystery Dungeon Every Buddy!</t>
        </is>
      </c>
      <c r="B122" t="n">
        <v>2019</v>
      </c>
      <c r="C122" t="inlineStr">
        <is>
          <t>Traditional</t>
        </is>
      </c>
      <c r="D122">
        <f>TRUE()</f>
        <v/>
      </c>
      <c r="E122">
        <f>COUNTIF(connections!A:A, A122) &gt; 0</f>
        <v/>
      </c>
      <c r="G122" t="inlineStr">
        <is>
          <t>chocobos-mystery-dungeon-every-buddy</t>
        </is>
      </c>
    </row>
    <row r="123" ht="15" customHeight="1">
      <c r="A123" t="inlineStr">
        <is>
          <t>Choo Choo Survivor</t>
        </is>
      </c>
      <c r="B123" t="n">
        <v>2023</v>
      </c>
      <c r="C123" t="inlineStr">
        <is>
          <t>Action</t>
        </is>
      </c>
      <c r="D123">
        <f>TRUE()</f>
        <v/>
      </c>
      <c r="E123">
        <f>COUNTIF(connections!A:A, A123) &gt; 0</f>
        <v/>
      </c>
      <c r="F123" t="inlineStr">
        <is>
          <t>train</t>
        </is>
      </c>
      <c r="G123" t="inlineStr">
        <is>
          <t>choo-choo-survivor</t>
        </is>
      </c>
      <c r="H123" t="inlineStr">
        <is>
          <t>Yes</t>
        </is>
      </c>
      <c r="I123" t="inlineStr">
        <is>
          <t>C:\Users\Owner\Documents\Roguelike Roguelike\Roguelikes\Choo Choo Survivor.url</t>
        </is>
      </c>
      <c r="J123" s="1" t="inlineStr">
        <is>
          <t>https://store.steampowered.com/app/2336200/Choo_Choo_Survivor/</t>
        </is>
      </c>
    </row>
    <row r="124" ht="15" customHeight="1">
      <c r="A124" t="inlineStr">
        <is>
          <t>Choo Choo Survivor 2</t>
        </is>
      </c>
      <c r="B124" t="n">
        <v>2025</v>
      </c>
      <c r="C124" t="inlineStr">
        <is>
          <t>Action</t>
        </is>
      </c>
      <c r="D124">
        <f>TRUE()</f>
        <v/>
      </c>
      <c r="E124">
        <f>COUNTIF(connections!A:A, A124) &gt; 0</f>
        <v/>
      </c>
      <c r="F124" t="inlineStr">
        <is>
          <t>train</t>
        </is>
      </c>
      <c r="G124" t="inlineStr">
        <is>
          <t>choo-choo-survivor-2</t>
        </is>
      </c>
      <c r="H124" t="inlineStr">
        <is>
          <t>Yes</t>
        </is>
      </c>
      <c r="I124" t="inlineStr">
        <is>
          <t>C:\Users\Owner\Documents\Roguelike Roguelike\Roguelikes\Choo Choo Survivor 2.url</t>
        </is>
      </c>
      <c r="J124" s="1" t="inlineStr">
        <is>
          <t>https://store.steampowered.com/app/3494210/Choo_Choo_Survivor_2/</t>
        </is>
      </c>
    </row>
    <row r="125" ht="15" customHeight="1">
      <c r="A125" t="inlineStr">
        <is>
          <t>Chosen Garden</t>
        </is>
      </c>
      <c r="B125" t="n">
        <v>2026</v>
      </c>
      <c r="C125" t="inlineStr">
        <is>
          <t>Deckbuilder</t>
        </is>
      </c>
      <c r="D125">
        <f>TRUE()</f>
        <v/>
      </c>
      <c r="E125">
        <f>COUNTIF(connections!A:A, A125) &gt; 0</f>
        <v/>
      </c>
      <c r="G125" t="inlineStr">
        <is>
          <t>chosen-garden</t>
        </is>
      </c>
      <c r="J125" s="11" t="inlineStr">
        <is>
          <t>https://store.steampowered.com/app/3923750/Chosen_Garden/</t>
        </is>
      </c>
    </row>
    <row r="126" ht="15" customHeight="1">
      <c r="A126" t="inlineStr">
        <is>
          <t>Chrono Ark</t>
        </is>
      </c>
      <c r="B126" t="n">
        <v>2019</v>
      </c>
      <c r="C126" t="inlineStr">
        <is>
          <t>Deckbuilder</t>
        </is>
      </c>
      <c r="D126">
        <f>TRUE()</f>
        <v/>
      </c>
      <c r="E126">
        <f>COUNTIF(connections!A:A, A126) &gt; 0</f>
        <v/>
      </c>
      <c r="G126" t="inlineStr">
        <is>
          <t>chrono-ark</t>
        </is>
      </c>
      <c r="H126" t="inlineStr">
        <is>
          <t>Yes</t>
        </is>
      </c>
      <c r="I126" t="inlineStr">
        <is>
          <t>C:\Users\Owner\Documents\Roguelike Roguelike\Roguelikes\Chrono Ark.url</t>
        </is>
      </c>
      <c r="J126" s="1" t="inlineStr">
        <is>
          <t>https://store.steampowered.com/app/1188930/Chrono_Ark/</t>
        </is>
      </c>
    </row>
    <row r="127" ht="15" customHeight="1">
      <c r="A127" t="inlineStr">
        <is>
          <t>Cinderia</t>
        </is>
      </c>
      <c r="B127" t="n">
        <v>2026</v>
      </c>
      <c r="C127" t="inlineStr">
        <is>
          <t>Action</t>
        </is>
      </c>
      <c r="D127">
        <f>TRUE()</f>
        <v/>
      </c>
      <c r="E127">
        <f>COUNTIF(connections!A:A, A127) &gt; 0</f>
        <v/>
      </c>
      <c r="G127" t="inlineStr">
        <is>
          <t>cinderia</t>
        </is>
      </c>
    </row>
    <row r="128" ht="15" customHeight="1">
      <c r="A128" t="inlineStr">
        <is>
          <t>CleanFall</t>
        </is>
      </c>
      <c r="B128" t="n">
        <v>2025</v>
      </c>
      <c r="C128" t="inlineStr">
        <is>
          <t>Action</t>
        </is>
      </c>
      <c r="D128">
        <f>TRUE()</f>
        <v/>
      </c>
      <c r="E128">
        <f>COUNTIF(connections!A:A, A128) &gt; 0</f>
        <v/>
      </c>
      <c r="G128" t="inlineStr">
        <is>
          <t>cleanfall</t>
        </is>
      </c>
    </row>
    <row r="129" ht="15" customHeight="1">
      <c r="A129" t="inlineStr">
        <is>
          <t>CloverPit</t>
        </is>
      </c>
      <c r="B129" t="n">
        <v>2025</v>
      </c>
      <c r="C129" t="inlineStr">
        <is>
          <t>Strategy</t>
        </is>
      </c>
      <c r="D129">
        <f>TRUE()</f>
        <v/>
      </c>
      <c r="E129">
        <f>COUNTIF(connections!A:A, A129) &gt; 0</f>
        <v/>
      </c>
      <c r="F129" t="inlineStr">
        <is>
          <t>casino</t>
        </is>
      </c>
      <c r="G129" t="inlineStr">
        <is>
          <t>cloverpit</t>
        </is>
      </c>
      <c r="H129" t="inlineStr">
        <is>
          <t>Yes</t>
        </is>
      </c>
      <c r="I129" t="inlineStr">
        <is>
          <t>C:\Users\Owner\Documents\Roguelike Roguelike\Roguelikes\CloverPit.url</t>
        </is>
      </c>
      <c r="J129" s="1" t="inlineStr">
        <is>
          <t>https://store.steampowered.com/app/3314790/CloverPit/</t>
        </is>
      </c>
    </row>
    <row r="130" ht="15" customHeight="1">
      <c r="A130" t="inlineStr">
        <is>
          <t>Cluckmech Oasis</t>
        </is>
      </c>
      <c r="B130" t="n">
        <v>2024</v>
      </c>
      <c r="C130" t="inlineStr">
        <is>
          <t>Strategy</t>
        </is>
      </c>
      <c r="D130">
        <f>TRUE()</f>
        <v/>
      </c>
      <c r="E130">
        <f>COUNTIF(connections!A:A, A130) &gt; 0</f>
        <v/>
      </c>
      <c r="F130" t="inlineStr">
        <is>
          <t>mecha</t>
        </is>
      </c>
      <c r="G130" t="inlineStr">
        <is>
          <t>cluckmech-oasis</t>
        </is>
      </c>
      <c r="J130" s="11" t="inlineStr">
        <is>
          <t>https://store.steampowered.com/app/2453360/Cluckmech_Oasis/</t>
        </is>
      </c>
    </row>
    <row r="131" ht="15" customHeight="1">
      <c r="A131" t="inlineStr">
        <is>
          <t>Clutchtime: Basketball Deckbuilder</t>
        </is>
      </c>
      <c r="B131" t="n">
        <v>2025</v>
      </c>
      <c r="C131" t="inlineStr">
        <is>
          <t>Deckbuilder</t>
        </is>
      </c>
      <c r="D131">
        <f>TRUE()</f>
        <v/>
      </c>
      <c r="E131">
        <f>COUNTIF(connections!A:A, A131) &gt; 0</f>
        <v/>
      </c>
      <c r="F131" t="inlineStr">
        <is>
          <t>sports</t>
        </is>
      </c>
      <c r="G131" t="inlineStr">
        <is>
          <t>clutchtime-basketball-deckbuilder</t>
        </is>
      </c>
    </row>
    <row r="132" ht="15" customHeight="1">
      <c r="A132" t="inlineStr">
        <is>
          <t>Coal LLC</t>
        </is>
      </c>
      <c r="B132" t="n">
        <v>2025</v>
      </c>
      <c r="C132" t="inlineStr">
        <is>
          <t>Strategy</t>
        </is>
      </c>
      <c r="D132">
        <f>FALSE()</f>
        <v/>
      </c>
      <c r="E132">
        <f>COUNTIF(connections!A:A, A132) &gt; 0</f>
        <v/>
      </c>
      <c r="F132" t="inlineStr">
        <is>
          <t>mining</t>
        </is>
      </c>
      <c r="G132" t="inlineStr">
        <is>
          <t>coal-llc</t>
        </is>
      </c>
    </row>
    <row r="133" ht="15" customHeight="1">
      <c r="A133" t="inlineStr">
        <is>
          <t>Cobalt Core</t>
        </is>
      </c>
      <c r="B133" t="n">
        <v>2023</v>
      </c>
      <c r="C133" t="inlineStr">
        <is>
          <t>Deckbuilder</t>
        </is>
      </c>
      <c r="D133">
        <f>TRUE()</f>
        <v/>
      </c>
      <c r="E133">
        <f>COUNTIF(connections!A:A, A133) &gt; 0</f>
        <v/>
      </c>
      <c r="F133" t="inlineStr">
        <is>
          <t>space</t>
        </is>
      </c>
      <c r="G133" t="inlineStr">
        <is>
          <t>cobalt-core</t>
        </is>
      </c>
      <c r="H133" t="inlineStr">
        <is>
          <t>Yes</t>
        </is>
      </c>
      <c r="I133" t="inlineStr">
        <is>
          <t>C:\Users\Owner\Documents\Roguelike Roguelike\Roguelikes\Cobalt Core.url</t>
        </is>
      </c>
      <c r="J133" s="1" t="inlineStr">
        <is>
          <t>https://store.steampowered.com/app/2179850/Cobalt_Core/</t>
        </is>
      </c>
    </row>
    <row r="134" ht="15" customHeight="1">
      <c r="A134" t="inlineStr">
        <is>
          <t>Cogmind</t>
        </is>
      </c>
      <c r="B134" t="n">
        <v>2017</v>
      </c>
      <c r="C134" t="inlineStr">
        <is>
          <t>Traditional</t>
        </is>
      </c>
      <c r="D134">
        <f>TRUE()</f>
        <v/>
      </c>
      <c r="E134">
        <f>COUNTIF(connections!A:A, A134) &gt; 0</f>
        <v/>
      </c>
      <c r="G134" t="inlineStr">
        <is>
          <t>cogmind</t>
        </is>
      </c>
    </row>
    <row r="135" ht="15" customHeight="1">
      <c r="A135" t="inlineStr">
        <is>
          <t>Coin Crypt</t>
        </is>
      </c>
      <c r="B135" t="n">
        <v>2013</v>
      </c>
      <c r="C135" t="inlineStr">
        <is>
          <t>Deckbuilder</t>
        </is>
      </c>
      <c r="D135">
        <f>TRUE()</f>
        <v/>
      </c>
      <c r="E135">
        <f>COUNTIF(connections!A:A, A135) &gt; 0</f>
        <v/>
      </c>
      <c r="G135" t="inlineStr">
        <is>
          <t>coin-crypt</t>
        </is>
      </c>
      <c r="H135" t="inlineStr">
        <is>
          <t>Yes</t>
        </is>
      </c>
      <c r="I135" t="inlineStr">
        <is>
          <t>C:\Users\Owner\Documents\Roguelike Roguelike\Roguelikes\Coin Crypt.url</t>
        </is>
      </c>
      <c r="J135" s="1" t="inlineStr">
        <is>
          <t>https://store.steampowered.com/app/264690/Coin_Crypt/</t>
        </is>
      </c>
    </row>
    <row r="136" ht="15" customHeight="1">
      <c r="A136" t="inlineStr">
        <is>
          <t>Colt Canyon</t>
        </is>
      </c>
      <c r="B136" t="n">
        <v>2020</v>
      </c>
      <c r="C136" t="inlineStr">
        <is>
          <t>Action</t>
        </is>
      </c>
      <c r="D136">
        <f>TRUE()</f>
        <v/>
      </c>
      <c r="E136">
        <f>COUNTIF(connections!A:A, A136) &gt; 0</f>
        <v/>
      </c>
      <c r="F136" t="inlineStr">
        <is>
          <t>western</t>
        </is>
      </c>
      <c r="G136" t="inlineStr">
        <is>
          <t>colt-canyon</t>
        </is>
      </c>
      <c r="H136" t="inlineStr">
        <is>
          <t>Yes</t>
        </is>
      </c>
      <c r="I136" t="inlineStr">
        <is>
          <t>C:\Users\Owner\Documents\Roguelike Roguelike\Roguelikes\Colt Canyon.url</t>
        </is>
      </c>
      <c r="J136" s="1" t="inlineStr">
        <is>
          <t>https://store.steampowered.com/app/940710/Colt_Canyon/</t>
        </is>
      </c>
    </row>
    <row r="137" ht="15" customHeight="1">
      <c r="A137" t="inlineStr">
        <is>
          <t>Commander Quest</t>
        </is>
      </c>
      <c r="B137" t="n">
        <v>2025</v>
      </c>
      <c r="C137" t="inlineStr">
        <is>
          <t>Deckbuilder</t>
        </is>
      </c>
      <c r="D137">
        <f>TRUE()</f>
        <v/>
      </c>
      <c r="E137">
        <f>COUNTIF(connections!A:A, A137) &gt; 0</f>
        <v/>
      </c>
      <c r="G137" t="inlineStr">
        <is>
          <t>commander-quest</t>
        </is>
      </c>
    </row>
    <row r="138" ht="15" customHeight="1">
      <c r="A138" t="inlineStr">
        <is>
          <t>Conan Chop Chop</t>
        </is>
      </c>
      <c r="B138" t="n">
        <v>2022</v>
      </c>
      <c r="C138" t="inlineStr">
        <is>
          <t>Action</t>
        </is>
      </c>
      <c r="D138">
        <f>TRUE()</f>
        <v/>
      </c>
      <c r="E138">
        <f>COUNTIF(connections!A:A, A138) &gt; 0</f>
        <v/>
      </c>
      <c r="G138" t="inlineStr">
        <is>
          <t>conan-chop-chop</t>
        </is>
      </c>
      <c r="H138" t="inlineStr">
        <is>
          <t>Yes</t>
        </is>
      </c>
      <c r="I138" t="inlineStr">
        <is>
          <t>C:\Users\Owner\Documents\Roguelike Roguelike\Roguelikes\Conan Chop Chop.url</t>
        </is>
      </c>
      <c r="J138" s="1" t="inlineStr">
        <is>
          <t>https://store.steampowered.com/app/1061880/Conan_Chop_Chop/</t>
        </is>
      </c>
    </row>
    <row r="139" ht="15" customHeight="1">
      <c r="A139" t="inlineStr">
        <is>
          <t>Convoy</t>
        </is>
      </c>
      <c r="B139" t="n">
        <v>2015</v>
      </c>
      <c r="C139" t="inlineStr">
        <is>
          <t>Strategy</t>
        </is>
      </c>
      <c r="D139">
        <f>TRUE()</f>
        <v/>
      </c>
      <c r="E139">
        <f>COUNTIF(connections!A:A, A139) &gt; 0</f>
        <v/>
      </c>
      <c r="G139" t="inlineStr">
        <is>
          <t>convoy</t>
        </is>
      </c>
      <c r="H139" t="inlineStr">
        <is>
          <t>Yes</t>
        </is>
      </c>
      <c r="I139" t="inlineStr">
        <is>
          <t>C:\Users\Owner\Documents\Roguelike Roguelike\Roguelikes\Convoy.url</t>
        </is>
      </c>
      <c r="J139" s="1" t="inlineStr">
        <is>
          <t>https://store.steampowered.com/app/318230/Convoy/</t>
        </is>
      </c>
    </row>
    <row r="140" ht="15" customHeight="1">
      <c r="A140" t="inlineStr">
        <is>
          <t>Core Defense</t>
        </is>
      </c>
      <c r="B140" t="n">
        <v>2020</v>
      </c>
      <c r="C140" t="inlineStr">
        <is>
          <t>Strategy</t>
        </is>
      </c>
      <c r="D140">
        <f>TRUE()</f>
        <v/>
      </c>
      <c r="E140">
        <f>COUNTIF(connections!A:A, A140) &gt; 0</f>
        <v/>
      </c>
      <c r="F140" t="inlineStr">
        <is>
          <t>tower defense</t>
        </is>
      </c>
      <c r="G140" t="inlineStr">
        <is>
          <t>core-defense</t>
        </is>
      </c>
      <c r="H140" t="inlineStr">
        <is>
          <t>Yes</t>
        </is>
      </c>
      <c r="I140" t="inlineStr">
        <is>
          <t>C:\Users\Owner\Documents\Roguelike Roguelike\Roguelikes\Core Defense.url</t>
        </is>
      </c>
      <c r="J140" s="1" t="inlineStr">
        <is>
          <t>https://store.steampowered.com/app/1203360/Core_Defense/</t>
        </is>
      </c>
    </row>
    <row r="141" ht="15" customHeight="1">
      <c r="A141" t="inlineStr">
        <is>
          <t>Corpse Keeper</t>
        </is>
      </c>
      <c r="B141" t="n">
        <v>2023</v>
      </c>
      <c r="C141" t="inlineStr">
        <is>
          <t>Action</t>
        </is>
      </c>
      <c r="D141">
        <f>TRUE()</f>
        <v/>
      </c>
      <c r="E141">
        <f>COUNTIF(connections!A:A, A141) &gt; 0</f>
        <v/>
      </c>
      <c r="G141" t="inlineStr">
        <is>
          <t>corpse-keeper</t>
        </is>
      </c>
      <c r="H141" t="inlineStr">
        <is>
          <t>Yes</t>
        </is>
      </c>
      <c r="I141" t="inlineStr">
        <is>
          <t>C:\Users\Owner\Documents\Roguelike Roguelike\Roguelikes\Corpse Keeper.url</t>
        </is>
      </c>
      <c r="J141" s="1" t="inlineStr">
        <is>
          <t>https://store.steampowered.com/app/1601740/Corpse_Keeper/</t>
        </is>
      </c>
    </row>
    <row r="142" ht="15" customHeight="1">
      <c r="A142" t="inlineStr">
        <is>
          <t>Crab Champions</t>
        </is>
      </c>
      <c r="B142" t="n">
        <v>2023</v>
      </c>
      <c r="C142" t="inlineStr">
        <is>
          <t>Action</t>
        </is>
      </c>
      <c r="D142">
        <f>TRUE()</f>
        <v/>
      </c>
      <c r="E142">
        <f>COUNTIF(connections!A:A, A142) &gt; 0</f>
        <v/>
      </c>
      <c r="F142" t="inlineStr">
        <is>
          <t>maritime</t>
        </is>
      </c>
      <c r="G142" t="inlineStr">
        <is>
          <t>crab-champions</t>
        </is>
      </c>
      <c r="H142" t="inlineStr">
        <is>
          <t>Yes</t>
        </is>
      </c>
      <c r="I142" t="inlineStr">
        <is>
          <t>C:\Users\Owner\Documents\Roguelike Roguelike\Roguelikes\Crab Champions.url</t>
        </is>
      </c>
      <c r="J142" s="1" t="inlineStr">
        <is>
          <t>https://store.steampowered.com/app/774801/Crab_Champions/</t>
        </is>
      </c>
    </row>
    <row r="143" ht="15" customHeight="1">
      <c r="A143" t="inlineStr">
        <is>
          <t>Crablike</t>
        </is>
      </c>
      <c r="B143" t="n">
        <v>2025</v>
      </c>
      <c r="C143" t="inlineStr">
        <is>
          <t>Traditional</t>
        </is>
      </c>
      <c r="D143">
        <f>TRUE()</f>
        <v/>
      </c>
      <c r="E143">
        <f>COUNTIF(connections!A:A, A143) &gt; 0</f>
        <v/>
      </c>
      <c r="G143" t="inlineStr">
        <is>
          <t>crablike</t>
        </is>
      </c>
      <c r="H143" t="inlineStr">
        <is>
          <t>Yes</t>
        </is>
      </c>
      <c r="I143" t="inlineStr">
        <is>
          <t>C:\Users\Owner\Documents\Roguelike Roguelike\Roguelikes\Crablike.lnk</t>
        </is>
      </c>
    </row>
    <row r="144" ht="15" customHeight="1">
      <c r="A144" t="inlineStr">
        <is>
          <t>Crafty Survivors</t>
        </is>
      </c>
      <c r="B144" t="n">
        <v>2023</v>
      </c>
      <c r="C144" t="inlineStr">
        <is>
          <t>Action</t>
        </is>
      </c>
      <c r="D144">
        <f>TRUE()</f>
        <v/>
      </c>
      <c r="E144">
        <f>COUNTIF(connections!A:A, A144) &gt; 0</f>
        <v/>
      </c>
      <c r="G144" t="inlineStr">
        <is>
          <t>crafty-survivors</t>
        </is>
      </c>
      <c r="H144" t="inlineStr">
        <is>
          <t>Yes</t>
        </is>
      </c>
      <c r="I144" t="inlineStr">
        <is>
          <t>C:\Users\Owner\Documents\Roguelike Roguelike\Roguelikes\Crafty Survivors.url</t>
        </is>
      </c>
      <c r="J144" s="1" t="inlineStr">
        <is>
          <t>https://store.steampowered.com/app/2137760/Crafty_Survivors/</t>
        </is>
      </c>
    </row>
    <row r="145" ht="15" customHeight="1">
      <c r="A145" t="inlineStr">
        <is>
          <t>Crawl</t>
        </is>
      </c>
      <c r="B145" t="n">
        <v>2017</v>
      </c>
      <c r="C145" t="inlineStr">
        <is>
          <t>Action</t>
        </is>
      </c>
      <c r="D145">
        <f>FALSE()</f>
        <v/>
      </c>
      <c r="E145">
        <f>COUNTIF(connections!A:A, A145) &gt; 0</f>
        <v/>
      </c>
      <c r="G145" t="inlineStr">
        <is>
          <t>crawl</t>
        </is>
      </c>
      <c r="H145" t="inlineStr">
        <is>
          <t>Yes</t>
        </is>
      </c>
      <c r="I145" t="inlineStr">
        <is>
          <t>C:\Users\Owner\Documents\Roguelike Roguelike\Roguelikes\Crawl.url</t>
        </is>
      </c>
      <c r="J145" s="1" t="inlineStr">
        <is>
          <t>https://store.steampowered.com/app/293780/Crawl/</t>
        </is>
      </c>
    </row>
    <row r="146" ht="15" customHeight="1">
      <c r="A146" t="inlineStr">
        <is>
          <t>Crop Rotation</t>
        </is>
      </c>
      <c r="B146" t="n">
        <v>2023</v>
      </c>
      <c r="C146" t="inlineStr">
        <is>
          <t>Deckbuilder</t>
        </is>
      </c>
      <c r="D146">
        <f>TRUE()</f>
        <v/>
      </c>
      <c r="E146">
        <f>COUNTIF(connections!A:A, A146) &gt; 0</f>
        <v/>
      </c>
      <c r="F146" t="inlineStr">
        <is>
          <t>food</t>
        </is>
      </c>
      <c r="G146" t="inlineStr">
        <is>
          <t>crop-rotation</t>
        </is>
      </c>
      <c r="H146" t="inlineStr">
        <is>
          <t>Yes</t>
        </is>
      </c>
      <c r="I146" t="inlineStr">
        <is>
          <t>C:\Users\Owner\Documents\Roguelike Roguelike\Roguelikes\Crop Rotation.url</t>
        </is>
      </c>
      <c r="J146" s="1" t="inlineStr">
        <is>
          <t>https://store.steampowered.com/app/2348090/Crop_Rotation/</t>
        </is>
      </c>
    </row>
    <row r="147" ht="15" customHeight="1">
      <c r="A147" t="inlineStr">
        <is>
          <t>Cropdeck</t>
        </is>
      </c>
      <c r="B147" t="n">
        <v>2026</v>
      </c>
      <c r="C147" t="inlineStr">
        <is>
          <t>Deckbuilder</t>
        </is>
      </c>
      <c r="D147">
        <f>TRUE()</f>
        <v/>
      </c>
      <c r="E147">
        <f>COUNTIF(connections!A:A, A147) &gt; 0</f>
        <v/>
      </c>
      <c r="F147" t="inlineStr">
        <is>
          <t>food</t>
        </is>
      </c>
      <c r="G147" t="inlineStr">
        <is>
          <t>cropdeck</t>
        </is>
      </c>
    </row>
    <row r="148" ht="15" customHeight="1">
      <c r="A148" t="inlineStr">
        <is>
          <t>Cross Blitz</t>
        </is>
      </c>
      <c r="B148" t="n">
        <v>2023</v>
      </c>
      <c r="C148" t="inlineStr">
        <is>
          <t>Deckbuilder</t>
        </is>
      </c>
      <c r="D148">
        <f>TRUE()</f>
        <v/>
      </c>
      <c r="E148">
        <f>COUNTIF(connections!A:A, A148) &gt; 0</f>
        <v/>
      </c>
      <c r="G148" t="inlineStr">
        <is>
          <t>cross-blitz</t>
        </is>
      </c>
      <c r="H148" t="inlineStr">
        <is>
          <t>Yes</t>
        </is>
      </c>
      <c r="I148" t="inlineStr">
        <is>
          <t>C:\Users\Owner\Documents\Roguelike Roguelike\Roguelikes\Cross Blitz.url</t>
        </is>
      </c>
      <c r="J148" s="1" t="inlineStr">
        <is>
          <t>https://store.steampowered.com/app/1619520/Cross_Blitz/</t>
        </is>
      </c>
    </row>
    <row r="149" ht="15" customHeight="1">
      <c r="A149" t="inlineStr">
        <is>
          <t>Crown Trick</t>
        </is>
      </c>
      <c r="B149" t="n">
        <v>2020</v>
      </c>
      <c r="C149" t="inlineStr">
        <is>
          <t>Strategy</t>
        </is>
      </c>
      <c r="D149">
        <f>FALSE()</f>
        <v/>
      </c>
      <c r="E149">
        <f>COUNTIF(connections!A:A, A149) &gt; 0</f>
        <v/>
      </c>
      <c r="G149" t="inlineStr">
        <is>
          <t>crown-trick</t>
        </is>
      </c>
      <c r="H149" t="inlineStr">
        <is>
          <t>Yes</t>
        </is>
      </c>
      <c r="I149" t="inlineStr">
        <is>
          <t>C:\Users\Owner\Documents\Roguelike Roguelike\Roguelikes\Crown Trick.url</t>
        </is>
      </c>
      <c r="J149" s="1" t="inlineStr">
        <is>
          <t>https://store.steampowered.com/app/1000010/Crown_Trick/</t>
        </is>
      </c>
    </row>
    <row r="150" ht="15" customHeight="1">
      <c r="A150" t="inlineStr">
        <is>
          <t>Crush the Industry</t>
        </is>
      </c>
      <c r="B150" t="n">
        <v>2025</v>
      </c>
      <c r="C150" t="inlineStr">
        <is>
          <t>Deckbuilder</t>
        </is>
      </c>
      <c r="D150">
        <f>TRUE()</f>
        <v/>
      </c>
      <c r="E150">
        <f>COUNTIF(connections!A:A, A150) &gt; 0</f>
        <v/>
      </c>
      <c r="G150" t="inlineStr">
        <is>
          <t>crush-the-industry</t>
        </is>
      </c>
      <c r="H150" t="inlineStr">
        <is>
          <t>Yes</t>
        </is>
      </c>
      <c r="I150" t="inlineStr">
        <is>
          <t>C:\Users\Owner\Documents\Roguelike Roguelike\Roguelikes\Crush the Industry.url</t>
        </is>
      </c>
      <c r="J150" s="1" t="inlineStr">
        <is>
          <t>https://store.steampowered.com/app/1098610/Crush_the_Industry/</t>
        </is>
      </c>
    </row>
    <row r="151" ht="15" customHeight="1">
      <c r="A151" t="inlineStr">
        <is>
          <t>Crying Suns</t>
        </is>
      </c>
      <c r="B151" t="n">
        <v>2019</v>
      </c>
      <c r="C151" t="inlineStr">
        <is>
          <t>Strategy</t>
        </is>
      </c>
      <c r="D151">
        <f>TRUE()</f>
        <v/>
      </c>
      <c r="E151">
        <f>COUNTIF(connections!A:A, A151) &gt; 0</f>
        <v/>
      </c>
      <c r="G151" t="inlineStr">
        <is>
          <t>crying-suns</t>
        </is>
      </c>
      <c r="H151" t="inlineStr">
        <is>
          <t>Yes</t>
        </is>
      </c>
      <c r="I151" t="inlineStr">
        <is>
          <t>C:\Users\Owner\Documents\Roguelike Roguelike\Roguelikes\Crying Suns.url</t>
        </is>
      </c>
      <c r="J151" s="1" t="inlineStr">
        <is>
          <t>https://store.steampowered.com/app/873940/Crying_Suns/</t>
        </is>
      </c>
    </row>
    <row r="152" ht="15" customHeight="1">
      <c r="A152" t="inlineStr">
        <is>
          <t>Crypt of the NecroDancer</t>
        </is>
      </c>
      <c r="B152" t="n">
        <v>2015</v>
      </c>
      <c r="C152" t="inlineStr">
        <is>
          <t>Traditional</t>
        </is>
      </c>
      <c r="D152">
        <f>TRUE()</f>
        <v/>
      </c>
      <c r="E152">
        <f>COUNTIF(connections!A:A, A152) &gt; 0</f>
        <v/>
      </c>
      <c r="F152" t="inlineStr">
        <is>
          <t>rhythm</t>
        </is>
      </c>
      <c r="G152" t="inlineStr">
        <is>
          <t>crypt-of-the-necrodancer</t>
        </is>
      </c>
      <c r="H152" t="inlineStr">
        <is>
          <t>Yes</t>
        </is>
      </c>
      <c r="I152" t="inlineStr">
        <is>
          <t>C:\Users\Owner\Documents\Roguelike Roguelike\Roguelikes\Crypt of the NecroDancer.url</t>
        </is>
      </c>
      <c r="J152" s="1" t="inlineStr">
        <is>
          <t>https://store.steampowered.com/app/247080/Crypt_of_the_NecroDancer/</t>
        </is>
      </c>
    </row>
    <row r="153" ht="15" customHeight="1">
      <c r="A153" t="inlineStr">
        <is>
          <t>Cryptark</t>
        </is>
      </c>
      <c r="B153" t="n">
        <v>2017</v>
      </c>
      <c r="C153" t="inlineStr">
        <is>
          <t>Action</t>
        </is>
      </c>
      <c r="D153">
        <f>FALSE()</f>
        <v/>
      </c>
      <c r="E153">
        <f>COUNTIF(connections!A:A, A153) &gt; 0</f>
        <v/>
      </c>
      <c r="F153" t="inlineStr">
        <is>
          <t>mecha, space</t>
        </is>
      </c>
      <c r="G153" t="inlineStr">
        <is>
          <t>cryptark</t>
        </is>
      </c>
      <c r="H153" t="inlineStr">
        <is>
          <t>Yes</t>
        </is>
      </c>
      <c r="I153" t="inlineStr">
        <is>
          <t>C:\Users\Owner\Documents\Roguelike Roguelike\Roguelikes\CRYPTARK.url</t>
        </is>
      </c>
      <c r="J153" s="1" t="inlineStr">
        <is>
          <t>https://store.steampowered.com/app/344740/CRYPTARK/</t>
        </is>
      </c>
    </row>
    <row r="154" ht="15" customHeight="1">
      <c r="A154" t="inlineStr">
        <is>
          <t>Cthangband</t>
        </is>
      </c>
      <c r="B154" t="n">
        <v>1998</v>
      </c>
      <c r="C154" t="inlineStr">
        <is>
          <t>Traditional</t>
        </is>
      </c>
      <c r="D154">
        <f>TRUE()</f>
        <v/>
      </c>
      <c r="E154">
        <f>COUNTIF(connections!A:A, A154) &gt; 0</f>
        <v/>
      </c>
      <c r="G154" t="inlineStr">
        <is>
          <t>cthangband</t>
        </is>
      </c>
      <c r="H154" t="inlineStr">
        <is>
          <t>Yes</t>
        </is>
      </c>
      <c r="I154" t="inlineStr">
        <is>
          <t>C:\Users\Owner\Documents\Roguelike Roguelike\Roguelikes\Cthangband.lnk</t>
        </is>
      </c>
    </row>
    <row r="155" ht="15" customHeight="1">
      <c r="A155" t="inlineStr">
        <is>
          <t>Cube Chaos</t>
        </is>
      </c>
      <c r="B155" t="n">
        <v>2023</v>
      </c>
      <c r="C155" t="inlineStr">
        <is>
          <t>Deckbuilder</t>
        </is>
      </c>
      <c r="D155">
        <f>FALSE()</f>
        <v/>
      </c>
      <c r="E155">
        <f>COUNTIF(connections!A:A, A155) &gt; 0</f>
        <v/>
      </c>
      <c r="G155" t="inlineStr">
        <is>
          <t>cube-chaos</t>
        </is>
      </c>
    </row>
    <row r="156" ht="15" customHeight="1">
      <c r="A156" t="inlineStr">
        <is>
          <t>Cubic Cosmos</t>
        </is>
      </c>
      <c r="B156" t="n">
        <v>2025</v>
      </c>
      <c r="C156" t="inlineStr">
        <is>
          <t>Deckbuilder</t>
        </is>
      </c>
      <c r="D156">
        <f>FALSE()</f>
        <v/>
      </c>
      <c r="E156">
        <f>COUNTIF(connections!A:A, A156) &gt; 0</f>
        <v/>
      </c>
      <c r="G156" t="inlineStr">
        <is>
          <t>cubic-cosmos</t>
        </is>
      </c>
      <c r="J156" s="1" t="inlineStr">
        <is>
          <t>https://store.steampowered.com/app/3332600/Cubic_Cosmos/</t>
        </is>
      </c>
    </row>
    <row r="157" ht="15" customHeight="1">
      <c r="A157" t="inlineStr">
        <is>
          <t>Cult of PiN</t>
        </is>
      </c>
      <c r="B157" t="n">
        <v>2026</v>
      </c>
      <c r="C157" t="inlineStr">
        <is>
          <t>Deckbuilder</t>
        </is>
      </c>
      <c r="D157">
        <f>TRUE()</f>
        <v/>
      </c>
      <c r="E157">
        <f>COUNTIF(connections!A:A, A157) &gt; 0</f>
        <v/>
      </c>
      <c r="G157" t="inlineStr">
        <is>
          <t>cult-of-pin</t>
        </is>
      </c>
      <c r="J157" s="11" t="inlineStr">
        <is>
          <t>https://store.steampowered.com/app/3144340/Cult_of_PiN/</t>
        </is>
      </c>
    </row>
    <row r="158" ht="15" customHeight="1">
      <c r="A158" t="inlineStr">
        <is>
          <t>Cult of the Lamb</t>
        </is>
      </c>
      <c r="B158" t="n">
        <v>2022</v>
      </c>
      <c r="C158" t="inlineStr">
        <is>
          <t>Action</t>
        </is>
      </c>
      <c r="D158">
        <f>TRUE()</f>
        <v/>
      </c>
      <c r="E158">
        <f>COUNTIF(connections!A:A, A158) &gt; 0</f>
        <v/>
      </c>
      <c r="G158" t="inlineStr">
        <is>
          <t>cult-of-the-lamb</t>
        </is>
      </c>
      <c r="H158" t="inlineStr">
        <is>
          <t>Yes</t>
        </is>
      </c>
      <c r="I158" t="inlineStr">
        <is>
          <t>C:\Users\Owner\Documents\Roguelike Roguelike\Roguelikes\Cult of the Lamb.url</t>
        </is>
      </c>
      <c r="J158" s="1" t="inlineStr">
        <is>
          <t>https://store.steampowered.com/app/1313140/Cult_of_the_Lamb/</t>
        </is>
      </c>
    </row>
    <row r="159" ht="15" customHeight="1">
      <c r="A159" t="inlineStr">
        <is>
          <t>Cultist Simulator</t>
        </is>
      </c>
      <c r="B159" t="n">
        <v>2018</v>
      </c>
      <c r="C159" t="inlineStr">
        <is>
          <t>Strategy</t>
        </is>
      </c>
      <c r="D159">
        <f>TRUE()</f>
        <v/>
      </c>
      <c r="E159">
        <f>COUNTIF(connections!A:A, A159) &gt; 0</f>
        <v/>
      </c>
      <c r="G159" t="inlineStr">
        <is>
          <t>cultist-simulator</t>
        </is>
      </c>
      <c r="H159" t="inlineStr">
        <is>
          <t>Yes</t>
        </is>
      </c>
      <c r="I159" t="inlineStr">
        <is>
          <t>C:\Users\Owner\Documents\Roguelike Roguelike\Roguelikes\Cultist Simulator.url</t>
        </is>
      </c>
      <c r="J159" s="1" t="inlineStr">
        <is>
          <t>https://store.steampowered.com/app/718670/Cultist_Simulator/</t>
        </is>
      </c>
    </row>
    <row r="160" ht="15" customHeight="1">
      <c r="A160" t="inlineStr">
        <is>
          <t>Cupiclaw</t>
        </is>
      </c>
      <c r="B160" t="n">
        <v>2024</v>
      </c>
      <c r="C160" t="inlineStr">
        <is>
          <t>Deckbuilder</t>
        </is>
      </c>
      <c r="D160">
        <f>TRUE()</f>
        <v/>
      </c>
      <c r="E160">
        <f>COUNTIF(connections!A:A, A160) &gt; 0</f>
        <v/>
      </c>
      <c r="F160" t="inlineStr">
        <is>
          <t>casino</t>
        </is>
      </c>
      <c r="G160" t="inlineStr">
        <is>
          <t>cupiclaw</t>
        </is>
      </c>
      <c r="J160" s="11" t="inlineStr">
        <is>
          <t>https://store.steampowered.com/app/2967670/Cupiclaw/</t>
        </is>
      </c>
    </row>
    <row r="161" ht="15" customHeight="1">
      <c r="A161" t="inlineStr">
        <is>
          <t>Curious Expedition</t>
        </is>
      </c>
      <c r="B161" t="n">
        <v>2016</v>
      </c>
      <c r="C161" t="inlineStr">
        <is>
          <t>Strategy</t>
        </is>
      </c>
      <c r="D161">
        <f>TRUE()</f>
        <v/>
      </c>
      <c r="E161">
        <f>COUNTIF(connections!A:A, A161) &gt; 0</f>
        <v/>
      </c>
      <c r="G161" t="inlineStr">
        <is>
          <t>curious-expedition</t>
        </is>
      </c>
      <c r="H161" t="inlineStr">
        <is>
          <t>Yes</t>
        </is>
      </c>
      <c r="I161" t="inlineStr">
        <is>
          <t>C:\Users\Owner\Documents\Roguelike Roguelike\Roguelikes\Curious Expedition.url</t>
        </is>
      </c>
      <c r="J161" s="1" t="inlineStr">
        <is>
          <t>https://store.steampowered.com/app/358130/Curious_Expedition/</t>
        </is>
      </c>
    </row>
    <row r="162" ht="15" customHeight="1">
      <c r="A162" t="inlineStr">
        <is>
          <t>Curious Expedition 2</t>
        </is>
      </c>
      <c r="B162" t="n">
        <v>2020</v>
      </c>
      <c r="C162" t="inlineStr">
        <is>
          <t>Strategy</t>
        </is>
      </c>
      <c r="D162">
        <f>TRUE()</f>
        <v/>
      </c>
      <c r="E162">
        <f>COUNTIF(connections!A:A, A162) &gt; 0</f>
        <v/>
      </c>
      <c r="G162" t="inlineStr">
        <is>
          <t>curious-expedition-2</t>
        </is>
      </c>
    </row>
    <row r="163" ht="15" customHeight="1">
      <c r="A163" t="inlineStr">
        <is>
          <t>Curse of the Dead Gods</t>
        </is>
      </c>
      <c r="B163" t="n">
        <v>2020</v>
      </c>
      <c r="C163" t="inlineStr">
        <is>
          <t>Action</t>
        </is>
      </c>
      <c r="D163">
        <f>TRUE()</f>
        <v/>
      </c>
      <c r="E163">
        <f>COUNTIF(connections!A:A, A163) &gt; 0</f>
        <v/>
      </c>
      <c r="G163" t="inlineStr">
        <is>
          <t>curse-of-the-dead-gods</t>
        </is>
      </c>
      <c r="H163" t="inlineStr">
        <is>
          <t>Yes</t>
        </is>
      </c>
      <c r="I163" t="inlineStr">
        <is>
          <t>C:\Users\Owner\Documents\Roguelike Roguelike\Roguelikes\Curse of the Dead Gods.url</t>
        </is>
      </c>
      <c r="J163" s="1" t="inlineStr">
        <is>
          <t>https://store.steampowered.com/app/1123770/Curse_of_the_Dead_Gods/</t>
        </is>
      </c>
    </row>
    <row r="164" ht="15" customHeight="1">
      <c r="A164" t="inlineStr">
        <is>
          <t>Cursed Words</t>
        </is>
      </c>
      <c r="B164" t="n">
        <v>2026</v>
      </c>
      <c r="C164" t="inlineStr">
        <is>
          <t>Strategy</t>
        </is>
      </c>
      <c r="D164">
        <f>TRUE()</f>
        <v/>
      </c>
      <c r="E164">
        <f>COUNTIF(connections!A:A, A164) &gt; 0</f>
        <v/>
      </c>
      <c r="F164" t="inlineStr">
        <is>
          <t>words</t>
        </is>
      </c>
      <c r="G164" t="inlineStr">
        <is>
          <t>cursed-words</t>
        </is>
      </c>
    </row>
    <row r="165" ht="15" customHeight="1">
      <c r="A165" t="inlineStr">
        <is>
          <t>Cursorblade</t>
        </is>
      </c>
      <c r="B165" t="n">
        <v>2023</v>
      </c>
      <c r="C165" t="inlineStr">
        <is>
          <t>Action</t>
        </is>
      </c>
      <c r="D165">
        <f>FALSE()</f>
        <v/>
      </c>
      <c r="E165">
        <f>COUNTIF(connections!A:A, A165) &gt; 0</f>
        <v/>
      </c>
      <c r="G165" t="inlineStr">
        <is>
          <t>cursorblade</t>
        </is>
      </c>
      <c r="H165" t="inlineStr">
        <is>
          <t>Yes</t>
        </is>
      </c>
      <c r="I165" t="inlineStr">
        <is>
          <t>C:\Users\Owner\Documents\Roguelike Roguelike\Roguelikes\Cursorblade.url</t>
        </is>
      </c>
      <c r="J165" s="1" t="inlineStr">
        <is>
          <t>https://store.steampowered.com/app/2449040/Cursorblade/</t>
        </is>
      </c>
    </row>
    <row r="166" ht="15" customHeight="1">
      <c r="A166" t="inlineStr">
        <is>
          <t>Dark Devotion</t>
        </is>
      </c>
      <c r="B166" t="n">
        <v>2019</v>
      </c>
      <c r="C166" t="inlineStr">
        <is>
          <t>Action</t>
        </is>
      </c>
      <c r="D166">
        <f>TRUE()</f>
        <v/>
      </c>
      <c r="E166">
        <f>COUNTIF(connections!A:A, A166) &gt; 0</f>
        <v/>
      </c>
      <c r="G166" t="inlineStr">
        <is>
          <t>dark-devotion</t>
        </is>
      </c>
      <c r="H166" t="inlineStr">
        <is>
          <t>Yes</t>
        </is>
      </c>
      <c r="I166" t="inlineStr">
        <is>
          <t>C:\Users\Owner\Documents\Roguelike Roguelike\Roguelikes\Dark Devotion.url</t>
        </is>
      </c>
      <c r="J166" s="1" t="inlineStr">
        <is>
          <t>https://store.steampowered.com/app/718590/Dark_Devotion/</t>
        </is>
      </c>
    </row>
    <row r="167" ht="15" customHeight="1">
      <c r="A167" t="inlineStr">
        <is>
          <t>Dark Light: Survivor</t>
        </is>
      </c>
      <c r="B167" t="n">
        <v>2026</v>
      </c>
      <c r="C167" t="inlineStr">
        <is>
          <t>Action</t>
        </is>
      </c>
      <c r="D167">
        <f>TRUE()</f>
        <v/>
      </c>
      <c r="E167">
        <f>COUNTIF(connections!A:A, A167) &gt; 0</f>
        <v/>
      </c>
      <c r="G167" t="inlineStr">
        <is>
          <t>dark-light-survivor</t>
        </is>
      </c>
      <c r="J167" s="11" t="inlineStr">
        <is>
          <t>https://store.steampowered.com/app/3088070/Dark_Light_Survivor/</t>
        </is>
      </c>
    </row>
    <row r="168" ht="15" customHeight="1">
      <c r="A168" t="inlineStr">
        <is>
          <t>Darkblade Ascent</t>
        </is>
      </c>
      <c r="B168" t="n">
        <v>2025</v>
      </c>
      <c r="C168" t="inlineStr">
        <is>
          <t>Action</t>
        </is>
      </c>
      <c r="D168">
        <f>TRUE()</f>
        <v/>
      </c>
      <c r="E168">
        <f>COUNTIF(connections!A:A, A168) &gt; 0</f>
        <v/>
      </c>
      <c r="G168" t="inlineStr">
        <is>
          <t>darkblade-ascent</t>
        </is>
      </c>
    </row>
    <row r="169" ht="15" customHeight="1">
      <c r="A169" t="inlineStr">
        <is>
          <t>Darkest Dungeon</t>
        </is>
      </c>
      <c r="B169" t="n">
        <v>2015</v>
      </c>
      <c r="C169" t="inlineStr">
        <is>
          <t>Strategy</t>
        </is>
      </c>
      <c r="D169">
        <f>TRUE()</f>
        <v/>
      </c>
      <c r="E169">
        <f>COUNTIF(connections!A:A, A169) &gt; 0</f>
        <v/>
      </c>
      <c r="G169" t="inlineStr">
        <is>
          <t>darkest-dungeon</t>
        </is>
      </c>
      <c r="H169" t="inlineStr">
        <is>
          <t>Yes</t>
        </is>
      </c>
      <c r="I169" t="inlineStr">
        <is>
          <t>C:\Users\Owner\Documents\Roguelike Roguelike\Roguelikes\Darkest Dungeon®.url</t>
        </is>
      </c>
      <c r="J169" s="1" t="inlineStr">
        <is>
          <t>https://store.steampowered.com/app/262060/Darkest_Dungeon/</t>
        </is>
      </c>
    </row>
    <row r="170" ht="15" customHeight="1">
      <c r="A170" t="inlineStr">
        <is>
          <t>Darkest Dungeon 2</t>
        </is>
      </c>
      <c r="B170" t="n">
        <v>2023</v>
      </c>
      <c r="C170" t="inlineStr">
        <is>
          <t>Strategy</t>
        </is>
      </c>
      <c r="D170">
        <f>TRUE()</f>
        <v/>
      </c>
      <c r="E170">
        <f>COUNTIF(connections!A:A, A170) &gt; 0</f>
        <v/>
      </c>
      <c r="G170" t="inlineStr">
        <is>
          <t>darkest-dungeon-2</t>
        </is>
      </c>
      <c r="H170" t="inlineStr">
        <is>
          <t>Yes</t>
        </is>
      </c>
      <c r="I170" t="inlineStr">
        <is>
          <t>C:\Users\Owner\Documents\Roguelike Roguelike\Roguelikes\Darkest Dungeon® II.url</t>
        </is>
      </c>
      <c r="J170" s="1" t="inlineStr">
        <is>
          <t>https://store.steampowered.com/app/1940340/Darkest_Dungeon_II/</t>
        </is>
      </c>
    </row>
    <row r="171" ht="15" customHeight="1">
      <c r="A171" t="inlineStr">
        <is>
          <t>Dave the Diver</t>
        </is>
      </c>
      <c r="B171" t="n">
        <v>2022</v>
      </c>
      <c r="C171" t="inlineStr">
        <is>
          <t>Action</t>
        </is>
      </c>
      <c r="D171">
        <f>TRUE()</f>
        <v/>
      </c>
      <c r="E171">
        <f>COUNTIF(connections!A:A, A171) &gt; 0</f>
        <v/>
      </c>
      <c r="F171" t="inlineStr">
        <is>
          <t>maritime, food</t>
        </is>
      </c>
      <c r="G171" t="inlineStr">
        <is>
          <t>dave-the-diver</t>
        </is>
      </c>
      <c r="H171" t="inlineStr">
        <is>
          <t>Yes</t>
        </is>
      </c>
      <c r="I171" t="inlineStr">
        <is>
          <t>C:\Users\Owner\Documents\Roguelike Roguelike\Roguelikes\DAVE THE DIVER.url</t>
        </is>
      </c>
      <c r="J171" s="1" t="inlineStr">
        <is>
          <t>https://store.steampowered.com/app/1868140/DAVE_THE_DIVER/</t>
        </is>
      </c>
    </row>
    <row r="172" ht="15" customHeight="1">
      <c r="A172" t="inlineStr">
        <is>
          <t>Dead Cells</t>
        </is>
      </c>
      <c r="B172" t="n">
        <v>2018</v>
      </c>
      <c r="C172" t="inlineStr">
        <is>
          <t>Action</t>
        </is>
      </c>
      <c r="D172">
        <f>TRUE()</f>
        <v/>
      </c>
      <c r="E172">
        <f>COUNTIF(connections!A:A, A172) &gt; 0</f>
        <v/>
      </c>
      <c r="G172" t="inlineStr">
        <is>
          <t>dead-cells</t>
        </is>
      </c>
      <c r="H172" t="inlineStr">
        <is>
          <t>Yes</t>
        </is>
      </c>
      <c r="I172" t="inlineStr">
        <is>
          <t>C:\Users\Owner\Documents\Roguelike Roguelike\Roguelikes\Dead Cells.url</t>
        </is>
      </c>
      <c r="J172" s="1" t="inlineStr">
        <is>
          <t>https://store.steampowered.com/app/588650/Dead_Cells/</t>
        </is>
      </c>
    </row>
    <row r="173" ht="15" customHeight="1">
      <c r="A173" t="inlineStr">
        <is>
          <t>Dead Estate</t>
        </is>
      </c>
      <c r="B173" t="n">
        <v>2020</v>
      </c>
      <c r="C173" t="inlineStr">
        <is>
          <t>Action</t>
        </is>
      </c>
      <c r="D173">
        <f>TRUE()</f>
        <v/>
      </c>
      <c r="E173">
        <f>COUNTIF(connections!A:A, A173) &gt; 0</f>
        <v/>
      </c>
      <c r="F173" t="inlineStr">
        <is>
          <t>undead</t>
        </is>
      </c>
      <c r="G173" t="inlineStr">
        <is>
          <t>dead-estate</t>
        </is>
      </c>
      <c r="H173" t="inlineStr">
        <is>
          <t>Yes</t>
        </is>
      </c>
      <c r="I173" t="inlineStr">
        <is>
          <t>C:\Users\Owner\Documents\Roguelike Roguelike\Roguelikes\Dead Estate.url</t>
        </is>
      </c>
      <c r="J173" s="1" t="inlineStr">
        <is>
          <t>https://store.steampowered.com/app/1484720/Dead_Estate/</t>
        </is>
      </c>
    </row>
    <row r="174" ht="15" customHeight="1">
      <c r="A174" t="inlineStr">
        <is>
          <t>Dead Finger Dice</t>
        </is>
      </c>
      <c r="B174" t="n">
        <v>2025</v>
      </c>
      <c r="C174" t="inlineStr">
        <is>
          <t>Deckbuilder</t>
        </is>
      </c>
      <c r="D174">
        <f>TRUE()</f>
        <v/>
      </c>
      <c r="E174">
        <f>COUNTIF(connections!A:A, A174) &gt; 0</f>
        <v/>
      </c>
      <c r="F174" t="inlineStr">
        <is>
          <t>dice</t>
        </is>
      </c>
      <c r="G174" t="inlineStr">
        <is>
          <t>dead-finger-dice</t>
        </is>
      </c>
      <c r="H174" t="inlineStr">
        <is>
          <t>Yes</t>
        </is>
      </c>
      <c r="I174" t="inlineStr">
        <is>
          <t>C:\Users\Owner\Documents\Roguelike Roguelike\Roguelikes\Dead Finger Dice.url</t>
        </is>
      </c>
      <c r="J174" s="1" t="inlineStr">
        <is>
          <t>https://store.steampowered.com/app/3512300/Dead_Finger_Dice/</t>
        </is>
      </c>
    </row>
    <row r="175" ht="15" customHeight="1">
      <c r="A175" t="inlineStr">
        <is>
          <t>Dead Weight</t>
        </is>
      </c>
      <c r="B175" t="n">
        <v>2026</v>
      </c>
      <c r="C175" t="inlineStr">
        <is>
          <t>Strategy</t>
        </is>
      </c>
      <c r="D175">
        <f>TRUE()</f>
        <v/>
      </c>
      <c r="E175">
        <f>COUNTIF(connections!A:A, A175) &gt; 0</f>
        <v/>
      </c>
      <c r="G175" t="inlineStr">
        <is>
          <t>dead-weight</t>
        </is>
      </c>
      <c r="J175" s="11" t="inlineStr">
        <is>
          <t>https://store.steampowered.com/app/2646720/Dead_Weight/</t>
        </is>
      </c>
    </row>
    <row r="176" ht="15" customHeight="1">
      <c r="A176" t="inlineStr">
        <is>
          <t>Deadzone: Rogue</t>
        </is>
      </c>
      <c r="B176" t="n">
        <v>2025</v>
      </c>
      <c r="C176" t="inlineStr">
        <is>
          <t>Action</t>
        </is>
      </c>
      <c r="D176">
        <f>FALSE()</f>
        <v/>
      </c>
      <c r="E176">
        <f>COUNTIF(connections!A:A, A176) &gt; 0</f>
        <v/>
      </c>
      <c r="F176" t="inlineStr">
        <is>
          <t>undead</t>
        </is>
      </c>
      <c r="G176" t="inlineStr">
        <is>
          <t>deadzone-rogue</t>
        </is>
      </c>
    </row>
    <row r="177" ht="15" customHeight="1">
      <c r="A177" t="inlineStr">
        <is>
          <t>Death by Scrolling</t>
        </is>
      </c>
      <c r="B177" t="n">
        <v>2025</v>
      </c>
      <c r="C177" t="inlineStr">
        <is>
          <t>Action</t>
        </is>
      </c>
      <c r="D177">
        <f>FALSE()</f>
        <v/>
      </c>
      <c r="E177">
        <f>COUNTIF(connections!A:A, A177) &gt; 0</f>
        <v/>
      </c>
      <c r="G177" t="inlineStr">
        <is>
          <t>death-by-scrolling</t>
        </is>
      </c>
    </row>
    <row r="178" ht="15" customHeight="1">
      <c r="A178" t="inlineStr">
        <is>
          <t>Death Must Die</t>
        </is>
      </c>
      <c r="B178" t="n">
        <v>2023</v>
      </c>
      <c r="C178" t="inlineStr">
        <is>
          <t>Action</t>
        </is>
      </c>
      <c r="D178">
        <f>TRUE()</f>
        <v/>
      </c>
      <c r="E178">
        <f>COUNTIF(connections!A:A, A178) &gt; 0</f>
        <v/>
      </c>
      <c r="F178" t="inlineStr">
        <is>
          <t>hell</t>
        </is>
      </c>
      <c r="G178" t="inlineStr">
        <is>
          <t>death-must-die</t>
        </is>
      </c>
      <c r="H178" t="inlineStr">
        <is>
          <t>Yes</t>
        </is>
      </c>
      <c r="I178" t="inlineStr">
        <is>
          <t>C:\Users\Owner\Documents\Roguelike Roguelike\Roguelikes\Death Must Die.url</t>
        </is>
      </c>
      <c r="J178" s="1" t="inlineStr">
        <is>
          <t>https://store.steampowered.com/app/2334730/Death_Must_Die/</t>
        </is>
      </c>
    </row>
    <row r="179" ht="15" customHeight="1">
      <c r="A179" t="inlineStr">
        <is>
          <t>Death Road to Canada</t>
        </is>
      </c>
      <c r="B179" t="n">
        <v>2016</v>
      </c>
      <c r="C179" t="inlineStr">
        <is>
          <t>Action</t>
        </is>
      </c>
      <c r="D179">
        <f>TRUE()</f>
        <v/>
      </c>
      <c r="E179">
        <f>COUNTIF(connections!A:A, A179) &gt; 0</f>
        <v/>
      </c>
      <c r="F179" t="inlineStr">
        <is>
          <t>undead</t>
        </is>
      </c>
      <c r="G179" t="inlineStr">
        <is>
          <t>death-road-to-canada</t>
        </is>
      </c>
      <c r="H179" t="inlineStr">
        <is>
          <t>Yes</t>
        </is>
      </c>
      <c r="I179" t="inlineStr">
        <is>
          <t>C:\Users\Owner\Documents\Roguelike Roguelike\Roguelikes\Death Road to Canada.url</t>
        </is>
      </c>
      <c r="J179" s="1" t="inlineStr">
        <is>
          <t>https://store.steampowered.com/app/252610/Death_Road_to_Canada/</t>
        </is>
      </c>
    </row>
    <row r="180" ht="15" customHeight="1">
      <c r="A180" t="inlineStr">
        <is>
          <t>Death Roads: Tournament</t>
        </is>
      </c>
      <c r="B180" t="n">
        <v>2023</v>
      </c>
      <c r="C180" t="inlineStr">
        <is>
          <t>Deckbuilder</t>
        </is>
      </c>
      <c r="D180">
        <f>TRUE()</f>
        <v/>
      </c>
      <c r="E180">
        <f>COUNTIF(connections!A:A, A180) &gt; 0</f>
        <v/>
      </c>
      <c r="F180" t="inlineStr">
        <is>
          <t>racing</t>
        </is>
      </c>
      <c r="G180" t="inlineStr">
        <is>
          <t>death-roads-tournament</t>
        </is>
      </c>
      <c r="H180" t="inlineStr">
        <is>
          <t>Yes</t>
        </is>
      </c>
      <c r="I180" t="inlineStr">
        <is>
          <t>C:\Users\Owner\Documents\Roguelike Roguelike\Roguelikes\Death Roads Tournament.url</t>
        </is>
      </c>
      <c r="J180" s="1" t="inlineStr">
        <is>
          <t>https://store.steampowered.com/app/1619570/Death_Roads_Tournament/</t>
        </is>
      </c>
    </row>
    <row r="181" ht="15" customHeight="1">
      <c r="A181" t="inlineStr">
        <is>
          <t>Death Skid Marks</t>
        </is>
      </c>
      <c r="B181" t="n">
        <v>2014</v>
      </c>
      <c r="C181" t="inlineStr">
        <is>
          <t>Action</t>
        </is>
      </c>
      <c r="D181" t="b">
        <v>1</v>
      </c>
      <c r="E181">
        <f>COUNTIF(connections!A:A, A181) &gt; 0</f>
        <v/>
      </c>
      <c r="G181" t="inlineStr">
        <is>
          <t>death-skid-marks</t>
        </is>
      </c>
      <c r="H181" t="inlineStr">
        <is>
          <t>Yes</t>
        </is>
      </c>
      <c r="I181" t="inlineStr">
        <is>
          <t>C:\Users\Owner\Documents\Roguelike Roguelike\Roguelikes\Death Skid Marks.url</t>
        </is>
      </c>
      <c r="J181" s="11" t="inlineStr">
        <is>
          <t>https://store.steampowered.com/app/326150/Death_Skid_Marks/</t>
        </is>
      </c>
    </row>
    <row r="182" ht="15" customHeight="1">
      <c r="A182" t="inlineStr">
        <is>
          <t>Deck of Ashes</t>
        </is>
      </c>
      <c r="B182" t="n">
        <v>2019</v>
      </c>
      <c r="C182" t="inlineStr">
        <is>
          <t>Deckbuilder</t>
        </is>
      </c>
      <c r="D182">
        <f>TRUE()</f>
        <v/>
      </c>
      <c r="E182">
        <f>COUNTIF(connections!A:A, A182) &gt; 0</f>
        <v/>
      </c>
      <c r="G182" t="inlineStr">
        <is>
          <t>deck-of-ashes</t>
        </is>
      </c>
      <c r="H182" t="inlineStr">
        <is>
          <t>Yes</t>
        </is>
      </c>
      <c r="I182" t="inlineStr">
        <is>
          <t>C:\Users\Owner\Documents\Roguelike Roguelike\Roguelikes\Deck of Ashes.url</t>
        </is>
      </c>
      <c r="J182" s="1" t="inlineStr">
        <is>
          <t>https://store.steampowered.com/app/1016730/Deck_of_Ashes/</t>
        </is>
      </c>
    </row>
    <row r="183" ht="15" customHeight="1">
      <c r="A183" t="inlineStr">
        <is>
          <t>Deck of Haunts</t>
        </is>
      </c>
      <c r="B183" t="n">
        <v>2025</v>
      </c>
      <c r="C183" t="inlineStr">
        <is>
          <t>Deckbuilder</t>
        </is>
      </c>
      <c r="D183">
        <f>TRUE()</f>
        <v/>
      </c>
      <c r="E183">
        <f>COUNTIF(connections!A:A, A183) &gt; 0</f>
        <v/>
      </c>
      <c r="G183" t="inlineStr">
        <is>
          <t>deck-of-haunts</t>
        </is>
      </c>
      <c r="H183" t="inlineStr">
        <is>
          <t>Yes</t>
        </is>
      </c>
      <c r="I183" t="inlineStr">
        <is>
          <t>C:\Users\Owner\Documents\Roguelike Roguelike\Roguelikes\Deck of Haunts.url</t>
        </is>
      </c>
      <c r="J183" s="1" t="inlineStr">
        <is>
          <t>https://store.steampowered.com/app/3179730/Deck_of_Haunts/</t>
        </is>
      </c>
    </row>
    <row r="184" ht="15" customHeight="1">
      <c r="A184" t="inlineStr">
        <is>
          <t>Decktamer</t>
        </is>
      </c>
      <c r="B184" t="n">
        <v>2025</v>
      </c>
      <c r="C184" t="inlineStr">
        <is>
          <t>Deckbuilder</t>
        </is>
      </c>
      <c r="D184">
        <f>TRUE()</f>
        <v/>
      </c>
      <c r="E184">
        <f>COUNTIF(connections!A:A, A184) &gt; 0</f>
        <v/>
      </c>
      <c r="G184" t="inlineStr">
        <is>
          <t>decktamer</t>
        </is>
      </c>
      <c r="H184" t="inlineStr">
        <is>
          <t>Yes</t>
        </is>
      </c>
      <c r="I184" t="inlineStr">
        <is>
          <t>C:\Users\Owner\Documents\Roguelike Roguelike\Roguelikes\Decktamer.url</t>
        </is>
      </c>
      <c r="J184" s="1" t="inlineStr">
        <is>
          <t>https://store.steampowered.com/app/2870340/Decktamer/</t>
        </is>
      </c>
    </row>
    <row r="185" ht="15" customHeight="1">
      <c r="A185" t="inlineStr">
        <is>
          <t>Deep Dungeons of Doom</t>
        </is>
      </c>
      <c r="B185" t="n">
        <v>2014</v>
      </c>
      <c r="C185" t="inlineStr">
        <is>
          <t>Action</t>
        </is>
      </c>
      <c r="D185">
        <f>TRUE()</f>
        <v/>
      </c>
      <c r="E185">
        <f>COUNTIF(connections!A:A, A185) &gt; 0</f>
        <v/>
      </c>
      <c r="G185" t="inlineStr">
        <is>
          <t>deep-dungeons-of-doom</t>
        </is>
      </c>
      <c r="H185" t="inlineStr">
        <is>
          <t>Yes</t>
        </is>
      </c>
      <c r="I185" t="inlineStr">
        <is>
          <t>C:\Users\Owner\Documents\Roguelike Roguelike\Roguelikes\Deep Dungeons of Doom.url</t>
        </is>
      </c>
      <c r="J185" s="1" t="inlineStr">
        <is>
          <t>https://store.steampowered.com/app/325090/Deep_Dungeons_of_Doom/</t>
        </is>
      </c>
    </row>
    <row r="186" ht="15" customHeight="1">
      <c r="A186" t="inlineStr">
        <is>
          <t>Deep Rock Galactic: Survivor</t>
        </is>
      </c>
      <c r="B186" t="n">
        <v>2024</v>
      </c>
      <c r="C186" t="inlineStr">
        <is>
          <t>Action</t>
        </is>
      </c>
      <c r="D186">
        <f>TRUE()</f>
        <v/>
      </c>
      <c r="E186">
        <f>COUNTIF(connections!A:A, A186) &gt; 0</f>
        <v/>
      </c>
      <c r="F186" t="inlineStr">
        <is>
          <t>mining</t>
        </is>
      </c>
      <c r="G186" t="inlineStr">
        <is>
          <t>deep-rock-galactic-survivor</t>
        </is>
      </c>
    </row>
    <row r="187" ht="15" customHeight="1">
      <c r="A187" t="inlineStr">
        <is>
          <t>Deep Sky Derelicts</t>
        </is>
      </c>
      <c r="B187" t="n">
        <v>2018</v>
      </c>
      <c r="C187" t="inlineStr">
        <is>
          <t>Deckbuilder</t>
        </is>
      </c>
      <c r="D187">
        <f>TRUE()</f>
        <v/>
      </c>
      <c r="E187">
        <f>COUNTIF(connections!A:A, A187) &gt; 0</f>
        <v/>
      </c>
      <c r="G187" t="inlineStr">
        <is>
          <t>deep-sky-derelicts</t>
        </is>
      </c>
    </row>
    <row r="188" ht="15" customHeight="1">
      <c r="A188" t="inlineStr">
        <is>
          <t>Deepest Chamber: Resurrection</t>
        </is>
      </c>
      <c r="B188" t="n">
        <v>2021</v>
      </c>
      <c r="C188" t="inlineStr">
        <is>
          <t>Deckbuilder</t>
        </is>
      </c>
      <c r="D188">
        <f>TRUE()</f>
        <v/>
      </c>
      <c r="E188">
        <f>COUNTIF(connections!A:A, A188) &gt; 0</f>
        <v/>
      </c>
      <c r="G188" t="inlineStr">
        <is>
          <t>deepest-chamber-resurrection</t>
        </is>
      </c>
      <c r="H188" t="inlineStr">
        <is>
          <t>Yes</t>
        </is>
      </c>
      <c r="I188" t="inlineStr">
        <is>
          <t>C:\Users\Owner\Documents\Roguelike Roguelike\Roguelikes\Deepest Chamber Resurrection.url</t>
        </is>
      </c>
      <c r="J188" s="1" t="inlineStr">
        <is>
          <t>https://store.steampowered.com/app/1552080/Deepest_Chamber_Resurrection/</t>
        </is>
      </c>
    </row>
    <row r="189" ht="15" customHeight="1">
      <c r="A189" t="inlineStr">
        <is>
          <t>Delver</t>
        </is>
      </c>
      <c r="B189" t="n">
        <v>2012</v>
      </c>
      <c r="C189" t="inlineStr">
        <is>
          <t>Action</t>
        </is>
      </c>
      <c r="D189">
        <f>FALSE()</f>
        <v/>
      </c>
      <c r="E189">
        <f>COUNTIF(connections!A:A, A189) &gt; 0</f>
        <v/>
      </c>
      <c r="G189" t="inlineStr">
        <is>
          <t>delver</t>
        </is>
      </c>
    </row>
    <row r="190" ht="15" customHeight="1">
      <c r="A190" t="inlineStr">
        <is>
          <t>Demon Lord: Just a Block</t>
        </is>
      </c>
      <c r="B190" t="n">
        <v>2026</v>
      </c>
      <c r="C190" t="inlineStr">
        <is>
          <t>Traditional</t>
        </is>
      </c>
      <c r="D190">
        <f>TRUE()</f>
        <v/>
      </c>
      <c r="E190">
        <f>COUNTIF(connections!A:A, A190) &gt; 0</f>
        <v/>
      </c>
      <c r="F190" t="inlineStr">
        <is>
          <t>antagonist</t>
        </is>
      </c>
      <c r="G190" t="inlineStr">
        <is>
          <t>demon-lord-just-a-block</t>
        </is>
      </c>
      <c r="H190" t="inlineStr">
        <is>
          <t>Yes</t>
        </is>
      </c>
      <c r="I190" t="inlineStr">
        <is>
          <t>C:\Users\Owner\Documents\Roguelike Roguelike\Roguelikes\Demon Lord Just a Block.url</t>
        </is>
      </c>
      <c r="J190" s="1" t="inlineStr">
        <is>
          <t>https://store.steampowered.com/app/3720420/Demon_Lord_Just_a_Block/</t>
        </is>
      </c>
    </row>
    <row r="191" ht="15" customHeight="1">
      <c r="A191" t="inlineStr">
        <is>
          <t>DemonCrawl</t>
        </is>
      </c>
      <c r="B191" t="n">
        <v>2019</v>
      </c>
      <c r="C191" t="inlineStr">
        <is>
          <t>Strategy</t>
        </is>
      </c>
      <c r="D191">
        <f>TRUE()</f>
        <v/>
      </c>
      <c r="E191">
        <f>COUNTIF(connections!A:A, A191) &gt; 0</f>
        <v/>
      </c>
      <c r="G191" t="inlineStr">
        <is>
          <t>demoncrawl</t>
        </is>
      </c>
    </row>
    <row r="192" ht="15" customHeight="1">
      <c r="A192" t="inlineStr">
        <is>
          <t>Demonic Mahjong</t>
        </is>
      </c>
      <c r="B192" t="n">
        <v>2025</v>
      </c>
      <c r="C192" t="inlineStr">
        <is>
          <t>Deckbuilder</t>
        </is>
      </c>
      <c r="D192">
        <f>TRUE()</f>
        <v/>
      </c>
      <c r="E192">
        <f>COUNTIF(connections!A:A, A192) &gt; 0</f>
        <v/>
      </c>
      <c r="F192" t="inlineStr">
        <is>
          <t>mahjong</t>
        </is>
      </c>
      <c r="G192" t="inlineStr">
        <is>
          <t>demonic-mahjong</t>
        </is>
      </c>
      <c r="H192" t="inlineStr">
        <is>
          <t>Yes</t>
        </is>
      </c>
      <c r="I192" t="inlineStr">
        <is>
          <t>C:\Users\Owner\Documents\Roguelike Roguelike\Roguelikes\Demonic Mahjong.url</t>
        </is>
      </c>
      <c r="J192" s="1" t="inlineStr">
        <is>
          <t>https://store.steampowered.com/app/3444020/Demonic_Mahjong/</t>
        </is>
      </c>
    </row>
    <row r="193" ht="15" customHeight="1">
      <c r="A193" t="inlineStr">
        <is>
          <t>Demonlore</t>
        </is>
      </c>
      <c r="B193" t="n">
        <v>2022</v>
      </c>
      <c r="C193" t="inlineStr">
        <is>
          <t>Strategy</t>
        </is>
      </c>
      <c r="D193">
        <f>FALSE()</f>
        <v/>
      </c>
      <c r="E193">
        <f>COUNTIF(connections!A:A, A193) &gt; 0</f>
        <v/>
      </c>
      <c r="G193" t="inlineStr">
        <is>
          <t>demonlore</t>
        </is>
      </c>
      <c r="H193" t="inlineStr">
        <is>
          <t>Yes</t>
        </is>
      </c>
      <c r="I193" t="inlineStr">
        <is>
          <t>C:\Users\Owner\Documents\Roguelike Roguelike\Roguelikes\Demonlore.url</t>
        </is>
      </c>
      <c r="J193" s="1" t="inlineStr">
        <is>
          <t>https://store.steampowered.com/app/1588340/Demonlore/</t>
        </is>
      </c>
    </row>
    <row r="194" ht="15" customHeight="1">
      <c r="A194" t="inlineStr">
        <is>
          <t>Desktop Dungeons</t>
        </is>
      </c>
      <c r="B194" t="n">
        <v>2010</v>
      </c>
      <c r="C194" t="inlineStr">
        <is>
          <t>Traditional</t>
        </is>
      </c>
      <c r="D194">
        <f>TRUE()</f>
        <v/>
      </c>
      <c r="E194">
        <f>COUNTIF(connections!A:A, A194) &gt; 0</f>
        <v/>
      </c>
      <c r="G194" t="inlineStr">
        <is>
          <t>desktop-dungeons</t>
        </is>
      </c>
    </row>
    <row r="195" ht="15" customHeight="1">
      <c r="A195" t="inlineStr">
        <is>
          <t>Desktop Survivors 98</t>
        </is>
      </c>
      <c r="B195" t="n">
        <v>2025</v>
      </c>
      <c r="C195" t="inlineStr">
        <is>
          <t>Action</t>
        </is>
      </c>
      <c r="D195">
        <f>TRUE()</f>
        <v/>
      </c>
      <c r="E195">
        <f>COUNTIF(connections!A:A, A195) &gt; 0</f>
        <v/>
      </c>
      <c r="G195" t="inlineStr">
        <is>
          <t>desktop-survivors-98</t>
        </is>
      </c>
      <c r="H195" t="inlineStr">
        <is>
          <t>Yes</t>
        </is>
      </c>
      <c r="I195" t="inlineStr">
        <is>
          <t>C:\Users\Owner\Documents\Roguelike Roguelike\Roguelikes\Desktop Survivors 98.url</t>
        </is>
      </c>
      <c r="J195" s="1" t="inlineStr">
        <is>
          <t>https://store.steampowered.com/app/3339780/Desktop_Survivors_98/</t>
        </is>
      </c>
    </row>
    <row r="196" ht="15" customHeight="1">
      <c r="A196" t="inlineStr">
        <is>
          <t>Despot's Game: Dystopian Battle Simulator</t>
        </is>
      </c>
      <c r="B196" t="n">
        <v>2021</v>
      </c>
      <c r="C196" t="inlineStr">
        <is>
          <t>Action</t>
        </is>
      </c>
      <c r="D196">
        <f>TRUE()</f>
        <v/>
      </c>
      <c r="E196">
        <f>COUNTIF(connections!A:A, A196) &gt; 0</f>
        <v/>
      </c>
      <c r="G196" t="inlineStr">
        <is>
          <t>despots-game-dystopian-battle-simulator</t>
        </is>
      </c>
      <c r="H196" t="inlineStr">
        <is>
          <t>Yes</t>
        </is>
      </c>
      <c r="I196" t="inlineStr">
        <is>
          <t>C:\Users\Owner\Documents\Roguelike Roguelike\Roguelikes\Despot's Game Dystopian Battle Simulator.url</t>
        </is>
      </c>
      <c r="J196" s="1" t="inlineStr">
        <is>
          <t>https://store.steampowered.com/app/1227280/Despots_Game_Dystopian_Battle_Simulator/</t>
        </is>
      </c>
    </row>
    <row r="197" ht="15" customHeight="1">
      <c r="A197" t="inlineStr">
        <is>
          <t>Devil Slayer: Raksasi</t>
        </is>
      </c>
      <c r="B197" t="n">
        <v>2019</v>
      </c>
      <c r="C197" t="inlineStr">
        <is>
          <t>Action</t>
        </is>
      </c>
      <c r="D197">
        <f>TRUE()</f>
        <v/>
      </c>
      <c r="E197">
        <f>COUNTIF(connections!A:A, A197) &gt; 0</f>
        <v/>
      </c>
      <c r="G197" t="inlineStr">
        <is>
          <t>devil-slayer-raksasi</t>
        </is>
      </c>
    </row>
    <row r="198" ht="15" customHeight="1">
      <c r="A198" t="inlineStr">
        <is>
          <t>Diablo</t>
        </is>
      </c>
      <c r="B198" t="n">
        <v>1996</v>
      </c>
      <c r="C198" t="inlineStr">
        <is>
          <t>Action</t>
        </is>
      </c>
      <c r="D198">
        <f>TRUE()</f>
        <v/>
      </c>
      <c r="E198">
        <f>COUNTIF(connections!A:A, A198) &gt; 0</f>
        <v/>
      </c>
      <c r="G198" t="inlineStr">
        <is>
          <t>diablo</t>
        </is>
      </c>
      <c r="H198" t="inlineStr">
        <is>
          <t>Yes</t>
        </is>
      </c>
      <c r="I198" t="inlineStr">
        <is>
          <t>C:\Users\Owner\Documents\Roguelike Roguelike\Roguelikes\Diablo.lnk</t>
        </is>
      </c>
    </row>
    <row r="199" ht="15" customHeight="1">
      <c r="A199" t="inlineStr">
        <is>
          <t>Dice &amp; Fold</t>
        </is>
      </c>
      <c r="B199" t="n">
        <v>2024</v>
      </c>
      <c r="C199" t="inlineStr">
        <is>
          <t>Deckbuilder</t>
        </is>
      </c>
      <c r="D199">
        <f>TRUE()</f>
        <v/>
      </c>
      <c r="E199">
        <f>COUNTIF(connections!A:A, A199) &gt; 0</f>
        <v/>
      </c>
      <c r="F199" t="inlineStr">
        <is>
          <t>dice</t>
        </is>
      </c>
      <c r="G199" t="inlineStr">
        <is>
          <t>dice-fold</t>
        </is>
      </c>
      <c r="H199" t="inlineStr">
        <is>
          <t>Yes</t>
        </is>
      </c>
      <c r="I199" t="inlineStr">
        <is>
          <t>C:\Users\Owner\Documents\Roguelike Roguelike\Roguelikes\Dice &amp; Fold.url</t>
        </is>
      </c>
      <c r="J199" s="1" t="inlineStr">
        <is>
          <t>https://store.steampowered.com/app/2693930/Dice__Fold/</t>
        </is>
      </c>
    </row>
    <row r="200" ht="15" customHeight="1">
      <c r="A200" t="inlineStr">
        <is>
          <t>Dice A Million</t>
        </is>
      </c>
      <c r="B200" t="n">
        <v>2026</v>
      </c>
      <c r="C200" t="inlineStr">
        <is>
          <t>Deckbuilder</t>
        </is>
      </c>
      <c r="D200">
        <f>TRUE()</f>
        <v/>
      </c>
      <c r="E200">
        <f>COUNTIF(connections!A:A, A200) &gt; 0</f>
        <v/>
      </c>
      <c r="F200" t="inlineStr">
        <is>
          <t>dice</t>
        </is>
      </c>
      <c r="G200" t="inlineStr">
        <is>
          <t>dice-a-million</t>
        </is>
      </c>
    </row>
    <row r="201" ht="15" customHeight="1">
      <c r="A201" t="inlineStr">
        <is>
          <t>Dice Legends</t>
        </is>
      </c>
      <c r="B201" t="n">
        <v>2025</v>
      </c>
      <c r="C201" t="inlineStr">
        <is>
          <t>Deckbuilder</t>
        </is>
      </c>
      <c r="D201">
        <f>TRUE()</f>
        <v/>
      </c>
      <c r="E201">
        <f>COUNTIF(connections!A:A, A201) &gt; 0</f>
        <v/>
      </c>
      <c r="G201" t="inlineStr">
        <is>
          <t>dice-legends</t>
        </is>
      </c>
      <c r="J201" s="11" t="inlineStr">
        <is>
          <t>https://store.steampowered.com/app/3112170/Dice_Legends</t>
        </is>
      </c>
    </row>
    <row r="202" ht="15" customHeight="1">
      <c r="A202" t="inlineStr">
        <is>
          <t>Dice With Death</t>
        </is>
      </c>
      <c r="B202" t="n">
        <v>2025</v>
      </c>
      <c r="C202" t="inlineStr">
        <is>
          <t>Strategy</t>
        </is>
      </c>
      <c r="D202">
        <f>FALSE()</f>
        <v/>
      </c>
      <c r="E202">
        <f>COUNTIF(connections!A:A, A202) &gt; 0</f>
        <v/>
      </c>
      <c r="F202" t="inlineStr">
        <is>
          <t>dice</t>
        </is>
      </c>
      <c r="G202" t="inlineStr">
        <is>
          <t>dice-with-death</t>
        </is>
      </c>
      <c r="H202" t="inlineStr">
        <is>
          <t>Yes</t>
        </is>
      </c>
      <c r="I202" t="inlineStr">
        <is>
          <t>C:\Users\Owner\Documents\Roguelike Roguelike\Roguelikes\Dice With Death.url</t>
        </is>
      </c>
      <c r="J202" s="11" t="inlineStr">
        <is>
          <t>https://store.steampowered.com/app/3435260/Dice_With_Death/</t>
        </is>
      </c>
    </row>
    <row r="203" ht="15" customHeight="1">
      <c r="A203" t="inlineStr">
        <is>
          <t>Dicealot</t>
        </is>
      </c>
      <c r="B203" t="n">
        <v>2025</v>
      </c>
      <c r="C203" t="inlineStr">
        <is>
          <t>Deckbuilder</t>
        </is>
      </c>
      <c r="D203">
        <f>TRUE()</f>
        <v/>
      </c>
      <c r="E203">
        <f>COUNTIF(connections!A:A, A203) &gt; 0</f>
        <v/>
      </c>
      <c r="F203" t="inlineStr">
        <is>
          <t>dice</t>
        </is>
      </c>
      <c r="G203" t="inlineStr">
        <is>
          <t>dicealot</t>
        </is>
      </c>
    </row>
    <row r="204" ht="15" customHeight="1">
      <c r="A204" t="inlineStr">
        <is>
          <t>Dicefolk</t>
        </is>
      </c>
      <c r="B204" t="n">
        <v>2024</v>
      </c>
      <c r="C204" t="inlineStr">
        <is>
          <t>Deckbuilder</t>
        </is>
      </c>
      <c r="D204">
        <f>TRUE()</f>
        <v/>
      </c>
      <c r="E204">
        <f>COUNTIF(connections!A:A, A204) &gt; 0</f>
        <v/>
      </c>
      <c r="F204" t="inlineStr">
        <is>
          <t>dice</t>
        </is>
      </c>
      <c r="G204" t="inlineStr">
        <is>
          <t>dicefolk</t>
        </is>
      </c>
      <c r="H204" t="inlineStr">
        <is>
          <t>Yes</t>
        </is>
      </c>
      <c r="I204" t="inlineStr">
        <is>
          <t>C:\Users\Owner\Documents\Roguelike Roguelike\Roguelikes\Dicefolk.url</t>
        </is>
      </c>
      <c r="J204" s="11" t="inlineStr">
        <is>
          <t>https://store.steampowered.com/app/1996430/Dicefolk/</t>
        </is>
      </c>
    </row>
    <row r="205" ht="15" customHeight="1">
      <c r="A205" t="inlineStr">
        <is>
          <t>Diceomancer</t>
        </is>
      </c>
      <c r="B205" t="n">
        <v>2024</v>
      </c>
      <c r="C205" t="inlineStr">
        <is>
          <t>Deckbuilder</t>
        </is>
      </c>
      <c r="D205">
        <f>FALSE()</f>
        <v/>
      </c>
      <c r="E205">
        <f>COUNTIF(connections!A:A, A205) &gt; 0</f>
        <v/>
      </c>
      <c r="F205" t="inlineStr">
        <is>
          <t>dice</t>
        </is>
      </c>
      <c r="G205" t="inlineStr">
        <is>
          <t>diceomancer</t>
        </is>
      </c>
      <c r="H205" t="inlineStr">
        <is>
          <t>Yes</t>
        </is>
      </c>
      <c r="I205" t="inlineStr">
        <is>
          <t>C:\Users\Owner\Documents\Roguelike Roguelike\Roguelikes\DICEOMANCER.url</t>
        </is>
      </c>
      <c r="J205" s="1" t="inlineStr">
        <is>
          <t>https://store.steampowered.com/app/2501600/DICEOMANCER/</t>
        </is>
      </c>
    </row>
    <row r="206" ht="15" customHeight="1">
      <c r="A206" t="inlineStr">
        <is>
          <t>Dicey Dungeons</t>
        </is>
      </c>
      <c r="B206" t="n">
        <v>2019</v>
      </c>
      <c r="C206" t="inlineStr">
        <is>
          <t>Deckbuilder</t>
        </is>
      </c>
      <c r="D206">
        <f>TRUE()</f>
        <v/>
      </c>
      <c r="E206">
        <f>COUNTIF(connections!A:A, A206) &gt; 0</f>
        <v/>
      </c>
      <c r="F206" t="inlineStr">
        <is>
          <t>dice</t>
        </is>
      </c>
      <c r="G206" t="inlineStr">
        <is>
          <t>dicey-dungeons</t>
        </is>
      </c>
      <c r="H206" t="inlineStr">
        <is>
          <t>Yes</t>
        </is>
      </c>
      <c r="I206" t="inlineStr">
        <is>
          <t>C:\Users\Owner\Documents\Roguelike Roguelike\Roguelikes\Dicey Dungeons.url</t>
        </is>
      </c>
      <c r="J206" s="1" t="inlineStr">
        <is>
          <t>https://store.steampowered.com/app/861540/Dicey_Dungeons/</t>
        </is>
      </c>
    </row>
    <row r="207" ht="15" customHeight="1">
      <c r="A207" t="inlineStr">
        <is>
          <t>Die For The Lich</t>
        </is>
      </c>
      <c r="B207" t="n">
        <v>2025</v>
      </c>
      <c r="C207" t="inlineStr">
        <is>
          <t>Deckbuilder</t>
        </is>
      </c>
      <c r="D207">
        <f>TRUE()</f>
        <v/>
      </c>
      <c r="E207">
        <f>COUNTIF(connections!A:A, A207) &gt; 0</f>
        <v/>
      </c>
      <c r="F207" t="inlineStr">
        <is>
          <t>dice</t>
        </is>
      </c>
      <c r="G207" t="inlineStr">
        <is>
          <t>die-for-the-lich</t>
        </is>
      </c>
    </row>
    <row r="208" ht="15" customHeight="1">
      <c r="A208" t="inlineStr">
        <is>
          <t>Die in the Dungeon</t>
        </is>
      </c>
      <c r="B208" t="n">
        <v>2025</v>
      </c>
      <c r="C208" t="inlineStr">
        <is>
          <t>Deckbuilder</t>
        </is>
      </c>
      <c r="D208">
        <f>TRUE()</f>
        <v/>
      </c>
      <c r="E208">
        <f>COUNTIF(connections!A:A, A208) &gt; 0</f>
        <v/>
      </c>
      <c r="F208" t="inlineStr">
        <is>
          <t>dice</t>
        </is>
      </c>
      <c r="G208" t="inlineStr">
        <is>
          <t>die-in-the-dungeon</t>
        </is>
      </c>
      <c r="H208" t="inlineStr">
        <is>
          <t>Yes</t>
        </is>
      </c>
      <c r="I208" t="inlineStr">
        <is>
          <t>C:\Users\Owner\Documents\Roguelike Roguelike\Roguelikes\Die in the Dungeon.url</t>
        </is>
      </c>
      <c r="J208" s="1" t="inlineStr">
        <is>
          <t>https://store.steampowered.com/app/2026820/Die_in_the_Dungeon/</t>
        </is>
      </c>
    </row>
    <row r="209" ht="15" customHeight="1">
      <c r="A209" t="inlineStr">
        <is>
          <t>DIG: Deep In Galaxies</t>
        </is>
      </c>
      <c r="B209" t="n">
        <v>2021</v>
      </c>
      <c r="C209" t="inlineStr">
        <is>
          <t>Action</t>
        </is>
      </c>
      <c r="D209">
        <f>FALSE()</f>
        <v/>
      </c>
      <c r="E209">
        <f>COUNTIF(connections!A:A, A209) &gt; 0</f>
        <v/>
      </c>
      <c r="G209" t="inlineStr">
        <is>
          <t>dig-deep-in-galaxies</t>
        </is>
      </c>
      <c r="H209" t="inlineStr">
        <is>
          <t>Yes</t>
        </is>
      </c>
      <c r="I209" t="inlineStr">
        <is>
          <t>C:\Users\Owner\Documents\Roguelike Roguelike\Roguelikes\DIG - Deep In Galaxies.url</t>
        </is>
      </c>
      <c r="J209" s="1" t="inlineStr">
        <is>
          <t>https://store.steampowered.com/app/1442840/DIG__Deep_In_Galaxies/</t>
        </is>
      </c>
    </row>
    <row r="210" ht="15" customHeight="1">
      <c r="A210" t="inlineStr">
        <is>
          <t>Dimensionals</t>
        </is>
      </c>
      <c r="B210" t="n">
        <v>2024</v>
      </c>
      <c r="C210" t="inlineStr">
        <is>
          <t>Deckbuilder</t>
        </is>
      </c>
      <c r="D210">
        <f>TRUE()</f>
        <v/>
      </c>
      <c r="E210">
        <f>COUNTIF(connections!A:A, A210) &gt; 0</f>
        <v/>
      </c>
      <c r="G210" t="inlineStr">
        <is>
          <t>dimensionals</t>
        </is>
      </c>
    </row>
    <row r="211" ht="15" customHeight="1">
      <c r="A211" t="inlineStr">
        <is>
          <t>Disfigure</t>
        </is>
      </c>
      <c r="B211" t="n">
        <v>2023</v>
      </c>
      <c r="C211" t="inlineStr">
        <is>
          <t>Action</t>
        </is>
      </c>
      <c r="D211">
        <f>TRUE()</f>
        <v/>
      </c>
      <c r="E211">
        <f>COUNTIF(connections!A:A, A211) &gt; 0</f>
        <v/>
      </c>
      <c r="G211" t="inlineStr">
        <is>
          <t>disfigure</t>
        </is>
      </c>
      <c r="H211" t="inlineStr">
        <is>
          <t>Yes</t>
        </is>
      </c>
      <c r="I211" t="inlineStr">
        <is>
          <t>C:\Users\Owner\Documents\Roguelike Roguelike\Roguelikes\Disfigure.url</t>
        </is>
      </c>
      <c r="J211" s="1" t="inlineStr">
        <is>
          <t>https://store.steampowered.com/app/2083160/Disfigure/</t>
        </is>
      </c>
    </row>
    <row r="212" ht="15" customHeight="1">
      <c r="A212" t="inlineStr">
        <is>
          <t>Dive or Die: Children of Rain</t>
        </is>
      </c>
      <c r="B212" t="n">
        <v>2026</v>
      </c>
      <c r="C212" t="inlineStr">
        <is>
          <t>Action</t>
        </is>
      </c>
      <c r="D212">
        <f>TRUE()</f>
        <v/>
      </c>
      <c r="E212">
        <f>COUNTIF(connections!A:A, A212) &gt; 0</f>
        <v/>
      </c>
      <c r="G212" t="inlineStr">
        <is>
          <t>dive-or-die-children-of-rain</t>
        </is>
      </c>
      <c r="J212" s="11" t="inlineStr">
        <is>
          <t>https://store.steampowered.com/app/3590290/DIVE_or_DIE__Children_of_Rain/</t>
        </is>
      </c>
    </row>
    <row r="213" ht="15" customHeight="1">
      <c r="A213" t="inlineStr">
        <is>
          <t>Dog and Goblin</t>
        </is>
      </c>
      <c r="B213" t="n">
        <v>2024</v>
      </c>
      <c r="C213" t="inlineStr">
        <is>
          <t>Deckbuilder</t>
        </is>
      </c>
      <c r="D213">
        <f>TRUE()</f>
        <v/>
      </c>
      <c r="E213">
        <f>COUNTIF(connections!A:A, A213) &gt; 0</f>
        <v/>
      </c>
      <c r="G213" t="inlineStr">
        <is>
          <t>dog-and-goblin</t>
        </is>
      </c>
    </row>
    <row r="214" ht="15" customHeight="1">
      <c r="A214" t="inlineStr">
        <is>
          <t>Dog Witch</t>
        </is>
      </c>
      <c r="B214" t="n">
        <v>2025</v>
      </c>
      <c r="C214" t="inlineStr">
        <is>
          <t>Deckbuilder</t>
        </is>
      </c>
      <c r="D214">
        <f>TRUE()</f>
        <v/>
      </c>
      <c r="E214">
        <f>COUNTIF(connections!A:A, A214) &gt; 0</f>
        <v/>
      </c>
      <c r="G214" t="inlineStr">
        <is>
          <t>dog-witch</t>
        </is>
      </c>
    </row>
    <row r="215" ht="15" customHeight="1">
      <c r="A215" t="inlineStr">
        <is>
          <t>Dogpile</t>
        </is>
      </c>
      <c r="B215" t="n">
        <v>2025</v>
      </c>
      <c r="C215" t="inlineStr">
        <is>
          <t>Deckbuilder</t>
        </is>
      </c>
      <c r="D215">
        <f>TRUE()</f>
        <v/>
      </c>
      <c r="E215">
        <f>COUNTIF(connections!A:A, A215) &gt; 0</f>
        <v/>
      </c>
      <c r="G215" t="inlineStr">
        <is>
          <t>dogpile</t>
        </is>
      </c>
      <c r="H215" t="inlineStr">
        <is>
          <t>Yes</t>
        </is>
      </c>
      <c r="I215" t="inlineStr">
        <is>
          <t>C:\Users\Owner\Documents\Roguelike Roguelike\Roguelikes\Dogpile.url</t>
        </is>
      </c>
      <c r="J215" s="1" t="inlineStr">
        <is>
          <t>https://store.steampowered.com/app/3839300/Dogpile/</t>
        </is>
      </c>
    </row>
    <row r="216" ht="15" customHeight="1">
      <c r="A216" t="inlineStr">
        <is>
          <t>Dome Keeper</t>
        </is>
      </c>
      <c r="B216" t="n">
        <v>2022</v>
      </c>
      <c r="C216" t="inlineStr">
        <is>
          <t>Strategy</t>
        </is>
      </c>
      <c r="D216">
        <f>TRUE()</f>
        <v/>
      </c>
      <c r="E216">
        <f>COUNTIF(connections!A:A, A216) &gt; 0</f>
        <v/>
      </c>
      <c r="F216" t="inlineStr">
        <is>
          <t>space, mining</t>
        </is>
      </c>
      <c r="G216" t="inlineStr">
        <is>
          <t>dome-keeper</t>
        </is>
      </c>
      <c r="H216" t="inlineStr">
        <is>
          <t>Yes</t>
        </is>
      </c>
      <c r="I216" t="inlineStr">
        <is>
          <t>C:\Users\Owner\Documents\Roguelike Roguelike\Roguelikes\Dome Keeper.url</t>
        </is>
      </c>
      <c r="J216" s="1" t="inlineStr">
        <is>
          <t>https://store.steampowered.com/app/1637320/Dome_Keeper/</t>
        </is>
      </c>
    </row>
    <row r="217" ht="15" customHeight="1">
      <c r="A217" t="inlineStr">
        <is>
          <t>Don't Let It Starve</t>
        </is>
      </c>
      <c r="B217" t="n">
        <v>2026</v>
      </c>
      <c r="C217" t="inlineStr">
        <is>
          <t>Strategy</t>
        </is>
      </c>
      <c r="D217">
        <f>TRUE()</f>
        <v/>
      </c>
      <c r="E217">
        <f>COUNTIF(connections!A:A, A217) &gt; 0</f>
        <v/>
      </c>
      <c r="G217" t="inlineStr">
        <is>
          <t>don’t-let-it-starve</t>
        </is>
      </c>
      <c r="J217" s="11" t="inlineStr">
        <is>
          <t>https://store.steampowered.com/app/3930510/Dont_Let_It_Starve/</t>
        </is>
      </c>
    </row>
    <row r="218" ht="15" customHeight="1">
      <c r="A218" t="inlineStr">
        <is>
          <t>Don't Lose Aggro</t>
        </is>
      </c>
      <c r="B218" t="n">
        <v>2026</v>
      </c>
      <c r="C218" t="inlineStr">
        <is>
          <t>Action</t>
        </is>
      </c>
      <c r="D218">
        <f>FALSE()</f>
        <v/>
      </c>
      <c r="E218">
        <f>COUNTIF(connections!A:A, A218) &gt; 0</f>
        <v/>
      </c>
      <c r="G218" t="inlineStr">
        <is>
          <t>dont-lose-aggro</t>
        </is>
      </c>
    </row>
    <row r="219" ht="15" customHeight="1">
      <c r="A219" t="inlineStr">
        <is>
          <t>Don't Starve</t>
        </is>
      </c>
      <c r="B219" t="n">
        <v>2013</v>
      </c>
      <c r="C219" t="inlineStr">
        <is>
          <t>Action</t>
        </is>
      </c>
      <c r="D219">
        <f>TRUE()</f>
        <v/>
      </c>
      <c r="E219">
        <f>COUNTIF(connections!A:A, A219) &gt; 0</f>
        <v/>
      </c>
      <c r="G219" t="inlineStr">
        <is>
          <t>dont-starve</t>
        </is>
      </c>
      <c r="H219" t="inlineStr">
        <is>
          <t>Yes</t>
        </is>
      </c>
      <c r="I219" t="inlineStr">
        <is>
          <t>C:\Users\Owner\Documents\Roguelike Roguelike\Roguelikes\Don't Starve.url</t>
        </is>
      </c>
      <c r="J219" s="1" t="inlineStr">
        <is>
          <t>https://store.steampowered.com/app/219740/Dont_Starve/</t>
        </is>
      </c>
    </row>
    <row r="220" ht="15" customHeight="1">
      <c r="A220" t="inlineStr">
        <is>
          <t>Don't Starve Together</t>
        </is>
      </c>
      <c r="B220" t="n">
        <v>2014</v>
      </c>
      <c r="C220" t="inlineStr">
        <is>
          <t>Action</t>
        </is>
      </c>
      <c r="D220">
        <f>TRUE()</f>
        <v/>
      </c>
      <c r="E220">
        <f>COUNTIF(connections!A:A, A220) &gt; 0</f>
        <v/>
      </c>
      <c r="G220" t="inlineStr">
        <is>
          <t>dont-starve-together</t>
        </is>
      </c>
      <c r="H220" t="inlineStr">
        <is>
          <t>Yes</t>
        </is>
      </c>
      <c r="I220" t="inlineStr">
        <is>
          <t>C:\Users\Owner\Documents\Roguelike Roguelike\Roguelikes\Don't Starve Together.url</t>
        </is>
      </c>
      <c r="J220" s="1" t="inlineStr">
        <is>
          <t>https://store.steampowered.com/app/322330/Dont_Starve_Together/</t>
        </is>
      </c>
    </row>
    <row r="221" ht="15" customHeight="1">
      <c r="A221" t="inlineStr">
        <is>
          <t>DoomRL</t>
        </is>
      </c>
      <c r="B221" t="n">
        <v>2002</v>
      </c>
      <c r="C221" t="inlineStr">
        <is>
          <t>Traditional</t>
        </is>
      </c>
      <c r="D221">
        <f>TRUE()</f>
        <v/>
      </c>
      <c r="E221">
        <f>COUNTIF(connections!A:A, A221) &gt; 0</f>
        <v/>
      </c>
      <c r="G221" t="inlineStr">
        <is>
          <t>doomrl</t>
        </is>
      </c>
    </row>
    <row r="222" ht="15" customHeight="1">
      <c r="A222" t="inlineStr">
        <is>
          <t>Dota Auto Chess</t>
        </is>
      </c>
      <c r="B222" t="n">
        <v>2019</v>
      </c>
      <c r="C222" t="inlineStr">
        <is>
          <t>Strategy</t>
        </is>
      </c>
      <c r="D222">
        <f>TRUE()</f>
        <v/>
      </c>
      <c r="E222">
        <f>COUNTIF(connections!A:A, A222) &gt; 0</f>
        <v/>
      </c>
      <c r="G222" t="inlineStr">
        <is>
          <t>dota-auto-chess</t>
        </is>
      </c>
    </row>
    <row r="223" ht="15" customHeight="1">
      <c r="A223" t="inlineStr">
        <is>
          <t>Double Dragon Gaiden: Rise Of The Dragons</t>
        </is>
      </c>
      <c r="B223" t="n">
        <v>2023</v>
      </c>
      <c r="C223" t="inlineStr">
        <is>
          <t>Action</t>
        </is>
      </c>
      <c r="D223">
        <f>FALSE()</f>
        <v/>
      </c>
      <c r="E223">
        <f>COUNTIF(connections!A:A, A223) &gt; 0</f>
        <v/>
      </c>
      <c r="F223" t="inlineStr">
        <is>
          <t>beat 'em up</t>
        </is>
      </c>
      <c r="G223" t="inlineStr">
        <is>
          <t>double-dragon-gaiden-rise-of-the-dragons</t>
        </is>
      </c>
      <c r="H223" t="inlineStr">
        <is>
          <t>Yes</t>
        </is>
      </c>
      <c r="I223" t="inlineStr">
        <is>
          <t>C:\Users\Owner\Documents\Roguelike Roguelike\Roguelikes\Double Dragon Gaiden Rise of the Dragons.url</t>
        </is>
      </c>
      <c r="J223" s="1" t="inlineStr">
        <is>
          <t>https://store.steampowered.com/app/1967260/Double_Dragon_Gaiden_Rise_Of_The_Dragons/</t>
        </is>
      </c>
    </row>
    <row r="224" ht="15" customHeight="1">
      <c r="A224" t="inlineStr">
        <is>
          <t>Downwell</t>
        </is>
      </c>
      <c r="B224" t="n">
        <v>2015</v>
      </c>
      <c r="C224" t="inlineStr">
        <is>
          <t>Action</t>
        </is>
      </c>
      <c r="D224">
        <f>TRUE()</f>
        <v/>
      </c>
      <c r="E224">
        <f>COUNTIF(connections!A:A, A224) &gt; 0</f>
        <v/>
      </c>
      <c r="G224" t="inlineStr">
        <is>
          <t>downwell</t>
        </is>
      </c>
      <c r="H224" t="inlineStr">
        <is>
          <t>Yes</t>
        </is>
      </c>
      <c r="I224" t="inlineStr">
        <is>
          <t>C:\Users\Owner\Documents\Roguelike Roguelike\Roguelikes\Downwell.url</t>
        </is>
      </c>
      <c r="J224" s="1" t="inlineStr">
        <is>
          <t>https://store.steampowered.com/app/360740/Downwell/</t>
        </is>
      </c>
    </row>
    <row r="225" ht="15" customHeight="1">
      <c r="A225" t="inlineStr">
        <is>
          <t>Dragon Crystal</t>
        </is>
      </c>
      <c r="B225" t="n">
        <v>1990</v>
      </c>
      <c r="C225" t="inlineStr">
        <is>
          <t>Traditional</t>
        </is>
      </c>
      <c r="D225">
        <f>TRUE()</f>
        <v/>
      </c>
      <c r="E225">
        <f>COUNTIF(connections!A:A, A225) &gt; 0</f>
        <v/>
      </c>
      <c r="G225" t="inlineStr">
        <is>
          <t>dragon-crystal</t>
        </is>
      </c>
      <c r="H225" t="inlineStr">
        <is>
          <t>Yes</t>
        </is>
      </c>
      <c r="I225" t="inlineStr">
        <is>
          <t>C:\Users\Owner\Documents\Roguelike Roguelike\Roguelikes\Dragon Crystal.lnk</t>
        </is>
      </c>
    </row>
    <row r="226" ht="15" customHeight="1">
      <c r="A226" t="inlineStr">
        <is>
          <t>Dragon Quest: Young Yangus and the Mystery Dungeon</t>
        </is>
      </c>
      <c r="B226" t="n">
        <v>2006</v>
      </c>
      <c r="C226" t="inlineStr">
        <is>
          <t>Traditional</t>
        </is>
      </c>
      <c r="D226">
        <f>TRUE()</f>
        <v/>
      </c>
      <c r="E226">
        <f>COUNTIF(connections!A:A, A226) &gt; 0</f>
        <v/>
      </c>
      <c r="G226" t="inlineStr">
        <is>
          <t>dragon-quest-young-yangus-and-the-mystery-dungeon</t>
        </is>
      </c>
      <c r="H226" t="inlineStr">
        <is>
          <t>Yes</t>
        </is>
      </c>
      <c r="I226" t="inlineStr">
        <is>
          <t>C:\Users\Owner\Documents\Roguelike Roguelike\Roguelikes\Dragon Quest Young Yangus and the Mystery Dungeon.lnk</t>
        </is>
      </c>
    </row>
    <row r="227" ht="15" customHeight="1">
      <c r="A227" t="inlineStr">
        <is>
          <t>Dragonslayer</t>
        </is>
      </c>
      <c r="B227" t="n">
        <v>2003</v>
      </c>
      <c r="C227" t="inlineStr">
        <is>
          <t>Traditional</t>
        </is>
      </c>
      <c r="D227">
        <f>TRUE()</f>
        <v/>
      </c>
      <c r="E227">
        <f>COUNTIF(connections!A:A, A227) &gt; 0</f>
        <v/>
      </c>
      <c r="G227" t="inlineStr">
        <is>
          <t>dragonslayer</t>
        </is>
      </c>
    </row>
    <row r="228" ht="15" customHeight="1">
      <c r="A228" t="inlineStr">
        <is>
          <t>Drapline</t>
        </is>
      </c>
      <c r="B228" t="n">
        <v>2025</v>
      </c>
      <c r="C228" t="inlineStr">
        <is>
          <t>Strategy</t>
        </is>
      </c>
      <c r="D228" t="b">
        <v>0</v>
      </c>
      <c r="E228" t="b">
        <v>0</v>
      </c>
      <c r="G228" t="inlineStr">
        <is>
          <t>drapline</t>
        </is>
      </c>
      <c r="H228" t="inlineStr">
        <is>
          <t>Yes</t>
        </is>
      </c>
      <c r="I228" t="inlineStr">
        <is>
          <t>C:\Users\Owner\Documents\Roguelike Roguelike\Roguelikes\DRAPLINE.url</t>
        </is>
      </c>
      <c r="J228" s="11" t="inlineStr">
        <is>
          <t>https://store.steampowered.com/app/3103780/DRAPLINE/</t>
        </is>
      </c>
    </row>
    <row r="229" ht="15" customHeight="1">
      <c r="A229" t="inlineStr">
        <is>
          <t>Dream Quest</t>
        </is>
      </c>
      <c r="B229" t="n">
        <v>2014</v>
      </c>
      <c r="C229" t="inlineStr">
        <is>
          <t>Deckbuilder</t>
        </is>
      </c>
      <c r="D229">
        <f>TRUE()</f>
        <v/>
      </c>
      <c r="E229">
        <f>COUNTIF(connections!A:A, A229) &gt; 0</f>
        <v/>
      </c>
      <c r="G229" t="inlineStr">
        <is>
          <t>dream-quest</t>
        </is>
      </c>
    </row>
    <row r="230" ht="15" customHeight="1">
      <c r="A230" t="inlineStr">
        <is>
          <t>Dreamscaper</t>
        </is>
      </c>
      <c r="B230" t="n">
        <v>2020</v>
      </c>
      <c r="C230" t="inlineStr">
        <is>
          <t>Action</t>
        </is>
      </c>
      <c r="D230">
        <f>TRUE()</f>
        <v/>
      </c>
      <c r="E230">
        <f>COUNTIF(connections!A:A, A230) &gt; 0</f>
        <v/>
      </c>
      <c r="G230" t="inlineStr">
        <is>
          <t>dreamscaper</t>
        </is>
      </c>
      <c r="H230" t="inlineStr">
        <is>
          <t>Yes</t>
        </is>
      </c>
      <c r="I230" t="inlineStr">
        <is>
          <t>C:\Users\Owner\Documents\Roguelike Roguelike\Roguelikes\Dreamscaper.url</t>
        </is>
      </c>
      <c r="J230" s="1" t="inlineStr">
        <is>
          <t>https://store.steampowered.com/app/1040420/Dreamscaper/</t>
        </is>
      </c>
    </row>
    <row r="231" ht="15" customHeight="1">
      <c r="A231" t="inlineStr">
        <is>
          <t>Drill Core</t>
        </is>
      </c>
      <c r="B231" t="n">
        <v>2024</v>
      </c>
      <c r="C231" t="inlineStr">
        <is>
          <t>Strategy</t>
        </is>
      </c>
      <c r="D231">
        <f>TRUE()</f>
        <v/>
      </c>
      <c r="E231">
        <f>COUNTIF(connections!A:A, A231) &gt; 0</f>
        <v/>
      </c>
      <c r="F231" t="inlineStr">
        <is>
          <t>mining</t>
        </is>
      </c>
      <c r="G231" t="inlineStr">
        <is>
          <t>drill-core</t>
        </is>
      </c>
    </row>
    <row r="232" ht="15" customHeight="1">
      <c r="A232" t="inlineStr">
        <is>
          <t>Drop Duchy</t>
        </is>
      </c>
      <c r="B232" t="n">
        <v>2025</v>
      </c>
      <c r="C232" t="inlineStr">
        <is>
          <t>Strategy</t>
        </is>
      </c>
      <c r="D232">
        <f>TRUE()</f>
        <v/>
      </c>
      <c r="E232">
        <f>COUNTIF(connections!A:A, A232) &gt; 0</f>
        <v/>
      </c>
      <c r="G232" t="inlineStr">
        <is>
          <t>drop-duchy</t>
        </is>
      </c>
      <c r="H232" t="inlineStr">
        <is>
          <t>Yes</t>
        </is>
      </c>
      <c r="I232" t="inlineStr">
        <is>
          <t>C:\Users\Owner\Documents\Roguelike Roguelike\Roguelikes\Drop Duchy.url</t>
        </is>
      </c>
      <c r="J232" s="11" t="inlineStr">
        <is>
          <t>https://store.steampowered.com/app/2525310/Drop_Duchy/</t>
        </is>
      </c>
    </row>
    <row r="233" ht="15" customHeight="1">
      <c r="A233" t="inlineStr">
        <is>
          <t>Drop Pockets</t>
        </is>
      </c>
      <c r="B233" t="n">
        <v>2025</v>
      </c>
      <c r="C233" t="inlineStr">
        <is>
          <t>Strategy</t>
        </is>
      </c>
      <c r="D233">
        <f>TRUE()</f>
        <v/>
      </c>
      <c r="E233">
        <f>COUNTIF(connections!A:A, A233) &gt; 0</f>
        <v/>
      </c>
      <c r="G233" t="inlineStr">
        <is>
          <t>drop-pockets</t>
        </is>
      </c>
    </row>
    <row r="234" ht="15" customHeight="1">
      <c r="A234" t="inlineStr">
        <is>
          <t>Dungeon Clawler</t>
        </is>
      </c>
      <c r="B234" t="n">
        <v>2024</v>
      </c>
      <c r="C234" t="inlineStr">
        <is>
          <t>Deckbuilder</t>
        </is>
      </c>
      <c r="D234">
        <f>TRUE()</f>
        <v/>
      </c>
      <c r="E234">
        <f>COUNTIF(connections!A:A, A234) &gt; 0</f>
        <v/>
      </c>
      <c r="F234" t="inlineStr">
        <is>
          <t>casino</t>
        </is>
      </c>
      <c r="G234" t="inlineStr">
        <is>
          <t>dungeon-clawler</t>
        </is>
      </c>
      <c r="H234" t="inlineStr">
        <is>
          <t>Yes</t>
        </is>
      </c>
      <c r="I234" t="inlineStr">
        <is>
          <t>C:\Users\Owner\Documents\Roguelike Roguelike\Roguelikes\Dungeon Clawler.url</t>
        </is>
      </c>
      <c r="J234" s="1" t="inlineStr">
        <is>
          <t>https://store.steampowered.com/app/2356780/Dungeon_Clawler/</t>
        </is>
      </c>
    </row>
    <row r="235" ht="15" customHeight="1">
      <c r="A235" t="inlineStr">
        <is>
          <t>Dungeon Crawl Stone Soup</t>
        </is>
      </c>
      <c r="B235" t="n">
        <v>2006</v>
      </c>
      <c r="C235" t="inlineStr">
        <is>
          <t>Traditional</t>
        </is>
      </c>
      <c r="D235">
        <f>TRUE()</f>
        <v/>
      </c>
      <c r="E235">
        <f>COUNTIF(connections!A:A, A235) &gt; 0</f>
        <v/>
      </c>
      <c r="G235" t="inlineStr">
        <is>
          <t>dungeon-crawl-stone-soup</t>
        </is>
      </c>
      <c r="H235" t="inlineStr">
        <is>
          <t>Yes</t>
        </is>
      </c>
      <c r="I235" t="inlineStr">
        <is>
          <t>C:\Users\Owner\Documents\Roguelike Roguelike\Roguelikes\Dungeon Crawl - tiles.lnk</t>
        </is>
      </c>
    </row>
    <row r="236" ht="15" customHeight="1">
      <c r="A236" t="inlineStr">
        <is>
          <t>Dungeon Deathball</t>
        </is>
      </c>
      <c r="B236" t="n">
        <v>2021</v>
      </c>
      <c r="C236" t="inlineStr">
        <is>
          <t>Strategy</t>
        </is>
      </c>
      <c r="D236">
        <f>FALSE()</f>
        <v/>
      </c>
      <c r="E236">
        <f>COUNTIF(connections!A:A, A236) &gt; 0</f>
        <v/>
      </c>
      <c r="F236" t="inlineStr">
        <is>
          <t>sports</t>
        </is>
      </c>
      <c r="G236" t="inlineStr">
        <is>
          <t>dungeon-deathball</t>
        </is>
      </c>
      <c r="H236" t="inlineStr">
        <is>
          <t>Yes</t>
        </is>
      </c>
      <c r="I236" t="inlineStr">
        <is>
          <t>C:\Users\Owner\Documents\Roguelike Roguelike\Roguelikes\Dungeon Deathball.url</t>
        </is>
      </c>
      <c r="J236" s="1" t="inlineStr">
        <is>
          <t>https://store.steampowered.com/app/861330/Dungeon_Deathball/</t>
        </is>
      </c>
    </row>
    <row r="237" ht="15" customHeight="1">
      <c r="A237" t="inlineStr">
        <is>
          <t>Dungeon Drafters</t>
        </is>
      </c>
      <c r="B237" t="n">
        <v>2023</v>
      </c>
      <c r="C237" t="inlineStr">
        <is>
          <t>Traditional</t>
        </is>
      </c>
      <c r="D237">
        <f>TRUE()</f>
        <v/>
      </c>
      <c r="E237">
        <f>COUNTIF(connections!A:A, A237) &gt; 0</f>
        <v/>
      </c>
      <c r="G237" t="inlineStr">
        <is>
          <t>dungeon-drafters</t>
        </is>
      </c>
      <c r="H237" t="inlineStr">
        <is>
          <t>Yes</t>
        </is>
      </c>
      <c r="I237" t="inlineStr">
        <is>
          <t>C:\Users\Owner\Documents\Roguelike Roguelike\Roguelikes\Dungeon Drafters.url</t>
        </is>
      </c>
      <c r="J237" s="11" t="inlineStr">
        <is>
          <t>https://store.steampowered.com/app/1824580/Dungeon_Drafters/</t>
        </is>
      </c>
    </row>
    <row r="238" ht="15" customHeight="1">
      <c r="A238" t="inlineStr">
        <is>
          <t>Dungeon Hack</t>
        </is>
      </c>
      <c r="B238" t="n">
        <v>1993</v>
      </c>
      <c r="C238" t="inlineStr">
        <is>
          <t>Action</t>
        </is>
      </c>
      <c r="D238">
        <f>FALSE()</f>
        <v/>
      </c>
      <c r="E238">
        <f>COUNTIF(connections!A:A, A238) &gt; 0</f>
        <v/>
      </c>
      <c r="G238" t="inlineStr">
        <is>
          <t>dungeon-hack</t>
        </is>
      </c>
    </row>
    <row r="239" ht="15" customHeight="1">
      <c r="A239" t="inlineStr">
        <is>
          <t>Dungeon of Windaria</t>
        </is>
      </c>
      <c r="B239" t="n">
        <v>2008</v>
      </c>
      <c r="C239" t="inlineStr">
        <is>
          <t>Traditional</t>
        </is>
      </c>
      <c r="D239">
        <f>TRUE()</f>
        <v/>
      </c>
      <c r="E239">
        <f>COUNTIF(connections!A:A, A239) &gt; 0</f>
        <v/>
      </c>
      <c r="G239" t="inlineStr">
        <is>
          <t>dungeon-of-windaria</t>
        </is>
      </c>
      <c r="H239" t="inlineStr">
        <is>
          <t>Yes</t>
        </is>
      </c>
      <c r="I239" t="inlineStr">
        <is>
          <t>C:\Users\Owner\Documents\Roguelike Roguelike\Roguelikes\Dungeon of Windaria.lnk</t>
        </is>
      </c>
    </row>
    <row r="240" ht="15" customHeight="1">
      <c r="A240" t="inlineStr">
        <is>
          <t>Dungeon Rushers</t>
        </is>
      </c>
      <c r="B240" t="n">
        <v>2016</v>
      </c>
      <c r="C240" t="inlineStr">
        <is>
          <t>Strategy</t>
        </is>
      </c>
      <c r="D240">
        <f>TRUE()</f>
        <v/>
      </c>
      <c r="E240">
        <f>COUNTIF(connections!A:A, A240) &gt; 0</f>
        <v/>
      </c>
      <c r="G240" t="inlineStr">
        <is>
          <t>dungeon-rushers</t>
        </is>
      </c>
      <c r="H240" t="inlineStr">
        <is>
          <t>Yes</t>
        </is>
      </c>
      <c r="I240" t="inlineStr">
        <is>
          <t>C:\Users\Owner\Documents\Roguelike Roguelike\Roguelikes\Dungeon Rushers.url</t>
        </is>
      </c>
      <c r="J240" s="11" t="inlineStr">
        <is>
          <t>https://store.steampowered.com/app/429620/Dungeon_Rushers/</t>
        </is>
      </c>
    </row>
    <row r="241" ht="15" customHeight="1">
      <c r="A241" t="inlineStr">
        <is>
          <t>Dungeonmans</t>
        </is>
      </c>
      <c r="B241" t="n">
        <v>2010</v>
      </c>
      <c r="C241" t="inlineStr">
        <is>
          <t>Traditional</t>
        </is>
      </c>
      <c r="D241">
        <f>TRUE()</f>
        <v/>
      </c>
      <c r="E241">
        <f>COUNTIF(connections!A:A, A241) &gt; 0</f>
        <v/>
      </c>
      <c r="G241" t="inlineStr">
        <is>
          <t>dungeonmans</t>
        </is>
      </c>
      <c r="H241" t="inlineStr">
        <is>
          <t>Yes</t>
        </is>
      </c>
      <c r="I241" t="inlineStr">
        <is>
          <t>C:\Users\Owner\Documents\Roguelike Roguelike\Roguelikes\Dungeonmans.url</t>
        </is>
      </c>
      <c r="J241" s="1" t="inlineStr">
        <is>
          <t>https://store.steampowered.com/app/288120/Dungeonmans/</t>
        </is>
      </c>
    </row>
    <row r="242" ht="15" customHeight="1">
      <c r="A242" t="inlineStr">
        <is>
          <t>Dungeons &amp; Degenerate Gamblers</t>
        </is>
      </c>
      <c r="B242" t="n">
        <v>2024</v>
      </c>
      <c r="C242" t="inlineStr">
        <is>
          <t>Deckbuilder</t>
        </is>
      </c>
      <c r="D242">
        <f>TRUE()</f>
        <v/>
      </c>
      <c r="E242">
        <f>COUNTIF(connections!A:A, A242) &gt; 0</f>
        <v/>
      </c>
      <c r="F242" t="inlineStr">
        <is>
          <t>casino</t>
        </is>
      </c>
      <c r="G242" t="inlineStr">
        <is>
          <t>dungeons-degenerate-gamblers</t>
        </is>
      </c>
      <c r="H242" t="inlineStr">
        <is>
          <t>Yes</t>
        </is>
      </c>
      <c r="I242" t="inlineStr">
        <is>
          <t>C:\Users\Owner\Documents\Roguelike Roguelike\Roguelikes\Dungeons &amp; Degenerate Gamblers.url</t>
        </is>
      </c>
      <c r="J242" s="1" t="inlineStr">
        <is>
          <t>https://store.steampowered.com/app/2400510/Dungeons__Degenerate_Gamblers/</t>
        </is>
      </c>
    </row>
    <row r="243" ht="15" customHeight="1">
      <c r="A243" t="inlineStr">
        <is>
          <t>Dungeons of Blood and Dream</t>
        </is>
      </c>
      <c r="B243" t="n">
        <v>2024</v>
      </c>
      <c r="C243" t="inlineStr">
        <is>
          <t>Action</t>
        </is>
      </c>
      <c r="D243">
        <f>TRUE()</f>
        <v/>
      </c>
      <c r="E243">
        <f>COUNTIF(connections!A:A, A243) &gt; 0</f>
        <v/>
      </c>
      <c r="G243" t="inlineStr">
        <is>
          <t>dungeons-of-blood-and-dream</t>
        </is>
      </c>
    </row>
    <row r="244" ht="15" customHeight="1">
      <c r="A244" t="inlineStr">
        <is>
          <t>Dungeons of Dredmor</t>
        </is>
      </c>
      <c r="B244" t="n">
        <v>2011</v>
      </c>
      <c r="C244" t="inlineStr">
        <is>
          <t>Traditional</t>
        </is>
      </c>
      <c r="D244">
        <f>TRUE()</f>
        <v/>
      </c>
      <c r="E244">
        <f>COUNTIF(connections!A:A, A244) &gt; 0</f>
        <v/>
      </c>
      <c r="G244" t="inlineStr">
        <is>
          <t>dungeons-of-dredmor</t>
        </is>
      </c>
      <c r="H244" t="inlineStr">
        <is>
          <t>Yes</t>
        </is>
      </c>
      <c r="I244" t="inlineStr">
        <is>
          <t>C:\Users\Owner\Documents\Roguelike Roguelike\Roguelikes\Dungeons of Dredmor.url</t>
        </is>
      </c>
      <c r="J244" s="1" t="inlineStr">
        <is>
          <t>https://store.steampowered.com/app/98800/Dungeons_of_Dredmor/</t>
        </is>
      </c>
    </row>
    <row r="245" ht="15" customHeight="1">
      <c r="A245" t="inlineStr">
        <is>
          <t>Dungreed</t>
        </is>
      </c>
      <c r="B245" t="n">
        <v>2018</v>
      </c>
      <c r="C245" t="inlineStr">
        <is>
          <t>Action</t>
        </is>
      </c>
      <c r="D245">
        <f>TRUE()</f>
        <v/>
      </c>
      <c r="E245">
        <f>COUNTIF(connections!A:A, A245) &gt; 0</f>
        <v/>
      </c>
      <c r="G245" t="inlineStr">
        <is>
          <t>dungreed</t>
        </is>
      </c>
      <c r="H245" t="inlineStr">
        <is>
          <t>Yes</t>
        </is>
      </c>
      <c r="I245" t="inlineStr">
        <is>
          <t>C:\Users\Owner\Documents\Roguelike Roguelike\Roguelikes\Dungreed.url</t>
        </is>
      </c>
      <c r="J245" s="1" t="inlineStr">
        <is>
          <t>https://store.steampowered.com/app/753420/Dungreed/</t>
        </is>
      </c>
    </row>
    <row r="246" ht="15" customHeight="1">
      <c r="A246" t="inlineStr">
        <is>
          <t>Dunjungle</t>
        </is>
      </c>
      <c r="B246" t="n">
        <v>2025</v>
      </c>
      <c r="C246" t="inlineStr">
        <is>
          <t>Action</t>
        </is>
      </c>
      <c r="D246">
        <f>TRUE()</f>
        <v/>
      </c>
      <c r="E246">
        <f>COUNTIF(connections!A:A, A246) &gt; 0</f>
        <v/>
      </c>
      <c r="G246" t="inlineStr">
        <is>
          <t>dunjungle</t>
        </is>
      </c>
    </row>
    <row r="247" ht="15" customHeight="1">
      <c r="A247" t="inlineStr">
        <is>
          <t>Dwarf Fortress</t>
        </is>
      </c>
      <c r="B247" t="n">
        <v>2006</v>
      </c>
      <c r="C247" t="inlineStr">
        <is>
          <t>Strategy</t>
        </is>
      </c>
      <c r="D247">
        <f>TRUE()</f>
        <v/>
      </c>
      <c r="E247">
        <f>COUNTIF(connections!A:A, A247) &gt; 0</f>
        <v/>
      </c>
      <c r="G247" t="inlineStr">
        <is>
          <t>dwarf-fortress</t>
        </is>
      </c>
      <c r="H247" t="inlineStr">
        <is>
          <t>Yes</t>
        </is>
      </c>
      <c r="I247" t="inlineStr">
        <is>
          <t>C:\Users\Owner\Documents\Roguelike Roguelike\Roguelikes\Dwarf Fortress.url</t>
        </is>
      </c>
      <c r="J247" s="1" t="inlineStr">
        <is>
          <t>https://store.steampowered.com/app/975370/Dwarf_Fortress/</t>
        </is>
      </c>
    </row>
    <row r="248" ht="15" customHeight="1">
      <c r="A248" t="inlineStr">
        <is>
          <t>Dwarves: Glory, Death and Loot</t>
        </is>
      </c>
      <c r="B248" t="n">
        <v>2023</v>
      </c>
      <c r="C248" t="inlineStr">
        <is>
          <t>Strategy</t>
        </is>
      </c>
      <c r="D248">
        <f>TRUE()</f>
        <v/>
      </c>
      <c r="E248">
        <f>COUNTIF(connections!A:A, A248) &gt; 0</f>
        <v/>
      </c>
      <c r="G248" t="inlineStr">
        <is>
          <t>dwarves-glory-death-and-loot</t>
        </is>
      </c>
    </row>
    <row r="249" ht="15" customHeight="1">
      <c r="A249" t="inlineStr">
        <is>
          <t>Elden Ring Nightreign</t>
        </is>
      </c>
      <c r="B249" t="n">
        <v>2025</v>
      </c>
      <c r="C249" t="inlineStr">
        <is>
          <t>Action</t>
        </is>
      </c>
      <c r="D249">
        <f>TRUE()</f>
        <v/>
      </c>
      <c r="E249">
        <f>COUNTIF(connections!A:A, A249) &gt; 0</f>
        <v/>
      </c>
      <c r="G249" t="inlineStr">
        <is>
          <t>elden-ring-nightreign</t>
        </is>
      </c>
      <c r="H249" t="inlineStr">
        <is>
          <t>Yes</t>
        </is>
      </c>
      <c r="I249" t="inlineStr">
        <is>
          <t>C:\Users\Owner\Documents\Roguelike Roguelike\Roguelikes\ELDEN RING NIGHTREIGN.url</t>
        </is>
      </c>
      <c r="J249" s="1" t="inlineStr">
        <is>
          <t>https://store.steampowered.com/app/2622380/ELDEN_RING_NIGHTREIGN/</t>
        </is>
      </c>
    </row>
    <row r="250" ht="15" customHeight="1">
      <c r="A250" t="inlineStr">
        <is>
          <t>Eldritch</t>
        </is>
      </c>
      <c r="B250" t="n">
        <v>2013</v>
      </c>
      <c r="C250" t="inlineStr">
        <is>
          <t>Action</t>
        </is>
      </c>
      <c r="D250">
        <f>TRUE()</f>
        <v/>
      </c>
      <c r="E250">
        <f>COUNTIF(connections!A:A, A250) &gt; 0</f>
        <v/>
      </c>
      <c r="G250" t="inlineStr">
        <is>
          <t>eldritch</t>
        </is>
      </c>
      <c r="J250" s="11" t="inlineStr">
        <is>
          <t>https://store.steampowered.com/app/252630/Eldritch/</t>
        </is>
      </c>
    </row>
    <row r="251" ht="15" customHeight="1">
      <c r="A251" t="inlineStr">
        <is>
          <t>Elemental Survivors</t>
        </is>
      </c>
      <c r="B251" t="n">
        <v>2023</v>
      </c>
      <c r="C251" t="inlineStr">
        <is>
          <t>Action</t>
        </is>
      </c>
      <c r="D251">
        <f>TRUE()</f>
        <v/>
      </c>
      <c r="E251">
        <f>COUNTIF(connections!A:A, A251) &gt; 0</f>
        <v/>
      </c>
      <c r="G251" t="inlineStr">
        <is>
          <t>elemental-survivors</t>
        </is>
      </c>
      <c r="H251" t="inlineStr">
        <is>
          <t>Yes</t>
        </is>
      </c>
      <c r="I251" t="inlineStr">
        <is>
          <t>C:\Users\Owner\Documents\Roguelike Roguelike\Roguelikes\Elemental Survivors.url</t>
        </is>
      </c>
      <c r="J251" s="1" t="inlineStr">
        <is>
          <t>https://store.steampowered.com/app/2217740/Kitty_Survivors_Rogues_of_Catmere/</t>
        </is>
      </c>
    </row>
    <row r="252" ht="15" customHeight="1">
      <c r="A252" t="inlineStr">
        <is>
          <t>Elewar: Fused Survivors</t>
        </is>
      </c>
      <c r="B252" t="n">
        <v>2023</v>
      </c>
      <c r="C252" t="inlineStr">
        <is>
          <t>Action</t>
        </is>
      </c>
      <c r="D252">
        <f>TRUE()</f>
        <v/>
      </c>
      <c r="E252">
        <f>COUNTIF(connections!A:A, A252) &gt; 0</f>
        <v/>
      </c>
      <c r="G252" t="inlineStr">
        <is>
          <t>elewar-fused-survivors</t>
        </is>
      </c>
      <c r="H252" t="inlineStr">
        <is>
          <t>Yes</t>
        </is>
      </c>
      <c r="I252" t="inlineStr">
        <is>
          <t>C:\Users\Owner\Documents\Roguelike Roguelike\Roguelikes\Elewar Fused Survivors.url</t>
        </is>
      </c>
      <c r="J252" s="11" t="inlineStr">
        <is>
          <t>https://store.steampowered.com/app/2489560/Elewar_Fused_Survivors/</t>
        </is>
      </c>
    </row>
    <row r="253" ht="15" customHeight="1">
      <c r="A253" t="inlineStr">
        <is>
          <t>Elin</t>
        </is>
      </c>
      <c r="B253" t="n">
        <v>2024</v>
      </c>
      <c r="C253" t="inlineStr">
        <is>
          <t>Traditional</t>
        </is>
      </c>
      <c r="D253">
        <f>TRUE()</f>
        <v/>
      </c>
      <c r="E253">
        <f>COUNTIF(connections!A:A, A253) &gt; 0</f>
        <v/>
      </c>
      <c r="G253" t="inlineStr">
        <is>
          <t>elin</t>
        </is>
      </c>
    </row>
    <row r="254" ht="15" customHeight="1">
      <c r="A254" t="inlineStr">
        <is>
          <t>Elona</t>
        </is>
      </c>
      <c r="B254" t="n">
        <v>2008</v>
      </c>
      <c r="C254" t="inlineStr">
        <is>
          <t>Traditional</t>
        </is>
      </c>
      <c r="D254">
        <f>TRUE()</f>
        <v/>
      </c>
      <c r="E254">
        <f>COUNTIF(connections!A:A, A254) &gt; 0</f>
        <v/>
      </c>
      <c r="G254" t="inlineStr">
        <is>
          <t>elona</t>
        </is>
      </c>
    </row>
    <row r="255" ht="15" customHeight="1">
      <c r="A255" t="inlineStr">
        <is>
          <t>Ember Knights</t>
        </is>
      </c>
      <c r="B255" t="n">
        <v>2022</v>
      </c>
      <c r="C255" t="inlineStr">
        <is>
          <t>Action</t>
        </is>
      </c>
      <c r="D255">
        <f>TRUE()</f>
        <v/>
      </c>
      <c r="E255">
        <f>COUNTIF(connections!A:A, A255) &gt; 0</f>
        <v/>
      </c>
      <c r="F255" t="inlineStr">
        <is>
          <t>knights</t>
        </is>
      </c>
      <c r="G255" t="inlineStr">
        <is>
          <t>ember-knights</t>
        </is>
      </c>
      <c r="H255" t="inlineStr">
        <is>
          <t>Yes</t>
        </is>
      </c>
      <c r="I255" t="inlineStr">
        <is>
          <t>C:\Users\Owner\Documents\Roguelike Roguelike\Roguelikes\Ember Knights.url</t>
        </is>
      </c>
      <c r="J255" s="1" t="inlineStr">
        <is>
          <t>https://store.steampowered.com/app/1135230/Ember_Knights/</t>
        </is>
      </c>
    </row>
    <row r="256" ht="15" customHeight="1">
      <c r="A256" t="inlineStr">
        <is>
          <t>Emberward</t>
        </is>
      </c>
      <c r="B256" t="n">
        <v>2024</v>
      </c>
      <c r="C256" t="inlineStr">
        <is>
          <t>Strategy</t>
        </is>
      </c>
      <c r="D256">
        <f>TRUE()</f>
        <v/>
      </c>
      <c r="E256">
        <f>COUNTIF(connections!A:A, A256) &gt; 0</f>
        <v/>
      </c>
      <c r="F256" t="inlineStr">
        <is>
          <t>tower defense</t>
        </is>
      </c>
      <c r="G256" t="inlineStr">
        <is>
          <t>emberward</t>
        </is>
      </c>
      <c r="H256" t="inlineStr">
        <is>
          <t>Yes</t>
        </is>
      </c>
      <c r="I256" t="inlineStr">
        <is>
          <t>C:\Users\Owner\Documents\Roguelike Roguelike\Roguelikes\Emberward.url</t>
        </is>
      </c>
      <c r="J256" s="1" t="inlineStr">
        <is>
          <t>https://store.steampowered.com/app/2459550/Emberward/</t>
        </is>
      </c>
    </row>
    <row r="257" ht="15" customHeight="1">
      <c r="A257" t="inlineStr">
        <is>
          <t>Endgame of Devil</t>
        </is>
      </c>
      <c r="B257" t="n">
        <v>2023</v>
      </c>
      <c r="C257" t="inlineStr">
        <is>
          <t>Deckbuilder</t>
        </is>
      </c>
      <c r="D257">
        <f>TRUE()</f>
        <v/>
      </c>
      <c r="E257">
        <f>COUNTIF(connections!A:A, A257) &gt; 0</f>
        <v/>
      </c>
      <c r="G257" t="inlineStr">
        <is>
          <t>endgame-of-devil</t>
        </is>
      </c>
      <c r="H257" t="inlineStr">
        <is>
          <t>Yes</t>
        </is>
      </c>
      <c r="I257" t="inlineStr">
        <is>
          <t>C:\Users\Owner\Documents\Roguelike Roguelike\Roguelikes\Endgame of Devil.url</t>
        </is>
      </c>
      <c r="J257" s="1" t="inlineStr">
        <is>
          <t>https://store.steampowered.com/app/2343600/Endgame_of_Devil/</t>
        </is>
      </c>
    </row>
    <row r="258" ht="15" customHeight="1">
      <c r="A258" t="inlineStr">
        <is>
          <t>Endless Alice</t>
        </is>
      </c>
      <c r="B258" t="n">
        <v>2025</v>
      </c>
      <c r="C258" t="inlineStr">
        <is>
          <t>Action</t>
        </is>
      </c>
      <c r="D258">
        <f>TRUE()</f>
        <v/>
      </c>
      <c r="E258">
        <f>COUNTIF(connections!A:A, A258) &gt; 0</f>
        <v/>
      </c>
      <c r="G258" t="inlineStr">
        <is>
          <t>endless-alice</t>
        </is>
      </c>
      <c r="H258" t="inlineStr">
        <is>
          <t>Yes</t>
        </is>
      </c>
      <c r="I258" t="inlineStr">
        <is>
          <t>C:\Users\Owner\Documents\Roguelike Roguelike\Roguelikes\Endless Alice.url</t>
        </is>
      </c>
      <c r="J258" s="1" t="inlineStr">
        <is>
          <t>https://store.steampowered.com/app/1425000/Endless_Alice/</t>
        </is>
      </c>
    </row>
    <row r="259" ht="15" customHeight="1">
      <c r="A259" t="inlineStr">
        <is>
          <t>Enter the Gungeon</t>
        </is>
      </c>
      <c r="B259" t="n">
        <v>2016</v>
      </c>
      <c r="C259" t="inlineStr">
        <is>
          <t>Action</t>
        </is>
      </c>
      <c r="D259">
        <f>TRUE()</f>
        <v/>
      </c>
      <c r="E259">
        <f>COUNTIF(connections!A:A, A259) &gt; 0</f>
        <v/>
      </c>
      <c r="G259" t="inlineStr">
        <is>
          <t>enter-the-gungeon</t>
        </is>
      </c>
      <c r="H259" t="inlineStr">
        <is>
          <t>Yes</t>
        </is>
      </c>
      <c r="I259" t="inlineStr">
        <is>
          <t>C:\Users\Owner\Documents\Roguelike Roguelike\Roguelikes\Enter the Gungeon.url</t>
        </is>
      </c>
      <c r="J259" s="1" t="inlineStr">
        <is>
          <t>https://store.steampowered.com/app/311690/Enter_the_Gungeon/</t>
        </is>
      </c>
    </row>
    <row r="260" ht="15" customHeight="1">
      <c r="A260" t="inlineStr">
        <is>
          <t>Escape The Mad Empire</t>
        </is>
      </c>
      <c r="B260" t="n">
        <v>2025</v>
      </c>
      <c r="C260" t="inlineStr">
        <is>
          <t>Strategy</t>
        </is>
      </c>
      <c r="D260">
        <f>TRUE()</f>
        <v/>
      </c>
      <c r="E260">
        <f>COUNTIF(connections!A:A, A260) &gt; 0</f>
        <v/>
      </c>
      <c r="G260" t="inlineStr">
        <is>
          <t>escape-the-mad-empire</t>
        </is>
      </c>
    </row>
    <row r="261" ht="15" customHeight="1">
      <c r="A261" t="inlineStr">
        <is>
          <t>Eternal Quest</t>
        </is>
      </c>
      <c r="B261" t="n">
        <v>2004</v>
      </c>
      <c r="C261" t="inlineStr">
        <is>
          <t>Traditional</t>
        </is>
      </c>
      <c r="D261">
        <f>TRUE()</f>
        <v/>
      </c>
      <c r="E261">
        <f>COUNTIF(connections!A:A, A261) &gt; 0</f>
        <v/>
      </c>
      <c r="G261" t="inlineStr">
        <is>
          <t>eternal-quest</t>
        </is>
      </c>
      <c r="H261" t="inlineStr">
        <is>
          <t>Yes</t>
        </is>
      </c>
      <c r="I261" t="inlineStr">
        <is>
          <t>C:\Users\Owner\Documents\Roguelike Roguelike\Roguelikes\Eternal Quest.lnk</t>
        </is>
      </c>
    </row>
    <row r="262" ht="15" customHeight="1">
      <c r="A262" t="inlineStr">
        <is>
          <t>Etrian Mystery Dungeon</t>
        </is>
      </c>
      <c r="B262" t="n">
        <v>2015</v>
      </c>
      <c r="C262" t="inlineStr">
        <is>
          <t>Traditional</t>
        </is>
      </c>
      <c r="D262">
        <f>TRUE()</f>
        <v/>
      </c>
      <c r="E262">
        <f>COUNTIF(connections!A:A, A262) &gt; 0</f>
        <v/>
      </c>
      <c r="G262" t="inlineStr">
        <is>
          <t>etrian-mystery-dungeon</t>
        </is>
      </c>
    </row>
    <row r="263" ht="15" customHeight="1">
      <c r="A263" t="inlineStr">
        <is>
          <t>Etrian Mystery Dungeon 2</t>
        </is>
      </c>
      <c r="B263" t="n">
        <v>2017</v>
      </c>
      <c r="C263" t="inlineStr">
        <is>
          <t>Traditional</t>
        </is>
      </c>
      <c r="D263">
        <f>TRUE()</f>
        <v/>
      </c>
      <c r="E263">
        <f>COUNTIF(connections!A:A, A263) &gt; 0</f>
        <v/>
      </c>
      <c r="G263" t="inlineStr">
        <is>
          <t>etrian-mystery-dungeon-2</t>
        </is>
      </c>
    </row>
    <row r="264" ht="15" customHeight="1">
      <c r="A264" t="inlineStr">
        <is>
          <t>Everything is Crab</t>
        </is>
      </c>
      <c r="B264" t="n">
        <v>2026</v>
      </c>
      <c r="C264" t="inlineStr">
        <is>
          <t>Action</t>
        </is>
      </c>
      <c r="D264">
        <f>TRUE()</f>
        <v/>
      </c>
      <c r="E264">
        <f>COUNTIF(connections!A:A, A264) &gt; 0</f>
        <v/>
      </c>
      <c r="G264" t="inlineStr">
        <is>
          <t>everything-is-crab</t>
        </is>
      </c>
      <c r="H264" t="inlineStr">
        <is>
          <t>Yes</t>
        </is>
      </c>
      <c r="I264" t="inlineStr">
        <is>
          <t>C:\Users\Owner\Documents\Roguelike Roguelike\Roguelikes\Everything is Crab.url</t>
        </is>
      </c>
      <c r="J264" s="1" t="inlineStr">
        <is>
          <t>https://store.steampowered.com/app/3526710/Everything_is_Crab_The_Animal_Evolution_Roguelite/</t>
        </is>
      </c>
    </row>
    <row r="265" ht="15" customHeight="1">
      <c r="A265" t="inlineStr">
        <is>
          <t>Evolings</t>
        </is>
      </c>
      <c r="B265" t="n">
        <v>2023</v>
      </c>
      <c r="C265" t="inlineStr">
        <is>
          <t>Action</t>
        </is>
      </c>
      <c r="D265">
        <f>FALSE()</f>
        <v/>
      </c>
      <c r="E265">
        <f>COUNTIF(connections!A:A, A265) &gt; 0</f>
        <v/>
      </c>
      <c r="G265" t="inlineStr">
        <is>
          <t>evolings</t>
        </is>
      </c>
      <c r="H265" t="inlineStr">
        <is>
          <t>Yes</t>
        </is>
      </c>
      <c r="I265" t="inlineStr">
        <is>
          <t>C:\Users\Owner\Documents\Roguelike Roguelike\Roguelikes\Evolings.url</t>
        </is>
      </c>
      <c r="J265" s="1" t="inlineStr">
        <is>
          <t>https://store.steampowered.com/app/2281820/Evolings/</t>
        </is>
      </c>
    </row>
    <row r="266" ht="15" customHeight="1">
      <c r="A266" t="inlineStr">
        <is>
          <t>Exit the Gungeon</t>
        </is>
      </c>
      <c r="B266" t="n">
        <v>2020</v>
      </c>
      <c r="C266" t="inlineStr">
        <is>
          <t>Action</t>
        </is>
      </c>
      <c r="D266">
        <f>TRUE()</f>
        <v/>
      </c>
      <c r="E266">
        <f>COUNTIF(connections!A:A, A266) &gt; 0</f>
        <v/>
      </c>
      <c r="G266" t="inlineStr">
        <is>
          <t>exit-the-gungeon</t>
        </is>
      </c>
      <c r="H266" t="inlineStr">
        <is>
          <t>Yes</t>
        </is>
      </c>
      <c r="I266" t="inlineStr">
        <is>
          <t>C:\Users\Owner\Documents\Roguelike Roguelike\Roguelikes\Exit the Gungeon.url</t>
        </is>
      </c>
      <c r="J266" s="1" t="inlineStr">
        <is>
          <t>https://store.steampowered.com/app/1209490/Exit_the_Gungeon/</t>
        </is>
      </c>
    </row>
    <row r="267" ht="15" customHeight="1">
      <c r="A267" t="inlineStr">
        <is>
          <t>Facehand</t>
        </is>
      </c>
      <c r="B267" t="n">
        <v>2024</v>
      </c>
      <c r="C267" t="inlineStr">
        <is>
          <t>Deckbuilder</t>
        </is>
      </c>
      <c r="D267">
        <f>TRUE()</f>
        <v/>
      </c>
      <c r="E267">
        <f>COUNTIF(connections!A:A, A267) &gt; 0</f>
        <v/>
      </c>
      <c r="G267" t="inlineStr">
        <is>
          <t>facehand</t>
        </is>
      </c>
      <c r="H267" t="inlineStr">
        <is>
          <t>Yes</t>
        </is>
      </c>
      <c r="I267" t="inlineStr">
        <is>
          <t>C:\Users\Owner\Documents\Roguelike Roguelike\Roguelikes\Facehand.url</t>
        </is>
      </c>
      <c r="J267" s="1" t="inlineStr">
        <is>
          <t>https://store.steampowered.com/app/2605600/Facehand/</t>
        </is>
      </c>
    </row>
    <row r="268" ht="15" customHeight="1">
      <c r="A268" t="inlineStr">
        <is>
          <t>Fairy Tail: Dungeons</t>
        </is>
      </c>
      <c r="B268" t="n">
        <v>2024</v>
      </c>
      <c r="C268" t="inlineStr">
        <is>
          <t>Deckbuilder</t>
        </is>
      </c>
      <c r="D268">
        <f>FALSE()</f>
        <v/>
      </c>
      <c r="E268">
        <f>COUNTIF(connections!A:A, A268) &gt; 0</f>
        <v/>
      </c>
      <c r="F268" t="inlineStr">
        <is>
          <t>anime</t>
        </is>
      </c>
      <c r="G268" t="inlineStr">
        <is>
          <t>fairy-tail-dungeons</t>
        </is>
      </c>
      <c r="H268" t="inlineStr">
        <is>
          <t>Yes</t>
        </is>
      </c>
      <c r="I268" t="inlineStr">
        <is>
          <t>C:\Users\Owner\Documents\Roguelike Roguelike\Roguelikes\FAIRY TAIL DUNGEONS.url</t>
        </is>
      </c>
      <c r="J268" s="1" t="inlineStr">
        <is>
          <t>https://store.steampowered.com/app/2305500/FAIRY_TAIL_DUNGEONS/</t>
        </is>
      </c>
    </row>
    <row r="269" ht="15" customHeight="1">
      <c r="A269" t="inlineStr">
        <is>
          <t>Fatal Labyrinth</t>
        </is>
      </c>
      <c r="B269" t="n">
        <v>1990</v>
      </c>
      <c r="C269" t="inlineStr">
        <is>
          <t>Traditional</t>
        </is>
      </c>
      <c r="D269">
        <f>TRUE()</f>
        <v/>
      </c>
      <c r="E269">
        <f>COUNTIF(connections!A:A, A269) &gt; 0</f>
        <v/>
      </c>
      <c r="G269" t="inlineStr">
        <is>
          <t>fatal-labyrinth</t>
        </is>
      </c>
      <c r="H269" t="inlineStr">
        <is>
          <t>Yes</t>
        </is>
      </c>
      <c r="I269" t="inlineStr">
        <is>
          <t>C:\Users\Owner\Documents\Roguelike Roguelike\Roguelikes\Fatal Labyrinth.lnk</t>
        </is>
      </c>
    </row>
    <row r="270" ht="15" customHeight="1">
      <c r="A270" t="inlineStr">
        <is>
          <t>Fear &amp; Hunger</t>
        </is>
      </c>
      <c r="B270" t="n">
        <v>2018</v>
      </c>
      <c r="C270" t="inlineStr">
        <is>
          <t>Strategy</t>
        </is>
      </c>
      <c r="D270">
        <f>TRUE()</f>
        <v/>
      </c>
      <c r="E270">
        <f>COUNTIF(connections!A:A, A270) &gt; 0</f>
        <v/>
      </c>
      <c r="G270" t="inlineStr">
        <is>
          <t>fear-hunger</t>
        </is>
      </c>
    </row>
    <row r="271" ht="15" customHeight="1">
      <c r="A271" t="inlineStr">
        <is>
          <t>Feed the Deep</t>
        </is>
      </c>
      <c r="B271" t="n">
        <v>2024</v>
      </c>
      <c r="C271" t="inlineStr">
        <is>
          <t>Strategy</t>
        </is>
      </c>
      <c r="D271">
        <f>TRUE()</f>
        <v/>
      </c>
      <c r="E271">
        <f>COUNTIF(connections!A:A, A271) &gt; 0</f>
        <v/>
      </c>
      <c r="F271" t="inlineStr">
        <is>
          <t>maritime</t>
        </is>
      </c>
      <c r="G271" t="inlineStr">
        <is>
          <t>feed-the-deep</t>
        </is>
      </c>
      <c r="H271" t="inlineStr">
        <is>
          <t>Yes</t>
        </is>
      </c>
      <c r="I271" t="inlineStr">
        <is>
          <t>C:\Users\Owner\Documents\Roguelike Roguelike\Roguelikes\Feed the Deep.url</t>
        </is>
      </c>
      <c r="J271" s="1" t="inlineStr">
        <is>
          <t>https://store.steampowered.com/app/2332260/Feed_the_Deep/</t>
        </is>
      </c>
    </row>
    <row r="272" ht="15" customHeight="1">
      <c r="A272" t="inlineStr">
        <is>
          <t>Fights in Tight Spaces</t>
        </is>
      </c>
      <c r="B272" t="n">
        <v>2021</v>
      </c>
      <c r="C272" t="inlineStr">
        <is>
          <t>Deckbuilder</t>
        </is>
      </c>
      <c r="D272">
        <f>TRUE()</f>
        <v/>
      </c>
      <c r="E272">
        <f>COUNTIF(connections!A:A, A272) &gt; 0</f>
        <v/>
      </c>
      <c r="G272" t="inlineStr">
        <is>
          <t>fights-in-tight-spaces</t>
        </is>
      </c>
      <c r="H272" t="inlineStr">
        <is>
          <t>Yes</t>
        </is>
      </c>
      <c r="I272" t="inlineStr">
        <is>
          <t>C:\Users\Owner\Documents\Roguelike Roguelike\Roguelikes\Fights in Tight Spaces.url</t>
        </is>
      </c>
      <c r="J272" s="1" t="inlineStr">
        <is>
          <t>https://store.steampowered.com/app/1265820/Fights_in_Tight_Spaces/</t>
        </is>
      </c>
    </row>
    <row r="273" ht="15" customHeight="1">
      <c r="A273" t="inlineStr">
        <is>
          <t>Final Fantasy Fables: Chocobo's Dungeon</t>
        </is>
      </c>
      <c r="B273" t="n">
        <v>2007</v>
      </c>
      <c r="C273" t="inlineStr">
        <is>
          <t>Traditional</t>
        </is>
      </c>
      <c r="D273">
        <f>TRUE()</f>
        <v/>
      </c>
      <c r="E273">
        <f>COUNTIF(connections!A:A, A273) &gt; 0</f>
        <v/>
      </c>
      <c r="G273" t="inlineStr">
        <is>
          <t>final-fantasy-fables-chocobos-dungeon</t>
        </is>
      </c>
      <c r="H273" t="inlineStr">
        <is>
          <t>Yes</t>
        </is>
      </c>
      <c r="I273" t="inlineStr">
        <is>
          <t>C:\Users\Owner\Documents\Roguelike Roguelike\Roguelikes\Final Fantasy Fables Chocobo's Dungeon.lnk</t>
        </is>
      </c>
    </row>
    <row r="274" ht="15" customHeight="1">
      <c r="A274" t="inlineStr">
        <is>
          <t>Fish Fear Me</t>
        </is>
      </c>
      <c r="B274" t="n">
        <v>2024</v>
      </c>
      <c r="C274" t="inlineStr">
        <is>
          <t>Action</t>
        </is>
      </c>
      <c r="D274">
        <f>TRUE()</f>
        <v/>
      </c>
      <c r="E274">
        <f>COUNTIF(connections!A:A, A274) &gt; 0</f>
        <v/>
      </c>
      <c r="F274" t="inlineStr">
        <is>
          <t>maritime</t>
        </is>
      </c>
      <c r="G274" t="inlineStr">
        <is>
          <t>fish-fear-me</t>
        </is>
      </c>
      <c r="H274" t="inlineStr">
        <is>
          <t>Yes</t>
        </is>
      </c>
      <c r="I274" t="inlineStr">
        <is>
          <t>C:\Users\Owner\Documents\Roguelike Roguelike\Roguelikes\FISH FEAR ME.url</t>
        </is>
      </c>
      <c r="J274" s="1" t="inlineStr">
        <is>
          <t>https://store.steampowered.com/app/3000120/FISH_FEAR_ME/</t>
        </is>
      </c>
    </row>
    <row r="275" ht="15" customHeight="1">
      <c r="A275" t="inlineStr">
        <is>
          <t>FLERP</t>
        </is>
      </c>
      <c r="B275" t="n">
        <v>2022</v>
      </c>
      <c r="C275" t="inlineStr">
        <is>
          <t>Action</t>
        </is>
      </c>
      <c r="D275">
        <f>TRUE()</f>
        <v/>
      </c>
      <c r="E275">
        <f>COUNTIF(connections!A:A, A275) &gt; 0</f>
        <v/>
      </c>
      <c r="G275" t="inlineStr">
        <is>
          <t>flerp</t>
        </is>
      </c>
    </row>
    <row r="276" ht="15" customHeight="1">
      <c r="A276" t="inlineStr">
        <is>
          <t>Flick Shot Rogues</t>
        </is>
      </c>
      <c r="B276" t="n">
        <v>2025</v>
      </c>
      <c r="C276" t="inlineStr">
        <is>
          <t>Strategy</t>
        </is>
      </c>
      <c r="D276">
        <f>FALSE()</f>
        <v/>
      </c>
      <c r="E276">
        <f>COUNTIF(connections!A:A, A276) &gt; 0</f>
        <v/>
      </c>
      <c r="G276" t="inlineStr">
        <is>
          <t>flick-shot-rogues</t>
        </is>
      </c>
    </row>
    <row r="277" ht="15" customHeight="1">
      <c r="A277" t="inlineStr">
        <is>
          <t>Flinthook</t>
        </is>
      </c>
      <c r="B277" t="n">
        <v>2017</v>
      </c>
      <c r="C277" t="inlineStr">
        <is>
          <t>Action</t>
        </is>
      </c>
      <c r="D277">
        <f>TRUE()</f>
        <v/>
      </c>
      <c r="E277">
        <f>COUNTIF(connections!A:A, A277) &gt; 0</f>
        <v/>
      </c>
      <c r="F277" t="inlineStr">
        <is>
          <t>space</t>
        </is>
      </c>
      <c r="G277" t="inlineStr">
        <is>
          <t>flinthook</t>
        </is>
      </c>
      <c r="H277" t="inlineStr">
        <is>
          <t>Yes</t>
        </is>
      </c>
      <c r="I277" t="inlineStr">
        <is>
          <t>C:\Users\Owner\Documents\Roguelike Roguelike\Roguelikes\Flinthook.url</t>
        </is>
      </c>
      <c r="J277" s="1" t="inlineStr">
        <is>
          <t>https://store.steampowered.com/app/401710/Flinthook/</t>
        </is>
      </c>
    </row>
    <row r="278" ht="15" customHeight="1">
      <c r="A278" t="inlineStr">
        <is>
          <t>Fogpiercer</t>
        </is>
      </c>
      <c r="B278" t="n">
        <v>2026</v>
      </c>
      <c r="C278" t="inlineStr">
        <is>
          <t>Deckbuilder</t>
        </is>
      </c>
      <c r="D278" t="b">
        <v>1</v>
      </c>
      <c r="E278" t="b">
        <v>0</v>
      </c>
      <c r="F278" t="inlineStr">
        <is>
          <t>train</t>
        </is>
      </c>
      <c r="G278" t="inlineStr">
        <is>
          <t>fogpiercer</t>
        </is>
      </c>
      <c r="J278" s="11" t="inlineStr">
        <is>
          <t>https://store.steampowered.com/app/3219010/Fogpiercer/</t>
        </is>
      </c>
    </row>
    <row r="279" ht="15" customHeight="1">
      <c r="A279" t="inlineStr">
        <is>
          <t>Footgun: Underground</t>
        </is>
      </c>
      <c r="B279" t="n">
        <v>2024</v>
      </c>
      <c r="C279" t="inlineStr">
        <is>
          <t>Action</t>
        </is>
      </c>
      <c r="D279">
        <f>FALSE()</f>
        <v/>
      </c>
      <c r="E279">
        <f>COUNTIF(connections!A:A, A279) &gt; 0</f>
        <v/>
      </c>
      <c r="F279" t="inlineStr">
        <is>
          <t>sports</t>
        </is>
      </c>
      <c r="G279" t="inlineStr">
        <is>
          <t>footgun-underground</t>
        </is>
      </c>
      <c r="H279" t="inlineStr">
        <is>
          <t>Yes</t>
        </is>
      </c>
      <c r="I279" t="inlineStr">
        <is>
          <t>C:\Users\Owner\Documents\Roguelike Roguelike\Roguelikes\Footgun Underground.url</t>
        </is>
      </c>
      <c r="J279" s="1" t="inlineStr">
        <is>
          <t>https://store.steampowered.com/app/2206240/Footgun_Underground/</t>
        </is>
      </c>
    </row>
    <row r="280" ht="15" customHeight="1">
      <c r="A280" t="inlineStr">
        <is>
          <t>For the King</t>
        </is>
      </c>
      <c r="B280" t="n">
        <v>2018</v>
      </c>
      <c r="C280" t="inlineStr">
        <is>
          <t>Strategy</t>
        </is>
      </c>
      <c r="D280">
        <f>TRUE()</f>
        <v/>
      </c>
      <c r="E280">
        <f>COUNTIF(connections!A:A, A280) &gt; 0</f>
        <v/>
      </c>
      <c r="G280" t="inlineStr">
        <is>
          <t>for-the-king</t>
        </is>
      </c>
      <c r="H280" t="inlineStr">
        <is>
          <t>Yes</t>
        </is>
      </c>
      <c r="I280" t="inlineStr">
        <is>
          <t>C:\Users\Owner\Documents\Roguelike Roguelike\Roguelikes\For The King.url</t>
        </is>
      </c>
      <c r="J280" s="1" t="inlineStr">
        <is>
          <t>https://store.steampowered.com/app/527230/For_The_King/</t>
        </is>
      </c>
    </row>
    <row r="281" ht="15" customHeight="1">
      <c r="A281" t="inlineStr">
        <is>
          <t>For the King 2</t>
        </is>
      </c>
      <c r="B281" t="n">
        <v>2023</v>
      </c>
      <c r="C281" t="inlineStr">
        <is>
          <t>Strategy</t>
        </is>
      </c>
      <c r="D281">
        <f>TRUE()</f>
        <v/>
      </c>
      <c r="E281">
        <f>COUNTIF(connections!A:A, A281) &gt; 0</f>
        <v/>
      </c>
      <c r="G281" t="inlineStr">
        <is>
          <t>for-the-king-2</t>
        </is>
      </c>
      <c r="H281" t="inlineStr">
        <is>
          <t>Yes</t>
        </is>
      </c>
      <c r="I281" t="inlineStr">
        <is>
          <t>C:\Users\Owner\Documents\Roguelike Roguelike\Roguelikes\For The King II.url</t>
        </is>
      </c>
      <c r="J281" s="1" t="inlineStr">
        <is>
          <t>https://store.steampowered.com/app/1676840/For_The_King_II/</t>
        </is>
      </c>
    </row>
    <row r="282" ht="15" customHeight="1">
      <c r="A282" t="inlineStr">
        <is>
          <t>For The Warp</t>
        </is>
      </c>
      <c r="B282" t="n">
        <v>2020</v>
      </c>
      <c r="C282" t="inlineStr">
        <is>
          <t>Deckbuilder</t>
        </is>
      </c>
      <c r="D282">
        <f>TRUE()</f>
        <v/>
      </c>
      <c r="E282">
        <f>COUNTIF(connections!A:A, A282) &gt; 0</f>
        <v/>
      </c>
      <c r="F282" t="inlineStr">
        <is>
          <t>space</t>
        </is>
      </c>
      <c r="G282" t="inlineStr">
        <is>
          <t>for-the-warp</t>
        </is>
      </c>
      <c r="J282" s="11" t="inlineStr">
        <is>
          <t>https://store.steampowered.com/app/1201830/For_The_Warp/</t>
        </is>
      </c>
    </row>
    <row r="283" ht="15" customHeight="1">
      <c r="A283" t="inlineStr">
        <is>
          <t>Forestrike</t>
        </is>
      </c>
      <c r="B283" t="n">
        <v>2025</v>
      </c>
      <c r="C283" t="inlineStr">
        <is>
          <t>Action</t>
        </is>
      </c>
      <c r="D283">
        <f>FALSE()</f>
        <v/>
      </c>
      <c r="E283">
        <f>COUNTIF(connections!A:A, A283) &gt; 0</f>
        <v/>
      </c>
      <c r="G283" t="inlineStr">
        <is>
          <t>forestrike</t>
        </is>
      </c>
    </row>
    <row r="284" ht="15" customHeight="1">
      <c r="A284" t="inlineStr">
        <is>
          <t>Forward: Escape the Fold</t>
        </is>
      </c>
      <c r="B284" t="n">
        <v>2022</v>
      </c>
      <c r="C284" t="inlineStr">
        <is>
          <t>Strategy</t>
        </is>
      </c>
      <c r="D284">
        <f>TRUE()</f>
        <v/>
      </c>
      <c r="E284">
        <f>COUNTIF(connections!A:A, A284) &gt; 0</f>
        <v/>
      </c>
      <c r="G284" t="inlineStr">
        <is>
          <t>forward-escape-the-fold</t>
        </is>
      </c>
      <c r="H284" t="inlineStr">
        <is>
          <t>Yes</t>
        </is>
      </c>
      <c r="I284" t="inlineStr">
        <is>
          <t>C:\Users\Owner\Documents\Roguelike Roguelike\Roguelikes\Forward Escape the Fold - Ultimate Edition.url</t>
        </is>
      </c>
      <c r="J284" s="1" t="inlineStr">
        <is>
          <t>https://store.steampowered.com/app/1766390/FORWARD_Escape_the_Fold__Ultimate_Edition/</t>
        </is>
      </c>
    </row>
    <row r="285" ht="15" customHeight="1">
      <c r="A285" t="inlineStr">
        <is>
          <t>Freaky Awesome</t>
        </is>
      </c>
      <c r="B285" t="n">
        <v>2017</v>
      </c>
      <c r="C285" t="inlineStr">
        <is>
          <t>Action</t>
        </is>
      </c>
      <c r="D285">
        <f>TRUE()</f>
        <v/>
      </c>
      <c r="E285">
        <f>COUNTIF(connections!A:A, A285) &gt; 0</f>
        <v/>
      </c>
      <c r="G285" t="inlineStr">
        <is>
          <t>freaky-awesome</t>
        </is>
      </c>
      <c r="H285" t="inlineStr">
        <is>
          <t>Yes</t>
        </is>
      </c>
      <c r="I285" t="inlineStr">
        <is>
          <t>C:\Users\Owner\Documents\Roguelike Roguelike\Roguelikes\Freaky Awesome.url</t>
        </is>
      </c>
      <c r="J285" s="1" t="inlineStr">
        <is>
          <t>https://store.steampowered.com/app/622370/Freaky_Awesome/</t>
        </is>
      </c>
    </row>
    <row r="286" ht="15" customHeight="1">
      <c r="A286" t="inlineStr">
        <is>
          <t>From The Top</t>
        </is>
      </c>
      <c r="B286" t="n">
        <v>2025</v>
      </c>
      <c r="C286" t="inlineStr">
        <is>
          <t>Action</t>
        </is>
      </c>
      <c r="D286">
        <f>TRUE()</f>
        <v/>
      </c>
      <c r="E286">
        <f>COUNTIF(connections!A:A, A286) &gt; 0</f>
        <v/>
      </c>
      <c r="G286" t="inlineStr">
        <is>
          <t>from-the-top</t>
        </is>
      </c>
      <c r="H286" t="inlineStr">
        <is>
          <t>Yes</t>
        </is>
      </c>
      <c r="I286" t="inlineStr">
        <is>
          <t>C:\Users\Owner\Documents\Roguelike Roguelike\Roguelikes\From The Top.url</t>
        </is>
      </c>
      <c r="J286" s="1" t="inlineStr">
        <is>
          <t>https://store.steampowered.com/app/3585160/From_The_Top/</t>
        </is>
      </c>
    </row>
    <row r="287" ht="15" customHeight="1">
      <c r="A287" t="inlineStr">
        <is>
          <t>Frozen Depths</t>
        </is>
      </c>
      <c r="B287" t="n">
        <v>2006</v>
      </c>
      <c r="C287" t="inlineStr">
        <is>
          <t>Traditional</t>
        </is>
      </c>
      <c r="D287">
        <f>TRUE()</f>
        <v/>
      </c>
      <c r="E287">
        <f>COUNTIF(connections!A:A, A287) &gt; 0</f>
        <v/>
      </c>
      <c r="G287" t="inlineStr">
        <is>
          <t>frozen-depths</t>
        </is>
      </c>
      <c r="H287" t="inlineStr">
        <is>
          <t>Yes</t>
        </is>
      </c>
      <c r="I287" t="inlineStr">
        <is>
          <t>C:\Users\Owner\Documents\Roguelike Roguelike\Roguelikes\Frozen Depths.lnk</t>
        </is>
      </c>
    </row>
    <row r="288" ht="15" customHeight="1">
      <c r="A288" t="inlineStr">
        <is>
          <t>FTL</t>
        </is>
      </c>
      <c r="B288" t="n">
        <v>2012</v>
      </c>
      <c r="C288" t="inlineStr">
        <is>
          <t>Strategy</t>
        </is>
      </c>
      <c r="D288">
        <f>TRUE()</f>
        <v/>
      </c>
      <c r="E288">
        <f>COUNTIF(connections!A:A, A288) &gt; 0</f>
        <v/>
      </c>
      <c r="F288" t="inlineStr">
        <is>
          <t>space</t>
        </is>
      </c>
      <c r="G288" t="inlineStr">
        <is>
          <t>ftl</t>
        </is>
      </c>
      <c r="H288" t="inlineStr">
        <is>
          <t>Yes</t>
        </is>
      </c>
      <c r="I288" t="inlineStr">
        <is>
          <t>C:\Users\Owner\Documents\Roguelike Roguelike\Roguelikes\FTL Faster Than Light.url</t>
        </is>
      </c>
      <c r="J288" s="1" t="inlineStr">
        <is>
          <t>https://store.steampowered.com/app/212680/FTL_Faster_Than_Light/</t>
        </is>
      </c>
    </row>
    <row r="289" ht="15" customHeight="1">
      <c r="A289" t="inlineStr">
        <is>
          <t>Full Mojo Rampage</t>
        </is>
      </c>
      <c r="B289" t="n">
        <v>2013</v>
      </c>
      <c r="C289" t="inlineStr">
        <is>
          <t>Action</t>
        </is>
      </c>
      <c r="D289">
        <f>TRUE()</f>
        <v/>
      </c>
      <c r="E289">
        <f>COUNTIF(connections!A:A, A289) &gt; 0</f>
        <v/>
      </c>
      <c r="G289" t="inlineStr">
        <is>
          <t>full-mojo-rampage</t>
        </is>
      </c>
      <c r="J289" s="11" t="inlineStr">
        <is>
          <t>https://store.steampowered.com/app/225280/Full_Mojo_Rampage/</t>
        </is>
      </c>
    </row>
    <row r="290" ht="15" customHeight="1">
      <c r="A290" t="inlineStr">
        <is>
          <t>Fury Unleashed</t>
        </is>
      </c>
      <c r="B290" t="n">
        <v>2020</v>
      </c>
      <c r="C290" t="inlineStr">
        <is>
          <t>Action</t>
        </is>
      </c>
      <c r="D290">
        <f>TRUE()</f>
        <v/>
      </c>
      <c r="E290">
        <f>COUNTIF(connections!A:A, A290) &gt; 0</f>
        <v/>
      </c>
      <c r="G290" t="inlineStr">
        <is>
          <t>fury-unleashed</t>
        </is>
      </c>
      <c r="H290" t="inlineStr">
        <is>
          <t>Yes</t>
        </is>
      </c>
      <c r="I290" t="inlineStr">
        <is>
          <t>C:\Users\Owner\Documents\Roguelike Roguelike\Roguelikes\Fury Unleashed.url</t>
        </is>
      </c>
      <c r="J290" s="1" t="inlineStr">
        <is>
          <t>https://store.steampowered.com/app/465200/Fury_Unleashed/</t>
        </is>
      </c>
    </row>
    <row r="291" ht="15" customHeight="1">
      <c r="A291" t="inlineStr">
        <is>
          <t>Fushigi no Gensoukyou</t>
        </is>
      </c>
      <c r="B291" t="n">
        <v>2010</v>
      </c>
      <c r="C291" t="inlineStr">
        <is>
          <t>Traditional</t>
        </is>
      </c>
      <c r="D291">
        <f>TRUE()</f>
        <v/>
      </c>
      <c r="E291">
        <f>COUNTIF(connections!A:A, A291) &gt; 0</f>
        <v/>
      </c>
      <c r="F291" t="inlineStr">
        <is>
          <t>touhou</t>
        </is>
      </c>
      <c r="G291" t="inlineStr">
        <is>
          <t>fushigi-no-gensoukyou</t>
        </is>
      </c>
    </row>
    <row r="292" ht="15" customHeight="1">
      <c r="A292" t="inlineStr">
        <is>
          <t>Fushigi no Gensoukyou 3</t>
        </is>
      </c>
      <c r="B292" t="n">
        <v>2014</v>
      </c>
      <c r="C292" t="inlineStr">
        <is>
          <t>Traditional</t>
        </is>
      </c>
      <c r="D292">
        <f>TRUE()</f>
        <v/>
      </c>
      <c r="E292">
        <f>COUNTIF(connections!A:A, A292) &gt; 0</f>
        <v/>
      </c>
      <c r="F292" t="inlineStr">
        <is>
          <t>touhou</t>
        </is>
      </c>
      <c r="G292" t="inlineStr">
        <is>
          <t>fushigi-no-gensoukyou-3</t>
        </is>
      </c>
    </row>
    <row r="293" ht="15" customHeight="1">
      <c r="A293" t="inlineStr">
        <is>
          <t>Galactic Glitch</t>
        </is>
      </c>
      <c r="B293" t="n">
        <v>2024</v>
      </c>
      <c r="C293" t="inlineStr">
        <is>
          <t>Action</t>
        </is>
      </c>
      <c r="D293">
        <f>TRUE()</f>
        <v/>
      </c>
      <c r="E293">
        <f>COUNTIF(connections!A:A, A293) &gt; 0</f>
        <v/>
      </c>
      <c r="F293" t="inlineStr">
        <is>
          <t>space</t>
        </is>
      </c>
      <c r="G293" t="inlineStr">
        <is>
          <t>galactic-glitch</t>
        </is>
      </c>
      <c r="H293" t="inlineStr">
        <is>
          <t>Yes</t>
        </is>
      </c>
      <c r="I293" t="inlineStr">
        <is>
          <t>C:\Users\Owner\Documents\Roguelike Roguelike\Roguelikes\Galactic Glitch.url</t>
        </is>
      </c>
      <c r="J293" s="1" t="inlineStr">
        <is>
          <t>https://store.steampowered.com/app/1536620/Galactic_Glitch/</t>
        </is>
      </c>
    </row>
    <row r="294" ht="15" customHeight="1">
      <c r="A294" t="inlineStr">
        <is>
          <t>Gambonanza</t>
        </is>
      </c>
      <c r="B294" t="n">
        <v>2026</v>
      </c>
      <c r="C294" t="inlineStr">
        <is>
          <t>Deckbuilder</t>
        </is>
      </c>
      <c r="D294">
        <f>TRUE()</f>
        <v/>
      </c>
      <c r="E294">
        <f>COUNTIF(connections!A:A, A294) &gt; 0</f>
        <v/>
      </c>
      <c r="F294" t="inlineStr">
        <is>
          <t>chess</t>
        </is>
      </c>
      <c r="G294" t="inlineStr">
        <is>
          <t>gambonanza</t>
        </is>
      </c>
    </row>
    <row r="295" ht="15" customHeight="1">
      <c r="A295" t="inlineStr">
        <is>
          <t>Garden of Witches</t>
        </is>
      </c>
      <c r="B295" t="n">
        <v>2025</v>
      </c>
      <c r="C295" t="inlineStr">
        <is>
          <t>Action</t>
        </is>
      </c>
      <c r="D295">
        <f>TRUE()</f>
        <v/>
      </c>
      <c r="E295">
        <f>COUNTIF(connections!A:A, A295) &gt; 0</f>
        <v/>
      </c>
      <c r="G295" t="inlineStr">
        <is>
          <t>garden-of-witches</t>
        </is>
      </c>
    </row>
    <row r="296" ht="15" customHeight="1">
      <c r="A296" t="inlineStr">
        <is>
          <t>Gatekeeper</t>
        </is>
      </c>
      <c r="B296" t="n">
        <v>2024</v>
      </c>
      <c r="C296" t="inlineStr">
        <is>
          <t>Action</t>
        </is>
      </c>
      <c r="D296">
        <f>TRUE()</f>
        <v/>
      </c>
      <c r="E296">
        <f>COUNTIF(connections!A:A, A296) &gt; 0</f>
        <v/>
      </c>
      <c r="G296" t="inlineStr">
        <is>
          <t>gatekeeper</t>
        </is>
      </c>
    </row>
    <row r="297" ht="15" customHeight="1">
      <c r="A297" t="inlineStr">
        <is>
          <t>GearHead</t>
        </is>
      </c>
      <c r="B297" t="n">
        <v>2002</v>
      </c>
      <c r="C297" t="inlineStr">
        <is>
          <t>Traditional</t>
        </is>
      </c>
      <c r="D297">
        <f>TRUE()</f>
        <v/>
      </c>
      <c r="E297">
        <f>COUNTIF(connections!A:A, A297) &gt; 0</f>
        <v/>
      </c>
      <c r="F297" t="inlineStr">
        <is>
          <t>mecha</t>
        </is>
      </c>
      <c r="G297" t="inlineStr">
        <is>
          <t>gearhead</t>
        </is>
      </c>
      <c r="H297" t="inlineStr">
        <is>
          <t>Yes</t>
        </is>
      </c>
      <c r="I297" t="inlineStr">
        <is>
          <t>C:\Users\Owner\Documents\Roguelike Roguelike\Roguelikes\gharena.lnk</t>
        </is>
      </c>
    </row>
    <row r="298" ht="15" customHeight="1">
      <c r="A298" t="inlineStr">
        <is>
          <t>GearHead 2</t>
        </is>
      </c>
      <c r="B298" t="n">
        <v>2007</v>
      </c>
      <c r="C298" t="inlineStr">
        <is>
          <t>Traditional</t>
        </is>
      </c>
      <c r="D298">
        <f>TRUE()</f>
        <v/>
      </c>
      <c r="E298">
        <f>COUNTIF(connections!A:A, A298) &gt; 0</f>
        <v/>
      </c>
      <c r="F298" t="inlineStr">
        <is>
          <t>mecha</t>
        </is>
      </c>
      <c r="G298" t="inlineStr">
        <is>
          <t>gearhead-2</t>
        </is>
      </c>
      <c r="H298" t="inlineStr">
        <is>
          <t>Yes</t>
        </is>
      </c>
      <c r="I298" t="inlineStr">
        <is>
          <t>C:\Users\Owner\Documents\Roguelike Roguelike\Roguelikes\gearhead2.lnk</t>
        </is>
      </c>
    </row>
    <row r="299" ht="15" customHeight="1">
      <c r="A299" t="inlineStr">
        <is>
          <t>GearHead Caramel</t>
        </is>
      </c>
      <c r="B299" t="n">
        <v>2022</v>
      </c>
      <c r="C299" t="inlineStr">
        <is>
          <t>Traditional</t>
        </is>
      </c>
      <c r="D299">
        <f>TRUE()</f>
        <v/>
      </c>
      <c r="E299">
        <f>COUNTIF(connections!A:A, A299) &gt; 0</f>
        <v/>
      </c>
      <c r="F299" t="inlineStr">
        <is>
          <t>mecha</t>
        </is>
      </c>
      <c r="G299" t="inlineStr">
        <is>
          <t>gearhead-caramel</t>
        </is>
      </c>
      <c r="J299" s="11" t="inlineStr">
        <is>
          <t>https://store.steampowered.com/app/1565090/GearHead_Caramel/</t>
        </is>
      </c>
    </row>
    <row r="300" ht="15" customHeight="1">
      <c r="A300" t="inlineStr">
        <is>
          <t>Genome Guardian</t>
        </is>
      </c>
      <c r="B300" t="n">
        <v>2024</v>
      </c>
      <c r="C300" t="inlineStr">
        <is>
          <t>Action</t>
        </is>
      </c>
      <c r="D300">
        <f>FALSE()</f>
        <v/>
      </c>
      <c r="E300">
        <f>COUNTIF(connections!A:A, A300) &gt; 0</f>
        <v/>
      </c>
      <c r="G300" t="inlineStr">
        <is>
          <t>genome-guardian</t>
        </is>
      </c>
      <c r="H300" t="inlineStr">
        <is>
          <t>Yes</t>
        </is>
      </c>
      <c r="I300" t="inlineStr">
        <is>
          <t>C:\Users\Owner\Documents\Roguelike Roguelike\Roguelikes\Genome Guardian.url</t>
        </is>
      </c>
      <c r="J300" s="1" t="inlineStr">
        <is>
          <t>https://store.steampowered.com/app/2891310/Genome_Guardian/</t>
        </is>
      </c>
    </row>
    <row r="301" ht="15" customHeight="1">
      <c r="A301" t="inlineStr">
        <is>
          <t>Genome Guardian 2</t>
        </is>
      </c>
      <c r="B301" t="n">
        <v>2026</v>
      </c>
      <c r="C301" t="inlineStr">
        <is>
          <t>Action</t>
        </is>
      </c>
      <c r="D301">
        <f>TRUE()</f>
        <v/>
      </c>
      <c r="E301">
        <f>COUNTIF(connections!A:A, A301) &gt; 0</f>
        <v/>
      </c>
      <c r="G301" t="inlineStr">
        <is>
          <t>genome-guardian-2</t>
        </is>
      </c>
      <c r="J301" s="11" t="inlineStr">
        <is>
          <t>https://store.steampowered.com/app/4130120/Genome_Guardian_2/</t>
        </is>
      </c>
    </row>
    <row r="302" ht="15" customHeight="1">
      <c r="A302" t="inlineStr">
        <is>
          <t>Geometry Arena</t>
        </is>
      </c>
      <c r="B302" t="n">
        <v>2020</v>
      </c>
      <c r="C302" t="inlineStr">
        <is>
          <t>Action</t>
        </is>
      </c>
      <c r="D302">
        <f>FALSE()</f>
        <v/>
      </c>
      <c r="E302">
        <f>COUNTIF(connections!A:A, A302) &gt; 0</f>
        <v/>
      </c>
      <c r="G302" t="inlineStr">
        <is>
          <t>geometry-arena</t>
        </is>
      </c>
      <c r="H302" t="inlineStr">
        <is>
          <t>Yes</t>
        </is>
      </c>
      <c r="I302" t="inlineStr">
        <is>
          <t>C:\Users\Owner\Documents\Roguelike Roguelike\Roguelikes\Geometry Arena.url</t>
        </is>
      </c>
      <c r="J302" s="1" t="inlineStr">
        <is>
          <t>https://store.steampowered.com/app/1255650/Geometry_Arena/</t>
        </is>
      </c>
    </row>
    <row r="303" ht="15" customHeight="1">
      <c r="A303" t="inlineStr">
        <is>
          <t>Geometry Arena 2</t>
        </is>
      </c>
      <c r="B303" t="n">
        <v>2023</v>
      </c>
      <c r="C303" t="inlineStr">
        <is>
          <t>Action</t>
        </is>
      </c>
      <c r="D303">
        <f>FALSE()</f>
        <v/>
      </c>
      <c r="E303">
        <f>COUNTIF(connections!A:A, A303) &gt; 0</f>
        <v/>
      </c>
      <c r="G303" t="inlineStr">
        <is>
          <t>geometry-arena-2</t>
        </is>
      </c>
      <c r="H303" t="inlineStr">
        <is>
          <t>Yes</t>
        </is>
      </c>
      <c r="I303" t="inlineStr">
        <is>
          <t>C:\Users\Owner\Documents\Roguelike Roguelike\Roguelikes\Geometry Arena 2.url</t>
        </is>
      </c>
      <c r="J303" s="1" t="inlineStr">
        <is>
          <t>https://store.steampowered.com/app/1667700/Geometry_Arena_2/</t>
        </is>
      </c>
    </row>
    <row r="304" ht="15" customHeight="1">
      <c r="A304" t="inlineStr">
        <is>
          <t>Glyphica: Typing Survival</t>
        </is>
      </c>
      <c r="B304" t="n">
        <v>2024</v>
      </c>
      <c r="C304" t="inlineStr">
        <is>
          <t>Action</t>
        </is>
      </c>
      <c r="D304">
        <f>TRUE()</f>
        <v/>
      </c>
      <c r="E304">
        <f>COUNTIF(connections!A:A, A304) &gt; 0</f>
        <v/>
      </c>
      <c r="G304" t="inlineStr">
        <is>
          <t>glyphica-typing-survival</t>
        </is>
      </c>
    </row>
    <row r="305" ht="15" customHeight="1">
      <c r="A305" t="inlineStr">
        <is>
          <t>GnollHack</t>
        </is>
      </c>
      <c r="B305" t="n">
        <v>2020</v>
      </c>
      <c r="C305" t="inlineStr">
        <is>
          <t>Traditional</t>
        </is>
      </c>
      <c r="D305">
        <f>TRUE()</f>
        <v/>
      </c>
      <c r="E305">
        <f>COUNTIF(connections!A:A, A305) &gt; 0</f>
        <v/>
      </c>
      <c r="G305" t="inlineStr">
        <is>
          <t>gnollhack</t>
        </is>
      </c>
      <c r="H305" t="inlineStr">
        <is>
          <t>Yes</t>
        </is>
      </c>
      <c r="I305" t="inlineStr">
        <is>
          <t>C:\Users\Owner\Documents\Roguelike Roguelike\Roguelikes\GnollHack.url</t>
        </is>
      </c>
      <c r="J305" s="1" t="inlineStr">
        <is>
          <t>https://store.steampowered.com/app/3558190/GnollHack/</t>
        </is>
      </c>
    </row>
    <row r="306" ht="15" customHeight="1">
      <c r="A306" t="inlineStr">
        <is>
          <t>Gnomes</t>
        </is>
      </c>
      <c r="B306" t="n">
        <v>2025</v>
      </c>
      <c r="C306" t="inlineStr">
        <is>
          <t>Strategy</t>
        </is>
      </c>
      <c r="D306">
        <f>FALSE()</f>
        <v/>
      </c>
      <c r="E306">
        <f>COUNTIF(connections!A:A, A306) &gt; 0</f>
        <v/>
      </c>
      <c r="F306" t="inlineStr">
        <is>
          <t>tower defense</t>
        </is>
      </c>
      <c r="G306" t="inlineStr">
        <is>
          <t>gnomes</t>
        </is>
      </c>
      <c r="H306" t="inlineStr">
        <is>
          <t>Yes</t>
        </is>
      </c>
      <c r="I306" t="inlineStr">
        <is>
          <t>C:\Users\Owner\Documents\Roguelike Roguelike\Roguelikes\Gnomes.url</t>
        </is>
      </c>
      <c r="J306" s="1" t="inlineStr">
        <is>
          <t>https://store.steampowered.com/app/3133060/Gnomes/</t>
        </is>
      </c>
    </row>
    <row r="307" ht="15" customHeight="1">
      <c r="A307" t="inlineStr">
        <is>
          <t>Go Mecha Ball</t>
        </is>
      </c>
      <c r="B307" t="n">
        <v>2024</v>
      </c>
      <c r="C307" t="inlineStr">
        <is>
          <t>Action</t>
        </is>
      </c>
      <c r="D307">
        <f>FALSE()</f>
        <v/>
      </c>
      <c r="E307">
        <f>COUNTIF(connections!A:A, A307) &gt; 0</f>
        <v/>
      </c>
      <c r="F307" t="inlineStr">
        <is>
          <t>mecha</t>
        </is>
      </c>
      <c r="G307" t="inlineStr">
        <is>
          <t>go-mecha-ball</t>
        </is>
      </c>
      <c r="H307" t="inlineStr">
        <is>
          <t>Yes</t>
        </is>
      </c>
      <c r="I307" t="inlineStr">
        <is>
          <t>C:\Users\Owner\Documents\Roguelike Roguelike\Roguelikes\Go Mecha Ball.url</t>
        </is>
      </c>
      <c r="J307" s="1" t="inlineStr">
        <is>
          <t>https://store.steampowered.com/app/2008510/Go_Mecha_Ball/</t>
        </is>
      </c>
    </row>
    <row r="308" ht="15" customHeight="1">
      <c r="A308" t="inlineStr">
        <is>
          <t>Goblin Sushi</t>
        </is>
      </c>
      <c r="B308" t="n">
        <v>2026</v>
      </c>
      <c r="C308" t="inlineStr">
        <is>
          <t>Deckbuilder</t>
        </is>
      </c>
      <c r="D308">
        <f>FALSE()</f>
        <v/>
      </c>
      <c r="E308">
        <f>COUNTIF(connections!A:A, A308) &gt; 0</f>
        <v/>
      </c>
      <c r="F308" t="inlineStr">
        <is>
          <t>food</t>
        </is>
      </c>
      <c r="G308" t="inlineStr">
        <is>
          <t>goblin-sushi</t>
        </is>
      </c>
    </row>
    <row r="309" ht="15" customHeight="1">
      <c r="A309" t="inlineStr">
        <is>
          <t>God of Weapons</t>
        </is>
      </c>
      <c r="B309" t="n">
        <v>2023</v>
      </c>
      <c r="C309" t="inlineStr">
        <is>
          <t>Action</t>
        </is>
      </c>
      <c r="D309">
        <f>TRUE()</f>
        <v/>
      </c>
      <c r="E309">
        <f>COUNTIF(connections!A:A, A309) &gt; 0</f>
        <v/>
      </c>
      <c r="G309" t="inlineStr">
        <is>
          <t>god-of-weapons</t>
        </is>
      </c>
      <c r="H309" t="inlineStr">
        <is>
          <t>Yes</t>
        </is>
      </c>
      <c r="I309" t="inlineStr">
        <is>
          <t>C:\Users\Owner\Documents\Roguelike Roguelike\Roguelikes\God Of Weapons.url</t>
        </is>
      </c>
      <c r="J309" s="1" t="inlineStr">
        <is>
          <t>https://store.steampowered.com/app/2342950/God_Of_Weapons/</t>
        </is>
      </c>
    </row>
    <row r="310" ht="15" customHeight="1">
      <c r="A310" t="inlineStr">
        <is>
          <t>Godbreakers</t>
        </is>
      </c>
      <c r="B310" t="n">
        <v>2025</v>
      </c>
      <c r="C310" t="inlineStr">
        <is>
          <t>Action</t>
        </is>
      </c>
      <c r="D310">
        <f>FALSE()</f>
        <v/>
      </c>
      <c r="E310">
        <f>COUNTIF(connections!A:A, A310) &gt; 0</f>
        <v/>
      </c>
      <c r="G310" t="inlineStr">
        <is>
          <t>godbreakers</t>
        </is>
      </c>
      <c r="H310" t="inlineStr">
        <is>
          <t>Yes</t>
        </is>
      </c>
      <c r="I310" t="inlineStr">
        <is>
          <t>C:\Users\Owner\Documents\Roguelike Roguelike\Roguelikes\GODBREAKERS.url</t>
        </is>
      </c>
      <c r="J310" s="1" t="inlineStr">
        <is>
          <t>https://store.steampowered.com/app/2687400/GODBREAKERS/</t>
        </is>
      </c>
    </row>
    <row r="311" ht="15" customHeight="1">
      <c r="A311" t="inlineStr">
        <is>
          <t>Going Under</t>
        </is>
      </c>
      <c r="B311" t="n">
        <v>2020</v>
      </c>
      <c r="C311" t="inlineStr">
        <is>
          <t>Action</t>
        </is>
      </c>
      <c r="D311">
        <f>TRUE()</f>
        <v/>
      </c>
      <c r="E311">
        <f>COUNTIF(connections!A:A, A311) &gt; 0</f>
        <v/>
      </c>
      <c r="G311" t="inlineStr">
        <is>
          <t>going-under</t>
        </is>
      </c>
      <c r="H311" t="inlineStr">
        <is>
          <t>Yes</t>
        </is>
      </c>
      <c r="I311" t="inlineStr">
        <is>
          <t>C:\Users\Owner\Documents\Roguelike Roguelike\Roguelikes\Going Under.url</t>
        </is>
      </c>
      <c r="J311" s="1" t="inlineStr">
        <is>
          <t>https://store.steampowered.com/app/1154810/Going_Under/</t>
        </is>
      </c>
    </row>
    <row r="312" ht="15" customHeight="1">
      <c r="A312" t="inlineStr">
        <is>
          <t>Golden Krone Hotel</t>
        </is>
      </c>
      <c r="B312" t="n">
        <v>2014</v>
      </c>
      <c r="C312" t="inlineStr">
        <is>
          <t>Traditional</t>
        </is>
      </c>
      <c r="D312">
        <f>TRUE()</f>
        <v/>
      </c>
      <c r="E312">
        <f>COUNTIF(connections!A:A, A312) &gt; 0</f>
        <v/>
      </c>
      <c r="G312" t="inlineStr">
        <is>
          <t>golden-krone-hotel</t>
        </is>
      </c>
      <c r="H312" t="inlineStr">
        <is>
          <t>Yes</t>
        </is>
      </c>
      <c r="I312" t="inlineStr">
        <is>
          <t>C:\Users\Owner\Documents\Roguelike Roguelike\Roguelikes\Golden Krone Hotel.url</t>
        </is>
      </c>
      <c r="J312" s="1" t="inlineStr">
        <is>
          <t>https://store.steampowered.com/app/497800/Golden_Krone_Hotel/</t>
        </is>
      </c>
    </row>
    <row r="313" ht="15" customHeight="1">
      <c r="A313" t="inlineStr">
        <is>
          <t>Golden Light</t>
        </is>
      </c>
      <c r="B313" t="n">
        <v>2020</v>
      </c>
      <c r="C313" t="inlineStr">
        <is>
          <t>Action</t>
        </is>
      </c>
      <c r="D313">
        <f>TRUE()</f>
        <v/>
      </c>
      <c r="E313">
        <f>COUNTIF(connections!A:A, A313) &gt; 0</f>
        <v/>
      </c>
      <c r="G313" t="inlineStr">
        <is>
          <t>golden-light</t>
        </is>
      </c>
      <c r="H313" t="inlineStr">
        <is>
          <t>Yes</t>
        </is>
      </c>
      <c r="I313" t="inlineStr">
        <is>
          <t>C:\Users\Owner\Documents\Roguelike Roguelike\Roguelikes\Golden Light.url</t>
        </is>
      </c>
      <c r="J313" s="1" t="inlineStr">
        <is>
          <t>https://store.steampowered.com/app/1245430/Golden_Light/</t>
        </is>
      </c>
    </row>
    <row r="314" ht="15" customHeight="1">
      <c r="A314" t="inlineStr">
        <is>
          <t>Golfie</t>
        </is>
      </c>
      <c r="B314" t="n">
        <v>2022</v>
      </c>
      <c r="C314" t="inlineStr">
        <is>
          <t>Action</t>
        </is>
      </c>
      <c r="D314">
        <f>TRUE()</f>
        <v/>
      </c>
      <c r="E314">
        <f>COUNTIF(connections!A:A, A314) &gt; 0</f>
        <v/>
      </c>
      <c r="G314" t="inlineStr">
        <is>
          <t>golfie</t>
        </is>
      </c>
      <c r="H314" t="inlineStr">
        <is>
          <t>Yes</t>
        </is>
      </c>
      <c r="I314" t="inlineStr">
        <is>
          <t>C:\Users\Owner\Documents\Roguelike Roguelike\Roguelikes\Golfie.url</t>
        </is>
      </c>
      <c r="J314" s="1" t="inlineStr">
        <is>
          <t>https://store.steampowered.com/app/1579020/Golfie/</t>
        </is>
      </c>
    </row>
    <row r="315" ht="15" customHeight="1">
      <c r="A315" t="inlineStr">
        <is>
          <t>GoNNER</t>
        </is>
      </c>
      <c r="B315" t="n">
        <v>2016</v>
      </c>
      <c r="C315" t="inlineStr">
        <is>
          <t>Action</t>
        </is>
      </c>
      <c r="D315">
        <f>TRUE()</f>
        <v/>
      </c>
      <c r="E315">
        <f>COUNTIF(connections!A:A, A315) &gt; 0</f>
        <v/>
      </c>
      <c r="G315" t="inlineStr">
        <is>
          <t>gonner</t>
        </is>
      </c>
      <c r="H315" t="inlineStr">
        <is>
          <t>Yes</t>
        </is>
      </c>
      <c r="I315" t="inlineStr">
        <is>
          <t>C:\Users\Owner\Documents\Roguelike Roguelike\Roguelikes\GoNNER.url</t>
        </is>
      </c>
      <c r="J315" s="1" t="inlineStr">
        <is>
          <t>https://store.steampowered.com/app/437570/GoNNER/</t>
        </is>
      </c>
    </row>
    <row r="316" ht="15" customHeight="1">
      <c r="A316" t="inlineStr">
        <is>
          <t>GONNER2</t>
        </is>
      </c>
      <c r="B316" t="n">
        <v>2020</v>
      </c>
      <c r="C316" t="inlineStr">
        <is>
          <t>Action</t>
        </is>
      </c>
      <c r="D316">
        <f>TRUE()</f>
        <v/>
      </c>
      <c r="E316">
        <f>COUNTIF(connections!A:A, A316) &gt; 0</f>
        <v/>
      </c>
      <c r="G316" t="inlineStr">
        <is>
          <t>gonner2</t>
        </is>
      </c>
      <c r="H316" t="inlineStr">
        <is>
          <t>Yes</t>
        </is>
      </c>
      <c r="I316" t="inlineStr">
        <is>
          <t>C:\Users\Owner\Documents\Roguelike Roguelike\Roguelikes\GONNER2.url</t>
        </is>
      </c>
      <c r="J316" s="1" t="inlineStr">
        <is>
          <t>https://store.steampowered.com/app/1117670/GONNER2/</t>
        </is>
      </c>
    </row>
    <row r="317" ht="15" customHeight="1">
      <c r="A317" t="inlineStr">
        <is>
          <t>Goobies</t>
        </is>
      </c>
      <c r="B317" t="n">
        <v>2023</v>
      </c>
      <c r="C317" t="inlineStr">
        <is>
          <t>Action</t>
        </is>
      </c>
      <c r="D317">
        <f>TRUE()</f>
        <v/>
      </c>
      <c r="E317">
        <f>COUNTIF(connections!A:A, A317) &gt; 0</f>
        <v/>
      </c>
      <c r="G317" t="inlineStr">
        <is>
          <t>goobies</t>
        </is>
      </c>
    </row>
    <row r="318" ht="15" customHeight="1">
      <c r="A318" t="inlineStr">
        <is>
          <t>Gordian Quest</t>
        </is>
      </c>
      <c r="B318" t="n">
        <v>2020</v>
      </c>
      <c r="C318" t="inlineStr">
        <is>
          <t>Deckbuilder</t>
        </is>
      </c>
      <c r="D318">
        <f>TRUE()</f>
        <v/>
      </c>
      <c r="E318">
        <f>COUNTIF(connections!A:A, A318) &gt; 0</f>
        <v/>
      </c>
      <c r="G318" t="inlineStr">
        <is>
          <t>gordian-quest</t>
        </is>
      </c>
      <c r="H318" t="inlineStr">
        <is>
          <t>Yes</t>
        </is>
      </c>
      <c r="I318" t="inlineStr">
        <is>
          <t>C:\Users\Owner\Documents\Roguelike Roguelike\Roguelikes\Gordian Quest.url</t>
        </is>
      </c>
      <c r="J318" s="11" t="inlineStr">
        <is>
          <t>https://store.steampowered.com/app/981430/Gordian_Quest/</t>
        </is>
      </c>
    </row>
    <row r="319" ht="15" customHeight="1">
      <c r="A319" t="inlineStr">
        <is>
          <t>Granvir</t>
        </is>
      </c>
      <c r="B319" t="n">
        <v>2025</v>
      </c>
      <c r="C319" t="inlineStr">
        <is>
          <t>Action</t>
        </is>
      </c>
      <c r="D319">
        <f>FALSE()</f>
        <v/>
      </c>
      <c r="E319">
        <f>COUNTIF(connections!A:A, A319) &gt; 0</f>
        <v/>
      </c>
      <c r="F319" t="inlineStr">
        <is>
          <t>mecha</t>
        </is>
      </c>
      <c r="G319" t="inlineStr">
        <is>
          <t>granvir</t>
        </is>
      </c>
    </row>
    <row r="320" ht="15" customHeight="1">
      <c r="A320" t="inlineStr">
        <is>
          <t>Greedland</t>
        </is>
      </c>
      <c r="B320" t="n">
        <v>2023</v>
      </c>
      <c r="C320" t="inlineStr">
        <is>
          <t>Action</t>
        </is>
      </c>
      <c r="D320">
        <f>TRUE()</f>
        <v/>
      </c>
      <c r="E320">
        <f>COUNTIF(connections!A:A, A320) &gt; 0</f>
        <v/>
      </c>
      <c r="G320" t="inlineStr">
        <is>
          <t>greedland</t>
        </is>
      </c>
      <c r="H320" t="inlineStr">
        <is>
          <t>Yes</t>
        </is>
      </c>
      <c r="I320" t="inlineStr">
        <is>
          <t>C:\Users\Owner\Documents\Roguelike Roguelike\Roguelikes\Greedland.url</t>
        </is>
      </c>
      <c r="J320" s="1" t="inlineStr">
        <is>
          <t>https://store.steampowered.com/app/2218400/Greedland/</t>
        </is>
      </c>
    </row>
    <row r="321" ht="15" customHeight="1">
      <c r="A321" t="inlineStr">
        <is>
          <t>Griftlands</t>
        </is>
      </c>
      <c r="B321" t="n">
        <v>2020</v>
      </c>
      <c r="C321" t="inlineStr">
        <is>
          <t>Deckbuilder</t>
        </is>
      </c>
      <c r="D321">
        <f>TRUE()</f>
        <v/>
      </c>
      <c r="E321">
        <f>COUNTIF(connections!A:A, A321) &gt; 0</f>
        <v/>
      </c>
      <c r="G321" t="inlineStr">
        <is>
          <t>griftlands</t>
        </is>
      </c>
      <c r="H321" t="inlineStr">
        <is>
          <t>Yes</t>
        </is>
      </c>
      <c r="I321" t="inlineStr">
        <is>
          <t>C:\Users\Owner\Documents\Roguelike Roguelike\Roguelikes\Griftlands.url</t>
        </is>
      </c>
      <c r="J321" s="1" t="inlineStr">
        <is>
          <t>https://store.steampowered.com/app/601840/Griftlands/</t>
        </is>
      </c>
    </row>
    <row r="322" ht="15" customHeight="1">
      <c r="A322" t="inlineStr">
        <is>
          <t>Guidus</t>
        </is>
      </c>
      <c r="B322" t="n">
        <v>2021</v>
      </c>
      <c r="C322" t="inlineStr">
        <is>
          <t>Action</t>
        </is>
      </c>
      <c r="D322">
        <f>TRUE()</f>
        <v/>
      </c>
      <c r="E322">
        <f>COUNTIF(connections!A:A, A322) &gt; 0</f>
        <v/>
      </c>
      <c r="G322" t="inlineStr">
        <is>
          <t>guidus</t>
        </is>
      </c>
      <c r="H322" t="inlineStr">
        <is>
          <t>Yes</t>
        </is>
      </c>
      <c r="I322" t="inlineStr">
        <is>
          <t>C:\Users\Owner\Documents\Roguelike Roguelike\Roguelikes\Guidus  Pixel Roguelike RPG.lnk</t>
        </is>
      </c>
    </row>
    <row r="323" ht="15" customHeight="1">
      <c r="A323" t="inlineStr">
        <is>
          <t>Guidus Zero</t>
        </is>
      </c>
      <c r="B323" t="n">
        <v>2024</v>
      </c>
      <c r="C323" t="inlineStr">
        <is>
          <t>Action</t>
        </is>
      </c>
      <c r="D323">
        <f>TRUE()</f>
        <v/>
      </c>
      <c r="E323">
        <f>COUNTIF(connections!A:A, A323) &gt; 0</f>
        <v/>
      </c>
      <c r="G323" t="inlineStr">
        <is>
          <t>guidus-zero</t>
        </is>
      </c>
      <c r="J323" s="11" t="inlineStr">
        <is>
          <t>https://store.steampowered.com/app/3072640/Guidus_Zero/</t>
        </is>
      </c>
    </row>
    <row r="324" ht="15" customHeight="1">
      <c r="A324" t="inlineStr">
        <is>
          <t>Guild of Dungeoneering</t>
        </is>
      </c>
      <c r="B324" t="n">
        <v>2015</v>
      </c>
      <c r="C324" t="inlineStr">
        <is>
          <t>Deckbuilder</t>
        </is>
      </c>
      <c r="D324">
        <f>TRUE()</f>
        <v/>
      </c>
      <c r="E324">
        <f>COUNTIF(connections!A:A, A324) &gt; 0</f>
        <v/>
      </c>
      <c r="G324" t="inlineStr">
        <is>
          <t>guild-of-dungeoneering</t>
        </is>
      </c>
      <c r="J324" s="1" t="inlineStr">
        <is>
          <t>https://store.steampowered.com/app/317820/Guild_of_Dungeoneering_Ultimate_Edition/</t>
        </is>
      </c>
    </row>
    <row r="325" ht="15" customHeight="1">
      <c r="A325" t="inlineStr">
        <is>
          <t>Gumballs &amp; Dungeons</t>
        </is>
      </c>
      <c r="B325" t="n">
        <v>2017</v>
      </c>
      <c r="C325" t="inlineStr">
        <is>
          <t>Strategy</t>
        </is>
      </c>
      <c r="D325">
        <f>FALSE()</f>
        <v/>
      </c>
      <c r="E325">
        <f>COUNTIF(connections!A:A, A325) &gt; 0</f>
        <v/>
      </c>
      <c r="G325" t="inlineStr">
        <is>
          <t>gumballs-dungeons</t>
        </is>
      </c>
      <c r="H325" t="inlineStr">
        <is>
          <t>Yes</t>
        </is>
      </c>
      <c r="I325" t="inlineStr">
        <is>
          <t>C:\Users\Owner\Documents\Roguelike Roguelike\Roguelikes\Gumballs &amp; Dungeons.url</t>
        </is>
      </c>
      <c r="J325" s="1" t="inlineStr">
        <is>
          <t>https://store.steampowered.com/app/3112010/Gumballs__Dungeons/</t>
        </is>
      </c>
    </row>
    <row r="326" ht="15" customHeight="1">
      <c r="A326" t="inlineStr">
        <is>
          <t>Gunfire Reborn</t>
        </is>
      </c>
      <c r="B326" t="n">
        <v>2020</v>
      </c>
      <c r="C326" t="inlineStr">
        <is>
          <t>Action</t>
        </is>
      </c>
      <c r="D326">
        <f>TRUE()</f>
        <v/>
      </c>
      <c r="E326">
        <f>COUNTIF(connections!A:A, A326) &gt; 0</f>
        <v/>
      </c>
      <c r="G326" t="inlineStr">
        <is>
          <t>gunfire-reborn</t>
        </is>
      </c>
      <c r="H326" t="inlineStr">
        <is>
          <t>Yes</t>
        </is>
      </c>
      <c r="I326" t="inlineStr">
        <is>
          <t>C:\Users\Owner\Documents\Roguelike Roguelike\Roguelikes\Gunfire Reborn.url</t>
        </is>
      </c>
      <c r="J326" s="1" t="inlineStr">
        <is>
          <t>https://store.steampowered.com/app/1217060/Gunfire_Reborn/</t>
        </is>
      </c>
    </row>
    <row r="327" ht="15" customHeight="1">
      <c r="A327" t="inlineStr">
        <is>
          <t>Gunlocked</t>
        </is>
      </c>
      <c r="B327" t="n">
        <v>2022</v>
      </c>
      <c r="C327" t="inlineStr">
        <is>
          <t>Action</t>
        </is>
      </c>
      <c r="D327">
        <f>TRUE()</f>
        <v/>
      </c>
      <c r="E327">
        <f>COUNTIF(connections!A:A, A327) &gt; 0</f>
        <v/>
      </c>
      <c r="F327" t="inlineStr">
        <is>
          <t>space</t>
        </is>
      </c>
      <c r="G327" t="inlineStr">
        <is>
          <t>gunlocked</t>
        </is>
      </c>
      <c r="H327" t="inlineStr">
        <is>
          <t>Yes</t>
        </is>
      </c>
      <c r="I327" t="inlineStr">
        <is>
          <t>C:\Users\Owner\Documents\Roguelike Roguelike\Roguelikes\Gunlocked.url</t>
        </is>
      </c>
      <c r="J327" s="1" t="inlineStr">
        <is>
          <t>https://store.steampowered.com/app/1512480/Gunlocked/</t>
        </is>
      </c>
    </row>
    <row r="328" ht="15" customHeight="1">
      <c r="A328" t="inlineStr">
        <is>
          <t>Gunlocked 2</t>
        </is>
      </c>
      <c r="B328" t="n">
        <v>2025</v>
      </c>
      <c r="C328" t="inlineStr">
        <is>
          <t>Action</t>
        </is>
      </c>
      <c r="D328">
        <f>TRUE()</f>
        <v/>
      </c>
      <c r="E328">
        <f>COUNTIF(connections!A:A, A328) &gt; 0</f>
        <v/>
      </c>
      <c r="F328" t="inlineStr">
        <is>
          <t>space</t>
        </is>
      </c>
      <c r="G328" t="inlineStr">
        <is>
          <t>gunlocked-2</t>
        </is>
      </c>
      <c r="H328" t="inlineStr">
        <is>
          <t>Yes</t>
        </is>
      </c>
      <c r="I328" t="inlineStr">
        <is>
          <t>C:\Users\Owner\Documents\Roguelike Roguelike\Roguelikes\Gunlocked 2.url</t>
        </is>
      </c>
      <c r="J328" s="1" t="inlineStr">
        <is>
          <t>https://store.steampowered.com/app/3492830/Gunlocked_2/</t>
        </is>
      </c>
    </row>
    <row r="329" ht="15" customHeight="1">
      <c r="A329" t="inlineStr">
        <is>
          <t>Hack</t>
        </is>
      </c>
      <c r="B329" t="n">
        <v>1984</v>
      </c>
      <c r="C329" t="inlineStr">
        <is>
          <t>Traditional</t>
        </is>
      </c>
      <c r="D329">
        <f>TRUE()</f>
        <v/>
      </c>
      <c r="E329">
        <f>COUNTIF(connections!A:A, A329) &gt; 0</f>
        <v/>
      </c>
      <c r="G329" t="inlineStr">
        <is>
          <t>hack</t>
        </is>
      </c>
      <c r="H329" t="inlineStr">
        <is>
          <t>Yes</t>
        </is>
      </c>
      <c r="I329" t="inlineStr">
        <is>
          <t>C:\Users\Owner\Documents\Roguelike Roguelike\Roguelikes\Hack.lnk</t>
        </is>
      </c>
    </row>
    <row r="330" ht="15" customHeight="1">
      <c r="A330" t="inlineStr">
        <is>
          <t>Hack'EM</t>
        </is>
      </c>
      <c r="B330" t="n">
        <v>2022</v>
      </c>
      <c r="C330" t="inlineStr">
        <is>
          <t>Traditional</t>
        </is>
      </c>
      <c r="D330">
        <f>TRUE()</f>
        <v/>
      </c>
      <c r="E330">
        <f>COUNTIF(connections!A:A, A330) &gt; 0</f>
        <v/>
      </c>
      <c r="G330" t="inlineStr">
        <is>
          <t>hackem</t>
        </is>
      </c>
      <c r="H330" t="inlineStr">
        <is>
          <t>Yes</t>
        </is>
      </c>
      <c r="I330" t="inlineStr">
        <is>
          <t>C:\Users\Owner\Documents\Roguelike Roguelike\Roguelikes\HackEMW.lnk</t>
        </is>
      </c>
    </row>
    <row r="331" ht="15" customHeight="1">
      <c r="A331" t="inlineStr">
        <is>
          <t>Hadean Tactics</t>
        </is>
      </c>
      <c r="B331" t="n">
        <v>2021</v>
      </c>
      <c r="C331" t="inlineStr">
        <is>
          <t>Deckbuilder</t>
        </is>
      </c>
      <c r="D331">
        <f>TRUE()</f>
        <v/>
      </c>
      <c r="E331">
        <f>COUNTIF(connections!A:A, A331) &gt; 0</f>
        <v/>
      </c>
      <c r="F331" t="inlineStr">
        <is>
          <t>hell</t>
        </is>
      </c>
      <c r="G331" t="inlineStr">
        <is>
          <t>hadean-tactics</t>
        </is>
      </c>
      <c r="H331" t="inlineStr">
        <is>
          <t>Yes</t>
        </is>
      </c>
      <c r="I331" t="inlineStr">
        <is>
          <t>C:\Users\Owner\Documents\Roguelike Roguelike\Roguelikes\Hadean Tactics.url</t>
        </is>
      </c>
      <c r="J331" s="1" t="inlineStr">
        <is>
          <t>https://store.steampowered.com/app/1260590/Hadean_Tactics/</t>
        </is>
      </c>
    </row>
    <row r="332" ht="15" customHeight="1">
      <c r="A332" t="inlineStr">
        <is>
          <t>Hades</t>
        </is>
      </c>
      <c r="B332" t="n">
        <v>2019</v>
      </c>
      <c r="C332" t="inlineStr">
        <is>
          <t>Action</t>
        </is>
      </c>
      <c r="D332">
        <f>TRUE()</f>
        <v/>
      </c>
      <c r="E332">
        <f>COUNTIF(connections!A:A, A332) &gt; 0</f>
        <v/>
      </c>
      <c r="F332" t="inlineStr">
        <is>
          <t>hell</t>
        </is>
      </c>
      <c r="G332" t="inlineStr">
        <is>
          <t>hades</t>
        </is>
      </c>
      <c r="H332" t="inlineStr">
        <is>
          <t>Yes</t>
        </is>
      </c>
      <c r="I332" t="inlineStr">
        <is>
          <t>C:\Users\Owner\Documents\Roguelike Roguelike\Roguelikes\Hades.url</t>
        </is>
      </c>
      <c r="J332" s="1" t="inlineStr">
        <is>
          <t>https://store.steampowered.com/app/1145360/Hades/</t>
        </is>
      </c>
    </row>
    <row r="333" ht="15" customHeight="1">
      <c r="A333" t="inlineStr">
        <is>
          <t>Hades II</t>
        </is>
      </c>
      <c r="B333" t="n">
        <v>2024</v>
      </c>
      <c r="C333" t="inlineStr">
        <is>
          <t>Action</t>
        </is>
      </c>
      <c r="D333">
        <f>TRUE()</f>
        <v/>
      </c>
      <c r="E333">
        <f>COUNTIF(connections!A:A, A333) &gt; 0</f>
        <v/>
      </c>
      <c r="F333" t="inlineStr">
        <is>
          <t>hell</t>
        </is>
      </c>
      <c r="G333" t="inlineStr">
        <is>
          <t>hades-ii</t>
        </is>
      </c>
      <c r="H333" t="inlineStr">
        <is>
          <t>Yes</t>
        </is>
      </c>
      <c r="I333" t="inlineStr">
        <is>
          <t>C:\Users\Owner\Documents\Roguelike Roguelike\Roguelikes\Hades II.url</t>
        </is>
      </c>
      <c r="J333" s="1" t="inlineStr">
        <is>
          <t>https://store.steampowered.com/app/1145350/Hades_II/</t>
        </is>
      </c>
    </row>
    <row r="334" ht="15" customHeight="1">
      <c r="A334" t="inlineStr">
        <is>
          <t>Halls of Torment</t>
        </is>
      </c>
      <c r="B334" t="n">
        <v>2023</v>
      </c>
      <c r="C334" t="inlineStr">
        <is>
          <t>Action</t>
        </is>
      </c>
      <c r="D334">
        <f>TRUE()</f>
        <v/>
      </c>
      <c r="E334">
        <f>COUNTIF(connections!A:A, A334) &gt; 0</f>
        <v/>
      </c>
      <c r="F334" t="inlineStr">
        <is>
          <t>hell</t>
        </is>
      </c>
      <c r="G334" t="inlineStr">
        <is>
          <t>halls-of-torment</t>
        </is>
      </c>
      <c r="H334" t="inlineStr">
        <is>
          <t>Yes</t>
        </is>
      </c>
      <c r="I334" t="inlineStr">
        <is>
          <t>C:\Users\Owner\Documents\Roguelike Roguelike\Roguelikes\Halls of Torment.url</t>
        </is>
      </c>
      <c r="J334" s="1" t="inlineStr">
        <is>
          <t>https://store.steampowered.com/app/2218750/Halls_of_Torment/</t>
        </is>
      </c>
    </row>
    <row r="335" ht="15" customHeight="1">
      <c r="A335" t="inlineStr">
        <is>
          <t>Hand of Fate</t>
        </is>
      </c>
      <c r="B335" t="n">
        <v>2014</v>
      </c>
      <c r="C335" t="inlineStr">
        <is>
          <t>Deckbuilder</t>
        </is>
      </c>
      <c r="D335">
        <f>TRUE()</f>
        <v/>
      </c>
      <c r="E335">
        <f>COUNTIF(connections!A:A, A335) &gt; 0</f>
        <v/>
      </c>
      <c r="G335" t="inlineStr">
        <is>
          <t>hand-of-fate</t>
        </is>
      </c>
      <c r="H335" t="inlineStr">
        <is>
          <t>Yes</t>
        </is>
      </c>
      <c r="I335" t="inlineStr">
        <is>
          <t>C:\Users\Owner\Documents\Roguelike Roguelike\Roguelikes\Hand of Fate.url</t>
        </is>
      </c>
      <c r="J335" s="1" t="inlineStr">
        <is>
          <t>https://store.steampowered.com/app/266510/Hand_of_Fate/</t>
        </is>
      </c>
    </row>
    <row r="336" ht="15" customHeight="1">
      <c r="A336" t="inlineStr">
        <is>
          <t>Hand of Fate 2</t>
        </is>
      </c>
      <c r="B336" t="n">
        <v>2017</v>
      </c>
      <c r="C336" t="inlineStr">
        <is>
          <t>Deckbuilder</t>
        </is>
      </c>
      <c r="D336">
        <f>TRUE()</f>
        <v/>
      </c>
      <c r="E336">
        <f>COUNTIF(connections!A:A, A336) &gt; 0</f>
        <v/>
      </c>
      <c r="G336" t="inlineStr">
        <is>
          <t>hand-of-fate-2</t>
        </is>
      </c>
    </row>
    <row r="337" ht="15" customHeight="1">
      <c r="A337" t="inlineStr">
        <is>
          <t>Hand of Fate: Hordes</t>
        </is>
      </c>
      <c r="B337" t="n">
        <v>2026</v>
      </c>
      <c r="C337" t="inlineStr">
        <is>
          <t>Action</t>
        </is>
      </c>
      <c r="D337" t="b">
        <v>1</v>
      </c>
      <c r="E337">
        <f>COUNTIF(connections!A:A, A337) &gt; 0</f>
        <v/>
      </c>
      <c r="G337" t="inlineStr">
        <is>
          <t>hand-of-fate-hordes</t>
        </is>
      </c>
      <c r="J337" s="11" t="inlineStr">
        <is>
          <t>https://store.steampowered.com/app/3075410/Hand_of_Fate_Hordes/</t>
        </is>
      </c>
    </row>
    <row r="338" ht="15" customHeight="1">
      <c r="A338" t="inlineStr">
        <is>
          <t>Hangtime!</t>
        </is>
      </c>
      <c r="B338" t="n">
        <v>2025</v>
      </c>
      <c r="C338" t="inlineStr">
        <is>
          <t>Action</t>
        </is>
      </c>
      <c r="D338">
        <f>FALSE()</f>
        <v/>
      </c>
      <c r="E338">
        <f>COUNTIF(connections!A:A, A338) &gt; 0</f>
        <v/>
      </c>
      <c r="F338" t="inlineStr">
        <is>
          <t>sports</t>
        </is>
      </c>
      <c r="G338" t="inlineStr">
        <is>
          <t>hangtime</t>
        </is>
      </c>
    </row>
    <row r="339" ht="15" customHeight="1">
      <c r="A339" t="inlineStr">
        <is>
          <t>Haque</t>
        </is>
      </c>
      <c r="B339" t="n">
        <v>2017</v>
      </c>
      <c r="C339" t="inlineStr">
        <is>
          <t>Traditional</t>
        </is>
      </c>
      <c r="D339">
        <f>TRUE()</f>
        <v/>
      </c>
      <c r="E339">
        <f>COUNTIF(connections!A:A, A339) &gt; 0</f>
        <v/>
      </c>
      <c r="G339" t="inlineStr">
        <is>
          <t>haque</t>
        </is>
      </c>
      <c r="J339" s="1" t="inlineStr">
        <is>
          <t>https://store.steampowered.com/app/662540/Haque/</t>
        </is>
      </c>
    </row>
    <row r="340" ht="15" customHeight="1">
      <c r="A340" t="inlineStr">
        <is>
          <t>Has-Been Heroes</t>
        </is>
      </c>
      <c r="B340" t="n">
        <v>2017</v>
      </c>
      <c r="C340" t="inlineStr">
        <is>
          <t>Action</t>
        </is>
      </c>
      <c r="D340">
        <f>TRUE()</f>
        <v/>
      </c>
      <c r="E340">
        <f>COUNTIF(connections!A:A, A340) &gt; 0</f>
        <v/>
      </c>
      <c r="G340" t="inlineStr">
        <is>
          <t>has-been-heroes</t>
        </is>
      </c>
    </row>
    <row r="341" ht="15" customHeight="1">
      <c r="A341" t="inlineStr">
        <is>
          <t>Haste</t>
        </is>
      </c>
      <c r="B341" t="n">
        <v>2025</v>
      </c>
      <c r="C341" t="inlineStr">
        <is>
          <t>Action</t>
        </is>
      </c>
      <c r="D341">
        <f>FALSE()</f>
        <v/>
      </c>
      <c r="E341">
        <f>COUNTIF(connections!A:A, A341) &gt; 0</f>
        <v/>
      </c>
      <c r="G341" t="inlineStr">
        <is>
          <t>haste</t>
        </is>
      </c>
      <c r="H341" t="inlineStr">
        <is>
          <t>Yes</t>
        </is>
      </c>
      <c r="I341" t="inlineStr">
        <is>
          <t>C:\Users\Owner\Documents\Roguelike Roguelike\Roguelikes\Haste.url</t>
        </is>
      </c>
      <c r="J341" s="1" t="inlineStr">
        <is>
          <t>https://store.steampowered.com/app/1796470/Haste/</t>
        </is>
      </c>
    </row>
    <row r="342" ht="15" customHeight="1">
      <c r="A342" t="inlineStr">
        <is>
          <t>Have a Nice Death</t>
        </is>
      </c>
      <c r="B342" t="n">
        <v>2022</v>
      </c>
      <c r="C342" t="inlineStr">
        <is>
          <t>Action</t>
        </is>
      </c>
      <c r="D342">
        <f>TRUE()</f>
        <v/>
      </c>
      <c r="E342">
        <f>COUNTIF(connections!A:A, A342) &gt; 0</f>
        <v/>
      </c>
      <c r="F342" t="inlineStr">
        <is>
          <t>hell</t>
        </is>
      </c>
      <c r="G342" t="inlineStr">
        <is>
          <t>have-a-nice-death</t>
        </is>
      </c>
      <c r="H342" t="inlineStr">
        <is>
          <t>Yes</t>
        </is>
      </c>
      <c r="I342" t="inlineStr">
        <is>
          <t>C:\Users\Owner\Documents\Roguelike Roguelike\Roguelikes\Have a Nice Death.url</t>
        </is>
      </c>
      <c r="J342" s="1" t="inlineStr">
        <is>
          <t>https://store.steampowered.com/app/1740720/Have_a_Nice_Death/</t>
        </is>
      </c>
    </row>
    <row r="343" ht="15" customHeight="1">
      <c r="A343" t="inlineStr">
        <is>
          <t>He is Coming</t>
        </is>
      </c>
      <c r="B343" t="n">
        <v>2025</v>
      </c>
      <c r="C343" t="inlineStr">
        <is>
          <t>Deckbuilder</t>
        </is>
      </c>
      <c r="D343">
        <f>TRUE()</f>
        <v/>
      </c>
      <c r="E343">
        <f>COUNTIF(connections!A:A, A343) &gt; 0</f>
        <v/>
      </c>
      <c r="G343" t="inlineStr">
        <is>
          <t>he-is-coming</t>
        </is>
      </c>
      <c r="H343" t="inlineStr">
        <is>
          <t>Yes</t>
        </is>
      </c>
      <c r="I343" t="inlineStr">
        <is>
          <t>C:\Users\Owner\Documents\Roguelike Roguelike\Roguelikes\He is Coming.url</t>
        </is>
      </c>
      <c r="J343" s="1" t="inlineStr">
        <is>
          <t>https://store.steampowered.com/app/2824490/He_is_Coming/</t>
        </is>
      </c>
    </row>
    <row r="344" ht="15" customHeight="1">
      <c r="A344" t="inlineStr">
        <is>
          <t>Heading Out</t>
        </is>
      </c>
      <c r="B344" t="n">
        <v>2023</v>
      </c>
      <c r="C344" t="inlineStr">
        <is>
          <t>Action</t>
        </is>
      </c>
      <c r="D344">
        <f>FALSE()</f>
        <v/>
      </c>
      <c r="E344">
        <f>COUNTIF(connections!A:A, A344) &gt; 0</f>
        <v/>
      </c>
      <c r="G344" t="inlineStr">
        <is>
          <t>heading-out</t>
        </is>
      </c>
    </row>
    <row r="345" ht="15" customHeight="1">
      <c r="A345" t="inlineStr">
        <is>
          <t>Heat Signature</t>
        </is>
      </c>
      <c r="B345" t="n">
        <v>2017</v>
      </c>
      <c r="C345" t="inlineStr">
        <is>
          <t>Action</t>
        </is>
      </c>
      <c r="D345">
        <f>FALSE()</f>
        <v/>
      </c>
      <c r="E345">
        <f>COUNTIF(connections!A:A, A345) &gt; 0</f>
        <v/>
      </c>
      <c r="G345" t="inlineStr">
        <is>
          <t>heat-signature</t>
        </is>
      </c>
      <c r="H345" t="inlineStr">
        <is>
          <t>Yes</t>
        </is>
      </c>
      <c r="I345" t="inlineStr">
        <is>
          <t>C:\Users\Owner\Documents\Roguelike Roguelike\Roguelikes\Heat Signature.url</t>
        </is>
      </c>
      <c r="J345" s="1" t="inlineStr">
        <is>
          <t>https://store.steampowered.com/app/268130/Heat_Signature/</t>
        </is>
      </c>
    </row>
    <row r="346" ht="15" customHeight="1">
      <c r="A346" t="inlineStr">
        <is>
          <t>Heavy Bullets</t>
        </is>
      </c>
      <c r="B346" t="n">
        <v>2014</v>
      </c>
      <c r="C346" t="inlineStr">
        <is>
          <t>Action</t>
        </is>
      </c>
      <c r="D346">
        <f>FALSE()</f>
        <v/>
      </c>
      <c r="E346">
        <f>COUNTIF(connections!A:A, A346) &gt; 0</f>
        <v/>
      </c>
      <c r="G346" t="inlineStr">
        <is>
          <t>heavy-bullets</t>
        </is>
      </c>
      <c r="H346" t="inlineStr">
        <is>
          <t>Yes</t>
        </is>
      </c>
      <c r="I346" t="inlineStr">
        <is>
          <t>C:\Users\Owner\Documents\Roguelike Roguelike\Roguelikes\Heavy Bullets.url</t>
        </is>
      </c>
      <c r="J346" s="1" t="inlineStr">
        <is>
          <t>https://store.steampowered.com/app/297120/Heavy_Bullets/</t>
        </is>
      </c>
    </row>
    <row r="347" ht="15" customHeight="1">
      <c r="A347" t="inlineStr">
        <is>
          <t>Hell Clock</t>
        </is>
      </c>
      <c r="B347" t="n">
        <v>2025</v>
      </c>
      <c r="C347" t="inlineStr">
        <is>
          <t>Action</t>
        </is>
      </c>
      <c r="D347">
        <f>TRUE()</f>
        <v/>
      </c>
      <c r="E347">
        <f>COUNTIF(connections!A:A, A347) &gt; 0</f>
        <v/>
      </c>
      <c r="G347" t="inlineStr">
        <is>
          <t>hell-clock</t>
        </is>
      </c>
      <c r="H347" t="inlineStr">
        <is>
          <t>Yes</t>
        </is>
      </c>
      <c r="I347" t="inlineStr">
        <is>
          <t>C:\Users\Owner\Documents\Roguelike Roguelike\Roguelikes\Hell Clock.url</t>
        </is>
      </c>
      <c r="J347" s="1" t="inlineStr">
        <is>
          <t>https://store.steampowered.com/app/1782460/Hell_Clock/</t>
        </is>
      </c>
    </row>
    <row r="348" ht="15" customHeight="1">
      <c r="A348" t="inlineStr">
        <is>
          <t>Hell Maiden</t>
        </is>
      </c>
      <c r="B348" t="n">
        <v>2026</v>
      </c>
      <c r="C348" t="inlineStr">
        <is>
          <t>Action</t>
        </is>
      </c>
      <c r="D348">
        <f>TRUE()</f>
        <v/>
      </c>
      <c r="E348">
        <f>COUNTIF(connections!A:A, A348) &gt; 0</f>
        <v/>
      </c>
      <c r="F348" t="inlineStr">
        <is>
          <t>hell</t>
        </is>
      </c>
      <c r="G348" t="inlineStr">
        <is>
          <t>hell-maiden</t>
        </is>
      </c>
      <c r="J348" s="11" t="inlineStr">
        <is>
          <t>https://store.steampowered.com/app/3372060/Hell_Maiden/</t>
        </is>
      </c>
    </row>
    <row r="349" ht="15" customHeight="1">
      <c r="A349" t="inlineStr">
        <is>
          <t>Hellboy Web of Wyrd</t>
        </is>
      </c>
      <c r="B349" t="n">
        <v>2023</v>
      </c>
      <c r="C349" t="inlineStr">
        <is>
          <t>Action</t>
        </is>
      </c>
      <c r="D349">
        <f>FALSE()</f>
        <v/>
      </c>
      <c r="E349">
        <f>COUNTIF(connections!A:A, A349) &gt; 0</f>
        <v/>
      </c>
      <c r="G349" t="inlineStr">
        <is>
          <t>hellboy-web-of-wyrd</t>
        </is>
      </c>
    </row>
    <row r="350" ht="15" customHeight="1">
      <c r="A350" t="inlineStr">
        <is>
          <t>Hellcard</t>
        </is>
      </c>
      <c r="B350" t="n">
        <v>2023</v>
      </c>
      <c r="C350" t="inlineStr">
        <is>
          <t>Deckbuilder</t>
        </is>
      </c>
      <c r="D350">
        <f>TRUE()</f>
        <v/>
      </c>
      <c r="E350">
        <f>COUNTIF(connections!A:A, A350) &gt; 0</f>
        <v/>
      </c>
      <c r="G350" t="inlineStr">
        <is>
          <t>hellcard</t>
        </is>
      </c>
      <c r="H350" t="inlineStr">
        <is>
          <t>Yes</t>
        </is>
      </c>
      <c r="I350" t="inlineStr">
        <is>
          <t>C:\Users\Owner\Documents\Roguelike Roguelike\Roguelikes\HELLCARD.url</t>
        </is>
      </c>
      <c r="J350" s="1" t="inlineStr">
        <is>
          <t>https://store.steampowered.com/app/1201540/HELLCARD/</t>
        </is>
      </c>
    </row>
    <row r="351" ht="15" customHeight="1">
      <c r="A351" t="inlineStr">
        <is>
          <t>Helskate</t>
        </is>
      </c>
      <c r="B351" t="n">
        <v>2025</v>
      </c>
      <c r="C351" t="inlineStr">
        <is>
          <t>Action</t>
        </is>
      </c>
      <c r="D351">
        <f>TRUE()</f>
        <v/>
      </c>
      <c r="E351">
        <f>COUNTIF(connections!A:A, A351) &gt; 0</f>
        <v/>
      </c>
      <c r="G351" t="inlineStr">
        <is>
          <t>helskate</t>
        </is>
      </c>
      <c r="H351" t="inlineStr">
        <is>
          <t>Yes</t>
        </is>
      </c>
      <c r="I351" t="inlineStr">
        <is>
          <t>C:\Users\Owner\Documents\Roguelike Roguelike\Roguelikes\Helskate.url</t>
        </is>
      </c>
      <c r="J351" s="1" t="inlineStr">
        <is>
          <t>https://store.steampowered.com/app/1295630/Helskate/</t>
        </is>
      </c>
    </row>
    <row r="352" ht="15" customHeight="1">
      <c r="A352" t="inlineStr">
        <is>
          <t>Heretic's Fork</t>
        </is>
      </c>
      <c r="B352" t="n">
        <v>2023</v>
      </c>
      <c r="C352" t="inlineStr">
        <is>
          <t>Action</t>
        </is>
      </c>
      <c r="D352">
        <f>TRUE()</f>
        <v/>
      </c>
      <c r="E352">
        <f>COUNTIF(connections!A:A, A352) &gt; 0</f>
        <v/>
      </c>
      <c r="F352" t="inlineStr">
        <is>
          <t>hell</t>
        </is>
      </c>
      <c r="G352" t="inlineStr">
        <is>
          <t>heretics-fork</t>
        </is>
      </c>
      <c r="H352" t="inlineStr">
        <is>
          <t>Yes</t>
        </is>
      </c>
      <c r="I352" t="inlineStr">
        <is>
          <t>C:\Users\Owner\Documents\Roguelike Roguelike\Roguelikes\Heretic's Fork.url</t>
        </is>
      </c>
      <c r="J352" s="1" t="inlineStr">
        <is>
          <t>https://store.steampowered.com/app/2181610/Heretics_Fork/</t>
        </is>
      </c>
    </row>
    <row r="353" ht="15" customHeight="1">
      <c r="A353" t="inlineStr">
        <is>
          <t>Heroes of Hammerwatch</t>
        </is>
      </c>
      <c r="B353" t="n">
        <v>2018</v>
      </c>
      <c r="C353" t="inlineStr">
        <is>
          <t>Action</t>
        </is>
      </c>
      <c r="D353">
        <f>TRUE()</f>
        <v/>
      </c>
      <c r="E353">
        <f>COUNTIF(connections!A:A, A353) &gt; 0</f>
        <v/>
      </c>
      <c r="G353" t="inlineStr">
        <is>
          <t>heroes-of-hammerwatch</t>
        </is>
      </c>
      <c r="H353" t="inlineStr">
        <is>
          <t>Yes</t>
        </is>
      </c>
      <c r="I353" t="inlineStr">
        <is>
          <t>C:\Users\Owner\Documents\Roguelike Roguelike\Roguelikes\Heroes of Hammerwatch.url</t>
        </is>
      </c>
      <c r="J353" s="1" t="inlineStr">
        <is>
          <t>https://store.steampowered.com/app/677120/Heroes_of_Hammerwatch/</t>
        </is>
      </c>
    </row>
    <row r="354" ht="15" customHeight="1">
      <c r="A354" t="inlineStr">
        <is>
          <t>Heroes of Hammerwatch II</t>
        </is>
      </c>
      <c r="B354" t="n">
        <v>2025</v>
      </c>
      <c r="C354" t="inlineStr">
        <is>
          <t>Action</t>
        </is>
      </c>
      <c r="D354">
        <f>TRUE()</f>
        <v/>
      </c>
      <c r="E354">
        <f>COUNTIF(connections!A:A, A354) &gt; 0</f>
        <v/>
      </c>
      <c r="G354" t="inlineStr">
        <is>
          <t>heroes-of-hammerwatch-ii</t>
        </is>
      </c>
      <c r="H354" t="inlineStr">
        <is>
          <t>Yes</t>
        </is>
      </c>
      <c r="I354" t="inlineStr">
        <is>
          <t>C:\Users\Owner\Documents\Roguelike Roguelike\Roguelikes\Heroes of Hammerwatch II.url</t>
        </is>
      </c>
      <c r="J354" s="1" t="inlineStr">
        <is>
          <t>https://store.steampowered.com/app/619820/Heroes_of_Hammerwatch_II/</t>
        </is>
      </c>
    </row>
    <row r="355" ht="15" customHeight="1">
      <c r="A355" t="inlineStr">
        <is>
          <t>Hexagod</t>
        </is>
      </c>
      <c r="B355" t="n">
        <v>2025</v>
      </c>
      <c r="C355" t="inlineStr">
        <is>
          <t>Strategy</t>
        </is>
      </c>
      <c r="D355">
        <f>TRUE()</f>
        <v/>
      </c>
      <c r="E355">
        <f>COUNTIF(connections!A:A, A355) &gt; 0</f>
        <v/>
      </c>
      <c r="G355" t="inlineStr">
        <is>
          <t>hexagod</t>
        </is>
      </c>
      <c r="J355" s="11" t="inlineStr">
        <is>
          <t>https://store.steampowered.com/app/3059390/Hexagod/</t>
        </is>
      </c>
    </row>
    <row r="356" ht="15" customHeight="1">
      <c r="A356" t="inlineStr">
        <is>
          <t>Hive Blight</t>
        </is>
      </c>
      <c r="B356" t="n">
        <v>2026</v>
      </c>
      <c r="C356" t="inlineStr">
        <is>
          <t>Strategy</t>
        </is>
      </c>
      <c r="D356">
        <f>TRUE()</f>
        <v/>
      </c>
      <c r="E356">
        <f>COUNTIF(connections!A:A, A356) &gt; 0</f>
        <v/>
      </c>
      <c r="G356" t="inlineStr">
        <is>
          <t>hive-blight</t>
        </is>
      </c>
    </row>
    <row r="357" ht="15" customHeight="1">
      <c r="A357" t="inlineStr">
        <is>
          <t>HoloCure: Save the Fans!</t>
        </is>
      </c>
      <c r="B357" t="n">
        <v>2023</v>
      </c>
      <c r="C357" t="inlineStr">
        <is>
          <t>Action</t>
        </is>
      </c>
      <c r="D357">
        <f>TRUE()</f>
        <v/>
      </c>
      <c r="E357">
        <f>COUNTIF(connections!A:A, A357) &gt; 0</f>
        <v/>
      </c>
      <c r="G357" t="inlineStr">
        <is>
          <t>holocure-save-the-fans</t>
        </is>
      </c>
      <c r="H357" t="inlineStr">
        <is>
          <t>Yes</t>
        </is>
      </c>
      <c r="I357" t="inlineStr">
        <is>
          <t>C:\Users\Owner\Documents\Roguelike Roguelike\Roguelikes\HoloCure - Save the Fans!.url</t>
        </is>
      </c>
      <c r="J357" s="1" t="inlineStr">
        <is>
          <t>https://store.steampowered.com/app/2420510/HoloCure__Save_the_Fans/</t>
        </is>
      </c>
    </row>
    <row r="358" ht="15" customHeight="1">
      <c r="A358" t="inlineStr">
        <is>
          <t>HoloDungeon: Koyori vs HollowLive in Honsha Tower</t>
        </is>
      </c>
      <c r="B358" t="n">
        <v>2026</v>
      </c>
      <c r="C358" t="inlineStr">
        <is>
          <t>Traditional</t>
        </is>
      </c>
      <c r="D358">
        <f>TRUE()</f>
        <v/>
      </c>
      <c r="E358">
        <f>COUNTIF(connections!A:A, A358) &gt; 0</f>
        <v/>
      </c>
      <c r="G358" t="inlineStr">
        <is>
          <t>holodungeon-koyori-vs-hollowlive-in-honsha-tower</t>
        </is>
      </c>
      <c r="J358" s="11" t="inlineStr">
        <is>
          <t>https://store.steampowered.com/app/4215730/HoloDungeon_Koyori_vs_HollowLive_in_Honsha_Tower/</t>
        </is>
      </c>
    </row>
    <row r="359" ht="15" customHeight="1">
      <c r="A359" t="inlineStr">
        <is>
          <t>Hoplite</t>
        </is>
      </c>
      <c r="B359" t="n">
        <v>2013</v>
      </c>
      <c r="C359" t="inlineStr">
        <is>
          <t>Traditional</t>
        </is>
      </c>
      <c r="D359">
        <f>TRUE()</f>
        <v/>
      </c>
      <c r="E359">
        <f>COUNTIF(connections!A:A, A359) &gt; 0</f>
        <v/>
      </c>
      <c r="G359" t="inlineStr">
        <is>
          <t>hoplite</t>
        </is>
      </c>
      <c r="H359" t="inlineStr">
        <is>
          <t>Yes</t>
        </is>
      </c>
      <c r="I359" t="inlineStr">
        <is>
          <t>C:\Users\Owner\Documents\Roguelike Roguelike\Roguelikes\Hoplite.lnk</t>
        </is>
      </c>
    </row>
    <row r="360" ht="15" customHeight="1">
      <c r="A360" t="inlineStr">
        <is>
          <t>House of Necrosis</t>
        </is>
      </c>
      <c r="B360" t="n">
        <v>2025</v>
      </c>
      <c r="C360" t="inlineStr">
        <is>
          <t>Traditional</t>
        </is>
      </c>
      <c r="D360">
        <f>TRUE()</f>
        <v/>
      </c>
      <c r="E360">
        <f>COUNTIF(connections!A:A, A360) &gt; 0</f>
        <v/>
      </c>
      <c r="F360" t="inlineStr">
        <is>
          <t>undead, horror</t>
        </is>
      </c>
      <c r="G360" t="inlineStr">
        <is>
          <t>house-of-necrosis</t>
        </is>
      </c>
    </row>
    <row r="361" ht="15" customHeight="1">
      <c r="A361" t="inlineStr">
        <is>
          <t>How Many Dudes?</t>
        </is>
      </c>
      <c r="B361" t="n">
        <v>2026</v>
      </c>
      <c r="C361" t="inlineStr">
        <is>
          <t>Action</t>
        </is>
      </c>
      <c r="D361">
        <f>TRUE()</f>
        <v/>
      </c>
      <c r="E361">
        <f>COUNTIF(connections!A:A, A361) &gt; 0</f>
        <v/>
      </c>
      <c r="G361" t="inlineStr">
        <is>
          <t>how-many-dudes</t>
        </is>
      </c>
      <c r="J361" s="11" t="inlineStr">
        <is>
          <t>https://store.steampowered.com/app/3934270/How_Many_Dudes/</t>
        </is>
      </c>
    </row>
    <row r="362" ht="15" customHeight="1">
      <c r="A362" t="inlineStr">
        <is>
          <t>Hungry Horrors</t>
        </is>
      </c>
      <c r="B362" t="n">
        <v>2026</v>
      </c>
      <c r="C362" t="inlineStr">
        <is>
          <t>Deckbuilder</t>
        </is>
      </c>
      <c r="D362">
        <f>TRUE()</f>
        <v/>
      </c>
      <c r="E362">
        <f>COUNTIF(connections!A:A, A362) &gt; 0</f>
        <v/>
      </c>
      <c r="G362" t="inlineStr">
        <is>
          <t>hungry-horrors</t>
        </is>
      </c>
    </row>
    <row r="363" ht="15" customHeight="1">
      <c r="A363" t="inlineStr">
        <is>
          <t>Hunter X Hunter: Nen X Survivor</t>
        </is>
      </c>
      <c r="B363" t="n">
        <v>2026</v>
      </c>
      <c r="C363" t="inlineStr">
        <is>
          <t>Action</t>
        </is>
      </c>
      <c r="D363">
        <f>TRUE()</f>
        <v/>
      </c>
      <c r="E363">
        <f>COUNTIF(connections!A:A, A363) &gt; 0</f>
        <v/>
      </c>
      <c r="F363" t="inlineStr">
        <is>
          <t>anime, gacha</t>
        </is>
      </c>
      <c r="G363" t="inlineStr">
        <is>
          <t>hunter-x-hunter-nen-x-survivor</t>
        </is>
      </c>
      <c r="H363" t="inlineStr">
        <is>
          <t>Yes</t>
        </is>
      </c>
      <c r="I363" t="inlineStr">
        <is>
          <t>C:\Users\Owner\Documents\Roguelike Roguelike\Roguelikes\HUNTER×HUNTER NEN×SURVIVOR.lnk</t>
        </is>
      </c>
    </row>
    <row r="364" ht="15" customHeight="1">
      <c r="A364" t="inlineStr">
        <is>
          <t>HyperRogue</t>
        </is>
      </c>
      <c r="B364" t="n">
        <v>2012</v>
      </c>
      <c r="C364" t="inlineStr">
        <is>
          <t>Traditional</t>
        </is>
      </c>
      <c r="D364">
        <f>TRUE()</f>
        <v/>
      </c>
      <c r="E364">
        <f>COUNTIF(connections!A:A, A364) &gt; 0</f>
        <v/>
      </c>
      <c r="G364" t="inlineStr">
        <is>
          <t>hyperrogue</t>
        </is>
      </c>
      <c r="J364" s="11" t="inlineStr">
        <is>
          <t>https://store.steampowered.com/app/342610/HyperRogue/</t>
        </is>
      </c>
    </row>
    <row r="365" ht="15" customHeight="1">
      <c r="A365" t="inlineStr">
        <is>
          <t>I Am Legion: Stand Survivors</t>
        </is>
      </c>
      <c r="B365" t="n">
        <v>2025</v>
      </c>
      <c r="C365" t="inlineStr">
        <is>
          <t>Action</t>
        </is>
      </c>
      <c r="D365">
        <f>TRUE()</f>
        <v/>
      </c>
      <c r="E365">
        <f>COUNTIF(connections!A:A, A365) &gt; 0</f>
        <v/>
      </c>
      <c r="G365" t="inlineStr">
        <is>
          <t>i-am-legion-stand-survivors</t>
        </is>
      </c>
      <c r="H365" t="inlineStr">
        <is>
          <t>Yes</t>
        </is>
      </c>
      <c r="I365" t="inlineStr">
        <is>
          <t>C:\Users\Owner\Documents\Roguelike Roguelike\Roguelikes\I Am Legion Stand Survivors.url</t>
        </is>
      </c>
      <c r="J365" s="1" t="inlineStr">
        <is>
          <t>https://store.steampowered.com/app/3109580/I_Am_Legion_Stand_Survivors/</t>
        </is>
      </c>
    </row>
    <row r="366" ht="15" customHeight="1">
      <c r="A366" t="inlineStr">
        <is>
          <t>I Am Overburdened</t>
        </is>
      </c>
      <c r="B366" t="n">
        <v>2017</v>
      </c>
      <c r="C366" t="inlineStr">
        <is>
          <t>Traditional</t>
        </is>
      </c>
      <c r="D366">
        <f>TRUE()</f>
        <v/>
      </c>
      <c r="E366">
        <f>COUNTIF(connections!A:A, A366) &gt; 0</f>
        <v/>
      </c>
      <c r="G366" t="inlineStr">
        <is>
          <t>i-am-overburdened</t>
        </is>
      </c>
    </row>
    <row r="367" ht="15" customHeight="1">
      <c r="A367" t="inlineStr">
        <is>
          <t>Icewall</t>
        </is>
      </c>
      <c r="B367" t="n">
        <v>2022</v>
      </c>
      <c r="C367" t="inlineStr">
        <is>
          <t>Action</t>
        </is>
      </c>
      <c r="D367">
        <f>TRUE()</f>
        <v/>
      </c>
      <c r="E367">
        <f>COUNTIF(connections!A:A, A367) &gt; 0</f>
        <v/>
      </c>
      <c r="G367" t="inlineStr">
        <is>
          <t>icewall</t>
        </is>
      </c>
      <c r="H367" t="inlineStr">
        <is>
          <t>Yes</t>
        </is>
      </c>
      <c r="I367" t="inlineStr">
        <is>
          <t>C:\Users\Owner\Documents\Roguelike Roguelike\Roguelikes\ICEwall.url</t>
        </is>
      </c>
      <c r="J367" s="1" t="inlineStr">
        <is>
          <t>https://store.steampowered.com/app/1835970/ICEwall/</t>
        </is>
      </c>
    </row>
    <row r="368" ht="15" customHeight="1">
      <c r="A368" t="inlineStr">
        <is>
          <t>Immortal Redneck</t>
        </is>
      </c>
      <c r="B368" t="n">
        <v>2017</v>
      </c>
      <c r="C368" t="inlineStr">
        <is>
          <t>Action</t>
        </is>
      </c>
      <c r="D368">
        <f>TRUE()</f>
        <v/>
      </c>
      <c r="E368">
        <f>COUNTIF(connections!A:A, A368) &gt; 0</f>
        <v/>
      </c>
      <c r="G368" t="inlineStr">
        <is>
          <t>immortal-redneck</t>
        </is>
      </c>
      <c r="H368" t="inlineStr">
        <is>
          <t>Yes</t>
        </is>
      </c>
      <c r="I368" t="inlineStr">
        <is>
          <t>C:\Users\Owner\Documents\Roguelike Roguelike\Roguelikes\Immortal Redneck.url</t>
        </is>
      </c>
      <c r="J368" s="1" t="inlineStr">
        <is>
          <t>https://store.steampowered.com/app/595140/Immortal_Redneck/</t>
        </is>
      </c>
    </row>
    <row r="369" ht="15" customHeight="1">
      <c r="A369" t="inlineStr">
        <is>
          <t>In Celebration of Violence</t>
        </is>
      </c>
      <c r="B369" t="n">
        <v>2016</v>
      </c>
      <c r="C369" t="inlineStr">
        <is>
          <t>Action</t>
        </is>
      </c>
      <c r="D369" t="b">
        <v>1</v>
      </c>
      <c r="E369">
        <f>COUNTIF(connections!A:A, A369) &gt; 0</f>
        <v/>
      </c>
      <c r="G369" t="inlineStr">
        <is>
          <t>in-celebration-of-violence</t>
        </is>
      </c>
      <c r="J369" s="11" t="inlineStr">
        <is>
          <t>https://store.steampowered.com/app/509570/In_Celebration_of_Violence/</t>
        </is>
      </c>
    </row>
    <row r="370" ht="15" customHeight="1">
      <c r="A370" t="inlineStr">
        <is>
          <t>Incursion</t>
        </is>
      </c>
      <c r="B370" t="n">
        <v>2007</v>
      </c>
      <c r="C370" t="inlineStr">
        <is>
          <t>Traditional</t>
        </is>
      </c>
      <c r="D370">
        <f>TRUE()</f>
        <v/>
      </c>
      <c r="E370">
        <f>COUNTIF(connections!A:A, A370) &gt; 0</f>
        <v/>
      </c>
      <c r="G370" t="inlineStr">
        <is>
          <t>incursion</t>
        </is>
      </c>
      <c r="H370" t="inlineStr">
        <is>
          <t>Yes</t>
        </is>
      </c>
      <c r="I370" t="inlineStr">
        <is>
          <t>C:\Users\Owner\Documents\Roguelike Roguelike\Roguelikes\Incursion.lnk</t>
        </is>
      </c>
    </row>
    <row r="371" ht="15" customHeight="1">
      <c r="A371" t="inlineStr">
        <is>
          <t>Infinite Space III: Sea of Stars</t>
        </is>
      </c>
      <c r="B371" t="n">
        <v>2015</v>
      </c>
      <c r="C371" t="inlineStr">
        <is>
          <t>Strategy</t>
        </is>
      </c>
      <c r="D371">
        <f>TRUE()</f>
        <v/>
      </c>
      <c r="E371">
        <f>COUNTIF(connections!A:A, A371) &gt; 0</f>
        <v/>
      </c>
      <c r="G371" t="inlineStr">
        <is>
          <t>infinite-space-iii-sea-of-stars</t>
        </is>
      </c>
    </row>
    <row r="372" ht="15" customHeight="1">
      <c r="A372" t="inlineStr">
        <is>
          <t>Infra Arcana</t>
        </is>
      </c>
      <c r="B372" t="n">
        <v>2011</v>
      </c>
      <c r="C372" t="inlineStr">
        <is>
          <t>Traditional</t>
        </is>
      </c>
      <c r="D372">
        <f>TRUE()</f>
        <v/>
      </c>
      <c r="E372">
        <f>COUNTIF(connections!A:A, A372) &gt; 0</f>
        <v/>
      </c>
      <c r="F372" t="inlineStr">
        <is>
          <t>space</t>
        </is>
      </c>
      <c r="G372" t="inlineStr">
        <is>
          <t>infra-arcana</t>
        </is>
      </c>
      <c r="H372" t="inlineStr">
        <is>
          <t>Yes</t>
        </is>
      </c>
      <c r="I372" t="inlineStr">
        <is>
          <t>C:\Users\Owner\Documents\Roguelike Roguelike\Roguelikes\Infra Arcana.lnk</t>
        </is>
      </c>
    </row>
    <row r="373" ht="15" customHeight="1">
      <c r="A373" t="inlineStr">
        <is>
          <t>Inkbound</t>
        </is>
      </c>
      <c r="B373" t="n">
        <v>2023</v>
      </c>
      <c r="C373" t="inlineStr">
        <is>
          <t>Strategy</t>
        </is>
      </c>
      <c r="D373">
        <f>TRUE()</f>
        <v/>
      </c>
      <c r="E373">
        <f>COUNTIF(connections!A:A, A373) &gt; 0</f>
        <v/>
      </c>
      <c r="G373" t="inlineStr">
        <is>
          <t>inkbound</t>
        </is>
      </c>
      <c r="H373" t="inlineStr">
        <is>
          <t>Yes</t>
        </is>
      </c>
      <c r="I373" t="inlineStr">
        <is>
          <t>C:\Users\Owner\Documents\Roguelike Roguelike\Roguelikes\Inkbound.url</t>
        </is>
      </c>
      <c r="J373" s="11" t="inlineStr">
        <is>
          <t>https://store.steampowered.com/app/1062810/Inkbound/</t>
        </is>
      </c>
    </row>
    <row r="374" ht="15" customHeight="1">
      <c r="A374" t="inlineStr">
        <is>
          <t>Inkshade</t>
        </is>
      </c>
      <c r="B374" t="n">
        <v>2025</v>
      </c>
      <c r="C374" t="inlineStr">
        <is>
          <t>Strategy</t>
        </is>
      </c>
      <c r="D374">
        <f>TRUE()</f>
        <v/>
      </c>
      <c r="E374">
        <f>COUNTIF(connections!A:A, A374) &gt; 0</f>
        <v/>
      </c>
      <c r="G374" t="inlineStr">
        <is>
          <t>inkshade</t>
        </is>
      </c>
      <c r="J374" s="11" t="inlineStr">
        <is>
          <t>https://store.steampowered.com/app/3141310/Inkshade/</t>
        </is>
      </c>
    </row>
    <row r="375" ht="15" customHeight="1">
      <c r="A375" t="inlineStr">
        <is>
          <t>Inscryption</t>
        </is>
      </c>
      <c r="B375" t="n">
        <v>2021</v>
      </c>
      <c r="C375" t="inlineStr">
        <is>
          <t>Deckbuilder</t>
        </is>
      </c>
      <c r="D375">
        <f>TRUE()</f>
        <v/>
      </c>
      <c r="E375">
        <f>COUNTIF(connections!A:A, A375) &gt; 0</f>
        <v/>
      </c>
      <c r="G375" t="inlineStr">
        <is>
          <t>inscryption</t>
        </is>
      </c>
      <c r="H375" t="inlineStr">
        <is>
          <t>Yes</t>
        </is>
      </c>
      <c r="I375" t="inlineStr">
        <is>
          <t>C:\Users\Owner\Documents\Roguelike Roguelike\Roguelikes\Inscryption.url</t>
        </is>
      </c>
      <c r="J375" s="1" t="inlineStr">
        <is>
          <t>https://store.steampowered.com/app/1092790/Inscryption/</t>
        </is>
      </c>
    </row>
    <row r="376" ht="15" customHeight="1">
      <c r="A376" t="inlineStr">
        <is>
          <t>Insurmountable</t>
        </is>
      </c>
      <c r="B376" t="n">
        <v>2021</v>
      </c>
      <c r="C376" t="inlineStr">
        <is>
          <t>Strategy</t>
        </is>
      </c>
      <c r="D376">
        <f>TRUE()</f>
        <v/>
      </c>
      <c r="E376">
        <f>COUNTIF(connections!A:A, A376) &gt; 0</f>
        <v/>
      </c>
      <c r="G376" t="inlineStr">
        <is>
          <t>insurmountable</t>
        </is>
      </c>
      <c r="H376" t="inlineStr">
        <is>
          <t>Yes</t>
        </is>
      </c>
      <c r="I376" t="inlineStr">
        <is>
          <t>C:\Users\Owner\Documents\Roguelike Roguelike\Roguelikes\Insurmountable.url</t>
        </is>
      </c>
      <c r="J376" s="1" t="inlineStr">
        <is>
          <t>https://store.steampowered.com/app/1385100/Insurmountable/</t>
        </is>
      </c>
    </row>
    <row r="377" ht="15" customHeight="1">
      <c r="A377" t="inlineStr">
        <is>
          <t>Into the Breach</t>
        </is>
      </c>
      <c r="B377" t="n">
        <v>2018</v>
      </c>
      <c r="C377" t="inlineStr">
        <is>
          <t>Strategy</t>
        </is>
      </c>
      <c r="D377">
        <f>TRUE()</f>
        <v/>
      </c>
      <c r="E377">
        <f>COUNTIF(connections!A:A, A377) &gt; 0</f>
        <v/>
      </c>
      <c r="F377" t="inlineStr">
        <is>
          <t>space</t>
        </is>
      </c>
      <c r="G377" t="inlineStr">
        <is>
          <t>into-the-breach</t>
        </is>
      </c>
      <c r="H377" t="inlineStr">
        <is>
          <t>Yes</t>
        </is>
      </c>
      <c r="I377" t="inlineStr">
        <is>
          <t>C:\Users\Owner\Documents\Roguelike Roguelike\Roguelikes\Into the Breach.url</t>
        </is>
      </c>
      <c r="J377" s="1" t="inlineStr">
        <is>
          <t>https://store.steampowered.com/app/590380/Into_the_Breach/</t>
        </is>
      </c>
    </row>
    <row r="378" ht="15" customHeight="1">
      <c r="A378" t="inlineStr">
        <is>
          <t>Into The Grid</t>
        </is>
      </c>
      <c r="B378" t="n">
        <v>2025</v>
      </c>
      <c r="C378" t="inlineStr">
        <is>
          <t>Deckbuilder</t>
        </is>
      </c>
      <c r="D378">
        <f>TRUE()</f>
        <v/>
      </c>
      <c r="E378">
        <f>COUNTIF(connections!A:A, A378) &gt; 0</f>
        <v/>
      </c>
      <c r="G378" t="inlineStr">
        <is>
          <t>into-the-grid</t>
        </is>
      </c>
      <c r="J378" s="11" t="inlineStr">
        <is>
          <t>https://store.steampowered.com/app/2576200/Into_The_Grid/</t>
        </is>
      </c>
    </row>
    <row r="379" ht="15" customHeight="1">
      <c r="A379" t="inlineStr">
        <is>
          <t>Iratus: Lord of the Dead</t>
        </is>
      </c>
      <c r="B379" t="n">
        <v>2019</v>
      </c>
      <c r="C379" t="inlineStr">
        <is>
          <t>Strategy</t>
        </is>
      </c>
      <c r="D379">
        <f>TRUE()</f>
        <v/>
      </c>
      <c r="E379">
        <f>COUNTIF(connections!A:A, A379) &gt; 0</f>
        <v/>
      </c>
      <c r="G379" t="inlineStr">
        <is>
          <t>iratus-lord-of-the-dead</t>
        </is>
      </c>
      <c r="H379" t="inlineStr">
        <is>
          <t>Yes</t>
        </is>
      </c>
      <c r="I379" t="inlineStr">
        <is>
          <t>C:\Users\Owner\Documents\Roguelike Roguelike\Roguelikes\Iratus Lord of the Dead.url</t>
        </is>
      </c>
      <c r="J379" s="1" t="inlineStr">
        <is>
          <t>https://store.steampowered.com/app/807120/Iratus_Lord_of_the_Dead/</t>
        </is>
      </c>
    </row>
    <row r="380" ht="15" customHeight="1">
      <c r="A380" t="inlineStr">
        <is>
          <t>Iter Vehemens Ad Necem</t>
        </is>
      </c>
      <c r="B380" t="n">
        <v>2001</v>
      </c>
      <c r="C380" t="inlineStr">
        <is>
          <t>Traditional</t>
        </is>
      </c>
      <c r="D380">
        <f>TRUE()</f>
        <v/>
      </c>
      <c r="E380">
        <f>COUNTIF(connections!A:A, A380) &gt; 0</f>
        <v/>
      </c>
      <c r="G380" t="inlineStr">
        <is>
          <t>iter-vehemens-ad-necem</t>
        </is>
      </c>
      <c r="H380" t="inlineStr">
        <is>
          <t>Yes</t>
        </is>
      </c>
      <c r="I380" t="inlineStr">
        <is>
          <t>C:\Users\Owner\Documents\Roguelike Roguelike\Roguelikes\ivan.lnk</t>
        </is>
      </c>
    </row>
    <row r="381" ht="15" customHeight="1">
      <c r="A381" t="inlineStr">
        <is>
          <t>Izuna 2: The Unemployed Ninja Returns</t>
        </is>
      </c>
      <c r="B381" t="n">
        <v>2007</v>
      </c>
      <c r="C381" t="inlineStr">
        <is>
          <t>Traditional</t>
        </is>
      </c>
      <c r="D381">
        <f>TRUE()</f>
        <v/>
      </c>
      <c r="E381">
        <f>COUNTIF(connections!A:A, A381) &gt; 0</f>
        <v/>
      </c>
      <c r="G381" t="inlineStr">
        <is>
          <t>izuna-2-the-unemployed-ninja-returns</t>
        </is>
      </c>
      <c r="H381" t="inlineStr">
        <is>
          <t>Yes</t>
        </is>
      </c>
      <c r="I381" t="inlineStr">
        <is>
          <t>C:\Users\Owner\Documents\Roguelike Roguelike\Roguelikes\Izuna 2 The Unemployed Ninja Returns.lnk</t>
        </is>
      </c>
    </row>
    <row r="382" ht="15" customHeight="1">
      <c r="A382" t="inlineStr">
        <is>
          <t>Izuna: Legend of the Unemployed Ninja</t>
        </is>
      </c>
      <c r="B382" t="n">
        <v>2006</v>
      </c>
      <c r="C382" t="inlineStr">
        <is>
          <t>Traditional</t>
        </is>
      </c>
      <c r="D382">
        <f>TRUE()</f>
        <v/>
      </c>
      <c r="E382">
        <f>COUNTIF(connections!A:A, A382) &gt; 0</f>
        <v/>
      </c>
      <c r="G382" t="inlineStr">
        <is>
          <t>izuna-legend-of-the-unemployed-ninja</t>
        </is>
      </c>
      <c r="H382" t="inlineStr">
        <is>
          <t>Yes</t>
        </is>
      </c>
      <c r="I382" t="inlineStr">
        <is>
          <t>C:\Users\Owner\Documents\Roguelike Roguelike\Roguelikes\Izuna Legend of the Unemployed Ninja.lnk</t>
        </is>
      </c>
    </row>
    <row r="383" ht="15" customHeight="1">
      <c r="A383" t="inlineStr">
        <is>
          <t>Jotunnslayer: Hordes of Hel</t>
        </is>
      </c>
      <c r="B383" t="n">
        <v>2025</v>
      </c>
      <c r="C383" t="inlineStr">
        <is>
          <t>Action</t>
        </is>
      </c>
      <c r="D383">
        <f>TRUE()</f>
        <v/>
      </c>
      <c r="E383">
        <f>COUNTIF(connections!A:A, A383) &gt; 0</f>
        <v/>
      </c>
      <c r="G383" t="inlineStr">
        <is>
          <t>jotunnslayer-hordes-of-hel</t>
        </is>
      </c>
    </row>
    <row r="384" ht="15" customHeight="1">
      <c r="A384" t="inlineStr">
        <is>
          <t>Juicy Realm</t>
        </is>
      </c>
      <c r="B384" t="n">
        <v>2018</v>
      </c>
      <c r="C384" t="inlineStr">
        <is>
          <t>Action</t>
        </is>
      </c>
      <c r="D384">
        <f>FALSE()</f>
        <v/>
      </c>
      <c r="E384">
        <f>COUNTIF(connections!A:A, A384) &gt; 0</f>
        <v/>
      </c>
      <c r="F384" t="inlineStr">
        <is>
          <t>food</t>
        </is>
      </c>
      <c r="G384" t="inlineStr">
        <is>
          <t>juicy-realm</t>
        </is>
      </c>
    </row>
    <row r="385" ht="15" customHeight="1">
      <c r="A385" t="inlineStr">
        <is>
          <t>Jupiter Hell</t>
        </is>
      </c>
      <c r="B385" t="n">
        <v>2019</v>
      </c>
      <c r="C385" t="inlineStr">
        <is>
          <t>Traditional</t>
        </is>
      </c>
      <c r="D385">
        <f>TRUE()</f>
        <v/>
      </c>
      <c r="E385">
        <f>COUNTIF(connections!A:A, A385) &gt; 0</f>
        <v/>
      </c>
      <c r="F385" t="inlineStr">
        <is>
          <t>space</t>
        </is>
      </c>
      <c r="G385" t="inlineStr">
        <is>
          <t>jupiter-hell</t>
        </is>
      </c>
      <c r="H385" t="inlineStr">
        <is>
          <t>Yes</t>
        </is>
      </c>
      <c r="I385" t="inlineStr">
        <is>
          <t>C:\Users\Owner\Documents\Roguelike Roguelike\Roguelikes\Jupiter Hell.url</t>
        </is>
      </c>
      <c r="J385" s="1" t="inlineStr">
        <is>
          <t>https://store.steampowered.com/app/811320/Jupiter_Hell/</t>
        </is>
      </c>
    </row>
    <row r="386" ht="15" customHeight="1">
      <c r="A386" t="inlineStr">
        <is>
          <t>Just King</t>
        </is>
      </c>
      <c r="B386" t="n">
        <v>2023</v>
      </c>
      <c r="C386" t="inlineStr">
        <is>
          <t>Action</t>
        </is>
      </c>
      <c r="D386">
        <f>TRUE()</f>
        <v/>
      </c>
      <c r="E386">
        <f>COUNTIF(connections!A:A, A386) &gt; 0</f>
        <v/>
      </c>
      <c r="G386" t="inlineStr">
        <is>
          <t>just-king</t>
        </is>
      </c>
      <c r="H386" t="inlineStr">
        <is>
          <t>Yes</t>
        </is>
      </c>
      <c r="I386" t="inlineStr">
        <is>
          <t>C:\Users\Owner\Documents\Roguelike Roguelike\Roguelikes\Just King.url</t>
        </is>
      </c>
      <c r="J386" s="1" t="inlineStr">
        <is>
          <t>https://store.steampowered.com/app/1059980/Just_King/</t>
        </is>
      </c>
    </row>
    <row r="387" ht="15" customHeight="1">
      <c r="A387" t="inlineStr">
        <is>
          <t>Kādomon: Hyper Auto Battlers</t>
        </is>
      </c>
      <c r="B387" t="n">
        <v>2024</v>
      </c>
      <c r="C387" t="inlineStr">
        <is>
          <t>Strategy</t>
        </is>
      </c>
      <c r="D387">
        <f>TRUE()</f>
        <v/>
      </c>
      <c r="E387">
        <f>COUNTIF(connections!A:A, A387) &gt; 0</f>
        <v/>
      </c>
      <c r="G387" t="inlineStr">
        <is>
          <t>kadomon-hyper-auto-battlers</t>
        </is>
      </c>
      <c r="H387" t="inlineStr">
        <is>
          <t>Yes</t>
        </is>
      </c>
      <c r="I387" t="inlineStr">
        <is>
          <t>C:\Users\Owner\Documents\Roguelike Roguelike\Roguelikes\Kādomon Hyper Auto Battlers.url</t>
        </is>
      </c>
      <c r="J387" s="1" t="inlineStr">
        <is>
          <t>https://store.steampowered.com/app/2125540/Kdomon_Hyper_Auto_Battlers/</t>
        </is>
      </c>
    </row>
    <row r="388" ht="15" customHeight="1">
      <c r="A388" t="inlineStr">
        <is>
          <t>Katanaut</t>
        </is>
      </c>
      <c r="B388" t="n">
        <v>2025</v>
      </c>
      <c r="C388" t="inlineStr">
        <is>
          <t>Action</t>
        </is>
      </c>
      <c r="D388">
        <f>TRUE()</f>
        <v/>
      </c>
      <c r="E388">
        <f>COUNTIF(connections!A:A, A388) &gt; 0</f>
        <v/>
      </c>
      <c r="G388" t="inlineStr">
        <is>
          <t>katanaut</t>
        </is>
      </c>
      <c r="J388" s="11" t="inlineStr">
        <is>
          <t>https://store.steampowered.com/app/3032830/Katanaut/</t>
        </is>
      </c>
    </row>
    <row r="389" ht="15" customHeight="1">
      <c r="A389" t="inlineStr">
        <is>
          <t>KeeperRL</t>
        </is>
      </c>
      <c r="B389" t="n">
        <v>2015</v>
      </c>
      <c r="C389" t="inlineStr">
        <is>
          <t>Traditional</t>
        </is>
      </c>
      <c r="D389">
        <f>TRUE()</f>
        <v/>
      </c>
      <c r="E389">
        <f>COUNTIF(connections!A:A, A389) &gt; 0</f>
        <v/>
      </c>
      <c r="G389" t="inlineStr">
        <is>
          <t>keeperrl</t>
        </is>
      </c>
      <c r="H389" t="inlineStr">
        <is>
          <t>Yes</t>
        </is>
      </c>
      <c r="I389" t="inlineStr">
        <is>
          <t>C:\Users\Owner\Documents\Roguelike Roguelike\Roguelikes\KeeperRL.url</t>
        </is>
      </c>
      <c r="J389" s="1" t="inlineStr">
        <is>
          <t>https://store.steampowered.com/app/329970/KeeperRL/</t>
        </is>
      </c>
    </row>
    <row r="390" ht="15" customHeight="1">
      <c r="A390" t="inlineStr">
        <is>
          <t>Keeper's Toll</t>
        </is>
      </c>
      <c r="B390" t="n">
        <v>2023</v>
      </c>
      <c r="C390" t="inlineStr">
        <is>
          <t>Action</t>
        </is>
      </c>
      <c r="D390">
        <f>TRUE()</f>
        <v/>
      </c>
      <c r="E390">
        <f>COUNTIF(connections!A:A, A390) &gt; 0</f>
        <v/>
      </c>
      <c r="G390" t="inlineStr">
        <is>
          <t>keepers-toll</t>
        </is>
      </c>
      <c r="H390" t="inlineStr">
        <is>
          <t>Yes</t>
        </is>
      </c>
      <c r="I390" t="inlineStr">
        <is>
          <t>C:\Users\Owner\Documents\Roguelike Roguelike\Roguelikes\Keeper's Toll.url</t>
        </is>
      </c>
      <c r="J390" s="1" t="inlineStr">
        <is>
          <t>https://store.steampowered.com/app/2002220/Keepers_Toll/</t>
        </is>
      </c>
    </row>
    <row r="391" ht="15" customHeight="1">
      <c r="A391" t="inlineStr">
        <is>
          <t>Kill the Brickman</t>
        </is>
      </c>
      <c r="B391" t="n">
        <v>2025</v>
      </c>
      <c r="C391" t="inlineStr">
        <is>
          <t>Strategy</t>
        </is>
      </c>
      <c r="D391">
        <f>FALSE()</f>
        <v/>
      </c>
      <c r="E391">
        <f>COUNTIF(connections!A:A, A391) &gt; 0</f>
        <v/>
      </c>
      <c r="G391" t="inlineStr">
        <is>
          <t>kill-the-brickman</t>
        </is>
      </c>
    </row>
    <row r="392" ht="15" customHeight="1">
      <c r="A392" t="inlineStr">
        <is>
          <t>Kill The Music</t>
        </is>
      </c>
      <c r="B392" t="n">
        <v>2025</v>
      </c>
      <c r="C392" t="inlineStr">
        <is>
          <t>Action</t>
        </is>
      </c>
      <c r="D392">
        <f>TRUE()</f>
        <v/>
      </c>
      <c r="E392">
        <f>COUNTIF(connections!A:A, A392) &gt; 0</f>
        <v/>
      </c>
      <c r="F392" t="inlineStr">
        <is>
          <t>rhythm</t>
        </is>
      </c>
      <c r="G392" t="inlineStr">
        <is>
          <t>kill-the-music</t>
        </is>
      </c>
      <c r="H392" t="inlineStr">
        <is>
          <t>Yes</t>
        </is>
      </c>
      <c r="I392" t="inlineStr">
        <is>
          <t>C:\Users\Owner\Documents\Roguelike Roguelike\Roguelikes\Kill The Music.url</t>
        </is>
      </c>
      <c r="J392" s="1" t="inlineStr">
        <is>
          <t>https://store.steampowered.com/app/3093050/Kill_The_Music/</t>
        </is>
      </c>
    </row>
    <row r="393" ht="15" customHeight="1">
      <c r="A393" t="inlineStr">
        <is>
          <t>Kingdom: New Lands</t>
        </is>
      </c>
      <c r="B393" t="n">
        <v>2016</v>
      </c>
      <c r="C393" t="inlineStr">
        <is>
          <t>Strategy</t>
        </is>
      </c>
      <c r="D393">
        <f>TRUE()</f>
        <v/>
      </c>
      <c r="E393">
        <f>COUNTIF(connections!A:A, A393) &gt; 0</f>
        <v/>
      </c>
      <c r="G393" t="inlineStr">
        <is>
          <t>kingdom-new-lands</t>
        </is>
      </c>
      <c r="H393" t="inlineStr">
        <is>
          <t>Yes</t>
        </is>
      </c>
      <c r="I393" t="inlineStr">
        <is>
          <t>C:\Users\Owner\Documents\Roguelike Roguelike\Roguelikes\Kingdom New Lands.url</t>
        </is>
      </c>
      <c r="J393" s="1" t="inlineStr">
        <is>
          <t>https://store.steampowered.com/app/496300/Kingdom_New_Lands/</t>
        </is>
      </c>
    </row>
    <row r="394" ht="15" customHeight="1">
      <c r="A394" t="inlineStr">
        <is>
          <t>Kitty Survivors: Rogues of Catmere</t>
        </is>
      </c>
      <c r="B394" t="n">
        <v>2023</v>
      </c>
      <c r="C394" t="inlineStr">
        <is>
          <t>Action</t>
        </is>
      </c>
      <c r="D394">
        <f>TRUE()</f>
        <v/>
      </c>
      <c r="E394">
        <f>COUNTIF(connections!A:A, A394) &gt; 0</f>
        <v/>
      </c>
      <c r="F394" t="inlineStr">
        <is>
          <t>cats</t>
        </is>
      </c>
      <c r="G394" t="inlineStr">
        <is>
          <t>kitty-survivors-rogues-of-catmere</t>
        </is>
      </c>
      <c r="H394" t="inlineStr">
        <is>
          <t>Yes</t>
        </is>
      </c>
      <c r="I394" t="inlineStr">
        <is>
          <t>C:\Users\Owner\Documents\Roguelike Roguelike\Roguelikes\Kitty Survivors Rogues of Catmere.url</t>
        </is>
      </c>
      <c r="J394" s="1" t="inlineStr">
        <is>
          <t>https://store.steampowered.com/app/2217740/Kitty_Survivors_Rogues_of_Catmere/</t>
        </is>
      </c>
    </row>
    <row r="395" ht="15" customHeight="1">
      <c r="A395" t="inlineStr">
        <is>
          <t>Knightica</t>
        </is>
      </c>
      <c r="B395" t="n">
        <v>2025</v>
      </c>
      <c r="C395" t="inlineStr">
        <is>
          <t>Strategy</t>
        </is>
      </c>
      <c r="D395">
        <f>TRUE()</f>
        <v/>
      </c>
      <c r="E395">
        <f>COUNTIF(connections!A:A, A395) &gt; 0</f>
        <v/>
      </c>
      <c r="F395" t="inlineStr">
        <is>
          <t>knights</t>
        </is>
      </c>
      <c r="G395" t="inlineStr">
        <is>
          <t>knightica</t>
        </is>
      </c>
      <c r="H395" t="inlineStr">
        <is>
          <t>Yes</t>
        </is>
      </c>
      <c r="I395" t="inlineStr">
        <is>
          <t>C:\Users\Owner\Documents\Roguelike Roguelike\Roguelikes\Knightica.url</t>
        </is>
      </c>
      <c r="J395" s="1" t="inlineStr">
        <is>
          <t>https://store.steampowered.com/app/3093400/Knightica/</t>
        </is>
      </c>
    </row>
    <row r="396" ht="15" customHeight="1">
      <c r="A396" t="inlineStr">
        <is>
          <t>Knights in Tight Spaces</t>
        </is>
      </c>
      <c r="B396" t="n">
        <v>2025</v>
      </c>
      <c r="C396" t="inlineStr">
        <is>
          <t>Deckbuilder</t>
        </is>
      </c>
      <c r="D396">
        <f>TRUE()</f>
        <v/>
      </c>
      <c r="E396">
        <f>COUNTIF(connections!A:A, A396) &gt; 0</f>
        <v/>
      </c>
      <c r="F396" t="inlineStr">
        <is>
          <t>knights</t>
        </is>
      </c>
      <c r="G396" t="inlineStr">
        <is>
          <t>knights-in-tight-spaces</t>
        </is>
      </c>
      <c r="H396" t="inlineStr">
        <is>
          <t>Yes</t>
        </is>
      </c>
      <c r="I396" t="inlineStr">
        <is>
          <t>C:\Users\Owner\Documents\Roguelike Roguelike\Roguelikes\Knights in Tight Spaces.url</t>
        </is>
      </c>
      <c r="J396" s="1" t="inlineStr">
        <is>
          <t>https://store.steampowered.com/app/2315400/Knights_in_Tight_Spaces/</t>
        </is>
      </c>
    </row>
    <row r="397" ht="15" customHeight="1">
      <c r="A397" t="inlineStr">
        <is>
          <t>Knock on the Coffin Lid</t>
        </is>
      </c>
      <c r="B397" t="n">
        <v>2020</v>
      </c>
      <c r="C397" t="inlineStr">
        <is>
          <t>Deckbuilder</t>
        </is>
      </c>
      <c r="D397">
        <f>TRUE()</f>
        <v/>
      </c>
      <c r="E397">
        <f>COUNTIF(connections!A:A, A397) &gt; 0</f>
        <v/>
      </c>
      <c r="G397" t="inlineStr">
        <is>
          <t>knock-on-the-coffin-lid</t>
        </is>
      </c>
    </row>
    <row r="398" ht="15" customHeight="1">
      <c r="A398" t="inlineStr">
        <is>
          <t>Labyrinth of Legendary Loot</t>
        </is>
      </c>
      <c r="B398" t="n">
        <v>2020</v>
      </c>
      <c r="C398" t="inlineStr">
        <is>
          <t>Traditional</t>
        </is>
      </c>
      <c r="D398">
        <f>TRUE()</f>
        <v/>
      </c>
      <c r="E398">
        <f>COUNTIF(connections!A:A, A398) &gt; 0</f>
        <v/>
      </c>
      <c r="G398" t="inlineStr">
        <is>
          <t>labyrinth-of-legendary-loot</t>
        </is>
      </c>
      <c r="H398" t="inlineStr">
        <is>
          <t>Yes</t>
        </is>
      </c>
      <c r="I398" t="inlineStr">
        <is>
          <t>C:\Users\Owner\Documents\Roguelike Roguelike\Roguelikes\LabyrinthOfLegendaryLoot.lnk</t>
        </is>
      </c>
    </row>
    <row r="399" ht="15" customHeight="1">
      <c r="A399" t="inlineStr">
        <is>
          <t>Lake of Creatures</t>
        </is>
      </c>
      <c r="B399" t="n">
        <v>2024</v>
      </c>
      <c r="C399" t="inlineStr">
        <is>
          <t>Action</t>
        </is>
      </c>
      <c r="D399">
        <f>TRUE()</f>
        <v/>
      </c>
      <c r="E399">
        <f>COUNTIF(connections!A:A, A399) &gt; 0</f>
        <v/>
      </c>
      <c r="F399" t="inlineStr">
        <is>
          <t>maritime</t>
        </is>
      </c>
      <c r="G399" t="inlineStr">
        <is>
          <t>lake-of-creatures</t>
        </is>
      </c>
      <c r="H399" t="inlineStr">
        <is>
          <t>Yes</t>
        </is>
      </c>
      <c r="I399" t="inlineStr">
        <is>
          <t>C:\Users\Owner\Documents\Roguelike Roguelike\Roguelikes\Lake of Creatures.url</t>
        </is>
      </c>
      <c r="J399" s="1" t="inlineStr">
        <is>
          <t>https://store.steampowered.com/app/1808320/Lake_of_Creatures/</t>
        </is>
      </c>
    </row>
    <row r="400" ht="15" customHeight="1">
      <c r="A400" t="inlineStr">
        <is>
          <t>LambdaRogue: The Book of Stars</t>
        </is>
      </c>
      <c r="B400" t="n">
        <v>2006</v>
      </c>
      <c r="C400" t="inlineStr">
        <is>
          <t>Traditional</t>
        </is>
      </c>
      <c r="D400">
        <f>TRUE()</f>
        <v/>
      </c>
      <c r="E400">
        <f>COUNTIF(connections!A:A, A400) &gt; 0</f>
        <v/>
      </c>
      <c r="G400" t="inlineStr">
        <is>
          <t>lambdarogue-the-book-of-stars</t>
        </is>
      </c>
      <c r="H400" t="inlineStr">
        <is>
          <t>Yes</t>
        </is>
      </c>
      <c r="I400" t="inlineStr">
        <is>
          <t>C:\Users\Owner\Documents\Roguelike Roguelike\Roguelikes\lambdarogue.lnk</t>
        </is>
      </c>
    </row>
    <row r="401" ht="15" customHeight="1">
      <c r="A401" t="inlineStr">
        <is>
          <t>Larn</t>
        </is>
      </c>
      <c r="B401" t="n">
        <v>1986</v>
      </c>
      <c r="C401" t="inlineStr">
        <is>
          <t>Traditional</t>
        </is>
      </c>
      <c r="D401">
        <f>TRUE()</f>
        <v/>
      </c>
      <c r="E401">
        <f>COUNTIF(connections!A:A, A401) &gt; 0</f>
        <v/>
      </c>
      <c r="G401" t="inlineStr">
        <is>
          <t>larn</t>
        </is>
      </c>
      <c r="H401" t="inlineStr">
        <is>
          <t>Yes</t>
        </is>
      </c>
      <c r="I401" t="inlineStr">
        <is>
          <t>C:\Users\Owner\Documents\Roguelike Roguelike\Roguelikes\Larn.url</t>
        </is>
      </c>
    </row>
    <row r="402" ht="15" customHeight="1">
      <c r="A402" t="inlineStr">
        <is>
          <t>Legend of Keepers: Career of a Dungeon Manager</t>
        </is>
      </c>
      <c r="B402" t="n">
        <v>2019</v>
      </c>
      <c r="C402" t="inlineStr">
        <is>
          <t>Strategy</t>
        </is>
      </c>
      <c r="D402">
        <f>TRUE()</f>
        <v/>
      </c>
      <c r="E402">
        <f>COUNTIF(connections!A:A, A402) &gt; 0</f>
        <v/>
      </c>
      <c r="G402" t="inlineStr">
        <is>
          <t>legend-of-keepers-career-of-a-dungeon-manager</t>
        </is>
      </c>
      <c r="H402" t="inlineStr">
        <is>
          <t>Yes</t>
        </is>
      </c>
      <c r="I402" t="inlineStr">
        <is>
          <t>C:\Users\Owner\Documents\Roguelike Roguelike\Roguelikes\Legend of Keepers.url</t>
        </is>
      </c>
      <c r="J402" s="1" t="inlineStr">
        <is>
          <t>https://store.steampowered.com/app/978520/Legend_of_Keepers_Career_of_a_Dungeon_Manager/</t>
        </is>
      </c>
    </row>
    <row r="403" ht="15" customHeight="1">
      <c r="A403" t="inlineStr">
        <is>
          <t>Let Him Cook</t>
        </is>
      </c>
      <c r="B403" t="n">
        <v>2024</v>
      </c>
      <c r="C403" t="inlineStr">
        <is>
          <t>Action</t>
        </is>
      </c>
      <c r="D403">
        <f>TRUE()</f>
        <v/>
      </c>
      <c r="E403">
        <f>COUNTIF(connections!A:A, A403) &gt; 0</f>
        <v/>
      </c>
      <c r="F403" t="inlineStr">
        <is>
          <t>food</t>
        </is>
      </c>
      <c r="G403" t="inlineStr">
        <is>
          <t>let-him-cook</t>
        </is>
      </c>
    </row>
    <row r="404" ht="15" customHeight="1">
      <c r="A404" t="inlineStr">
        <is>
          <t>Lethal Dungeon</t>
        </is>
      </c>
      <c r="B404" t="n">
        <v>2026</v>
      </c>
      <c r="C404" t="inlineStr">
        <is>
          <t>Deckbuilder</t>
        </is>
      </c>
      <c r="D404">
        <f>FALSE()</f>
        <v/>
      </c>
      <c r="E404">
        <f>COUNTIF(connections!A:A, A404) &gt; 0</f>
        <v/>
      </c>
      <c r="G404" t="inlineStr">
        <is>
          <t>lethal-dungeon</t>
        </is>
      </c>
    </row>
    <row r="405" ht="15" customHeight="1">
      <c r="A405" t="inlineStr">
        <is>
          <t>Let's! Revolution!</t>
        </is>
      </c>
      <c r="B405" t="n">
        <v>2023</v>
      </c>
      <c r="C405" t="inlineStr">
        <is>
          <t>Strategy</t>
        </is>
      </c>
      <c r="D405">
        <f>FALSE()</f>
        <v/>
      </c>
      <c r="E405">
        <f>COUNTIF(connections!A:A, A405) &gt; 0</f>
        <v/>
      </c>
      <c r="G405" t="inlineStr">
        <is>
          <t>lets-revolution</t>
        </is>
      </c>
      <c r="H405" t="inlineStr">
        <is>
          <t>Yes</t>
        </is>
      </c>
      <c r="I405" t="inlineStr">
        <is>
          <t>C:\Users\Owner\Documents\Roguelike Roguelike\Roguelikes\Let's! Revolution!.url</t>
        </is>
      </c>
      <c r="J405" s="1" t="inlineStr">
        <is>
          <t>https://store.steampowered.com/app/2111090/Lets_Revolution/</t>
        </is>
      </c>
    </row>
    <row r="406" ht="15" customHeight="1">
      <c r="A406" t="inlineStr">
        <is>
          <t>Linley's Dungeon Crawl</t>
        </is>
      </c>
      <c r="B406" t="n">
        <v>1995</v>
      </c>
      <c r="C406" t="inlineStr">
        <is>
          <t>Traditional</t>
        </is>
      </c>
      <c r="D406">
        <f>TRUE()</f>
        <v/>
      </c>
      <c r="E406">
        <f>COUNTIF(connections!A:A, A406) &gt; 0</f>
        <v/>
      </c>
      <c r="G406" t="inlineStr">
        <is>
          <t>linleys-dungeon-crawl</t>
        </is>
      </c>
      <c r="H406" t="inlineStr">
        <is>
          <t>Yes</t>
        </is>
      </c>
      <c r="I406" t="inlineStr">
        <is>
          <t>C:\Users\Owner\Documents\Roguelike Roguelike\Roguelikes\Linley's Dungeon Crawl.lnk</t>
        </is>
      </c>
    </row>
    <row r="407" ht="15" customHeight="1">
      <c r="A407" t="inlineStr">
        <is>
          <t>Lone Ruin</t>
        </is>
      </c>
      <c r="B407" t="n">
        <v>2023</v>
      </c>
      <c r="C407" t="inlineStr">
        <is>
          <t>Action</t>
        </is>
      </c>
      <c r="D407">
        <f>TRUE()</f>
        <v/>
      </c>
      <c r="E407">
        <f>COUNTIF(connections!A:A, A407) &gt; 0</f>
        <v/>
      </c>
      <c r="G407" t="inlineStr">
        <is>
          <t>lone-ruin</t>
        </is>
      </c>
      <c r="H407" t="inlineStr">
        <is>
          <t>Yes</t>
        </is>
      </c>
      <c r="I407" t="inlineStr">
        <is>
          <t>C:\Users\Owner\Documents\Roguelike Roguelike\Roguelikes\Lone Ruin.url</t>
        </is>
      </c>
      <c r="J407" s="1" t="inlineStr">
        <is>
          <t>https://store.steampowered.com/app/1452070/LONE_RUIN/</t>
        </is>
      </c>
    </row>
    <row r="408" ht="15" customHeight="1">
      <c r="A408" t="inlineStr">
        <is>
          <t>LoneStar</t>
        </is>
      </c>
      <c r="B408" t="n">
        <v>2024</v>
      </c>
      <c r="C408" t="inlineStr">
        <is>
          <t>Strategy</t>
        </is>
      </c>
      <c r="D408">
        <f>TRUE()</f>
        <v/>
      </c>
      <c r="E408">
        <f>COUNTIF(connections!A:A, A408) &gt; 0</f>
        <v/>
      </c>
      <c r="F408" t="inlineStr">
        <is>
          <t>space</t>
        </is>
      </c>
      <c r="G408" t="inlineStr">
        <is>
          <t>lonestar</t>
        </is>
      </c>
      <c r="H408" t="inlineStr">
        <is>
          <t>Yes</t>
        </is>
      </c>
      <c r="I408" t="inlineStr">
        <is>
          <t>C:\Users\Owner\Documents\Roguelike Roguelike\Roguelikes\LONESTAR.url</t>
        </is>
      </c>
      <c r="J408" s="1" t="inlineStr">
        <is>
          <t>https://store.steampowered.com/app/2056210/LONESTAR/</t>
        </is>
      </c>
    </row>
    <row r="409" ht="15" customHeight="1">
      <c r="A409" t="inlineStr">
        <is>
          <t>Loop Hero</t>
        </is>
      </c>
      <c r="B409" t="n">
        <v>2021</v>
      </c>
      <c r="C409" t="inlineStr">
        <is>
          <t>Strategy</t>
        </is>
      </c>
      <c r="D409">
        <f>TRUE()</f>
        <v/>
      </c>
      <c r="E409">
        <f>COUNTIF(connections!A:A, A409) &gt; 0</f>
        <v/>
      </c>
      <c r="G409" t="inlineStr">
        <is>
          <t>loop-hero</t>
        </is>
      </c>
      <c r="H409" t="inlineStr">
        <is>
          <t>Yes</t>
        </is>
      </c>
      <c r="I409" t="inlineStr">
        <is>
          <t>C:\Users\Owner\Documents\Roguelike Roguelike\Roguelikes\Loop Hero.url</t>
        </is>
      </c>
      <c r="J409" s="1" t="inlineStr">
        <is>
          <t>https://store.steampowered.com/app/1282730/Loop_Hero/</t>
        </is>
      </c>
    </row>
    <row r="410" ht="15" customHeight="1">
      <c r="A410" t="inlineStr">
        <is>
          <t>Loot Rascals</t>
        </is>
      </c>
      <c r="B410" t="n">
        <v>2017</v>
      </c>
      <c r="C410" t="inlineStr">
        <is>
          <t>Strategy</t>
        </is>
      </c>
      <c r="D410">
        <f>TRUE()</f>
        <v/>
      </c>
      <c r="E410">
        <f>COUNTIF(connections!A:A, A410) &gt; 0</f>
        <v/>
      </c>
      <c r="G410" t="inlineStr">
        <is>
          <t>loot-rascals</t>
        </is>
      </c>
    </row>
    <row r="411" ht="15" customHeight="1">
      <c r="A411" t="inlineStr">
        <is>
          <t>Loot River</t>
        </is>
      </c>
      <c r="B411" t="n">
        <v>2022</v>
      </c>
      <c r="C411" t="inlineStr">
        <is>
          <t>Strategy</t>
        </is>
      </c>
      <c r="D411">
        <f>FALSE()</f>
        <v/>
      </c>
      <c r="E411">
        <f>COUNTIF(connections!A:A, A411) &gt; 0</f>
        <v/>
      </c>
      <c r="F411" t="inlineStr">
        <is>
          <t>maritime</t>
        </is>
      </c>
      <c r="G411" t="inlineStr">
        <is>
          <t>loot-river</t>
        </is>
      </c>
      <c r="H411" t="inlineStr">
        <is>
          <t>Yes</t>
        </is>
      </c>
      <c r="I411" t="inlineStr">
        <is>
          <t>C:\Users\Owner\Documents\Roguelike Roguelike\Roguelikes\Loot River.url</t>
        </is>
      </c>
      <c r="J411" s="1" t="inlineStr">
        <is>
          <t>https://store.steampowered.com/app/1494260/Loot_River/</t>
        </is>
      </c>
    </row>
    <row r="412" ht="15" customHeight="1">
      <c r="A412" t="inlineStr">
        <is>
          <t>Lootplot</t>
        </is>
      </c>
      <c r="B412" t="n">
        <v>2025</v>
      </c>
      <c r="C412" t="inlineStr">
        <is>
          <t>Strategy</t>
        </is>
      </c>
      <c r="D412">
        <f>TRUE()</f>
        <v/>
      </c>
      <c r="E412">
        <f>COUNTIF(connections!A:A, A412) &gt; 0</f>
        <v/>
      </c>
      <c r="G412" t="inlineStr">
        <is>
          <t>lootplot</t>
        </is>
      </c>
    </row>
    <row r="413" ht="15" customHeight="1">
      <c r="A413" t="inlineStr">
        <is>
          <t>Lort</t>
        </is>
      </c>
      <c r="B413" t="n">
        <v>2026</v>
      </c>
      <c r="C413" t="inlineStr">
        <is>
          <t>Action</t>
        </is>
      </c>
      <c r="D413">
        <f>TRUE()</f>
        <v/>
      </c>
      <c r="E413">
        <f>COUNTIF(connections!A:A, A413) &gt; 0</f>
        <v/>
      </c>
      <c r="G413" t="inlineStr">
        <is>
          <t>lort</t>
        </is>
      </c>
    </row>
    <row r="414" ht="15" customHeight="1">
      <c r="A414" t="inlineStr">
        <is>
          <t>Lost Flame</t>
        </is>
      </c>
      <c r="B414" t="n">
        <v>2019</v>
      </c>
      <c r="C414" t="inlineStr">
        <is>
          <t>Traditional</t>
        </is>
      </c>
      <c r="D414">
        <f>TRUE()</f>
        <v/>
      </c>
      <c r="E414">
        <f>COUNTIF(connections!A:A, A414) &gt; 0</f>
        <v/>
      </c>
      <c r="G414" t="inlineStr">
        <is>
          <t>lost-flame</t>
        </is>
      </c>
    </row>
    <row r="415" ht="15" customHeight="1">
      <c r="A415" t="inlineStr">
        <is>
          <t>Lost For Swords</t>
        </is>
      </c>
      <c r="B415" t="n">
        <v>2023</v>
      </c>
      <c r="C415" t="inlineStr">
        <is>
          <t>Deckbuilder</t>
        </is>
      </c>
      <c r="D415">
        <f>TRUE()</f>
        <v/>
      </c>
      <c r="E415">
        <f>COUNTIF(connections!A:A, A415) &gt; 0</f>
        <v/>
      </c>
      <c r="G415" t="inlineStr">
        <is>
          <t>lost-for-swords</t>
        </is>
      </c>
      <c r="J415" s="11" t="inlineStr">
        <is>
          <t>https://store.steampowered.com/app/2638050/Lost_For_Swords/</t>
        </is>
      </c>
    </row>
    <row r="416" ht="15" customHeight="1">
      <c r="A416" t="inlineStr">
        <is>
          <t>Lost In Fantaland</t>
        </is>
      </c>
      <c r="B416" t="n">
        <v>2022</v>
      </c>
      <c r="C416" t="inlineStr">
        <is>
          <t>Deckbuilder</t>
        </is>
      </c>
      <c r="D416">
        <f>TRUE()</f>
        <v/>
      </c>
      <c r="E416">
        <f>COUNTIF(connections!A:A, A416) &gt; 0</f>
        <v/>
      </c>
      <c r="G416" t="inlineStr">
        <is>
          <t>lost-in-fantaland</t>
        </is>
      </c>
    </row>
    <row r="417" ht="15" customHeight="1">
      <c r="A417" t="inlineStr">
        <is>
          <t>Lost in Random: The Eternal Die</t>
        </is>
      </c>
      <c r="B417" t="n">
        <v>2025</v>
      </c>
      <c r="C417" t="inlineStr">
        <is>
          <t>Action</t>
        </is>
      </c>
      <c r="D417">
        <f>TRUE()</f>
        <v/>
      </c>
      <c r="E417">
        <f>COUNTIF(connections!A:A, A417) &gt; 0</f>
        <v/>
      </c>
      <c r="G417" t="inlineStr">
        <is>
          <t>lost-in-random-the-eternal-die</t>
        </is>
      </c>
    </row>
    <row r="418" ht="15" customHeight="1">
      <c r="A418" t="inlineStr">
        <is>
          <t>Lost Labyrinth</t>
        </is>
      </c>
      <c r="B418" t="n">
        <v>2001</v>
      </c>
      <c r="C418" t="inlineStr">
        <is>
          <t>Traditional</t>
        </is>
      </c>
      <c r="D418">
        <f>TRUE()</f>
        <v/>
      </c>
      <c r="E418">
        <f>COUNTIF(connections!A:A, A418) &gt; 0</f>
        <v/>
      </c>
      <c r="G418" t="inlineStr">
        <is>
          <t>lost-labyrinth</t>
        </is>
      </c>
    </row>
    <row r="419" ht="15" customHeight="1">
      <c r="A419" t="inlineStr">
        <is>
          <t>Luck &amp; Loot</t>
        </is>
      </c>
      <c r="B419" t="n">
        <v>2024</v>
      </c>
      <c r="C419" t="inlineStr">
        <is>
          <t>Deckbuilder</t>
        </is>
      </c>
      <c r="D419">
        <f>TRUE()</f>
        <v/>
      </c>
      <c r="E419">
        <f>COUNTIF(connections!A:A, A419) &gt; 0</f>
        <v/>
      </c>
      <c r="G419" t="inlineStr">
        <is>
          <t>luck-loot</t>
        </is>
      </c>
    </row>
    <row r="420" ht="15" customHeight="1">
      <c r="A420" t="inlineStr">
        <is>
          <t>Luck be a Landlord</t>
        </is>
      </c>
      <c r="B420" t="n">
        <v>2021</v>
      </c>
      <c r="C420" t="inlineStr">
        <is>
          <t>Deckbuilder</t>
        </is>
      </c>
      <c r="D420">
        <f>TRUE()</f>
        <v/>
      </c>
      <c r="E420">
        <f>COUNTIF(connections!A:A, A420) &gt; 0</f>
        <v/>
      </c>
      <c r="F420" t="inlineStr">
        <is>
          <t>casino</t>
        </is>
      </c>
      <c r="G420" t="inlineStr">
        <is>
          <t>luck-be-a-landlord</t>
        </is>
      </c>
      <c r="H420" t="inlineStr">
        <is>
          <t>Yes</t>
        </is>
      </c>
      <c r="I420" t="inlineStr">
        <is>
          <t>C:\Users\Owner\Documents\Roguelike Roguelike\Roguelikes\Luck be a Landlord.url</t>
        </is>
      </c>
      <c r="J420" s="1" t="inlineStr">
        <is>
          <t>https://store.steampowered.com/app/1404850/Luck_be_a_Landlord/</t>
        </is>
      </c>
    </row>
    <row r="421" ht="15" customHeight="1">
      <c r="A421" t="inlineStr">
        <is>
          <t>Lucky Hero</t>
        </is>
      </c>
      <c r="B421" t="n">
        <v>2023</v>
      </c>
      <c r="C421" t="inlineStr">
        <is>
          <t>Deckbuilder</t>
        </is>
      </c>
      <c r="D421">
        <f>TRUE()</f>
        <v/>
      </c>
      <c r="E421">
        <f>COUNTIF(connections!A:A, A421) &gt; 0</f>
        <v/>
      </c>
      <c r="F421" t="inlineStr">
        <is>
          <t>casino</t>
        </is>
      </c>
      <c r="G421" t="inlineStr">
        <is>
          <t>lucky-hero</t>
        </is>
      </c>
      <c r="H421" t="inlineStr">
        <is>
          <t>Yes</t>
        </is>
      </c>
      <c r="I421" t="inlineStr">
        <is>
          <t>C:\Users\Owner\Documents\Roguelike Roguelike\Roguelikes\Lucky Hero.url</t>
        </is>
      </c>
      <c r="J421" s="1" t="inlineStr">
        <is>
          <t>https://store.steampowered.com/app/2404510/Lucky_Hero/</t>
        </is>
      </c>
    </row>
    <row r="422" ht="15" customHeight="1">
      <c r="A422" t="inlineStr">
        <is>
          <t>Lucky Shot</t>
        </is>
      </c>
      <c r="B422" t="n">
        <v>2026</v>
      </c>
      <c r="C422" t="inlineStr">
        <is>
          <t>Action</t>
        </is>
      </c>
      <c r="D422">
        <f>TRUE()</f>
        <v/>
      </c>
      <c r="E422">
        <f>COUNTIF(connections!A:A, A422) &gt; 0</f>
        <v/>
      </c>
      <c r="G422" t="inlineStr">
        <is>
          <t>lucky-shot</t>
        </is>
      </c>
      <c r="J422" s="11" t="inlineStr">
        <is>
          <t>https://store.steampowered.com/app/4092940/Lucky_Shot/</t>
        </is>
      </c>
    </row>
    <row r="423" ht="15" customHeight="1">
      <c r="A423" t="inlineStr">
        <is>
          <t>Lunchbreak Tactics</t>
        </is>
      </c>
      <c r="B423" t="n">
        <v>2026</v>
      </c>
      <c r="C423" t="inlineStr">
        <is>
          <t>Strategy</t>
        </is>
      </c>
      <c r="D423">
        <f>TRUE()</f>
        <v/>
      </c>
      <c r="E423">
        <f>COUNTIF(connections!A:A, A423) &gt; 0</f>
        <v/>
      </c>
      <c r="F423" t="inlineStr">
        <is>
          <t>food</t>
        </is>
      </c>
      <c r="G423" t="inlineStr">
        <is>
          <t>lunchbreak-tactics</t>
        </is>
      </c>
    </row>
    <row r="424" ht="16.5" customHeight="1">
      <c r="A424" t="inlineStr">
        <is>
          <t>Mad King Redemption</t>
        </is>
      </c>
      <c r="B424" t="n">
        <v>2026</v>
      </c>
      <c r="C424" t="inlineStr">
        <is>
          <t>Action</t>
        </is>
      </c>
      <c r="D424">
        <f>FALSE()</f>
        <v/>
      </c>
      <c r="E424">
        <f>COUNTIF(connections!A:A, A424) &gt; 0</f>
        <v/>
      </c>
      <c r="G424" t="inlineStr">
        <is>
          <t>mad-king-redemption</t>
        </is>
      </c>
      <c r="J424" s="1" t="inlineStr">
        <is>
          <t>https://store.steampowered.com/app/2369580/Mad_King_Redemption/</t>
        </is>
      </c>
    </row>
    <row r="425" ht="15" customHeight="1">
      <c r="A425" t="inlineStr">
        <is>
          <t>Magic Survival</t>
        </is>
      </c>
      <c r="B425" t="n">
        <v>2019</v>
      </c>
      <c r="C425" t="inlineStr">
        <is>
          <t>Action</t>
        </is>
      </c>
      <c r="D425">
        <f>TRUE()</f>
        <v/>
      </c>
      <c r="E425">
        <f>COUNTIF(connections!A:A, A425) &gt; 0</f>
        <v/>
      </c>
      <c r="G425" t="inlineStr">
        <is>
          <t>magic-survival</t>
        </is>
      </c>
    </row>
    <row r="426" ht="15" customHeight="1">
      <c r="A426" t="inlineStr">
        <is>
          <t>Magicraft</t>
        </is>
      </c>
      <c r="B426" t="n">
        <v>2023</v>
      </c>
      <c r="C426" t="inlineStr">
        <is>
          <t>Action</t>
        </is>
      </c>
      <c r="D426">
        <f>TRUE()</f>
        <v/>
      </c>
      <c r="E426">
        <f>COUNTIF(connections!A:A, A426) &gt; 0</f>
        <v/>
      </c>
      <c r="G426" t="inlineStr">
        <is>
          <t>magicraft</t>
        </is>
      </c>
    </row>
    <row r="427" ht="15" customHeight="1">
      <c r="A427" t="inlineStr">
        <is>
          <t>Maid Survivors: Little Angels</t>
        </is>
      </c>
      <c r="B427" t="n">
        <v>2025</v>
      </c>
      <c r="C427" t="inlineStr">
        <is>
          <t>Action</t>
        </is>
      </c>
      <c r="D427">
        <f>TRUE()</f>
        <v/>
      </c>
      <c r="E427">
        <f>COUNTIF(connections!A:A, A427) &gt; 0</f>
        <v/>
      </c>
      <c r="G427" t="inlineStr">
        <is>
          <t>maid-survivors-little-angels</t>
        </is>
      </c>
    </row>
    <row r="428" ht="15" customHeight="1">
      <c r="A428" t="inlineStr">
        <is>
          <t>Mainframe Defenders</t>
        </is>
      </c>
      <c r="B428" t="n">
        <v>2020</v>
      </c>
      <c r="C428" t="inlineStr">
        <is>
          <t>Traditional</t>
        </is>
      </c>
      <c r="D428">
        <f>TRUE()</f>
        <v/>
      </c>
      <c r="E428">
        <f>COUNTIF(connections!A:A, A428) &gt; 0</f>
        <v/>
      </c>
      <c r="G428" t="inlineStr">
        <is>
          <t>mainframe-defenders</t>
        </is>
      </c>
      <c r="H428" t="inlineStr">
        <is>
          <t>Yes</t>
        </is>
      </c>
      <c r="I428" t="inlineStr">
        <is>
          <t>C:\Users\Owner\Documents\Roguelike Roguelike\Roguelikes\Mainframe Defenders.url</t>
        </is>
      </c>
      <c r="J428" s="1" t="inlineStr">
        <is>
          <t>https://store.steampowered.com/app/1184810/Mainframe_Defenders/</t>
        </is>
      </c>
    </row>
    <row r="429" ht="15" customHeight="1">
      <c r="A429" t="inlineStr">
        <is>
          <t>Mana Spark</t>
        </is>
      </c>
      <c r="B429" t="n">
        <v>2018</v>
      </c>
      <c r="C429" t="inlineStr">
        <is>
          <t>Action</t>
        </is>
      </c>
      <c r="D429">
        <f>TRUE()</f>
        <v/>
      </c>
      <c r="E429">
        <f>COUNTIF(connections!A:A, A429) &gt; 0</f>
        <v/>
      </c>
      <c r="G429" t="inlineStr">
        <is>
          <t>mana-spark</t>
        </is>
      </c>
      <c r="H429" t="inlineStr">
        <is>
          <t>Yes</t>
        </is>
      </c>
      <c r="I429" t="inlineStr">
        <is>
          <t>C:\Users\Owner\Documents\Roguelike Roguelike\Roguelikes\Mana Spark.url</t>
        </is>
      </c>
      <c r="J429" s="1" t="inlineStr">
        <is>
          <t>https://store.steampowered.com/app/630720/Mana_Spark/</t>
        </is>
      </c>
    </row>
    <row r="430" ht="15" customHeight="1">
      <c r="A430" t="inlineStr">
        <is>
          <t>Masks of the Void: Origins</t>
        </is>
      </c>
      <c r="B430" t="n">
        <v>2025</v>
      </c>
      <c r="C430" t="inlineStr">
        <is>
          <t>Action</t>
        </is>
      </c>
      <c r="D430">
        <f>TRUE()</f>
        <v/>
      </c>
      <c r="E430">
        <f>COUNTIF(connections!A:A, A430) &gt; 0</f>
        <v/>
      </c>
      <c r="G430" t="inlineStr">
        <is>
          <t>masks-of-the-void-origins</t>
        </is>
      </c>
      <c r="H430" t="inlineStr">
        <is>
          <t>Yes</t>
        </is>
      </c>
      <c r="I430" t="inlineStr">
        <is>
          <t>C:\Users\Owner\Documents\Roguelike Roguelike\Roguelikes\Masks of the Void Origins.url</t>
        </is>
      </c>
      <c r="J430" s="11" t="inlineStr">
        <is>
          <t>https://store.steampowered.com/app/2542350/Masks_of_the_Void_Origins/</t>
        </is>
      </c>
    </row>
    <row r="431" ht="15" customHeight="1">
      <c r="A431" t="inlineStr">
        <is>
          <t>Master of Piece</t>
        </is>
      </c>
      <c r="B431" t="n">
        <v>2026</v>
      </c>
      <c r="C431" t="inlineStr">
        <is>
          <t>Deckbuilder</t>
        </is>
      </c>
      <c r="D431">
        <f>TRUE()</f>
        <v/>
      </c>
      <c r="E431">
        <f>COUNTIF(connections!A:A, A431) &gt; 0</f>
        <v/>
      </c>
      <c r="G431" t="inlineStr">
        <is>
          <t>master-of-piece</t>
        </is>
      </c>
      <c r="J431" s="11" t="inlineStr">
        <is>
          <t>https://store.steampowered.com/app/3009310/Master_of_Piece/</t>
        </is>
      </c>
    </row>
    <row r="432" ht="15" customHeight="1">
      <c r="A432" t="inlineStr">
        <is>
          <t>Maze Mice</t>
        </is>
      </c>
      <c r="B432" t="n">
        <v>2025</v>
      </c>
      <c r="C432" t="inlineStr">
        <is>
          <t>Action</t>
        </is>
      </c>
      <c r="D432">
        <f>TRUE()</f>
        <v/>
      </c>
      <c r="E432">
        <f>COUNTIF(connections!A:A, A432) &gt; 0</f>
        <v/>
      </c>
      <c r="G432" t="inlineStr">
        <is>
          <t>maze-mice</t>
        </is>
      </c>
      <c r="H432" t="inlineStr">
        <is>
          <t>Yes</t>
        </is>
      </c>
      <c r="I432" t="inlineStr">
        <is>
          <t>C:\Users\Owner\Documents\Roguelike Roguelike\Roguelikes\Maze Mice.url</t>
        </is>
      </c>
      <c r="J432" s="1" t="inlineStr">
        <is>
          <t>https://store.steampowered.com/app/3385370/Maze_Mice/</t>
        </is>
      </c>
    </row>
    <row r="433" ht="15" customHeight="1">
      <c r="A433" t="inlineStr">
        <is>
          <t>Mechanibot</t>
        </is>
      </c>
      <c r="B433" t="n">
        <v>2022</v>
      </c>
      <c r="C433" t="inlineStr">
        <is>
          <t>Strategy</t>
        </is>
      </c>
      <c r="D433">
        <f>FALSE()</f>
        <v/>
      </c>
      <c r="E433">
        <f>COUNTIF(connections!A:A, A433) &gt; 0</f>
        <v/>
      </c>
      <c r="G433" t="inlineStr">
        <is>
          <t>mechanibot</t>
        </is>
      </c>
      <c r="H433" t="inlineStr">
        <is>
          <t>Yes</t>
        </is>
      </c>
      <c r="I433" t="inlineStr">
        <is>
          <t>C:\Users\Owner\Documents\Roguelike Roguelike\Roguelikes\Mechanibot.url</t>
        </is>
      </c>
      <c r="J433" s="1" t="inlineStr">
        <is>
          <t>https://store.steampowered.com/app/1842510/Mechanibot/</t>
        </is>
      </c>
    </row>
    <row r="434" ht="15" customHeight="1">
      <c r="A434" t="inlineStr">
        <is>
          <t>Megabonk</t>
        </is>
      </c>
      <c r="B434" t="n">
        <v>2025</v>
      </c>
      <c r="C434" t="inlineStr">
        <is>
          <t>Action</t>
        </is>
      </c>
      <c r="D434">
        <f>TRUE()</f>
        <v/>
      </c>
      <c r="E434">
        <f>COUNTIF(connections!A:A, A434) &gt; 0</f>
        <v/>
      </c>
      <c r="G434" t="inlineStr">
        <is>
          <t>megabonk</t>
        </is>
      </c>
      <c r="H434" t="inlineStr">
        <is>
          <t>Yes</t>
        </is>
      </c>
      <c r="I434" t="inlineStr">
        <is>
          <t>C:\Users\Owner\Documents\Roguelike Roguelike\Roguelikes\Megabonk.url</t>
        </is>
      </c>
      <c r="J434" s="1" t="inlineStr">
        <is>
          <t>https://store.steampowered.com/app/3405340/Megabonk/</t>
        </is>
      </c>
    </row>
    <row r="435" ht="15" customHeight="1">
      <c r="A435" t="inlineStr">
        <is>
          <t>Meme Mayhem</t>
        </is>
      </c>
      <c r="B435" t="n">
        <v>2024</v>
      </c>
      <c r="C435" t="inlineStr">
        <is>
          <t>Deckbuilder</t>
        </is>
      </c>
      <c r="D435">
        <f>TRUE()</f>
        <v/>
      </c>
      <c r="E435">
        <f>COUNTIF(connections!A:A, A435) &gt; 0</f>
        <v/>
      </c>
      <c r="G435" t="inlineStr">
        <is>
          <t>meme-mayhem</t>
        </is>
      </c>
    </row>
    <row r="436" ht="15" customHeight="1">
      <c r="A436" t="inlineStr">
        <is>
          <t>Menace from the Deep</t>
        </is>
      </c>
      <c r="B436" t="n">
        <v>2024</v>
      </c>
      <c r="C436" t="inlineStr">
        <is>
          <t>Deckbuilder</t>
        </is>
      </c>
      <c r="D436">
        <f>TRUE()</f>
        <v/>
      </c>
      <c r="E436">
        <f>COUNTIF(connections!A:A, A436) &gt; 0</f>
        <v/>
      </c>
      <c r="G436" t="inlineStr">
        <is>
          <t>menace-from-the-deep</t>
        </is>
      </c>
      <c r="H436" t="inlineStr">
        <is>
          <t>Yes</t>
        </is>
      </c>
      <c r="I436" t="inlineStr">
        <is>
          <t>C:\Users\Owner\Documents\Roguelike Roguelike\Roguelikes\Menace from the Deep.url</t>
        </is>
      </c>
      <c r="J436" s="1" t="inlineStr">
        <is>
          <t>https://store.steampowered.com/app/2644610/Menace_from_the_Deep/</t>
        </is>
      </c>
    </row>
    <row r="437" ht="15" customHeight="1">
      <c r="A437" t="inlineStr">
        <is>
          <t>Menherarium</t>
        </is>
      </c>
      <c r="B437" t="n">
        <v>2026</v>
      </c>
      <c r="C437" t="inlineStr">
        <is>
          <t>Deckbuilder</t>
        </is>
      </c>
      <c r="D437">
        <f>TRUE()</f>
        <v/>
      </c>
      <c r="E437">
        <f>COUNTIF(connections!A:A, A437) &gt; 0</f>
        <v/>
      </c>
      <c r="G437" t="inlineStr">
        <is>
          <t>menherarium</t>
        </is>
      </c>
    </row>
    <row r="438" ht="15" customHeight="1">
      <c r="A438" t="inlineStr">
        <is>
          <t>Merge Maestro</t>
        </is>
      </c>
      <c r="B438" t="n">
        <v>2025</v>
      </c>
      <c r="C438" t="inlineStr">
        <is>
          <t>Deckbuilder</t>
        </is>
      </c>
      <c r="D438">
        <f>TRUE()</f>
        <v/>
      </c>
      <c r="E438">
        <f>COUNTIF(connections!A:A, A438) &gt; 0</f>
        <v/>
      </c>
      <c r="G438" t="inlineStr">
        <is>
          <t>merge-maestro</t>
        </is>
      </c>
      <c r="H438" t="inlineStr">
        <is>
          <t>Yes</t>
        </is>
      </c>
      <c r="I438" t="inlineStr">
        <is>
          <t>C:\Users\Owner\Documents\Roguelike Roguelike\Roguelikes\Merge Maestro.url</t>
        </is>
      </c>
      <c r="J438" s="1" t="inlineStr">
        <is>
          <t>https://store.steampowered.com/app/3519530/Merge_Maestro/</t>
        </is>
      </c>
    </row>
    <row r="439" ht="15" customHeight="1">
      <c r="A439" t="inlineStr">
        <is>
          <t>Metal Slug Tactics</t>
        </is>
      </c>
      <c r="B439" t="n">
        <v>2024</v>
      </c>
      <c r="C439" t="inlineStr">
        <is>
          <t>Strategy</t>
        </is>
      </c>
      <c r="D439">
        <f>TRUE()</f>
        <v/>
      </c>
      <c r="E439">
        <f>COUNTIF(connections!A:A, A439) &gt; 0</f>
        <v/>
      </c>
      <c r="G439" t="inlineStr">
        <is>
          <t>metal-slug-tactics</t>
        </is>
      </c>
      <c r="H439" t="inlineStr">
        <is>
          <t>Yes</t>
        </is>
      </c>
      <c r="I439" t="inlineStr">
        <is>
          <t>C:\Users\Owner\Documents\Roguelike Roguelike\Roguelikes\Metal Slug Tactics.url</t>
        </is>
      </c>
      <c r="J439" s="1" t="inlineStr">
        <is>
          <t>https://store.steampowered.com/app/1590760/Metal_Slug_Tactics/</t>
        </is>
      </c>
    </row>
    <row r="440" ht="15" customHeight="1">
      <c r="A440" t="inlineStr">
        <is>
          <t>Metal Unit</t>
        </is>
      </c>
      <c r="B440" t="n">
        <v>2020</v>
      </c>
      <c r="C440" t="inlineStr">
        <is>
          <t>Action</t>
        </is>
      </c>
      <c r="D440">
        <f>TRUE()</f>
        <v/>
      </c>
      <c r="E440">
        <f>COUNTIF(connections!A:A, A440) &gt; 0</f>
        <v/>
      </c>
      <c r="G440" t="inlineStr">
        <is>
          <t>metal-unit</t>
        </is>
      </c>
      <c r="H440" t="inlineStr">
        <is>
          <t>Yes</t>
        </is>
      </c>
      <c r="I440" t="inlineStr">
        <is>
          <t>C:\Users\Owner\Documents\Roguelike Roguelike\Roguelikes\Metal Unit.url</t>
        </is>
      </c>
      <c r="J440" s="1" t="inlineStr">
        <is>
          <t>https://store.steampowered.com/app/1173200/Metal_Unit/</t>
        </is>
      </c>
    </row>
    <row r="441" ht="15" customHeight="1">
      <c r="A441" t="inlineStr">
        <is>
          <t>Metallic Child</t>
        </is>
      </c>
      <c r="B441" t="n">
        <v>2021</v>
      </c>
      <c r="C441" t="inlineStr">
        <is>
          <t>Action</t>
        </is>
      </c>
      <c r="D441">
        <f>FALSE()</f>
        <v/>
      </c>
      <c r="E441">
        <f>COUNTIF(connections!A:A, A441) &gt; 0</f>
        <v/>
      </c>
      <c r="G441" t="inlineStr">
        <is>
          <t>metallic-child</t>
        </is>
      </c>
      <c r="H441" t="inlineStr">
        <is>
          <t>Yes</t>
        </is>
      </c>
      <c r="I441" t="inlineStr">
        <is>
          <t>C:\Users\Owner\Documents\Roguelike Roguelike\Roguelikes\METALLIC CHILD.url</t>
        </is>
      </c>
      <c r="J441" s="1" t="inlineStr">
        <is>
          <t>https://store.steampowered.com/app/1490610/METALLIC_CHILD/</t>
        </is>
      </c>
    </row>
    <row r="442" ht="15" customHeight="1">
      <c r="A442" t="inlineStr">
        <is>
          <t>Mewgenics</t>
        </is>
      </c>
      <c r="B442" t="n">
        <v>2026</v>
      </c>
      <c r="C442" t="inlineStr">
        <is>
          <t>Strategy</t>
        </is>
      </c>
      <c r="D442">
        <f>TRUE()</f>
        <v/>
      </c>
      <c r="E442">
        <f>COUNTIF(connections!A:A, A442) &gt; 0</f>
        <v/>
      </c>
      <c r="F442" t="inlineStr">
        <is>
          <t>cats</t>
        </is>
      </c>
      <c r="G442" t="inlineStr">
        <is>
          <t>mewgenics</t>
        </is>
      </c>
      <c r="H442" t="inlineStr">
        <is>
          <t>Yes</t>
        </is>
      </c>
      <c r="I442" t="inlineStr">
        <is>
          <t>C:\Users\Owner\Documents\Roguelike Roguelike\Roguelikes\Mewgenics.url</t>
        </is>
      </c>
      <c r="J442" s="1" t="inlineStr">
        <is>
          <t>https://store.steampowered.com/app/686060/Mewgenics/</t>
        </is>
      </c>
    </row>
    <row r="443" ht="15" customHeight="1">
      <c r="A443" t="inlineStr">
        <is>
          <t>Million Depth</t>
        </is>
      </c>
      <c r="B443" t="n">
        <v>2025</v>
      </c>
      <c r="C443" t="inlineStr">
        <is>
          <t>Action</t>
        </is>
      </c>
      <c r="D443">
        <f>FALSE()</f>
        <v/>
      </c>
      <c r="E443">
        <f>COUNTIF(connections!A:A, A443) &gt; 0</f>
        <v/>
      </c>
      <c r="G443" t="inlineStr">
        <is>
          <t>million-depth</t>
        </is>
      </c>
    </row>
    <row r="444" ht="15" customHeight="1">
      <c r="A444" t="inlineStr">
        <is>
          <t>Mimic Logic</t>
        </is>
      </c>
      <c r="B444" t="n">
        <v>2024</v>
      </c>
      <c r="C444" t="inlineStr">
        <is>
          <t>Strategy</t>
        </is>
      </c>
      <c r="D444">
        <f>FALSE()</f>
        <v/>
      </c>
      <c r="E444">
        <f>COUNTIF(connections!A:A, A444) &gt; 0</f>
        <v/>
      </c>
      <c r="G444" t="inlineStr">
        <is>
          <t>mimic-logic</t>
        </is>
      </c>
      <c r="H444" t="inlineStr">
        <is>
          <t>Yes</t>
        </is>
      </c>
      <c r="I444" t="inlineStr">
        <is>
          <t>C:\Users\Owner\Documents\Roguelike Roguelike\Roguelikes\Mimic Logic.url</t>
        </is>
      </c>
      <c r="J444" s="1" t="inlineStr">
        <is>
          <t>https://store.steampowered.com/app/2455920/Mimic_Logic/</t>
        </is>
      </c>
    </row>
    <row r="445" ht="15" customHeight="1">
      <c r="A445" t="inlineStr">
        <is>
          <t>Miracle Chou Party: Sanae to Tenshi no Gensou Labyrinth</t>
        </is>
      </c>
      <c r="B445" t="n">
        <v>2012</v>
      </c>
      <c r="C445" t="inlineStr">
        <is>
          <t>Traditional</t>
        </is>
      </c>
      <c r="D445">
        <f>TRUE()</f>
        <v/>
      </c>
      <c r="E445">
        <f>COUNTIF(connections!A:A, A445) &gt; 0</f>
        <v/>
      </c>
      <c r="F445" t="inlineStr">
        <is>
          <t>touhou</t>
        </is>
      </c>
      <c r="G445" t="inlineStr">
        <is>
          <t>miracle-chou-party-sanae-to-tenshi-no-gensou-labyrinth</t>
        </is>
      </c>
    </row>
    <row r="446" ht="15" customHeight="1">
      <c r="A446" t="inlineStr">
        <is>
          <t>Miracle Party: Fushigi no Gensoukyou 2</t>
        </is>
      </c>
      <c r="B446" t="n">
        <v>2011</v>
      </c>
      <c r="C446" t="inlineStr">
        <is>
          <t>Traditional</t>
        </is>
      </c>
      <c r="D446">
        <f>TRUE()</f>
        <v/>
      </c>
      <c r="E446">
        <f>COUNTIF(connections!A:A, A446) &gt; 0</f>
        <v/>
      </c>
      <c r="F446" t="inlineStr">
        <is>
          <t>touhou</t>
        </is>
      </c>
      <c r="G446" t="inlineStr">
        <is>
          <t>miracle-party-fushigi-no-gensoukyou-2</t>
        </is>
      </c>
    </row>
    <row r="447" ht="15" customHeight="1">
      <c r="A447" t="inlineStr">
        <is>
          <t>Mission: Thunderbolt</t>
        </is>
      </c>
      <c r="B447" t="n">
        <v>1987</v>
      </c>
      <c r="C447" t="inlineStr">
        <is>
          <t>Traditional</t>
        </is>
      </c>
      <c r="D447" t="b">
        <v>1</v>
      </c>
      <c r="E447">
        <f>COUNTIF(connections!A:A, A447) &gt; 0</f>
        <v/>
      </c>
      <c r="G447" t="inlineStr">
        <is>
          <t>mission-thunderbolt</t>
        </is>
      </c>
      <c r="H447" t="inlineStr">
        <is>
          <t>Yes</t>
        </is>
      </c>
      <c r="I447" t="inlineStr">
        <is>
          <t>C:\Users\Owner\Documents\Roguelike Roguelike\Roguelikes\mission - thunderbolt.lnk</t>
        </is>
      </c>
    </row>
    <row r="448" ht="15" customHeight="1">
      <c r="A448" t="inlineStr">
        <is>
          <t>Mistrogue: Mist and the Living Dungeons</t>
        </is>
      </c>
      <c r="B448" t="n">
        <v>2023</v>
      </c>
      <c r="C448" t="inlineStr">
        <is>
          <t>Action</t>
        </is>
      </c>
      <c r="D448">
        <f>TRUE()</f>
        <v/>
      </c>
      <c r="E448">
        <f>COUNTIF(connections!A:A, A448) &gt; 0</f>
        <v/>
      </c>
      <c r="G448" t="inlineStr">
        <is>
          <t>mistrogue-mist-and-the-living-dungeons</t>
        </is>
      </c>
      <c r="H448" t="inlineStr">
        <is>
          <t>Yes</t>
        </is>
      </c>
      <c r="I448" t="inlineStr">
        <is>
          <t>C:\Users\Owner\Documents\Roguelike Roguelike\Roguelikes\MISTROGUE Mist and the Living Dungeons.url</t>
        </is>
      </c>
      <c r="J448" s="1" t="inlineStr">
        <is>
          <t>https://store.steampowered.com/app/2102320/MISTROGUE_Mist_and_the_Living_Dungeons/</t>
        </is>
      </c>
    </row>
    <row r="449" ht="15" customHeight="1">
      <c r="A449" t="inlineStr">
        <is>
          <t>Mobmania</t>
        </is>
      </c>
      <c r="B449" t="n">
        <v>2022</v>
      </c>
      <c r="C449" t="inlineStr">
        <is>
          <t>Action</t>
        </is>
      </c>
      <c r="D449">
        <f>TRUE()</f>
        <v/>
      </c>
      <c r="E449">
        <f>COUNTIF(connections!A:A, A449) &gt; 0</f>
        <v/>
      </c>
      <c r="G449" t="inlineStr">
        <is>
          <t>mobmania</t>
        </is>
      </c>
    </row>
    <row r="450" ht="15" customHeight="1">
      <c r="A450" t="inlineStr">
        <is>
          <t>Monmusu Gladiator</t>
        </is>
      </c>
      <c r="B450" t="n">
        <v>2021</v>
      </c>
      <c r="C450" t="inlineStr">
        <is>
          <t>Deckbuilder</t>
        </is>
      </c>
      <c r="D450">
        <f>TRUE()</f>
        <v/>
      </c>
      <c r="E450">
        <f>COUNTIF(connections!A:A, A450) &gt; 0</f>
        <v/>
      </c>
      <c r="G450" t="inlineStr">
        <is>
          <t>monmusu-gladiator</t>
        </is>
      </c>
      <c r="H450" t="inlineStr">
        <is>
          <t>Yes</t>
        </is>
      </c>
      <c r="I450" t="inlineStr">
        <is>
          <t>C:\Users\Owner\Documents\Roguelike Roguelike\Roguelikes\Monmusu Gladiator.url</t>
        </is>
      </c>
      <c r="J450" s="1" t="inlineStr">
        <is>
          <t>https://store.steampowered.com/app/1660290/Monmusu_Gladiator/</t>
        </is>
      </c>
    </row>
    <row r="451" ht="15" customHeight="1">
      <c r="A451" t="inlineStr">
        <is>
          <t>Monster Gate</t>
        </is>
      </c>
      <c r="B451" t="n">
        <v>2002</v>
      </c>
      <c r="C451" t="inlineStr">
        <is>
          <t>Traditional</t>
        </is>
      </c>
      <c r="D451">
        <f>TRUE()</f>
        <v/>
      </c>
      <c r="E451">
        <f>COUNTIF(connections!A:A, A451) &gt; 0</f>
        <v/>
      </c>
      <c r="G451" t="inlineStr">
        <is>
          <t>monster-gate</t>
        </is>
      </c>
      <c r="H451" t="inlineStr">
        <is>
          <t>Yes</t>
        </is>
      </c>
      <c r="I451" t="inlineStr">
        <is>
          <t>C:\Users\Owner\Documents\Roguelike Roguelike\Roguelikes\Monster Gate.lnk</t>
        </is>
      </c>
    </row>
    <row r="452" ht="15" customHeight="1">
      <c r="A452" t="inlineStr">
        <is>
          <t>Monster Gate: Ooinaru Dungeon - Fuuin no Orb</t>
        </is>
      </c>
      <c r="B452" t="n">
        <v>2003</v>
      </c>
      <c r="C452" t="inlineStr">
        <is>
          <t>Traditional</t>
        </is>
      </c>
      <c r="D452">
        <f>TRUE()</f>
        <v/>
      </c>
      <c r="E452">
        <f>COUNTIF(connections!A:A, A452) &gt; 0</f>
        <v/>
      </c>
      <c r="G452" t="inlineStr">
        <is>
          <t>monster-gate-ooinaru-dungeon-fuuin-no-orb</t>
        </is>
      </c>
      <c r="H452" t="inlineStr">
        <is>
          <t>Yes</t>
        </is>
      </c>
      <c r="I452" t="inlineStr">
        <is>
          <t>C:\Users\Owner\Documents\Roguelike Roguelike\Roguelikes\Monster Gate Ooinaru Dungeon - Fuuin no Orb.lnk</t>
        </is>
      </c>
    </row>
    <row r="453" ht="15" customHeight="1">
      <c r="A453" t="inlineStr">
        <is>
          <t>Monster Girls and the Mysterious Adventure</t>
        </is>
      </c>
      <c r="B453" t="n">
        <v>2020</v>
      </c>
      <c r="C453" t="inlineStr">
        <is>
          <t>Traditional</t>
        </is>
      </c>
      <c r="D453">
        <f>TRUE()</f>
        <v/>
      </c>
      <c r="E453">
        <f>COUNTIF(connections!A:A, A453) &gt; 0</f>
        <v/>
      </c>
      <c r="G453" t="inlineStr">
        <is>
          <t>monster-girls-and-the-mysterious-adventure</t>
        </is>
      </c>
    </row>
    <row r="454" ht="15" customHeight="1">
      <c r="A454" t="inlineStr">
        <is>
          <t>Monster Girls and the Mysterious Adventure 2</t>
        </is>
      </c>
      <c r="B454" t="n">
        <v>2022</v>
      </c>
      <c r="C454" t="inlineStr">
        <is>
          <t>Traditional</t>
        </is>
      </c>
      <c r="D454">
        <f>TRUE()</f>
        <v/>
      </c>
      <c r="E454">
        <f>COUNTIF(connections!A:A, A454) &gt; 0</f>
        <v/>
      </c>
      <c r="G454" t="inlineStr">
        <is>
          <t>monster-girls-and-the-mysterious-adventure-2</t>
        </is>
      </c>
    </row>
    <row r="455" ht="15" customHeight="1">
      <c r="A455" t="inlineStr">
        <is>
          <t>Monster Slayers</t>
        </is>
      </c>
      <c r="B455" t="n">
        <v>2017</v>
      </c>
      <c r="C455" t="inlineStr">
        <is>
          <t>Deckbuilder</t>
        </is>
      </c>
      <c r="D455">
        <f>TRUE()</f>
        <v/>
      </c>
      <c r="E455">
        <f>COUNTIF(connections!A:A, A455) &gt; 0</f>
        <v/>
      </c>
      <c r="G455" t="inlineStr">
        <is>
          <t>monster-slayers</t>
        </is>
      </c>
      <c r="H455" t="inlineStr">
        <is>
          <t>Yes</t>
        </is>
      </c>
      <c r="I455" t="inlineStr">
        <is>
          <t>C:\Users\Owner\Documents\Roguelike Roguelike\Roguelikes\Monster Slayers.url</t>
        </is>
      </c>
      <c r="J455" s="1" t="inlineStr">
        <is>
          <t>https://store.steampowered.com/app/496620/Monster_Slayers/</t>
        </is>
      </c>
    </row>
    <row r="456" ht="15" customHeight="1">
      <c r="A456" t="inlineStr">
        <is>
          <t>Monster Train</t>
        </is>
      </c>
      <c r="B456" t="n">
        <v>2020</v>
      </c>
      <c r="C456" t="inlineStr">
        <is>
          <t>Deckbuilder</t>
        </is>
      </c>
      <c r="D456">
        <f>TRUE()</f>
        <v/>
      </c>
      <c r="E456">
        <f>COUNTIF(connections!A:A, A456) &gt; 0</f>
        <v/>
      </c>
      <c r="G456" t="inlineStr">
        <is>
          <t>monster-train</t>
        </is>
      </c>
      <c r="H456" t="inlineStr">
        <is>
          <t>Yes</t>
        </is>
      </c>
      <c r="I456" t="inlineStr">
        <is>
          <t>C:\Users\Owner\Documents\Roguelike Roguelike\Roguelikes\Monster Train.url</t>
        </is>
      </c>
      <c r="J456" s="1" t="inlineStr">
        <is>
          <t>https://store.steampowered.com/app/1102190/Monster_Train/</t>
        </is>
      </c>
    </row>
    <row r="457" ht="15" customHeight="1">
      <c r="A457" t="inlineStr">
        <is>
          <t>Monster Train 2</t>
        </is>
      </c>
      <c r="B457" t="n">
        <v>2025</v>
      </c>
      <c r="C457" t="inlineStr">
        <is>
          <t>Deckbuilder</t>
        </is>
      </c>
      <c r="D457">
        <f>TRUE()</f>
        <v/>
      </c>
      <c r="E457">
        <f>COUNTIF(connections!A:A, A457) &gt; 0</f>
        <v/>
      </c>
      <c r="G457" t="inlineStr">
        <is>
          <t>monster-train-2</t>
        </is>
      </c>
    </row>
    <row r="458" ht="15" customHeight="1">
      <c r="A458" t="inlineStr">
        <is>
          <t>Monsters are Coming!</t>
        </is>
      </c>
      <c r="B458" t="n">
        <v>2025</v>
      </c>
      <c r="C458" t="inlineStr">
        <is>
          <t>Action</t>
        </is>
      </c>
      <c r="D458">
        <f>TRUE()</f>
        <v/>
      </c>
      <c r="E458">
        <f>COUNTIF(connections!A:A, A458) &gt; 0</f>
        <v/>
      </c>
      <c r="G458" t="inlineStr">
        <is>
          <t>monsters-are-coming</t>
        </is>
      </c>
      <c r="H458" t="inlineStr">
        <is>
          <t>Yes</t>
        </is>
      </c>
      <c r="I458" t="inlineStr">
        <is>
          <t>C:\Users\Owner\Documents\Roguelike Roguelike\Roguelikes\Monsters are Coming!.url</t>
        </is>
      </c>
      <c r="J458" s="1" t="inlineStr">
        <is>
          <t>https://store.steampowered.com/app/2934220/Monsters_are_Coming/</t>
        </is>
      </c>
    </row>
    <row r="459" ht="15" customHeight="1">
      <c r="A459" t="inlineStr">
        <is>
          <t>Monstrum</t>
        </is>
      </c>
      <c r="B459" t="n">
        <v>2015</v>
      </c>
      <c r="C459" t="inlineStr">
        <is>
          <t>Action</t>
        </is>
      </c>
      <c r="D459">
        <f>TRUE()</f>
        <v/>
      </c>
      <c r="E459">
        <f>COUNTIF(connections!A:A, A459) &gt; 0</f>
        <v/>
      </c>
      <c r="G459" t="inlineStr">
        <is>
          <t>monstrum</t>
        </is>
      </c>
      <c r="H459" t="inlineStr">
        <is>
          <t>Yes</t>
        </is>
      </c>
      <c r="I459" t="inlineStr">
        <is>
          <t>C:\Users\Owner\Documents\Roguelike Roguelike\Roguelikes\Monstrum.url</t>
        </is>
      </c>
      <c r="J459" s="1" t="inlineStr">
        <is>
          <t>https://store.steampowered.com/app/296710/Monstrum/</t>
        </is>
      </c>
    </row>
    <row r="460" ht="15" customHeight="1">
      <c r="A460" t="inlineStr">
        <is>
          <t>Montabi</t>
        </is>
      </c>
      <c r="B460" t="n">
        <v>2026</v>
      </c>
      <c r="C460" t="inlineStr">
        <is>
          <t>Deckbuilder</t>
        </is>
      </c>
      <c r="D460">
        <f>TRUE()</f>
        <v/>
      </c>
      <c r="E460">
        <f>COUNTIF(connections!A:A, A460) &gt; 0</f>
        <v/>
      </c>
      <c r="G460" t="inlineStr">
        <is>
          <t>montabi</t>
        </is>
      </c>
      <c r="J460" s="11" t="inlineStr">
        <is>
          <t>https://store.steampowered.com/app/3141630/Montabi/</t>
        </is>
      </c>
    </row>
    <row r="461" ht="15" customHeight="1">
      <c r="A461" t="inlineStr">
        <is>
          <t>Moon Hunters</t>
        </is>
      </c>
      <c r="B461" t="n">
        <v>2016</v>
      </c>
      <c r="C461" t="inlineStr">
        <is>
          <t>Action</t>
        </is>
      </c>
      <c r="D461">
        <f>FALSE()</f>
        <v/>
      </c>
      <c r="E461">
        <f>COUNTIF(connections!A:A, A461) &gt; 0</f>
        <v/>
      </c>
      <c r="G461" t="inlineStr">
        <is>
          <t>moon-hunters</t>
        </is>
      </c>
      <c r="H461" t="inlineStr">
        <is>
          <t>Yes</t>
        </is>
      </c>
      <c r="I461" t="inlineStr">
        <is>
          <t>C:\Users\Owner\Documents\Roguelike Roguelike\Roguelikes\Moon Hunters.url</t>
        </is>
      </c>
      <c r="J461" s="1" t="inlineStr">
        <is>
          <t>https://store.steampowered.com/app/320040/Moon_Hunters/</t>
        </is>
      </c>
    </row>
    <row r="462" ht="15" customHeight="1">
      <c r="A462" t="inlineStr">
        <is>
          <t>Moon Watch</t>
        </is>
      </c>
      <c r="B462" t="n">
        <v>2024</v>
      </c>
      <c r="C462" t="inlineStr">
        <is>
          <t>Action</t>
        </is>
      </c>
      <c r="D462">
        <f>TRUE()</f>
        <v/>
      </c>
      <c r="E462">
        <f>COUNTIF(connections!A:A, A462) &gt; 0</f>
        <v/>
      </c>
      <c r="G462" t="inlineStr">
        <is>
          <t>moon-watch</t>
        </is>
      </c>
    </row>
    <row r="463" ht="15" customHeight="1">
      <c r="A463" t="inlineStr">
        <is>
          <t>Moonlighter</t>
        </is>
      </c>
      <c r="B463" t="n">
        <v>2018</v>
      </c>
      <c r="C463" t="inlineStr">
        <is>
          <t>Action</t>
        </is>
      </c>
      <c r="D463">
        <f>TRUE()</f>
        <v/>
      </c>
      <c r="E463">
        <f>COUNTIF(connections!A:A, A463) &gt; 0</f>
        <v/>
      </c>
      <c r="G463" t="inlineStr">
        <is>
          <t>moonlighter</t>
        </is>
      </c>
      <c r="H463" t="inlineStr">
        <is>
          <t>Yes</t>
        </is>
      </c>
      <c r="I463" t="inlineStr">
        <is>
          <t>C:\Users\Owner\Documents\Roguelike Roguelike\Roguelikes\Moonlighter.url</t>
        </is>
      </c>
      <c r="J463" s="1" t="inlineStr">
        <is>
          <t>https://store.steampowered.com/app/606150/Moonlighter/</t>
        </is>
      </c>
    </row>
    <row r="464" ht="15" customHeight="1">
      <c r="A464" t="inlineStr">
        <is>
          <t>Moonlighter 2: The Endless Vault</t>
        </is>
      </c>
      <c r="B464" t="n">
        <v>2025</v>
      </c>
      <c r="C464" t="inlineStr">
        <is>
          <t>Action</t>
        </is>
      </c>
      <c r="D464">
        <f>TRUE()</f>
        <v/>
      </c>
      <c r="E464">
        <f>COUNTIF(connections!A:A, A464) &gt; 0</f>
        <v/>
      </c>
      <c r="G464" t="inlineStr">
        <is>
          <t>moonlighter-2-the-endless-vault</t>
        </is>
      </c>
    </row>
    <row r="465" ht="15" customHeight="1">
      <c r="A465" t="inlineStr">
        <is>
          <t>Moonring</t>
        </is>
      </c>
      <c r="B465" t="n">
        <v>2023</v>
      </c>
      <c r="C465" t="inlineStr">
        <is>
          <t>Traditional</t>
        </is>
      </c>
      <c r="D465">
        <f>TRUE()</f>
        <v/>
      </c>
      <c r="E465">
        <f>COUNTIF(connections!A:A, A465) &gt; 0</f>
        <v/>
      </c>
      <c r="G465" t="inlineStr">
        <is>
          <t>moonring</t>
        </is>
      </c>
      <c r="H465" t="inlineStr">
        <is>
          <t>Yes</t>
        </is>
      </c>
      <c r="I465" t="inlineStr">
        <is>
          <t>C:\Users\Owner\Documents\Roguelike Roguelike\Roguelikes\Moonring.url</t>
        </is>
      </c>
      <c r="J465" s="1" t="inlineStr">
        <is>
          <t>https://store.steampowered.com/app/2373630/Moonring/</t>
        </is>
      </c>
    </row>
    <row r="466" ht="15" customHeight="1">
      <c r="A466" t="inlineStr">
        <is>
          <t>Morbid Metal</t>
        </is>
      </c>
      <c r="B466" t="n">
        <v>2026</v>
      </c>
      <c r="C466" t="inlineStr">
        <is>
          <t>Action</t>
        </is>
      </c>
      <c r="D466">
        <f>TRUE()</f>
        <v/>
      </c>
      <c r="E466">
        <f>COUNTIF(connections!A:A, A466) &gt; 0</f>
        <v/>
      </c>
      <c r="G466" t="inlineStr">
        <is>
          <t>morbid-metal</t>
        </is>
      </c>
    </row>
    <row r="467" ht="15" customHeight="1">
      <c r="A467" t="inlineStr">
        <is>
          <t>Moria</t>
        </is>
      </c>
      <c r="B467" t="n">
        <v>1983</v>
      </c>
      <c r="C467" t="inlineStr">
        <is>
          <t>Traditional</t>
        </is>
      </c>
      <c r="D467">
        <f>TRUE()</f>
        <v/>
      </c>
      <c r="E467">
        <f>COUNTIF(connections!A:A, A467) &gt; 0</f>
        <v/>
      </c>
      <c r="G467" t="inlineStr">
        <is>
          <t>moria</t>
        </is>
      </c>
      <c r="H467" t="inlineStr">
        <is>
          <t>Yes</t>
        </is>
      </c>
      <c r="I467" t="inlineStr">
        <is>
          <t>C:\Users\Owner\Documents\Roguelike Roguelike\Roguelikes\umoria.lnk</t>
        </is>
      </c>
    </row>
    <row r="468" ht="15" customHeight="1">
      <c r="A468" t="inlineStr">
        <is>
          <t>Morimens</t>
        </is>
      </c>
      <c r="B468" t="n">
        <v>2024</v>
      </c>
      <c r="C468" t="inlineStr">
        <is>
          <t>Deckbuilder</t>
        </is>
      </c>
      <c r="D468">
        <f>TRUE()</f>
        <v/>
      </c>
      <c r="E468">
        <f>COUNTIF(connections!A:A, A468) &gt; 0</f>
        <v/>
      </c>
      <c r="F468" t="inlineStr">
        <is>
          <t>gacha</t>
        </is>
      </c>
      <c r="G468" t="inlineStr">
        <is>
          <t>morimens</t>
        </is>
      </c>
      <c r="H468" t="inlineStr">
        <is>
          <t>Yes</t>
        </is>
      </c>
      <c r="I468" t="inlineStr">
        <is>
          <t>C:\Users\Owner\Documents\Roguelike Roguelike\Roguelikes\Morimens.url</t>
        </is>
      </c>
      <c r="J468" s="1" t="inlineStr">
        <is>
          <t>https://store.steampowered.com/app/3052450/Morimens/</t>
        </is>
      </c>
    </row>
    <row r="469" ht="15" customHeight="1">
      <c r="A469" t="inlineStr">
        <is>
          <t>Morsels</t>
        </is>
      </c>
      <c r="B469" t="n">
        <v>2025</v>
      </c>
      <c r="C469" t="inlineStr">
        <is>
          <t>Action</t>
        </is>
      </c>
      <c r="D469">
        <f>FALSE()</f>
        <v/>
      </c>
      <c r="E469">
        <f>COUNTIF(connections!A:A, A469) &gt; 0</f>
        <v/>
      </c>
      <c r="G469" t="inlineStr">
        <is>
          <t>morsels</t>
        </is>
      </c>
    </row>
    <row r="470" ht="15" customHeight="1">
      <c r="A470" t="inlineStr">
        <is>
          <t>Mortal Sin</t>
        </is>
      </c>
      <c r="B470" t="n">
        <v>2023</v>
      </c>
      <c r="C470" t="inlineStr">
        <is>
          <t>Action</t>
        </is>
      </c>
      <c r="D470">
        <f>TRUE()</f>
        <v/>
      </c>
      <c r="E470">
        <f>COUNTIF(connections!A:A, A470) &gt; 0</f>
        <v/>
      </c>
      <c r="G470" t="inlineStr">
        <is>
          <t>mortal-sin</t>
        </is>
      </c>
      <c r="H470" t="inlineStr">
        <is>
          <t>Yes</t>
        </is>
      </c>
      <c r="I470" t="inlineStr">
        <is>
          <t>C:\Users\Owner\Documents\Roguelike Roguelike\Roguelikes\Mortal Sin.url</t>
        </is>
      </c>
      <c r="J470" s="1" t="inlineStr">
        <is>
          <t>https://store.steampowered.com/app/1494810/Mortal_Sin/</t>
        </is>
      </c>
    </row>
    <row r="471" ht="15" customHeight="1">
      <c r="A471" t="inlineStr">
        <is>
          <t>Mothergunship</t>
        </is>
      </c>
      <c r="B471" t="n">
        <v>2018</v>
      </c>
      <c r="C471" t="inlineStr">
        <is>
          <t>Action</t>
        </is>
      </c>
      <c r="D471">
        <f>TRUE()</f>
        <v/>
      </c>
      <c r="E471">
        <f>COUNTIF(connections!A:A, A471) &gt; 0</f>
        <v/>
      </c>
      <c r="F471" t="inlineStr">
        <is>
          <t>mecha</t>
        </is>
      </c>
      <c r="G471" t="inlineStr">
        <is>
          <t>mothergunship</t>
        </is>
      </c>
      <c r="H471" t="inlineStr">
        <is>
          <t>Yes</t>
        </is>
      </c>
      <c r="I471" t="inlineStr">
        <is>
          <t>C:\Users\Owner\Documents\Roguelike Roguelike\Roguelikes\MOTHERGUNSHIP.url</t>
        </is>
      </c>
      <c r="J471" s="1" t="inlineStr">
        <is>
          <t>https://store.steampowered.com/app/574090/MOTHERGUNSHIP/</t>
        </is>
      </c>
    </row>
    <row r="472" ht="15" customHeight="1">
      <c r="A472" t="inlineStr">
        <is>
          <t>Mothergunship: Forge</t>
        </is>
      </c>
      <c r="B472" t="n">
        <v>2022</v>
      </c>
      <c r="C472" t="inlineStr">
        <is>
          <t>Action</t>
        </is>
      </c>
      <c r="D472">
        <f>TRUE()</f>
        <v/>
      </c>
      <c r="E472">
        <f>COUNTIF(connections!A:A, A472) &gt; 0</f>
        <v/>
      </c>
      <c r="F472" t="inlineStr">
        <is>
          <t>mecha</t>
        </is>
      </c>
      <c r="G472" t="inlineStr">
        <is>
          <t>mothergunship-forge</t>
        </is>
      </c>
      <c r="H472" t="inlineStr">
        <is>
          <t>Yes</t>
        </is>
      </c>
      <c r="I472" t="inlineStr">
        <is>
          <t>C:\Users\Owner\Documents\Roguelike Roguelike\Roguelikes\MOTHERGUNSHIP FORGE.url</t>
        </is>
      </c>
      <c r="J472" s="1" t="inlineStr">
        <is>
          <t>https://store.steampowered.com/app/1931240/MOTHERGUNSHIP_FORGE/</t>
        </is>
      </c>
    </row>
    <row r="473" ht="15" customHeight="1">
      <c r="A473" t="inlineStr">
        <is>
          <t>Motto!? Fushigi no Gensoukyou: Under the Moonlight</t>
        </is>
      </c>
      <c r="B473" t="n">
        <v>2011</v>
      </c>
      <c r="C473" t="inlineStr">
        <is>
          <t>Traditional</t>
        </is>
      </c>
      <c r="D473">
        <f>TRUE()</f>
        <v/>
      </c>
      <c r="E473">
        <f>COUNTIF(connections!A:A, A473) &gt; 0</f>
        <v/>
      </c>
      <c r="F473" t="inlineStr">
        <is>
          <t>touhou</t>
        </is>
      </c>
      <c r="G473" t="inlineStr">
        <is>
          <t>motto-fushigi-no-gensoukyou-under-the-moon</t>
        </is>
      </c>
    </row>
    <row r="474" ht="15" customHeight="1">
      <c r="A474" t="inlineStr">
        <is>
          <t>Mr. Sun's Hatbox</t>
        </is>
      </c>
      <c r="B474" t="n">
        <v>2023</v>
      </c>
      <c r="C474" t="inlineStr">
        <is>
          <t>Action</t>
        </is>
      </c>
      <c r="D474">
        <f>TRUE()</f>
        <v/>
      </c>
      <c r="E474">
        <f>COUNTIF(connections!A:A, A474) &gt; 0</f>
        <v/>
      </c>
      <c r="G474" t="inlineStr">
        <is>
          <t>mr-suns-hatbox</t>
        </is>
      </c>
      <c r="H474" t="inlineStr">
        <is>
          <t>Yes</t>
        </is>
      </c>
      <c r="I474" t="inlineStr">
        <is>
          <t>C:\Users\Owner\Documents\Roguelike Roguelike\Roguelikes\Mr. Sun's Hatbox.url</t>
        </is>
      </c>
      <c r="J474" s="1" t="inlineStr">
        <is>
          <t>https://store.steampowered.com/app/1214670/Mr_Suns_Hatbox/</t>
        </is>
      </c>
    </row>
    <row r="475" ht="15" customHeight="1">
      <c r="A475" t="inlineStr">
        <is>
          <t>Muck</t>
        </is>
      </c>
      <c r="B475" t="n">
        <v>2021</v>
      </c>
      <c r="C475" t="inlineStr">
        <is>
          <t>Action</t>
        </is>
      </c>
      <c r="D475">
        <f>TRUE()</f>
        <v/>
      </c>
      <c r="E475">
        <f>COUNTIF(connections!A:A, A475) &gt; 0</f>
        <v/>
      </c>
      <c r="G475" t="inlineStr">
        <is>
          <t>muck</t>
        </is>
      </c>
      <c r="H475" t="inlineStr">
        <is>
          <t>Yes</t>
        </is>
      </c>
      <c r="I475" t="inlineStr">
        <is>
          <t>C:\Users\Owner\Documents\Roguelike Roguelike\Roguelikes\Muck.url</t>
        </is>
      </c>
      <c r="J475" s="1" t="inlineStr">
        <is>
          <t>https://store.steampowered.com/app/1625450/Muck/</t>
        </is>
      </c>
    </row>
    <row r="476" ht="15" customHeight="1">
      <c r="A476" t="inlineStr">
        <is>
          <t>My Card Is Better Than Your Card!</t>
        </is>
      </c>
      <c r="B476" t="n">
        <v>2025</v>
      </c>
      <c r="C476" t="inlineStr">
        <is>
          <t>Deckbuilder</t>
        </is>
      </c>
      <c r="D476">
        <f>TRUE()</f>
        <v/>
      </c>
      <c r="E476">
        <f>COUNTIF(connections!A:A, A476) &gt; 0</f>
        <v/>
      </c>
      <c r="G476" t="inlineStr">
        <is>
          <t>my-card-is-better-than-your-card</t>
        </is>
      </c>
    </row>
    <row r="477" ht="15" customHeight="1">
      <c r="A477" t="inlineStr">
        <is>
          <t>Mystery Chronicle: One Way Heroics</t>
        </is>
      </c>
      <c r="B477" t="n">
        <v>2016</v>
      </c>
      <c r="C477" t="inlineStr">
        <is>
          <t>Traditional</t>
        </is>
      </c>
      <c r="D477">
        <f>TRUE()</f>
        <v/>
      </c>
      <c r="E477">
        <f>COUNTIF(connections!A:A, A477) &gt; 0</f>
        <v/>
      </c>
      <c r="G477" t="inlineStr">
        <is>
          <t>mystery-chronicle-one-way-heroics</t>
        </is>
      </c>
      <c r="J477" s="11" t="inlineStr">
        <is>
          <t>https://store.steampowered.com/app/409000/Mystery_Chronicle_One_Way_Heroics/</t>
        </is>
      </c>
    </row>
    <row r="478" ht="15" customHeight="1">
      <c r="A478" t="inlineStr">
        <is>
          <t>Mystery Dungeon 2: Shiren the Wanderer</t>
        </is>
      </c>
      <c r="B478" t="n">
        <v>1995</v>
      </c>
      <c r="C478" t="inlineStr">
        <is>
          <t>Traditional</t>
        </is>
      </c>
      <c r="D478">
        <f>TRUE()</f>
        <v/>
      </c>
      <c r="E478">
        <f>COUNTIF(connections!A:A, A478) &gt; 0</f>
        <v/>
      </c>
      <c r="G478" t="inlineStr">
        <is>
          <t>mystery-dungeon-2-shiren-the-wanderer</t>
        </is>
      </c>
      <c r="H478" t="inlineStr">
        <is>
          <t>Yes</t>
        </is>
      </c>
      <c r="I478" t="inlineStr">
        <is>
          <t>C:\Users\Owner\Documents\Roguelike Roguelike\Roguelikes\Mystery Dungeon 2 Shiren the Wanderer.lnk</t>
        </is>
      </c>
    </row>
    <row r="479" ht="15" customHeight="1">
      <c r="A479" t="inlineStr">
        <is>
          <t>Mythical Concept Starnaut</t>
        </is>
      </c>
      <c r="B479" t="n">
        <v>2024</v>
      </c>
      <c r="C479" t="inlineStr">
        <is>
          <t>Action</t>
        </is>
      </c>
      <c r="D479">
        <f>TRUE()</f>
        <v/>
      </c>
      <c r="E479">
        <f>COUNTIF(connections!A:A, A479) &gt; 0</f>
        <v/>
      </c>
      <c r="G479" t="inlineStr">
        <is>
          <t>mythical-concept-starnaut</t>
        </is>
      </c>
      <c r="H479" t="inlineStr">
        <is>
          <t>Yes</t>
        </is>
      </c>
      <c r="I479" t="inlineStr">
        <is>
          <t>C:\Users\Owner\Documents\Roguelike Roguelike\Roguelikes\Mythical Concept STARNAUT.url</t>
        </is>
      </c>
      <c r="J479" s="1" t="inlineStr">
        <is>
          <t>https://store.steampowered.com/app/2508940/Mythical_Concept_STARNAUT/</t>
        </is>
      </c>
    </row>
    <row r="480" ht="15" customHeight="1">
      <c r="A480" t="inlineStr">
        <is>
          <t>Nadir</t>
        </is>
      </c>
      <c r="B480" t="n">
        <v>2022</v>
      </c>
      <c r="C480" t="inlineStr">
        <is>
          <t>Deckbuilder</t>
        </is>
      </c>
      <c r="D480">
        <f>TRUE()</f>
        <v/>
      </c>
      <c r="E480">
        <f>COUNTIF(connections!A:A, A480) &gt; 0</f>
        <v/>
      </c>
      <c r="G480" t="inlineStr">
        <is>
          <t>nadir</t>
        </is>
      </c>
      <c r="J480" s="11" t="inlineStr">
        <is>
          <t>https://store.steampowered.com/app/1535100/Nadir_A_Grimdark_Deckbuilder/</t>
        </is>
      </c>
    </row>
    <row r="481" ht="15" customHeight="1">
      <c r="A481" t="inlineStr">
        <is>
          <t>NecroBouncer</t>
        </is>
      </c>
      <c r="B481" t="n">
        <v>2022</v>
      </c>
      <c r="C481" t="inlineStr">
        <is>
          <t>Action</t>
        </is>
      </c>
      <c r="D481">
        <f>TRUE()</f>
        <v/>
      </c>
      <c r="E481">
        <f>COUNTIF(connections!A:A, A481) &gt; 0</f>
        <v/>
      </c>
      <c r="F481" t="inlineStr">
        <is>
          <t>undead</t>
        </is>
      </c>
      <c r="G481" t="inlineStr">
        <is>
          <t>necrobouncer</t>
        </is>
      </c>
      <c r="H481" t="inlineStr">
        <is>
          <t>Yes</t>
        </is>
      </c>
      <c r="I481" t="inlineStr">
        <is>
          <t>C:\Users\Owner\Documents\Roguelike Roguelike\Roguelikes\NecroBouncer.url</t>
        </is>
      </c>
      <c r="J481" s="1" t="inlineStr">
        <is>
          <t>https://store.steampowered.com/app/1786830/NecroBouncer/</t>
        </is>
      </c>
    </row>
    <row r="482" ht="15" customHeight="1">
      <c r="A482" t="inlineStr">
        <is>
          <t>Necroking</t>
        </is>
      </c>
      <c r="B482" t="n">
        <v>2024</v>
      </c>
      <c r="C482" t="inlineStr">
        <is>
          <t>Strategy</t>
        </is>
      </c>
      <c r="D482">
        <f>FALSE()</f>
        <v/>
      </c>
      <c r="E482">
        <f>COUNTIF(connections!A:A, A482) &gt; 0</f>
        <v/>
      </c>
      <c r="F482" t="inlineStr">
        <is>
          <t>undead</t>
        </is>
      </c>
      <c r="G482" t="inlineStr">
        <is>
          <t>necroking</t>
        </is>
      </c>
      <c r="H482" t="inlineStr">
        <is>
          <t>Yes</t>
        </is>
      </c>
      <c r="I482" t="inlineStr">
        <is>
          <t>C:\Users\Owner\Documents\Roguelike Roguelike\Roguelikes\Necroking.url</t>
        </is>
      </c>
      <c r="J482" s="1" t="inlineStr">
        <is>
          <t>https://store.steampowered.com/app/2852980/Necroking/</t>
        </is>
      </c>
    </row>
    <row r="483" ht="15" customHeight="1">
      <c r="A483" t="inlineStr">
        <is>
          <t>Necrosmith</t>
        </is>
      </c>
      <c r="B483" t="n">
        <v>2022</v>
      </c>
      <c r="C483" t="inlineStr">
        <is>
          <t>Action</t>
        </is>
      </c>
      <c r="D483">
        <f>TRUE()</f>
        <v/>
      </c>
      <c r="E483">
        <f>COUNTIF(connections!A:A, A483) &gt; 0</f>
        <v/>
      </c>
      <c r="F483" t="inlineStr">
        <is>
          <t>undead</t>
        </is>
      </c>
      <c r="G483" t="inlineStr">
        <is>
          <t>necrosmith</t>
        </is>
      </c>
      <c r="H483" t="inlineStr">
        <is>
          <t>Yes</t>
        </is>
      </c>
      <c r="I483" t="inlineStr">
        <is>
          <t>C:\Users\Owner\Documents\Roguelike Roguelike\Roguelikes\Necrosmith.url</t>
        </is>
      </c>
      <c r="J483" s="1" t="inlineStr">
        <is>
          <t>https://store.steampowered.com/app/1949190/Necrosmith/</t>
        </is>
      </c>
    </row>
    <row r="484" ht="15" customHeight="1">
      <c r="A484" t="inlineStr">
        <is>
          <t>Necrosmith 2</t>
        </is>
      </c>
      <c r="B484" t="n">
        <v>2024</v>
      </c>
      <c r="C484" t="inlineStr">
        <is>
          <t>Action</t>
        </is>
      </c>
      <c r="D484">
        <f>TRUE()</f>
        <v/>
      </c>
      <c r="E484">
        <f>COUNTIF(connections!A:A, A484) &gt; 0</f>
        <v/>
      </c>
      <c r="F484" t="inlineStr">
        <is>
          <t>undead</t>
        </is>
      </c>
      <c r="G484" t="inlineStr">
        <is>
          <t>necrosmith-2</t>
        </is>
      </c>
      <c r="H484" t="inlineStr">
        <is>
          <t>Yes</t>
        </is>
      </c>
      <c r="I484" t="inlineStr">
        <is>
          <t>C:\Users\Owner\Documents\Roguelike Roguelike\Roguelikes\Necrosmith 2.url</t>
        </is>
      </c>
      <c r="J484" s="1" t="inlineStr">
        <is>
          <t>https://store.steampowered.com/app/2277320/Necrosmith_2/</t>
        </is>
      </c>
    </row>
    <row r="485" ht="15" customHeight="1">
      <c r="A485" t="inlineStr">
        <is>
          <t>Neon Abyss</t>
        </is>
      </c>
      <c r="B485" t="n">
        <v>2019</v>
      </c>
      <c r="C485" t="inlineStr">
        <is>
          <t>Action</t>
        </is>
      </c>
      <c r="D485">
        <f>TRUE()</f>
        <v/>
      </c>
      <c r="E485">
        <f>COUNTIF(connections!A:A, A485) &gt; 0</f>
        <v/>
      </c>
      <c r="G485" t="inlineStr">
        <is>
          <t>neon-abyss</t>
        </is>
      </c>
      <c r="H485" t="inlineStr">
        <is>
          <t>Yes</t>
        </is>
      </c>
      <c r="I485" t="inlineStr">
        <is>
          <t>C:\Users\Owner\Documents\Roguelike Roguelike\Roguelikes\Neon Abyss.url</t>
        </is>
      </c>
      <c r="J485" s="1" t="inlineStr">
        <is>
          <t>https://store.steampowered.com/app/788100/Neon_Abyss/</t>
        </is>
      </c>
    </row>
    <row r="486" ht="15" customHeight="1">
      <c r="A486" t="inlineStr">
        <is>
          <t>Neon Abyss 2</t>
        </is>
      </c>
      <c r="B486" t="n">
        <v>2025</v>
      </c>
      <c r="C486" t="inlineStr">
        <is>
          <t>Action</t>
        </is>
      </c>
      <c r="D486">
        <f>TRUE()</f>
        <v/>
      </c>
      <c r="E486">
        <f>COUNTIF(connections!A:A, A486) &gt; 0</f>
        <v/>
      </c>
      <c r="G486" t="inlineStr">
        <is>
          <t>neon-abyss-2</t>
        </is>
      </c>
    </row>
    <row r="487" ht="15" customHeight="1">
      <c r="A487" t="inlineStr">
        <is>
          <t>Neophyte</t>
        </is>
      </c>
      <c r="B487" t="n">
        <v>2022</v>
      </c>
      <c r="C487" t="inlineStr">
        <is>
          <t>Action</t>
        </is>
      </c>
      <c r="D487">
        <f>TRUE()</f>
        <v/>
      </c>
      <c r="E487">
        <f>COUNTIF(connections!A:A, A487) &gt; 0</f>
        <v/>
      </c>
      <c r="G487" t="inlineStr">
        <is>
          <t>neophyte</t>
        </is>
      </c>
    </row>
    <row r="488" ht="15" customHeight="1">
      <c r="A488" t="inlineStr">
        <is>
          <t>NetHack</t>
        </is>
      </c>
      <c r="B488" t="n">
        <v>1987</v>
      </c>
      <c r="C488" t="inlineStr">
        <is>
          <t>Traditional</t>
        </is>
      </c>
      <c r="D488">
        <f>TRUE()</f>
        <v/>
      </c>
      <c r="E488">
        <f>COUNTIF(connections!A:A, A488) &gt; 0</f>
        <v/>
      </c>
      <c r="G488" t="inlineStr">
        <is>
          <t>nethack</t>
        </is>
      </c>
      <c r="H488" t="inlineStr">
        <is>
          <t>Yes</t>
        </is>
      </c>
      <c r="I488" t="inlineStr">
        <is>
          <t>C:\Users\Owner\Documents\Roguelike Roguelike\Roguelikes\NetHackW.lnk</t>
        </is>
      </c>
    </row>
    <row r="489" ht="15" customHeight="1">
      <c r="A489" t="inlineStr">
        <is>
          <t>Netherworld Covenant</t>
        </is>
      </c>
      <c r="B489" t="n">
        <v>2025</v>
      </c>
      <c r="C489" t="inlineStr">
        <is>
          <t>Action</t>
        </is>
      </c>
      <c r="D489">
        <f>TRUE()</f>
        <v/>
      </c>
      <c r="E489">
        <f>COUNTIF(connections!A:A, A489) &gt; 0</f>
        <v/>
      </c>
      <c r="G489" t="inlineStr">
        <is>
          <t>netherworld-covenant</t>
        </is>
      </c>
      <c r="J489" s="11" t="inlineStr">
        <is>
          <t>https://store.steampowered.com/app/2735580/Netherworld_Covenant/</t>
        </is>
      </c>
    </row>
    <row r="490" ht="15" customHeight="1">
      <c r="A490" t="inlineStr">
        <is>
          <t>Nigate Tale</t>
        </is>
      </c>
      <c r="B490" t="n">
        <v>2021</v>
      </c>
      <c r="C490" t="inlineStr">
        <is>
          <t>Action</t>
        </is>
      </c>
      <c r="D490">
        <f>TRUE()</f>
        <v/>
      </c>
      <c r="E490">
        <f>COUNTIF(connections!A:A, A490) &gt; 0</f>
        <v/>
      </c>
      <c r="G490" t="inlineStr">
        <is>
          <t>nigate-tale</t>
        </is>
      </c>
      <c r="J490" s="11" t="inlineStr">
        <is>
          <t>https://store.steampowered.com/app/1048350/Nigate_Tale/</t>
        </is>
      </c>
    </row>
    <row r="491" ht="15" customHeight="1">
      <c r="A491" t="inlineStr">
        <is>
          <t>Night Swarm</t>
        </is>
      </c>
      <c r="B491" t="n">
        <v>2025</v>
      </c>
      <c r="C491" t="inlineStr">
        <is>
          <t>Action</t>
        </is>
      </c>
      <c r="D491">
        <f>TRUE()</f>
        <v/>
      </c>
      <c r="E491">
        <f>COUNTIF(connections!A:A, A491) &gt; 0</f>
        <v/>
      </c>
      <c r="F491" t="inlineStr">
        <is>
          <t>vampire</t>
        </is>
      </c>
      <c r="G491" t="inlineStr">
        <is>
          <t>night-swarm</t>
        </is>
      </c>
      <c r="H491" t="inlineStr">
        <is>
          <t>Yes</t>
        </is>
      </c>
      <c r="I491" t="inlineStr">
        <is>
          <t>C:\Users\Owner\Documents\Roguelike Roguelike\Roguelikes\Night Swarm.url</t>
        </is>
      </c>
      <c r="J491" s="1" t="inlineStr">
        <is>
          <t>https://store.steampowered.com/app/3668370/Night_Swarm/</t>
        </is>
      </c>
    </row>
    <row r="492" ht="16.5" customHeight="1">
      <c r="A492" t="inlineStr">
        <is>
          <t>Nimrods</t>
        </is>
      </c>
      <c r="B492" t="n">
        <v>2024</v>
      </c>
      <c r="C492" t="inlineStr">
        <is>
          <t>Action</t>
        </is>
      </c>
      <c r="D492">
        <f>TRUE()</f>
        <v/>
      </c>
      <c r="E492">
        <f>COUNTIF(connections!A:A, A492) &gt; 0</f>
        <v/>
      </c>
      <c r="G492" t="inlineStr">
        <is>
          <t>nimrods</t>
        </is>
      </c>
    </row>
    <row r="493" ht="15" customHeight="1">
      <c r="A493" t="inlineStr">
        <is>
          <t>Node Crown</t>
        </is>
      </c>
      <c r="B493" t="n">
        <v>2026</v>
      </c>
      <c r="C493" t="inlineStr">
        <is>
          <t>Deckbuilder</t>
        </is>
      </c>
      <c r="D493">
        <f>TRUE()</f>
        <v/>
      </c>
      <c r="E493">
        <f>COUNTIF(connections!A:A, A493) &gt; 0</f>
        <v/>
      </c>
      <c r="G493" t="inlineStr">
        <is>
          <t>node-crown</t>
        </is>
      </c>
    </row>
    <row r="494" ht="15" customHeight="1">
      <c r="A494" t="inlineStr">
        <is>
          <t>Node Farm</t>
        </is>
      </c>
      <c r="B494" t="n">
        <v>2024</v>
      </c>
      <c r="C494" t="inlineStr">
        <is>
          <t>Strategy</t>
        </is>
      </c>
      <c r="D494">
        <f>TRUE()</f>
        <v/>
      </c>
      <c r="E494">
        <f>COUNTIF(connections!A:A, A494) &gt; 0</f>
        <v/>
      </c>
      <c r="G494" t="inlineStr">
        <is>
          <t>node-farm</t>
        </is>
      </c>
    </row>
    <row r="495" ht="15" customHeight="1">
      <c r="A495" t="inlineStr">
        <is>
          <t>Noita</t>
        </is>
      </c>
      <c r="B495" t="n">
        <v>2019</v>
      </c>
      <c r="C495" t="inlineStr">
        <is>
          <t>Action</t>
        </is>
      </c>
      <c r="D495">
        <f>TRUE()</f>
        <v/>
      </c>
      <c r="E495">
        <f>COUNTIF(connections!A:A, A495) &gt; 0</f>
        <v/>
      </c>
      <c r="G495" t="inlineStr">
        <is>
          <t>noita</t>
        </is>
      </c>
      <c r="H495" t="inlineStr">
        <is>
          <t>Yes</t>
        </is>
      </c>
      <c r="I495" t="inlineStr">
        <is>
          <t>C:\Users\Owner\Documents\Roguelike Roguelike\Roguelikes\Noita.url</t>
        </is>
      </c>
      <c r="J495" s="1" t="inlineStr">
        <is>
          <t>https://store.steampowered.com/app/881100/Noita/</t>
        </is>
      </c>
    </row>
    <row r="496" ht="15" customHeight="1">
      <c r="A496" t="inlineStr">
        <is>
          <t>Nomad Survival</t>
        </is>
      </c>
      <c r="B496" t="n">
        <v>2022</v>
      </c>
      <c r="C496" t="inlineStr">
        <is>
          <t>Action</t>
        </is>
      </c>
      <c r="D496">
        <f>TRUE()</f>
        <v/>
      </c>
      <c r="E496">
        <f>COUNTIF(connections!A:A, A496) &gt; 0</f>
        <v/>
      </c>
      <c r="G496" t="inlineStr">
        <is>
          <t>nomad-survival</t>
        </is>
      </c>
      <c r="H496" t="inlineStr">
        <is>
          <t>Yes</t>
        </is>
      </c>
      <c r="I496" t="inlineStr">
        <is>
          <t>C:\Users\Owner\Documents\Roguelike Roguelike\Roguelikes\Nomad Survival.url</t>
        </is>
      </c>
      <c r="J496" s="1" t="inlineStr">
        <is>
          <t>https://store.steampowered.com/app/1929870/Nomad_Survival/</t>
        </is>
      </c>
    </row>
    <row r="497" ht="15" customHeight="1">
      <c r="A497" t="inlineStr">
        <is>
          <t>Noobs Are Coming</t>
        </is>
      </c>
      <c r="B497" t="n">
        <v>2025</v>
      </c>
      <c r="C497" t="inlineStr">
        <is>
          <t>Action</t>
        </is>
      </c>
      <c r="D497">
        <f>TRUE()</f>
        <v/>
      </c>
      <c r="E497">
        <f>COUNTIF(connections!A:A, A497) &gt; 0</f>
        <v/>
      </c>
      <c r="G497" t="inlineStr">
        <is>
          <t>noobs-are-coming</t>
        </is>
      </c>
      <c r="H497" t="inlineStr">
        <is>
          <t>Yes</t>
        </is>
      </c>
      <c r="I497" t="inlineStr">
        <is>
          <t>C:\Users\Owner\Documents\Roguelike Roguelike\Roguelikes\Noobs Are Coming.url</t>
        </is>
      </c>
      <c r="J497" s="1" t="inlineStr">
        <is>
          <t>https://store.steampowered.com/app/2225960/Noobs_Are_Coming/</t>
        </is>
      </c>
    </row>
    <row r="498" ht="15" customHeight="1">
      <c r="A498" t="inlineStr">
        <is>
          <t>Noobs Want to Live</t>
        </is>
      </c>
      <c r="B498" t="n">
        <v>2023</v>
      </c>
      <c r="C498" t="inlineStr">
        <is>
          <t>Action</t>
        </is>
      </c>
      <c r="D498">
        <f>TRUE()</f>
        <v/>
      </c>
      <c r="E498">
        <f>COUNTIF(connections!A:A, A498) &gt; 0</f>
        <v/>
      </c>
      <c r="G498" t="inlineStr">
        <is>
          <t>noobs-want-to-live</t>
        </is>
      </c>
      <c r="H498" t="inlineStr">
        <is>
          <t>Yes</t>
        </is>
      </c>
      <c r="I498" t="inlineStr">
        <is>
          <t>C:\Users\Owner\Documents\Roguelike Roguelike\Roguelikes\通神榜 Noobs Want to Live.url</t>
        </is>
      </c>
      <c r="J498" s="1" t="inlineStr">
        <is>
          <t>https://store.steampowered.com/app/1737340/Noobs_Want_to_Live/</t>
        </is>
      </c>
    </row>
    <row r="499" ht="15" customHeight="1">
      <c r="A499" t="inlineStr">
        <is>
          <t>Nordhold</t>
        </is>
      </c>
      <c r="B499" t="n">
        <v>2025</v>
      </c>
      <c r="C499" t="inlineStr">
        <is>
          <t>Strategy</t>
        </is>
      </c>
      <c r="D499">
        <f>TRUE()</f>
        <v/>
      </c>
      <c r="E499">
        <f>COUNTIF(connections!A:A, A499) &gt; 0</f>
        <v/>
      </c>
      <c r="G499" t="inlineStr">
        <is>
          <t>nordhold</t>
        </is>
      </c>
      <c r="H499" t="inlineStr">
        <is>
          <t>Yes</t>
        </is>
      </c>
      <c r="I499" t="inlineStr">
        <is>
          <t>C:\Users\Owner\Documents\Roguelike Roguelike\Roguelikes\Nordhold.url</t>
        </is>
      </c>
      <c r="J499" s="1" t="inlineStr">
        <is>
          <t>https://store.steampowered.com/app/3028310/Nordhold/</t>
        </is>
      </c>
    </row>
    <row r="500" ht="15" customHeight="1">
      <c r="A500" t="inlineStr">
        <is>
          <t>Nordic Ashes: Survivors of Ragnarok</t>
        </is>
      </c>
      <c r="B500" t="n">
        <v>2022</v>
      </c>
      <c r="C500" t="inlineStr">
        <is>
          <t>Action</t>
        </is>
      </c>
      <c r="D500">
        <f>TRUE()</f>
        <v/>
      </c>
      <c r="E500">
        <f>COUNTIF(connections!A:A, A500) &gt; 0</f>
        <v/>
      </c>
      <c r="G500" t="inlineStr">
        <is>
          <t>nordic-ashes-survivors-of-ragnarok</t>
        </is>
      </c>
      <c r="H500" t="inlineStr">
        <is>
          <t>Yes</t>
        </is>
      </c>
      <c r="I500" t="inlineStr">
        <is>
          <t>C:\Users\Owner\Documents\Roguelike Roguelike\Roguelikes\Nordic Ashes.url</t>
        </is>
      </c>
      <c r="J500" s="1" t="inlineStr">
        <is>
          <t>https://store.steampowered.com/app/2068280/Nordic_Ashes_Survivors_of_Ragnarok/</t>
        </is>
      </c>
    </row>
    <row r="501" ht="15" customHeight="1">
      <c r="A501" t="inlineStr">
        <is>
          <t>No-Skin</t>
        </is>
      </c>
      <c r="B501" t="n">
        <v>2025</v>
      </c>
      <c r="C501" t="inlineStr">
        <is>
          <t>Strategy</t>
        </is>
      </c>
      <c r="D501">
        <f>FALSE()</f>
        <v/>
      </c>
      <c r="E501">
        <f>COUNTIF(connections!A:A, A501) &gt; 0</f>
        <v/>
      </c>
      <c r="F501" t="inlineStr">
        <is>
          <t>horror</t>
        </is>
      </c>
      <c r="G501" t="inlineStr">
        <is>
          <t>no-skin</t>
        </is>
      </c>
    </row>
    <row r="502" ht="15" customHeight="1">
      <c r="A502" t="inlineStr">
        <is>
          <t>Nova Drift</t>
        </is>
      </c>
      <c r="B502" t="n">
        <v>2019</v>
      </c>
      <c r="C502" t="inlineStr">
        <is>
          <t>Action</t>
        </is>
      </c>
      <c r="D502">
        <f>TRUE()</f>
        <v/>
      </c>
      <c r="E502">
        <f>COUNTIF(connections!A:A, A502) &gt; 0</f>
        <v/>
      </c>
      <c r="F502" t="inlineStr">
        <is>
          <t>space</t>
        </is>
      </c>
      <c r="G502" t="inlineStr">
        <is>
          <t>nova-drift</t>
        </is>
      </c>
      <c r="H502" t="inlineStr">
        <is>
          <t>Yes</t>
        </is>
      </c>
      <c r="I502" t="inlineStr">
        <is>
          <t>C:\Users\Owner\Documents\Roguelike Roguelike\Roguelikes\Nova Drift.url</t>
        </is>
      </c>
      <c r="J502" s="1" t="inlineStr">
        <is>
          <t>https://store.steampowered.com/app/858210/Nova_Drift/</t>
        </is>
      </c>
    </row>
    <row r="503" ht="15" customHeight="1">
      <c r="A503" t="inlineStr">
        <is>
          <t>Nowhere Prophet</t>
        </is>
      </c>
      <c r="B503" t="n">
        <v>2019</v>
      </c>
      <c r="C503" t="inlineStr">
        <is>
          <t>Deckbuilder</t>
        </is>
      </c>
      <c r="D503">
        <f>TRUE()</f>
        <v/>
      </c>
      <c r="E503">
        <f>COUNTIF(connections!A:A, A503) &gt; 0</f>
        <v/>
      </c>
      <c r="G503" t="inlineStr">
        <is>
          <t>nowhere-prophet</t>
        </is>
      </c>
      <c r="H503" t="inlineStr">
        <is>
          <t>Yes</t>
        </is>
      </c>
      <c r="I503" t="inlineStr">
        <is>
          <t>C:\Users\Owner\Documents\Roguelike Roguelike\Roguelikes\Nowhere Prophet.url</t>
        </is>
      </c>
      <c r="J503" s="1" t="inlineStr">
        <is>
          <t>https://store.steampowered.com/app/681730/Nowhere_Prophet/</t>
        </is>
      </c>
    </row>
    <row r="504" ht="15" customHeight="1">
      <c r="A504" t="inlineStr">
        <is>
          <t>Nubby's Number Factory</t>
        </is>
      </c>
      <c r="B504" t="n">
        <v>2024</v>
      </c>
      <c r="C504" t="inlineStr">
        <is>
          <t>Strategy</t>
        </is>
      </c>
      <c r="D504">
        <f>TRUE()</f>
        <v/>
      </c>
      <c r="E504">
        <f>COUNTIF(connections!A:A, A504) &gt; 0</f>
        <v/>
      </c>
      <c r="G504" t="inlineStr">
        <is>
          <t>nubbys-number-factory</t>
        </is>
      </c>
      <c r="H504" t="inlineStr">
        <is>
          <t>Yes</t>
        </is>
      </c>
      <c r="I504" t="inlineStr">
        <is>
          <t>C:\Users\Owner\Documents\Roguelike Roguelike\Roguelikes\Nubby's Number Factory.url</t>
        </is>
      </c>
      <c r="J504" s="1" t="inlineStr">
        <is>
          <t>https://store.steampowered.com/app/3191030/Nubbys_Number_Factory/</t>
        </is>
      </c>
    </row>
    <row r="505" ht="15" customHeight="1">
      <c r="A505" t="inlineStr">
        <is>
          <t>Nuclear Throne</t>
        </is>
      </c>
      <c r="B505" t="n">
        <v>2015</v>
      </c>
      <c r="C505" t="inlineStr">
        <is>
          <t>Action</t>
        </is>
      </c>
      <c r="D505">
        <f>TRUE()</f>
        <v/>
      </c>
      <c r="E505">
        <f>COUNTIF(connections!A:A, A505) &gt; 0</f>
        <v/>
      </c>
      <c r="G505" t="inlineStr">
        <is>
          <t>nuclear-throne</t>
        </is>
      </c>
      <c r="H505" t="inlineStr">
        <is>
          <t>Yes</t>
        </is>
      </c>
      <c r="I505" t="inlineStr">
        <is>
          <t>C:\Users\Owner\Documents\Roguelike Roguelike\Roguelikes\Nuclear Throne.url</t>
        </is>
      </c>
      <c r="J505" s="1" t="inlineStr">
        <is>
          <t>https://store.steampowered.com/app/242680/Nuclear_Throne/</t>
        </is>
      </c>
    </row>
    <row r="506" ht="15" customHeight="1">
      <c r="A506" t="inlineStr">
        <is>
          <t>Nunholy</t>
        </is>
      </c>
      <c r="B506" t="n">
        <v>2025</v>
      </c>
      <c r="C506" t="inlineStr">
        <is>
          <t>Action</t>
        </is>
      </c>
      <c r="D506">
        <f>TRUE()</f>
        <v/>
      </c>
      <c r="E506">
        <f>COUNTIF(connections!A:A, A506) &gt; 0</f>
        <v/>
      </c>
      <c r="G506" t="inlineStr">
        <is>
          <t>nunholy</t>
        </is>
      </c>
      <c r="H506" t="inlineStr">
        <is>
          <t>Yes</t>
        </is>
      </c>
      <c r="I506" t="inlineStr">
        <is>
          <t>C:\Users\Owner\Documents\Roguelike Roguelike\Roguelikes\Nunholy.url</t>
        </is>
      </c>
      <c r="J506" s="1" t="inlineStr">
        <is>
          <t>https://store.steampowered.com/app/2854740/Nunholy/</t>
        </is>
      </c>
    </row>
    <row r="507" ht="15" customHeight="1">
      <c r="A507" t="inlineStr">
        <is>
          <t>Oaken Tower</t>
        </is>
      </c>
      <c r="B507" t="n">
        <v>2026</v>
      </c>
      <c r="C507" t="inlineStr">
        <is>
          <t>Strategy</t>
        </is>
      </c>
      <c r="D507">
        <f>TRUE()</f>
        <v/>
      </c>
      <c r="E507">
        <f>COUNTIF(connections!A:A, A507) &gt; 0</f>
        <v/>
      </c>
      <c r="G507" t="inlineStr">
        <is>
          <t>oaken-tower</t>
        </is>
      </c>
    </row>
    <row r="508" ht="15" customHeight="1">
      <c r="A508" t="inlineStr">
        <is>
          <t>Oblivion Override</t>
        </is>
      </c>
      <c r="B508" t="n">
        <v>2023</v>
      </c>
      <c r="C508" t="inlineStr">
        <is>
          <t>Action</t>
        </is>
      </c>
      <c r="D508">
        <f>TRUE()</f>
        <v/>
      </c>
      <c r="E508">
        <f>COUNTIF(connections!A:A, A508) &gt; 0</f>
        <v/>
      </c>
      <c r="G508" t="inlineStr">
        <is>
          <t>oblivion-override</t>
        </is>
      </c>
    </row>
    <row r="509" ht="15" customHeight="1">
      <c r="A509" t="inlineStr">
        <is>
          <t>Obsidian Prince</t>
        </is>
      </c>
      <c r="B509" t="n">
        <v>2021</v>
      </c>
      <c r="C509" t="inlineStr">
        <is>
          <t>Deckbuilder</t>
        </is>
      </c>
      <c r="D509" t="b">
        <v>1</v>
      </c>
      <c r="E509">
        <f>COUNTIF(connections!A:A, A509) &gt; 0</f>
        <v/>
      </c>
      <c r="G509" t="inlineStr">
        <is>
          <t>obsidian-prince</t>
        </is>
      </c>
      <c r="H509" t="inlineStr">
        <is>
          <t>Yes</t>
        </is>
      </c>
      <c r="I509" t="inlineStr">
        <is>
          <t>C:\Users\Owner\Documents\Roguelike Roguelike\Roguelikes\Obsidian Prince.url</t>
        </is>
      </c>
      <c r="J509" s="11" t="inlineStr">
        <is>
          <t>https://store.steampowered.com/app/1373260/Obsidian_Prince/</t>
        </is>
      </c>
    </row>
    <row r="510" ht="15" customHeight="1">
      <c r="A510" t="inlineStr">
        <is>
          <t>Octogeddon</t>
        </is>
      </c>
      <c r="B510" t="n">
        <v>2018</v>
      </c>
      <c r="C510" t="inlineStr">
        <is>
          <t>Action</t>
        </is>
      </c>
      <c r="D510">
        <f>FALSE()</f>
        <v/>
      </c>
      <c r="E510">
        <f>COUNTIF(connections!A:A, A510) &gt; 0</f>
        <v/>
      </c>
      <c r="G510" t="inlineStr">
        <is>
          <t>octogeddon</t>
        </is>
      </c>
      <c r="H510" t="inlineStr">
        <is>
          <t>Yes</t>
        </is>
      </c>
      <c r="I510" t="inlineStr">
        <is>
          <t>C:\Users\Owner\Documents\Roguelike Roguelike\Roguelikes\Octogeddon.url</t>
        </is>
      </c>
      <c r="J510" s="1" t="inlineStr">
        <is>
          <t>https://store.steampowered.com/app/525620/Octogeddon/</t>
        </is>
      </c>
    </row>
    <row r="511" ht="15" customHeight="1">
      <c r="A511" t="inlineStr">
        <is>
          <t>Oddcore</t>
        </is>
      </c>
      <c r="B511" t="n">
        <v>2026</v>
      </c>
      <c r="C511" t="inlineStr">
        <is>
          <t>Action</t>
        </is>
      </c>
      <c r="D511">
        <f>TRUE()</f>
        <v/>
      </c>
      <c r="E511">
        <f>COUNTIF(connections!A:A, A511) &gt; 0</f>
        <v/>
      </c>
      <c r="G511" t="inlineStr">
        <is>
          <t>oddcore</t>
        </is>
      </c>
    </row>
    <row r="512" ht="15" customHeight="1">
      <c r="A512" t="inlineStr">
        <is>
          <t>Odinfall</t>
        </is>
      </c>
      <c r="B512" t="n">
        <v>2025</v>
      </c>
      <c r="C512" t="inlineStr">
        <is>
          <t>Action</t>
        </is>
      </c>
      <c r="D512">
        <f>TRUE()</f>
        <v/>
      </c>
      <c r="E512">
        <f>COUNTIF(connections!A:A, A512) &gt; 0</f>
        <v/>
      </c>
      <c r="G512" t="inlineStr">
        <is>
          <t>odinfall</t>
        </is>
      </c>
    </row>
    <row r="513" ht="15" customHeight="1">
      <c r="A513" t="inlineStr">
        <is>
          <t>Ogre Chambers 2222</t>
        </is>
      </c>
      <c r="B513" t="n">
        <v>2026</v>
      </c>
      <c r="C513" t="inlineStr">
        <is>
          <t>Action</t>
        </is>
      </c>
      <c r="D513">
        <f>TRUE()</f>
        <v/>
      </c>
      <c r="E513">
        <f>COUNTIF(connections!A:A, A513) &gt; 0</f>
        <v/>
      </c>
      <c r="G513" t="inlineStr">
        <is>
          <t>ogre-chambers-2222</t>
        </is>
      </c>
      <c r="J513" s="11" t="inlineStr">
        <is>
          <t>https://store.steampowered.com/app/3375890/Ogre_Chambers_2222/</t>
        </is>
      </c>
    </row>
    <row r="514" ht="15" customHeight="1">
      <c r="A514" t="inlineStr">
        <is>
          <t>Omega</t>
        </is>
      </c>
      <c r="B514" t="n">
        <v>1987</v>
      </c>
      <c r="C514" t="inlineStr">
        <is>
          <t>Traditional</t>
        </is>
      </c>
      <c r="D514">
        <f>TRUE()</f>
        <v/>
      </c>
      <c r="E514">
        <f>COUNTIF(connections!A:A, A514) &gt; 0</f>
        <v/>
      </c>
      <c r="G514" t="inlineStr">
        <is>
          <t>omega</t>
        </is>
      </c>
      <c r="H514" t="inlineStr">
        <is>
          <t>Yes</t>
        </is>
      </c>
      <c r="I514" t="inlineStr">
        <is>
          <t>C:\Users\Owner\Documents\Roguelike Roguelike\Roguelikes\Omega.lnk</t>
        </is>
      </c>
    </row>
    <row r="515" ht="15" customHeight="1">
      <c r="A515" t="inlineStr">
        <is>
          <t>Omega Labyrinth</t>
        </is>
      </c>
      <c r="B515" t="n">
        <v>2015</v>
      </c>
      <c r="C515" t="inlineStr">
        <is>
          <t>Traditional</t>
        </is>
      </c>
      <c r="D515">
        <f>TRUE()</f>
        <v/>
      </c>
      <c r="E515">
        <f>COUNTIF(connections!A:A, A515) &gt; 0</f>
        <v/>
      </c>
      <c r="G515" t="inlineStr">
        <is>
          <t>omega-labyrinth</t>
        </is>
      </c>
    </row>
    <row r="516" ht="15" customHeight="1">
      <c r="A516" t="inlineStr">
        <is>
          <t>Omega Labyrinth Life</t>
        </is>
      </c>
      <c r="B516" t="n">
        <v>2019</v>
      </c>
      <c r="C516" t="inlineStr">
        <is>
          <t>Traditional</t>
        </is>
      </c>
      <c r="D516">
        <f>TRUE()</f>
        <v/>
      </c>
      <c r="E516">
        <f>COUNTIF(connections!A:A, A516) &gt; 0</f>
        <v/>
      </c>
      <c r="G516" t="inlineStr">
        <is>
          <t>omega-labyrinth-life</t>
        </is>
      </c>
      <c r="H516" t="inlineStr">
        <is>
          <t>Yes</t>
        </is>
      </c>
      <c r="I516" t="inlineStr">
        <is>
          <t>C:\Users\Owner\Documents\Roguelike Roguelike\Roguelikes\Omega Labyrinth Life.url</t>
        </is>
      </c>
      <c r="J516" s="11" t="inlineStr">
        <is>
          <t>https://store.steampowered.com/app/1163600/Omega_Labyrinth_Life/</t>
        </is>
      </c>
    </row>
    <row r="517" ht="15" customHeight="1">
      <c r="A517" t="inlineStr">
        <is>
          <t>Omega Labyrinth Z</t>
        </is>
      </c>
      <c r="B517" t="n">
        <v>2017</v>
      </c>
      <c r="C517" t="inlineStr">
        <is>
          <t>Traditional</t>
        </is>
      </c>
      <c r="D517">
        <f>TRUE()</f>
        <v/>
      </c>
      <c r="E517">
        <f>COUNTIF(connections!A:A, A517) &gt; 0</f>
        <v/>
      </c>
      <c r="G517" t="inlineStr">
        <is>
          <t>omega-labyrinth-z</t>
        </is>
      </c>
    </row>
    <row r="518" ht="15" customHeight="1">
      <c r="A518" t="inlineStr">
        <is>
          <t>Omelet You Cook</t>
        </is>
      </c>
      <c r="B518" t="n">
        <v>2025</v>
      </c>
      <c r="C518" t="inlineStr">
        <is>
          <t>Deckbuilder</t>
        </is>
      </c>
      <c r="D518">
        <f>TRUE()</f>
        <v/>
      </c>
      <c r="E518">
        <f>COUNTIF(connections!A:A, A518) &gt; 0</f>
        <v/>
      </c>
      <c r="F518" t="inlineStr">
        <is>
          <t>food</t>
        </is>
      </c>
      <c r="G518" t="inlineStr">
        <is>
          <t>omelet-you-cook</t>
        </is>
      </c>
    </row>
    <row r="519" ht="15" customHeight="1">
      <c r="A519" t="inlineStr">
        <is>
          <t>One Step From Eden</t>
        </is>
      </c>
      <c r="B519" t="n">
        <v>2020</v>
      </c>
      <c r="C519" t="inlineStr">
        <is>
          <t>Action</t>
        </is>
      </c>
      <c r="D519">
        <f>TRUE()</f>
        <v/>
      </c>
      <c r="E519">
        <f>COUNTIF(connections!A:A, A519) &gt; 0</f>
        <v/>
      </c>
      <c r="G519" t="inlineStr">
        <is>
          <t>one-step-from-eden</t>
        </is>
      </c>
      <c r="H519" t="inlineStr">
        <is>
          <t>Yes</t>
        </is>
      </c>
      <c r="I519" t="inlineStr">
        <is>
          <t>C:\Users\Owner\Documents\Roguelike Roguelike\Roguelikes\One Step From Eden.url</t>
        </is>
      </c>
      <c r="J519" s="1" t="inlineStr">
        <is>
          <t>https://store.steampowered.com/app/960690/One_Step_From_Eden/</t>
        </is>
      </c>
    </row>
    <row r="520" ht="15" customHeight="1">
      <c r="A520" t="inlineStr">
        <is>
          <t>One Way Heroics</t>
        </is>
      </c>
      <c r="B520" t="n">
        <v>2014</v>
      </c>
      <c r="C520" t="inlineStr">
        <is>
          <t>Traditional</t>
        </is>
      </c>
      <c r="D520">
        <f>TRUE()</f>
        <v/>
      </c>
      <c r="E520">
        <f>COUNTIF(connections!A:A, A520) &gt; 0</f>
        <v/>
      </c>
      <c r="G520" t="inlineStr">
        <is>
          <t>one-way-heroics</t>
        </is>
      </c>
      <c r="H520" t="inlineStr">
        <is>
          <t>Yes</t>
        </is>
      </c>
      <c r="I520" t="inlineStr">
        <is>
          <t>C:\Users\Owner\Documents\Roguelike Roguelike\Roguelikes\One Way Heroics.url</t>
        </is>
      </c>
      <c r="J520" s="11" t="inlineStr">
        <is>
          <t>https://store.steampowered.com/app/266210/One_Way_Heroics/</t>
        </is>
      </c>
    </row>
    <row r="521" ht="15" customHeight="1">
      <c r="A521" t="inlineStr">
        <is>
          <t>OneBit Adventure</t>
        </is>
      </c>
      <c r="B521" t="n">
        <v>2019</v>
      </c>
      <c r="C521" t="inlineStr">
        <is>
          <t>Traditional</t>
        </is>
      </c>
      <c r="D521">
        <f>TRUE()</f>
        <v/>
      </c>
      <c r="E521">
        <f>COUNTIF(connections!A:A, A521) &gt; 0</f>
        <v/>
      </c>
      <c r="G521" t="inlineStr">
        <is>
          <t>onebit-adventure</t>
        </is>
      </c>
      <c r="H521" t="inlineStr">
        <is>
          <t>Yes</t>
        </is>
      </c>
      <c r="I521" t="inlineStr">
        <is>
          <t>C:\Users\Owner\Documents\Roguelike Roguelike\Roguelikes\OneBit Adventure.url</t>
        </is>
      </c>
      <c r="J521" s="1" t="inlineStr">
        <is>
          <t>https://store.steampowered.com/app/1688320/OneBit_Adventure/</t>
        </is>
      </c>
    </row>
    <row r="522" ht="15" customHeight="1">
      <c r="A522" t="inlineStr">
        <is>
          <t>OTXO</t>
        </is>
      </c>
      <c r="B522" t="n">
        <v>2023</v>
      </c>
      <c r="C522" t="inlineStr">
        <is>
          <t>Action</t>
        </is>
      </c>
      <c r="D522">
        <f>FALSE()</f>
        <v/>
      </c>
      <c r="E522">
        <f>COUNTIF(connections!A:A, A522) &gt; 0</f>
        <v/>
      </c>
      <c r="G522" t="inlineStr">
        <is>
          <t>otxo</t>
        </is>
      </c>
      <c r="H522" t="inlineStr">
        <is>
          <t>Yes</t>
        </is>
      </c>
      <c r="I522" t="inlineStr">
        <is>
          <t>C:\Users\Owner\Documents\Roguelike Roguelike\Roguelikes\OTXO.url</t>
        </is>
      </c>
      <c r="J522" s="1" t="inlineStr">
        <is>
          <t>https://store.steampowered.com/app/1608640/OTXO/</t>
        </is>
      </c>
    </row>
    <row r="523" ht="15" customHeight="1">
      <c r="A523" t="inlineStr">
        <is>
          <t>Our Darker Purpose</t>
        </is>
      </c>
      <c r="B523" t="n">
        <v>2014</v>
      </c>
      <c r="C523" t="inlineStr">
        <is>
          <t>Action</t>
        </is>
      </c>
      <c r="D523" t="b">
        <v>1</v>
      </c>
      <c r="E523">
        <f>COUNTIF(connections!A:A, A523) &gt; 0</f>
        <v/>
      </c>
      <c r="G523" t="inlineStr">
        <is>
          <t>our-darker-purpose</t>
        </is>
      </c>
      <c r="J523" s="11" t="inlineStr">
        <is>
          <t>https://store.steampowered.com/app/262790/Our_Darker_Purpose/</t>
        </is>
      </c>
    </row>
    <row r="524" ht="15" customHeight="1">
      <c r="A524" t="inlineStr">
        <is>
          <t>Overlooting</t>
        </is>
      </c>
      <c r="B524" t="n">
        <v>2025</v>
      </c>
      <c r="C524" t="inlineStr">
        <is>
          <t>Strategy</t>
        </is>
      </c>
      <c r="D524">
        <f>FALSE()</f>
        <v/>
      </c>
      <c r="E524">
        <f>COUNTIF(connections!A:A, A524) &gt; 0</f>
        <v/>
      </c>
      <c r="G524" t="inlineStr">
        <is>
          <t>overlooting</t>
        </is>
      </c>
      <c r="H524" t="inlineStr">
        <is>
          <t>Yes</t>
        </is>
      </c>
      <c r="I524" t="inlineStr">
        <is>
          <t>C:\Users\Owner\Documents\Roguelike Roguelike\Roguelikes\Overlooting.url</t>
        </is>
      </c>
      <c r="J524" s="1" t="inlineStr">
        <is>
          <t>https://store.steampowered.com/app/3410180/Overlooting/</t>
        </is>
      </c>
    </row>
    <row r="525" ht="15" customHeight="1">
      <c r="A525" t="inlineStr">
        <is>
          <t>Overworld</t>
        </is>
      </c>
      <c r="B525" t="n">
        <v>2022</v>
      </c>
      <c r="C525" t="inlineStr">
        <is>
          <t>Traditional</t>
        </is>
      </c>
      <c r="D525">
        <f>TRUE()</f>
        <v/>
      </c>
      <c r="E525">
        <f>COUNTIF(connections!A:A, A525) &gt; 0</f>
        <v/>
      </c>
      <c r="G525" t="inlineStr">
        <is>
          <t>overworld</t>
        </is>
      </c>
      <c r="H525" t="inlineStr">
        <is>
          <t>Yes</t>
        </is>
      </c>
      <c r="I525" t="inlineStr">
        <is>
          <t>C:\Users\Owner\Documents\Roguelike Roguelike\Roguelikes\Overworld.lnk</t>
        </is>
      </c>
    </row>
    <row r="526" ht="15" customHeight="1">
      <c r="A526" t="inlineStr">
        <is>
          <t>Pairs &amp; Perils</t>
        </is>
      </c>
      <c r="B526" t="n">
        <v>2025</v>
      </c>
      <c r="C526" t="inlineStr">
        <is>
          <t>Deckbuilder</t>
        </is>
      </c>
      <c r="D526">
        <f>TRUE()</f>
        <v/>
      </c>
      <c r="E526">
        <f>COUNTIF(connections!A:A, A526) &gt; 0</f>
        <v/>
      </c>
      <c r="G526" t="inlineStr">
        <is>
          <t>pairs-perils</t>
        </is>
      </c>
      <c r="H526" t="inlineStr">
        <is>
          <t>Yes</t>
        </is>
      </c>
      <c r="I526" t="inlineStr">
        <is>
          <t>C:\Users\Owner\Documents\Roguelike Roguelike\Roguelikes\Pairs &amp; Perils.url</t>
        </is>
      </c>
      <c r="J526" s="1" t="inlineStr">
        <is>
          <t>https://store.steampowered.com/app/3179860/Pairs__Perils/</t>
        </is>
      </c>
    </row>
    <row r="527" ht="15" customHeight="1">
      <c r="A527" t="inlineStr">
        <is>
          <t>Paper Animal Adventure</t>
        </is>
      </c>
      <c r="B527" t="n">
        <v>2025</v>
      </c>
      <c r="C527" t="inlineStr">
        <is>
          <t>Traditional</t>
        </is>
      </c>
      <c r="D527">
        <f>TRUE()</f>
        <v/>
      </c>
      <c r="E527">
        <f>COUNTIF(connections!A:A, A527) &gt; 0</f>
        <v/>
      </c>
      <c r="G527" t="inlineStr">
        <is>
          <t>paper-animal-adventure</t>
        </is>
      </c>
    </row>
    <row r="528" ht="15" customHeight="1">
      <c r="A528" t="inlineStr">
        <is>
          <t>Paper Planet</t>
        </is>
      </c>
      <c r="B528" t="n">
        <v>2023</v>
      </c>
      <c r="C528" t="inlineStr">
        <is>
          <t>Action</t>
        </is>
      </c>
      <c r="D528">
        <f>TRUE()</f>
        <v/>
      </c>
      <c r="E528">
        <f>COUNTIF(connections!A:A, A528) &gt; 0</f>
        <v/>
      </c>
      <c r="G528" t="inlineStr">
        <is>
          <t>paper-planet</t>
        </is>
      </c>
      <c r="H528" t="inlineStr">
        <is>
          <t>Yes</t>
        </is>
      </c>
      <c r="I528" t="inlineStr">
        <is>
          <t>C:\Users\Owner\Documents\Roguelike Roguelike\Roguelikes\Paper Planet.url</t>
        </is>
      </c>
      <c r="J528" s="1" t="inlineStr">
        <is>
          <t>https://store.steampowered.com/app/1504250/Paper_Planet/</t>
        </is>
      </c>
    </row>
    <row r="529" ht="15" customHeight="1">
      <c r="A529" t="inlineStr">
        <is>
          <t>Passant: A Chess Roguelike</t>
        </is>
      </c>
      <c r="B529" t="n">
        <v>2025</v>
      </c>
      <c r="C529" t="inlineStr">
        <is>
          <t>Strategy</t>
        </is>
      </c>
      <c r="D529">
        <f>TRUE()</f>
        <v/>
      </c>
      <c r="E529">
        <f>COUNTIF(connections!A:A, A529) &gt; 0</f>
        <v/>
      </c>
      <c r="F529" t="inlineStr">
        <is>
          <t>chess</t>
        </is>
      </c>
      <c r="G529" t="inlineStr">
        <is>
          <t>passant-a-chess-roguelike</t>
        </is>
      </c>
    </row>
    <row r="530" ht="15" customHeight="1">
      <c r="A530" t="inlineStr">
        <is>
          <t>Patch Quest</t>
        </is>
      </c>
      <c r="B530" t="n">
        <v>2021</v>
      </c>
      <c r="C530" t="inlineStr">
        <is>
          <t>Action</t>
        </is>
      </c>
      <c r="D530">
        <f>TRUE()</f>
        <v/>
      </c>
      <c r="E530">
        <f>COUNTIF(connections!A:A, A530) &gt; 0</f>
        <v/>
      </c>
      <c r="G530" t="inlineStr">
        <is>
          <t>patch-quest</t>
        </is>
      </c>
      <c r="H530" t="inlineStr">
        <is>
          <t>Yes</t>
        </is>
      </c>
      <c r="I530" t="inlineStr">
        <is>
          <t>C:\Users\Owner\Documents\Roguelike Roguelike\Roguelikes\Patch Quest.url</t>
        </is>
      </c>
      <c r="J530" s="1" t="inlineStr">
        <is>
          <t>https://store.steampowered.com/app/1347970/Patch_Quest/</t>
        </is>
      </c>
    </row>
    <row r="531" ht="15" customHeight="1">
      <c r="A531" t="inlineStr">
        <is>
          <t>Path of Achra</t>
        </is>
      </c>
      <c r="B531" t="n">
        <v>2023</v>
      </c>
      <c r="C531" t="inlineStr">
        <is>
          <t>Traditional</t>
        </is>
      </c>
      <c r="D531">
        <f>TRUE()</f>
        <v/>
      </c>
      <c r="E531">
        <f>COUNTIF(connections!A:A, A531) &gt; 0</f>
        <v/>
      </c>
      <c r="G531" t="inlineStr">
        <is>
          <t>path-of-achra</t>
        </is>
      </c>
      <c r="H531" t="inlineStr">
        <is>
          <t>Yes</t>
        </is>
      </c>
      <c r="I531" t="inlineStr">
        <is>
          <t>C:\Users\Owner\Documents\Roguelike Roguelike\Roguelikes\Path of Achra.url</t>
        </is>
      </c>
      <c r="J531" s="1" t="inlineStr">
        <is>
          <t>https://store.steampowered.com/app/2128270/Path_of_Achra/</t>
        </is>
      </c>
    </row>
    <row r="532" ht="15" customHeight="1">
      <c r="A532" t="inlineStr">
        <is>
          <t>Pathogenic</t>
        </is>
      </c>
      <c r="B532" t="n">
        <v>2026</v>
      </c>
      <c r="C532" t="inlineStr">
        <is>
          <t>Action</t>
        </is>
      </c>
      <c r="D532" t="b">
        <v>1</v>
      </c>
      <c r="E532">
        <f>COUNTIF(connections!A:A, A532) &gt; 0</f>
        <v/>
      </c>
      <c r="G532" t="inlineStr">
        <is>
          <t>pathogenic</t>
        </is>
      </c>
      <c r="J532" s="11" t="inlineStr">
        <is>
          <t>https://store.steampowered.com/app/3808690/Pathogenic/</t>
        </is>
      </c>
    </row>
    <row r="533" ht="15" customHeight="1">
      <c r="A533" t="inlineStr">
        <is>
          <t>Pathos: Nethack Codex</t>
        </is>
      </c>
      <c r="B533" t="n">
        <v>2015</v>
      </c>
      <c r="C533" t="inlineStr">
        <is>
          <t>Traditional</t>
        </is>
      </c>
      <c r="D533">
        <f>TRUE()</f>
        <v/>
      </c>
      <c r="E533">
        <f>COUNTIF(connections!A:A, A533) &gt; 0</f>
        <v/>
      </c>
      <c r="G533" t="inlineStr">
        <is>
          <t>pathos-nethack-codex</t>
        </is>
      </c>
      <c r="H533" t="inlineStr">
        <is>
          <t>Yes</t>
        </is>
      </c>
      <c r="I533" t="inlineStr">
        <is>
          <t>C:\Users\Owner\Documents\Roguelike Roguelike\Roguelikes\Pathos Nethack Codex.lnk</t>
        </is>
      </c>
    </row>
    <row r="534" ht="15" customHeight="1">
      <c r="A534" t="inlineStr">
        <is>
          <t>Pawnbarian</t>
        </is>
      </c>
      <c r="B534" t="n">
        <v>2021</v>
      </c>
      <c r="C534" t="inlineStr">
        <is>
          <t>Strategy</t>
        </is>
      </c>
      <c r="D534">
        <f>TRUE()</f>
        <v/>
      </c>
      <c r="E534">
        <f>COUNTIF(connections!A:A, A534) &gt; 0</f>
        <v/>
      </c>
      <c r="F534" t="inlineStr">
        <is>
          <t>chess</t>
        </is>
      </c>
      <c r="G534" t="inlineStr">
        <is>
          <t>pawnbarian</t>
        </is>
      </c>
      <c r="H534" t="inlineStr">
        <is>
          <t>Yes</t>
        </is>
      </c>
      <c r="I534" t="inlineStr">
        <is>
          <t>C:\Users\Owner\Documents\Roguelike Roguelike\Roguelikes\Pawnbarian.url</t>
        </is>
      </c>
      <c r="J534" s="1" t="inlineStr">
        <is>
          <t>https://store.steampowered.com/app/1142080/Pawnbarian/</t>
        </is>
      </c>
    </row>
    <row r="535" ht="15" customHeight="1">
      <c r="A535" t="inlineStr">
        <is>
          <t>Peglin</t>
        </is>
      </c>
      <c r="B535" t="n">
        <v>2022</v>
      </c>
      <c r="C535" t="inlineStr">
        <is>
          <t>Deckbuilder</t>
        </is>
      </c>
      <c r="D535">
        <f>TRUE()</f>
        <v/>
      </c>
      <c r="E535">
        <f>COUNTIF(connections!A:A, A535) &gt; 0</f>
        <v/>
      </c>
      <c r="F535" t="inlineStr">
        <is>
          <t>casino</t>
        </is>
      </c>
      <c r="G535" t="inlineStr">
        <is>
          <t>peglin</t>
        </is>
      </c>
      <c r="H535" t="inlineStr">
        <is>
          <t>Yes</t>
        </is>
      </c>
      <c r="I535" t="inlineStr">
        <is>
          <t>C:\Users\Owner\Documents\Roguelike Roguelike\Roguelikes\Peglin.url</t>
        </is>
      </c>
      <c r="J535" s="1" t="inlineStr">
        <is>
          <t>https://store.steampowered.com/app/1296610/Peglin/</t>
        </is>
      </c>
    </row>
    <row r="536" ht="15" customHeight="1">
      <c r="A536" t="inlineStr">
        <is>
          <t>Pegs X Stickers</t>
        </is>
      </c>
      <c r="B536" t="n">
        <v>2026</v>
      </c>
      <c r="C536" t="inlineStr">
        <is>
          <t>Deckbuilder</t>
        </is>
      </c>
      <c r="D536">
        <f>TRUE()</f>
        <v/>
      </c>
      <c r="E536">
        <f>COUNTIF(connections!A:A, A536) &gt; 0</f>
        <v/>
      </c>
      <c r="G536" t="inlineStr">
        <is>
          <t>pegs-x-stickers</t>
        </is>
      </c>
      <c r="J536" s="11" t="inlineStr">
        <is>
          <t>https://store.steampowered.com/app/4403010/Pegs_X_Stickers/</t>
        </is>
      </c>
    </row>
    <row r="537" ht="15" customHeight="1">
      <c r="A537" t="inlineStr">
        <is>
          <t>Pesticide Not Required</t>
        </is>
      </c>
      <c r="B537" t="n">
        <v>2024</v>
      </c>
      <c r="C537" t="inlineStr">
        <is>
          <t>Action</t>
        </is>
      </c>
      <c r="D537">
        <f>TRUE()</f>
        <v/>
      </c>
      <c r="E537">
        <f>COUNTIF(connections!A:A, A537) &gt; 0</f>
        <v/>
      </c>
      <c r="G537" t="inlineStr">
        <is>
          <t>pesticide-not-required</t>
        </is>
      </c>
      <c r="H537" t="inlineStr">
        <is>
          <t>Yes</t>
        </is>
      </c>
      <c r="I537" t="inlineStr">
        <is>
          <t>C:\Users\Owner\Documents\Roguelike Roguelike\Roguelikes\Pesticide Not Required.url</t>
        </is>
      </c>
      <c r="J537" s="1" t="inlineStr">
        <is>
          <t>https://store.steampowered.com/app/2479320/Pesticide_Not_Required/</t>
        </is>
      </c>
    </row>
    <row r="538" ht="15" customHeight="1">
      <c r="A538" t="inlineStr">
        <is>
          <t>Picayune Dreams</t>
        </is>
      </c>
      <c r="B538" t="n">
        <v>2023</v>
      </c>
      <c r="C538" t="inlineStr">
        <is>
          <t>Action</t>
        </is>
      </c>
      <c r="D538">
        <f>TRUE()</f>
        <v/>
      </c>
      <c r="E538">
        <f>COUNTIF(connections!A:A, A538) &gt; 0</f>
        <v/>
      </c>
      <c r="G538" t="inlineStr">
        <is>
          <t>picayune-dreams</t>
        </is>
      </c>
      <c r="H538" t="inlineStr">
        <is>
          <t>Yes</t>
        </is>
      </c>
      <c r="I538" t="inlineStr">
        <is>
          <t>C:\Users\Owner\Documents\Roguelike Roguelike\Roguelikes\Picayune Dreams.url</t>
        </is>
      </c>
      <c r="J538" s="1" t="inlineStr">
        <is>
          <t>https://store.steampowered.com/app/2088840/Picayune_Dreams/</t>
        </is>
      </c>
    </row>
    <row r="539" ht="15" customHeight="1">
      <c r="A539" t="inlineStr">
        <is>
          <t>Pip My Dice</t>
        </is>
      </c>
      <c r="B539" t="n">
        <v>2025</v>
      </c>
      <c r="C539" t="inlineStr">
        <is>
          <t>Deckbuilder</t>
        </is>
      </c>
      <c r="D539">
        <f>TRUE()</f>
        <v/>
      </c>
      <c r="E539">
        <f>COUNTIF(connections!A:A, A539) &gt; 0</f>
        <v/>
      </c>
      <c r="F539" t="inlineStr">
        <is>
          <t>dice</t>
        </is>
      </c>
      <c r="G539" t="inlineStr">
        <is>
          <t>pip-my-dice</t>
        </is>
      </c>
      <c r="H539" t="inlineStr">
        <is>
          <t>Yes</t>
        </is>
      </c>
      <c r="I539" t="inlineStr">
        <is>
          <t>C:\Users\Owner\Documents\Roguelike Roguelike\Roguelikes\Pip My Dice.url</t>
        </is>
      </c>
      <c r="J539" s="1" t="inlineStr">
        <is>
          <t>https://store.steampowered.com/app/2797650/Pip_My_Dice/</t>
        </is>
      </c>
    </row>
    <row r="540" ht="15" customHeight="1">
      <c r="A540" t="inlineStr">
        <is>
          <t>Pixel Dungeon</t>
        </is>
      </c>
      <c r="B540" t="n">
        <v>2012</v>
      </c>
      <c r="C540" t="inlineStr">
        <is>
          <t>Traditional</t>
        </is>
      </c>
      <c r="D540">
        <f>TRUE()</f>
        <v/>
      </c>
      <c r="E540">
        <f>COUNTIF(connections!A:A, A540) &gt; 0</f>
        <v/>
      </c>
      <c r="G540" t="inlineStr">
        <is>
          <t>pixel-dungeon</t>
        </is>
      </c>
      <c r="J540" s="11" t="inlineStr">
        <is>
          <t>https://store.steampowered.com/app/365900/Pixel_Dungeon/</t>
        </is>
      </c>
    </row>
    <row r="541" ht="15" customHeight="1">
      <c r="A541" t="inlineStr">
        <is>
          <t>PlateUp!</t>
        </is>
      </c>
      <c r="B541" t="n">
        <v>2022</v>
      </c>
      <c r="C541" t="inlineStr">
        <is>
          <t>Strategy</t>
        </is>
      </c>
      <c r="D541">
        <f>FALSE()</f>
        <v/>
      </c>
      <c r="E541">
        <f>COUNTIF(connections!A:A, A541) &gt; 0</f>
        <v/>
      </c>
      <c r="F541" t="inlineStr">
        <is>
          <t>food</t>
        </is>
      </c>
      <c r="G541" t="inlineStr">
        <is>
          <t>plateup</t>
        </is>
      </c>
      <c r="H541" t="inlineStr">
        <is>
          <t>Yes</t>
        </is>
      </c>
      <c r="I541" t="inlineStr">
        <is>
          <t>C:\Users\Owner\Documents\Roguelike Roguelike\Roguelikes\PlateUp!.url</t>
        </is>
      </c>
      <c r="J541" s="1" t="inlineStr">
        <is>
          <t>https://store.steampowered.com/app/1599600/PlateUp/</t>
        </is>
      </c>
    </row>
    <row r="542" ht="15" customHeight="1">
      <c r="A542" t="inlineStr">
        <is>
          <t>Plinbo</t>
        </is>
      </c>
      <c r="B542" t="n">
        <v>2026</v>
      </c>
      <c r="C542" t="inlineStr">
        <is>
          <t>Deckbuilder</t>
        </is>
      </c>
      <c r="D542">
        <f>TRUE()</f>
        <v/>
      </c>
      <c r="E542">
        <f>COUNTIF(connections!A:A, A542) &gt; 0</f>
        <v/>
      </c>
      <c r="G542" t="inlineStr">
        <is>
          <t>plinbo</t>
        </is>
      </c>
      <c r="J542" s="1" t="inlineStr">
        <is>
          <t>https://store.steampowered.com/app/3948580/Plinbo_Roguelike_Plinko/</t>
        </is>
      </c>
    </row>
    <row r="543" ht="15" customHeight="1">
      <c r="A543" t="inlineStr">
        <is>
          <t>Plinko Panic!</t>
        </is>
      </c>
      <c r="B543" t="n">
        <v>2021</v>
      </c>
      <c r="C543" t="inlineStr">
        <is>
          <t>Deckbuilder</t>
        </is>
      </c>
      <c r="D543">
        <f>TRUE()</f>
        <v/>
      </c>
      <c r="E543">
        <f>COUNTIF(connections!A:A, A543) &gt; 0</f>
        <v/>
      </c>
      <c r="F543" t="inlineStr">
        <is>
          <t>casino</t>
        </is>
      </c>
      <c r="G543" t="inlineStr">
        <is>
          <t>plinko-panic</t>
        </is>
      </c>
    </row>
    <row r="544" ht="15" customHeight="1">
      <c r="A544" t="inlineStr">
        <is>
          <t>Pluto</t>
        </is>
      </c>
      <c r="B544" t="n">
        <v>2026</v>
      </c>
      <c r="C544" t="inlineStr">
        <is>
          <t>Deckbuilder</t>
        </is>
      </c>
      <c r="D544">
        <f>TRUE()</f>
        <v/>
      </c>
      <c r="E544">
        <f>COUNTIF(connections!A:A, A544) &gt; 0</f>
        <v/>
      </c>
      <c r="G544" t="inlineStr">
        <is>
          <t>pluto</t>
        </is>
      </c>
    </row>
    <row r="545" ht="15" customHeight="1">
      <c r="A545" t="inlineStr">
        <is>
          <t>Pocket Crystal League</t>
        </is>
      </c>
      <c r="B545" t="n">
        <v>2022</v>
      </c>
      <c r="C545" t="inlineStr">
        <is>
          <t>Deckbuilder</t>
        </is>
      </c>
      <c r="D545">
        <f>TRUE()</f>
        <v/>
      </c>
      <c r="E545">
        <f>COUNTIF(connections!A:A, A545) &gt; 0</f>
        <v/>
      </c>
      <c r="F545" t="inlineStr">
        <is>
          <t>pokémon</t>
        </is>
      </c>
      <c r="G545" t="inlineStr">
        <is>
          <t>pocket-crystal-league</t>
        </is>
      </c>
      <c r="H545" t="inlineStr">
        <is>
          <t>Yes</t>
        </is>
      </c>
      <c r="I545" t="inlineStr">
        <is>
          <t>C:\Users\Owner\Documents\Roguelike Roguelike\Roguelikes\PocketCrystalLeague.lnk</t>
        </is>
      </c>
    </row>
    <row r="546" ht="15" customHeight="1">
      <c r="A546" t="inlineStr">
        <is>
          <t>Pogo Rogue</t>
        </is>
      </c>
      <c r="B546" t="n">
        <v>2024</v>
      </c>
      <c r="C546" t="inlineStr">
        <is>
          <t>Action</t>
        </is>
      </c>
      <c r="D546">
        <f>FALSE()</f>
        <v/>
      </c>
      <c r="E546">
        <f>COUNTIF(connections!A:A, A546) &gt; 0</f>
        <v/>
      </c>
      <c r="G546" t="inlineStr">
        <is>
          <t>pogo-rogue</t>
        </is>
      </c>
      <c r="H546" t="inlineStr">
        <is>
          <t>Yes</t>
        </is>
      </c>
      <c r="I546" t="inlineStr">
        <is>
          <t>C:\Users\Owner\Documents\Roguelike Roguelike\Roguelikes\Pogo Rogue.url</t>
        </is>
      </c>
      <c r="J546" s="1" t="inlineStr">
        <is>
          <t>https://store.steampowered.com/app/2870280/Pogo_Rogue/</t>
        </is>
      </c>
    </row>
    <row r="547" ht="15" customHeight="1">
      <c r="A547" t="inlineStr">
        <is>
          <t>Pokelike</t>
        </is>
      </c>
      <c r="B547" t="n">
        <v>2026</v>
      </c>
      <c r="C547" t="inlineStr">
        <is>
          <t>Strategy</t>
        </is>
      </c>
      <c r="D547">
        <f>TRUE()</f>
        <v/>
      </c>
      <c r="E547">
        <f>COUNTIF(connections!A:A, A547) &gt; 0</f>
        <v/>
      </c>
      <c r="F547" t="inlineStr">
        <is>
          <t>pokémon</t>
        </is>
      </c>
      <c r="G547" t="inlineStr">
        <is>
          <t>pokelike</t>
        </is>
      </c>
      <c r="H547" t="inlineStr">
        <is>
          <t>Yes</t>
        </is>
      </c>
      <c r="I547" t="inlineStr">
        <is>
          <t>C:\Users\Owner\Documents\Roguelike Roguelike\Roguelikes\Pokelike.url</t>
        </is>
      </c>
    </row>
    <row r="548" ht="15" customHeight="1">
      <c r="A548" t="inlineStr">
        <is>
          <t>Pokémon Auto Chess</t>
        </is>
      </c>
      <c r="B548" t="n">
        <v>2021</v>
      </c>
      <c r="C548" t="inlineStr">
        <is>
          <t>Strategy</t>
        </is>
      </c>
      <c r="D548">
        <f>TRUE()</f>
        <v/>
      </c>
      <c r="E548">
        <f>COUNTIF(connections!A:A, A548) &gt; 0</f>
        <v/>
      </c>
      <c r="F548" t="inlineStr">
        <is>
          <t>pokémon</t>
        </is>
      </c>
      <c r="G548" t="inlineStr">
        <is>
          <t>pokemon-auto-chess</t>
        </is>
      </c>
      <c r="H548" t="inlineStr">
        <is>
          <t>Yes</t>
        </is>
      </c>
      <c r="I548" t="inlineStr">
        <is>
          <t>C:\Users\Owner\Documents\Roguelike Roguelike\Roguelikes\Pokemon- Auto Chess.url</t>
        </is>
      </c>
    </row>
    <row r="549" ht="15" customHeight="1">
      <c r="A549" t="inlineStr">
        <is>
          <t>Pokémon Auto Spire</t>
        </is>
      </c>
      <c r="B549" t="n">
        <v>2026</v>
      </c>
      <c r="C549" t="inlineStr">
        <is>
          <t>Strategy</t>
        </is>
      </c>
      <c r="D549">
        <f>TRUE()</f>
        <v/>
      </c>
      <c r="E549">
        <f>COUNTIF(connections!A:A, A549) &gt; 0</f>
        <v/>
      </c>
      <c r="F549" t="inlineStr">
        <is>
          <t>pokémon</t>
        </is>
      </c>
      <c r="G549" t="inlineStr">
        <is>
          <t>pokemon-auto-spire</t>
        </is>
      </c>
      <c r="H549" t="inlineStr">
        <is>
          <t>Yes</t>
        </is>
      </c>
      <c r="I549" t="inlineStr">
        <is>
          <t>C:\Users\Owner\Documents\Roguelike Roguelike\Roguelikes\Pokemon- Auto Spire.url</t>
        </is>
      </c>
    </row>
    <row r="550" ht="15" customHeight="1">
      <c r="A550" t="inlineStr">
        <is>
          <t>Pokémon Mystery Dungeon: Explorers of Sky</t>
        </is>
      </c>
      <c r="B550" t="n">
        <v>2009</v>
      </c>
      <c r="C550" t="inlineStr">
        <is>
          <t>Traditional</t>
        </is>
      </c>
      <c r="D550">
        <f>TRUE()</f>
        <v/>
      </c>
      <c r="E550">
        <f>COUNTIF(connections!A:A, A550) &gt; 0</f>
        <v/>
      </c>
      <c r="F550" t="inlineStr">
        <is>
          <t>pokémon</t>
        </is>
      </c>
      <c r="G550" t="inlineStr">
        <is>
          <t>pokemon-mystery-dungeon-explorers-of-sky</t>
        </is>
      </c>
      <c r="H550" t="inlineStr">
        <is>
          <t>Yes</t>
        </is>
      </c>
      <c r="I550" t="inlineStr">
        <is>
          <t>C:\Users\Owner\Documents\Roguelike Roguelike\Roguelikes\Pokémon Mystery Dungeon Explorers of Sky.lnk</t>
        </is>
      </c>
    </row>
    <row r="551" ht="15" customHeight="1">
      <c r="A551" t="inlineStr">
        <is>
          <t>Pokémon Mystery Dungeon: Explorers of Time and Explorers of Darkness</t>
        </is>
      </c>
      <c r="B551" t="n">
        <v>2007</v>
      </c>
      <c r="C551" t="inlineStr">
        <is>
          <t>Traditional</t>
        </is>
      </c>
      <c r="D551">
        <f>TRUE()</f>
        <v/>
      </c>
      <c r="E551">
        <f>COUNTIF(connections!A:A, A551) &gt; 0</f>
        <v/>
      </c>
      <c r="F551" t="inlineStr">
        <is>
          <t>pokémon</t>
        </is>
      </c>
      <c r="G551" t="inlineStr">
        <is>
          <t>pokemon-mystery-dungeon-explorers-of-time-and-explorers-of-darkness</t>
        </is>
      </c>
      <c r="H551" t="inlineStr">
        <is>
          <t>Yes</t>
        </is>
      </c>
      <c r="I551" t="inlineStr">
        <is>
          <t>C:\Users\Owner\Documents\Roguelike Roguelike\Roguelikes\Pokémon Mystery Dungeon Explorers of Time and Explorers of Darkness.lnk</t>
        </is>
      </c>
    </row>
    <row r="552" ht="15" customHeight="1">
      <c r="A552" t="inlineStr">
        <is>
          <t>Pokémon Mystery Dungeon: Gates to Infinity</t>
        </is>
      </c>
      <c r="B552" t="n">
        <v>2012</v>
      </c>
      <c r="C552" t="inlineStr">
        <is>
          <t>Traditional</t>
        </is>
      </c>
      <c r="D552">
        <f>TRUE()</f>
        <v/>
      </c>
      <c r="E552">
        <f>COUNTIF(connections!A:A, A552) &gt; 0</f>
        <v/>
      </c>
      <c r="F552" t="inlineStr">
        <is>
          <t>pokémon</t>
        </is>
      </c>
      <c r="G552" t="inlineStr">
        <is>
          <t>pokemon-mystery-dungeon-gates-to-infinity</t>
        </is>
      </c>
    </row>
    <row r="553" ht="15" customHeight="1">
      <c r="A553" t="inlineStr">
        <is>
          <t>Pokémon Mystery Dungeon: Red and Blue Rescue Team</t>
        </is>
      </c>
      <c r="B553" t="n">
        <v>2005</v>
      </c>
      <c r="C553" t="inlineStr">
        <is>
          <t>Traditional</t>
        </is>
      </c>
      <c r="D553">
        <f>TRUE()</f>
        <v/>
      </c>
      <c r="E553">
        <f>COUNTIF(connections!A:A, A553) &gt; 0</f>
        <v/>
      </c>
      <c r="F553" t="inlineStr">
        <is>
          <t>pokémon</t>
        </is>
      </c>
      <c r="G553" t="inlineStr">
        <is>
          <t>pokemon-mystery-dungeon-red-and-blue-rescue-team</t>
        </is>
      </c>
      <c r="H553" t="inlineStr">
        <is>
          <t>Yes</t>
        </is>
      </c>
      <c r="I553" t="inlineStr">
        <is>
          <t>C:\Users\Owner\Documents\Roguelike Roguelike\Roguelikes\Pokémon Mystery Dungeon Red and Blue Rescue Team.lnk</t>
        </is>
      </c>
    </row>
    <row r="554" ht="15" customHeight="1">
      <c r="A554" t="inlineStr">
        <is>
          <t>Pokémon Mystery Dungeon: Rescue Team DX</t>
        </is>
      </c>
      <c r="B554" t="n">
        <v>2020</v>
      </c>
      <c r="C554" t="inlineStr">
        <is>
          <t>Traditional</t>
        </is>
      </c>
      <c r="D554">
        <f>TRUE()</f>
        <v/>
      </c>
      <c r="E554">
        <f>COUNTIF(connections!A:A, A554) &gt; 0</f>
        <v/>
      </c>
      <c r="F554" t="inlineStr">
        <is>
          <t>pokémon</t>
        </is>
      </c>
      <c r="G554" t="inlineStr">
        <is>
          <t>pokemon-mystery-dungeon-rescue-team-dx</t>
        </is>
      </c>
    </row>
    <row r="555" ht="15" customHeight="1">
      <c r="A555" t="inlineStr">
        <is>
          <t>Pokémon Super Mystery Dungeon</t>
        </is>
      </c>
      <c r="B555" t="n">
        <v>2015</v>
      </c>
      <c r="C555" t="inlineStr">
        <is>
          <t>Traditional</t>
        </is>
      </c>
      <c r="D555">
        <f>TRUE()</f>
        <v/>
      </c>
      <c r="E555">
        <f>COUNTIF(connections!A:A, A555) &gt; 0</f>
        <v/>
      </c>
      <c r="F555" t="inlineStr">
        <is>
          <t>pokémon</t>
        </is>
      </c>
      <c r="G555" t="inlineStr">
        <is>
          <t>pokemon-super-mystery-dungeon</t>
        </is>
      </c>
    </row>
    <row r="556" ht="15" customHeight="1">
      <c r="A556" t="inlineStr">
        <is>
          <t>PokéRogue</t>
        </is>
      </c>
      <c r="B556" t="n">
        <v>2024</v>
      </c>
      <c r="C556" t="inlineStr">
        <is>
          <t>Strategy</t>
        </is>
      </c>
      <c r="D556">
        <f>TRUE()</f>
        <v/>
      </c>
      <c r="E556">
        <f>COUNTIF(connections!A:A, A556) &gt; 0</f>
        <v/>
      </c>
      <c r="F556" t="inlineStr">
        <is>
          <t>pokémon</t>
        </is>
      </c>
      <c r="G556" t="inlineStr">
        <is>
          <t>pokerogue</t>
        </is>
      </c>
    </row>
    <row r="557" ht="15" customHeight="1">
      <c r="A557" t="inlineStr">
        <is>
          <t>PokeVoid</t>
        </is>
      </c>
      <c r="B557" t="n">
        <v>2025</v>
      </c>
      <c r="C557" t="inlineStr">
        <is>
          <t>Strategy</t>
        </is>
      </c>
      <c r="D557">
        <f>TRUE()</f>
        <v/>
      </c>
      <c r="E557">
        <f>COUNTIF(connections!A:A, A557) &gt; 0</f>
        <v/>
      </c>
      <c r="F557" t="inlineStr">
        <is>
          <t>pokémon</t>
        </is>
      </c>
      <c r="G557" t="inlineStr">
        <is>
          <t>pokevoid</t>
        </is>
      </c>
      <c r="H557" t="inlineStr">
        <is>
          <t>Yes</t>
        </is>
      </c>
      <c r="I557" t="inlineStr">
        <is>
          <t>C:\Users\Owner\Documents\Roguelike Roguelike\Roguelikes\PokéVoid.url</t>
        </is>
      </c>
    </row>
    <row r="558" ht="15" customHeight="1">
      <c r="A558" t="inlineStr">
        <is>
          <t>Popup Dungeon</t>
        </is>
      </c>
      <c r="B558" t="n">
        <v>2020</v>
      </c>
      <c r="C558" t="inlineStr">
        <is>
          <t>Strategy</t>
        </is>
      </c>
      <c r="D558">
        <f>TRUE()</f>
        <v/>
      </c>
      <c r="E558">
        <f>COUNTIF(connections!A:A, A558) &gt; 0</f>
        <v/>
      </c>
      <c r="G558" t="inlineStr">
        <is>
          <t>popup-dungeon</t>
        </is>
      </c>
    </row>
    <row r="559" ht="15" customHeight="1">
      <c r="A559" t="inlineStr">
        <is>
          <t>Powder</t>
        </is>
      </c>
      <c r="B559" t="n">
        <v>2003</v>
      </c>
      <c r="C559" t="inlineStr">
        <is>
          <t>Traditional</t>
        </is>
      </c>
      <c r="D559">
        <f>TRUE()</f>
        <v/>
      </c>
      <c r="E559">
        <f>COUNTIF(connections!A:A, A559) &gt; 0</f>
        <v/>
      </c>
      <c r="G559" t="inlineStr">
        <is>
          <t>powder</t>
        </is>
      </c>
      <c r="H559" t="inlineStr">
        <is>
          <t>Yes</t>
        </is>
      </c>
      <c r="I559" t="inlineStr">
        <is>
          <t>C:\Users\Owner\Documents\Roguelike Roguelike\Roguelikes\powder.lnk</t>
        </is>
      </c>
    </row>
    <row r="560" ht="15" customHeight="1">
      <c r="A560" t="inlineStr">
        <is>
          <t>Primordialis</t>
        </is>
      </c>
      <c r="B560" t="n">
        <v>2024</v>
      </c>
      <c r="C560" t="inlineStr">
        <is>
          <t>Action</t>
        </is>
      </c>
      <c r="D560">
        <f>TRUE()</f>
        <v/>
      </c>
      <c r="E560">
        <f>COUNTIF(connections!A:A, A560) &gt; 0</f>
        <v/>
      </c>
      <c r="G560" t="inlineStr">
        <is>
          <t>primordialis</t>
        </is>
      </c>
    </row>
    <row r="561" ht="15" customHeight="1">
      <c r="A561" t="inlineStr">
        <is>
          <t>Pronoun Palace</t>
        </is>
      </c>
      <c r="B561" t="n">
        <v>2026</v>
      </c>
      <c r="C561" t="inlineStr">
        <is>
          <t>Strategy</t>
        </is>
      </c>
      <c r="D561">
        <f>TRUE()</f>
        <v/>
      </c>
      <c r="E561">
        <f>COUNTIF(connections!A:A, A561) &gt; 0</f>
        <v/>
      </c>
      <c r="F561" t="inlineStr">
        <is>
          <t>words</t>
        </is>
      </c>
      <c r="G561" t="inlineStr">
        <is>
          <t>pronoun-palace</t>
        </is>
      </c>
      <c r="J561" s="1" t="inlineStr">
        <is>
          <t>https://store.steampowered.com/app/3618850/Pronoun_Palace/</t>
        </is>
      </c>
    </row>
    <row r="562" ht="15" customHeight="1">
      <c r="A562" t="inlineStr">
        <is>
          <t>Putrid Shot Ultra</t>
        </is>
      </c>
      <c r="B562" t="n">
        <v>2022</v>
      </c>
      <c r="C562" t="inlineStr">
        <is>
          <t>Action</t>
        </is>
      </c>
      <c r="D562">
        <f>TRUE()</f>
        <v/>
      </c>
      <c r="E562">
        <f>COUNTIF(connections!A:A, A562) &gt; 0</f>
        <v/>
      </c>
      <c r="G562" t="inlineStr">
        <is>
          <t>putrid-shot-ultra</t>
        </is>
      </c>
      <c r="H562" t="inlineStr">
        <is>
          <t>Yes</t>
        </is>
      </c>
      <c r="I562" t="inlineStr">
        <is>
          <t>C:\Users\Owner\Documents\Roguelike Roguelike\Roguelikes\PUTRID SHOT ULTRA.url</t>
        </is>
      </c>
      <c r="J562" s="1" t="inlineStr">
        <is>
          <t>https://store.steampowered.com/app/2053360/PUTRID_SHOT_ULTRA/</t>
        </is>
      </c>
    </row>
    <row r="563" ht="15" customHeight="1">
      <c r="A563" t="inlineStr">
        <is>
          <t>Quasimorph</t>
        </is>
      </c>
      <c r="B563" t="n">
        <v>2023</v>
      </c>
      <c r="C563" t="inlineStr">
        <is>
          <t>Traditional</t>
        </is>
      </c>
      <c r="D563">
        <f>TRUE()</f>
        <v/>
      </c>
      <c r="E563">
        <f>COUNTIF(connections!A:A, A563) &gt; 0</f>
        <v/>
      </c>
      <c r="G563" t="inlineStr">
        <is>
          <t>quasimorph</t>
        </is>
      </c>
      <c r="H563" t="inlineStr">
        <is>
          <t>Yes</t>
        </is>
      </c>
      <c r="I563" t="inlineStr">
        <is>
          <t>C:\Users\Owner\Documents\Roguelike Roguelike\Roguelikes\Quasimorph.url</t>
        </is>
      </c>
      <c r="J563" s="1" t="inlineStr">
        <is>
          <t>https://store.steampowered.com/app/2059170/Quasimorph/</t>
        </is>
      </c>
    </row>
    <row r="564" ht="15" customHeight="1">
      <c r="A564" t="inlineStr">
        <is>
          <t>Quest of Dungeons</t>
        </is>
      </c>
      <c r="B564" t="n">
        <v>2014</v>
      </c>
      <c r="C564" t="inlineStr">
        <is>
          <t>Traditional</t>
        </is>
      </c>
      <c r="D564">
        <f>TRUE()</f>
        <v/>
      </c>
      <c r="E564">
        <f>COUNTIF(connections!A:A, A564) &gt; 0</f>
        <v/>
      </c>
      <c r="G564" t="inlineStr">
        <is>
          <t>quest-of-dungeons</t>
        </is>
      </c>
      <c r="H564" t="inlineStr">
        <is>
          <t>Yes</t>
        </is>
      </c>
      <c r="I564" t="inlineStr">
        <is>
          <t>C:\Users\Owner\Documents\Roguelike Roguelike\Roguelikes\Quest of Dungeons.url</t>
        </is>
      </c>
      <c r="J564" s="1" t="inlineStr">
        <is>
          <t>https://store.steampowered.com/app/270050/Quest_of_Dungeons/</t>
        </is>
      </c>
    </row>
    <row r="565" ht="15" customHeight="1">
      <c r="A565" t="inlineStr">
        <is>
          <t>Rabbit and Steel</t>
        </is>
      </c>
      <c r="B565" t="n">
        <v>2024</v>
      </c>
      <c r="C565" t="inlineStr">
        <is>
          <t>Action</t>
        </is>
      </c>
      <c r="D565">
        <f>FALSE()</f>
        <v/>
      </c>
      <c r="E565">
        <f>COUNTIF(connections!A:A, A565) &gt; 0</f>
        <v/>
      </c>
      <c r="G565" t="inlineStr">
        <is>
          <t>rabbit-and-steel</t>
        </is>
      </c>
    </row>
    <row r="566" ht="15" customHeight="1">
      <c r="A566" t="inlineStr">
        <is>
          <t>Raccoin: Coin Pusher Roguelike</t>
        </is>
      </c>
      <c r="B566" t="n">
        <v>2026</v>
      </c>
      <c r="C566" t="inlineStr">
        <is>
          <t>Deckbuilder</t>
        </is>
      </c>
      <c r="D566">
        <f>TRUE()</f>
        <v/>
      </c>
      <c r="E566">
        <f>COUNTIF(connections!A:A, A566) &gt; 0</f>
        <v/>
      </c>
      <c r="F566" t="inlineStr">
        <is>
          <t>casino</t>
        </is>
      </c>
      <c r="G566" t="inlineStr">
        <is>
          <t>raccoin-coin-pusher-roguelike</t>
        </is>
      </c>
      <c r="H566" t="inlineStr">
        <is>
          <t>Yes</t>
        </is>
      </c>
      <c r="I566" t="inlineStr">
        <is>
          <t>C:\Users\Owner\Documents\Roguelike Roguelike\Roguelikes\RACCOIN Coin Pusher Roguelike.url</t>
        </is>
      </c>
      <c r="J566" s="1" t="inlineStr">
        <is>
          <t>https://store.steampowered.com/app/3784030/RACCOIN_Coin_Pusher_Roguelike/</t>
        </is>
      </c>
    </row>
    <row r="567" ht="15" customHeight="1">
      <c r="A567" t="inlineStr">
        <is>
          <t>Rack and Slay</t>
        </is>
      </c>
      <c r="B567" t="n">
        <v>2024</v>
      </c>
      <c r="C567" t="inlineStr">
        <is>
          <t>Strategy</t>
        </is>
      </c>
      <c r="D567">
        <f>TRUE()</f>
        <v/>
      </c>
      <c r="E567">
        <f>COUNTIF(connections!A:A, A567) &gt; 0</f>
        <v/>
      </c>
      <c r="G567" t="inlineStr">
        <is>
          <t>rack-and-slay</t>
        </is>
      </c>
      <c r="H567" t="inlineStr">
        <is>
          <t>Yes</t>
        </is>
      </c>
      <c r="I567" t="inlineStr">
        <is>
          <t>C:\Users\Owner\Documents\Roguelike Roguelike\Roguelikes\Rack and Slay.url</t>
        </is>
      </c>
      <c r="J567" s="1" t="inlineStr">
        <is>
          <t>https://store.steampowered.com/app/2311990/Rack_and_Slay/</t>
        </is>
      </c>
    </row>
    <row r="568" ht="15" customHeight="1">
      <c r="A568" t="inlineStr">
        <is>
          <t>Ragnarok</t>
        </is>
      </c>
      <c r="B568" t="n">
        <v>1992</v>
      </c>
      <c r="C568" t="inlineStr">
        <is>
          <t>Traditional</t>
        </is>
      </c>
      <c r="D568">
        <f>TRUE()</f>
        <v/>
      </c>
      <c r="E568">
        <f>COUNTIF(connections!A:A, A568) &gt; 0</f>
        <v/>
      </c>
      <c r="G568" t="inlineStr">
        <is>
          <t>ragnarok</t>
        </is>
      </c>
      <c r="H568" t="inlineStr">
        <is>
          <t>Yes</t>
        </is>
      </c>
      <c r="I568" t="inlineStr">
        <is>
          <t>C:\Users\Owner\Documents\Roguelike Roguelike\Roguelikes\Ragnarok.lnk</t>
        </is>
      </c>
    </row>
    <row r="569" ht="15" customHeight="1">
      <c r="A569" t="inlineStr">
        <is>
          <t>RAM: Random Access Mayhem</t>
        </is>
      </c>
      <c r="B569" t="n">
        <v>2024</v>
      </c>
      <c r="C569" t="inlineStr">
        <is>
          <t>Action</t>
        </is>
      </c>
      <c r="D569">
        <f>TRUE()</f>
        <v/>
      </c>
      <c r="E569">
        <f>COUNTIF(connections!A:A, A569) &gt; 0</f>
        <v/>
      </c>
      <c r="G569" t="inlineStr">
        <is>
          <t>ram-random-access-mayhem</t>
        </is>
      </c>
    </row>
    <row r="570" ht="15" customHeight="1">
      <c r="A570" t="inlineStr">
        <is>
          <t>Rampage Knights</t>
        </is>
      </c>
      <c r="B570" t="n">
        <v>2015</v>
      </c>
      <c r="C570" t="inlineStr">
        <is>
          <t>Action</t>
        </is>
      </c>
      <c r="D570">
        <f>TRUE()</f>
        <v/>
      </c>
      <c r="E570">
        <f>COUNTIF(connections!A:A, A570) &gt; 0</f>
        <v/>
      </c>
      <c r="G570" t="inlineStr">
        <is>
          <t>rampage-knights</t>
        </is>
      </c>
      <c r="J570" s="11" t="inlineStr">
        <is>
          <t>https://store.steampowered.com/app/314410/Rampage_Knights/</t>
        </is>
      </c>
    </row>
    <row r="571" ht="15" customHeight="1">
      <c r="A571" t="inlineStr">
        <is>
          <t>Ratropolis</t>
        </is>
      </c>
      <c r="B571" t="n">
        <v>2019</v>
      </c>
      <c r="C571" t="inlineStr">
        <is>
          <t>Deckbuilder</t>
        </is>
      </c>
      <c r="D571">
        <f>TRUE()</f>
        <v/>
      </c>
      <c r="E571">
        <f>COUNTIF(connections!A:A, A571) &gt; 0</f>
        <v/>
      </c>
      <c r="G571" t="inlineStr">
        <is>
          <t>ratropolis</t>
        </is>
      </c>
      <c r="H571" t="inlineStr">
        <is>
          <t>Yes</t>
        </is>
      </c>
      <c r="I571" t="inlineStr">
        <is>
          <t>C:\Users\Owner\Documents\Roguelike Roguelike\Roguelikes\Ratropolis.url</t>
        </is>
      </c>
      <c r="J571" s="1" t="inlineStr">
        <is>
          <t>https://store.steampowered.com/app/1108370/Ratropolis/</t>
        </is>
      </c>
    </row>
    <row r="572" ht="15" customHeight="1">
      <c r="A572" t="inlineStr">
        <is>
          <t>Ravenswatch</t>
        </is>
      </c>
      <c r="B572" t="n">
        <v>2023</v>
      </c>
      <c r="C572" t="inlineStr">
        <is>
          <t>Action</t>
        </is>
      </c>
      <c r="D572">
        <f>TRUE()</f>
        <v/>
      </c>
      <c r="E572">
        <f>COUNTIF(connections!A:A, A572) &gt; 0</f>
        <v/>
      </c>
      <c r="G572" t="inlineStr">
        <is>
          <t>ravenswatch</t>
        </is>
      </c>
      <c r="H572" t="inlineStr">
        <is>
          <t>Yes</t>
        </is>
      </c>
      <c r="I572" t="inlineStr">
        <is>
          <t>C:\Users\Owner\Documents\Roguelike Roguelike\Roguelikes\Ravenswatch.url</t>
        </is>
      </c>
      <c r="J572" s="1" t="inlineStr">
        <is>
          <t>https://store.steampowered.com/app/2071280/Ravenswatch/</t>
        </is>
      </c>
    </row>
    <row r="573" ht="15" customHeight="1">
      <c r="A573" t="inlineStr">
        <is>
          <t>Reality Break</t>
        </is>
      </c>
      <c r="B573" t="n">
        <v>2025</v>
      </c>
      <c r="C573" t="inlineStr">
        <is>
          <t>Action</t>
        </is>
      </c>
      <c r="D573">
        <f>TRUE()</f>
        <v/>
      </c>
      <c r="E573">
        <f>COUNTIF(connections!A:A, A573) &gt; 0</f>
        <v/>
      </c>
      <c r="F573" t="inlineStr">
        <is>
          <t>space</t>
        </is>
      </c>
      <c r="G573" t="inlineStr">
        <is>
          <t>reality-break</t>
        </is>
      </c>
    </row>
    <row r="574" ht="15" customHeight="1">
      <c r="A574" t="inlineStr">
        <is>
          <t>Realm of Ink</t>
        </is>
      </c>
      <c r="B574" t="n">
        <v>2024</v>
      </c>
      <c r="C574" t="inlineStr">
        <is>
          <t>Action</t>
        </is>
      </c>
      <c r="D574">
        <f>TRUE()</f>
        <v/>
      </c>
      <c r="E574">
        <f>COUNTIF(connections!A:A, A574) &gt; 0</f>
        <v/>
      </c>
      <c r="G574" t="inlineStr">
        <is>
          <t>realm-of-ink</t>
        </is>
      </c>
    </row>
    <row r="575" ht="15" customHeight="1">
      <c r="A575" t="inlineStr">
        <is>
          <t>Realm of the Mad God</t>
        </is>
      </c>
      <c r="B575" t="n">
        <v>2010</v>
      </c>
      <c r="C575" t="inlineStr">
        <is>
          <t>Action</t>
        </is>
      </c>
      <c r="D575">
        <f>TRUE()</f>
        <v/>
      </c>
      <c r="E575">
        <f>COUNTIF(connections!A:A, A575) &gt; 0</f>
        <v/>
      </c>
      <c r="G575" t="inlineStr">
        <is>
          <t>realm-of-the-mad-god</t>
        </is>
      </c>
      <c r="H575" t="inlineStr">
        <is>
          <t>Yes</t>
        </is>
      </c>
      <c r="I575" t="inlineStr">
        <is>
          <t>C:\Users\Owner\Documents\Roguelike Roguelike\Roguelikes\Realm of the Mad God Exalt.url</t>
        </is>
      </c>
      <c r="J575" s="1" t="inlineStr">
        <is>
          <t>https://store.steampowered.com/app/200210/Realm_of_the_Mad_God_Exalt/</t>
        </is>
      </c>
    </row>
    <row r="576" ht="15" customHeight="1">
      <c r="A576" t="inlineStr">
        <is>
          <t>Red Rogue</t>
        </is>
      </c>
      <c r="B576" t="n">
        <v>2012</v>
      </c>
      <c r="C576" t="inlineStr">
        <is>
          <t>Action</t>
        </is>
      </c>
      <c r="D576">
        <f>TRUE()</f>
        <v/>
      </c>
      <c r="E576">
        <f>COUNTIF(connections!A:A, A576) &gt; 0</f>
        <v/>
      </c>
      <c r="G576" t="inlineStr">
        <is>
          <t>red-rogue</t>
        </is>
      </c>
      <c r="H576" t="inlineStr">
        <is>
          <t>Yes</t>
        </is>
      </c>
      <c r="I576" t="inlineStr">
        <is>
          <t>C:\Users\Owner\Documents\Roguelike Roguelike\Roguelikes\redrogue.lnk</t>
        </is>
      </c>
    </row>
    <row r="577" ht="15" customHeight="1">
      <c r="A577" t="inlineStr">
        <is>
          <t>Renowned Explorers: International Society</t>
        </is>
      </c>
      <c r="B577" t="n">
        <v>2015</v>
      </c>
      <c r="C577" t="inlineStr">
        <is>
          <t>Strategy</t>
        </is>
      </c>
      <c r="D577">
        <f>TRUE()</f>
        <v/>
      </c>
      <c r="E577">
        <f>COUNTIF(connections!A:A, A577) &gt; 0</f>
        <v/>
      </c>
      <c r="G577" t="inlineStr">
        <is>
          <t>renowned-explorers-international-society</t>
        </is>
      </c>
      <c r="H577" t="inlineStr">
        <is>
          <t>Yes</t>
        </is>
      </c>
      <c r="I577" t="inlineStr">
        <is>
          <t>C:\Users\Owner\Documents\Roguelike Roguelike\Roguelikes\Renowned Explorers International Society.url</t>
        </is>
      </c>
      <c r="J577" s="11" t="inlineStr">
        <is>
          <t>https://store.steampowered.com/app/296970/Renowned_Explorers_International_Society/</t>
        </is>
      </c>
    </row>
    <row r="578" ht="15" customHeight="1">
      <c r="A578" t="inlineStr">
        <is>
          <t>Repetendium</t>
        </is>
      </c>
      <c r="B578" t="n">
        <v>2022</v>
      </c>
      <c r="C578" t="inlineStr">
        <is>
          <t>Action</t>
        </is>
      </c>
      <c r="D578">
        <f>TRUE()</f>
        <v/>
      </c>
      <c r="E578">
        <f>COUNTIF(connections!A:A, A578) &gt; 0</f>
        <v/>
      </c>
      <c r="G578" t="inlineStr">
        <is>
          <t>repetendium</t>
        </is>
      </c>
      <c r="H578" t="inlineStr">
        <is>
          <t>Yes</t>
        </is>
      </c>
      <c r="I578" t="inlineStr">
        <is>
          <t>C:\Users\Owner\Documents\Roguelike Roguelike\Roguelikes\Repetendium.url</t>
        </is>
      </c>
      <c r="J578" s="1" t="inlineStr">
        <is>
          <t>https://store.steampowered.com/app/2055500/Repetendium/</t>
        </is>
      </c>
    </row>
    <row r="579" ht="15" customHeight="1">
      <c r="A579" t="inlineStr">
        <is>
          <t>Replicat</t>
        </is>
      </c>
      <c r="B579" t="n">
        <v>2025</v>
      </c>
      <c r="C579" t="inlineStr">
        <is>
          <t>Deckbuilder</t>
        </is>
      </c>
      <c r="D579">
        <f>TRUE()</f>
        <v/>
      </c>
      <c r="E579">
        <f>COUNTIF(connections!A:A, A579) &gt; 0</f>
        <v/>
      </c>
      <c r="G579" t="inlineStr">
        <is>
          <t>replicat</t>
        </is>
      </c>
      <c r="J579" s="11" t="inlineStr">
        <is>
          <t>https://store.steampowered.com/app/3509430/Replicat/?curator_clanid=45876201</t>
        </is>
      </c>
    </row>
    <row r="580" ht="15" customHeight="1">
      <c r="A580" t="inlineStr">
        <is>
          <t>Return to Abyss</t>
        </is>
      </c>
      <c r="B580" t="n">
        <v>2023</v>
      </c>
      <c r="C580" t="inlineStr">
        <is>
          <t>Action</t>
        </is>
      </c>
      <c r="D580">
        <f>TRUE()</f>
        <v/>
      </c>
      <c r="E580">
        <f>COUNTIF(connections!A:A, A580) &gt; 0</f>
        <v/>
      </c>
      <c r="G580" t="inlineStr">
        <is>
          <t>return-to-abyss</t>
        </is>
      </c>
      <c r="H580" t="inlineStr">
        <is>
          <t>Yes</t>
        </is>
      </c>
      <c r="I580" t="inlineStr">
        <is>
          <t>C:\Users\Owner\Documents\Roguelike Roguelike\Roguelikes\Return to abyss 重返深渊.url</t>
        </is>
      </c>
      <c r="J580" s="1" t="inlineStr">
        <is>
          <t>https://store.steampowered.com/app/2185780/Return_to_abyss/</t>
        </is>
      </c>
    </row>
    <row r="581" ht="15" customHeight="1">
      <c r="A581" t="inlineStr">
        <is>
          <t>Returnal</t>
        </is>
      </c>
      <c r="B581" t="n">
        <v>2023</v>
      </c>
      <c r="C581" t="inlineStr">
        <is>
          <t>Action</t>
        </is>
      </c>
      <c r="D581">
        <f>TRUE()</f>
        <v/>
      </c>
      <c r="E581">
        <f>COUNTIF(connections!A:A, A581) &gt; 0</f>
        <v/>
      </c>
      <c r="G581" t="inlineStr">
        <is>
          <t>returnal</t>
        </is>
      </c>
      <c r="H581" t="inlineStr">
        <is>
          <t>Yes</t>
        </is>
      </c>
      <c r="I581" t="inlineStr">
        <is>
          <t>C:\Users\Owner\Documents\Roguelike Roguelike\Roguelikes\Returnal™.url</t>
        </is>
      </c>
      <c r="J581" s="1" t="inlineStr">
        <is>
          <t>https://store.steampowered.com/app/1649240/Returnal/</t>
        </is>
      </c>
    </row>
    <row r="582" ht="15" customHeight="1">
      <c r="A582" t="inlineStr">
        <is>
          <t>Revita</t>
        </is>
      </c>
      <c r="B582" t="n">
        <v>2021</v>
      </c>
      <c r="C582" t="inlineStr">
        <is>
          <t>Action</t>
        </is>
      </c>
      <c r="D582">
        <f>TRUE()</f>
        <v/>
      </c>
      <c r="E582">
        <f>COUNTIF(connections!A:A, A582) &gt; 0</f>
        <v/>
      </c>
      <c r="G582" t="inlineStr">
        <is>
          <t>revita</t>
        </is>
      </c>
      <c r="H582" t="inlineStr">
        <is>
          <t>Yes</t>
        </is>
      </c>
      <c r="I582" t="inlineStr">
        <is>
          <t>C:\Users\Owner\Documents\Roguelike Roguelike\Roguelikes\Revita.url</t>
        </is>
      </c>
      <c r="J582" s="1" t="inlineStr">
        <is>
          <t>https://store.steampowered.com/app/1175460/Revita/</t>
        </is>
      </c>
    </row>
    <row r="583" ht="15" customHeight="1">
      <c r="A583" t="inlineStr">
        <is>
          <t>Rhythm Witch: Beat Death</t>
        </is>
      </c>
      <c r="B583" t="n">
        <v>2025</v>
      </c>
      <c r="C583" t="inlineStr">
        <is>
          <t>Action</t>
        </is>
      </c>
      <c r="D583">
        <f>TRUE()</f>
        <v/>
      </c>
      <c r="E583">
        <f>COUNTIF(connections!A:A, A583) &gt; 0</f>
        <v/>
      </c>
      <c r="F583" t="inlineStr">
        <is>
          <t>rhythm</t>
        </is>
      </c>
      <c r="G583" t="inlineStr">
        <is>
          <t>rhythm-witch-beat-death</t>
        </is>
      </c>
      <c r="H583" t="inlineStr">
        <is>
          <t>Yes</t>
        </is>
      </c>
      <c r="I583" t="inlineStr">
        <is>
          <t>C:\Users\Owner\Documents\Roguelike Roguelike\Roguelikes\Rhythm Witch Beat Death.url</t>
        </is>
      </c>
      <c r="J583" s="1" t="inlineStr">
        <is>
          <t>https://store.steampowered.com/app/2951580/Rhythm_Witch_Beat_Death/</t>
        </is>
      </c>
    </row>
    <row r="584" ht="15" customHeight="1">
      <c r="A584" t="inlineStr">
        <is>
          <t>Rift Wizard</t>
        </is>
      </c>
      <c r="B584" t="n">
        <v>2020</v>
      </c>
      <c r="C584" t="inlineStr">
        <is>
          <t>Traditional</t>
        </is>
      </c>
      <c r="D584">
        <f>TRUE()</f>
        <v/>
      </c>
      <c r="E584">
        <f>COUNTIF(connections!A:A, A584) &gt; 0</f>
        <v/>
      </c>
      <c r="G584" t="inlineStr">
        <is>
          <t>rift-wizard</t>
        </is>
      </c>
      <c r="H584" t="inlineStr">
        <is>
          <t>Yes</t>
        </is>
      </c>
      <c r="I584" t="inlineStr">
        <is>
          <t>C:\Users\Owner\Documents\Roguelike Roguelike\Roguelikes\Rift Wizard.url</t>
        </is>
      </c>
      <c r="J584" s="1" t="inlineStr">
        <is>
          <t>https://store.steampowered.com/app/1271280/Rift_Wizard/</t>
        </is>
      </c>
    </row>
    <row r="585" ht="15" customHeight="1">
      <c r="A585" t="inlineStr">
        <is>
          <t>Rift Wizard 2</t>
        </is>
      </c>
      <c r="B585" t="n">
        <v>2024</v>
      </c>
      <c r="C585" t="inlineStr">
        <is>
          <t>Traditional</t>
        </is>
      </c>
      <c r="D585">
        <f>TRUE()</f>
        <v/>
      </c>
      <c r="E585">
        <f>COUNTIF(connections!A:A, A585) &gt; 0</f>
        <v/>
      </c>
      <c r="G585" t="inlineStr">
        <is>
          <t>rift-wizard-2</t>
        </is>
      </c>
      <c r="H585" t="inlineStr">
        <is>
          <t>Yes</t>
        </is>
      </c>
      <c r="I585" t="inlineStr">
        <is>
          <t>C:\Users\Owner\Documents\Roguelike Roguelike\Roguelikes\Rift Wizard 2.url</t>
        </is>
      </c>
      <c r="J585" s="1" t="inlineStr">
        <is>
          <t>https://store.steampowered.com/app/2058570/Rift_Wizard_2/</t>
        </is>
      </c>
    </row>
    <row r="586" ht="15" customHeight="1">
      <c r="A586" t="inlineStr">
        <is>
          <t>Rift Wizard 3</t>
        </is>
      </c>
      <c r="B586" t="n">
        <v>2026</v>
      </c>
      <c r="C586" t="inlineStr">
        <is>
          <t>Traditional</t>
        </is>
      </c>
      <c r="D586">
        <f>TRUE()</f>
        <v/>
      </c>
      <c r="E586">
        <f>COUNTIF(connections!A:A, A586) &gt; 0</f>
        <v/>
      </c>
      <c r="G586" t="inlineStr">
        <is>
          <t>rift-wizard-3</t>
        </is>
      </c>
      <c r="J586" s="1" t="inlineStr">
        <is>
          <t>https://store.steampowered.com/app/4366330/Rift_Wizard_3/</t>
        </is>
      </c>
    </row>
    <row r="587" ht="15" customHeight="1">
      <c r="A587" t="inlineStr">
        <is>
          <t>Right and Down</t>
        </is>
      </c>
      <c r="B587" t="n">
        <v>2022</v>
      </c>
      <c r="C587" t="inlineStr">
        <is>
          <t>Deckbuilder</t>
        </is>
      </c>
      <c r="D587">
        <f>TRUE()</f>
        <v/>
      </c>
      <c r="E587">
        <f>COUNTIF(connections!A:A, A587) &gt; 0</f>
        <v/>
      </c>
      <c r="G587" t="inlineStr">
        <is>
          <t>right-and-down</t>
        </is>
      </c>
      <c r="H587" t="inlineStr">
        <is>
          <t>Yes</t>
        </is>
      </c>
      <c r="I587" t="inlineStr">
        <is>
          <t>C:\Users\Owner\Documents\Roguelike Roguelike\Roguelikes\Right and Down.url</t>
        </is>
      </c>
      <c r="J587" s="1" t="inlineStr">
        <is>
          <t>https://store.steampowered.com/app/2008050/Right_and_Down/</t>
        </is>
      </c>
    </row>
    <row r="588" ht="15" customHeight="1">
      <c r="A588" t="inlineStr">
        <is>
          <t>Ring of Pain</t>
        </is>
      </c>
      <c r="B588" t="n">
        <v>2020</v>
      </c>
      <c r="C588" t="inlineStr">
        <is>
          <t>Strategy</t>
        </is>
      </c>
      <c r="D588">
        <f>TRUE()</f>
        <v/>
      </c>
      <c r="E588">
        <f>COUNTIF(connections!A:A, A588) &gt; 0</f>
        <v/>
      </c>
      <c r="G588" t="inlineStr">
        <is>
          <t>ring-of-pain</t>
        </is>
      </c>
      <c r="H588" t="inlineStr">
        <is>
          <t>Yes</t>
        </is>
      </c>
      <c r="I588" t="inlineStr">
        <is>
          <t>C:\Users\Owner\Documents\Roguelike Roguelike\Roguelikes\Ring of Pain.url</t>
        </is>
      </c>
      <c r="J588" s="1" t="inlineStr">
        <is>
          <t>https://store.steampowered.com/app/998740/Ring_of_Pain/</t>
        </is>
      </c>
    </row>
    <row r="589" ht="15" customHeight="1">
      <c r="A589" t="inlineStr">
        <is>
          <t>Ringer</t>
        </is>
      </c>
      <c r="B589" t="n">
        <v>2025</v>
      </c>
      <c r="C589" t="inlineStr">
        <is>
          <t>Deckbuilder</t>
        </is>
      </c>
      <c r="D589">
        <f>FALSE()</f>
        <v/>
      </c>
      <c r="E589">
        <f>COUNTIF(connections!A:A, A589) &gt; 0</f>
        <v/>
      </c>
      <c r="G589" t="inlineStr">
        <is>
          <t>ringer</t>
        </is>
      </c>
      <c r="H589" t="inlineStr">
        <is>
          <t>Yes</t>
        </is>
      </c>
      <c r="I589" t="inlineStr">
        <is>
          <t>C:\Users\Owner\Documents\Roguelike Roguelike\Roguelikes\Ringer.url</t>
        </is>
      </c>
      <c r="J589" s="1" t="inlineStr">
        <is>
          <t>https://store.steampowered.com/app/3308190/Ringer/</t>
        </is>
      </c>
    </row>
    <row r="590" ht="15" customHeight="1">
      <c r="A590" t="inlineStr">
        <is>
          <t>Riptale</t>
        </is>
      </c>
      <c r="B590" t="n">
        <v>2017</v>
      </c>
      <c r="C590" t="inlineStr">
        <is>
          <t>Action</t>
        </is>
      </c>
      <c r="D590">
        <f>TRUE()</f>
        <v/>
      </c>
      <c r="E590">
        <f>COUNTIF(connections!A:A, A590) &gt; 0</f>
        <v/>
      </c>
      <c r="G590" t="inlineStr">
        <is>
          <t>riptale</t>
        </is>
      </c>
    </row>
    <row r="591" ht="15" customHeight="1">
      <c r="A591" t="inlineStr">
        <is>
          <t>Risk of Rain</t>
        </is>
      </c>
      <c r="B591" t="n">
        <v>2013</v>
      </c>
      <c r="C591" t="inlineStr">
        <is>
          <t>Action</t>
        </is>
      </c>
      <c r="D591">
        <f>TRUE()</f>
        <v/>
      </c>
      <c r="E591">
        <f>COUNTIF(connections!A:A, A591) &gt; 0</f>
        <v/>
      </c>
      <c r="F591" t="inlineStr">
        <is>
          <t>space</t>
        </is>
      </c>
      <c r="G591" t="inlineStr">
        <is>
          <t>risk-of-rain</t>
        </is>
      </c>
      <c r="H591" t="inlineStr">
        <is>
          <t>Yes</t>
        </is>
      </c>
      <c r="I591" t="inlineStr">
        <is>
          <t>C:\Users\Owner\Documents\Roguelike Roguelike\Roguelikes\Risk of Rain (2013).url</t>
        </is>
      </c>
      <c r="J591" s="1" t="inlineStr">
        <is>
          <t>https://store.steampowered.com/app/248820/Risk_of_Rain_2013/</t>
        </is>
      </c>
    </row>
    <row r="592" ht="15" customHeight="1">
      <c r="A592" t="inlineStr">
        <is>
          <t>Risk of Rain 2</t>
        </is>
      </c>
      <c r="B592" t="n">
        <v>2020</v>
      </c>
      <c r="C592" t="inlineStr">
        <is>
          <t>Action</t>
        </is>
      </c>
      <c r="D592">
        <f>TRUE()</f>
        <v/>
      </c>
      <c r="E592">
        <f>COUNTIF(connections!A:A, A592) &gt; 0</f>
        <v/>
      </c>
      <c r="F592" t="inlineStr">
        <is>
          <t>space</t>
        </is>
      </c>
      <c r="G592" t="inlineStr">
        <is>
          <t>risk-of-rain-2</t>
        </is>
      </c>
      <c r="H592" t="inlineStr">
        <is>
          <t>Yes</t>
        </is>
      </c>
      <c r="I592" t="inlineStr">
        <is>
          <t>C:\Users\Owner\Documents\Roguelike Roguelike\Roguelikes\Risk of Rain 2.url</t>
        </is>
      </c>
      <c r="J592" s="1" t="inlineStr">
        <is>
          <t>https://store.steampowered.com/app/632360/Risk_of_Rain_2/</t>
        </is>
      </c>
    </row>
    <row r="593" ht="15" customHeight="1">
      <c r="A593" t="inlineStr">
        <is>
          <t>Risk of Rain Returns</t>
        </is>
      </c>
      <c r="B593" t="n">
        <v>2023</v>
      </c>
      <c r="C593" t="inlineStr">
        <is>
          <t>Action</t>
        </is>
      </c>
      <c r="D593">
        <f>TRUE()</f>
        <v/>
      </c>
      <c r="E593">
        <f>COUNTIF(connections!A:A, A593) &gt; 0</f>
        <v/>
      </c>
      <c r="F593" t="inlineStr">
        <is>
          <t>space</t>
        </is>
      </c>
      <c r="G593" t="inlineStr">
        <is>
          <t>risk-of-rain-returns</t>
        </is>
      </c>
      <c r="H593" t="inlineStr">
        <is>
          <t>Yes</t>
        </is>
      </c>
      <c r="I593" t="inlineStr">
        <is>
          <t>C:\Users\Owner\Documents\Roguelike Roguelike\Roguelikes\Risk of Rain Returns.url</t>
        </is>
      </c>
      <c r="J593" s="1" t="inlineStr">
        <is>
          <t>https://store.steampowered.com/app/1337520/Risk_of_Rain_Returns/</t>
        </is>
      </c>
    </row>
    <row r="594" ht="15" customHeight="1">
      <c r="A594" t="inlineStr">
        <is>
          <t>Road Not Taken</t>
        </is>
      </c>
      <c r="B594" t="n">
        <v>2014</v>
      </c>
      <c r="C594" t="inlineStr">
        <is>
          <t>Strategy</t>
        </is>
      </c>
      <c r="D594">
        <f>TRUE()</f>
        <v/>
      </c>
      <c r="E594">
        <f>COUNTIF(connections!A:A, A594) &gt; 0</f>
        <v/>
      </c>
      <c r="G594" t="inlineStr">
        <is>
          <t>road-not-taken</t>
        </is>
      </c>
    </row>
    <row r="595" ht="15" customHeight="1">
      <c r="A595" t="inlineStr">
        <is>
          <t>Roboquest</t>
        </is>
      </c>
      <c r="B595" t="n">
        <v>2020</v>
      </c>
      <c r="C595" t="inlineStr">
        <is>
          <t>Action</t>
        </is>
      </c>
      <c r="D595">
        <f>TRUE()</f>
        <v/>
      </c>
      <c r="E595">
        <f>COUNTIF(connections!A:A, A595) &gt; 0</f>
        <v/>
      </c>
      <c r="G595" t="inlineStr">
        <is>
          <t>roboquest</t>
        </is>
      </c>
      <c r="H595" t="inlineStr">
        <is>
          <t>Yes</t>
        </is>
      </c>
      <c r="I595" t="inlineStr">
        <is>
          <t>C:\Users\Owner\Documents\Roguelike Roguelike\Roguelikes\Roboquest.url</t>
        </is>
      </c>
      <c r="J595" s="1" t="inlineStr">
        <is>
          <t>https://store.steampowered.com/app/692890/Roboquest/</t>
        </is>
      </c>
    </row>
    <row r="596" ht="15" customHeight="1">
      <c r="A596" t="inlineStr">
        <is>
          <t>Rocket Rats</t>
        </is>
      </c>
      <c r="B596" t="n">
        <v>2024</v>
      </c>
      <c r="C596" t="inlineStr">
        <is>
          <t>Action</t>
        </is>
      </c>
      <c r="D596">
        <f>TRUE()</f>
        <v/>
      </c>
      <c r="E596">
        <f>COUNTIF(connections!A:A, A596) &gt; 0</f>
        <v/>
      </c>
      <c r="F596" t="inlineStr">
        <is>
          <t>space</t>
        </is>
      </c>
      <c r="G596" t="inlineStr">
        <is>
          <t>rocket-rats</t>
        </is>
      </c>
      <c r="H596" t="inlineStr">
        <is>
          <t>Yes</t>
        </is>
      </c>
      <c r="I596" t="inlineStr">
        <is>
          <t>C:\Users\Owner\Documents\Roguelike Roguelike\Roguelikes\Rocket Rats.url</t>
        </is>
      </c>
      <c r="J596" s="1" t="inlineStr">
        <is>
          <t>https://store.steampowered.com/app/3069810/Rocket_Rats/</t>
        </is>
      </c>
    </row>
    <row r="597" ht="15" customHeight="1">
      <c r="A597" t="inlineStr">
        <is>
          <t>Rogue</t>
        </is>
      </c>
      <c r="B597" t="n">
        <v>1980</v>
      </c>
      <c r="C597" t="inlineStr">
        <is>
          <t>Traditional</t>
        </is>
      </c>
      <c r="D597">
        <f>TRUE()</f>
        <v/>
      </c>
      <c r="E597">
        <f>COUNTIF(connections!A:A, A597) &gt; 0</f>
        <v/>
      </c>
      <c r="G597" t="inlineStr">
        <is>
          <t>rogue</t>
        </is>
      </c>
      <c r="H597" t="inlineStr">
        <is>
          <t>Yes</t>
        </is>
      </c>
      <c r="I597" t="inlineStr">
        <is>
          <t>"C:\Users\Owner\Documents\Roguelike Roguelike\Roguelikes\Rogue.url"</t>
        </is>
      </c>
      <c r="J597" s="1" t="inlineStr">
        <is>
          <t>https://store.steampowered.com/app/1443430/Rogue/</t>
        </is>
      </c>
    </row>
    <row r="598" ht="15" customHeight="1">
      <c r="A598" t="inlineStr">
        <is>
          <t>Rogue Command</t>
        </is>
      </c>
      <c r="B598" t="n">
        <v>2024</v>
      </c>
      <c r="C598" t="inlineStr">
        <is>
          <t>Strategy</t>
        </is>
      </c>
      <c r="D598">
        <f>TRUE()</f>
        <v/>
      </c>
      <c r="E598">
        <f>COUNTIF(connections!A:A, A598) &gt; 0</f>
        <v/>
      </c>
      <c r="G598" t="inlineStr">
        <is>
          <t>rogue-command</t>
        </is>
      </c>
    </row>
    <row r="599" ht="15" customHeight="1">
      <c r="A599" t="inlineStr">
        <is>
          <t>Rogue Empire</t>
        </is>
      </c>
      <c r="B599" t="n">
        <v>2019</v>
      </c>
      <c r="C599" t="inlineStr">
        <is>
          <t>Traditional</t>
        </is>
      </c>
      <c r="D599">
        <f>TRUE()</f>
        <v/>
      </c>
      <c r="E599">
        <f>COUNTIF(connections!A:A, A599) &gt; 0</f>
        <v/>
      </c>
      <c r="G599" t="inlineStr">
        <is>
          <t>rogue-empire</t>
        </is>
      </c>
    </row>
    <row r="600" ht="15" customHeight="1">
      <c r="A600" t="inlineStr">
        <is>
          <t>Rogue Factory</t>
        </is>
      </c>
      <c r="B600" t="n">
        <v>2026</v>
      </c>
      <c r="C600" t="inlineStr">
        <is>
          <t>Action</t>
        </is>
      </c>
      <c r="D600">
        <f>TRUE()</f>
        <v/>
      </c>
      <c r="E600">
        <f>COUNTIF(connections!A:A, A600) &gt; 0</f>
        <v/>
      </c>
      <c r="G600" t="inlineStr">
        <is>
          <t>rogue-factory</t>
        </is>
      </c>
    </row>
    <row r="601" ht="15" customHeight="1">
      <c r="A601" t="inlineStr">
        <is>
          <t>Rogue Flight</t>
        </is>
      </c>
      <c r="B601" t="n">
        <v>2024</v>
      </c>
      <c r="C601" t="inlineStr">
        <is>
          <t>Action</t>
        </is>
      </c>
      <c r="D601">
        <f>FALSE()</f>
        <v/>
      </c>
      <c r="E601">
        <f>COUNTIF(connections!A:A, A601) &gt; 0</f>
        <v/>
      </c>
      <c r="F601" t="inlineStr">
        <is>
          <t>space</t>
        </is>
      </c>
      <c r="G601" t="inlineStr">
        <is>
          <t>rogue-flight</t>
        </is>
      </c>
    </row>
    <row r="602" ht="15" customHeight="1">
      <c r="A602" t="inlineStr">
        <is>
          <t>Rogue Hearts Dungeon</t>
        </is>
      </c>
      <c r="B602" t="n">
        <v>2007</v>
      </c>
      <c r="C602" t="inlineStr">
        <is>
          <t>Traditional</t>
        </is>
      </c>
      <c r="D602">
        <f>TRUE()</f>
        <v/>
      </c>
      <c r="E602">
        <f>COUNTIF(connections!A:A, A602) &gt; 0</f>
        <v/>
      </c>
      <c r="G602" t="inlineStr">
        <is>
          <t>rogue-hearts-dungeon</t>
        </is>
      </c>
      <c r="H602" t="inlineStr">
        <is>
          <t>Yes</t>
        </is>
      </c>
      <c r="I602" t="inlineStr">
        <is>
          <t>C:\Users\Owner\Documents\Roguelike Roguelike\Roguelikes\Rogue Hearts Dungeon.lnk</t>
        </is>
      </c>
    </row>
    <row r="603" ht="15" customHeight="1">
      <c r="A603" t="inlineStr">
        <is>
          <t>Rogue Heroes: Ruins of Tasos</t>
        </is>
      </c>
      <c r="B603" t="n">
        <v>2021</v>
      </c>
      <c r="C603" t="inlineStr">
        <is>
          <t>Action</t>
        </is>
      </c>
      <c r="D603">
        <f>TRUE()</f>
        <v/>
      </c>
      <c r="E603">
        <f>COUNTIF(connections!A:A, A603) &gt; 0</f>
        <v/>
      </c>
      <c r="G603" t="inlineStr">
        <is>
          <t>rogue-heroes-ruins-of-tasos</t>
        </is>
      </c>
      <c r="H603" t="inlineStr">
        <is>
          <t>Yes</t>
        </is>
      </c>
      <c r="I603" t="inlineStr">
        <is>
          <t>C:\Users\Owner\Documents\Roguelike Roguelike\Roguelikes\Rogue Heroes Ruins of Tasos.url</t>
        </is>
      </c>
      <c r="J603" s="1" t="inlineStr">
        <is>
          <t>https://store.steampowered.com/app/787810/Rogue_Heroes_Ruins_of_Tasos/</t>
        </is>
      </c>
    </row>
    <row r="604" ht="15" customHeight="1">
      <c r="A604" t="inlineStr">
        <is>
          <t>Rogue Legacy</t>
        </is>
      </c>
      <c r="B604" t="n">
        <v>2013</v>
      </c>
      <c r="C604" t="inlineStr">
        <is>
          <t>Action</t>
        </is>
      </c>
      <c r="D604">
        <f>TRUE()</f>
        <v/>
      </c>
      <c r="E604">
        <f>COUNTIF(connections!A:A, A604) &gt; 0</f>
        <v/>
      </c>
      <c r="G604" t="inlineStr">
        <is>
          <t>rogue-legacy</t>
        </is>
      </c>
      <c r="H604" t="inlineStr">
        <is>
          <t>Yes</t>
        </is>
      </c>
      <c r="I604" t="inlineStr">
        <is>
          <t>C:\Users\Owner\Documents\Roguelike Roguelike\Roguelikes\Rogue Legacy.url</t>
        </is>
      </c>
      <c r="J604" s="1" t="inlineStr">
        <is>
          <t>https://store.steampowered.com/app/241600/Rogue_Legacy/</t>
        </is>
      </c>
    </row>
    <row r="605" ht="15" customHeight="1">
      <c r="A605" t="inlineStr">
        <is>
          <t>Rogue Legacy 2</t>
        </is>
      </c>
      <c r="B605" t="n">
        <v>2020</v>
      </c>
      <c r="C605" t="inlineStr">
        <is>
          <t>Action</t>
        </is>
      </c>
      <c r="D605">
        <f>TRUE()</f>
        <v/>
      </c>
      <c r="E605">
        <f>COUNTIF(connections!A:A, A605) &gt; 0</f>
        <v/>
      </c>
      <c r="G605" t="inlineStr">
        <is>
          <t>rogue-legacy-2</t>
        </is>
      </c>
      <c r="H605" t="inlineStr">
        <is>
          <t>Yes</t>
        </is>
      </c>
      <c r="I605" t="inlineStr">
        <is>
          <t>C:\Users\Owner\Documents\Roguelike Roguelike\Roguelikes\Rogue Legacy 2.url</t>
        </is>
      </c>
      <c r="J605" s="1" t="inlineStr">
        <is>
          <t>https://store.steampowered.com/app/1253920/Rogue_Legacy_2/</t>
        </is>
      </c>
    </row>
    <row r="606" ht="15" customHeight="1">
      <c r="A606" t="inlineStr">
        <is>
          <t>Rogue Lords</t>
        </is>
      </c>
      <c r="B606" t="n">
        <v>2021</v>
      </c>
      <c r="C606" t="inlineStr">
        <is>
          <t>Strategy</t>
        </is>
      </c>
      <c r="D606">
        <f>TRUE()</f>
        <v/>
      </c>
      <c r="E606">
        <f>COUNTIF(connections!A:A, A606) &gt; 0</f>
        <v/>
      </c>
      <c r="F606" t="inlineStr">
        <is>
          <t>vampire</t>
        </is>
      </c>
      <c r="G606" t="inlineStr">
        <is>
          <t>rogue-lords</t>
        </is>
      </c>
      <c r="H606" t="inlineStr">
        <is>
          <t>Yes</t>
        </is>
      </c>
      <c r="I606" t="inlineStr">
        <is>
          <t>C:\Users\Owner\Documents\Roguelike Roguelike\Roguelikes\Rogue Lords.url</t>
        </is>
      </c>
      <c r="J606" s="1" t="inlineStr">
        <is>
          <t>https://store.steampowered.com/app/1069690/Rogue_Lords/</t>
        </is>
      </c>
    </row>
    <row r="607" ht="15" customHeight="1">
      <c r="A607" t="inlineStr">
        <is>
          <t>Rogue Tower</t>
        </is>
      </c>
      <c r="B607" t="n">
        <v>2022</v>
      </c>
      <c r="C607" t="inlineStr">
        <is>
          <t>Strategy</t>
        </is>
      </c>
      <c r="D607">
        <f>TRUE()</f>
        <v/>
      </c>
      <c r="E607">
        <f>COUNTIF(connections!A:A, A607) &gt; 0</f>
        <v/>
      </c>
      <c r="F607" t="inlineStr">
        <is>
          <t>tower defense</t>
        </is>
      </c>
      <c r="G607" t="inlineStr">
        <is>
          <t>rogue-tower</t>
        </is>
      </c>
    </row>
    <row r="608" ht="15" customHeight="1">
      <c r="A608" t="inlineStr">
        <is>
          <t>Rogue Voltage</t>
        </is>
      </c>
      <c r="B608" t="n">
        <v>2024</v>
      </c>
      <c r="C608" t="inlineStr">
        <is>
          <t>Deckbuilder</t>
        </is>
      </c>
      <c r="D608" t="b">
        <v>1</v>
      </c>
      <c r="E608">
        <f>COUNTIF(connections!A:A, A608) &gt; 0</f>
        <v/>
      </c>
      <c r="G608" t="inlineStr">
        <is>
          <t>rogue-voltage</t>
        </is>
      </c>
      <c r="J608" s="11" t="inlineStr">
        <is>
          <t>https://store.steampowered.com/app/1494560/Rogue_Voltage/</t>
        </is>
      </c>
    </row>
    <row r="609" ht="15" customHeight="1">
      <c r="A609" t="inlineStr">
        <is>
          <t>Rogue Wizards</t>
        </is>
      </c>
      <c r="B609" t="n">
        <v>2016</v>
      </c>
      <c r="C609" t="inlineStr">
        <is>
          <t>Strategy</t>
        </is>
      </c>
      <c r="D609" t="b">
        <v>1</v>
      </c>
      <c r="E609">
        <f>COUNTIF(connections!A:A, A609) &gt; 0</f>
        <v/>
      </c>
      <c r="G609" t="inlineStr">
        <is>
          <t>rogue-wizards</t>
        </is>
      </c>
    </row>
    <row r="610" ht="15" customHeight="1">
      <c r="A610" t="inlineStr">
        <is>
          <t>Rogue: Genesia</t>
        </is>
      </c>
      <c r="B610" t="n">
        <v>2022</v>
      </c>
      <c r="C610" t="inlineStr">
        <is>
          <t>Action</t>
        </is>
      </c>
      <c r="D610">
        <f>TRUE()</f>
        <v/>
      </c>
      <c r="E610">
        <f>COUNTIF(connections!A:A, A610) &gt; 0</f>
        <v/>
      </c>
      <c r="G610" t="inlineStr">
        <is>
          <t>rogue-genesia</t>
        </is>
      </c>
      <c r="H610" t="inlineStr">
        <is>
          <t>Yes</t>
        </is>
      </c>
      <c r="I610" t="inlineStr">
        <is>
          <t>C:\Users\Owner\Documents\Roguelike Roguelike\Roguelikes\Rogue Genesia.url</t>
        </is>
      </c>
      <c r="J610" s="1" t="inlineStr">
        <is>
          <t>https://store.steampowered.com/app/2067920/Rogue_Genesia/</t>
        </is>
      </c>
    </row>
    <row r="611" ht="15" customHeight="1">
      <c r="A611" t="inlineStr">
        <is>
          <t>Roguebook</t>
        </is>
      </c>
      <c r="B611" t="n">
        <v>2021</v>
      </c>
      <c r="C611" t="inlineStr">
        <is>
          <t>Deckbuilder</t>
        </is>
      </c>
      <c r="D611">
        <f>TRUE()</f>
        <v/>
      </c>
      <c r="E611">
        <f>COUNTIF(connections!A:A, A611) &gt; 0</f>
        <v/>
      </c>
      <c r="G611" t="inlineStr">
        <is>
          <t>roguebook</t>
        </is>
      </c>
      <c r="H611" t="inlineStr">
        <is>
          <t>Yes</t>
        </is>
      </c>
      <c r="I611" t="inlineStr">
        <is>
          <t>C:\Users\Owner\Documents\Roguelike Roguelike\Roguelikes\Roguebook.url</t>
        </is>
      </c>
      <c r="J611" s="1" t="inlineStr">
        <is>
          <t>https://store.steampowered.com/app/1076200/Roguebook/</t>
        </is>
      </c>
    </row>
    <row r="612" ht="15" customHeight="1">
      <c r="A612" t="inlineStr">
        <is>
          <t>Rogue-Fp</t>
        </is>
      </c>
      <c r="B612" t="n">
        <v>2023</v>
      </c>
      <c r="C612" t="inlineStr">
        <is>
          <t>Traditional</t>
        </is>
      </c>
      <c r="D612">
        <f>TRUE()</f>
        <v/>
      </c>
      <c r="E612">
        <f>COUNTIF(connections!A:A, A612) &gt; 0</f>
        <v/>
      </c>
      <c r="G612" t="inlineStr">
        <is>
          <t>rogue-fp</t>
        </is>
      </c>
    </row>
    <row r="613" ht="15" customHeight="1">
      <c r="A613" t="inlineStr">
        <is>
          <t>RogueJack21</t>
        </is>
      </c>
      <c r="B613" t="n">
        <v>2026</v>
      </c>
      <c r="C613" t="inlineStr">
        <is>
          <t>Deckbuilder</t>
        </is>
      </c>
      <c r="D613">
        <f>TRUE()</f>
        <v/>
      </c>
      <c r="E613">
        <f>COUNTIF(connections!A:A, A613) &gt; 0</f>
        <v/>
      </c>
      <c r="F613" t="inlineStr">
        <is>
          <t>casino</t>
        </is>
      </c>
      <c r="G613" t="inlineStr">
        <is>
          <t>roguejack21</t>
        </is>
      </c>
    </row>
    <row r="614" ht="15" customHeight="1">
      <c r="A614" t="inlineStr">
        <is>
          <t>Rogue's Tale</t>
        </is>
      </c>
      <c r="B614" t="n">
        <v>2014</v>
      </c>
      <c r="C614" t="inlineStr">
        <is>
          <t>Traditional</t>
        </is>
      </c>
      <c r="D614">
        <f>TRUE()</f>
        <v/>
      </c>
      <c r="E614">
        <f>COUNTIF(connections!A:A, A614) &gt; 0</f>
        <v/>
      </c>
      <c r="G614" t="inlineStr">
        <is>
          <t>rogues-tale</t>
        </is>
      </c>
      <c r="J614" s="1" t="inlineStr">
        <is>
          <t>https://store.steampowered.com/app/265990/Rogues_Tale/</t>
        </is>
      </c>
    </row>
    <row r="615" ht="15" customHeight="1">
      <c r="A615" t="inlineStr">
        <is>
          <t>RogueSlide</t>
        </is>
      </c>
      <c r="B615" t="n">
        <v>2022</v>
      </c>
      <c r="C615" t="inlineStr">
        <is>
          <t>Strategy</t>
        </is>
      </c>
      <c r="D615">
        <f>FALSE()</f>
        <v/>
      </c>
      <c r="E615">
        <f>COUNTIF(connections!A:A, A615) &gt; 0</f>
        <v/>
      </c>
      <c r="G615" t="inlineStr">
        <is>
          <t>rogueslide</t>
        </is>
      </c>
      <c r="H615" t="inlineStr">
        <is>
          <t>Yes</t>
        </is>
      </c>
      <c r="I615" t="inlineStr">
        <is>
          <t>C:\Users\Owner\Documents\Roguelike Roguelike\Roguelikes\Rogueslide.url</t>
        </is>
      </c>
      <c r="J615" s="1" t="inlineStr">
        <is>
          <t>https://store.steampowered.com/app/1443100/RogueSlide/</t>
        </is>
      </c>
    </row>
    <row r="616" ht="15" customHeight="1">
      <c r="A616" t="inlineStr">
        <is>
          <t>Roll</t>
        </is>
      </c>
      <c r="B616" t="n">
        <v>2021</v>
      </c>
      <c r="C616" t="inlineStr">
        <is>
          <t>Strategy</t>
        </is>
      </c>
      <c r="D616">
        <f>TRUE()</f>
        <v/>
      </c>
      <c r="E616">
        <f>COUNTIF(connections!A:A, A616) &gt; 0</f>
        <v/>
      </c>
      <c r="F616" t="inlineStr">
        <is>
          <t>dice</t>
        </is>
      </c>
      <c r="G616" t="inlineStr">
        <is>
          <t>roll</t>
        </is>
      </c>
      <c r="H616" t="inlineStr">
        <is>
          <t>Yes</t>
        </is>
      </c>
      <c r="I616" t="inlineStr">
        <is>
          <t>C:\Users\Owner\Documents\Roguelike Roguelike\Roguelikes\Roll.url</t>
        </is>
      </c>
      <c r="J616" s="1" t="inlineStr">
        <is>
          <t>https://store.steampowered.com/app/1585910/Roll/</t>
        </is>
      </c>
    </row>
    <row r="617" ht="15" customHeight="1">
      <c r="A617" t="inlineStr">
        <is>
          <t>RollScape</t>
        </is>
      </c>
      <c r="B617" t="n">
        <v>2024</v>
      </c>
      <c r="C617" t="inlineStr">
        <is>
          <t>Strategy</t>
        </is>
      </c>
      <c r="D617">
        <f>TRUE()</f>
        <v/>
      </c>
      <c r="E617">
        <f>COUNTIF(connections!A:A, A617) &gt; 0</f>
        <v/>
      </c>
      <c r="F617" t="inlineStr">
        <is>
          <t>dice</t>
        </is>
      </c>
      <c r="G617" t="inlineStr">
        <is>
          <t>rollscape</t>
        </is>
      </c>
      <c r="H617" t="inlineStr">
        <is>
          <t>Yes</t>
        </is>
      </c>
      <c r="I617" t="inlineStr">
        <is>
          <t>C:\Users\Owner\Documents\Roguelike Roguelike\Roguelikes\RollScape.url</t>
        </is>
      </c>
      <c r="J617" s="1" t="inlineStr">
        <is>
          <t>https://store.steampowered.com/app/2904290/RollScape/</t>
        </is>
      </c>
    </row>
    <row r="618" ht="15" customHeight="1">
      <c r="A618" t="inlineStr">
        <is>
          <t>Roulette Dungeon</t>
        </is>
      </c>
      <c r="B618" t="n">
        <v>2026</v>
      </c>
      <c r="C618" t="inlineStr">
        <is>
          <t>Deckbuilder</t>
        </is>
      </c>
      <c r="D618" t="b">
        <v>1</v>
      </c>
      <c r="E618">
        <f>COUNTIF(connections!A:A, A618) &gt; 0</f>
        <v/>
      </c>
      <c r="G618" t="inlineStr">
        <is>
          <t>roulette-dungeon</t>
        </is>
      </c>
      <c r="J618" s="11" t="inlineStr">
        <is>
          <t>https://store.steampowered.com/app/3399930/Roulette_Dungeon/</t>
        </is>
      </c>
    </row>
    <row r="619" ht="15" customHeight="1">
      <c r="A619" t="inlineStr">
        <is>
          <t>Roulette Hero</t>
        </is>
      </c>
      <c r="B619" t="n">
        <v>2025</v>
      </c>
      <c r="C619" t="inlineStr">
        <is>
          <t>Deckbuilder</t>
        </is>
      </c>
      <c r="D619">
        <f>TRUE()</f>
        <v/>
      </c>
      <c r="E619">
        <f>COUNTIF(connections!A:A, A619) &gt; 0</f>
        <v/>
      </c>
      <c r="F619" t="inlineStr">
        <is>
          <t>casino</t>
        </is>
      </c>
      <c r="G619" t="inlineStr">
        <is>
          <t>roulette-hero</t>
        </is>
      </c>
      <c r="J619" s="11" t="inlineStr">
        <is>
          <t>https://store.steampowered.com/app/3371510/Roulette_Hero/</t>
        </is>
      </c>
    </row>
    <row r="620" ht="15" customHeight="1">
      <c r="A620" t="inlineStr">
        <is>
          <t>Rounds</t>
        </is>
      </c>
      <c r="B620" t="n">
        <v>2021</v>
      </c>
      <c r="C620" t="inlineStr">
        <is>
          <t>Action</t>
        </is>
      </c>
      <c r="D620">
        <f>FALSE()</f>
        <v/>
      </c>
      <c r="E620">
        <f>COUNTIF(connections!A:A, A620) &gt; 0</f>
        <v/>
      </c>
      <c r="G620" t="inlineStr">
        <is>
          <t>rounds</t>
        </is>
      </c>
      <c r="H620" t="inlineStr">
        <is>
          <t>Yes</t>
        </is>
      </c>
      <c r="I620" t="inlineStr">
        <is>
          <t>C:\Users\Owner\Documents\Roguelike Roguelike\Roguelikes\ROUNDS.url</t>
        </is>
      </c>
      <c r="J620" s="1" t="inlineStr">
        <is>
          <t>https://store.steampowered.com/app/1557740/ROUNDS/</t>
        </is>
      </c>
    </row>
    <row r="621" ht="15" customHeight="1">
      <c r="A621" t="inlineStr">
        <is>
          <t>Rune Dice</t>
        </is>
      </c>
      <c r="B621" t="n">
        <v>2026</v>
      </c>
      <c r="C621" t="inlineStr">
        <is>
          <t>Deckbuilder</t>
        </is>
      </c>
      <c r="D621">
        <f>TRUE()</f>
        <v/>
      </c>
      <c r="E621">
        <f>COUNTIF(connections!A:A, A621) &gt; 0</f>
        <v/>
      </c>
      <c r="F621" t="inlineStr">
        <is>
          <t>dice</t>
        </is>
      </c>
      <c r="G621" t="inlineStr">
        <is>
          <t>rune-dice</t>
        </is>
      </c>
      <c r="J621" s="11" t="inlineStr">
        <is>
          <t>https://store.steampowered.com/app/3542380/Rune_Dice/</t>
        </is>
      </c>
    </row>
    <row r="622" ht="15" customHeight="1">
      <c r="A622" t="inlineStr">
        <is>
          <t>Runeborn</t>
        </is>
      </c>
      <c r="B622" t="n">
        <v>2025</v>
      </c>
      <c r="C622" t="inlineStr">
        <is>
          <t>Deckbuilder</t>
        </is>
      </c>
      <c r="D622">
        <f>TRUE()</f>
        <v/>
      </c>
      <c r="E622">
        <f>COUNTIF(connections!A:A, A622) &gt; 0</f>
        <v/>
      </c>
      <c r="G622" t="inlineStr">
        <is>
          <t>runeborn</t>
        </is>
      </c>
      <c r="H622" t="inlineStr">
        <is>
          <t>Yes</t>
        </is>
      </c>
      <c r="I622" t="inlineStr">
        <is>
          <t>C:\Users\Owner\Documents\Roguelike Roguelike\Roguelikes\Runeborn.url</t>
        </is>
      </c>
      <c r="J622" s="1" t="inlineStr">
        <is>
          <t>https://store.steampowered.com/app/3073990/Runeborn/</t>
        </is>
      </c>
    </row>
    <row r="623" ht="15" customHeight="1">
      <c r="A623" t="inlineStr">
        <is>
          <t>Runeveil</t>
        </is>
      </c>
      <c r="B623" t="n">
        <v>2026</v>
      </c>
      <c r="C623" t="inlineStr">
        <is>
          <t>Deckbuilder</t>
        </is>
      </c>
      <c r="D623">
        <f>TRUE()</f>
        <v/>
      </c>
      <c r="E623">
        <f>COUNTIF(connections!A:A, A623) &gt; 0</f>
        <v/>
      </c>
      <c r="G623" t="inlineStr">
        <is>
          <t>runeveil</t>
        </is>
      </c>
      <c r="J623" s="11" t="inlineStr">
        <is>
          <t>https://store.steampowered.com/app/3656560/Runeveil/</t>
        </is>
      </c>
    </row>
    <row r="624" ht="15" customHeight="1">
      <c r="A624" t="inlineStr">
        <is>
          <t>Rungore</t>
        </is>
      </c>
      <c r="B624" t="n">
        <v>2023</v>
      </c>
      <c r="C624" t="inlineStr">
        <is>
          <t>Deckbuilder</t>
        </is>
      </c>
      <c r="D624">
        <f>TRUE()</f>
        <v/>
      </c>
      <c r="E624">
        <f>COUNTIF(connections!A:A, A624) &gt; 0</f>
        <v/>
      </c>
      <c r="G624" t="inlineStr">
        <is>
          <t>rungore</t>
        </is>
      </c>
      <c r="J624" s="11" t="inlineStr">
        <is>
          <t>https://store.steampowered.com/app/2113040/RUNGORE/</t>
        </is>
      </c>
    </row>
    <row r="625" ht="15" customHeight="1">
      <c r="A625" t="inlineStr">
        <is>
          <t>Sanae no Chou Tokkyuu: The Express Trial</t>
        </is>
      </c>
      <c r="B625" t="n">
        <v>2010</v>
      </c>
      <c r="C625" t="inlineStr">
        <is>
          <t>Traditional</t>
        </is>
      </c>
      <c r="D625">
        <f>TRUE()</f>
        <v/>
      </c>
      <c r="E625">
        <f>COUNTIF(connections!A:A, A625) &gt; 0</f>
        <v/>
      </c>
      <c r="F625" t="inlineStr">
        <is>
          <t>touhou</t>
        </is>
      </c>
      <c r="G625" t="inlineStr">
        <is>
          <t>sanae-no-chou-tokkyuu-the-express-trial</t>
        </is>
      </c>
    </row>
    <row r="626" ht="15" customHeight="1">
      <c r="A626" t="inlineStr">
        <is>
          <t>Sandwalkers</t>
        </is>
      </c>
      <c r="B626" t="n">
        <v>2024</v>
      </c>
      <c r="C626" t="inlineStr">
        <is>
          <t>Action</t>
        </is>
      </c>
      <c r="D626">
        <f>TRUE()</f>
        <v/>
      </c>
      <c r="E626">
        <f>COUNTIF(connections!A:A, A626) &gt; 0</f>
        <v/>
      </c>
      <c r="G626" t="inlineStr">
        <is>
          <t>sandwalkers</t>
        </is>
      </c>
      <c r="J626" s="11" t="inlineStr">
        <is>
          <t>https://store.steampowered.com/app/1639080/Sandwalkers/</t>
        </is>
      </c>
    </row>
    <row r="627" ht="15" customHeight="1">
      <c r="A627" t="inlineStr">
        <is>
          <t>Scarlet Tower</t>
        </is>
      </c>
      <c r="B627" t="n">
        <v>2022</v>
      </c>
      <c r="C627" t="inlineStr">
        <is>
          <t>Action</t>
        </is>
      </c>
      <c r="D627">
        <f>TRUE()</f>
        <v/>
      </c>
      <c r="E627">
        <f>COUNTIF(connections!A:A, A627) &gt; 0</f>
        <v/>
      </c>
      <c r="G627" t="inlineStr">
        <is>
          <t>scarlet-tower</t>
        </is>
      </c>
      <c r="H627" t="inlineStr">
        <is>
          <t>Yes</t>
        </is>
      </c>
      <c r="I627" t="inlineStr">
        <is>
          <t>C:\Users\Owner\Documents\Roguelike Roguelike\Roguelikes\Scarlet Tower.url</t>
        </is>
      </c>
      <c r="J627" s="1" t="inlineStr">
        <is>
          <t>https://store.steampowered.com/app/2181720/Scarlet_Tower/</t>
        </is>
      </c>
    </row>
    <row r="628" ht="15" customHeight="1">
      <c r="A628" t="inlineStr">
        <is>
          <t>Schism</t>
        </is>
      </c>
      <c r="B628" t="n">
        <v>2023</v>
      </c>
      <c r="C628" t="inlineStr">
        <is>
          <t>Action</t>
        </is>
      </c>
      <c r="D628" t="b">
        <v>1</v>
      </c>
      <c r="E628">
        <f>COUNTIF(connections!A:A, A628) &gt; 0</f>
        <v/>
      </c>
      <c r="G628" t="inlineStr">
        <is>
          <t>schism</t>
        </is>
      </c>
      <c r="J628" s="11" t="inlineStr">
        <is>
          <t>https://store.steampowered.com/app/2084300/Schism/</t>
        </is>
      </c>
    </row>
    <row r="629" ht="15" customHeight="1">
      <c r="A629" t="inlineStr">
        <is>
          <t>Scourgebringer</t>
        </is>
      </c>
      <c r="B629" t="n">
        <v>2020</v>
      </c>
      <c r="C629" t="inlineStr">
        <is>
          <t>Action</t>
        </is>
      </c>
      <c r="D629">
        <f>TRUE()</f>
        <v/>
      </c>
      <c r="E629">
        <f>COUNTIF(connections!A:A, A629) &gt; 0</f>
        <v/>
      </c>
      <c r="G629" t="inlineStr">
        <is>
          <t>scourgebringer</t>
        </is>
      </c>
      <c r="H629" t="inlineStr">
        <is>
          <t>Yes</t>
        </is>
      </c>
      <c r="I629" t="inlineStr">
        <is>
          <t>C:\Users\Owner\Documents\Roguelike Roguelike\Roguelikes\ScourgeBringer.url</t>
        </is>
      </c>
      <c r="J629" s="1" t="inlineStr">
        <is>
          <t>https://store.steampowered.com/app/1037020/ScourgeBringer/</t>
        </is>
      </c>
    </row>
    <row r="630" ht="15" customHeight="1">
      <c r="A630" t="inlineStr">
        <is>
          <t>Sea of Survivors</t>
        </is>
      </c>
      <c r="B630" t="n">
        <v>2023</v>
      </c>
      <c r="C630" t="inlineStr">
        <is>
          <t>Action</t>
        </is>
      </c>
      <c r="D630">
        <f>TRUE()</f>
        <v/>
      </c>
      <c r="E630">
        <f>COUNTIF(connections!A:A, A630) &gt; 0</f>
        <v/>
      </c>
      <c r="F630" t="inlineStr">
        <is>
          <t>maritime</t>
        </is>
      </c>
      <c r="G630" t="inlineStr">
        <is>
          <t>sea-of-survivors</t>
        </is>
      </c>
    </row>
    <row r="631" ht="15" customHeight="1">
      <c r="A631" t="inlineStr">
        <is>
          <t>Section 13</t>
        </is>
      </c>
      <c r="B631" t="n">
        <v>2023</v>
      </c>
      <c r="C631" t="inlineStr">
        <is>
          <t>Action</t>
        </is>
      </c>
      <c r="D631">
        <f>FALSE()</f>
        <v/>
      </c>
      <c r="E631">
        <f>COUNTIF(connections!A:A, A631) &gt; 0</f>
        <v/>
      </c>
      <c r="G631" t="inlineStr">
        <is>
          <t>section-13</t>
        </is>
      </c>
      <c r="H631" t="inlineStr">
        <is>
          <t>Yes</t>
        </is>
      </c>
      <c r="I631" t="inlineStr">
        <is>
          <t>C:\Users\Owner\Documents\Roguelike Roguelike\Roguelikes\Section 13.url</t>
        </is>
      </c>
      <c r="J631" s="1" t="inlineStr">
        <is>
          <t>https://store.steampowered.com/app/2111870/Section_13/</t>
        </is>
      </c>
    </row>
    <row r="632" ht="15" customHeight="1">
      <c r="A632" t="inlineStr">
        <is>
          <t>Seedborne Soldiers</t>
        </is>
      </c>
      <c r="B632" t="n">
        <v>2025</v>
      </c>
      <c r="C632" t="inlineStr">
        <is>
          <t>Strategy</t>
        </is>
      </c>
      <c r="D632">
        <f>TRUE()</f>
        <v/>
      </c>
      <c r="E632">
        <f>COUNTIF(connections!A:A, A632) &gt; 0</f>
        <v/>
      </c>
      <c r="G632" t="inlineStr">
        <is>
          <t>seedborne-soldiers</t>
        </is>
      </c>
      <c r="J632" s="1" t="inlineStr">
        <is>
          <t>https://store.steampowered.com/app/3039930/Seedborne_Soldiers/</t>
        </is>
      </c>
    </row>
    <row r="633" ht="15" customHeight="1">
      <c r="A633" t="inlineStr">
        <is>
          <t>Sephiria</t>
        </is>
      </c>
      <c r="B633" t="n">
        <v>2025</v>
      </c>
      <c r="C633" t="inlineStr">
        <is>
          <t>Action</t>
        </is>
      </c>
      <c r="D633">
        <f>TRUE()</f>
        <v/>
      </c>
      <c r="E633">
        <f>COUNTIF(connections!A:A, A633) &gt; 0</f>
        <v/>
      </c>
      <c r="G633" t="inlineStr">
        <is>
          <t>sephiria</t>
        </is>
      </c>
    </row>
    <row r="634" ht="15" customHeight="1">
      <c r="A634" t="inlineStr">
        <is>
          <t>Seraph's Last Stand</t>
        </is>
      </c>
      <c r="B634" t="n">
        <v>2022</v>
      </c>
      <c r="C634" t="inlineStr">
        <is>
          <t>Action</t>
        </is>
      </c>
      <c r="D634">
        <f>TRUE()</f>
        <v/>
      </c>
      <c r="E634">
        <f>COUNTIF(connections!A:A, A634) &gt; 0</f>
        <v/>
      </c>
      <c r="G634" t="inlineStr">
        <is>
          <t>seraphs-last-stand</t>
        </is>
      </c>
      <c r="H634" t="inlineStr">
        <is>
          <t>Yes</t>
        </is>
      </c>
      <c r="I634" t="inlineStr">
        <is>
          <t>C:\Users\Owner\Documents\Roguelike Roguelike\Roguelikes\Seraph's Last Stand.url</t>
        </is>
      </c>
      <c r="J634" s="1" t="inlineStr">
        <is>
          <t>https://store.steampowered.com/app/1919460/Seraphs_Last_Stand/</t>
        </is>
      </c>
    </row>
    <row r="635" ht="15" customHeight="1">
      <c r="A635" t="inlineStr">
        <is>
          <t>Serpent's Gaze</t>
        </is>
      </c>
      <c r="B635" t="n">
        <v>2026</v>
      </c>
      <c r="C635" t="inlineStr">
        <is>
          <t>Action</t>
        </is>
      </c>
      <c r="D635">
        <f>TRUE()</f>
        <v/>
      </c>
      <c r="E635">
        <f>COUNTIF(connections!A:A, A635) &gt; 0</f>
        <v/>
      </c>
      <c r="G635" t="inlineStr">
        <is>
          <t>serpents-gaze</t>
        </is>
      </c>
      <c r="J635" s="11" t="inlineStr">
        <is>
          <t>https://store.steampowered.com/app/3069050/Serpents_Gaze/</t>
        </is>
      </c>
    </row>
    <row r="636" ht="15" customHeight="1">
      <c r="A636" t="inlineStr">
        <is>
          <t>Shadow of the Wyrm</t>
        </is>
      </c>
      <c r="B636" t="n">
        <v>2015</v>
      </c>
      <c r="C636" t="inlineStr">
        <is>
          <t>Traditional</t>
        </is>
      </c>
      <c r="D636">
        <f>TRUE()</f>
        <v/>
      </c>
      <c r="E636">
        <f>COUNTIF(connections!A:A, A636) &gt; 0</f>
        <v/>
      </c>
      <c r="G636" t="inlineStr">
        <is>
          <t>shadow-of-the-wyrm</t>
        </is>
      </c>
      <c r="H636" t="inlineStr">
        <is>
          <t>Yes</t>
        </is>
      </c>
      <c r="I636" t="inlineStr">
        <is>
          <t>C:\Users\Owner\Documents\Roguelike Roguelike\Roguelikes\sotw.lnk</t>
        </is>
      </c>
    </row>
    <row r="637" ht="15" customHeight="1">
      <c r="A637" t="inlineStr">
        <is>
          <t>Shadowveil: Legend of The Five Rings</t>
        </is>
      </c>
      <c r="B637" t="n">
        <v>2025</v>
      </c>
      <c r="C637" t="inlineStr">
        <is>
          <t>Strategy</t>
        </is>
      </c>
      <c r="D637">
        <f>TRUE()</f>
        <v/>
      </c>
      <c r="E637">
        <f>COUNTIF(connections!A:A, A637) &gt; 0</f>
        <v/>
      </c>
      <c r="G637" t="inlineStr">
        <is>
          <t>shadowveil-legend-of-the-five-rings</t>
        </is>
      </c>
    </row>
    <row r="638" ht="15" customHeight="1">
      <c r="A638" t="inlineStr">
        <is>
          <t>Shape of Dreams</t>
        </is>
      </c>
      <c r="B638" t="n">
        <v>2025</v>
      </c>
      <c r="C638" t="inlineStr">
        <is>
          <t>Action</t>
        </is>
      </c>
      <c r="D638">
        <f>TRUE()</f>
        <v/>
      </c>
      <c r="E638">
        <f>COUNTIF(connections!A:A, A638) &gt; 0</f>
        <v/>
      </c>
      <c r="G638" t="inlineStr">
        <is>
          <t>shape-of-dreams</t>
        </is>
      </c>
    </row>
    <row r="639" ht="15" customHeight="1">
      <c r="A639" t="inlineStr">
        <is>
          <t>Shape Shifter: Formations</t>
        </is>
      </c>
      <c r="B639" t="n">
        <v>2023</v>
      </c>
      <c r="C639" t="inlineStr">
        <is>
          <t>Action</t>
        </is>
      </c>
      <c r="D639">
        <f>TRUE()</f>
        <v/>
      </c>
      <c r="E639">
        <f>COUNTIF(connections!A:A, A639) &gt; 0</f>
        <v/>
      </c>
      <c r="G639" t="inlineStr">
        <is>
          <t>shape-shifter-formations</t>
        </is>
      </c>
      <c r="J639" s="11" t="inlineStr">
        <is>
          <t>https://store.steampowered.com/app/2202590/Shape_Shifter_Formations/</t>
        </is>
      </c>
    </row>
    <row r="640" ht="15" customHeight="1">
      <c r="A640" t="inlineStr">
        <is>
          <t>Shattered Pixel Dungeon</t>
        </is>
      </c>
      <c r="B640" t="n">
        <v>2014</v>
      </c>
      <c r="C640" t="inlineStr">
        <is>
          <t>Traditional</t>
        </is>
      </c>
      <c r="D640">
        <f>TRUE()</f>
        <v/>
      </c>
      <c r="E640">
        <f>COUNTIF(connections!A:A, A640) &gt; 0</f>
        <v/>
      </c>
      <c r="G640" t="inlineStr">
        <is>
          <t>shattered-pixel-dungeon</t>
        </is>
      </c>
    </row>
    <row r="641" ht="15" customHeight="1">
      <c r="A641" t="inlineStr">
        <is>
          <t>Ship of Fools</t>
        </is>
      </c>
      <c r="B641" t="n">
        <v>2022</v>
      </c>
      <c r="C641" t="inlineStr">
        <is>
          <t>Action</t>
        </is>
      </c>
      <c r="D641">
        <f>TRUE()</f>
        <v/>
      </c>
      <c r="E641">
        <f>COUNTIF(connections!A:A, A641) &gt; 0</f>
        <v/>
      </c>
      <c r="F641" t="inlineStr">
        <is>
          <t>maritime</t>
        </is>
      </c>
      <c r="G641" t="inlineStr">
        <is>
          <t>ship-of-fools</t>
        </is>
      </c>
      <c r="H641" t="inlineStr">
        <is>
          <t>Yes</t>
        </is>
      </c>
      <c r="I641" t="inlineStr">
        <is>
          <t>C:\Users\Owner\Documents\Roguelike Roguelike\Roguelikes\Ship of Fools.url</t>
        </is>
      </c>
      <c r="J641" s="1" t="inlineStr">
        <is>
          <t>https://store.steampowered.com/app/1286580/Ship_of_Fools/</t>
        </is>
      </c>
    </row>
    <row r="642" ht="15" customHeight="1">
      <c r="A642" t="inlineStr">
        <is>
          <t>Shiren the Wanderer (2008)</t>
        </is>
      </c>
      <c r="B642" t="n">
        <v>2008</v>
      </c>
      <c r="C642" t="inlineStr">
        <is>
          <t>Traditional</t>
        </is>
      </c>
      <c r="D642">
        <f>TRUE()</f>
        <v/>
      </c>
      <c r="E642">
        <f>COUNTIF(connections!A:A, A642) &gt; 0</f>
        <v/>
      </c>
      <c r="G642" t="inlineStr">
        <is>
          <t>shiren-the-wanderer-2008</t>
        </is>
      </c>
      <c r="H642" t="inlineStr">
        <is>
          <t>Yes</t>
        </is>
      </c>
      <c r="I642" t="inlineStr">
        <is>
          <t>C:\Users\Owner\Documents\Roguelike Roguelike\Roguelikes\Shiren the Wanderer (2008).lnk</t>
        </is>
      </c>
    </row>
    <row r="643" ht="15" customHeight="1">
      <c r="A643" t="inlineStr">
        <is>
          <t>Shiren the Wanderer 2: Shiren's Castle and the Oni Invasion</t>
        </is>
      </c>
      <c r="B643" t="n">
        <v>2000</v>
      </c>
      <c r="C643" t="inlineStr">
        <is>
          <t>Traditional</t>
        </is>
      </c>
      <c r="D643">
        <f>TRUE()</f>
        <v/>
      </c>
      <c r="E643">
        <f>COUNTIF(connections!A:A, A643) &gt; 0</f>
        <v/>
      </c>
      <c r="G643" t="inlineStr">
        <is>
          <t>shiren-the-wanderer-2-shirens-castle-and-the-oni-invasion</t>
        </is>
      </c>
      <c r="H643" t="inlineStr">
        <is>
          <t>Yes</t>
        </is>
      </c>
      <c r="I643" t="inlineStr">
        <is>
          <t>C:\Users\Owner\Documents\Roguelike Roguelike\Roguelikes\Shiren the Wanderer 2 Shiren's Castle and the Oni Invasion.lnk</t>
        </is>
      </c>
    </row>
    <row r="644" ht="15" customHeight="1">
      <c r="A644" t="inlineStr">
        <is>
          <t>Shiren the Wanderer 4: The Eye of God and the Devil's Navel</t>
        </is>
      </c>
      <c r="B644" t="n">
        <v>2010</v>
      </c>
      <c r="C644" t="inlineStr">
        <is>
          <t>Traditional</t>
        </is>
      </c>
      <c r="D644">
        <f>TRUE()</f>
        <v/>
      </c>
      <c r="E644">
        <f>COUNTIF(connections!A:A, A644) &gt; 0</f>
        <v/>
      </c>
      <c r="G644" t="inlineStr">
        <is>
          <t>shiren-the-wanderer-4-the-eye-of-god-and-the-devils-navel</t>
        </is>
      </c>
      <c r="H644" t="inlineStr">
        <is>
          <t>Yes</t>
        </is>
      </c>
      <c r="I644" t="inlineStr">
        <is>
          <t>C:\Users\Owner\Documents\Roguelike Roguelike\Roguelikes\Shiren the Wanderer 4 The Eye of God and the Devil's Navel.lnk</t>
        </is>
      </c>
    </row>
    <row r="645" ht="15" customHeight="1">
      <c r="A645" t="inlineStr">
        <is>
          <t>Shiren the Wanderer Gaiden: Asuka the Swordswoman</t>
        </is>
      </c>
      <c r="B645" t="n">
        <v>2002</v>
      </c>
      <c r="C645" t="inlineStr">
        <is>
          <t>Traditional</t>
        </is>
      </c>
      <c r="D645">
        <f>TRUE()</f>
        <v/>
      </c>
      <c r="E645">
        <f>COUNTIF(connections!A:A, A645) &gt; 0</f>
        <v/>
      </c>
      <c r="G645" t="inlineStr">
        <is>
          <t>shiren-the-wanderer-gaiden-asuka-the-swordswoman</t>
        </is>
      </c>
      <c r="H645" t="inlineStr">
        <is>
          <t>Yes</t>
        </is>
      </c>
      <c r="I645" t="inlineStr">
        <is>
          <t>C:\Users\Owner\Documents\Roguelike Roguelike\Roguelikes\Shiren the Wanderer Gaiden Asuka the Swordswoman.lnk</t>
        </is>
      </c>
    </row>
    <row r="646" ht="15" customHeight="1">
      <c r="A646" t="inlineStr">
        <is>
          <t>Shiren the Wanderer GB: Monster of Moonlight Village</t>
        </is>
      </c>
      <c r="B646" t="n">
        <v>1996</v>
      </c>
      <c r="C646" t="inlineStr">
        <is>
          <t>Traditional</t>
        </is>
      </c>
      <c r="D646">
        <f>TRUE()</f>
        <v/>
      </c>
      <c r="E646">
        <f>COUNTIF(connections!A:A, A646) &gt; 0</f>
        <v/>
      </c>
      <c r="G646" t="inlineStr">
        <is>
          <t>shiren-the-wanderer-gb-monster-of-moonlight-village</t>
        </is>
      </c>
      <c r="H646" t="inlineStr">
        <is>
          <t>Yes</t>
        </is>
      </c>
      <c r="I646" t="inlineStr">
        <is>
          <t>C:\Users\Owner\Documents\Roguelike Roguelike\Roguelikes\Shiren the Wanderer GB Monster of Moonlight Village.lnk</t>
        </is>
      </c>
    </row>
    <row r="647" ht="15" customHeight="1">
      <c r="A647" t="inlineStr">
        <is>
          <t>Shiren the Wanderer GB2: Magic Castle of the Desert</t>
        </is>
      </c>
      <c r="B647" t="n">
        <v>2001</v>
      </c>
      <c r="C647" t="inlineStr">
        <is>
          <t>Traditional</t>
        </is>
      </c>
      <c r="D647">
        <f>TRUE()</f>
        <v/>
      </c>
      <c r="E647">
        <f>COUNTIF(connections!A:A, A647) &gt; 0</f>
        <v/>
      </c>
      <c r="G647" t="inlineStr">
        <is>
          <t>shiren-the-wanderer-gb2-magic-castle-of-the-desert</t>
        </is>
      </c>
      <c r="H647" t="inlineStr">
        <is>
          <t>Yes</t>
        </is>
      </c>
      <c r="I647" t="inlineStr">
        <is>
          <t>C:\Users\Owner\Documents\Roguelike Roguelike\Roguelikes\Shiren the Wanderer GB2 Magic Castle of the Desert.lnk</t>
        </is>
      </c>
    </row>
    <row r="648" ht="15" customHeight="1">
      <c r="A648" t="inlineStr">
        <is>
          <t>Shiren the Wanderer: The Mystery Dungeon of Serpentcoil Island</t>
        </is>
      </c>
      <c r="B648" t="n">
        <v>2024</v>
      </c>
      <c r="C648" t="inlineStr">
        <is>
          <t>Traditional</t>
        </is>
      </c>
      <c r="D648">
        <f>TRUE()</f>
        <v/>
      </c>
      <c r="E648">
        <f>COUNTIF(connections!A:A, A648) &gt; 0</f>
        <v/>
      </c>
      <c r="G648" t="inlineStr">
        <is>
          <t>shiren-the-wanderer-the-mystery-dungeon-of-serpentcoil-island</t>
        </is>
      </c>
      <c r="H648" t="inlineStr">
        <is>
          <t>Yes</t>
        </is>
      </c>
      <c r="I648" t="inlineStr">
        <is>
          <t>C:\Users\Owner\Documents\Roguelike Roguelike\Roguelikes\Shiren the Wanderer The Mystery Dungeon of Serpentcoil Island.url</t>
        </is>
      </c>
      <c r="J648" s="1" t="inlineStr">
        <is>
          <t>https://store.steampowered.com/app/2178480/Shiren_the_Wanderer_The_Mystery_Dungeon_of_Serpentcoil_Island/</t>
        </is>
      </c>
    </row>
    <row r="649" ht="15" customHeight="1">
      <c r="A649" t="inlineStr">
        <is>
          <t>Shiren the Wanderer: The Tower of Fortune and the Dice of Fate</t>
        </is>
      </c>
      <c r="B649" t="n">
        <v>2010</v>
      </c>
      <c r="C649" t="inlineStr">
        <is>
          <t>Traditional</t>
        </is>
      </c>
      <c r="D649">
        <f>TRUE()</f>
        <v/>
      </c>
      <c r="E649">
        <f>COUNTIF(connections!A:A, A649) &gt; 0</f>
        <v/>
      </c>
      <c r="G649" t="inlineStr">
        <is>
          <t>shiren-the-wanderer-the-tower-of-fortune-and-the-dice-of-fate</t>
        </is>
      </c>
      <c r="H649" t="inlineStr">
        <is>
          <t>Yes</t>
        </is>
      </c>
      <c r="I649" t="inlineStr">
        <is>
          <t>C:\Users\Owner\Documents\Roguelike Roguelike\Roguelikes\Shiren the Wanderer The Tower of Fortune and the Dice of Fate.url</t>
        </is>
      </c>
      <c r="J649" s="1" t="inlineStr">
        <is>
          <t>https://store.steampowered.com/app/1178790/Shiren_the_Wanderer_The_Tower_of_Fortune_and_the_Dice_of_Fate/</t>
        </is>
      </c>
    </row>
    <row r="650" ht="15" customHeight="1">
      <c r="A650" t="inlineStr">
        <is>
          <t>Shogun Showdown</t>
        </is>
      </c>
      <c r="B650" t="n">
        <v>2023</v>
      </c>
      <c r="C650" t="inlineStr">
        <is>
          <t>Strategy</t>
        </is>
      </c>
      <c r="D650">
        <f>TRUE()</f>
        <v/>
      </c>
      <c r="E650">
        <f>COUNTIF(connections!A:A, A650) &gt; 0</f>
        <v/>
      </c>
      <c r="G650" t="inlineStr">
        <is>
          <t>shogun-showdown</t>
        </is>
      </c>
      <c r="H650" t="inlineStr">
        <is>
          <t>Yes</t>
        </is>
      </c>
      <c r="I650" t="inlineStr">
        <is>
          <t>C:\Users\Owner\Documents\Roguelike Roguelike\Roguelikes\Shogun Showdown.url</t>
        </is>
      </c>
      <c r="J650" s="1" t="inlineStr">
        <is>
          <t>https://store.steampowered.com/app/2084000/Shogun_Showdown/</t>
        </is>
      </c>
    </row>
    <row r="651" ht="15" customHeight="1">
      <c r="A651" t="inlineStr">
        <is>
          <t>Shoot First</t>
        </is>
      </c>
      <c r="B651" t="n">
        <v>2010</v>
      </c>
      <c r="C651" t="inlineStr">
        <is>
          <t>Action</t>
        </is>
      </c>
      <c r="D651">
        <f>TRUE()</f>
        <v/>
      </c>
      <c r="E651">
        <f>COUNTIF(connections!A:A, A651) &gt; 0</f>
        <v/>
      </c>
      <c r="G651" t="inlineStr">
        <is>
          <t>shoot-first</t>
        </is>
      </c>
    </row>
    <row r="652" ht="15" customHeight="1">
      <c r="A652" t="inlineStr">
        <is>
          <t>Shotgun King: The Final Checkmate</t>
        </is>
      </c>
      <c r="B652" t="n">
        <v>2022</v>
      </c>
      <c r="C652" t="inlineStr">
        <is>
          <t>Strategy</t>
        </is>
      </c>
      <c r="D652">
        <f>TRUE()</f>
        <v/>
      </c>
      <c r="E652">
        <f>COUNTIF(connections!A:A, A652) &gt; 0</f>
        <v/>
      </c>
      <c r="F652" t="inlineStr">
        <is>
          <t>chess</t>
        </is>
      </c>
      <c r="G652" t="inlineStr">
        <is>
          <t>shotgun-king-the-final-checkmate</t>
        </is>
      </c>
      <c r="H652" t="inlineStr">
        <is>
          <t>Yes</t>
        </is>
      </c>
      <c r="I652" t="inlineStr">
        <is>
          <t>C:\Users\Owner\Documents\Roguelike Roguelike\Roguelikes\Shotgun King The Final Checkmate.url</t>
        </is>
      </c>
      <c r="J652" s="1" t="inlineStr">
        <is>
          <t>https://store.steampowered.com/app/1972440/Shotgun_King_The_Final_Checkmate/</t>
        </is>
      </c>
    </row>
    <row r="653" ht="15" customHeight="1">
      <c r="A653" t="inlineStr">
        <is>
          <t>Shovel Knight Dig</t>
        </is>
      </c>
      <c r="B653" t="n">
        <v>2022</v>
      </c>
      <c r="C653" t="inlineStr">
        <is>
          <t>Action</t>
        </is>
      </c>
      <c r="D653">
        <f>TRUE()</f>
        <v/>
      </c>
      <c r="E653">
        <f>COUNTIF(connections!A:A, A653) &gt; 0</f>
        <v/>
      </c>
      <c r="F653" t="inlineStr">
        <is>
          <t>knights</t>
        </is>
      </c>
      <c r="G653" t="inlineStr">
        <is>
          <t>shovel-knight-dig</t>
        </is>
      </c>
    </row>
    <row r="654" ht="15" customHeight="1">
      <c r="A654" t="inlineStr">
        <is>
          <t>Sil</t>
        </is>
      </c>
      <c r="B654" t="n">
        <v>2012</v>
      </c>
      <c r="C654" t="inlineStr">
        <is>
          <t>Traditional</t>
        </is>
      </c>
      <c r="D654">
        <f>TRUE()</f>
        <v/>
      </c>
      <c r="E654">
        <f>COUNTIF(connections!A:A, A654) &gt; 0</f>
        <v/>
      </c>
      <c r="G654" t="inlineStr">
        <is>
          <t>sil</t>
        </is>
      </c>
    </row>
    <row r="655" ht="15" customHeight="1">
      <c r="A655" t="inlineStr">
        <is>
          <t>Sir, We Have an Orc Problem</t>
        </is>
      </c>
      <c r="B655" t="n">
        <v>2026</v>
      </c>
      <c r="C655" t="inlineStr">
        <is>
          <t>Strategy</t>
        </is>
      </c>
      <c r="D655">
        <f>TRUE()</f>
        <v/>
      </c>
      <c r="E655">
        <f>COUNTIF(connections!A:A, A655) &gt; 0</f>
        <v/>
      </c>
      <c r="G655" t="inlineStr">
        <is>
          <t>sir-we-have-an-orc-problem</t>
        </is>
      </c>
      <c r="J655" s="11" t="inlineStr">
        <is>
          <t>https://store.steampowered.com/app/4594150/Sir_We_Have_an_Orc_Problem</t>
        </is>
      </c>
    </row>
    <row r="656" ht="15" customHeight="1">
      <c r="A656" t="inlineStr">
        <is>
          <t>Skul: The Hero Slayer</t>
        </is>
      </c>
      <c r="B656" t="n">
        <v>2020</v>
      </c>
      <c r="C656" t="inlineStr">
        <is>
          <t>Action</t>
        </is>
      </c>
      <c r="D656">
        <f>TRUE()</f>
        <v/>
      </c>
      <c r="E656">
        <f>COUNTIF(connections!A:A, A656) &gt; 0</f>
        <v/>
      </c>
      <c r="G656" t="inlineStr">
        <is>
          <t>skul-the-hero-slayer</t>
        </is>
      </c>
      <c r="H656" t="inlineStr">
        <is>
          <t>Yes</t>
        </is>
      </c>
      <c r="I656" t="inlineStr">
        <is>
          <t>C:\Users\Owner\Documents\Roguelike Roguelike\Roguelikes\Skul The Hero Slayer.url</t>
        </is>
      </c>
      <c r="J656" s="1" t="inlineStr">
        <is>
          <t>https://store.steampowered.com/app/1147560/Skul_The_Hero_Slayer/</t>
        </is>
      </c>
    </row>
    <row r="657" ht="15" customHeight="1">
      <c r="A657" t="inlineStr">
        <is>
          <t>Skull Horde</t>
        </is>
      </c>
      <c r="B657" t="n">
        <v>2026</v>
      </c>
      <c r="C657" t="inlineStr">
        <is>
          <t>Action</t>
        </is>
      </c>
      <c r="D657">
        <f>TRUE()</f>
        <v/>
      </c>
      <c r="E657">
        <f>COUNTIF(connections!A:A, A657) &gt; 0</f>
        <v/>
      </c>
      <c r="G657" t="inlineStr">
        <is>
          <t>skull-horde</t>
        </is>
      </c>
    </row>
    <row r="658" ht="15" customHeight="1">
      <c r="A658" t="inlineStr">
        <is>
          <t>Sky Rogue</t>
        </is>
      </c>
      <c r="B658" t="n">
        <v>2014</v>
      </c>
      <c r="C658" t="inlineStr">
        <is>
          <t>Action</t>
        </is>
      </c>
      <c r="D658">
        <f>TRUE()</f>
        <v/>
      </c>
      <c r="E658">
        <f>COUNTIF(connections!A:A, A658) &gt; 0</f>
        <v/>
      </c>
      <c r="G658" t="inlineStr">
        <is>
          <t>sky-rogue</t>
        </is>
      </c>
      <c r="J658" s="11" t="inlineStr">
        <is>
          <t>https://store.steampowered.com/app/381020/Sky_Rogue/</t>
        </is>
      </c>
    </row>
    <row r="659" ht="15" customHeight="1">
      <c r="A659" t="inlineStr">
        <is>
          <t>Sky's The Limit MAH-JONG</t>
        </is>
      </c>
      <c r="B659" t="n">
        <v>2024</v>
      </c>
      <c r="C659" t="inlineStr">
        <is>
          <t>Deckbuilder</t>
        </is>
      </c>
      <c r="D659">
        <f>TRUE()</f>
        <v/>
      </c>
      <c r="E659">
        <f>COUNTIF(connections!A:A, A659) &gt; 0</f>
        <v/>
      </c>
      <c r="F659" t="inlineStr">
        <is>
          <t>mahjong</t>
        </is>
      </c>
      <c r="G659" t="inlineStr">
        <is>
          <t>skys-the-limit-mah-jong</t>
        </is>
      </c>
      <c r="H659" t="inlineStr">
        <is>
          <t>Yes</t>
        </is>
      </c>
      <c r="I659" t="inlineStr">
        <is>
          <t>C:\Users\Owner\Documents\Roguelike Roguelike\Roguelikes\Sky's The Limit MAH-JONG.url</t>
        </is>
      </c>
      <c r="J659" s="1" t="inlineStr">
        <is>
          <t>https://store.steampowered.com/app/3085620/Skys_The_Limit_MAHJONG/</t>
        </is>
      </c>
    </row>
    <row r="660" ht="15" customHeight="1">
      <c r="A660" t="inlineStr">
        <is>
          <t>Slash'EM</t>
        </is>
      </c>
      <c r="B660" t="n">
        <v>2006</v>
      </c>
      <c r="C660" t="inlineStr">
        <is>
          <t>Traditional</t>
        </is>
      </c>
      <c r="D660">
        <f>TRUE()</f>
        <v/>
      </c>
      <c r="E660">
        <f>COUNTIF(connections!A:A, A660) &gt; 0</f>
        <v/>
      </c>
      <c r="G660" t="inlineStr">
        <is>
          <t>slashem</t>
        </is>
      </c>
      <c r="H660" t="inlineStr">
        <is>
          <t>Yes</t>
        </is>
      </c>
      <c r="I660" t="inlineStr">
        <is>
          <t>C:\Users\Owner\Documents\Roguelike Roguelike\Roguelikes\Slash'EM.lnk</t>
        </is>
      </c>
    </row>
    <row r="661" ht="15" customHeight="1">
      <c r="A661" t="inlineStr">
        <is>
          <t>Slasher's Keep</t>
        </is>
      </c>
      <c r="B661" t="n">
        <v>2018</v>
      </c>
      <c r="C661" t="inlineStr">
        <is>
          <t>Action</t>
        </is>
      </c>
      <c r="D661">
        <f>FALSE()</f>
        <v/>
      </c>
      <c r="E661">
        <f>COUNTIF(connections!A:A, A661) &gt; 0</f>
        <v/>
      </c>
      <c r="G661" t="inlineStr">
        <is>
          <t>slashers-keep</t>
        </is>
      </c>
      <c r="H661" t="inlineStr">
        <is>
          <t>Yes</t>
        </is>
      </c>
      <c r="I661" t="inlineStr">
        <is>
          <t>C:\Users\Owner\Documents\Roguelike Roguelike\Roguelikes\Slasher's Keep.url</t>
        </is>
      </c>
      <c r="J661" s="1" t="inlineStr">
        <is>
          <t>https://store.steampowered.com/app/598060/Slashers_Keep/</t>
        </is>
      </c>
    </row>
    <row r="662" ht="15" customHeight="1">
      <c r="A662" t="inlineStr">
        <is>
          <t>Slay the Spire</t>
        </is>
      </c>
      <c r="B662" t="n">
        <v>2017</v>
      </c>
      <c r="C662" t="inlineStr">
        <is>
          <t>Deckbuilder</t>
        </is>
      </c>
      <c r="D662">
        <f>TRUE()</f>
        <v/>
      </c>
      <c r="E662">
        <f>COUNTIF(connections!A:A, A662) &gt; 0</f>
        <v/>
      </c>
      <c r="G662" t="inlineStr">
        <is>
          <t>slay-the-spire</t>
        </is>
      </c>
      <c r="H662" t="inlineStr">
        <is>
          <t>Yes</t>
        </is>
      </c>
      <c r="I662" t="inlineStr">
        <is>
          <t>C:\Users\Owner\Documents\Roguelike Roguelike\Roguelikes\Slay the Spire.url</t>
        </is>
      </c>
      <c r="J662" s="1" t="inlineStr">
        <is>
          <t>https://store.steampowered.com/app/646570/Slay_the_Spire/</t>
        </is>
      </c>
    </row>
    <row r="663" ht="15" customHeight="1">
      <c r="A663" t="inlineStr">
        <is>
          <t>Slay the Spire 2</t>
        </is>
      </c>
      <c r="B663" t="n">
        <v>2026</v>
      </c>
      <c r="C663" t="inlineStr">
        <is>
          <t>Deckbuilder</t>
        </is>
      </c>
      <c r="D663">
        <f>TRUE()</f>
        <v/>
      </c>
      <c r="E663">
        <f>COUNTIF(connections!A:A, A663) &gt; 0</f>
        <v/>
      </c>
      <c r="G663" t="inlineStr">
        <is>
          <t>slay-the-spire-2</t>
        </is>
      </c>
      <c r="H663" t="inlineStr">
        <is>
          <t>Yes</t>
        </is>
      </c>
      <c r="I663" t="inlineStr">
        <is>
          <t>C:\Users\Owner\Documents\Roguelike Roguelike\Roguelikes\Slay the Spire 2.url</t>
        </is>
      </c>
      <c r="J663" s="1" t="inlineStr">
        <is>
          <t>https://store.steampowered.com/app/2868840/Slay_the_Spire_2/</t>
        </is>
      </c>
    </row>
    <row r="664" ht="15" customHeight="1">
      <c r="A664" t="inlineStr">
        <is>
          <t>Slice &amp; Dice</t>
        </is>
      </c>
      <c r="B664" t="n">
        <v>2018</v>
      </c>
      <c r="C664" t="inlineStr">
        <is>
          <t>Strategy</t>
        </is>
      </c>
      <c r="D664">
        <f>TRUE()</f>
        <v/>
      </c>
      <c r="E664">
        <f>COUNTIF(connections!A:A, A664) &gt; 0</f>
        <v/>
      </c>
      <c r="F664" t="inlineStr">
        <is>
          <t>dice</t>
        </is>
      </c>
      <c r="G664" t="inlineStr">
        <is>
          <t>slice-dice</t>
        </is>
      </c>
      <c r="H664" t="inlineStr">
        <is>
          <t>Yes</t>
        </is>
      </c>
      <c r="I664" t="inlineStr">
        <is>
          <t>C:\Users\Owner\Documents\Roguelike Roguelike\Roguelikes\Slice &amp; Dice.url</t>
        </is>
      </c>
      <c r="J664" s="1" t="inlineStr">
        <is>
          <t>https://store.steampowered.com/app/1775490/Slice__Dice/</t>
        </is>
      </c>
    </row>
    <row r="665" ht="15" customHeight="1">
      <c r="A665" t="inlineStr">
        <is>
          <t>Slime 3K: Rise Against Despot</t>
        </is>
      </c>
      <c r="B665" t="n">
        <v>2023</v>
      </c>
      <c r="C665" t="inlineStr">
        <is>
          <t>Action</t>
        </is>
      </c>
      <c r="D665">
        <f>TRUE()</f>
        <v/>
      </c>
      <c r="E665">
        <f>COUNTIF(connections!A:A, A665) &gt; 0</f>
        <v/>
      </c>
      <c r="G665" t="inlineStr">
        <is>
          <t>slime-3k-rise-against-despot</t>
        </is>
      </c>
      <c r="H665" t="inlineStr">
        <is>
          <t>Yes</t>
        </is>
      </c>
      <c r="I665" t="inlineStr">
        <is>
          <t>C:\Users\Owner\Documents\Roguelike Roguelike\Roguelikes\Slime 3K Rise Against Despot.url</t>
        </is>
      </c>
      <c r="J665" s="1" t="inlineStr">
        <is>
          <t>https://store.steampowered.com/app/2348610/Slime_3K_Rise_Against_Despot/</t>
        </is>
      </c>
    </row>
    <row r="666" ht="15" customHeight="1">
      <c r="A666" t="inlineStr">
        <is>
          <t>Slot &amp; Dungeons</t>
        </is>
      </c>
      <c r="B666" t="n">
        <v>2025</v>
      </c>
      <c r="C666" t="inlineStr">
        <is>
          <t>Deckbuilder</t>
        </is>
      </c>
      <c r="D666">
        <f>TRUE()</f>
        <v/>
      </c>
      <c r="E666">
        <f>COUNTIF(connections!A:A, A666) &gt; 0</f>
        <v/>
      </c>
      <c r="F666" t="inlineStr">
        <is>
          <t>casino</t>
        </is>
      </c>
      <c r="G666" t="inlineStr">
        <is>
          <t>slot-dungeons</t>
        </is>
      </c>
    </row>
    <row r="667" ht="15" customHeight="1">
      <c r="A667" t="inlineStr">
        <is>
          <t>Slot or Not</t>
        </is>
      </c>
      <c r="B667" t="n">
        <v>2026</v>
      </c>
      <c r="C667" t="inlineStr">
        <is>
          <t>Deckbuilder</t>
        </is>
      </c>
      <c r="D667">
        <f>TRUE()</f>
        <v/>
      </c>
      <c r="E667">
        <f>COUNTIF(connections!A:A, A667) &gt; 0</f>
        <v/>
      </c>
      <c r="F667" t="inlineStr">
        <is>
          <t>casino</t>
        </is>
      </c>
      <c r="G667" t="inlineStr">
        <is>
          <t>slot-or-not</t>
        </is>
      </c>
    </row>
    <row r="668" ht="15" customHeight="1">
      <c r="A668" t="inlineStr">
        <is>
          <t>Slots &amp; Daggers</t>
        </is>
      </c>
      <c r="B668" t="n">
        <v>2025</v>
      </c>
      <c r="C668" t="inlineStr">
        <is>
          <t>Deckbuilder</t>
        </is>
      </c>
      <c r="D668">
        <f>FALSE()</f>
        <v/>
      </c>
      <c r="E668">
        <f>COUNTIF(connections!A:A, A668) &gt; 0</f>
        <v/>
      </c>
      <c r="F668" t="inlineStr">
        <is>
          <t>casino</t>
        </is>
      </c>
      <c r="G668" t="inlineStr">
        <is>
          <t>slots-daggers</t>
        </is>
      </c>
      <c r="H668" t="inlineStr">
        <is>
          <t>Yes</t>
        </is>
      </c>
      <c r="I668" t="inlineStr">
        <is>
          <t>C:\Users\Owner\Documents\Roguelike Roguelike\Roguelikes\Slots &amp; Daggers.url</t>
        </is>
      </c>
      <c r="J668" s="1" t="inlineStr">
        <is>
          <t>https://store.steampowered.com/app/3631290/Slots__Daggers/</t>
        </is>
      </c>
    </row>
    <row r="669" ht="15" customHeight="1">
      <c r="A669" t="inlineStr">
        <is>
          <t>SNKRX</t>
        </is>
      </c>
      <c r="B669" t="n">
        <v>2021</v>
      </c>
      <c r="C669" t="inlineStr">
        <is>
          <t>Action</t>
        </is>
      </c>
      <c r="D669">
        <f>TRUE()</f>
        <v/>
      </c>
      <c r="E669">
        <f>COUNTIF(connections!A:A, A669) &gt; 0</f>
        <v/>
      </c>
      <c r="G669" t="inlineStr">
        <is>
          <t>snkrx</t>
        </is>
      </c>
      <c r="H669" t="inlineStr">
        <is>
          <t>Yes</t>
        </is>
      </c>
      <c r="I669" t="inlineStr">
        <is>
          <t>C:\Users\Owner\Documents\Roguelike Roguelike\Roguelikes\SNKRX.url</t>
        </is>
      </c>
      <c r="J669" s="1" t="inlineStr">
        <is>
          <t>https://store.steampowered.com/app/915310/SNKRX/</t>
        </is>
      </c>
    </row>
    <row r="670" ht="15" customHeight="1">
      <c r="A670" t="inlineStr">
        <is>
          <t>Sodaman</t>
        </is>
      </c>
      <c r="B670" t="n">
        <v>2025</v>
      </c>
      <c r="C670" t="inlineStr">
        <is>
          <t>Action</t>
        </is>
      </c>
      <c r="D670">
        <f>TRUE()</f>
        <v/>
      </c>
      <c r="E670">
        <f>COUNTIF(connections!A:A, A670) &gt; 0</f>
        <v/>
      </c>
      <c r="G670" t="inlineStr">
        <is>
          <t>sodaman</t>
        </is>
      </c>
      <c r="H670" t="inlineStr">
        <is>
          <t>Yes</t>
        </is>
      </c>
      <c r="I670" t="inlineStr">
        <is>
          <t>C:\Users\Owner\Documents\Roguelike Roguelike\Roguelikes\Sodaman.url</t>
        </is>
      </c>
      <c r="J670" s="1" t="inlineStr">
        <is>
          <t>https://store.steampowered.com/app/2178990/Sodaman/</t>
        </is>
      </c>
    </row>
    <row r="671" ht="15" customHeight="1">
      <c r="A671" t="inlineStr">
        <is>
          <t>Sol Cesto</t>
        </is>
      </c>
      <c r="B671" t="n">
        <v>2025</v>
      </c>
      <c r="C671" t="inlineStr">
        <is>
          <t>Strategy</t>
        </is>
      </c>
      <c r="D671" t="b">
        <v>1</v>
      </c>
      <c r="E671">
        <f>COUNTIF(connections!A:A, A671) &gt; 0</f>
        <v/>
      </c>
      <c r="G671" t="inlineStr">
        <is>
          <t>sol-cesto</t>
        </is>
      </c>
      <c r="H671" t="inlineStr">
        <is>
          <t>Yes</t>
        </is>
      </c>
      <c r="I671" t="inlineStr">
        <is>
          <t>C:\Users\Owner\Documents\Roguelike Roguelike\Roguelikes\Sol Cesto.url</t>
        </is>
      </c>
      <c r="J671" s="1" t="inlineStr">
        <is>
          <t>https://store.steampowered.com/app/2738490/Sol_Cesto/</t>
        </is>
      </c>
    </row>
    <row r="672" ht="15" customHeight="1">
      <c r="A672" t="inlineStr">
        <is>
          <t>Solitairica</t>
        </is>
      </c>
      <c r="B672" t="n">
        <v>2016</v>
      </c>
      <c r="C672" t="inlineStr">
        <is>
          <t>Deckbuilder</t>
        </is>
      </c>
      <c r="D672">
        <f>FALSE()</f>
        <v/>
      </c>
      <c r="E672">
        <f>COUNTIF(connections!A:A, A672) &gt; 0</f>
        <v/>
      </c>
      <c r="G672" t="inlineStr">
        <is>
          <t>solitairica</t>
        </is>
      </c>
      <c r="H672" t="inlineStr">
        <is>
          <t>Yes</t>
        </is>
      </c>
      <c r="I672" t="inlineStr">
        <is>
          <t>C:\Users\Owner\Documents\Roguelike Roguelike\Roguelikes\Solitairica.url</t>
        </is>
      </c>
      <c r="J672" s="1" t="inlineStr">
        <is>
          <t>https://store.steampowered.com/app/463980/Solitairica/</t>
        </is>
      </c>
    </row>
    <row r="673" ht="15" customHeight="1">
      <c r="A673" t="inlineStr">
        <is>
          <t>Soulash</t>
        </is>
      </c>
      <c r="B673" t="n">
        <v>2022</v>
      </c>
      <c r="C673" t="inlineStr">
        <is>
          <t>Traditional</t>
        </is>
      </c>
      <c r="D673">
        <f>TRUE()</f>
        <v/>
      </c>
      <c r="E673">
        <f>COUNTIF(connections!A:A, A673) &gt; 0</f>
        <v/>
      </c>
      <c r="G673" t="inlineStr">
        <is>
          <t>soulash</t>
        </is>
      </c>
    </row>
    <row r="674" ht="15" customHeight="1">
      <c r="A674" t="inlineStr">
        <is>
          <t>Soulash 2</t>
        </is>
      </c>
      <c r="B674" t="n">
        <v>2023</v>
      </c>
      <c r="C674" t="inlineStr">
        <is>
          <t>Traditional</t>
        </is>
      </c>
      <c r="D674">
        <f>TRUE()</f>
        <v/>
      </c>
      <c r="E674">
        <f>COUNTIF(connections!A:A, A674) &gt; 0</f>
        <v/>
      </c>
      <c r="G674" t="inlineStr">
        <is>
          <t>soulash-2</t>
        </is>
      </c>
    </row>
    <row r="675" ht="15" customHeight="1">
      <c r="A675" t="inlineStr">
        <is>
          <t>Soulstone Survivors</t>
        </is>
      </c>
      <c r="B675" t="n">
        <v>2022</v>
      </c>
      <c r="C675" t="inlineStr">
        <is>
          <t>Action</t>
        </is>
      </c>
      <c r="D675">
        <f>TRUE()</f>
        <v/>
      </c>
      <c r="E675">
        <f>COUNTIF(connections!A:A, A675) &gt; 0</f>
        <v/>
      </c>
      <c r="G675" t="inlineStr">
        <is>
          <t>soulstone-survivors</t>
        </is>
      </c>
      <c r="H675" t="inlineStr">
        <is>
          <t>Yes</t>
        </is>
      </c>
      <c r="I675" t="inlineStr">
        <is>
          <t>C:\Users\Owner\Documents\Roguelike Roguelike\Roguelikes\Soulstone Survivors.url</t>
        </is>
      </c>
      <c r="J675" s="1" t="inlineStr">
        <is>
          <t>https://store.steampowered.com/app/2066020/Soulstone_Survivors/</t>
        </is>
      </c>
    </row>
    <row r="676" ht="15" customHeight="1">
      <c r="A676" t="inlineStr">
        <is>
          <t>Space Beast Terror Fright</t>
        </is>
      </c>
      <c r="B676" t="n">
        <v>2015</v>
      </c>
      <c r="C676" t="inlineStr">
        <is>
          <t>Action</t>
        </is>
      </c>
      <c r="D676">
        <f>FALSE()</f>
        <v/>
      </c>
      <c r="E676">
        <f>COUNTIF(connections!A:A, A676) &gt; 0</f>
        <v/>
      </c>
      <c r="F676" t="inlineStr">
        <is>
          <t>space</t>
        </is>
      </c>
      <c r="G676" t="inlineStr">
        <is>
          <t>space-beast-terror-fright</t>
        </is>
      </c>
    </row>
    <row r="677" ht="15" customHeight="1">
      <c r="A677" t="inlineStr">
        <is>
          <t>Space Gladiators</t>
        </is>
      </c>
      <c r="B677" t="n">
        <v>2019</v>
      </c>
      <c r="C677" t="inlineStr">
        <is>
          <t>Action</t>
        </is>
      </c>
      <c r="D677">
        <f>TRUE()</f>
        <v/>
      </c>
      <c r="E677">
        <f>COUNTIF(connections!A:A, A677) &gt; 0</f>
        <v/>
      </c>
      <c r="G677" t="inlineStr">
        <is>
          <t>space-gladiators</t>
        </is>
      </c>
      <c r="J677" s="1" t="inlineStr">
        <is>
          <t>https://store.steampowered.com/app/1144910/Space_Gladiators</t>
        </is>
      </c>
    </row>
    <row r="678" ht="15" customHeight="1">
      <c r="A678" t="inlineStr">
        <is>
          <t>Space Grunts</t>
        </is>
      </c>
      <c r="B678" t="n">
        <v>2016</v>
      </c>
      <c r="C678" t="inlineStr">
        <is>
          <t>Traditional</t>
        </is>
      </c>
      <c r="D678">
        <f>TRUE()</f>
        <v/>
      </c>
      <c r="E678">
        <f>COUNTIF(connections!A:A, A678) &gt; 0</f>
        <v/>
      </c>
      <c r="G678" t="inlineStr">
        <is>
          <t>space-grunts</t>
        </is>
      </c>
      <c r="H678" t="inlineStr">
        <is>
          <t>Yes</t>
        </is>
      </c>
      <c r="I678" t="inlineStr">
        <is>
          <t>C:\Users\Owner\Documents\Roguelike Roguelike\Roguelikes\Space Grunts.url</t>
        </is>
      </c>
      <c r="J678" s="11" t="inlineStr">
        <is>
          <t>https://store.steampowered.com/app/371430/Space_Grunts/</t>
        </is>
      </c>
    </row>
    <row r="679" ht="15" customHeight="1">
      <c r="A679" t="inlineStr">
        <is>
          <t>Spellbook Demonslayers</t>
        </is>
      </c>
      <c r="B679" t="n">
        <v>2022</v>
      </c>
      <c r="C679" t="inlineStr">
        <is>
          <t>Action</t>
        </is>
      </c>
      <c r="D679">
        <f>TRUE()</f>
        <v/>
      </c>
      <c r="E679">
        <f>COUNTIF(connections!A:A, A679) &gt; 0</f>
        <v/>
      </c>
      <c r="G679" t="inlineStr">
        <is>
          <t>spellbook-demonslayers</t>
        </is>
      </c>
      <c r="H679" t="inlineStr">
        <is>
          <t>Yes</t>
        </is>
      </c>
      <c r="I679" t="inlineStr">
        <is>
          <t>C:\Users\Owner\Documents\Roguelike Roguelike\Roguelikes\Spellbook Demonslayers.url</t>
        </is>
      </c>
      <c r="J679" s="1" t="inlineStr">
        <is>
          <t>https://store.steampowered.com/app/2007530/Spellbook_Demonslayers/</t>
        </is>
      </c>
    </row>
    <row r="680" ht="15" customHeight="1">
      <c r="A680" t="inlineStr">
        <is>
          <t>Spellmasons</t>
        </is>
      </c>
      <c r="B680" t="n">
        <v>2023</v>
      </c>
      <c r="C680" t="inlineStr">
        <is>
          <t>Strategy</t>
        </is>
      </c>
      <c r="D680">
        <f>TRUE()</f>
        <v/>
      </c>
      <c r="E680">
        <f>COUNTIF(connections!A:A, A680) &gt; 0</f>
        <v/>
      </c>
      <c r="G680" t="inlineStr">
        <is>
          <t>spellmasons</t>
        </is>
      </c>
    </row>
    <row r="681" ht="15" customHeight="1">
      <c r="A681" t="inlineStr">
        <is>
          <t>SpellRogue</t>
        </is>
      </c>
      <c r="B681" t="n">
        <v>2024</v>
      </c>
      <c r="C681" t="inlineStr">
        <is>
          <t>Deckbuilder</t>
        </is>
      </c>
      <c r="D681">
        <f>TRUE()</f>
        <v/>
      </c>
      <c r="E681">
        <f>COUNTIF(connections!A:A, A681) &gt; 0</f>
        <v/>
      </c>
      <c r="G681" t="inlineStr">
        <is>
          <t>spellrogue</t>
        </is>
      </c>
      <c r="H681" t="inlineStr">
        <is>
          <t>Yes</t>
        </is>
      </c>
      <c r="I681" t="inlineStr">
        <is>
          <t>C:\Users\Owner\Documents\Roguelike Roguelike\Roguelikes\SpellRogue.url</t>
        </is>
      </c>
      <c r="J681" s="1" t="inlineStr">
        <is>
          <t>https://store.steampowered.com/app/1990110/SpellRogue/</t>
        </is>
      </c>
    </row>
    <row r="682" ht="15" customHeight="1">
      <c r="A682" t="inlineStr">
        <is>
          <t>Spelunky</t>
        </is>
      </c>
      <c r="B682" t="n">
        <v>2012</v>
      </c>
      <c r="C682" t="inlineStr">
        <is>
          <t>Action</t>
        </is>
      </c>
      <c r="D682">
        <f>TRUE()</f>
        <v/>
      </c>
      <c r="E682">
        <f>COUNTIF(connections!A:A, A682) &gt; 0</f>
        <v/>
      </c>
      <c r="G682" t="inlineStr">
        <is>
          <t>spelunky</t>
        </is>
      </c>
      <c r="H682" t="inlineStr">
        <is>
          <t>Yes</t>
        </is>
      </c>
      <c r="I682" t="inlineStr">
        <is>
          <t>C:\Users\Owner\Documents\Roguelike Roguelike\Roguelikes\Spelunky.url</t>
        </is>
      </c>
      <c r="J682" s="1" t="inlineStr">
        <is>
          <t>https://store.steampowered.com/app/239350/Spelunky/</t>
        </is>
      </c>
    </row>
    <row r="683" ht="15" customHeight="1">
      <c r="A683" t="inlineStr">
        <is>
          <t>Spelunky 2</t>
        </is>
      </c>
      <c r="B683" t="n">
        <v>2020</v>
      </c>
      <c r="C683" t="inlineStr">
        <is>
          <t>Action</t>
        </is>
      </c>
      <c r="D683">
        <f>TRUE()</f>
        <v/>
      </c>
      <c r="E683">
        <f>COUNTIF(connections!A:A, A683) &gt; 0</f>
        <v/>
      </c>
      <c r="G683" t="inlineStr">
        <is>
          <t>spelunky-2</t>
        </is>
      </c>
      <c r="H683" t="inlineStr">
        <is>
          <t>Yes</t>
        </is>
      </c>
      <c r="I683" t="inlineStr">
        <is>
          <t>C:\Users\Owner\Documents\Roguelike Roguelike\Roguelikes\Spelunky 2.url</t>
        </is>
      </c>
      <c r="J683" s="1" t="inlineStr">
        <is>
          <t>https://store.steampowered.com/app/418530/Spelunky_2/</t>
        </is>
      </c>
    </row>
    <row r="684" ht="15" customHeight="1">
      <c r="A684" t="inlineStr">
        <is>
          <t>Spelunky Classic</t>
        </is>
      </c>
      <c r="B684" t="n">
        <v>2008</v>
      </c>
      <c r="C684" t="inlineStr">
        <is>
          <t>Action</t>
        </is>
      </c>
      <c r="D684">
        <f>TRUE()</f>
        <v/>
      </c>
      <c r="E684">
        <f>COUNTIF(connections!A:A, A684) &gt; 0</f>
        <v/>
      </c>
      <c r="G684" t="inlineStr">
        <is>
          <t>spelunky-classic</t>
        </is>
      </c>
      <c r="H684" t="inlineStr">
        <is>
          <t>Yes</t>
        </is>
      </c>
      <c r="I684" t="inlineStr">
        <is>
          <t>C:\Users\Owner\Documents\Roguelike Roguelike\Roguelikes\SpelunkyClassic.lnk</t>
        </is>
      </c>
    </row>
    <row r="685" ht="15" customHeight="1">
      <c r="A685" t="inlineStr">
        <is>
          <t>Spin Hero</t>
        </is>
      </c>
      <c r="B685" t="n">
        <v>2024</v>
      </c>
      <c r="C685" t="inlineStr">
        <is>
          <t>Deckbuilder</t>
        </is>
      </c>
      <c r="D685">
        <f>TRUE()</f>
        <v/>
      </c>
      <c r="E685">
        <f>COUNTIF(connections!A:A, A685) &gt; 0</f>
        <v/>
      </c>
      <c r="F685" t="inlineStr">
        <is>
          <t>casino</t>
        </is>
      </c>
      <c r="G685" t="inlineStr">
        <is>
          <t>spin-hero</t>
        </is>
      </c>
      <c r="H685" t="inlineStr">
        <is>
          <t>Yes</t>
        </is>
      </c>
      <c r="I685" t="inlineStr">
        <is>
          <t>C:\Users\Owner\Documents\Roguelike Roguelike\Roguelikes\Spin Hero.url</t>
        </is>
      </c>
      <c r="J685" s="1" t="inlineStr">
        <is>
          <t>https://store.steampowered.com/app/2917350/Spin_Hero/</t>
        </is>
      </c>
    </row>
    <row r="686" ht="15" customHeight="1">
      <c r="A686" t="inlineStr">
        <is>
          <t>Spirit Hunters: Infinite Horde</t>
        </is>
      </c>
      <c r="B686" t="n">
        <v>2022</v>
      </c>
      <c r="C686" t="inlineStr">
        <is>
          <t>Action</t>
        </is>
      </c>
      <c r="D686">
        <f>TRUE()</f>
        <v/>
      </c>
      <c r="E686">
        <f>COUNTIF(connections!A:A, A686) &gt; 0</f>
        <v/>
      </c>
      <c r="G686" t="inlineStr">
        <is>
          <t>spirit-hunters-infinite-horde</t>
        </is>
      </c>
      <c r="H686" t="inlineStr">
        <is>
          <t>Yes</t>
        </is>
      </c>
      <c r="I686" t="inlineStr">
        <is>
          <t>C:\Users\Owner\Documents\Roguelike Roguelike\Roguelikes\Spirit Hunters Infinite Horde.url</t>
        </is>
      </c>
      <c r="J686" s="1" t="inlineStr">
        <is>
          <t>https://store.steampowered.com/app/1914580/Spirit_Hunters_Infinite_Horde/</t>
        </is>
      </c>
    </row>
    <row r="687" ht="15" customHeight="1">
      <c r="A687" t="inlineStr">
        <is>
          <t>Spiritfall</t>
        </is>
      </c>
      <c r="B687" t="n">
        <v>2023</v>
      </c>
      <c r="C687" t="inlineStr">
        <is>
          <t>Action</t>
        </is>
      </c>
      <c r="D687">
        <f>TRUE()</f>
        <v/>
      </c>
      <c r="E687">
        <f>COUNTIF(connections!A:A, A687) &gt; 0</f>
        <v/>
      </c>
      <c r="G687" t="inlineStr">
        <is>
          <t>spiritfall</t>
        </is>
      </c>
      <c r="H687" t="inlineStr">
        <is>
          <t>Yes</t>
        </is>
      </c>
      <c r="I687" t="inlineStr">
        <is>
          <t>C:\Users\Owner\Documents\Roguelike Roguelike\Roguelikes\Spiritfall.url</t>
        </is>
      </c>
      <c r="J687" s="1" t="inlineStr">
        <is>
          <t>https://store.steampowered.com/app/1835240/Spiritfall/</t>
        </is>
      </c>
    </row>
    <row r="688" ht="15" customHeight="1">
      <c r="A688" t="inlineStr">
        <is>
          <t>Spirits Abyss</t>
        </is>
      </c>
      <c r="B688" t="n">
        <v>2019</v>
      </c>
      <c r="C688" t="inlineStr">
        <is>
          <t>Action</t>
        </is>
      </c>
      <c r="D688">
        <f>TRUE()</f>
        <v/>
      </c>
      <c r="E688">
        <f>COUNTIF(connections!A:A, A688) &gt; 0</f>
        <v/>
      </c>
      <c r="G688" t="inlineStr">
        <is>
          <t>spirits-abyss</t>
        </is>
      </c>
      <c r="H688" t="inlineStr">
        <is>
          <t>Yes</t>
        </is>
      </c>
      <c r="I688" t="inlineStr">
        <is>
          <t>C:\Users\Owner\Documents\Roguelike Roguelike\Roguelikes\Spirits Abyss.url</t>
        </is>
      </c>
      <c r="J688" s="1" t="inlineStr">
        <is>
          <t>https://store.steampowered.com/app/1078200/Spirits_Abyss/</t>
        </is>
      </c>
    </row>
    <row r="689" ht="15" customHeight="1">
      <c r="A689" t="inlineStr">
        <is>
          <t>Sproggiwood</t>
        </is>
      </c>
      <c r="B689" t="n">
        <v>2014</v>
      </c>
      <c r="C689" t="inlineStr">
        <is>
          <t>Traditional</t>
        </is>
      </c>
      <c r="D689">
        <f>TRUE()</f>
        <v/>
      </c>
      <c r="E689">
        <f>COUNTIF(connections!A:A, A689) &gt; 0</f>
        <v/>
      </c>
      <c r="G689" t="inlineStr">
        <is>
          <t>sproggiwood</t>
        </is>
      </c>
      <c r="H689" t="inlineStr">
        <is>
          <t>Yes</t>
        </is>
      </c>
      <c r="I689" t="inlineStr">
        <is>
          <t>C:\Users\Owner\Documents\Roguelike Roguelike\Roguelikes\Sproggiwood.url</t>
        </is>
      </c>
      <c r="J689" s="1" t="inlineStr">
        <is>
          <t>https://store.steampowered.com/app/311720/Sproggiwood/</t>
        </is>
      </c>
    </row>
    <row r="690" ht="15" customHeight="1">
      <c r="A690" t="inlineStr">
        <is>
          <t>Squeaky Squad</t>
        </is>
      </c>
      <c r="B690" t="n">
        <v>2024</v>
      </c>
      <c r="C690" t="inlineStr">
        <is>
          <t>Action</t>
        </is>
      </c>
      <c r="D690">
        <f>FALSE()</f>
        <v/>
      </c>
      <c r="E690">
        <f>COUNTIF(connections!A:A, A690) &gt; 0</f>
        <v/>
      </c>
      <c r="G690" t="inlineStr">
        <is>
          <t>squeaky-squad</t>
        </is>
      </c>
      <c r="H690" t="inlineStr">
        <is>
          <t>Yes</t>
        </is>
      </c>
      <c r="I690" t="inlineStr">
        <is>
          <t>C:\Users\Owner\Documents\Roguelike Roguelike\Roguelikes\Squeaky Squad.url</t>
        </is>
      </c>
      <c r="J690" s="1" t="inlineStr">
        <is>
          <t>https://store.steampowered.com/app/2573200/Squeaky_Squad/</t>
        </is>
      </c>
    </row>
    <row r="691" ht="15" customHeight="1">
      <c r="A691" t="inlineStr">
        <is>
          <t>Stackflow</t>
        </is>
      </c>
      <c r="B691" t="n">
        <v>2025</v>
      </c>
      <c r="C691" t="inlineStr">
        <is>
          <t>Deckbuilder</t>
        </is>
      </c>
      <c r="D691">
        <f>TRUE()</f>
        <v/>
      </c>
      <c r="E691">
        <f>COUNTIF(connections!A:A, A691) &gt; 0</f>
        <v/>
      </c>
      <c r="G691" t="inlineStr">
        <is>
          <t>stackflow</t>
        </is>
      </c>
      <c r="H691" t="inlineStr">
        <is>
          <t>Yes</t>
        </is>
      </c>
      <c r="I691" t="inlineStr">
        <is>
          <t>C:\Users\Owner\Documents\Roguelike Roguelike\Roguelikes\Stackflow.url</t>
        </is>
      </c>
      <c r="J691" s="1" t="inlineStr">
        <is>
          <t>https://store.steampowered.com/app/3908810/Stackflow/</t>
        </is>
      </c>
    </row>
    <row r="692" ht="15" customHeight="1">
      <c r="A692" t="inlineStr">
        <is>
          <t>Star of Providence</t>
        </is>
      </c>
      <c r="B692" t="n">
        <v>2017</v>
      </c>
      <c r="C692" t="inlineStr">
        <is>
          <t>Action</t>
        </is>
      </c>
      <c r="D692">
        <f>TRUE()</f>
        <v/>
      </c>
      <c r="E692">
        <f>COUNTIF(connections!A:A, A692) &gt; 0</f>
        <v/>
      </c>
      <c r="G692" t="inlineStr">
        <is>
          <t>star-of-providence</t>
        </is>
      </c>
      <c r="H692" t="inlineStr">
        <is>
          <t>Yes</t>
        </is>
      </c>
      <c r="I692" t="inlineStr">
        <is>
          <t>C:\Users\Owner\Documents\Roguelike Roguelike\Roguelikes\Star of Providence.url</t>
        </is>
      </c>
      <c r="J692" s="1" t="inlineStr">
        <is>
          <t>https://store.steampowered.com/app/603960/Star_of_Providence/</t>
        </is>
      </c>
    </row>
    <row r="693" ht="15" customHeight="1">
      <c r="A693" t="inlineStr">
        <is>
          <t>Star Survivor</t>
        </is>
      </c>
      <c r="B693" t="n">
        <v>2023</v>
      </c>
      <c r="C693" t="inlineStr">
        <is>
          <t>Action</t>
        </is>
      </c>
      <c r="D693">
        <f>TRUE()</f>
        <v/>
      </c>
      <c r="E693">
        <f>COUNTIF(connections!A:A, A693) &gt; 0</f>
        <v/>
      </c>
      <c r="F693" t="inlineStr">
        <is>
          <t>space</t>
        </is>
      </c>
      <c r="G693" t="inlineStr">
        <is>
          <t>star-survivor</t>
        </is>
      </c>
      <c r="H693" t="inlineStr">
        <is>
          <t>Yes</t>
        </is>
      </c>
      <c r="I693" t="inlineStr">
        <is>
          <t>C:\Users\Owner\Documents\Roguelike Roguelike\Roguelikes\Star Survivor.url</t>
        </is>
      </c>
      <c r="J693" s="1" t="inlineStr">
        <is>
          <t>https://store.steampowered.com/app/2060750/Star_Survivor/</t>
        </is>
      </c>
    </row>
    <row r="694" ht="15" customHeight="1">
      <c r="A694" t="inlineStr">
        <is>
          <t>Starlight Revolver</t>
        </is>
      </c>
      <c r="B694" t="n">
        <v>2025</v>
      </c>
      <c r="C694" t="inlineStr">
        <is>
          <t>Action</t>
        </is>
      </c>
      <c r="D694">
        <f>TRUE()</f>
        <v/>
      </c>
      <c r="E694">
        <f>COUNTIF(connections!A:A, A694) &gt; 0</f>
        <v/>
      </c>
      <c r="G694" t="inlineStr">
        <is>
          <t>starlight-revolver</t>
        </is>
      </c>
      <c r="H694" t="inlineStr">
        <is>
          <t>Yes</t>
        </is>
      </c>
      <c r="I694" t="inlineStr">
        <is>
          <t>C:\Users\Owner\Documents\Roguelike Roguelike\Roguelikes\Starlight ReVolver.url</t>
        </is>
      </c>
      <c r="J694" s="1" t="inlineStr">
        <is>
          <t>https://store.steampowered.com/app/3201010/Starlight_Revolver/</t>
        </is>
      </c>
    </row>
    <row r="695" ht="15" customHeight="1">
      <c r="A695" t="inlineStr">
        <is>
          <t>StarVaders</t>
        </is>
      </c>
      <c r="B695" t="n">
        <v>2025</v>
      </c>
      <c r="C695" t="inlineStr">
        <is>
          <t>Deckbuilder</t>
        </is>
      </c>
      <c r="D695">
        <f>TRUE()</f>
        <v/>
      </c>
      <c r="E695">
        <f>COUNTIF(connections!A:A, A695) &gt; 0</f>
        <v/>
      </c>
      <c r="F695" t="inlineStr">
        <is>
          <t>mecha</t>
        </is>
      </c>
      <c r="G695" t="inlineStr">
        <is>
          <t>starvaders</t>
        </is>
      </c>
      <c r="H695" t="inlineStr">
        <is>
          <t>Yes</t>
        </is>
      </c>
      <c r="I695" t="inlineStr">
        <is>
          <t>C:\Users\Owner\Documents\Roguelike Roguelike\Roguelikes\StarVaders.url</t>
        </is>
      </c>
      <c r="J695" s="1" t="inlineStr">
        <is>
          <t>https://store.steampowered.com/app/2097570/StarVaders/</t>
        </is>
      </c>
    </row>
    <row r="696" ht="15" customHeight="1">
      <c r="A696" t="inlineStr">
        <is>
          <t>Steve's Warehouse: Physics. Roguelike. Chaos.</t>
        </is>
      </c>
      <c r="B696" t="n">
        <v>2025</v>
      </c>
      <c r="C696" t="inlineStr">
        <is>
          <t>Deckbuilder</t>
        </is>
      </c>
      <c r="D696">
        <f>TRUE()</f>
        <v/>
      </c>
      <c r="E696">
        <f>COUNTIF(connections!A:A, A696) &gt; 0</f>
        <v/>
      </c>
      <c r="G696" t="inlineStr">
        <is>
          <t>steves-warehouse-physics-roguelike-chaos</t>
        </is>
      </c>
    </row>
    <row r="697" ht="15" customHeight="1">
      <c r="A697" t="inlineStr">
        <is>
          <t>Stick It to the Stickman</t>
        </is>
      </c>
      <c r="B697" t="n">
        <v>2025</v>
      </c>
      <c r="C697" t="inlineStr">
        <is>
          <t>Action</t>
        </is>
      </c>
      <c r="D697">
        <f>FALSE()</f>
        <v/>
      </c>
      <c r="E697">
        <f>COUNTIF(connections!A:A, A697) &gt; 0</f>
        <v/>
      </c>
      <c r="G697" t="inlineStr">
        <is>
          <t>stick-it-to-the-stickman</t>
        </is>
      </c>
      <c r="H697" t="inlineStr">
        <is>
          <t>Yes</t>
        </is>
      </c>
      <c r="I697" t="inlineStr">
        <is>
          <t>C:\Users\Owner\Documents\Roguelike Roguelike\Roguelikes\Stick It to the Stickman.url</t>
        </is>
      </c>
      <c r="J697" s="1" t="inlineStr">
        <is>
          <t>https://store.steampowered.com/app/2085540/Stick_It_to_the_Stickman/</t>
        </is>
      </c>
    </row>
    <row r="698" ht="15" customHeight="1">
      <c r="A698" t="inlineStr">
        <is>
          <t>Stoneshard</t>
        </is>
      </c>
      <c r="B698" t="n">
        <v>2020</v>
      </c>
      <c r="C698" t="inlineStr">
        <is>
          <t>Traditional</t>
        </is>
      </c>
      <c r="D698">
        <f>TRUE()</f>
        <v/>
      </c>
      <c r="E698">
        <f>COUNTIF(connections!A:A, A698) &gt; 0</f>
        <v/>
      </c>
      <c r="G698" t="inlineStr">
        <is>
          <t>stoneshard</t>
        </is>
      </c>
    </row>
    <row r="699" ht="15" customHeight="1">
      <c r="A699" t="inlineStr">
        <is>
          <t>Stories from the Outbreak</t>
        </is>
      </c>
      <c r="B699" t="n">
        <v>2023</v>
      </c>
      <c r="C699" t="inlineStr">
        <is>
          <t>Strategy</t>
        </is>
      </c>
      <c r="D699">
        <f>FALSE()</f>
        <v/>
      </c>
      <c r="E699">
        <f>COUNTIF(connections!A:A, A699) &gt; 0</f>
        <v/>
      </c>
      <c r="F699" t="inlineStr">
        <is>
          <t>undead</t>
        </is>
      </c>
      <c r="G699" t="inlineStr">
        <is>
          <t>stories-from-the-outbreak</t>
        </is>
      </c>
    </row>
    <row r="700" ht="15" customHeight="1">
      <c r="A700" t="inlineStr">
        <is>
          <t>Strafe</t>
        </is>
      </c>
      <c r="B700" t="n">
        <v>2017</v>
      </c>
      <c r="C700" t="inlineStr">
        <is>
          <t>Action</t>
        </is>
      </c>
      <c r="D700" t="b">
        <v>1</v>
      </c>
      <c r="E700">
        <f>COUNTIF(connections!A:A, A700) &gt; 0</f>
        <v/>
      </c>
      <c r="G700" t="inlineStr">
        <is>
          <t>strafe</t>
        </is>
      </c>
      <c r="H700" t="inlineStr">
        <is>
          <t>Yes</t>
        </is>
      </c>
      <c r="I700" t="inlineStr">
        <is>
          <t>C:\Users\Owner\Documents\Roguelike Roguelike\Roguelikes\STRAFE Gold Edition.url</t>
        </is>
      </c>
      <c r="J700" s="11" t="inlineStr">
        <is>
          <t>https://store.steampowered.com/app/442780/STRAFE_Gold_Edition/</t>
        </is>
      </c>
    </row>
    <row r="701" ht="15" customHeight="1">
      <c r="A701" t="inlineStr">
        <is>
          <t>Strange Adventures in Infinite Space</t>
        </is>
      </c>
      <c r="B701" t="n">
        <v>2002</v>
      </c>
      <c r="C701" t="inlineStr">
        <is>
          <t>Strategy</t>
        </is>
      </c>
      <c r="D701">
        <f>TRUE()</f>
        <v/>
      </c>
      <c r="E701">
        <f>COUNTIF(connections!A:A, A701) &gt; 0</f>
        <v/>
      </c>
      <c r="F701" t="inlineStr">
        <is>
          <t>space</t>
        </is>
      </c>
      <c r="G701" t="inlineStr">
        <is>
          <t>strange-adventures-in-infinite-space</t>
        </is>
      </c>
      <c r="H701" t="inlineStr">
        <is>
          <t>Yes</t>
        </is>
      </c>
      <c r="I701" t="inlineStr">
        <is>
          <t>C:\Users\Owner\Documents\Roguelike Roguelike\Roguelikes\Strange Adventures in Infinite Space.lnk</t>
        </is>
      </c>
    </row>
    <row r="702" ht="15" customHeight="1">
      <c r="A702" t="inlineStr">
        <is>
          <t>Streets of Rogue</t>
        </is>
      </c>
      <c r="B702" t="n">
        <v>2019</v>
      </c>
      <c r="C702" t="inlineStr">
        <is>
          <t>Action</t>
        </is>
      </c>
      <c r="D702">
        <f>TRUE()</f>
        <v/>
      </c>
      <c r="E702">
        <f>COUNTIF(connections!A:A, A702) &gt; 0</f>
        <v/>
      </c>
      <c r="G702" t="inlineStr">
        <is>
          <t>streets-of-rogue</t>
        </is>
      </c>
      <c r="H702" t="inlineStr">
        <is>
          <t>Yes</t>
        </is>
      </c>
      <c r="I702" t="inlineStr">
        <is>
          <t>C:\Users\Owner\Documents\Roguelike Roguelike\Roguelikes\Streets of Rogue.url</t>
        </is>
      </c>
      <c r="J702" s="1" t="inlineStr">
        <is>
          <t>https://store.steampowered.com/app/512900/Streets_of_Rogue/</t>
        </is>
      </c>
    </row>
    <row r="703" ht="15" customHeight="1">
      <c r="A703" t="inlineStr">
        <is>
          <t>SULFUR</t>
        </is>
      </c>
      <c r="B703" t="n">
        <v>2024</v>
      </c>
      <c r="C703" t="inlineStr">
        <is>
          <t>Action</t>
        </is>
      </c>
      <c r="D703">
        <f>TRUE()</f>
        <v/>
      </c>
      <c r="E703">
        <f>COUNTIF(connections!A:A, A703) &gt; 0</f>
        <v/>
      </c>
      <c r="G703" t="inlineStr">
        <is>
          <t>sulfur</t>
        </is>
      </c>
    </row>
    <row r="704" ht="15" customHeight="1">
      <c r="A704" t="inlineStr">
        <is>
          <t>Sundered</t>
        </is>
      </c>
      <c r="B704" t="n">
        <v>2017</v>
      </c>
      <c r="C704" t="inlineStr">
        <is>
          <t>Action</t>
        </is>
      </c>
      <c r="D704">
        <f>TRUE()</f>
        <v/>
      </c>
      <c r="E704">
        <f>COUNTIF(connections!A:A, A704) &gt; 0</f>
        <v/>
      </c>
      <c r="G704" t="inlineStr">
        <is>
          <t>sundered</t>
        </is>
      </c>
      <c r="H704" t="inlineStr">
        <is>
          <t>Yes</t>
        </is>
      </c>
      <c r="I704" t="inlineStr">
        <is>
          <t>C:\Users\Owner\Documents\Roguelike Roguelike\Roguelikes\Sundered Eldritch Edition.url</t>
        </is>
      </c>
      <c r="J704" s="1" t="inlineStr">
        <is>
          <t>https://store.steampowered.com/app/535480/Sundered_Eldritch_Edition/</t>
        </is>
      </c>
    </row>
    <row r="705" ht="15" customHeight="1">
      <c r="A705" t="inlineStr">
        <is>
          <t>Sunless Sea</t>
        </is>
      </c>
      <c r="B705" t="n">
        <v>2015</v>
      </c>
      <c r="C705" t="inlineStr">
        <is>
          <t>Strategy</t>
        </is>
      </c>
      <c r="D705">
        <f>TRUE()</f>
        <v/>
      </c>
      <c r="E705">
        <f>COUNTIF(connections!A:A, A705) &gt; 0</f>
        <v/>
      </c>
      <c r="F705" t="inlineStr">
        <is>
          <t>maritime</t>
        </is>
      </c>
      <c r="G705" t="inlineStr">
        <is>
          <t>sunless-sea</t>
        </is>
      </c>
      <c r="H705" t="inlineStr">
        <is>
          <t>Yes</t>
        </is>
      </c>
      <c r="I705" t="inlineStr">
        <is>
          <t>C:\Users\Owner\Documents\Roguelike Roguelike\Roguelikes\Sunless Sea.url</t>
        </is>
      </c>
      <c r="J705" s="1" t="inlineStr">
        <is>
          <t>https://store.steampowered.com/app/304650/SUNLESS_SEA/</t>
        </is>
      </c>
    </row>
    <row r="706" ht="15" customHeight="1">
      <c r="A706" t="inlineStr">
        <is>
          <t>Super Auto Pets</t>
        </is>
      </c>
      <c r="B706" t="n">
        <v>2021</v>
      </c>
      <c r="C706" t="inlineStr">
        <is>
          <t>Strategy</t>
        </is>
      </c>
      <c r="D706">
        <f>TRUE()</f>
        <v/>
      </c>
      <c r="E706">
        <f>COUNTIF(connections!A:A, A706) &gt; 0</f>
        <v/>
      </c>
      <c r="G706" t="inlineStr">
        <is>
          <t>super-auto-pets</t>
        </is>
      </c>
      <c r="H706" t="inlineStr">
        <is>
          <t>Yes</t>
        </is>
      </c>
      <c r="I706" t="inlineStr">
        <is>
          <t>C:\Users\Owner\Documents\Roguelike Roguelike\Roguelikes\Super Auto Pets.url</t>
        </is>
      </c>
      <c r="J706" s="1" t="inlineStr">
        <is>
          <t>https://store.steampowered.com/app/1714040/Super_Auto_Pets/</t>
        </is>
      </c>
    </row>
    <row r="707" ht="15" customHeight="1">
      <c r="A707" t="inlineStr">
        <is>
          <t>Super Bullet Break</t>
        </is>
      </c>
      <c r="B707" t="n">
        <v>2022</v>
      </c>
      <c r="C707" t="inlineStr">
        <is>
          <t>Deckbuilder</t>
        </is>
      </c>
      <c r="D707">
        <f>FALSE()</f>
        <v/>
      </c>
      <c r="E707">
        <f>COUNTIF(connections!A:A, A707) &gt; 0</f>
        <v/>
      </c>
      <c r="G707" t="inlineStr">
        <is>
          <t>super-bullet-break</t>
        </is>
      </c>
      <c r="H707" t="inlineStr">
        <is>
          <t>Yes</t>
        </is>
      </c>
      <c r="I707" t="inlineStr">
        <is>
          <t>C:\Users\Owner\Documents\Roguelike Roguelike\Roguelikes\Super Bullet Break.url</t>
        </is>
      </c>
      <c r="J707" s="1" t="inlineStr">
        <is>
          <t>https://store.steampowered.com/app/1767170/Super_Bullet_Break/</t>
        </is>
      </c>
    </row>
    <row r="708" ht="15" customHeight="1">
      <c r="A708" t="inlineStr">
        <is>
          <t>Super Fantasy Kingdom</t>
        </is>
      </c>
      <c r="B708" t="n">
        <v>2025</v>
      </c>
      <c r="C708" t="inlineStr">
        <is>
          <t>Strategy</t>
        </is>
      </c>
      <c r="D708">
        <f>TRUE()</f>
        <v/>
      </c>
      <c r="E708">
        <f>COUNTIF(connections!A:A, A708) &gt; 0</f>
        <v/>
      </c>
      <c r="G708" t="inlineStr">
        <is>
          <t>super-fantasy-kingdom</t>
        </is>
      </c>
      <c r="H708" t="inlineStr">
        <is>
          <t>Yes</t>
        </is>
      </c>
      <c r="I708" t="inlineStr">
        <is>
          <t>C:\Users\Owner\Documents\Roguelike Roguelike\Roguelikes\Super Fantasy Kingdom.url</t>
        </is>
      </c>
      <c r="J708" s="1" t="inlineStr">
        <is>
          <t>https://store.steampowered.com/app/2289750/Super_Fantasy_Kingdom/</t>
        </is>
      </c>
    </row>
    <row r="709" ht="15" customHeight="1">
      <c r="A709" t="inlineStr">
        <is>
          <t>Super House of Dead Ninjas</t>
        </is>
      </c>
      <c r="B709" t="n">
        <v>2013</v>
      </c>
      <c r="C709" t="inlineStr">
        <is>
          <t>Action</t>
        </is>
      </c>
      <c r="D709">
        <f>TRUE()</f>
        <v/>
      </c>
      <c r="E709">
        <f>COUNTIF(connections!A:A, A709) &gt; 0</f>
        <v/>
      </c>
      <c r="G709" t="inlineStr">
        <is>
          <t>super-house-of-dead-ninjas</t>
        </is>
      </c>
      <c r="H709" t="inlineStr">
        <is>
          <t>Yes</t>
        </is>
      </c>
      <c r="I709" t="inlineStr">
        <is>
          <t>C:\Users\Owner\Documents\Roguelike Roguelike\Roguelikes\Super House of Dead Ninjas.url</t>
        </is>
      </c>
      <c r="J709" s="1" t="inlineStr">
        <is>
          <t>https://store.steampowered.com/app/224820/Super_House_of_Dead_Ninjas/</t>
        </is>
      </c>
    </row>
    <row r="710" ht="15" customHeight="1">
      <c r="A710" t="inlineStr">
        <is>
          <t>Super Tax City</t>
        </is>
      </c>
      <c r="B710" t="n">
        <v>2025</v>
      </c>
      <c r="C710" t="inlineStr">
        <is>
          <t>Deckbuilder</t>
        </is>
      </c>
      <c r="D710">
        <f>TRUE()</f>
        <v/>
      </c>
      <c r="E710">
        <f>COUNTIF(connections!A:A, A710) &gt; 0</f>
        <v/>
      </c>
      <c r="G710" t="inlineStr">
        <is>
          <t>super-tax-city</t>
        </is>
      </c>
    </row>
    <row r="711" ht="15" customHeight="1">
      <c r="A711" t="inlineStr">
        <is>
          <t>Swapmeat</t>
        </is>
      </c>
      <c r="B711" t="n">
        <v>2025</v>
      </c>
      <c r="C711" t="inlineStr">
        <is>
          <t>Action</t>
        </is>
      </c>
      <c r="D711">
        <f>TRUE()</f>
        <v/>
      </c>
      <c r="E711">
        <f>COUNTIF(connections!A:A, A711) &gt; 0</f>
        <v/>
      </c>
      <c r="G711" t="inlineStr">
        <is>
          <t>swapmeat</t>
        </is>
      </c>
    </row>
    <row r="712" ht="15" customHeight="1">
      <c r="A712" t="inlineStr">
        <is>
          <t>Swarm Grinder</t>
        </is>
      </c>
      <c r="B712" t="n">
        <v>2023</v>
      </c>
      <c r="C712" t="inlineStr">
        <is>
          <t>Action</t>
        </is>
      </c>
      <c r="D712">
        <f>TRUE()</f>
        <v/>
      </c>
      <c r="E712">
        <f>COUNTIF(connections!A:A, A712) &gt; 0</f>
        <v/>
      </c>
      <c r="F712" t="inlineStr">
        <is>
          <t>mecha</t>
        </is>
      </c>
      <c r="G712" t="inlineStr">
        <is>
          <t>swarm-grinder</t>
        </is>
      </c>
      <c r="H712" t="inlineStr">
        <is>
          <t>Yes</t>
        </is>
      </c>
      <c r="I712" t="inlineStr">
        <is>
          <t>C:\Users\Owner\Documents\Roguelike Roguelike\Roguelikes\Swarm Grinder.url</t>
        </is>
      </c>
      <c r="J712" s="1" t="inlineStr">
        <is>
          <t>https://store.steampowered.com/app/1375900/Swarm_Grinder/</t>
        </is>
      </c>
    </row>
    <row r="713" ht="15" customHeight="1">
      <c r="A713" t="inlineStr">
        <is>
          <t>Switchcars</t>
        </is>
      </c>
      <c r="B713" t="n">
        <v>2016</v>
      </c>
      <c r="C713" t="inlineStr">
        <is>
          <t>Action</t>
        </is>
      </c>
      <c r="D713">
        <f>TRUE()</f>
        <v/>
      </c>
      <c r="E713">
        <f>COUNTIF(connections!A:A, A713) &gt; 0</f>
        <v/>
      </c>
      <c r="F713" t="inlineStr">
        <is>
          <t>racing</t>
        </is>
      </c>
      <c r="G713" t="inlineStr">
        <is>
          <t>switchcars</t>
        </is>
      </c>
      <c r="H713" t="inlineStr">
        <is>
          <t>Yes</t>
        </is>
      </c>
      <c r="I713" t="inlineStr">
        <is>
          <t>C:\Users\Owner\Documents\Roguelike Roguelike\Roguelikes\Switchcars.url</t>
        </is>
      </c>
      <c r="J713" s="1" t="inlineStr">
        <is>
          <t>https://store.steampowered.com/app/442210/Switchcars/</t>
        </is>
      </c>
    </row>
    <row r="714" ht="15" customHeight="1">
      <c r="A714" t="inlineStr">
        <is>
          <t>Sword of Fargoal</t>
        </is>
      </c>
      <c r="B714" t="n">
        <v>1982</v>
      </c>
      <c r="C714" t="inlineStr">
        <is>
          <t>Traditional</t>
        </is>
      </c>
      <c r="D714">
        <f>TRUE()</f>
        <v/>
      </c>
      <c r="E714">
        <f>COUNTIF(connections!A:A, A714) &gt; 0</f>
        <v/>
      </c>
      <c r="G714" t="inlineStr">
        <is>
          <t>sword-of-fargoal</t>
        </is>
      </c>
      <c r="J714" s="11" t="inlineStr">
        <is>
          <t>https://store.steampowered.com/app/2231080/Sword_of_Fargoal/</t>
        </is>
      </c>
    </row>
    <row r="715" ht="15" customHeight="1">
      <c r="A715" t="inlineStr">
        <is>
          <t>Sword of the Necromancer</t>
        </is>
      </c>
      <c r="B715" t="n">
        <v>2021</v>
      </c>
      <c r="C715" t="inlineStr">
        <is>
          <t>Action</t>
        </is>
      </c>
      <c r="D715">
        <f>TRUE()</f>
        <v/>
      </c>
      <c r="E715">
        <f>COUNTIF(connections!A:A, A715) &gt; 0</f>
        <v/>
      </c>
      <c r="G715" t="inlineStr">
        <is>
          <t>sword-of-the-necromancer</t>
        </is>
      </c>
      <c r="J715" s="11" t="inlineStr">
        <is>
          <t>https://store.steampowered.com/app/1243890/Sword_of_the_Necromancer/</t>
        </is>
      </c>
    </row>
    <row r="716" ht="15" customHeight="1">
      <c r="A716" t="inlineStr">
        <is>
          <t>Sword of the Necromancer: Resurrection</t>
        </is>
      </c>
      <c r="B716" t="n">
        <v>2025</v>
      </c>
      <c r="C716" t="inlineStr">
        <is>
          <t>Action</t>
        </is>
      </c>
      <c r="D716">
        <f>TRUE()</f>
        <v/>
      </c>
      <c r="E716">
        <f>COUNTIF(connections!A:A, A716) &gt; 0</f>
        <v/>
      </c>
      <c r="G716" t="inlineStr">
        <is>
          <t>sword-of-the-necromancer-resurrection</t>
        </is>
      </c>
      <c r="J716" s="11" t="inlineStr">
        <is>
          <t>https://store.steampowered.com/app/2782880/Sword_of_the_Necromancer_Resurrection/</t>
        </is>
      </c>
    </row>
    <row r="717" ht="15" customHeight="1">
      <c r="A717" t="inlineStr">
        <is>
          <t>Sword of the Stars: The Pit</t>
        </is>
      </c>
      <c r="B717" t="n">
        <v>2013</v>
      </c>
      <c r="C717" t="inlineStr">
        <is>
          <t>Traditional</t>
        </is>
      </c>
      <c r="D717">
        <f>TRUE()</f>
        <v/>
      </c>
      <c r="E717">
        <f>COUNTIF(connections!A:A, A717) &gt; 0</f>
        <v/>
      </c>
      <c r="G717" t="inlineStr">
        <is>
          <t>sword-of-the-stars-the-pit</t>
        </is>
      </c>
      <c r="J717" s="1" t="inlineStr">
        <is>
          <t>https://store.steampowered.com/app/233700/Sword_of_the_Stars_The_Pit/</t>
        </is>
      </c>
    </row>
    <row r="718" ht="15" customHeight="1">
      <c r="A718" t="inlineStr">
        <is>
          <t>Swordship</t>
        </is>
      </c>
      <c r="B718" t="n">
        <v>2022</v>
      </c>
      <c r="C718" t="inlineStr">
        <is>
          <t>Action</t>
        </is>
      </c>
      <c r="D718">
        <f>TRUE()</f>
        <v/>
      </c>
      <c r="E718">
        <f>COUNTIF(connections!A:A, A718) &gt; 0</f>
        <v/>
      </c>
      <c r="G718" t="inlineStr">
        <is>
          <t>swordship</t>
        </is>
      </c>
      <c r="H718" t="inlineStr">
        <is>
          <t>Yes</t>
        </is>
      </c>
      <c r="I718" t="inlineStr">
        <is>
          <t>C:\Users\Owner\Documents\Roguelike Roguelike\Roguelikes\Swordship.url</t>
        </is>
      </c>
      <c r="J718" s="1" t="inlineStr">
        <is>
          <t>https://store.steampowered.com/app/1804270/Swordship/</t>
        </is>
      </c>
    </row>
    <row r="719" ht="15" customHeight="1">
      <c r="A719" t="inlineStr">
        <is>
          <t>Sworn</t>
        </is>
      </c>
      <c r="B719" t="n">
        <v>2025</v>
      </c>
      <c r="C719" t="inlineStr">
        <is>
          <t>Action</t>
        </is>
      </c>
      <c r="D719">
        <f>TRUE()</f>
        <v/>
      </c>
      <c r="E719">
        <f>COUNTIF(connections!A:A, A719) &gt; 0</f>
        <v/>
      </c>
      <c r="G719" t="inlineStr">
        <is>
          <t>sworn</t>
        </is>
      </c>
      <c r="H719" t="inlineStr">
        <is>
          <t>Yes</t>
        </is>
      </c>
      <c r="I719" t="inlineStr">
        <is>
          <t>C:\Users\Owner\Documents\Roguelike Roguelike\Roguelikes\SWORN.url</t>
        </is>
      </c>
      <c r="J719" s="1" t="inlineStr">
        <is>
          <t>https://store.steampowered.com/app/1763250/SWORN/</t>
        </is>
      </c>
    </row>
    <row r="720" ht="15" customHeight="1">
      <c r="A720" t="inlineStr">
        <is>
          <t>Synthetik 2</t>
        </is>
      </c>
      <c r="B720" t="n">
        <v>2021</v>
      </c>
      <c r="C720" t="inlineStr">
        <is>
          <t>Action</t>
        </is>
      </c>
      <c r="D720">
        <f>TRUE()</f>
        <v/>
      </c>
      <c r="E720">
        <f>COUNTIF(connections!A:A, A720) &gt; 0</f>
        <v/>
      </c>
      <c r="G720" t="inlineStr">
        <is>
          <t>synthetik-2</t>
        </is>
      </c>
    </row>
    <row r="721" ht="15" customHeight="1">
      <c r="A721" t="inlineStr">
        <is>
          <t>Synthetik: Legion Rising</t>
        </is>
      </c>
      <c r="B721" t="n">
        <v>2018</v>
      </c>
      <c r="C721" t="inlineStr">
        <is>
          <t>Action</t>
        </is>
      </c>
      <c r="D721">
        <f>TRUE()</f>
        <v/>
      </c>
      <c r="E721">
        <f>COUNTIF(connections!A:A, A721) &gt; 0</f>
        <v/>
      </c>
      <c r="G721" t="inlineStr">
        <is>
          <t>synthetik-legion-rising</t>
        </is>
      </c>
      <c r="H721" t="inlineStr">
        <is>
          <t>Yes</t>
        </is>
      </c>
      <c r="I721" t="inlineStr">
        <is>
          <t>C:\Users\Owner\Documents\Roguelike Roguelike\Roguelikes\SYNTHETIK.url</t>
        </is>
      </c>
      <c r="J721" s="1" t="inlineStr">
        <is>
          <t>https://store.steampowered.com/app/528230/SYNTHETIK_Legion_Rising/</t>
        </is>
      </c>
    </row>
    <row r="722" ht="15" customHeight="1">
      <c r="A722" t="inlineStr">
        <is>
          <t>Tabletop Tavern</t>
        </is>
      </c>
      <c r="B722" t="n">
        <v>2026</v>
      </c>
      <c r="C722" t="inlineStr">
        <is>
          <t>Strategy</t>
        </is>
      </c>
      <c r="D722">
        <f>TRUE()</f>
        <v/>
      </c>
      <c r="E722">
        <f>COUNTIF(connections!A:A, A722) &gt; 0</f>
        <v/>
      </c>
      <c r="G722" t="inlineStr">
        <is>
          <t>tabletop-tavern</t>
        </is>
      </c>
      <c r="J722" s="1" t="inlineStr">
        <is>
          <t>https://store.steampowered.com/app/3337380/Tabletop_Tavern/</t>
        </is>
      </c>
    </row>
    <row r="723" ht="15" customHeight="1">
      <c r="A723" t="inlineStr">
        <is>
          <t>Tainted Grail: Conquest</t>
        </is>
      </c>
      <c r="B723" t="n">
        <v>2020</v>
      </c>
      <c r="C723" t="inlineStr">
        <is>
          <t>Deckbuilder</t>
        </is>
      </c>
      <c r="D723">
        <f>TRUE()</f>
        <v/>
      </c>
      <c r="E723">
        <f>COUNTIF(connections!A:A, A723) &gt; 0</f>
        <v/>
      </c>
      <c r="G723" t="inlineStr">
        <is>
          <t>tainted-grail-conquest</t>
        </is>
      </c>
      <c r="H723" t="inlineStr">
        <is>
          <t>Yes</t>
        </is>
      </c>
      <c r="I723" t="inlineStr">
        <is>
          <t>C:\Users\Owner\Documents\Roguelike Roguelike\Roguelikes\Tainted Grail.url</t>
        </is>
      </c>
      <c r="J723" s="1" t="inlineStr">
        <is>
          <t>https://store.steampowered.com/app/1199030/Tainted_Grail_Conquest/</t>
        </is>
      </c>
    </row>
    <row r="724" ht="15" customHeight="1">
      <c r="A724" t="inlineStr">
        <is>
          <t>Talented</t>
        </is>
      </c>
      <c r="B724" t="n">
        <v>2023</v>
      </c>
      <c r="C724" t="inlineStr">
        <is>
          <t>Action</t>
        </is>
      </c>
      <c r="D724">
        <f>TRUE()</f>
        <v/>
      </c>
      <c r="E724">
        <f>COUNTIF(connections!A:A, A724) &gt; 0</f>
        <v/>
      </c>
      <c r="G724" t="inlineStr">
        <is>
          <t>talented</t>
        </is>
      </c>
      <c r="H724" t="inlineStr">
        <is>
          <t>Yes</t>
        </is>
      </c>
      <c r="I724" t="inlineStr">
        <is>
          <t>C:\Users\Owner\Documents\Roguelike Roguelike\Roguelikes\Talented.url</t>
        </is>
      </c>
      <c r="J724" s="1" t="inlineStr">
        <is>
          <t>https://store.steampowered.com/app/2435090/Talented/</t>
        </is>
      </c>
    </row>
    <row r="725" ht="15" customHeight="1">
      <c r="A725" t="inlineStr">
        <is>
          <t>Tales of Maj'Eyal</t>
        </is>
      </c>
      <c r="B725" t="n">
        <v>1998</v>
      </c>
      <c r="C725" t="inlineStr">
        <is>
          <t>Traditional</t>
        </is>
      </c>
      <c r="D725">
        <f>TRUE()</f>
        <v/>
      </c>
      <c r="E725">
        <f>COUNTIF(connections!A:A, A725) &gt; 0</f>
        <v/>
      </c>
      <c r="G725" t="inlineStr">
        <is>
          <t>tales-of-majeyal</t>
        </is>
      </c>
      <c r="H725" t="inlineStr">
        <is>
          <t>Yes</t>
        </is>
      </c>
      <c r="I725" t="inlineStr">
        <is>
          <t>C:\Users\Owner\Documents\Roguelike Roguelike\Roguelikes\Tales of Maj'Eyal.url</t>
        </is>
      </c>
      <c r="J725" s="1" t="inlineStr">
        <is>
          <t>https://store.steampowered.com/app/259680/Tales_of_MajEyal/</t>
        </is>
      </c>
    </row>
    <row r="726" ht="15" customHeight="1">
      <c r="A726" t="inlineStr">
        <is>
          <t>Talespinner</t>
        </is>
      </c>
      <c r="B726" t="n">
        <v>2026</v>
      </c>
      <c r="C726" t="inlineStr">
        <is>
          <t>Deckbuilder</t>
        </is>
      </c>
      <c r="D726">
        <f>TRUE()</f>
        <v/>
      </c>
      <c r="E726">
        <f>COUNTIF(connections!A:A, A726) &gt; 0</f>
        <v/>
      </c>
      <c r="G726" t="inlineStr">
        <is>
          <t>talespinner</t>
        </is>
      </c>
      <c r="J726" s="11" t="inlineStr">
        <is>
          <t>https://store.steampowered.com/app/1725410/Talespinner/</t>
        </is>
      </c>
    </row>
    <row r="727" ht="15" customHeight="1">
      <c r="A727" t="inlineStr">
        <is>
          <t>Tangledeep</t>
        </is>
      </c>
      <c r="B727" t="n">
        <v>2017</v>
      </c>
      <c r="C727" t="inlineStr">
        <is>
          <t>Traditional</t>
        </is>
      </c>
      <c r="D727">
        <f>TRUE()</f>
        <v/>
      </c>
      <c r="E727">
        <f>COUNTIF(connections!A:A, A727) &gt; 0</f>
        <v/>
      </c>
      <c r="G727" t="inlineStr">
        <is>
          <t>tangledeep</t>
        </is>
      </c>
      <c r="H727" t="inlineStr">
        <is>
          <t>Yes</t>
        </is>
      </c>
      <c r="I727" t="inlineStr">
        <is>
          <t>C:\Users\Owner\Documents\Roguelike Roguelike\Roguelikes\Tangledeep.url</t>
        </is>
      </c>
      <c r="J727" s="1" t="inlineStr">
        <is>
          <t>https://store.steampowered.com/app/628770/Tangledeep/</t>
        </is>
      </c>
    </row>
    <row r="728" ht="15" customHeight="1">
      <c r="A728" t="inlineStr">
        <is>
          <t>Tangy TD</t>
        </is>
      </c>
      <c r="B728" t="n">
        <v>2026</v>
      </c>
      <c r="C728" t="inlineStr">
        <is>
          <t>Strategy</t>
        </is>
      </c>
      <c r="D728">
        <f>FALSE()</f>
        <v/>
      </c>
      <c r="E728">
        <f>COUNTIF(connections!A:A, A728) &gt; 0</f>
        <v/>
      </c>
      <c r="F728" t="inlineStr">
        <is>
          <t>tower defense, food</t>
        </is>
      </c>
      <c r="G728" t="inlineStr">
        <is>
          <t>tangy-td</t>
        </is>
      </c>
      <c r="H728" t="inlineStr">
        <is>
          <t>Yes</t>
        </is>
      </c>
      <c r="I728" t="inlineStr">
        <is>
          <t>C:\Users\Owner\Documents\Roguelike Roguelike\Roguelikes\Tangy TD.url</t>
        </is>
      </c>
      <c r="J728" s="1" t="inlineStr">
        <is>
          <t>https://store.steampowered.com/app/2245620/Tangy_TD/</t>
        </is>
      </c>
    </row>
    <row r="729" ht="15" customHeight="1">
      <c r="A729" t="inlineStr">
        <is>
          <t>Tao's Adventure: Curse of the Demon Seal</t>
        </is>
      </c>
      <c r="B729" t="n">
        <v>2006</v>
      </c>
      <c r="C729" t="inlineStr">
        <is>
          <t>Traditional</t>
        </is>
      </c>
      <c r="D729">
        <f>TRUE()</f>
        <v/>
      </c>
      <c r="E729">
        <f>COUNTIF(connections!A:A, A729) &gt; 0</f>
        <v/>
      </c>
      <c r="G729" t="inlineStr">
        <is>
          <t>taos-adventure-curse-of-the-demon-seal</t>
        </is>
      </c>
      <c r="H729" t="inlineStr">
        <is>
          <t>Yes</t>
        </is>
      </c>
      <c r="I729" t="inlineStr">
        <is>
          <t>C:\Users\Owner\Documents\Roguelike Roguelike\Roguelikes\Tao's Adventure Curse of the Demon Seal.lnk</t>
        </is>
      </c>
    </row>
    <row r="730" ht="14.25" customHeight="1">
      <c r="A730" t="inlineStr">
        <is>
          <t>Tape to Tape</t>
        </is>
      </c>
      <c r="B730" t="n">
        <v>2023</v>
      </c>
      <c r="C730" t="inlineStr">
        <is>
          <t>Action</t>
        </is>
      </c>
      <c r="D730">
        <f>TRUE()</f>
        <v/>
      </c>
      <c r="E730">
        <f>COUNTIF(connections!A:A, A730) &gt; 0</f>
        <v/>
      </c>
      <c r="F730" t="inlineStr">
        <is>
          <t>sports</t>
        </is>
      </c>
      <c r="G730" t="inlineStr">
        <is>
          <t>tape-to-tape</t>
        </is>
      </c>
      <c r="H730" t="inlineStr">
        <is>
          <t>Yes</t>
        </is>
      </c>
      <c r="I730" t="inlineStr">
        <is>
          <t>C:\Users\Owner\Documents\Roguelike Roguelike\Roguelikes\Tape to Tape.url</t>
        </is>
      </c>
      <c r="J730" s="1" t="inlineStr">
        <is>
          <t>https://store.steampowered.com/app/1566200/Tape_to_Tape/</t>
        </is>
      </c>
    </row>
    <row r="731" ht="15" customHeight="1">
      <c r="A731" t="inlineStr">
        <is>
          <t>Teamfight Tactics</t>
        </is>
      </c>
      <c r="B731" t="n">
        <v>2019</v>
      </c>
      <c r="C731" t="inlineStr">
        <is>
          <t>Strategy</t>
        </is>
      </c>
      <c r="D731">
        <f>TRUE()</f>
        <v/>
      </c>
      <c r="E731">
        <f>COUNTIF(connections!A:A, A731) &gt; 0</f>
        <v/>
      </c>
      <c r="G731" t="inlineStr">
        <is>
          <t>teamfight-tactics</t>
        </is>
      </c>
    </row>
    <row r="732">
      <c r="A732" t="inlineStr">
        <is>
          <t>Tears of Metal</t>
        </is>
      </c>
      <c r="B732" t="n">
        <v>2026</v>
      </c>
      <c r="C732" t="inlineStr">
        <is>
          <t>Action</t>
        </is>
      </c>
      <c r="D732" t="b">
        <v>1</v>
      </c>
      <c r="E732">
        <f>COUNTIF(connections!A:A, A732) &gt; 0</f>
        <v/>
      </c>
      <c r="G732" t="inlineStr">
        <is>
          <t>tears-of-metal</t>
        </is>
      </c>
      <c r="J732" s="11" t="inlineStr">
        <is>
          <t>https://store.steampowered.com/app/1913120/Tears_of_Metal/</t>
        </is>
      </c>
    </row>
    <row r="733">
      <c r="A733" t="inlineStr">
        <is>
          <t>Teenage Mutant Ninja Turtles: Splintered Fate</t>
        </is>
      </c>
      <c r="B733" t="n">
        <v>2024</v>
      </c>
      <c r="C733" t="inlineStr">
        <is>
          <t>Action</t>
        </is>
      </c>
      <c r="D733">
        <f>TRUE()</f>
        <v/>
      </c>
      <c r="E733">
        <f>COUNTIF(connections!A:A, A733) &gt; 0</f>
        <v/>
      </c>
      <c r="G733" t="inlineStr">
        <is>
          <t>teenage-mutant-ninja-turtles-splintered-fate</t>
        </is>
      </c>
      <c r="H733" t="inlineStr">
        <is>
          <t>Yes</t>
        </is>
      </c>
      <c r="I733" t="inlineStr">
        <is>
          <t>C:\Users\Owner\Documents\Roguelike Roguelike\Roguelikes\Teenage Mutant Ninja Turtles Splintered Fate.url</t>
        </is>
      </c>
      <c r="J733" s="1" t="inlineStr">
        <is>
          <t>https://store.steampowered.com/app/2996040/Teenage_Mutant_Ninja_Turtles_Splintered_Fate/</t>
        </is>
      </c>
    </row>
    <row r="734">
      <c r="A734" t="inlineStr">
        <is>
          <t>Temtem: Swarm</t>
        </is>
      </c>
      <c r="B734" t="n">
        <v>2024</v>
      </c>
      <c r="C734" t="inlineStr">
        <is>
          <t>Action</t>
        </is>
      </c>
      <c r="D734">
        <f>TRUE()</f>
        <v/>
      </c>
      <c r="E734">
        <f>COUNTIF(connections!A:A, A734) &gt; 0</f>
        <v/>
      </c>
      <c r="G734" t="inlineStr">
        <is>
          <t>temtem-swarm</t>
        </is>
      </c>
    </row>
    <row r="735">
      <c r="A735" t="inlineStr">
        <is>
          <t>Terraformers</t>
        </is>
      </c>
      <c r="B735" t="n">
        <v>2022</v>
      </c>
      <c r="C735" t="inlineStr">
        <is>
          <t>Strategy</t>
        </is>
      </c>
      <c r="D735">
        <f>TRUE()</f>
        <v/>
      </c>
      <c r="E735">
        <f>COUNTIF(connections!A:A, A735) &gt; 0</f>
        <v/>
      </c>
      <c r="G735" t="inlineStr">
        <is>
          <t>terraformers</t>
        </is>
      </c>
      <c r="H735" t="inlineStr">
        <is>
          <t>Yes</t>
        </is>
      </c>
      <c r="I735" t="inlineStr">
        <is>
          <t>C:\Users\Owner\Documents\Roguelike Roguelike\Roguelikes\Terraformers.url</t>
        </is>
      </c>
      <c r="J735" s="1" t="inlineStr">
        <is>
          <t>https://store.steampowered.com/app/1244800/Terraformers/</t>
        </is>
      </c>
    </row>
    <row r="736">
      <c r="A736" t="inlineStr">
        <is>
          <t>TerraTech Legion</t>
        </is>
      </c>
      <c r="B736" t="n">
        <v>2026</v>
      </c>
      <c r="C736" t="inlineStr">
        <is>
          <t>Action</t>
        </is>
      </c>
      <c r="D736">
        <f>TRUE()</f>
        <v/>
      </c>
      <c r="E736">
        <f>COUNTIF(connections!A:A, A736) &gt; 0</f>
        <v/>
      </c>
      <c r="G736" t="inlineStr">
        <is>
          <t>terratech-legion</t>
        </is>
      </c>
      <c r="J736" s="11" t="inlineStr">
        <is>
          <t>https://store.steampowered.com/app/3596700/TerraTech_Legion/</t>
        </is>
      </c>
    </row>
    <row r="737">
      <c r="A737" t="inlineStr">
        <is>
          <t>TerRoguelike</t>
        </is>
      </c>
      <c r="B737" t="n">
        <v>2024</v>
      </c>
      <c r="C737" t="inlineStr">
        <is>
          <t>Action</t>
        </is>
      </c>
      <c r="D737">
        <f>TRUE()</f>
        <v/>
      </c>
      <c r="E737">
        <f>COUNTIF(connections!A:A, A737) &gt; 0</f>
        <v/>
      </c>
      <c r="G737" t="inlineStr">
        <is>
          <t>terroguelike</t>
        </is>
      </c>
    </row>
    <row r="738">
      <c r="A738" t="inlineStr">
        <is>
          <t>The Bazaar</t>
        </is>
      </c>
      <c r="B738" t="n">
        <v>2025</v>
      </c>
      <c r="C738" t="inlineStr">
        <is>
          <t>Strategy</t>
        </is>
      </c>
      <c r="D738">
        <f>TRUE()</f>
        <v/>
      </c>
      <c r="E738">
        <f>COUNTIF(connections!A:A, A738) &gt; 0</f>
        <v/>
      </c>
      <c r="G738" t="inlineStr">
        <is>
          <t>the-bazaar</t>
        </is>
      </c>
    </row>
    <row r="739">
      <c r="A739" t="inlineStr">
        <is>
          <t>The Binding of Isaac</t>
        </is>
      </c>
      <c r="B739" t="n">
        <v>2011</v>
      </c>
      <c r="C739" t="inlineStr">
        <is>
          <t>Action</t>
        </is>
      </c>
      <c r="D739">
        <f>TRUE()</f>
        <v/>
      </c>
      <c r="E739">
        <f>COUNTIF(connections!A:A, A739) &gt; 0</f>
        <v/>
      </c>
      <c r="G739" t="inlineStr">
        <is>
          <t>the-binding-of-isaac</t>
        </is>
      </c>
      <c r="H739" t="inlineStr">
        <is>
          <t>Yes</t>
        </is>
      </c>
      <c r="I739" t="inlineStr">
        <is>
          <t>C:\Users\Owner\Documents\Roguelike Roguelike\Roguelikes\The Binding of Isaac.url</t>
        </is>
      </c>
      <c r="J739" s="1" t="inlineStr">
        <is>
          <t>https://store.steampowered.com/app/113200/The_Binding_of_Isaac/</t>
        </is>
      </c>
    </row>
    <row r="740">
      <c r="A740" t="inlineStr">
        <is>
          <t>The Binding of Isaac: Rebirth</t>
        </is>
      </c>
      <c r="B740" t="n">
        <v>2014</v>
      </c>
      <c r="C740" t="inlineStr">
        <is>
          <t>Action</t>
        </is>
      </c>
      <c r="D740">
        <f>TRUE()</f>
        <v/>
      </c>
      <c r="E740">
        <f>COUNTIF(connections!A:A, A740) &gt; 0</f>
        <v/>
      </c>
      <c r="G740" t="inlineStr">
        <is>
          <t>the-binding-of-isaac-rebirth</t>
        </is>
      </c>
      <c r="H740" t="inlineStr">
        <is>
          <t>Yes</t>
        </is>
      </c>
      <c r="I740" t="inlineStr">
        <is>
          <t>C:\Users\Owner\Documents\Roguelike Roguelike\Roguelikes\The Binding of Isaac Rebirth.url</t>
        </is>
      </c>
      <c r="J740" s="1" t="inlineStr">
        <is>
          <t>https://store.steampowered.com/app/250900/The_Binding_of_Isaac_Rebirth/</t>
        </is>
      </c>
    </row>
    <row r="741">
      <c r="A741" t="inlineStr">
        <is>
          <t>The Doors of Trithius</t>
        </is>
      </c>
      <c r="B741" t="n">
        <v>2021</v>
      </c>
      <c r="C741" t="inlineStr">
        <is>
          <t>Traditional</t>
        </is>
      </c>
      <c r="D741">
        <f>TRUE()</f>
        <v/>
      </c>
      <c r="E741">
        <f>COUNTIF(connections!A:A, A741) &gt; 0</f>
        <v/>
      </c>
      <c r="G741" t="inlineStr">
        <is>
          <t>the-doors-of-trithius</t>
        </is>
      </c>
    </row>
    <row r="742">
      <c r="A742" t="inlineStr">
        <is>
          <t>The Dungeon RPG</t>
        </is>
      </c>
      <c r="B742" t="n">
        <v>2000</v>
      </c>
      <c r="C742" t="inlineStr">
        <is>
          <t>Traditional</t>
        </is>
      </c>
      <c r="D742">
        <f>TRUE()</f>
        <v/>
      </c>
      <c r="E742">
        <f>COUNTIF(connections!A:A, A742) &gt; 0</f>
        <v/>
      </c>
      <c r="G742" t="inlineStr">
        <is>
          <t>the-dungeon-rpg</t>
        </is>
      </c>
      <c r="H742" t="inlineStr">
        <is>
          <t>Yes</t>
        </is>
      </c>
      <c r="I742" t="inlineStr">
        <is>
          <t>C:\Users\Owner\Documents\Roguelike Roguelike\Roguelikes\The Dungeon RPG.lnk</t>
        </is>
      </c>
    </row>
    <row r="743">
      <c r="A743" t="inlineStr">
        <is>
          <t>The Fable: Manga Build Roguelike</t>
        </is>
      </c>
      <c r="B743" t="n">
        <v>2025</v>
      </c>
      <c r="C743" t="inlineStr">
        <is>
          <t>Deckbuilder</t>
        </is>
      </c>
      <c r="D743">
        <f>FALSE()</f>
        <v/>
      </c>
      <c r="E743">
        <f>COUNTIF(connections!A:A, A743) &gt; 0</f>
        <v/>
      </c>
      <c r="F743" t="inlineStr">
        <is>
          <t>anime</t>
        </is>
      </c>
      <c r="G743" t="inlineStr">
        <is>
          <t>the-fable-manga-build-roguelike</t>
        </is>
      </c>
    </row>
    <row r="744">
      <c r="A744" t="inlineStr">
        <is>
          <t>The Flame in the Flood</t>
        </is>
      </c>
      <c r="B744" t="n">
        <v>2016</v>
      </c>
      <c r="C744" t="inlineStr">
        <is>
          <t>Action</t>
        </is>
      </c>
      <c r="D744">
        <f>TRUE()</f>
        <v/>
      </c>
      <c r="E744">
        <f>COUNTIF(connections!A:A, A744) &gt; 0</f>
        <v/>
      </c>
      <c r="G744" t="inlineStr">
        <is>
          <t>the-flame-in-the-flood</t>
        </is>
      </c>
      <c r="H744" t="inlineStr">
        <is>
          <t>Yes</t>
        </is>
      </c>
      <c r="I744" t="inlineStr">
        <is>
          <t>C:\Users\Owner\Documents\Roguelike Roguelike\Roguelikes\The Flame in the Flood.url</t>
        </is>
      </c>
      <c r="J744" s="1" t="inlineStr">
        <is>
          <t>https://store.steampowered.com/app/318600/The_Flame_in_the_Flood/</t>
        </is>
      </c>
    </row>
    <row r="745">
      <c r="A745" t="inlineStr">
        <is>
          <t>The Ground Gives Way</t>
        </is>
      </c>
      <c r="B745" t="n">
        <v>2014</v>
      </c>
      <c r="C745" t="inlineStr">
        <is>
          <t>Traditional</t>
        </is>
      </c>
      <c r="D745">
        <f>TRUE()</f>
        <v/>
      </c>
      <c r="E745">
        <f>COUNTIF(connections!A:A, A745) &gt; 0</f>
        <v/>
      </c>
      <c r="G745" t="inlineStr">
        <is>
          <t>the-ground-gives-way</t>
        </is>
      </c>
      <c r="H745" t="inlineStr">
        <is>
          <t>Yes</t>
        </is>
      </c>
      <c r="I745" t="inlineStr">
        <is>
          <t>C:\Users\Owner\Documents\Roguelike Roguelike\Roguelikes\The Ground Gives Way.lnk</t>
        </is>
      </c>
    </row>
    <row r="746">
      <c r="A746" t="inlineStr">
        <is>
          <t>The Guided Fate Paradox</t>
        </is>
      </c>
      <c r="B746" t="n">
        <v>2013</v>
      </c>
      <c r="C746" t="inlineStr">
        <is>
          <t>Traditional</t>
        </is>
      </c>
      <c r="D746">
        <f>TRUE()</f>
        <v/>
      </c>
      <c r="E746">
        <f>COUNTIF(connections!A:A, A746) &gt; 0</f>
        <v/>
      </c>
      <c r="G746" t="inlineStr">
        <is>
          <t>the-guided-fate-paradox</t>
        </is>
      </c>
    </row>
    <row r="747">
      <c r="A747" t="inlineStr">
        <is>
          <t>The King is Watching</t>
        </is>
      </c>
      <c r="B747" t="n">
        <v>2025</v>
      </c>
      <c r="C747" t="inlineStr">
        <is>
          <t>Strategy</t>
        </is>
      </c>
      <c r="D747">
        <f>FALSE()</f>
        <v/>
      </c>
      <c r="E747">
        <f>COUNTIF(connections!A:A, A747) &gt; 0</f>
        <v/>
      </c>
      <c r="G747" t="inlineStr">
        <is>
          <t>the-king-is-watching</t>
        </is>
      </c>
      <c r="H747" t="inlineStr">
        <is>
          <t>Yes</t>
        </is>
      </c>
      <c r="I747" t="inlineStr">
        <is>
          <t>C:\Users\Owner\Documents\Roguelike Roguelike\Roguelikes\The King is Watching.url</t>
        </is>
      </c>
      <c r="J747" s="1" t="inlineStr">
        <is>
          <t>https://store.steampowered.com/app/2753900/The_King_is_Watching/</t>
        </is>
      </c>
    </row>
    <row r="748">
      <c r="A748" t="inlineStr">
        <is>
          <t>The Last Flame</t>
        </is>
      </c>
      <c r="B748" t="n">
        <v>2024</v>
      </c>
      <c r="C748" t="inlineStr">
        <is>
          <t>Strategy</t>
        </is>
      </c>
      <c r="D748">
        <f>TRUE()</f>
        <v/>
      </c>
      <c r="E748">
        <f>COUNTIF(connections!A:A, A748) &gt; 0</f>
        <v/>
      </c>
      <c r="G748" t="inlineStr">
        <is>
          <t>the-last-flame</t>
        </is>
      </c>
    </row>
    <row r="749">
      <c r="A749" t="inlineStr">
        <is>
          <t>The Last Game</t>
        </is>
      </c>
      <c r="B749" t="n">
        <v>2023</v>
      </c>
      <c r="C749" t="inlineStr">
        <is>
          <t>Action</t>
        </is>
      </c>
      <c r="D749">
        <f>TRUE()</f>
        <v/>
      </c>
      <c r="E749">
        <f>COUNTIF(connections!A:A, A749) &gt; 0</f>
        <v/>
      </c>
      <c r="G749" t="inlineStr">
        <is>
          <t>the-last-game</t>
        </is>
      </c>
      <c r="J749" s="11" t="inlineStr">
        <is>
          <t>https://store.steampowered.com/app/2563800/The_Last_Game/</t>
        </is>
      </c>
    </row>
    <row r="750">
      <c r="A750" t="inlineStr">
        <is>
          <t>The Last Spell</t>
        </is>
      </c>
      <c r="B750" t="n">
        <v>2021</v>
      </c>
      <c r="C750" t="inlineStr">
        <is>
          <t>Strategy</t>
        </is>
      </c>
      <c r="D750">
        <f>TRUE()</f>
        <v/>
      </c>
      <c r="E750">
        <f>COUNTIF(connections!A:A, A750) &gt; 0</f>
        <v/>
      </c>
      <c r="G750" t="inlineStr">
        <is>
          <t>the-last-spell</t>
        </is>
      </c>
      <c r="H750" t="inlineStr">
        <is>
          <t>Yes</t>
        </is>
      </c>
      <c r="I750" t="inlineStr">
        <is>
          <t>C:\Users\Owner\Documents\Roguelike Roguelike\Roguelikes\The Last Spell.url</t>
        </is>
      </c>
      <c r="J750" s="1" t="inlineStr">
        <is>
          <t>https://store.steampowered.com/app/1105670/The_Last_Spell/</t>
        </is>
      </c>
    </row>
    <row r="751">
      <c r="A751" t="inlineStr">
        <is>
          <t>The Legend of Bum-Bo</t>
        </is>
      </c>
      <c r="B751" t="n">
        <v>2019</v>
      </c>
      <c r="C751" t="inlineStr">
        <is>
          <t>Strategy</t>
        </is>
      </c>
      <c r="D751">
        <f>TRUE()</f>
        <v/>
      </c>
      <c r="E751">
        <f>COUNTIF(connections!A:A, A751) &gt; 0</f>
        <v/>
      </c>
      <c r="G751" t="inlineStr">
        <is>
          <t>the-legend-of-bum-bo</t>
        </is>
      </c>
      <c r="H751" t="inlineStr">
        <is>
          <t>Yes</t>
        </is>
      </c>
      <c r="I751" t="inlineStr">
        <is>
          <t>C:\Users\Owner\Documents\Roguelike Roguelike\Roguelikes\The Legend of Bum-Bo.url</t>
        </is>
      </c>
      <c r="J751" s="1" t="inlineStr">
        <is>
          <t>https://store.steampowered.com/app/1148650/The_Legend_of_BumBo/</t>
        </is>
      </c>
    </row>
    <row r="752">
      <c r="A752" t="inlineStr">
        <is>
          <t>The Nightmare of Druaga</t>
        </is>
      </c>
      <c r="B752" t="n">
        <v>2004</v>
      </c>
      <c r="C752" t="inlineStr">
        <is>
          <t>Traditional</t>
        </is>
      </c>
      <c r="D752">
        <f>TRUE()</f>
        <v/>
      </c>
      <c r="E752">
        <f>COUNTIF(connections!A:A, A752) &gt; 0</f>
        <v/>
      </c>
      <c r="G752" t="inlineStr">
        <is>
          <t>the-nightmare-of-druaga</t>
        </is>
      </c>
      <c r="H752" t="inlineStr">
        <is>
          <t>Yes</t>
        </is>
      </c>
      <c r="I752" t="inlineStr">
        <is>
          <t>C:\Users\Owner\Documents\Roguelike Roguelike\Roguelikes\The Nightmare of Druaga.lnk</t>
        </is>
      </c>
    </row>
    <row r="753">
      <c r="A753" t="inlineStr">
        <is>
          <t>The Ouroboros King</t>
        </is>
      </c>
      <c r="B753" t="n">
        <v>2023</v>
      </c>
      <c r="C753" t="inlineStr">
        <is>
          <t>Strategy</t>
        </is>
      </c>
      <c r="D753">
        <f>TRUE()</f>
        <v/>
      </c>
      <c r="E753">
        <f>COUNTIF(connections!A:A, A753) &gt; 0</f>
        <v/>
      </c>
      <c r="F753" t="inlineStr">
        <is>
          <t>chess</t>
        </is>
      </c>
      <c r="G753" t="inlineStr">
        <is>
          <t>the-ouroboros-king</t>
        </is>
      </c>
      <c r="H753" t="inlineStr">
        <is>
          <t>Yes</t>
        </is>
      </c>
      <c r="I753" t="inlineStr">
        <is>
          <t>C:\Users\Owner\Documents\Roguelike Roguelike\Roguelikes\The Ouroboros King.url</t>
        </is>
      </c>
      <c r="J753" s="1" t="inlineStr">
        <is>
          <t>https://store.steampowered.com/app/2096510/The_Ouroboros_King/</t>
        </is>
      </c>
    </row>
    <row r="754">
      <c r="A754" t="inlineStr">
        <is>
          <t>The Rogue Prince of Persia</t>
        </is>
      </c>
      <c r="B754" t="n">
        <v>2024</v>
      </c>
      <c r="C754" t="inlineStr">
        <is>
          <t>Action</t>
        </is>
      </c>
      <c r="D754">
        <f>TRUE()</f>
        <v/>
      </c>
      <c r="E754">
        <f>COUNTIF(connections!A:A, A754) &gt; 0</f>
        <v/>
      </c>
      <c r="G754" t="inlineStr">
        <is>
          <t>the-rogue-prince-of-persia</t>
        </is>
      </c>
      <c r="H754" t="inlineStr">
        <is>
          <t>Yes</t>
        </is>
      </c>
      <c r="I754" t="inlineStr">
        <is>
          <t>C:\Users\Owner\Documents\Roguelike Roguelike\Roguelikes\The Rogue Prince of Persia.url</t>
        </is>
      </c>
      <c r="J754" s="1" t="inlineStr">
        <is>
          <t>https://store.steampowered.com/app/2717880/The_Rogue_Prince_of_Persia/</t>
        </is>
      </c>
    </row>
    <row r="755">
      <c r="A755" t="inlineStr">
        <is>
          <t>The Royal Writ</t>
        </is>
      </c>
      <c r="B755" t="n">
        <v>2025</v>
      </c>
      <c r="C755" t="inlineStr">
        <is>
          <t>Deckbuilder</t>
        </is>
      </c>
      <c r="D755">
        <f>TRUE()</f>
        <v/>
      </c>
      <c r="E755">
        <f>COUNTIF(connections!A:A, A755) &gt; 0</f>
        <v/>
      </c>
      <c r="G755" t="inlineStr">
        <is>
          <t>the-royal-writ</t>
        </is>
      </c>
    </row>
    <row r="756">
      <c r="A756" t="inlineStr">
        <is>
          <t>The Spell Brigade</t>
        </is>
      </c>
      <c r="B756" t="n">
        <v>2024</v>
      </c>
      <c r="C756" t="inlineStr">
        <is>
          <t>Action</t>
        </is>
      </c>
      <c r="D756">
        <f>TRUE()</f>
        <v/>
      </c>
      <c r="E756">
        <f>COUNTIF(connections!A:A, A756) &gt; 0</f>
        <v/>
      </c>
      <c r="G756" t="inlineStr">
        <is>
          <t>the-spell-brigade</t>
        </is>
      </c>
    </row>
    <row r="757">
      <c r="A757" t="inlineStr">
        <is>
          <t>The Spirit Lift</t>
        </is>
      </c>
      <c r="B757" t="n">
        <v>2026</v>
      </c>
      <c r="C757" t="inlineStr">
        <is>
          <t>Deckbuilder</t>
        </is>
      </c>
      <c r="D757">
        <f>TRUE()</f>
        <v/>
      </c>
      <c r="E757">
        <f>COUNTIF(connections!A:A, A757) &gt; 0</f>
        <v/>
      </c>
      <c r="F757" t="inlineStr">
        <is>
          <t>horror</t>
        </is>
      </c>
      <c r="G757" t="inlineStr">
        <is>
          <t>the-spirit-lift</t>
        </is>
      </c>
      <c r="H757" t="inlineStr">
        <is>
          <t>Yes</t>
        </is>
      </c>
      <c r="I757" t="inlineStr">
        <is>
          <t>C:\Users\Owner\Documents\Roguelike Roguelike\Roguelikes\THE SPIRIT LIFT.url</t>
        </is>
      </c>
      <c r="J757" s="1" t="inlineStr">
        <is>
          <t>https://store.steampowered.com/app/1727590/THE_SPIRIT_LIFT/</t>
        </is>
      </c>
    </row>
    <row r="758">
      <c r="A758" t="inlineStr">
        <is>
          <t>The Unliving</t>
        </is>
      </c>
      <c r="B758" t="n">
        <v>2022</v>
      </c>
      <c r="C758" t="inlineStr">
        <is>
          <t>Action</t>
        </is>
      </c>
      <c r="D758">
        <f>TRUE()</f>
        <v/>
      </c>
      <c r="E758">
        <f>COUNTIF(connections!A:A, A758) &gt; 0</f>
        <v/>
      </c>
      <c r="G758" t="inlineStr">
        <is>
          <t>the-unliving</t>
        </is>
      </c>
      <c r="H758" t="inlineStr">
        <is>
          <t>Yes</t>
        </is>
      </c>
      <c r="I758" t="inlineStr">
        <is>
          <t>C:\Users\Owner\Documents\Roguelike Roguelike\Roguelikes\The Unliving.url</t>
        </is>
      </c>
      <c r="J758" s="1" t="inlineStr">
        <is>
          <t>https://store.steampowered.com/app/986040/The_Unliving/</t>
        </is>
      </c>
    </row>
    <row r="759">
      <c r="A759" t="inlineStr">
        <is>
          <t>The Void Rains Upon Her Heart</t>
        </is>
      </c>
      <c r="B759" t="n">
        <v>2018</v>
      </c>
      <c r="C759" t="inlineStr">
        <is>
          <t>Action</t>
        </is>
      </c>
      <c r="D759">
        <f>TRUE()</f>
        <v/>
      </c>
      <c r="E759">
        <f>COUNTIF(connections!A:A, A759) &gt; 0</f>
        <v/>
      </c>
      <c r="G759" t="inlineStr">
        <is>
          <t>the-void-rains-upon-her-heart</t>
        </is>
      </c>
    </row>
    <row r="760">
      <c r="A760" t="inlineStr">
        <is>
          <t>The World is Your Weapon</t>
        </is>
      </c>
      <c r="B760" t="n">
        <v>2014</v>
      </c>
      <c r="C760" t="inlineStr">
        <is>
          <t>Traditional</t>
        </is>
      </c>
      <c r="D760">
        <f>TRUE()</f>
        <v/>
      </c>
      <c r="E760">
        <f>COUNTIF(connections!A:A, A760) &gt; 0</f>
        <v/>
      </c>
      <c r="G760" t="inlineStr">
        <is>
          <t>the-world-is-your-weapon</t>
        </is>
      </c>
      <c r="J760" s="11" t="inlineStr">
        <is>
          <t>https://store.steampowered.com/app/1056490/The_World_is_Your_Weapon/</t>
        </is>
      </c>
    </row>
    <row r="761">
      <c r="A761" t="inlineStr">
        <is>
          <t>There Are No Orcs</t>
        </is>
      </c>
      <c r="B761" t="n">
        <v>2025</v>
      </c>
      <c r="C761" t="inlineStr">
        <is>
          <t>Strategy</t>
        </is>
      </c>
      <c r="D761">
        <f>FALSE()</f>
        <v/>
      </c>
      <c r="E761">
        <f>COUNTIF(connections!A:A, A761) &gt; 0</f>
        <v/>
      </c>
      <c r="F761" t="inlineStr">
        <is>
          <t>tower defense</t>
        </is>
      </c>
      <c r="G761" t="inlineStr">
        <is>
          <t>there-are-no-orcs</t>
        </is>
      </c>
    </row>
    <row r="762">
      <c r="A762" t="inlineStr">
        <is>
          <t>Tic Tactic</t>
        </is>
      </c>
      <c r="B762" t="n">
        <v>2025</v>
      </c>
      <c r="C762" t="inlineStr">
        <is>
          <t>Deckbuilder</t>
        </is>
      </c>
      <c r="D762">
        <f>TRUE()</f>
        <v/>
      </c>
      <c r="E762">
        <f>COUNTIF(connections!A:A, A762) &gt; 0</f>
        <v/>
      </c>
      <c r="G762" t="inlineStr">
        <is>
          <t>tic-tactic</t>
        </is>
      </c>
    </row>
    <row r="763">
      <c r="A763" t="inlineStr">
        <is>
          <t>Time Survivors</t>
        </is>
      </c>
      <c r="B763" t="n">
        <v>2023</v>
      </c>
      <c r="C763" t="inlineStr">
        <is>
          <t>Action</t>
        </is>
      </c>
      <c r="D763">
        <f>TRUE()</f>
        <v/>
      </c>
      <c r="E763">
        <f>COUNTIF(connections!A:A, A763) &gt; 0</f>
        <v/>
      </c>
      <c r="G763" t="inlineStr">
        <is>
          <t>time-survivors</t>
        </is>
      </c>
      <c r="J763" s="11" t="inlineStr">
        <is>
          <t>https://store.steampowered.com/app/2211390/Time_Survivors/</t>
        </is>
      </c>
    </row>
    <row r="764">
      <c r="A764" t="inlineStr">
        <is>
          <t>Time Wasters</t>
        </is>
      </c>
      <c r="B764" t="n">
        <v>2023</v>
      </c>
      <c r="C764" t="inlineStr">
        <is>
          <t>Action</t>
        </is>
      </c>
      <c r="D764">
        <f>TRUE()</f>
        <v/>
      </c>
      <c r="E764">
        <f>COUNTIF(connections!A:A, A764) &gt; 0</f>
        <v/>
      </c>
      <c r="G764" t="inlineStr">
        <is>
          <t>time-wasters</t>
        </is>
      </c>
      <c r="H764" t="inlineStr">
        <is>
          <t>Yes</t>
        </is>
      </c>
      <c r="I764" t="inlineStr">
        <is>
          <t>C:\Users\Owner\Documents\Roguelike Roguelike\Roguelikes\Time Wasters.url</t>
        </is>
      </c>
      <c r="J764" s="1" t="inlineStr">
        <is>
          <t>https://store.steampowered.com/app/1290330/Time_Wasters/</t>
        </is>
      </c>
    </row>
    <row r="765">
      <c r="A765" t="inlineStr">
        <is>
          <t>Tiny Auto Knights</t>
        </is>
      </c>
      <c r="B765" t="n">
        <v>2025</v>
      </c>
      <c r="C765" t="inlineStr">
        <is>
          <t>Deckbuilder</t>
        </is>
      </c>
      <c r="D765">
        <f>TRUE()</f>
        <v/>
      </c>
      <c r="E765">
        <f>COUNTIF(connections!A:A, A765) &gt; 0</f>
        <v/>
      </c>
      <c r="F765" t="inlineStr">
        <is>
          <t>knights</t>
        </is>
      </c>
      <c r="G765" t="inlineStr">
        <is>
          <t>tiny-auto-knights</t>
        </is>
      </c>
      <c r="J765" s="11" t="inlineStr">
        <is>
          <t>https://store.steampowered.com/app/3405540/Tiny_Auto_Knights</t>
        </is>
      </c>
    </row>
    <row r="766">
      <c r="A766" t="inlineStr">
        <is>
          <t>Tiny Rogues</t>
        </is>
      </c>
      <c r="B766" t="n">
        <v>2022</v>
      </c>
      <c r="C766" t="inlineStr">
        <is>
          <t>Action</t>
        </is>
      </c>
      <c r="D766">
        <f>TRUE()</f>
        <v/>
      </c>
      <c r="E766">
        <f>COUNTIF(connections!A:A, A766) &gt; 0</f>
        <v/>
      </c>
      <c r="G766" t="inlineStr">
        <is>
          <t>tiny-rogues</t>
        </is>
      </c>
      <c r="H766" t="inlineStr">
        <is>
          <t>Yes</t>
        </is>
      </c>
      <c r="I766" t="inlineStr">
        <is>
          <t>C:\Users\Owner\Documents\Roguelike Roguelike\Roguelikes\Tiny Rogues.url</t>
        </is>
      </c>
      <c r="J766" s="1" t="inlineStr">
        <is>
          <t>https://store.steampowered.com/app/2088570/Tiny_Rogues/</t>
        </is>
      </c>
    </row>
    <row r="767">
      <c r="A767" t="inlineStr">
        <is>
          <t>Tinyfolks</t>
        </is>
      </c>
      <c r="B767" t="n">
        <v>2022</v>
      </c>
      <c r="C767" t="inlineStr">
        <is>
          <t>Strategy</t>
        </is>
      </c>
      <c r="D767">
        <f>TRUE()</f>
        <v/>
      </c>
      <c r="E767">
        <f>COUNTIF(connections!A:A, A767) &gt; 0</f>
        <v/>
      </c>
      <c r="G767" t="inlineStr">
        <is>
          <t>tinyfolks</t>
        </is>
      </c>
      <c r="H767" t="inlineStr">
        <is>
          <t>Yes</t>
        </is>
      </c>
      <c r="I767" t="inlineStr">
        <is>
          <t>C:\Users\Owner\Documents\Roguelike Roguelike\Roguelikes\Tinyfolks.url</t>
        </is>
      </c>
      <c r="J767" s="1" t="inlineStr">
        <is>
          <t>https://store.steampowered.com/app/1909420/Tinyfolks/</t>
        </is>
      </c>
    </row>
    <row r="768">
      <c r="A768" t="inlineStr">
        <is>
          <t>ToeJam &amp; Earl</t>
        </is>
      </c>
      <c r="B768" t="n">
        <v>1991</v>
      </c>
      <c r="C768" t="inlineStr">
        <is>
          <t>Action</t>
        </is>
      </c>
      <c r="D768">
        <f>TRUE()</f>
        <v/>
      </c>
      <c r="E768">
        <f>COUNTIF(connections!A:A, A768) &gt; 0</f>
        <v/>
      </c>
      <c r="G768" t="inlineStr">
        <is>
          <t>toejam-earl</t>
        </is>
      </c>
      <c r="H768" t="inlineStr">
        <is>
          <t>Yes</t>
        </is>
      </c>
      <c r="I768" t="inlineStr">
        <is>
          <t>C:\Users\Owner\Documents\Roguelike Roguelike\Roguelikes\ToeJam &amp; Earl.lnk</t>
        </is>
      </c>
    </row>
    <row r="769">
      <c r="A769" t="inlineStr">
        <is>
          <t>ToeJam &amp; Earl: Back in the Groove!</t>
        </is>
      </c>
      <c r="B769" t="n">
        <v>2019</v>
      </c>
      <c r="C769" t="inlineStr">
        <is>
          <t>Action</t>
        </is>
      </c>
      <c r="D769">
        <f>TRUE()</f>
        <v/>
      </c>
      <c r="E769">
        <f>COUNTIF(connections!A:A, A769) &gt; 0</f>
        <v/>
      </c>
      <c r="G769" t="inlineStr">
        <is>
          <t>toejam-earl-back-in-the-groove</t>
        </is>
      </c>
    </row>
    <row r="770">
      <c r="A770" t="inlineStr">
        <is>
          <t>TombStar</t>
        </is>
      </c>
      <c r="B770" t="n">
        <v>2022</v>
      </c>
      <c r="C770" t="inlineStr">
        <is>
          <t>Action</t>
        </is>
      </c>
      <c r="D770">
        <f>TRUE()</f>
        <v/>
      </c>
      <c r="E770">
        <f>COUNTIF(connections!A:A, A770) &gt; 0</f>
        <v/>
      </c>
      <c r="G770" t="inlineStr">
        <is>
          <t>tombstar</t>
        </is>
      </c>
      <c r="H770" t="inlineStr">
        <is>
          <t>Yes</t>
        </is>
      </c>
      <c r="I770" t="inlineStr">
        <is>
          <t>C:\Users\Owner\Documents\Roguelike Roguelike\Roguelikes\TombStar.url</t>
        </is>
      </c>
      <c r="J770" s="1" t="inlineStr">
        <is>
          <t>https://store.steampowered.com/app/1165470/TombStar/</t>
        </is>
      </c>
    </row>
    <row r="771">
      <c r="A771" t="inlineStr">
        <is>
          <t>Torneko: The Last Hope</t>
        </is>
      </c>
      <c r="B771" t="n">
        <v>1999</v>
      </c>
      <c r="C771" t="inlineStr">
        <is>
          <t>Traditional</t>
        </is>
      </c>
      <c r="D771">
        <f>TRUE()</f>
        <v/>
      </c>
      <c r="E771">
        <f>COUNTIF(connections!A:A, A771) &gt; 0</f>
        <v/>
      </c>
      <c r="G771" t="inlineStr">
        <is>
          <t>torneko-the-last-hope</t>
        </is>
      </c>
      <c r="H771" t="inlineStr">
        <is>
          <t>Yes</t>
        </is>
      </c>
      <c r="I771" t="inlineStr">
        <is>
          <t>C:\Users\Owner\Documents\Roguelike Roguelike\Roguelikes\Torneko - The Last Hope.lnk</t>
        </is>
      </c>
    </row>
    <row r="772">
      <c r="A772" t="inlineStr">
        <is>
          <t>Torneko's Great Adventure 3</t>
        </is>
      </c>
      <c r="B772" t="n">
        <v>2002</v>
      </c>
      <c r="C772" t="inlineStr">
        <is>
          <t>Traditional</t>
        </is>
      </c>
      <c r="D772">
        <f>TRUE()</f>
        <v/>
      </c>
      <c r="E772">
        <f>COUNTIF(connections!A:A, A772) &gt; 0</f>
        <v/>
      </c>
      <c r="G772" t="inlineStr">
        <is>
          <t>tornekos-great-adventure-3</t>
        </is>
      </c>
      <c r="H772" t="inlineStr">
        <is>
          <t>Yes</t>
        </is>
      </c>
      <c r="I772" t="inlineStr">
        <is>
          <t>C:\Users\Owner\Documents\Roguelike Roguelike\Roguelikes\Torneko's Great Adventure 3.lnk</t>
        </is>
      </c>
    </row>
    <row r="773">
      <c r="A773" t="inlineStr">
        <is>
          <t>Torneko's Great Adventure: Mystery Dungeon</t>
        </is>
      </c>
      <c r="B773" t="n">
        <v>1993</v>
      </c>
      <c r="C773" t="inlineStr">
        <is>
          <t>Traditional</t>
        </is>
      </c>
      <c r="D773">
        <f>TRUE()</f>
        <v/>
      </c>
      <c r="E773">
        <f>COUNTIF(connections!A:A, A773) &gt; 0</f>
        <v/>
      </c>
      <c r="G773" t="inlineStr">
        <is>
          <t>tornekos-great-adventure-mystery-dungeon</t>
        </is>
      </c>
      <c r="H773" t="inlineStr">
        <is>
          <t>Yes</t>
        </is>
      </c>
      <c r="I773" t="inlineStr">
        <is>
          <t>C:\Users\Owner\Documents\Roguelike Roguelike\Roguelikes\Torneko's Great Adventure Mystery Dungeon.lnk</t>
        </is>
      </c>
    </row>
    <row r="774">
      <c r="A774" t="inlineStr">
        <is>
          <t>Touhou Crawl</t>
        </is>
      </c>
      <c r="B774" t="n">
        <v>2025</v>
      </c>
      <c r="C774" t="inlineStr">
        <is>
          <t>Traditional</t>
        </is>
      </c>
      <c r="D774">
        <f>TRUE()</f>
        <v/>
      </c>
      <c r="E774">
        <f>COUNTIF(connections!A:A, A774) &gt; 0</f>
        <v/>
      </c>
      <c r="F774" t="inlineStr">
        <is>
          <t>touhou</t>
        </is>
      </c>
      <c r="G774" t="inlineStr">
        <is>
          <t>touhou-crawl</t>
        </is>
      </c>
      <c r="H774" t="inlineStr">
        <is>
          <t>Yes</t>
        </is>
      </c>
      <c r="I774" t="inlineStr">
        <is>
          <t>C:\Users\Owner\Documents\Roguelike Roguelike\Roguelikes\Touhou Crawl.url</t>
        </is>
      </c>
      <c r="J774" s="1" t="inlineStr">
        <is>
          <t>https://store.steampowered.com/app/3601130/Touhou_Crawl/</t>
        </is>
      </c>
    </row>
    <row r="775">
      <c r="A775" t="inlineStr">
        <is>
          <t>Touhou Genso Wanderer: Foresight</t>
        </is>
      </c>
      <c r="B775" t="n">
        <v>2024</v>
      </c>
      <c r="C775" t="inlineStr">
        <is>
          <t>Traditional</t>
        </is>
      </c>
      <c r="D775">
        <f>TRUE()</f>
        <v/>
      </c>
      <c r="E775">
        <f>COUNTIF(connections!A:A, A775) &gt; 0</f>
        <v/>
      </c>
      <c r="F775" t="inlineStr">
        <is>
          <t>touhou</t>
        </is>
      </c>
      <c r="G775" t="inlineStr">
        <is>
          <t>touhou-genso-wanderer-foresight</t>
        </is>
      </c>
      <c r="J775" s="11" t="inlineStr">
        <is>
          <t>https://store.steampowered.com/app/1847150/Touhou_Genso_Wanderer_FORESIGHT/</t>
        </is>
      </c>
    </row>
    <row r="776">
      <c r="A776" t="inlineStr">
        <is>
          <t>Touhou Genso Wanderer: Lotus Labyrinth R</t>
        </is>
      </c>
      <c r="B776" t="n">
        <v>2021</v>
      </c>
      <c r="C776" t="inlineStr">
        <is>
          <t>Traditional</t>
        </is>
      </c>
      <c r="D776">
        <f>TRUE()</f>
        <v/>
      </c>
      <c r="E776">
        <f>COUNTIF(connections!A:A, A776) &gt; 0</f>
        <v/>
      </c>
      <c r="F776" t="inlineStr">
        <is>
          <t>touhou</t>
        </is>
      </c>
      <c r="G776" t="inlineStr">
        <is>
          <t>touhou-genso-wanderer-lotus-labyrinth-r</t>
        </is>
      </c>
      <c r="J776" s="11" t="inlineStr">
        <is>
          <t>https://store.steampowered.com/app/1005120/Touhou_Genso_Wanderer_Lotus_Labyrinth_R/</t>
        </is>
      </c>
    </row>
    <row r="777">
      <c r="A777" t="inlineStr">
        <is>
          <t>Touhou: Lost Branch of Legend</t>
        </is>
      </c>
      <c r="B777" t="n">
        <v>2022</v>
      </c>
      <c r="C777" t="inlineStr">
        <is>
          <t>Deckbuilder</t>
        </is>
      </c>
      <c r="D777">
        <f>TRUE()</f>
        <v/>
      </c>
      <c r="E777">
        <f>COUNTIF(connections!A:A, A777) &gt; 0</f>
        <v/>
      </c>
      <c r="F777" t="inlineStr">
        <is>
          <t>touhou</t>
        </is>
      </c>
      <c r="G777" t="inlineStr">
        <is>
          <t>touhou-lost-branch-of-legend</t>
        </is>
      </c>
    </row>
    <row r="778">
      <c r="A778" t="inlineStr">
        <is>
          <t>Tower Dominion</t>
        </is>
      </c>
      <c r="B778" t="n">
        <v>2025</v>
      </c>
      <c r="C778" t="inlineStr">
        <is>
          <t>Strategy</t>
        </is>
      </c>
      <c r="D778">
        <f>TRUE()</f>
        <v/>
      </c>
      <c r="E778">
        <f>COUNTIF(connections!A:A, A778) &gt; 0</f>
        <v/>
      </c>
      <c r="G778" t="inlineStr">
        <is>
          <t>tower-dominion</t>
        </is>
      </c>
    </row>
    <row r="779">
      <c r="A779" t="inlineStr">
        <is>
          <t>Tower Escape</t>
        </is>
      </c>
      <c r="B779" t="n">
        <v>2023</v>
      </c>
      <c r="C779" t="inlineStr">
        <is>
          <t>Deckbuilder</t>
        </is>
      </c>
      <c r="D779">
        <f>TRUE()</f>
        <v/>
      </c>
      <c r="E779">
        <f>COUNTIF(connections!A:A, A779) &gt; 0</f>
        <v/>
      </c>
      <c r="F779" t="inlineStr">
        <is>
          <t>tower defense</t>
        </is>
      </c>
      <c r="G779" t="inlineStr">
        <is>
          <t>tower-escape</t>
        </is>
      </c>
      <c r="H779" t="inlineStr">
        <is>
          <t>Yes</t>
        </is>
      </c>
      <c r="I779" t="inlineStr">
        <is>
          <t>C:\Users\Owner\Documents\Roguelike Roguelike\Roguelikes\Tower Escape.url</t>
        </is>
      </c>
      <c r="J779" s="1" t="inlineStr">
        <is>
          <t>https://store.steampowered.com/app/2009860/Tower_Escape/</t>
        </is>
      </c>
    </row>
    <row r="780">
      <c r="A780" t="inlineStr">
        <is>
          <t>Tower Factory</t>
        </is>
      </c>
      <c r="B780" t="n">
        <v>2024</v>
      </c>
      <c r="C780" t="inlineStr">
        <is>
          <t>Strategy</t>
        </is>
      </c>
      <c r="D780">
        <f>TRUE()</f>
        <v/>
      </c>
      <c r="E780">
        <f>COUNTIF(connections!A:A, A780) &gt; 0</f>
        <v/>
      </c>
      <c r="F780" t="inlineStr">
        <is>
          <t>tower defense</t>
        </is>
      </c>
      <c r="G780" t="inlineStr">
        <is>
          <t>tower-factory</t>
        </is>
      </c>
    </row>
    <row r="781">
      <c r="A781" t="inlineStr">
        <is>
          <t>Tower Fortress</t>
        </is>
      </c>
      <c r="B781" t="n">
        <v>2017</v>
      </c>
      <c r="C781" t="inlineStr">
        <is>
          <t>Action</t>
        </is>
      </c>
      <c r="D781">
        <f>TRUE()</f>
        <v/>
      </c>
      <c r="E781">
        <f>COUNTIF(connections!A:A, A781) &gt; 0</f>
        <v/>
      </c>
      <c r="G781" t="inlineStr">
        <is>
          <t>tower-fortress</t>
        </is>
      </c>
      <c r="J781" s="11" t="inlineStr">
        <is>
          <t>https://store.steampowered.com/app/593700/Tower_Fortress/</t>
        </is>
      </c>
    </row>
    <row r="782">
      <c r="A782" t="inlineStr">
        <is>
          <t>Tower of Guns</t>
        </is>
      </c>
      <c r="B782" t="n">
        <v>2014</v>
      </c>
      <c r="C782" t="inlineStr">
        <is>
          <t>Action</t>
        </is>
      </c>
      <c r="D782">
        <f>TRUE()</f>
        <v/>
      </c>
      <c r="E782">
        <f>COUNTIF(connections!A:A, A782) &gt; 0</f>
        <v/>
      </c>
      <c r="G782" t="inlineStr">
        <is>
          <t>tower-of-guns</t>
        </is>
      </c>
      <c r="H782" t="inlineStr">
        <is>
          <t>Yes</t>
        </is>
      </c>
      <c r="I782" t="inlineStr">
        <is>
          <t>C:\Users\Owner\Documents\Roguelike Roguelike\Roguelikes\Tower of Guns.url</t>
        </is>
      </c>
      <c r="J782" s="1" t="inlineStr">
        <is>
          <t>https://store.steampowered.com/app/266110/Tower_of_Guns/</t>
        </is>
      </c>
    </row>
    <row r="783">
      <c r="A783" t="inlineStr">
        <is>
          <t>Tower Tactics: Liberation</t>
        </is>
      </c>
      <c r="B783" t="n">
        <v>2021</v>
      </c>
      <c r="C783" t="inlineStr">
        <is>
          <t>Deckbuilder</t>
        </is>
      </c>
      <c r="D783">
        <f>TRUE()</f>
        <v/>
      </c>
      <c r="E783">
        <f>COUNTIF(connections!A:A, A783) &gt; 0</f>
        <v/>
      </c>
      <c r="F783" t="inlineStr">
        <is>
          <t>tower defense</t>
        </is>
      </c>
      <c r="G783" t="inlineStr">
        <is>
          <t>tower-tactics-liberation</t>
        </is>
      </c>
      <c r="H783" t="inlineStr">
        <is>
          <t>Yes</t>
        </is>
      </c>
      <c r="I783" t="inlineStr">
        <is>
          <t>C:\Users\Owner\Documents\Roguelike Roguelike\Roguelikes\Tower Tactics Liberation.url</t>
        </is>
      </c>
      <c r="J783" s="1" t="inlineStr">
        <is>
          <t>https://store.steampowered.com/app/1709900/Tower_Tactics_Liberation/</t>
        </is>
      </c>
    </row>
    <row r="784">
      <c r="A784" t="inlineStr">
        <is>
          <t>Toy Smash Kaboom!</t>
        </is>
      </c>
      <c r="B784" t="n">
        <v>2025</v>
      </c>
      <c r="C784" t="inlineStr">
        <is>
          <t>Deckbuilder</t>
        </is>
      </c>
      <c r="D784">
        <f>TRUE()</f>
        <v/>
      </c>
      <c r="E784">
        <f>COUNTIF(connections!A:A, A784) &gt; 0</f>
        <v/>
      </c>
      <c r="G784" t="inlineStr">
        <is>
          <t>toy-smash-kaboom</t>
        </is>
      </c>
    </row>
    <row r="785">
      <c r="A785" t="inlineStr">
        <is>
          <t>Trials of Fire</t>
        </is>
      </c>
      <c r="B785" t="n">
        <v>2019</v>
      </c>
      <c r="C785" t="inlineStr">
        <is>
          <t>Deckbuilder</t>
        </is>
      </c>
      <c r="D785">
        <f>TRUE()</f>
        <v/>
      </c>
      <c r="E785">
        <f>COUNTIF(connections!A:A, A785) &gt; 0</f>
        <v/>
      </c>
      <c r="G785" t="inlineStr">
        <is>
          <t>trials-of-fire</t>
        </is>
      </c>
      <c r="J785" s="1" t="inlineStr">
        <is>
          <t>https://store.steampowered.com/app/1038370/Trials_of_Fire/</t>
        </is>
      </c>
    </row>
    <row r="786">
      <c r="A786" t="inlineStr">
        <is>
          <t>TumbleSeed</t>
        </is>
      </c>
      <c r="B786" t="n">
        <v>2017</v>
      </c>
      <c r="C786" t="inlineStr">
        <is>
          <t>Action</t>
        </is>
      </c>
      <c r="D786">
        <f>TRUE()</f>
        <v/>
      </c>
      <c r="E786">
        <f>COUNTIF(connections!A:A, A786) &gt; 0</f>
        <v/>
      </c>
      <c r="G786" t="inlineStr">
        <is>
          <t>tumbleseed</t>
        </is>
      </c>
      <c r="J786" s="11" t="inlineStr">
        <is>
          <t>https://store.steampowered.com/app/457890/TumbleSeed/</t>
        </is>
      </c>
    </row>
    <row r="787">
      <c r="A787" t="inlineStr">
        <is>
          <t>Turnbound</t>
        </is>
      </c>
      <c r="B787" t="n">
        <v>2026</v>
      </c>
      <c r="C787" t="inlineStr">
        <is>
          <t>Deckbuilder</t>
        </is>
      </c>
      <c r="D787">
        <f>TRUE()</f>
        <v/>
      </c>
      <c r="E787">
        <f>COUNTIF(connections!A:A, A787) &gt; 0</f>
        <v/>
      </c>
      <c r="G787" t="inlineStr">
        <is>
          <t>turnbound</t>
        </is>
      </c>
      <c r="J787" s="1" t="inlineStr">
        <is>
          <t>https://store.steampowered.com/app/3802470/Turnbound/</t>
        </is>
      </c>
    </row>
    <row r="788">
      <c r="A788" t="inlineStr">
        <is>
          <t>Tyrant's Realm</t>
        </is>
      </c>
      <c r="B788" t="n">
        <v>2025</v>
      </c>
      <c r="C788" t="inlineStr">
        <is>
          <t>Action</t>
        </is>
      </c>
      <c r="D788">
        <f>TRUE()</f>
        <v/>
      </c>
      <c r="E788">
        <f>COUNTIF(connections!A:A, A788) &gt; 0</f>
        <v/>
      </c>
      <c r="G788" t="inlineStr">
        <is>
          <t>tyrants-realm</t>
        </is>
      </c>
      <c r="J788" s="1" t="inlineStr">
        <is>
          <t>https://store.steampowered.com/app/2259260/Tyrants_Realm/</t>
        </is>
      </c>
    </row>
    <row r="789">
      <c r="A789" t="inlineStr">
        <is>
          <t>Ultima Ratio Regum</t>
        </is>
      </c>
      <c r="B789" t="n">
        <v>2012</v>
      </c>
      <c r="C789" t="inlineStr">
        <is>
          <t>Traditional</t>
        </is>
      </c>
      <c r="D789">
        <f>TRUE()</f>
        <v/>
      </c>
      <c r="E789">
        <f>COUNTIF(connections!A:A, A789) &gt; 0</f>
        <v/>
      </c>
      <c r="G789" t="inlineStr">
        <is>
          <t>ultima-ratio-regum</t>
        </is>
      </c>
    </row>
    <row r="790">
      <c r="A790" t="inlineStr">
        <is>
          <t>Ultimate ADOM</t>
        </is>
      </c>
      <c r="B790" t="n">
        <v>2021</v>
      </c>
      <c r="C790" t="inlineStr">
        <is>
          <t>Traditional</t>
        </is>
      </c>
      <c r="D790">
        <f>TRUE()</f>
        <v/>
      </c>
      <c r="E790">
        <f>COUNTIF(connections!A:A, A790) &gt; 0</f>
        <v/>
      </c>
      <c r="G790" t="inlineStr">
        <is>
          <t>ultimate-adom</t>
        </is>
      </c>
      <c r="H790" t="inlineStr">
        <is>
          <t>Yes</t>
        </is>
      </c>
      <c r="I790" t="inlineStr">
        <is>
          <t>C:\Users\Owner\Documents\Roguelike Roguelike\Roguelikes\Ultimate ADOM - Caverns of Chaos.url</t>
        </is>
      </c>
      <c r="J790" s="1" t="inlineStr">
        <is>
          <t>https://store.steampowered.com/app/1266820/Ultimate_ADOM__Caverns_of_Chaos/</t>
        </is>
      </c>
    </row>
    <row r="791">
      <c r="A791" t="inlineStr">
        <is>
          <t>Uma Musume: Pretty Derby</t>
        </is>
      </c>
      <c r="B791" t="n">
        <v>2021</v>
      </c>
      <c r="C791" t="inlineStr">
        <is>
          <t>Strategy</t>
        </is>
      </c>
      <c r="D791">
        <f>FALSE()</f>
        <v/>
      </c>
      <c r="E791">
        <f>COUNTIF(connections!A:A, A791) &gt; 0</f>
        <v/>
      </c>
      <c r="F791" t="inlineStr">
        <is>
          <t>anime, gacha, racing</t>
        </is>
      </c>
      <c r="G791" t="inlineStr">
        <is>
          <t>uma-musume-pretty-derby</t>
        </is>
      </c>
      <c r="H791" t="inlineStr">
        <is>
          <t>Yes</t>
        </is>
      </c>
      <c r="I791" t="inlineStr">
        <is>
          <t>C:\Users\Owner\Documents\Roguelike Roguelike\Roguelikes\Umamusume Pretty Derby.url</t>
        </is>
      </c>
      <c r="J791" s="1" t="inlineStr">
        <is>
          <t>https://store.steampowered.com/app/3224770/Umamusume_Pretty_Derby/</t>
        </is>
      </c>
    </row>
    <row r="792">
      <c r="A792" t="inlineStr">
        <is>
          <t>Underdogs</t>
        </is>
      </c>
      <c r="B792" t="n">
        <v>2024</v>
      </c>
      <c r="C792" t="inlineStr">
        <is>
          <t>Action</t>
        </is>
      </c>
      <c r="D792">
        <f>FALSE()</f>
        <v/>
      </c>
      <c r="E792">
        <f>COUNTIF(connections!A:A, A792) &gt; 0</f>
        <v/>
      </c>
      <c r="F792" t="inlineStr">
        <is>
          <t>mecha</t>
        </is>
      </c>
      <c r="G792" t="inlineStr">
        <is>
          <t>underdogs</t>
        </is>
      </c>
    </row>
    <row r="793">
      <c r="A793" t="inlineStr">
        <is>
          <t>UnderMine</t>
        </is>
      </c>
      <c r="B793" t="n">
        <v>2019</v>
      </c>
      <c r="C793" t="inlineStr">
        <is>
          <t>Action</t>
        </is>
      </c>
      <c r="D793">
        <f>TRUE()</f>
        <v/>
      </c>
      <c r="E793">
        <f>COUNTIF(connections!A:A, A793) &gt; 0</f>
        <v/>
      </c>
      <c r="F793" t="inlineStr">
        <is>
          <t>mining</t>
        </is>
      </c>
      <c r="G793" t="inlineStr">
        <is>
          <t>undermine</t>
        </is>
      </c>
      <c r="H793" t="inlineStr">
        <is>
          <t>Yes</t>
        </is>
      </c>
      <c r="I793" t="inlineStr">
        <is>
          <t>C:\Users\Owner\Documents\Roguelike Roguelike\Roguelikes\UnderMine.url</t>
        </is>
      </c>
      <c r="J793" s="1" t="inlineStr">
        <is>
          <t>https://store.steampowered.com/app/656350/UnderMine/</t>
        </is>
      </c>
    </row>
    <row r="794">
      <c r="A794" t="inlineStr">
        <is>
          <t>UnderMine 2</t>
        </is>
      </c>
      <c r="B794" t="n">
        <v>2025</v>
      </c>
      <c r="C794" t="inlineStr">
        <is>
          <t>Action</t>
        </is>
      </c>
      <c r="D794">
        <f>TRUE()</f>
        <v/>
      </c>
      <c r="E794">
        <f>COUNTIF(connections!A:A, A794) &gt; 0</f>
        <v/>
      </c>
      <c r="F794" t="inlineStr">
        <is>
          <t>mining</t>
        </is>
      </c>
      <c r="G794" t="inlineStr">
        <is>
          <t>undermine-2</t>
        </is>
      </c>
    </row>
    <row r="795">
      <c r="A795" t="inlineStr">
        <is>
          <t>Unexplored</t>
        </is>
      </c>
      <c r="B795" t="n">
        <v>2017</v>
      </c>
      <c r="C795" t="inlineStr">
        <is>
          <t>Action</t>
        </is>
      </c>
      <c r="D795">
        <f>TRUE()</f>
        <v/>
      </c>
      <c r="E795">
        <f>COUNTIF(connections!A:A, A795) &gt; 0</f>
        <v/>
      </c>
      <c r="G795" t="inlineStr">
        <is>
          <t>unexplored</t>
        </is>
      </c>
    </row>
    <row r="796">
      <c r="A796" t="inlineStr">
        <is>
          <t>Unexplored 2: The Wayfarer's Legacy</t>
        </is>
      </c>
      <c r="B796" t="n">
        <v>2022</v>
      </c>
      <c r="C796" t="inlineStr">
        <is>
          <t>Action</t>
        </is>
      </c>
      <c r="D796">
        <f>TRUE()</f>
        <v/>
      </c>
      <c r="E796">
        <f>COUNTIF(connections!A:A, A796) &gt; 0</f>
        <v/>
      </c>
      <c r="G796" t="inlineStr">
        <is>
          <t>unexplored-2-the-wayfarers-legacy</t>
        </is>
      </c>
    </row>
    <row r="797">
      <c r="A797" t="inlineStr">
        <is>
          <t>UnReal World</t>
        </is>
      </c>
      <c r="B797" t="n">
        <v>1992</v>
      </c>
      <c r="C797" t="inlineStr">
        <is>
          <t>Traditional</t>
        </is>
      </c>
      <c r="D797">
        <f>TRUE()</f>
        <v/>
      </c>
      <c r="E797">
        <f>COUNTIF(connections!A:A, A797) &gt; 0</f>
        <v/>
      </c>
      <c r="G797" t="inlineStr">
        <is>
          <t>unreal-world</t>
        </is>
      </c>
      <c r="H797" t="inlineStr">
        <is>
          <t>Yes</t>
        </is>
      </c>
      <c r="I797" t="inlineStr">
        <is>
          <t>C:\Users\Owner\Documents\Roguelike Roguelike\Roguelikes\UnReal World.url</t>
        </is>
      </c>
      <c r="J797" s="1" t="inlineStr">
        <is>
          <t>https://store.steampowered.com/app/351700/UnReal_World/</t>
        </is>
      </c>
    </row>
    <row r="798">
      <c r="A798" t="inlineStr">
        <is>
          <t>Vagante</t>
        </is>
      </c>
      <c r="B798" t="n">
        <v>2018</v>
      </c>
      <c r="C798" t="inlineStr">
        <is>
          <t>Action</t>
        </is>
      </c>
      <c r="D798">
        <f>TRUE()</f>
        <v/>
      </c>
      <c r="E798">
        <f>COUNTIF(connections!A:A, A798) &gt; 0</f>
        <v/>
      </c>
      <c r="G798" t="inlineStr">
        <is>
          <t>vagante</t>
        </is>
      </c>
    </row>
    <row r="799">
      <c r="A799" t="inlineStr">
        <is>
          <t>Vampire Crawlers</t>
        </is>
      </c>
      <c r="B799" t="n">
        <v>2026</v>
      </c>
      <c r="C799" t="inlineStr">
        <is>
          <t>Deckbuilder</t>
        </is>
      </c>
      <c r="D799">
        <f>TRUE()</f>
        <v/>
      </c>
      <c r="E799">
        <f>COUNTIF(connections!A:A, A799) &gt; 0</f>
        <v/>
      </c>
      <c r="F799" t="inlineStr">
        <is>
          <t>vampire</t>
        </is>
      </c>
      <c r="G799" t="inlineStr">
        <is>
          <t>vampire-crawlers</t>
        </is>
      </c>
    </row>
    <row r="800">
      <c r="A800" t="inlineStr">
        <is>
          <t>Vampire Hunters</t>
        </is>
      </c>
      <c r="B800" t="n">
        <v>2023</v>
      </c>
      <c r="C800" t="inlineStr">
        <is>
          <t>Action</t>
        </is>
      </c>
      <c r="D800">
        <f>TRUE()</f>
        <v/>
      </c>
      <c r="E800">
        <f>COUNTIF(connections!A:A, A800) &gt; 0</f>
        <v/>
      </c>
      <c r="F800" t="inlineStr">
        <is>
          <t>vampire</t>
        </is>
      </c>
      <c r="G800" t="inlineStr">
        <is>
          <t>vampire-hunters</t>
        </is>
      </c>
      <c r="H800" t="inlineStr">
        <is>
          <t>Yes</t>
        </is>
      </c>
      <c r="I800" t="inlineStr">
        <is>
          <t>C:\Users\Owner\Documents\Roguelike Roguelike\Roguelikes\Vampire Hunters.url</t>
        </is>
      </c>
      <c r="J800" s="1" t="inlineStr">
        <is>
          <t>https://store.steampowered.com/app/2206270/Vampire_Hunters/</t>
        </is>
      </c>
    </row>
    <row r="801">
      <c r="A801" t="inlineStr">
        <is>
          <t>Vampire Survivors</t>
        </is>
      </c>
      <c r="B801" t="n">
        <v>2021</v>
      </c>
      <c r="C801" t="inlineStr">
        <is>
          <t>Action</t>
        </is>
      </c>
      <c r="D801">
        <f>TRUE()</f>
        <v/>
      </c>
      <c r="E801">
        <f>COUNTIF(connections!A:A, A801) &gt; 0</f>
        <v/>
      </c>
      <c r="F801" t="inlineStr">
        <is>
          <t>vampire</t>
        </is>
      </c>
      <c r="G801" t="inlineStr">
        <is>
          <t>vampire-survivors</t>
        </is>
      </c>
      <c r="H801" t="inlineStr">
        <is>
          <t>Yes</t>
        </is>
      </c>
      <c r="I801" t="inlineStr">
        <is>
          <t>C:\Users\Owner\Documents\Roguelike Roguelike\Roguelikes\Vampire Survivors.url</t>
        </is>
      </c>
      <c r="J801" s="1" t="inlineStr">
        <is>
          <t>https://store.steampowered.com/app/1794680/Vampire_Survivors/</t>
        </is>
      </c>
    </row>
    <row r="802">
      <c r="A802" t="inlineStr">
        <is>
          <t>Vault of the Void</t>
        </is>
      </c>
      <c r="B802" t="n">
        <v>2020</v>
      </c>
      <c r="C802" t="inlineStr">
        <is>
          <t>Deckbuilder</t>
        </is>
      </c>
      <c r="D802">
        <f>TRUE()</f>
        <v/>
      </c>
      <c r="E802">
        <f>COUNTIF(connections!A:A, A802) &gt; 0</f>
        <v/>
      </c>
      <c r="G802" t="inlineStr">
        <is>
          <t>vault-of-the-void</t>
        </is>
      </c>
      <c r="H802" t="inlineStr">
        <is>
          <t>Yes</t>
        </is>
      </c>
      <c r="I802" t="inlineStr">
        <is>
          <t>C:\Users\Owner\Documents\Roguelike Roguelike\Roguelikes\Vault of the Void.url</t>
        </is>
      </c>
      <c r="J802" s="1" t="inlineStr">
        <is>
          <t>https://store.steampowered.com/app/1135810/Vault_of_the_Void/</t>
        </is>
      </c>
    </row>
    <row r="803">
      <c r="A803" t="inlineStr">
        <is>
          <t>Vellum</t>
        </is>
      </c>
      <c r="B803" t="n">
        <v>2024</v>
      </c>
      <c r="C803" t="inlineStr">
        <is>
          <t>Action</t>
        </is>
      </c>
      <c r="D803">
        <f>TRUE()</f>
        <v/>
      </c>
      <c r="E803">
        <f>COUNTIF(connections!A:A, A803) &gt; 0</f>
        <v/>
      </c>
      <c r="G803" t="inlineStr">
        <is>
          <t>vellum</t>
        </is>
      </c>
    </row>
    <row r="804">
      <c r="A804" t="inlineStr">
        <is>
          <t>Vital Shell</t>
        </is>
      </c>
      <c r="B804" t="n">
        <v>2026</v>
      </c>
      <c r="C804" t="inlineStr">
        <is>
          <t>Action</t>
        </is>
      </c>
      <c r="D804">
        <f>TRUE()</f>
        <v/>
      </c>
      <c r="E804">
        <f>COUNTIF(connections!A:A, A804) &gt; 0</f>
        <v/>
      </c>
      <c r="F804" t="inlineStr">
        <is>
          <t>mecha</t>
        </is>
      </c>
      <c r="G804" t="inlineStr">
        <is>
          <t>vital-shell</t>
        </is>
      </c>
      <c r="H804" t="inlineStr">
        <is>
          <t>Yes</t>
        </is>
      </c>
      <c r="I804" t="inlineStr">
        <is>
          <t>C:\Users\Owner\Documents\Roguelike Roguelike\Roguelikes\Vital Shell.url</t>
        </is>
      </c>
      <c r="J804" s="1" t="inlineStr">
        <is>
          <t>https://store.steampowered.com/app/3741860/Vital_Shell/</t>
        </is>
      </c>
    </row>
    <row r="805">
      <c r="A805" t="inlineStr">
        <is>
          <t>Vivid Knight</t>
        </is>
      </c>
      <c r="B805" t="n">
        <v>2021</v>
      </c>
      <c r="C805" t="inlineStr">
        <is>
          <t>Deckbuilder</t>
        </is>
      </c>
      <c r="D805">
        <f>TRUE()</f>
        <v/>
      </c>
      <c r="E805">
        <f>COUNTIF(connections!A:A, A805) &gt; 0</f>
        <v/>
      </c>
      <c r="F805" t="inlineStr">
        <is>
          <t>knights</t>
        </is>
      </c>
      <c r="G805" t="inlineStr">
        <is>
          <t>vivid-knight</t>
        </is>
      </c>
    </row>
    <row r="806">
      <c r="A806" t="inlineStr">
        <is>
          <t>Vivid World</t>
        </is>
      </c>
      <c r="B806" t="n">
        <v>2025</v>
      </c>
      <c r="C806" t="inlineStr">
        <is>
          <t>Deckbuilder</t>
        </is>
      </c>
      <c r="D806">
        <f>TRUE()</f>
        <v/>
      </c>
      <c r="E806">
        <f>COUNTIF(connections!A:A, A806) &gt; 0</f>
        <v/>
      </c>
      <c r="G806" t="inlineStr">
        <is>
          <t>vivid-world</t>
        </is>
      </c>
    </row>
    <row r="807">
      <c r="A807" t="inlineStr">
        <is>
          <t>Voice of Belldona</t>
        </is>
      </c>
      <c r="B807" t="n">
        <v>2026</v>
      </c>
      <c r="C807" t="inlineStr">
        <is>
          <t>Deckbuilder</t>
        </is>
      </c>
      <c r="D807">
        <f>TRUE()</f>
        <v/>
      </c>
      <c r="E807">
        <f>COUNTIF(connections!A:A, A807) &gt; 0</f>
        <v/>
      </c>
      <c r="G807" t="inlineStr">
        <is>
          <t>voice-of-belldona</t>
        </is>
      </c>
    </row>
    <row r="808">
      <c r="A808" t="inlineStr">
        <is>
          <t>Void Bastards</t>
        </is>
      </c>
      <c r="B808" t="n">
        <v>2019</v>
      </c>
      <c r="C808" t="inlineStr">
        <is>
          <t>Action</t>
        </is>
      </c>
      <c r="D808">
        <f>TRUE()</f>
        <v/>
      </c>
      <c r="E808">
        <f>COUNTIF(connections!A:A, A808) &gt; 0</f>
        <v/>
      </c>
      <c r="F808" t="inlineStr">
        <is>
          <t>space</t>
        </is>
      </c>
      <c r="G808" t="inlineStr">
        <is>
          <t>void-bastards</t>
        </is>
      </c>
      <c r="H808" t="inlineStr">
        <is>
          <t>Yes</t>
        </is>
      </c>
      <c r="I808" t="inlineStr">
        <is>
          <t>C:\Users\Owner\Documents\Roguelike Roguelike\Roguelikes\Void Bastards.url</t>
        </is>
      </c>
      <c r="J808" s="1" t="inlineStr">
        <is>
          <t>https://store.steampowered.com/app/857980/Void_Bastards/</t>
        </is>
      </c>
    </row>
    <row r="809">
      <c r="A809" t="inlineStr">
        <is>
          <t>Void Scrappers</t>
        </is>
      </c>
      <c r="B809" t="n">
        <v>2022</v>
      </c>
      <c r="C809" t="inlineStr">
        <is>
          <t>Action</t>
        </is>
      </c>
      <c r="D809">
        <f>TRUE()</f>
        <v/>
      </c>
      <c r="E809">
        <f>COUNTIF(connections!A:A, A809) &gt; 0</f>
        <v/>
      </c>
      <c r="G809" t="inlineStr">
        <is>
          <t>void-scrappers</t>
        </is>
      </c>
      <c r="H809" t="inlineStr">
        <is>
          <t>Yes</t>
        </is>
      </c>
      <c r="I809" t="inlineStr">
        <is>
          <t>C:\Users\Owner\Documents\Roguelike Roguelike\Roguelikes\Void Scrappers.url</t>
        </is>
      </c>
      <c r="J809" s="11" t="inlineStr">
        <is>
          <t>https://store.steampowered.com/app/2005210/Void_Scrappers/</t>
        </is>
      </c>
    </row>
    <row r="810">
      <c r="A810" t="inlineStr">
        <is>
          <t>Void War</t>
        </is>
      </c>
      <c r="B810" t="n">
        <v>2024</v>
      </c>
      <c r="C810" t="inlineStr">
        <is>
          <t>Strategy</t>
        </is>
      </c>
      <c r="D810">
        <f>TRUE()</f>
        <v/>
      </c>
      <c r="E810">
        <f>COUNTIF(connections!A:A, A810) &gt; 0</f>
        <v/>
      </c>
      <c r="F810" t="inlineStr">
        <is>
          <t>space</t>
        </is>
      </c>
      <c r="G810" t="inlineStr">
        <is>
          <t>void-war</t>
        </is>
      </c>
    </row>
    <row r="811">
      <c r="A811" t="inlineStr">
        <is>
          <t>Voidigo</t>
        </is>
      </c>
      <c r="B811" t="n">
        <v>2023</v>
      </c>
      <c r="C811" t="inlineStr">
        <is>
          <t>Action</t>
        </is>
      </c>
      <c r="D811">
        <f>TRUE()</f>
        <v/>
      </c>
      <c r="E811">
        <f>COUNTIF(connections!A:A, A811) &gt; 0</f>
        <v/>
      </c>
      <c r="G811" t="inlineStr">
        <is>
          <t>voidigo</t>
        </is>
      </c>
      <c r="H811" t="inlineStr">
        <is>
          <t>Yes</t>
        </is>
      </c>
      <c r="I811" t="inlineStr">
        <is>
          <t>C:\Users\Owner\Documents\Roguelike Roguelike\Roguelikes\Voidigo.url</t>
        </is>
      </c>
      <c r="J811" s="1" t="inlineStr">
        <is>
          <t>https://store.steampowered.com/app/1304680/Voidigo/</t>
        </is>
      </c>
    </row>
    <row r="812">
      <c r="A812" t="inlineStr">
        <is>
          <t>Voids Vigil</t>
        </is>
      </c>
      <c r="B812" t="n">
        <v>2024</v>
      </c>
      <c r="C812" t="inlineStr">
        <is>
          <t>Action</t>
        </is>
      </c>
      <c r="D812">
        <f>TRUE()</f>
        <v/>
      </c>
      <c r="E812">
        <f>COUNTIF(connections!A:A, A812) &gt; 0</f>
        <v/>
      </c>
      <c r="G812" t="inlineStr">
        <is>
          <t>voids-vigil</t>
        </is>
      </c>
    </row>
    <row r="813">
      <c r="A813" t="inlineStr">
        <is>
          <t>Voin</t>
        </is>
      </c>
      <c r="B813" t="n">
        <v>2024</v>
      </c>
      <c r="C813" t="inlineStr">
        <is>
          <t>Action</t>
        </is>
      </c>
      <c r="D813">
        <f>FALSE()</f>
        <v/>
      </c>
      <c r="E813">
        <f>COUNTIF(connections!A:A, A813) &gt; 0</f>
        <v/>
      </c>
      <c r="G813" t="inlineStr">
        <is>
          <t>voin</t>
        </is>
      </c>
      <c r="J813" s="1" t="inlineStr">
        <is>
          <t>https://store.steampowered.com/app/2464530/VOIN/</t>
        </is>
      </c>
    </row>
    <row r="814">
      <c r="A814" t="inlineStr">
        <is>
          <t>Waku Waku Puyo Puyo Dungeon</t>
        </is>
      </c>
      <c r="B814" t="n">
        <v>1998</v>
      </c>
      <c r="C814" t="inlineStr">
        <is>
          <t>Traditional</t>
        </is>
      </c>
      <c r="D814">
        <f>TRUE()</f>
        <v/>
      </c>
      <c r="E814">
        <f>COUNTIF(connections!A:A, A814) &gt; 0</f>
        <v/>
      </c>
      <c r="G814" t="inlineStr">
        <is>
          <t>waku-waku-poyo-poyo-dungeon</t>
        </is>
      </c>
      <c r="H814" t="inlineStr">
        <is>
          <t>Yes</t>
        </is>
      </c>
      <c r="I814" t="inlineStr">
        <is>
          <t>C:\Users\Owner\Documents\Roguelike Roguelike\Roguelikes\Waku Waku Puyo Puyo Dungeon.lnk</t>
        </is>
      </c>
    </row>
    <row r="815">
      <c r="A815" t="inlineStr">
        <is>
          <t>Wall World</t>
        </is>
      </c>
      <c r="B815" t="n">
        <v>2023</v>
      </c>
      <c r="C815" t="inlineStr">
        <is>
          <t>Strategy</t>
        </is>
      </c>
      <c r="D815">
        <f>TRUE()</f>
        <v/>
      </c>
      <c r="E815">
        <f>COUNTIF(connections!A:A, A815) &gt; 0</f>
        <v/>
      </c>
      <c r="F815" t="inlineStr">
        <is>
          <t>mining</t>
        </is>
      </c>
      <c r="G815" t="inlineStr">
        <is>
          <t>wall-world</t>
        </is>
      </c>
      <c r="H815" t="inlineStr">
        <is>
          <t>Yes</t>
        </is>
      </c>
      <c r="I815" t="inlineStr">
        <is>
          <t>C:\Users\Owner\Documents\Roguelike Roguelike\Roguelikes\Wall World.url</t>
        </is>
      </c>
      <c r="J815" s="1" t="inlineStr">
        <is>
          <t>https://store.steampowered.com/app/2187290/Wall_World/</t>
        </is>
      </c>
    </row>
    <row r="816">
      <c r="A816" t="inlineStr">
        <is>
          <t>Wall World 2</t>
        </is>
      </c>
      <c r="B816" t="n">
        <v>2025</v>
      </c>
      <c r="C816" t="inlineStr">
        <is>
          <t>Strategy</t>
        </is>
      </c>
      <c r="D816">
        <f>TRUE()</f>
        <v/>
      </c>
      <c r="E816">
        <f>COUNTIF(connections!A:A, A816) &gt; 0</f>
        <v/>
      </c>
      <c r="F816" t="inlineStr">
        <is>
          <t>mining</t>
        </is>
      </c>
      <c r="G816" t="inlineStr">
        <is>
          <t>wall-world-2</t>
        </is>
      </c>
    </row>
    <row r="817">
      <c r="A817" t="inlineStr">
        <is>
          <t>Warhammer Survivors</t>
        </is>
      </c>
      <c r="B817" t="n">
        <v>2026</v>
      </c>
      <c r="C817" t="inlineStr">
        <is>
          <t>Action</t>
        </is>
      </c>
      <c r="D817">
        <f>TRUE()</f>
        <v/>
      </c>
      <c r="E817">
        <f>COUNTIF(connections!A:A, A817) &gt; 0</f>
        <v/>
      </c>
      <c r="G817" t="inlineStr">
        <is>
          <t>warhammer-survivors</t>
        </is>
      </c>
    </row>
    <row r="818">
      <c r="A818" t="inlineStr">
        <is>
          <t>WarpVector</t>
        </is>
      </c>
      <c r="B818" t="n">
        <v>2023</v>
      </c>
      <c r="C818" t="inlineStr">
        <is>
          <t>Traditional</t>
        </is>
      </c>
      <c r="D818">
        <f>TRUE()</f>
        <v/>
      </c>
      <c r="E818">
        <f>COUNTIF(connections!A:A, A818) &gt; 0</f>
        <v/>
      </c>
      <c r="F818" t="inlineStr">
        <is>
          <t>space</t>
        </is>
      </c>
      <c r="G818" t="inlineStr">
        <is>
          <t>warpvector</t>
        </is>
      </c>
    </row>
    <row r="819">
      <c r="A819" t="inlineStr">
        <is>
          <t>Warriors: Abyss</t>
        </is>
      </c>
      <c r="B819" t="n">
        <v>2025</v>
      </c>
      <c r="C819" t="inlineStr">
        <is>
          <t>Action</t>
        </is>
      </c>
      <c r="D819">
        <f>TRUE()</f>
        <v/>
      </c>
      <c r="E819">
        <f>COUNTIF(connections!A:A, A819) &gt; 0</f>
        <v/>
      </c>
      <c r="G819" t="inlineStr">
        <is>
          <t>warriors-abyss</t>
        </is>
      </c>
      <c r="H819" t="inlineStr">
        <is>
          <t>Yes</t>
        </is>
      </c>
      <c r="I819" t="inlineStr">
        <is>
          <t>C:\Users\Owner\Documents\Roguelike Roguelike\Roguelikes\WARRIORS Abyss.url</t>
        </is>
      </c>
      <c r="J819" s="1" t="inlineStr">
        <is>
          <t>https://store.steampowered.com/app/3178350/WARRIORS_Abyss/</t>
        </is>
      </c>
    </row>
    <row r="820">
      <c r="A820" t="inlineStr">
        <is>
          <t>Warsim: The Realm of Aslona</t>
        </is>
      </c>
      <c r="B820" t="n">
        <v>2017</v>
      </c>
      <c r="C820" t="inlineStr">
        <is>
          <t>Strategy</t>
        </is>
      </c>
      <c r="D820">
        <f>TRUE()</f>
        <v/>
      </c>
      <c r="E820">
        <f>COUNTIF(connections!A:A, A820) &gt; 0</f>
        <v/>
      </c>
      <c r="G820" t="inlineStr">
        <is>
          <t>warsim-the-realm-of-aslona</t>
        </is>
      </c>
      <c r="H820" t="inlineStr">
        <is>
          <t>Yes</t>
        </is>
      </c>
      <c r="I820" t="inlineStr">
        <is>
          <t>C:\Users\Owner\Documents\Roguelike Roguelike\Roguelikes\Warsim The Realm of Aslona.url</t>
        </is>
      </c>
      <c r="J820" s="1" t="inlineStr">
        <is>
          <t>https://store.steampowered.com/app/659540/Warsim_The_Realm_of_Aslona/</t>
        </is>
      </c>
    </row>
    <row r="821">
      <c r="A821" t="inlineStr">
        <is>
          <t>Wayward</t>
        </is>
      </c>
      <c r="B821" t="n">
        <v>2011</v>
      </c>
      <c r="C821" t="inlineStr">
        <is>
          <t>Traditional</t>
        </is>
      </c>
      <c r="D821">
        <f>TRUE()</f>
        <v/>
      </c>
      <c r="E821">
        <f>COUNTIF(connections!A:A, A821) &gt; 0</f>
        <v/>
      </c>
      <c r="G821" t="inlineStr">
        <is>
          <t>wayward</t>
        </is>
      </c>
    </row>
    <row r="822">
      <c r="A822" t="inlineStr">
        <is>
          <t>WazHack</t>
        </is>
      </c>
      <c r="B822" t="n">
        <v>2012</v>
      </c>
      <c r="C822" t="inlineStr">
        <is>
          <t>Strategy</t>
        </is>
      </c>
      <c r="D822">
        <f>TRUE()</f>
        <v/>
      </c>
      <c r="E822">
        <f>COUNTIF(connections!A:A, A822) &gt; 0</f>
        <v/>
      </c>
      <c r="G822" t="inlineStr">
        <is>
          <t>wazhack</t>
        </is>
      </c>
      <c r="H822" t="inlineStr">
        <is>
          <t>Yes</t>
        </is>
      </c>
      <c r="I822" t="inlineStr">
        <is>
          <t>C:\Users\Owner\Documents\Roguelike Roguelike\Roguelikes\WazHack.url</t>
        </is>
      </c>
      <c r="J822" s="1" t="inlineStr">
        <is>
          <t>https://store.steampowered.com/app/264160/WazHack/</t>
        </is>
      </c>
    </row>
    <row r="823">
      <c r="A823" t="inlineStr">
        <is>
          <t>We Need To Go Deeper</t>
        </is>
      </c>
      <c r="B823" t="n">
        <v>2017</v>
      </c>
      <c r="C823" t="inlineStr">
        <is>
          <t>Action</t>
        </is>
      </c>
      <c r="D823">
        <f>FALSE()</f>
        <v/>
      </c>
      <c r="E823">
        <f>COUNTIF(connections!A:A, A823) &gt; 0</f>
        <v/>
      </c>
      <c r="F823" t="inlineStr">
        <is>
          <t>maritime</t>
        </is>
      </c>
      <c r="G823" t="inlineStr">
        <is>
          <t>we-need-to-go-deeper</t>
        </is>
      </c>
      <c r="H823" t="inlineStr">
        <is>
          <t>Yes</t>
        </is>
      </c>
      <c r="I823" t="inlineStr">
        <is>
          <t>C:\Users\Owner\Documents\Roguelike Roguelike\Roguelikes\We Need To Go Deeper.url</t>
        </is>
      </c>
      <c r="J823" s="1" t="inlineStr">
        <is>
          <t>https://store.steampowered.com/app/307110/We_Need_To_Go_Deeper/</t>
        </is>
      </c>
    </row>
    <row r="824">
      <c r="A824" t="inlineStr">
        <is>
          <t>Weird Worlds: Return to Infinite Space</t>
        </is>
      </c>
      <c r="B824" t="n">
        <v>2005</v>
      </c>
      <c r="C824" t="inlineStr">
        <is>
          <t>Strategy</t>
        </is>
      </c>
      <c r="D824">
        <f>TRUE()</f>
        <v/>
      </c>
      <c r="E824">
        <f>COUNTIF(connections!A:A, A824) &gt; 0</f>
        <v/>
      </c>
      <c r="F824" t="inlineStr">
        <is>
          <t>space</t>
        </is>
      </c>
      <c r="G824" t="inlineStr">
        <is>
          <t>weird-worlds-return-to-infinite-space</t>
        </is>
      </c>
      <c r="H824" t="inlineStr">
        <is>
          <t>Yes</t>
        </is>
      </c>
      <c r="I824" t="inlineStr">
        <is>
          <t>C:\Users\Owner\Documents\Roguelike Roguelike\Roguelikes\Weird Worlds Return to Infinite Space.url</t>
        </is>
      </c>
      <c r="J824" s="1" t="inlineStr">
        <is>
          <t>https://store.steampowered.com/app/226120/Weird_Worlds_Return_to_Infinite_Space/</t>
        </is>
      </c>
    </row>
    <row r="825">
      <c r="A825" t="inlineStr">
        <is>
          <t>West of Dead</t>
        </is>
      </c>
      <c r="B825" t="n">
        <v>2020</v>
      </c>
      <c r="C825" t="inlineStr">
        <is>
          <t>Action</t>
        </is>
      </c>
      <c r="D825">
        <f>FALSE()</f>
        <v/>
      </c>
      <c r="E825">
        <f>COUNTIF(connections!A:A, A825) &gt; 0</f>
        <v/>
      </c>
      <c r="G825" t="inlineStr">
        <is>
          <t>west-of-dead</t>
        </is>
      </c>
      <c r="J825" s="11" t="inlineStr">
        <is>
          <t>https://store.steampowered.com/app/1016790/West_of_Dead/</t>
        </is>
      </c>
    </row>
    <row r="826">
      <c r="A826" t="inlineStr">
        <is>
          <t>Whisker Squadron: Survivor</t>
        </is>
      </c>
      <c r="B826" t="n">
        <v>2025</v>
      </c>
      <c r="C826" t="inlineStr">
        <is>
          <t>Action</t>
        </is>
      </c>
      <c r="D826">
        <f>TRUE()</f>
        <v/>
      </c>
      <c r="E826">
        <f>COUNTIF(connections!A:A, A826) &gt; 0</f>
        <v/>
      </c>
      <c r="G826" t="inlineStr">
        <is>
          <t>whisker-squadron-survivor</t>
        </is>
      </c>
    </row>
    <row r="827">
      <c r="A827" t="inlineStr">
        <is>
          <t>White Knuckle</t>
        </is>
      </c>
      <c r="B827" t="n">
        <v>2025</v>
      </c>
      <c r="C827" t="inlineStr">
        <is>
          <t>Action</t>
        </is>
      </c>
      <c r="D827">
        <f>FALSE()</f>
        <v/>
      </c>
      <c r="E827">
        <f>COUNTIF(connections!A:A, A827) &gt; 0</f>
        <v/>
      </c>
      <c r="G827" t="inlineStr">
        <is>
          <t>white-knuckle</t>
        </is>
      </c>
    </row>
    <row r="828">
      <c r="A828" t="inlineStr">
        <is>
          <t>Wild Bastards</t>
        </is>
      </c>
      <c r="B828" t="n">
        <v>2024</v>
      </c>
      <c r="C828" t="inlineStr">
        <is>
          <t>Action</t>
        </is>
      </c>
      <c r="D828">
        <f>TRUE()</f>
        <v/>
      </c>
      <c r="E828">
        <f>COUNTIF(connections!A:A, A828) &gt; 0</f>
        <v/>
      </c>
      <c r="G828" t="inlineStr">
        <is>
          <t>wild-bastards</t>
        </is>
      </c>
    </row>
    <row r="829">
      <c r="A829" t="inlineStr">
        <is>
          <t>Wildermyth</t>
        </is>
      </c>
      <c r="B829" t="n">
        <v>2019</v>
      </c>
      <c r="C829" t="inlineStr">
        <is>
          <t>Strategy</t>
        </is>
      </c>
      <c r="D829">
        <f>FALSE()</f>
        <v/>
      </c>
      <c r="E829">
        <f>COUNTIF(connections!A:A, A829) &gt; 0</f>
        <v/>
      </c>
      <c r="G829" t="inlineStr">
        <is>
          <t>wildermyth</t>
        </is>
      </c>
    </row>
    <row r="830">
      <c r="A830" t="inlineStr">
        <is>
          <t>Wildfrost</t>
        </is>
      </c>
      <c r="B830" t="n">
        <v>2023</v>
      </c>
      <c r="C830" t="inlineStr">
        <is>
          <t>Deckbuilder</t>
        </is>
      </c>
      <c r="D830">
        <f>TRUE()</f>
        <v/>
      </c>
      <c r="E830">
        <f>COUNTIF(connections!A:A, A830) &gt; 0</f>
        <v/>
      </c>
      <c r="G830" t="inlineStr">
        <is>
          <t>wildfrost</t>
        </is>
      </c>
      <c r="H830" t="inlineStr">
        <is>
          <t>Yes</t>
        </is>
      </c>
      <c r="I830" t="inlineStr">
        <is>
          <t>C:\Users\Owner\Documents\Roguelike Roguelike\Roguelikes\Wildfrost.url</t>
        </is>
      </c>
      <c r="J830" s="1" t="inlineStr">
        <is>
          <t>https://store.steampowered.com/app/1811990/Wildfrost/</t>
        </is>
      </c>
    </row>
    <row r="831">
      <c r="A831" t="inlineStr">
        <is>
          <t>Windblown</t>
        </is>
      </c>
      <c r="B831" t="n">
        <v>2024</v>
      </c>
      <c r="C831" t="inlineStr">
        <is>
          <t>Action</t>
        </is>
      </c>
      <c r="D831">
        <f>TRUE()</f>
        <v/>
      </c>
      <c r="E831">
        <f>COUNTIF(connections!A:A, A831) &gt; 0</f>
        <v/>
      </c>
      <c r="G831" t="inlineStr">
        <is>
          <t>windblown</t>
        </is>
      </c>
    </row>
    <row r="832">
      <c r="A832" t="inlineStr">
        <is>
          <t>Winnie's Hole</t>
        </is>
      </c>
      <c r="B832" t="n">
        <v>2026</v>
      </c>
      <c r="C832" t="inlineStr">
        <is>
          <t>Deckbuilder</t>
        </is>
      </c>
      <c r="D832">
        <f>TRUE()</f>
        <v/>
      </c>
      <c r="E832">
        <f>COUNTIF(connections!A:A, A832) &gt; 0</f>
        <v/>
      </c>
      <c r="G832" t="inlineStr">
        <is>
          <t>winnies-hole</t>
        </is>
      </c>
    </row>
    <row r="833">
      <c r="A833" t="inlineStr">
        <is>
          <t>Wireworks</t>
        </is>
      </c>
      <c r="B833" t="n">
        <v>2026</v>
      </c>
      <c r="C833" t="inlineStr">
        <is>
          <t>Strategy</t>
        </is>
      </c>
      <c r="D833">
        <f>FALSE()</f>
        <v/>
      </c>
      <c r="E833">
        <f>COUNTIF(connections!A:A, A833) &gt; 0</f>
        <v/>
      </c>
      <c r="F833" t="inlineStr">
        <is>
          <t>tower defense</t>
        </is>
      </c>
      <c r="G833" t="inlineStr">
        <is>
          <t>wireworks</t>
        </is>
      </c>
      <c r="J833" s="1" t="inlineStr">
        <is>
          <t>https://store.steampowered.com/app/4206270/Wireworks/</t>
        </is>
      </c>
    </row>
    <row r="834">
      <c r="A834" t="inlineStr">
        <is>
          <t>Witchfire</t>
        </is>
      </c>
      <c r="B834" t="n">
        <v>2024</v>
      </c>
      <c r="C834" t="inlineStr">
        <is>
          <t>Action</t>
        </is>
      </c>
      <c r="D834">
        <f>FALSE()</f>
        <v/>
      </c>
      <c r="E834">
        <f>COUNTIF(connections!A:A, A834) &gt; 0</f>
        <v/>
      </c>
      <c r="G834" t="inlineStr">
        <is>
          <t>witchfire</t>
        </is>
      </c>
      <c r="J834" s="1" t="inlineStr">
        <is>
          <t>https://store.steampowered.com/app/3156770/Witchfire/</t>
        </is>
      </c>
    </row>
    <row r="835">
      <c r="A835" t="inlineStr">
        <is>
          <t>Witch's Apocalyptic Journey</t>
        </is>
      </c>
      <c r="B835" t="n">
        <v>2026</v>
      </c>
      <c r="C835" t="inlineStr">
        <is>
          <t>Deckbuilder</t>
        </is>
      </c>
      <c r="D835">
        <f>TRUE()</f>
        <v/>
      </c>
      <c r="E835">
        <f>COUNTIF(connections!A:A, A835) &gt; 0</f>
        <v/>
      </c>
      <c r="G835" t="inlineStr">
        <is>
          <t>witchs-apocalyptic-journey</t>
        </is>
      </c>
    </row>
    <row r="836">
      <c r="A836" t="inlineStr">
        <is>
          <t>Wizard of Legend</t>
        </is>
      </c>
      <c r="B836" t="n">
        <v>2018</v>
      </c>
      <c r="C836" t="inlineStr">
        <is>
          <t>Action</t>
        </is>
      </c>
      <c r="D836">
        <f>TRUE()</f>
        <v/>
      </c>
      <c r="E836">
        <f>COUNTIF(connections!A:A, A836) &gt; 0</f>
        <v/>
      </c>
      <c r="G836" t="inlineStr">
        <is>
          <t>wizard-of-legend</t>
        </is>
      </c>
      <c r="H836" t="inlineStr">
        <is>
          <t>Yes</t>
        </is>
      </c>
      <c r="I836" t="inlineStr">
        <is>
          <t>C:\Users\Owner\Documents\Roguelike Roguelike\Roguelikes\Wizard of Legend.url</t>
        </is>
      </c>
      <c r="J836" s="1" t="inlineStr">
        <is>
          <t>https://store.steampowered.com/app/445980/Wizard_of_Legend/</t>
        </is>
      </c>
    </row>
    <row r="837">
      <c r="A837" t="inlineStr">
        <is>
          <t>Wizard of Legend 2</t>
        </is>
      </c>
      <c r="B837" t="n">
        <v>2024</v>
      </c>
      <c r="C837" t="inlineStr">
        <is>
          <t>Action</t>
        </is>
      </c>
      <c r="D837">
        <f>TRUE()</f>
        <v/>
      </c>
      <c r="E837">
        <f>COUNTIF(connections!A:A, A837) &gt; 0</f>
        <v/>
      </c>
      <c r="G837" t="inlineStr">
        <is>
          <t>wizard-of-legend-2</t>
        </is>
      </c>
      <c r="H837" t="inlineStr">
        <is>
          <t>Yes</t>
        </is>
      </c>
      <c r="I837" t="inlineStr">
        <is>
          <t>C:\Users\Owner\Documents\Roguelike Roguelike\Roguelikes\Wizard of Legend 2.url</t>
        </is>
      </c>
      <c r="J837" s="1" t="inlineStr">
        <is>
          <t>https://store.steampowered.com/app/2193540/Wizard_of_Legend_2/</t>
        </is>
      </c>
    </row>
    <row r="838">
      <c r="A838" t="inlineStr">
        <is>
          <t>WizardChess</t>
        </is>
      </c>
      <c r="B838" t="n">
        <v>2021</v>
      </c>
      <c r="C838" t="inlineStr">
        <is>
          <t>Strategy</t>
        </is>
      </c>
      <c r="D838">
        <f>TRUE()</f>
        <v/>
      </c>
      <c r="E838">
        <f>COUNTIF(connections!A:A, A838) &gt; 0</f>
        <v/>
      </c>
      <c r="F838" t="inlineStr">
        <is>
          <t>chess</t>
        </is>
      </c>
      <c r="G838" t="inlineStr">
        <is>
          <t>wizardchess</t>
        </is>
      </c>
      <c r="H838" t="inlineStr">
        <is>
          <t>Yes</t>
        </is>
      </c>
      <c r="I838" t="inlineStr">
        <is>
          <t>C:\Users\Owner\Documents\Roguelike Roguelike\Roguelikes\WizardChess.url</t>
        </is>
      </c>
      <c r="J838" s="1" t="inlineStr">
        <is>
          <t>https://store.steampowered.com/app/1274210/WizardChess/</t>
        </is>
      </c>
    </row>
    <row r="839">
      <c r="A839" t="inlineStr">
        <is>
          <t>Word Play</t>
        </is>
      </c>
      <c r="B839" t="n">
        <v>2025</v>
      </c>
      <c r="C839" t="inlineStr">
        <is>
          <t>Deckbuilder</t>
        </is>
      </c>
      <c r="D839">
        <f>TRUE()</f>
        <v/>
      </c>
      <c r="E839">
        <f>COUNTIF(connections!A:A, A839) &gt; 0</f>
        <v/>
      </c>
      <c r="F839" t="inlineStr">
        <is>
          <t>words</t>
        </is>
      </c>
      <c r="G839" t="inlineStr">
        <is>
          <t>word-play</t>
        </is>
      </c>
    </row>
    <row r="840">
      <c r="A840" t="inlineStr">
        <is>
          <t>Wordatro!</t>
        </is>
      </c>
      <c r="B840" t="n">
        <v>2025</v>
      </c>
      <c r="C840" t="inlineStr">
        <is>
          <t>Deckbuilder</t>
        </is>
      </c>
      <c r="D840">
        <f>TRUE()</f>
        <v/>
      </c>
      <c r="E840">
        <f>COUNTIF(connections!A:A, A840) &gt; 0</f>
        <v/>
      </c>
      <c r="F840" t="inlineStr">
        <is>
          <t>words</t>
        </is>
      </c>
      <c r="G840" t="inlineStr">
        <is>
          <t>wordatro</t>
        </is>
      </c>
      <c r="H840" t="inlineStr">
        <is>
          <t>Yes</t>
        </is>
      </c>
      <c r="I840" t="inlineStr">
        <is>
          <t>C:\Users\Owner\Documents\Roguelike Roguelike\Roguelikes\Wordatro!.url</t>
        </is>
      </c>
      <c r="J840" s="1" t="inlineStr">
        <is>
          <t>https://store.steampowered.com/app/3140120/Wordatro/</t>
        </is>
      </c>
    </row>
    <row r="841">
      <c r="A841" t="inlineStr">
        <is>
          <t>Words Can Kill</t>
        </is>
      </c>
      <c r="B841" t="n">
        <v>2022</v>
      </c>
      <c r="C841" t="inlineStr">
        <is>
          <t>Deckbuilder</t>
        </is>
      </c>
      <c r="D841">
        <f>TRUE()</f>
        <v/>
      </c>
      <c r="E841">
        <f>COUNTIF(connections!A:A, A841) &gt; 0</f>
        <v/>
      </c>
      <c r="F841" t="inlineStr">
        <is>
          <t>words</t>
        </is>
      </c>
      <c r="G841" t="inlineStr">
        <is>
          <t>words-can-kill</t>
        </is>
      </c>
      <c r="H841" t="inlineStr">
        <is>
          <t>Yes</t>
        </is>
      </c>
      <c r="I841" t="inlineStr">
        <is>
          <t>C:\Users\Owner\Documents\Roguelike Roguelike\Roguelikes\Words Can Kill.url</t>
        </is>
      </c>
      <c r="J841" s="1" t="inlineStr">
        <is>
          <t>https://store.steampowered.com/app/1732090/Words_Can_Kill/</t>
        </is>
      </c>
    </row>
    <row r="842">
      <c r="A842" t="inlineStr">
        <is>
          <t>Worlds Upon The Wind</t>
        </is>
      </c>
      <c r="B842" t="n">
        <v>2026</v>
      </c>
      <c r="C842" t="inlineStr">
        <is>
          <t>Deckbuilder</t>
        </is>
      </c>
      <c r="D842">
        <f>TRUE()</f>
        <v/>
      </c>
      <c r="E842">
        <f>COUNTIF(connections!A:A, A842) &gt; 0</f>
        <v/>
      </c>
      <c r="G842" t="inlineStr">
        <is>
          <t>worlds-upon-the-wind</t>
        </is>
      </c>
      <c r="J842" s="11" t="inlineStr">
        <is>
          <t>https://store.steampowered.com/app/3640430/Worlds_Upon_The_Wind/</t>
        </is>
      </c>
    </row>
    <row r="843">
      <c r="A843" t="inlineStr">
        <is>
          <t>Yasha: Legends of the Demon Blade</t>
        </is>
      </c>
      <c r="B843" t="n">
        <v>2025</v>
      </c>
      <c r="C843" t="inlineStr">
        <is>
          <t>Action</t>
        </is>
      </c>
      <c r="D843">
        <f>TRUE()</f>
        <v/>
      </c>
      <c r="E843">
        <f>COUNTIF(connections!A:A, A843) &gt; 0</f>
        <v/>
      </c>
      <c r="G843" t="inlineStr">
        <is>
          <t>yasha-legends-of-the-demon-blade</t>
        </is>
      </c>
    </row>
    <row r="844">
      <c r="A844" t="inlineStr">
        <is>
          <t>Yet Another Zombie Survivors</t>
        </is>
      </c>
      <c r="B844" t="n">
        <v>2023</v>
      </c>
      <c r="C844" t="inlineStr">
        <is>
          <t>Action</t>
        </is>
      </c>
      <c r="D844">
        <f>TRUE()</f>
        <v/>
      </c>
      <c r="E844">
        <f>COUNTIF(connections!A:A, A844) &gt; 0</f>
        <v/>
      </c>
      <c r="F844" t="inlineStr">
        <is>
          <t>undead</t>
        </is>
      </c>
      <c r="G844" t="inlineStr">
        <is>
          <t>yet-another-zombie-survivors</t>
        </is>
      </c>
      <c r="H844" t="inlineStr">
        <is>
          <t>Yes</t>
        </is>
      </c>
      <c r="I844" t="inlineStr">
        <is>
          <t>C:\Users\Owner\Documents\Roguelike Roguelike\Roguelikes\Yet Another Zombie Survivors.url</t>
        </is>
      </c>
      <c r="J844" s="1" t="inlineStr">
        <is>
          <t>https://store.steampowered.com/app/2163330/Yet_Another_Zombie_Survivors/</t>
        </is>
      </c>
    </row>
    <row r="845">
      <c r="A845" t="inlineStr">
        <is>
          <t>Yohane the Parhelion: Numazu in the Mirage</t>
        </is>
      </c>
      <c r="B845" t="n">
        <v>2024</v>
      </c>
      <c r="C845" t="inlineStr">
        <is>
          <t>Deckbuilder</t>
        </is>
      </c>
      <c r="D845">
        <f>TRUE()</f>
        <v/>
      </c>
      <c r="E845">
        <f>COUNTIF(connections!A:A, A845) &gt; 0</f>
        <v/>
      </c>
      <c r="F845" t="inlineStr">
        <is>
          <t>anime</t>
        </is>
      </c>
      <c r="G845" t="inlineStr">
        <is>
          <t>yohane-the-parhelion-numazu-in-the-mirage</t>
        </is>
      </c>
      <c r="H845" t="inlineStr">
        <is>
          <t>Yes</t>
        </is>
      </c>
      <c r="I845" t="inlineStr">
        <is>
          <t>C:\Users\Owner\Documents\Roguelike Roguelike\Roguelikes\Yohane the Parhelion - NUMAZU in the MIRAGE -.url</t>
        </is>
      </c>
      <c r="J845" s="1" t="inlineStr">
        <is>
          <t>https://store.steampowered.com/app/2459750/Yohane_the_Parhelion__NUMAZU_in_the_MIRAGE/</t>
        </is>
      </c>
    </row>
    <row r="846">
      <c r="A846" t="inlineStr">
        <is>
          <t>Youdanji</t>
        </is>
      </c>
      <c r="B846" t="n">
        <v>2017</v>
      </c>
      <c r="C846" t="inlineStr">
        <is>
          <t>Traditional</t>
        </is>
      </c>
      <c r="D846">
        <f>TRUE()</f>
        <v/>
      </c>
      <c r="E846">
        <f>COUNTIF(connections!A:A, A846) &gt; 0</f>
        <v/>
      </c>
      <c r="G846" t="inlineStr">
        <is>
          <t>youdanji</t>
        </is>
      </c>
    </row>
    <row r="847">
      <c r="A847" t="inlineStr">
        <is>
          <t>Z.H.P. Unlosing Ranger VS Darkdeath Evilman</t>
        </is>
      </c>
      <c r="B847" t="n">
        <v>2010</v>
      </c>
      <c r="C847" t="inlineStr">
        <is>
          <t>Traditional</t>
        </is>
      </c>
      <c r="D847">
        <f>TRUE()</f>
        <v/>
      </c>
      <c r="E847">
        <f>COUNTIF(connections!A:A, A847) &gt; 0</f>
        <v/>
      </c>
      <c r="G847" t="inlineStr">
        <is>
          <t>z-h-p-unlosing-ranger-vs-darkdeath-evilman</t>
        </is>
      </c>
      <c r="H847" t="inlineStr">
        <is>
          <t>Yes</t>
        </is>
      </c>
      <c r="I847" t="inlineStr">
        <is>
          <t>C:\Users\Owner\Documents\Roguelike Roguelike\Roguelikes\Z.H.P. Unlosing Ranger VS Darkdeath Evilman.lnk</t>
        </is>
      </c>
      <c r="J847" s="11" t="inlineStr">
        <is>
          <t>https://store.steampowered.com/app/1732070/ZHP_Unlosing_Ranger_vs_Darkdeath_Evilman/</t>
        </is>
      </c>
    </row>
    <row r="848">
      <c r="A848" t="inlineStr">
        <is>
          <t>Zangband</t>
        </is>
      </c>
      <c r="B848" t="n">
        <v>1994</v>
      </c>
      <c r="C848" t="inlineStr">
        <is>
          <t>Traditional</t>
        </is>
      </c>
      <c r="D848">
        <f>TRUE()</f>
        <v/>
      </c>
      <c r="E848">
        <f>COUNTIF(connections!A:A, A848) &gt; 0</f>
        <v/>
      </c>
      <c r="G848" t="inlineStr">
        <is>
          <t>zangband</t>
        </is>
      </c>
      <c r="H848" t="inlineStr">
        <is>
          <t>Yes</t>
        </is>
      </c>
      <c r="I848" t="inlineStr">
        <is>
          <t>C:\Users\Owner\Documents\Roguelike Roguelike\Roguelikes\Zangband.lnk</t>
        </is>
      </c>
    </row>
    <row r="849">
      <c r="A849" t="inlineStr">
        <is>
          <t>Zet Zillions</t>
        </is>
      </c>
      <c r="B849" t="n">
        <v>2024</v>
      </c>
      <c r="C849" t="inlineStr">
        <is>
          <t>Deckbuilder</t>
        </is>
      </c>
      <c r="D849">
        <f>TRUE()</f>
        <v/>
      </c>
      <c r="E849">
        <f>COUNTIF(connections!A:A, A849) &gt; 0</f>
        <v/>
      </c>
      <c r="F849" t="inlineStr">
        <is>
          <t>space</t>
        </is>
      </c>
      <c r="G849" t="inlineStr">
        <is>
          <t>zet-zillions</t>
        </is>
      </c>
      <c r="H849" t="inlineStr">
        <is>
          <t>Yes</t>
        </is>
      </c>
      <c r="I849" t="inlineStr">
        <is>
          <t>C:\Users\Owner\Documents\Roguelike Roguelike\Roguelikes\Zet Zillions.url</t>
        </is>
      </c>
      <c r="J849" s="1" t="inlineStr">
        <is>
          <t>https://store.steampowered.com/app/2229560/Zet_Zillions/</t>
        </is>
      </c>
    </row>
    <row r="850">
      <c r="A850" t="inlineStr">
        <is>
          <t>Ziggurat</t>
        </is>
      </c>
      <c r="B850" t="n">
        <v>2014</v>
      </c>
      <c r="C850" t="inlineStr">
        <is>
          <t>Action</t>
        </is>
      </c>
      <c r="D850">
        <f>TRUE()</f>
        <v/>
      </c>
      <c r="E850">
        <f>COUNTIF(connections!A:A, A850) &gt; 0</f>
        <v/>
      </c>
      <c r="G850" t="inlineStr">
        <is>
          <t>ziggurat</t>
        </is>
      </c>
      <c r="H850" t="inlineStr">
        <is>
          <t>Yes</t>
        </is>
      </c>
      <c r="I850" t="inlineStr">
        <is>
          <t>C:\Users\Owner\Documents\Roguelike Roguelike\Roguelikes\Ziggurat.url</t>
        </is>
      </c>
      <c r="J850" s="1" t="inlineStr">
        <is>
          <t>https://store.steampowered.com/app/308420/Ziggurat/</t>
        </is>
      </c>
    </row>
    <row r="851">
      <c r="A851" t="inlineStr">
        <is>
          <t>Ziggurat 2</t>
        </is>
      </c>
      <c r="B851" t="n">
        <v>2020</v>
      </c>
      <c r="C851" t="inlineStr">
        <is>
          <t>Action</t>
        </is>
      </c>
      <c r="D851">
        <f>TRUE()</f>
        <v/>
      </c>
      <c r="E851">
        <f>COUNTIF(connections!A:A, A851) &gt; 0</f>
        <v/>
      </c>
      <c r="G851" t="inlineStr">
        <is>
          <t>ziggurat-2</t>
        </is>
      </c>
      <c r="H851" t="inlineStr">
        <is>
          <t>Yes</t>
        </is>
      </c>
      <c r="I851" t="inlineStr">
        <is>
          <t>C:\Users\Owner\Documents\Roguelike Roguelike\Roguelikes\Ziggurat 2.url</t>
        </is>
      </c>
      <c r="J851" s="1" t="inlineStr">
        <is>
          <t>https://store.steampowered.com/app/1159560/Ziggurat_2/</t>
        </is>
      </c>
    </row>
    <row r="852">
      <c r="A852" t="inlineStr">
        <is>
          <t>ZMAngband</t>
        </is>
      </c>
      <c r="B852" t="n">
        <v>2025</v>
      </c>
      <c r="C852" t="inlineStr">
        <is>
          <t>Traditional</t>
        </is>
      </c>
      <c r="D852">
        <f>TRUE()</f>
        <v/>
      </c>
      <c r="E852">
        <f>COUNTIF(connections!A:A, A852) &gt; 0</f>
        <v/>
      </c>
      <c r="G852" t="inlineStr">
        <is>
          <t>zmangband</t>
        </is>
      </c>
      <c r="H852" t="inlineStr">
        <is>
          <t>Yes</t>
        </is>
      </c>
      <c r="I852" t="inlineStr">
        <is>
          <t>C:\Users\Owner\Documents\Roguelike Roguelike\Roguelikes\ZMAngband.lnk</t>
        </is>
      </c>
    </row>
    <row r="853">
      <c r="A853" t="inlineStr">
        <is>
          <t>Zoeti</t>
        </is>
      </c>
      <c r="B853" t="n">
        <v>2023</v>
      </c>
      <c r="C853" t="inlineStr">
        <is>
          <t>Deckbuilder</t>
        </is>
      </c>
      <c r="D853">
        <f>TRUE()</f>
        <v/>
      </c>
      <c r="E853">
        <f>COUNTIF(connections!A:A, A853) &gt; 0</f>
        <v/>
      </c>
      <c r="G853" t="inlineStr">
        <is>
          <t>zoeti</t>
        </is>
      </c>
      <c r="H853" t="inlineStr">
        <is>
          <t>Yes</t>
        </is>
      </c>
      <c r="I853" t="inlineStr">
        <is>
          <t>C:\Users\Owner\Documents\Roguelike Roguelike\Roguelikes\Zoeti.url</t>
        </is>
      </c>
      <c r="J853" s="1" t="inlineStr">
        <is>
          <t>https://store.steampowered.com/app/1434540/Zoeti/</t>
        </is>
      </c>
    </row>
    <row r="854">
      <c r="A854" t="inlineStr">
        <is>
          <t>Zoominoes</t>
        </is>
      </c>
      <c r="B854" t="n">
        <v>2026</v>
      </c>
      <c r="C854" t="inlineStr">
        <is>
          <t>Deckbuilder</t>
        </is>
      </c>
      <c r="D854">
        <f>TRUE()</f>
        <v/>
      </c>
      <c r="E854">
        <f>COUNTIF(connections!A:A, A854) &gt; 0</f>
        <v/>
      </c>
      <c r="G854" t="inlineStr">
        <is>
          <t>zoominoes</t>
        </is>
      </c>
      <c r="J854" s="11" t="inlineStr">
        <is>
          <t>https://store.steampowered.com/app/3282420/Zoominoes/</t>
        </is>
      </c>
    </row>
    <row r="855">
      <c r="A855" t="inlineStr">
        <is>
          <t>Zorbus</t>
        </is>
      </c>
      <c r="B855" t="n">
        <v>2022</v>
      </c>
      <c r="C855" t="inlineStr">
        <is>
          <t>Traditional</t>
        </is>
      </c>
      <c r="D855">
        <f>TRUE()</f>
        <v/>
      </c>
      <c r="E855">
        <f>COUNTIF(connections!A:A, A855) &gt; 0</f>
        <v/>
      </c>
      <c r="G855" t="inlineStr">
        <is>
          <t>zorbus</t>
        </is>
      </c>
      <c r="H855" t="inlineStr">
        <is>
          <t>Yes</t>
        </is>
      </c>
      <c r="I855" t="inlineStr">
        <is>
          <t>C:\Users\Owner\Documents\Roguelike Roguelike\Roguelikes\Zorbus.url</t>
        </is>
      </c>
      <c r="J855" s="11" t="inlineStr">
        <is>
          <t>https://store.steampowered.com/app/2125420/Zorbus/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5"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3" r:id="rId17"/>
    <hyperlink xmlns:r="http://schemas.openxmlformats.org/officeDocument/2006/relationships" ref="J24" r:id="rId18"/>
    <hyperlink xmlns:r="http://schemas.openxmlformats.org/officeDocument/2006/relationships" ref="J26" r:id="rId19"/>
    <hyperlink xmlns:r="http://schemas.openxmlformats.org/officeDocument/2006/relationships" ref="J30" r:id="rId20"/>
    <hyperlink xmlns:r="http://schemas.openxmlformats.org/officeDocument/2006/relationships" ref="J32" r:id="rId21"/>
    <hyperlink xmlns:r="http://schemas.openxmlformats.org/officeDocument/2006/relationships" ref="J33" r:id="rId22"/>
    <hyperlink xmlns:r="http://schemas.openxmlformats.org/officeDocument/2006/relationships" ref="J34" r:id="rId23"/>
    <hyperlink xmlns:r="http://schemas.openxmlformats.org/officeDocument/2006/relationships" ref="J35" r:id="rId24"/>
    <hyperlink xmlns:r="http://schemas.openxmlformats.org/officeDocument/2006/relationships" ref="J39" r:id="rId25"/>
    <hyperlink xmlns:r="http://schemas.openxmlformats.org/officeDocument/2006/relationships" ref="J41" r:id="rId26"/>
    <hyperlink xmlns:r="http://schemas.openxmlformats.org/officeDocument/2006/relationships" ref="J42" r:id="rId27"/>
    <hyperlink xmlns:r="http://schemas.openxmlformats.org/officeDocument/2006/relationships" ref="J43" r:id="rId28"/>
    <hyperlink xmlns:r="http://schemas.openxmlformats.org/officeDocument/2006/relationships" ref="J44" r:id="rId29"/>
    <hyperlink xmlns:r="http://schemas.openxmlformats.org/officeDocument/2006/relationships" ref="J46" r:id="rId30"/>
    <hyperlink xmlns:r="http://schemas.openxmlformats.org/officeDocument/2006/relationships" ref="J47" r:id="rId31"/>
    <hyperlink xmlns:r="http://schemas.openxmlformats.org/officeDocument/2006/relationships" ref="J52" r:id="rId32"/>
    <hyperlink xmlns:r="http://schemas.openxmlformats.org/officeDocument/2006/relationships" ref="J53" r:id="rId33"/>
    <hyperlink xmlns:r="http://schemas.openxmlformats.org/officeDocument/2006/relationships" ref="J54" r:id="rId34"/>
    <hyperlink xmlns:r="http://schemas.openxmlformats.org/officeDocument/2006/relationships" ref="J56" r:id="rId35"/>
    <hyperlink xmlns:r="http://schemas.openxmlformats.org/officeDocument/2006/relationships" ref="J57" r:id="rId36"/>
    <hyperlink xmlns:r="http://schemas.openxmlformats.org/officeDocument/2006/relationships" ref="J58" r:id="rId37"/>
    <hyperlink xmlns:r="http://schemas.openxmlformats.org/officeDocument/2006/relationships" ref="J59" r:id="rId38"/>
    <hyperlink xmlns:r="http://schemas.openxmlformats.org/officeDocument/2006/relationships" ref="J60" r:id="rId39"/>
    <hyperlink xmlns:r="http://schemas.openxmlformats.org/officeDocument/2006/relationships" ref="J63" r:id="rId40"/>
    <hyperlink xmlns:r="http://schemas.openxmlformats.org/officeDocument/2006/relationships" ref="J64"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1" r:id="rId46"/>
    <hyperlink xmlns:r="http://schemas.openxmlformats.org/officeDocument/2006/relationships" ref="J73" r:id="rId47"/>
    <hyperlink xmlns:r="http://schemas.openxmlformats.org/officeDocument/2006/relationships" ref="J74" r:id="rId48"/>
    <hyperlink xmlns:r="http://schemas.openxmlformats.org/officeDocument/2006/relationships" ref="J75" r:id="rId49"/>
    <hyperlink xmlns:r="http://schemas.openxmlformats.org/officeDocument/2006/relationships" ref="J76" r:id="rId50"/>
    <hyperlink xmlns:r="http://schemas.openxmlformats.org/officeDocument/2006/relationships" ref="J77" r:id="rId51"/>
    <hyperlink xmlns:r="http://schemas.openxmlformats.org/officeDocument/2006/relationships" ref="J78" r:id="rId52"/>
    <hyperlink xmlns:r="http://schemas.openxmlformats.org/officeDocument/2006/relationships" ref="J79" r:id="rId53"/>
    <hyperlink xmlns:r="http://schemas.openxmlformats.org/officeDocument/2006/relationships" ref="J81" r:id="rId54"/>
    <hyperlink xmlns:r="http://schemas.openxmlformats.org/officeDocument/2006/relationships" ref="J84" r:id="rId55"/>
    <hyperlink xmlns:r="http://schemas.openxmlformats.org/officeDocument/2006/relationships" ref="J86" r:id="rId56"/>
    <hyperlink xmlns:r="http://schemas.openxmlformats.org/officeDocument/2006/relationships" ref="J87" r:id="rId57"/>
    <hyperlink xmlns:r="http://schemas.openxmlformats.org/officeDocument/2006/relationships" ref="J88" r:id="rId58"/>
    <hyperlink xmlns:r="http://schemas.openxmlformats.org/officeDocument/2006/relationships" ref="J89" r:id="rId59"/>
    <hyperlink xmlns:r="http://schemas.openxmlformats.org/officeDocument/2006/relationships" ref="J90" r:id="rId60"/>
    <hyperlink xmlns:r="http://schemas.openxmlformats.org/officeDocument/2006/relationships" ref="J91" r:id="rId61"/>
    <hyperlink xmlns:r="http://schemas.openxmlformats.org/officeDocument/2006/relationships" ref="J94" r:id="rId62"/>
    <hyperlink xmlns:r="http://schemas.openxmlformats.org/officeDocument/2006/relationships" ref="J95" r:id="rId63"/>
    <hyperlink xmlns:r="http://schemas.openxmlformats.org/officeDocument/2006/relationships" ref="J96" r:id="rId64"/>
    <hyperlink xmlns:r="http://schemas.openxmlformats.org/officeDocument/2006/relationships" ref="J97" r:id="rId65"/>
    <hyperlink xmlns:r="http://schemas.openxmlformats.org/officeDocument/2006/relationships" ref="J99" r:id="rId66"/>
    <hyperlink xmlns:r="http://schemas.openxmlformats.org/officeDocument/2006/relationships" ref="J101" r:id="rId67"/>
    <hyperlink xmlns:r="http://schemas.openxmlformats.org/officeDocument/2006/relationships" ref="J109" r:id="rId68"/>
    <hyperlink xmlns:r="http://schemas.openxmlformats.org/officeDocument/2006/relationships" ref="J110" r:id="rId69"/>
    <hyperlink xmlns:r="http://schemas.openxmlformats.org/officeDocument/2006/relationships" ref="J112" r:id="rId70"/>
    <hyperlink xmlns:r="http://schemas.openxmlformats.org/officeDocument/2006/relationships" ref="J113" r:id="rId71"/>
    <hyperlink xmlns:r="http://schemas.openxmlformats.org/officeDocument/2006/relationships" ref="J114" r:id="rId72"/>
    <hyperlink xmlns:r="http://schemas.openxmlformats.org/officeDocument/2006/relationships" ref="J116" r:id="rId73"/>
    <hyperlink xmlns:r="http://schemas.openxmlformats.org/officeDocument/2006/relationships" ref="J118" r:id="rId74"/>
    <hyperlink xmlns:r="http://schemas.openxmlformats.org/officeDocument/2006/relationships" ref="J119" r:id="rId75"/>
    <hyperlink xmlns:r="http://schemas.openxmlformats.org/officeDocument/2006/relationships" ref="J123" r:id="rId76"/>
    <hyperlink xmlns:r="http://schemas.openxmlformats.org/officeDocument/2006/relationships" ref="J124" r:id="rId77"/>
    <hyperlink xmlns:r="http://schemas.openxmlformats.org/officeDocument/2006/relationships" ref="J125" r:id="rId78"/>
    <hyperlink xmlns:r="http://schemas.openxmlformats.org/officeDocument/2006/relationships" ref="J126" r:id="rId79"/>
    <hyperlink xmlns:r="http://schemas.openxmlformats.org/officeDocument/2006/relationships" ref="J129" r:id="rId80"/>
    <hyperlink xmlns:r="http://schemas.openxmlformats.org/officeDocument/2006/relationships" ref="J130" r:id="rId81"/>
    <hyperlink xmlns:r="http://schemas.openxmlformats.org/officeDocument/2006/relationships" ref="J133" r:id="rId82"/>
    <hyperlink xmlns:r="http://schemas.openxmlformats.org/officeDocument/2006/relationships" ref="J135" r:id="rId83"/>
    <hyperlink xmlns:r="http://schemas.openxmlformats.org/officeDocument/2006/relationships" ref="J136" r:id="rId84"/>
    <hyperlink xmlns:r="http://schemas.openxmlformats.org/officeDocument/2006/relationships" ref="J138" r:id="rId85"/>
    <hyperlink xmlns:r="http://schemas.openxmlformats.org/officeDocument/2006/relationships" ref="J139" r:id="rId86"/>
    <hyperlink xmlns:r="http://schemas.openxmlformats.org/officeDocument/2006/relationships" ref="J140" r:id="rId87"/>
    <hyperlink xmlns:r="http://schemas.openxmlformats.org/officeDocument/2006/relationships" ref="J141" r:id="rId88"/>
    <hyperlink xmlns:r="http://schemas.openxmlformats.org/officeDocument/2006/relationships" ref="J142" r:id="rId89"/>
    <hyperlink xmlns:r="http://schemas.openxmlformats.org/officeDocument/2006/relationships" ref="J144" r:id="rId90"/>
    <hyperlink xmlns:r="http://schemas.openxmlformats.org/officeDocument/2006/relationships" ref="J145" r:id="rId91"/>
    <hyperlink xmlns:r="http://schemas.openxmlformats.org/officeDocument/2006/relationships" ref="J146" r:id="rId92"/>
    <hyperlink xmlns:r="http://schemas.openxmlformats.org/officeDocument/2006/relationships" ref="J148" r:id="rId93"/>
    <hyperlink xmlns:r="http://schemas.openxmlformats.org/officeDocument/2006/relationships" ref="J149" r:id="rId94"/>
    <hyperlink xmlns:r="http://schemas.openxmlformats.org/officeDocument/2006/relationships" ref="J150" r:id="rId95"/>
    <hyperlink xmlns:r="http://schemas.openxmlformats.org/officeDocument/2006/relationships" ref="J151" r:id="rId96"/>
    <hyperlink xmlns:r="http://schemas.openxmlformats.org/officeDocument/2006/relationships" ref="J152" r:id="rId97"/>
    <hyperlink xmlns:r="http://schemas.openxmlformats.org/officeDocument/2006/relationships" ref="J153" r:id="rId98"/>
    <hyperlink xmlns:r="http://schemas.openxmlformats.org/officeDocument/2006/relationships" ref="J156" r:id="rId99"/>
    <hyperlink xmlns:r="http://schemas.openxmlformats.org/officeDocument/2006/relationships" ref="J157" r:id="rId100"/>
    <hyperlink xmlns:r="http://schemas.openxmlformats.org/officeDocument/2006/relationships" ref="J158" r:id="rId101"/>
    <hyperlink xmlns:r="http://schemas.openxmlformats.org/officeDocument/2006/relationships" ref="J159" r:id="rId102"/>
    <hyperlink xmlns:r="http://schemas.openxmlformats.org/officeDocument/2006/relationships" ref="J160" r:id="rId103"/>
    <hyperlink xmlns:r="http://schemas.openxmlformats.org/officeDocument/2006/relationships" ref="J161" r:id="rId104"/>
    <hyperlink xmlns:r="http://schemas.openxmlformats.org/officeDocument/2006/relationships" ref="J163" r:id="rId105"/>
    <hyperlink xmlns:r="http://schemas.openxmlformats.org/officeDocument/2006/relationships" ref="J165" r:id="rId106"/>
    <hyperlink xmlns:r="http://schemas.openxmlformats.org/officeDocument/2006/relationships" ref="J166" r:id="rId107"/>
    <hyperlink xmlns:r="http://schemas.openxmlformats.org/officeDocument/2006/relationships" ref="J167" r:id="rId108"/>
    <hyperlink xmlns:r="http://schemas.openxmlformats.org/officeDocument/2006/relationships" ref="J169" r:id="rId109"/>
    <hyperlink xmlns:r="http://schemas.openxmlformats.org/officeDocument/2006/relationships" ref="J170" r:id="rId110"/>
    <hyperlink xmlns:r="http://schemas.openxmlformats.org/officeDocument/2006/relationships" ref="J171" r:id="rId111"/>
    <hyperlink xmlns:r="http://schemas.openxmlformats.org/officeDocument/2006/relationships" ref="J172" r:id="rId112"/>
    <hyperlink xmlns:r="http://schemas.openxmlformats.org/officeDocument/2006/relationships" ref="J173" r:id="rId113"/>
    <hyperlink xmlns:r="http://schemas.openxmlformats.org/officeDocument/2006/relationships" ref="J174" r:id="rId114"/>
    <hyperlink xmlns:r="http://schemas.openxmlformats.org/officeDocument/2006/relationships" ref="J175" r:id="rId115"/>
    <hyperlink xmlns:r="http://schemas.openxmlformats.org/officeDocument/2006/relationships" ref="J178" r:id="rId116"/>
    <hyperlink xmlns:r="http://schemas.openxmlformats.org/officeDocument/2006/relationships" ref="J179" r:id="rId117"/>
    <hyperlink xmlns:r="http://schemas.openxmlformats.org/officeDocument/2006/relationships" ref="J180" r:id="rId118"/>
    <hyperlink xmlns:r="http://schemas.openxmlformats.org/officeDocument/2006/relationships" ref="J181" r:id="rId119"/>
    <hyperlink xmlns:r="http://schemas.openxmlformats.org/officeDocument/2006/relationships" ref="J182" r:id="rId120"/>
    <hyperlink xmlns:r="http://schemas.openxmlformats.org/officeDocument/2006/relationships" ref="J183" r:id="rId121"/>
    <hyperlink xmlns:r="http://schemas.openxmlformats.org/officeDocument/2006/relationships" ref="J184" r:id="rId122"/>
    <hyperlink xmlns:r="http://schemas.openxmlformats.org/officeDocument/2006/relationships" ref="J185" r:id="rId123"/>
    <hyperlink xmlns:r="http://schemas.openxmlformats.org/officeDocument/2006/relationships" ref="J188" r:id="rId124"/>
    <hyperlink xmlns:r="http://schemas.openxmlformats.org/officeDocument/2006/relationships" ref="J190" r:id="rId125"/>
    <hyperlink xmlns:r="http://schemas.openxmlformats.org/officeDocument/2006/relationships" ref="J192" r:id="rId126"/>
    <hyperlink xmlns:r="http://schemas.openxmlformats.org/officeDocument/2006/relationships" ref="J193" r:id="rId127"/>
    <hyperlink xmlns:r="http://schemas.openxmlformats.org/officeDocument/2006/relationships" ref="J195" r:id="rId128"/>
    <hyperlink xmlns:r="http://schemas.openxmlformats.org/officeDocument/2006/relationships" ref="J196" r:id="rId129"/>
    <hyperlink xmlns:r="http://schemas.openxmlformats.org/officeDocument/2006/relationships" ref="J199" r:id="rId130"/>
    <hyperlink xmlns:r="http://schemas.openxmlformats.org/officeDocument/2006/relationships" ref="J201" r:id="rId131"/>
    <hyperlink xmlns:r="http://schemas.openxmlformats.org/officeDocument/2006/relationships" ref="J202" r:id="rId132"/>
    <hyperlink xmlns:r="http://schemas.openxmlformats.org/officeDocument/2006/relationships" ref="J204" r:id="rId133"/>
    <hyperlink xmlns:r="http://schemas.openxmlformats.org/officeDocument/2006/relationships" ref="J205" r:id="rId134"/>
    <hyperlink xmlns:r="http://schemas.openxmlformats.org/officeDocument/2006/relationships" ref="J206" r:id="rId135"/>
    <hyperlink xmlns:r="http://schemas.openxmlformats.org/officeDocument/2006/relationships" ref="J208" r:id="rId136"/>
    <hyperlink xmlns:r="http://schemas.openxmlformats.org/officeDocument/2006/relationships" ref="J209" r:id="rId137"/>
    <hyperlink xmlns:r="http://schemas.openxmlformats.org/officeDocument/2006/relationships" ref="J211" r:id="rId138"/>
    <hyperlink xmlns:r="http://schemas.openxmlformats.org/officeDocument/2006/relationships" ref="J212" r:id="rId139"/>
    <hyperlink xmlns:r="http://schemas.openxmlformats.org/officeDocument/2006/relationships" ref="J215" r:id="rId140"/>
    <hyperlink xmlns:r="http://schemas.openxmlformats.org/officeDocument/2006/relationships" ref="J216" r:id="rId141"/>
    <hyperlink xmlns:r="http://schemas.openxmlformats.org/officeDocument/2006/relationships" ref="J217" r:id="rId142"/>
    <hyperlink xmlns:r="http://schemas.openxmlformats.org/officeDocument/2006/relationships" ref="J219" r:id="rId143"/>
    <hyperlink xmlns:r="http://schemas.openxmlformats.org/officeDocument/2006/relationships" ref="J220" r:id="rId144"/>
    <hyperlink xmlns:r="http://schemas.openxmlformats.org/officeDocument/2006/relationships" ref="J223" r:id="rId145"/>
    <hyperlink xmlns:r="http://schemas.openxmlformats.org/officeDocument/2006/relationships" ref="J224" r:id="rId146"/>
    <hyperlink xmlns:r="http://schemas.openxmlformats.org/officeDocument/2006/relationships" ref="J228" r:id="rId147"/>
    <hyperlink xmlns:r="http://schemas.openxmlformats.org/officeDocument/2006/relationships" ref="J230" r:id="rId148"/>
    <hyperlink xmlns:r="http://schemas.openxmlformats.org/officeDocument/2006/relationships" ref="J232" r:id="rId149"/>
    <hyperlink xmlns:r="http://schemas.openxmlformats.org/officeDocument/2006/relationships" ref="J234" r:id="rId150"/>
    <hyperlink xmlns:r="http://schemas.openxmlformats.org/officeDocument/2006/relationships" ref="J236" r:id="rId151"/>
    <hyperlink xmlns:r="http://schemas.openxmlformats.org/officeDocument/2006/relationships" ref="J237" r:id="rId152"/>
    <hyperlink xmlns:r="http://schemas.openxmlformats.org/officeDocument/2006/relationships" ref="J240" r:id="rId153"/>
    <hyperlink xmlns:r="http://schemas.openxmlformats.org/officeDocument/2006/relationships" ref="J241" r:id="rId154"/>
    <hyperlink xmlns:r="http://schemas.openxmlformats.org/officeDocument/2006/relationships" ref="J242" r:id="rId155"/>
    <hyperlink xmlns:r="http://schemas.openxmlformats.org/officeDocument/2006/relationships" ref="J244" r:id="rId156"/>
    <hyperlink xmlns:r="http://schemas.openxmlformats.org/officeDocument/2006/relationships" ref="J245" r:id="rId157"/>
    <hyperlink xmlns:r="http://schemas.openxmlformats.org/officeDocument/2006/relationships" ref="J247" r:id="rId158"/>
    <hyperlink xmlns:r="http://schemas.openxmlformats.org/officeDocument/2006/relationships" ref="J249" r:id="rId159"/>
    <hyperlink xmlns:r="http://schemas.openxmlformats.org/officeDocument/2006/relationships" ref="J250" r:id="rId160"/>
    <hyperlink xmlns:r="http://schemas.openxmlformats.org/officeDocument/2006/relationships" ref="J251" r:id="rId161"/>
    <hyperlink xmlns:r="http://schemas.openxmlformats.org/officeDocument/2006/relationships" ref="J252" r:id="rId162"/>
    <hyperlink xmlns:r="http://schemas.openxmlformats.org/officeDocument/2006/relationships" ref="J255" r:id="rId163"/>
    <hyperlink xmlns:r="http://schemas.openxmlformats.org/officeDocument/2006/relationships" ref="J256" r:id="rId164"/>
    <hyperlink xmlns:r="http://schemas.openxmlformats.org/officeDocument/2006/relationships" ref="J257" r:id="rId165"/>
    <hyperlink xmlns:r="http://schemas.openxmlformats.org/officeDocument/2006/relationships" ref="J258" r:id="rId166"/>
    <hyperlink xmlns:r="http://schemas.openxmlformats.org/officeDocument/2006/relationships" ref="J259" r:id="rId167"/>
    <hyperlink xmlns:r="http://schemas.openxmlformats.org/officeDocument/2006/relationships" ref="J264" r:id="rId168"/>
    <hyperlink xmlns:r="http://schemas.openxmlformats.org/officeDocument/2006/relationships" ref="J265" r:id="rId169"/>
    <hyperlink xmlns:r="http://schemas.openxmlformats.org/officeDocument/2006/relationships" ref="J266" r:id="rId170"/>
    <hyperlink xmlns:r="http://schemas.openxmlformats.org/officeDocument/2006/relationships" ref="J267" r:id="rId171"/>
    <hyperlink xmlns:r="http://schemas.openxmlformats.org/officeDocument/2006/relationships" ref="J268" r:id="rId172"/>
    <hyperlink xmlns:r="http://schemas.openxmlformats.org/officeDocument/2006/relationships" ref="J271" r:id="rId173"/>
    <hyperlink xmlns:r="http://schemas.openxmlformats.org/officeDocument/2006/relationships" ref="J272" r:id="rId174"/>
    <hyperlink xmlns:r="http://schemas.openxmlformats.org/officeDocument/2006/relationships" ref="J274" r:id="rId175"/>
    <hyperlink xmlns:r="http://schemas.openxmlformats.org/officeDocument/2006/relationships" ref="J277" r:id="rId176"/>
    <hyperlink xmlns:r="http://schemas.openxmlformats.org/officeDocument/2006/relationships" ref="J278" r:id="rId177"/>
    <hyperlink xmlns:r="http://schemas.openxmlformats.org/officeDocument/2006/relationships" ref="J279" r:id="rId178"/>
    <hyperlink xmlns:r="http://schemas.openxmlformats.org/officeDocument/2006/relationships" ref="J280" r:id="rId179"/>
    <hyperlink xmlns:r="http://schemas.openxmlformats.org/officeDocument/2006/relationships" ref="J281" r:id="rId180"/>
    <hyperlink xmlns:r="http://schemas.openxmlformats.org/officeDocument/2006/relationships" ref="J282" r:id="rId181"/>
    <hyperlink xmlns:r="http://schemas.openxmlformats.org/officeDocument/2006/relationships" ref="J284" r:id="rId182"/>
    <hyperlink xmlns:r="http://schemas.openxmlformats.org/officeDocument/2006/relationships" ref="J285" r:id="rId183"/>
    <hyperlink xmlns:r="http://schemas.openxmlformats.org/officeDocument/2006/relationships" ref="J286" r:id="rId184"/>
    <hyperlink xmlns:r="http://schemas.openxmlformats.org/officeDocument/2006/relationships" ref="J288" r:id="rId185"/>
    <hyperlink xmlns:r="http://schemas.openxmlformats.org/officeDocument/2006/relationships" ref="J289" r:id="rId186"/>
    <hyperlink xmlns:r="http://schemas.openxmlformats.org/officeDocument/2006/relationships" ref="J290" r:id="rId187"/>
    <hyperlink xmlns:r="http://schemas.openxmlformats.org/officeDocument/2006/relationships" ref="J293" r:id="rId188"/>
    <hyperlink xmlns:r="http://schemas.openxmlformats.org/officeDocument/2006/relationships" ref="J299" r:id="rId189"/>
    <hyperlink xmlns:r="http://schemas.openxmlformats.org/officeDocument/2006/relationships" ref="J300" r:id="rId190"/>
    <hyperlink xmlns:r="http://schemas.openxmlformats.org/officeDocument/2006/relationships" ref="J301" r:id="rId191"/>
    <hyperlink xmlns:r="http://schemas.openxmlformats.org/officeDocument/2006/relationships" ref="J302" r:id="rId192"/>
    <hyperlink xmlns:r="http://schemas.openxmlformats.org/officeDocument/2006/relationships" ref="J303" r:id="rId193"/>
    <hyperlink xmlns:r="http://schemas.openxmlformats.org/officeDocument/2006/relationships" ref="J305" r:id="rId194"/>
    <hyperlink xmlns:r="http://schemas.openxmlformats.org/officeDocument/2006/relationships" ref="J306" r:id="rId195"/>
    <hyperlink xmlns:r="http://schemas.openxmlformats.org/officeDocument/2006/relationships" ref="J307" r:id="rId196"/>
    <hyperlink xmlns:r="http://schemas.openxmlformats.org/officeDocument/2006/relationships" ref="J309" r:id="rId197"/>
    <hyperlink xmlns:r="http://schemas.openxmlformats.org/officeDocument/2006/relationships" ref="J310" r:id="rId198"/>
    <hyperlink xmlns:r="http://schemas.openxmlformats.org/officeDocument/2006/relationships" ref="J311" r:id="rId199"/>
    <hyperlink xmlns:r="http://schemas.openxmlformats.org/officeDocument/2006/relationships" ref="J312" r:id="rId200"/>
    <hyperlink xmlns:r="http://schemas.openxmlformats.org/officeDocument/2006/relationships" ref="J313" r:id="rId201"/>
    <hyperlink xmlns:r="http://schemas.openxmlformats.org/officeDocument/2006/relationships" ref="J314" r:id="rId202"/>
    <hyperlink xmlns:r="http://schemas.openxmlformats.org/officeDocument/2006/relationships" ref="J315" r:id="rId203"/>
    <hyperlink xmlns:r="http://schemas.openxmlformats.org/officeDocument/2006/relationships" ref="J316" r:id="rId204"/>
    <hyperlink xmlns:r="http://schemas.openxmlformats.org/officeDocument/2006/relationships" ref="J318" r:id="rId205"/>
    <hyperlink xmlns:r="http://schemas.openxmlformats.org/officeDocument/2006/relationships" ref="J320" r:id="rId206"/>
    <hyperlink xmlns:r="http://schemas.openxmlformats.org/officeDocument/2006/relationships" ref="J321" r:id="rId207"/>
    <hyperlink xmlns:r="http://schemas.openxmlformats.org/officeDocument/2006/relationships" ref="J323" r:id="rId208"/>
    <hyperlink xmlns:r="http://schemas.openxmlformats.org/officeDocument/2006/relationships" ref="J324" r:id="rId209"/>
    <hyperlink xmlns:r="http://schemas.openxmlformats.org/officeDocument/2006/relationships" ref="J325" r:id="rId210"/>
    <hyperlink xmlns:r="http://schemas.openxmlformats.org/officeDocument/2006/relationships" ref="J326" r:id="rId211"/>
    <hyperlink xmlns:r="http://schemas.openxmlformats.org/officeDocument/2006/relationships" ref="J327" r:id="rId212"/>
    <hyperlink xmlns:r="http://schemas.openxmlformats.org/officeDocument/2006/relationships" ref="J328" r:id="rId213"/>
    <hyperlink xmlns:r="http://schemas.openxmlformats.org/officeDocument/2006/relationships" ref="J331" r:id="rId214"/>
    <hyperlink xmlns:r="http://schemas.openxmlformats.org/officeDocument/2006/relationships" ref="J332" r:id="rId215"/>
    <hyperlink xmlns:r="http://schemas.openxmlformats.org/officeDocument/2006/relationships" ref="J333" r:id="rId216"/>
    <hyperlink xmlns:r="http://schemas.openxmlformats.org/officeDocument/2006/relationships" ref="J334" r:id="rId217"/>
    <hyperlink xmlns:r="http://schemas.openxmlformats.org/officeDocument/2006/relationships" ref="J335" r:id="rId218"/>
    <hyperlink xmlns:r="http://schemas.openxmlformats.org/officeDocument/2006/relationships" ref="J337" r:id="rId219"/>
    <hyperlink xmlns:r="http://schemas.openxmlformats.org/officeDocument/2006/relationships" ref="J339" r:id="rId220"/>
    <hyperlink xmlns:r="http://schemas.openxmlformats.org/officeDocument/2006/relationships" ref="J341" r:id="rId221"/>
    <hyperlink xmlns:r="http://schemas.openxmlformats.org/officeDocument/2006/relationships" ref="J342" r:id="rId222"/>
    <hyperlink xmlns:r="http://schemas.openxmlformats.org/officeDocument/2006/relationships" ref="J343" r:id="rId223"/>
    <hyperlink xmlns:r="http://schemas.openxmlformats.org/officeDocument/2006/relationships" ref="J345" r:id="rId224"/>
    <hyperlink xmlns:r="http://schemas.openxmlformats.org/officeDocument/2006/relationships" ref="J346" r:id="rId225"/>
    <hyperlink xmlns:r="http://schemas.openxmlformats.org/officeDocument/2006/relationships" ref="J347" r:id="rId226"/>
    <hyperlink xmlns:r="http://schemas.openxmlformats.org/officeDocument/2006/relationships" ref="J348" r:id="rId227"/>
    <hyperlink xmlns:r="http://schemas.openxmlformats.org/officeDocument/2006/relationships" ref="J350" r:id="rId228"/>
    <hyperlink xmlns:r="http://schemas.openxmlformats.org/officeDocument/2006/relationships" ref="J351" r:id="rId229"/>
    <hyperlink xmlns:r="http://schemas.openxmlformats.org/officeDocument/2006/relationships" ref="J352" r:id="rId230"/>
    <hyperlink xmlns:r="http://schemas.openxmlformats.org/officeDocument/2006/relationships" ref="J353" r:id="rId231"/>
    <hyperlink xmlns:r="http://schemas.openxmlformats.org/officeDocument/2006/relationships" ref="J354" r:id="rId232"/>
    <hyperlink xmlns:r="http://schemas.openxmlformats.org/officeDocument/2006/relationships" ref="J355" r:id="rId233"/>
    <hyperlink xmlns:r="http://schemas.openxmlformats.org/officeDocument/2006/relationships" ref="J357" r:id="rId234"/>
    <hyperlink xmlns:r="http://schemas.openxmlformats.org/officeDocument/2006/relationships" ref="J358" r:id="rId235"/>
    <hyperlink xmlns:r="http://schemas.openxmlformats.org/officeDocument/2006/relationships" ref="J361" r:id="rId236"/>
    <hyperlink xmlns:r="http://schemas.openxmlformats.org/officeDocument/2006/relationships" ref="J364" r:id="rId237"/>
    <hyperlink xmlns:r="http://schemas.openxmlformats.org/officeDocument/2006/relationships" ref="J365" r:id="rId238"/>
    <hyperlink xmlns:r="http://schemas.openxmlformats.org/officeDocument/2006/relationships" ref="J367" r:id="rId239"/>
    <hyperlink xmlns:r="http://schemas.openxmlformats.org/officeDocument/2006/relationships" ref="J368" r:id="rId240"/>
    <hyperlink xmlns:r="http://schemas.openxmlformats.org/officeDocument/2006/relationships" ref="J369" r:id="rId241"/>
    <hyperlink xmlns:r="http://schemas.openxmlformats.org/officeDocument/2006/relationships" ref="J373" r:id="rId242"/>
    <hyperlink xmlns:r="http://schemas.openxmlformats.org/officeDocument/2006/relationships" ref="J374" r:id="rId243"/>
    <hyperlink xmlns:r="http://schemas.openxmlformats.org/officeDocument/2006/relationships" ref="J375" r:id="rId244"/>
    <hyperlink xmlns:r="http://schemas.openxmlformats.org/officeDocument/2006/relationships" ref="J376" r:id="rId245"/>
    <hyperlink xmlns:r="http://schemas.openxmlformats.org/officeDocument/2006/relationships" ref="J377" r:id="rId246"/>
    <hyperlink xmlns:r="http://schemas.openxmlformats.org/officeDocument/2006/relationships" ref="J378" r:id="rId247"/>
    <hyperlink xmlns:r="http://schemas.openxmlformats.org/officeDocument/2006/relationships" ref="J379" r:id="rId248"/>
    <hyperlink xmlns:r="http://schemas.openxmlformats.org/officeDocument/2006/relationships" ref="J385" r:id="rId249"/>
    <hyperlink xmlns:r="http://schemas.openxmlformats.org/officeDocument/2006/relationships" ref="J386" r:id="rId250"/>
    <hyperlink xmlns:r="http://schemas.openxmlformats.org/officeDocument/2006/relationships" ref="J387" r:id="rId251"/>
    <hyperlink xmlns:r="http://schemas.openxmlformats.org/officeDocument/2006/relationships" ref="J388" r:id="rId252"/>
    <hyperlink xmlns:r="http://schemas.openxmlformats.org/officeDocument/2006/relationships" ref="J389" r:id="rId253"/>
    <hyperlink xmlns:r="http://schemas.openxmlformats.org/officeDocument/2006/relationships" ref="J390" r:id="rId254"/>
    <hyperlink xmlns:r="http://schemas.openxmlformats.org/officeDocument/2006/relationships" ref="J392" r:id="rId255"/>
    <hyperlink xmlns:r="http://schemas.openxmlformats.org/officeDocument/2006/relationships" ref="J393" r:id="rId256"/>
    <hyperlink xmlns:r="http://schemas.openxmlformats.org/officeDocument/2006/relationships" ref="J394" r:id="rId257"/>
    <hyperlink xmlns:r="http://schemas.openxmlformats.org/officeDocument/2006/relationships" ref="J395" r:id="rId258"/>
    <hyperlink xmlns:r="http://schemas.openxmlformats.org/officeDocument/2006/relationships" ref="J396" r:id="rId259"/>
    <hyperlink xmlns:r="http://schemas.openxmlformats.org/officeDocument/2006/relationships" ref="J399" r:id="rId260"/>
    <hyperlink xmlns:r="http://schemas.openxmlformats.org/officeDocument/2006/relationships" ref="J402" r:id="rId261"/>
    <hyperlink xmlns:r="http://schemas.openxmlformats.org/officeDocument/2006/relationships" ref="J405" r:id="rId262"/>
    <hyperlink xmlns:r="http://schemas.openxmlformats.org/officeDocument/2006/relationships" ref="J407" r:id="rId263"/>
    <hyperlink xmlns:r="http://schemas.openxmlformats.org/officeDocument/2006/relationships" ref="J408" r:id="rId264"/>
    <hyperlink xmlns:r="http://schemas.openxmlformats.org/officeDocument/2006/relationships" ref="J409" r:id="rId265"/>
    <hyperlink xmlns:r="http://schemas.openxmlformats.org/officeDocument/2006/relationships" ref="J411" r:id="rId266"/>
    <hyperlink xmlns:r="http://schemas.openxmlformats.org/officeDocument/2006/relationships" ref="J415" r:id="rId267"/>
    <hyperlink xmlns:r="http://schemas.openxmlformats.org/officeDocument/2006/relationships" ref="J420" r:id="rId268"/>
    <hyperlink xmlns:r="http://schemas.openxmlformats.org/officeDocument/2006/relationships" ref="J421" r:id="rId269"/>
    <hyperlink xmlns:r="http://schemas.openxmlformats.org/officeDocument/2006/relationships" ref="J422" r:id="rId270"/>
    <hyperlink xmlns:r="http://schemas.openxmlformats.org/officeDocument/2006/relationships" ref="J424" r:id="rId271"/>
    <hyperlink xmlns:r="http://schemas.openxmlformats.org/officeDocument/2006/relationships" ref="J428" r:id="rId272"/>
    <hyperlink xmlns:r="http://schemas.openxmlformats.org/officeDocument/2006/relationships" ref="J429" r:id="rId273"/>
    <hyperlink xmlns:r="http://schemas.openxmlformats.org/officeDocument/2006/relationships" ref="J430" r:id="rId274"/>
    <hyperlink xmlns:r="http://schemas.openxmlformats.org/officeDocument/2006/relationships" ref="J431" r:id="rId275"/>
    <hyperlink xmlns:r="http://schemas.openxmlformats.org/officeDocument/2006/relationships" ref="J432" r:id="rId276"/>
    <hyperlink xmlns:r="http://schemas.openxmlformats.org/officeDocument/2006/relationships" ref="J433" r:id="rId277"/>
    <hyperlink xmlns:r="http://schemas.openxmlformats.org/officeDocument/2006/relationships" ref="J434" r:id="rId278"/>
    <hyperlink xmlns:r="http://schemas.openxmlformats.org/officeDocument/2006/relationships" ref="J436" r:id="rId279"/>
    <hyperlink xmlns:r="http://schemas.openxmlformats.org/officeDocument/2006/relationships" ref="J438" r:id="rId280"/>
    <hyperlink xmlns:r="http://schemas.openxmlformats.org/officeDocument/2006/relationships" ref="J439" r:id="rId281"/>
    <hyperlink xmlns:r="http://schemas.openxmlformats.org/officeDocument/2006/relationships" ref="J440" r:id="rId282"/>
    <hyperlink xmlns:r="http://schemas.openxmlformats.org/officeDocument/2006/relationships" ref="J441" r:id="rId283"/>
    <hyperlink xmlns:r="http://schemas.openxmlformats.org/officeDocument/2006/relationships" ref="J442" r:id="rId284"/>
    <hyperlink xmlns:r="http://schemas.openxmlformats.org/officeDocument/2006/relationships" ref="J444" r:id="rId285"/>
    <hyperlink xmlns:r="http://schemas.openxmlformats.org/officeDocument/2006/relationships" ref="J448" r:id="rId286"/>
    <hyperlink xmlns:r="http://schemas.openxmlformats.org/officeDocument/2006/relationships" ref="J450" r:id="rId287"/>
    <hyperlink xmlns:r="http://schemas.openxmlformats.org/officeDocument/2006/relationships" ref="J455" r:id="rId288"/>
    <hyperlink xmlns:r="http://schemas.openxmlformats.org/officeDocument/2006/relationships" ref="J456" r:id="rId289"/>
    <hyperlink xmlns:r="http://schemas.openxmlformats.org/officeDocument/2006/relationships" ref="J458" r:id="rId290"/>
    <hyperlink xmlns:r="http://schemas.openxmlformats.org/officeDocument/2006/relationships" ref="J459" r:id="rId291"/>
    <hyperlink xmlns:r="http://schemas.openxmlformats.org/officeDocument/2006/relationships" ref="J460" r:id="rId292"/>
    <hyperlink xmlns:r="http://schemas.openxmlformats.org/officeDocument/2006/relationships" ref="J461" r:id="rId293"/>
    <hyperlink xmlns:r="http://schemas.openxmlformats.org/officeDocument/2006/relationships" ref="J463" r:id="rId294"/>
    <hyperlink xmlns:r="http://schemas.openxmlformats.org/officeDocument/2006/relationships" ref="J465" r:id="rId295"/>
    <hyperlink xmlns:r="http://schemas.openxmlformats.org/officeDocument/2006/relationships" ref="J468" r:id="rId296"/>
    <hyperlink xmlns:r="http://schemas.openxmlformats.org/officeDocument/2006/relationships" ref="J470" r:id="rId297"/>
    <hyperlink xmlns:r="http://schemas.openxmlformats.org/officeDocument/2006/relationships" ref="J471" r:id="rId298"/>
    <hyperlink xmlns:r="http://schemas.openxmlformats.org/officeDocument/2006/relationships" ref="J472" r:id="rId299"/>
    <hyperlink xmlns:r="http://schemas.openxmlformats.org/officeDocument/2006/relationships" ref="J474" r:id="rId300"/>
    <hyperlink xmlns:r="http://schemas.openxmlformats.org/officeDocument/2006/relationships" ref="J475" r:id="rId301"/>
    <hyperlink xmlns:r="http://schemas.openxmlformats.org/officeDocument/2006/relationships" ref="J477" r:id="rId302"/>
    <hyperlink xmlns:r="http://schemas.openxmlformats.org/officeDocument/2006/relationships" ref="J479" r:id="rId303"/>
    <hyperlink xmlns:r="http://schemas.openxmlformats.org/officeDocument/2006/relationships" ref="J480" r:id="rId304"/>
    <hyperlink xmlns:r="http://schemas.openxmlformats.org/officeDocument/2006/relationships" ref="J481" r:id="rId305"/>
    <hyperlink xmlns:r="http://schemas.openxmlformats.org/officeDocument/2006/relationships" ref="J482" r:id="rId306"/>
    <hyperlink xmlns:r="http://schemas.openxmlformats.org/officeDocument/2006/relationships" ref="J483" r:id="rId307"/>
    <hyperlink xmlns:r="http://schemas.openxmlformats.org/officeDocument/2006/relationships" ref="J484" r:id="rId308"/>
    <hyperlink xmlns:r="http://schemas.openxmlformats.org/officeDocument/2006/relationships" ref="J485" r:id="rId309"/>
    <hyperlink xmlns:r="http://schemas.openxmlformats.org/officeDocument/2006/relationships" ref="J489" r:id="rId310"/>
    <hyperlink xmlns:r="http://schemas.openxmlformats.org/officeDocument/2006/relationships" ref="J490" r:id="rId311"/>
    <hyperlink xmlns:r="http://schemas.openxmlformats.org/officeDocument/2006/relationships" ref="J491" r:id="rId312"/>
    <hyperlink xmlns:r="http://schemas.openxmlformats.org/officeDocument/2006/relationships" ref="J495" r:id="rId313"/>
    <hyperlink xmlns:r="http://schemas.openxmlformats.org/officeDocument/2006/relationships" ref="J496" r:id="rId314"/>
    <hyperlink xmlns:r="http://schemas.openxmlformats.org/officeDocument/2006/relationships" ref="J497" r:id="rId315"/>
    <hyperlink xmlns:r="http://schemas.openxmlformats.org/officeDocument/2006/relationships" ref="J498" r:id="rId316"/>
    <hyperlink xmlns:r="http://schemas.openxmlformats.org/officeDocument/2006/relationships" ref="J499" r:id="rId317"/>
    <hyperlink xmlns:r="http://schemas.openxmlformats.org/officeDocument/2006/relationships" ref="J500" r:id="rId318"/>
    <hyperlink xmlns:r="http://schemas.openxmlformats.org/officeDocument/2006/relationships" ref="J502" r:id="rId319"/>
    <hyperlink xmlns:r="http://schemas.openxmlformats.org/officeDocument/2006/relationships" ref="J503" r:id="rId320"/>
    <hyperlink xmlns:r="http://schemas.openxmlformats.org/officeDocument/2006/relationships" ref="J504" r:id="rId321"/>
    <hyperlink xmlns:r="http://schemas.openxmlformats.org/officeDocument/2006/relationships" ref="J505" r:id="rId322"/>
    <hyperlink xmlns:r="http://schemas.openxmlformats.org/officeDocument/2006/relationships" ref="J506" r:id="rId323"/>
    <hyperlink xmlns:r="http://schemas.openxmlformats.org/officeDocument/2006/relationships" ref="J509" r:id="rId324"/>
    <hyperlink xmlns:r="http://schemas.openxmlformats.org/officeDocument/2006/relationships" ref="J510" r:id="rId325"/>
    <hyperlink xmlns:r="http://schemas.openxmlformats.org/officeDocument/2006/relationships" ref="J513" r:id="rId326"/>
    <hyperlink xmlns:r="http://schemas.openxmlformats.org/officeDocument/2006/relationships" ref="J516" r:id="rId327"/>
    <hyperlink xmlns:r="http://schemas.openxmlformats.org/officeDocument/2006/relationships" ref="J519" r:id="rId328"/>
    <hyperlink xmlns:r="http://schemas.openxmlformats.org/officeDocument/2006/relationships" ref="J520" r:id="rId329"/>
    <hyperlink xmlns:r="http://schemas.openxmlformats.org/officeDocument/2006/relationships" ref="J521" r:id="rId330"/>
    <hyperlink xmlns:r="http://schemas.openxmlformats.org/officeDocument/2006/relationships" ref="J522" r:id="rId331"/>
    <hyperlink xmlns:r="http://schemas.openxmlformats.org/officeDocument/2006/relationships" ref="J523" r:id="rId332"/>
    <hyperlink xmlns:r="http://schemas.openxmlformats.org/officeDocument/2006/relationships" ref="J524" r:id="rId333"/>
    <hyperlink xmlns:r="http://schemas.openxmlformats.org/officeDocument/2006/relationships" ref="J526" r:id="rId334"/>
    <hyperlink xmlns:r="http://schemas.openxmlformats.org/officeDocument/2006/relationships" ref="J528" r:id="rId335"/>
    <hyperlink xmlns:r="http://schemas.openxmlformats.org/officeDocument/2006/relationships" ref="J530" r:id="rId336"/>
    <hyperlink xmlns:r="http://schemas.openxmlformats.org/officeDocument/2006/relationships" ref="J531" r:id="rId337"/>
    <hyperlink xmlns:r="http://schemas.openxmlformats.org/officeDocument/2006/relationships" ref="J532" r:id="rId338"/>
    <hyperlink xmlns:r="http://schemas.openxmlformats.org/officeDocument/2006/relationships" ref="J534" r:id="rId339"/>
    <hyperlink xmlns:r="http://schemas.openxmlformats.org/officeDocument/2006/relationships" ref="J535" r:id="rId340"/>
    <hyperlink xmlns:r="http://schemas.openxmlformats.org/officeDocument/2006/relationships" ref="J536" r:id="rId341"/>
    <hyperlink xmlns:r="http://schemas.openxmlformats.org/officeDocument/2006/relationships" ref="J537" r:id="rId342"/>
    <hyperlink xmlns:r="http://schemas.openxmlformats.org/officeDocument/2006/relationships" ref="J538" r:id="rId343"/>
    <hyperlink xmlns:r="http://schemas.openxmlformats.org/officeDocument/2006/relationships" ref="J539" r:id="rId344"/>
    <hyperlink xmlns:r="http://schemas.openxmlformats.org/officeDocument/2006/relationships" ref="J540" r:id="rId345"/>
    <hyperlink xmlns:r="http://schemas.openxmlformats.org/officeDocument/2006/relationships" ref="J541" r:id="rId346"/>
    <hyperlink xmlns:r="http://schemas.openxmlformats.org/officeDocument/2006/relationships" ref="J542" r:id="rId347"/>
    <hyperlink xmlns:r="http://schemas.openxmlformats.org/officeDocument/2006/relationships" ref="J546" r:id="rId348"/>
    <hyperlink xmlns:r="http://schemas.openxmlformats.org/officeDocument/2006/relationships" ref="J561" r:id="rId349"/>
    <hyperlink xmlns:r="http://schemas.openxmlformats.org/officeDocument/2006/relationships" ref="J562" r:id="rId350"/>
    <hyperlink xmlns:r="http://schemas.openxmlformats.org/officeDocument/2006/relationships" ref="J563" r:id="rId351"/>
    <hyperlink xmlns:r="http://schemas.openxmlformats.org/officeDocument/2006/relationships" ref="J564" r:id="rId352"/>
    <hyperlink xmlns:r="http://schemas.openxmlformats.org/officeDocument/2006/relationships" ref="J566" r:id="rId353"/>
    <hyperlink xmlns:r="http://schemas.openxmlformats.org/officeDocument/2006/relationships" ref="J567" r:id="rId354"/>
    <hyperlink xmlns:r="http://schemas.openxmlformats.org/officeDocument/2006/relationships" ref="J570" r:id="rId355"/>
    <hyperlink xmlns:r="http://schemas.openxmlformats.org/officeDocument/2006/relationships" ref="J571" r:id="rId356"/>
    <hyperlink xmlns:r="http://schemas.openxmlformats.org/officeDocument/2006/relationships" ref="J572" r:id="rId357"/>
    <hyperlink xmlns:r="http://schemas.openxmlformats.org/officeDocument/2006/relationships" ref="J575" r:id="rId358"/>
    <hyperlink xmlns:r="http://schemas.openxmlformats.org/officeDocument/2006/relationships" ref="J577" r:id="rId359"/>
    <hyperlink xmlns:r="http://schemas.openxmlformats.org/officeDocument/2006/relationships" ref="J578" r:id="rId360"/>
    <hyperlink xmlns:r="http://schemas.openxmlformats.org/officeDocument/2006/relationships" ref="J579" r:id="rId361"/>
    <hyperlink xmlns:r="http://schemas.openxmlformats.org/officeDocument/2006/relationships" ref="J580" r:id="rId362"/>
    <hyperlink xmlns:r="http://schemas.openxmlformats.org/officeDocument/2006/relationships" ref="J581" r:id="rId363"/>
    <hyperlink xmlns:r="http://schemas.openxmlformats.org/officeDocument/2006/relationships" ref="J582" r:id="rId364"/>
    <hyperlink xmlns:r="http://schemas.openxmlformats.org/officeDocument/2006/relationships" ref="J583" r:id="rId365"/>
    <hyperlink xmlns:r="http://schemas.openxmlformats.org/officeDocument/2006/relationships" ref="J584" r:id="rId366"/>
    <hyperlink xmlns:r="http://schemas.openxmlformats.org/officeDocument/2006/relationships" ref="J585" r:id="rId367"/>
    <hyperlink xmlns:r="http://schemas.openxmlformats.org/officeDocument/2006/relationships" ref="J586" r:id="rId368"/>
    <hyperlink xmlns:r="http://schemas.openxmlformats.org/officeDocument/2006/relationships" ref="J587" r:id="rId369"/>
    <hyperlink xmlns:r="http://schemas.openxmlformats.org/officeDocument/2006/relationships" ref="J588" r:id="rId370"/>
    <hyperlink xmlns:r="http://schemas.openxmlformats.org/officeDocument/2006/relationships" ref="J589" r:id="rId371"/>
    <hyperlink xmlns:r="http://schemas.openxmlformats.org/officeDocument/2006/relationships" ref="J591" r:id="rId372"/>
    <hyperlink xmlns:r="http://schemas.openxmlformats.org/officeDocument/2006/relationships" ref="J592" r:id="rId373"/>
    <hyperlink xmlns:r="http://schemas.openxmlformats.org/officeDocument/2006/relationships" ref="J593" r:id="rId374"/>
    <hyperlink xmlns:r="http://schemas.openxmlformats.org/officeDocument/2006/relationships" ref="J595" r:id="rId375"/>
    <hyperlink xmlns:r="http://schemas.openxmlformats.org/officeDocument/2006/relationships" ref="J596" r:id="rId376"/>
    <hyperlink xmlns:r="http://schemas.openxmlformats.org/officeDocument/2006/relationships" ref="J597" r:id="rId377"/>
    <hyperlink xmlns:r="http://schemas.openxmlformats.org/officeDocument/2006/relationships" ref="J603" r:id="rId378"/>
    <hyperlink xmlns:r="http://schemas.openxmlformats.org/officeDocument/2006/relationships" ref="J604" r:id="rId379"/>
    <hyperlink xmlns:r="http://schemas.openxmlformats.org/officeDocument/2006/relationships" ref="J605" r:id="rId380"/>
    <hyperlink xmlns:r="http://schemas.openxmlformats.org/officeDocument/2006/relationships" ref="J606" r:id="rId381"/>
    <hyperlink xmlns:r="http://schemas.openxmlformats.org/officeDocument/2006/relationships" ref="J608" r:id="rId382"/>
    <hyperlink xmlns:r="http://schemas.openxmlformats.org/officeDocument/2006/relationships" ref="J610" r:id="rId383"/>
    <hyperlink xmlns:r="http://schemas.openxmlformats.org/officeDocument/2006/relationships" ref="J611" r:id="rId384"/>
    <hyperlink xmlns:r="http://schemas.openxmlformats.org/officeDocument/2006/relationships" ref="J614" r:id="rId385"/>
    <hyperlink xmlns:r="http://schemas.openxmlformats.org/officeDocument/2006/relationships" ref="J615" r:id="rId386"/>
    <hyperlink xmlns:r="http://schemas.openxmlformats.org/officeDocument/2006/relationships" ref="J616" r:id="rId387"/>
    <hyperlink xmlns:r="http://schemas.openxmlformats.org/officeDocument/2006/relationships" ref="J617" r:id="rId388"/>
    <hyperlink xmlns:r="http://schemas.openxmlformats.org/officeDocument/2006/relationships" ref="J618" r:id="rId389"/>
    <hyperlink xmlns:r="http://schemas.openxmlformats.org/officeDocument/2006/relationships" ref="J620" r:id="rId390"/>
    <hyperlink xmlns:r="http://schemas.openxmlformats.org/officeDocument/2006/relationships" ref="J621" r:id="rId391"/>
    <hyperlink xmlns:r="http://schemas.openxmlformats.org/officeDocument/2006/relationships" ref="J622" r:id="rId392"/>
    <hyperlink xmlns:r="http://schemas.openxmlformats.org/officeDocument/2006/relationships" ref="J623" r:id="rId393"/>
    <hyperlink xmlns:r="http://schemas.openxmlformats.org/officeDocument/2006/relationships" ref="J624" r:id="rId394"/>
    <hyperlink xmlns:r="http://schemas.openxmlformats.org/officeDocument/2006/relationships" ref="J626" r:id="rId395"/>
    <hyperlink xmlns:r="http://schemas.openxmlformats.org/officeDocument/2006/relationships" ref="J627" r:id="rId396"/>
    <hyperlink xmlns:r="http://schemas.openxmlformats.org/officeDocument/2006/relationships" ref="J628" r:id="rId397"/>
    <hyperlink xmlns:r="http://schemas.openxmlformats.org/officeDocument/2006/relationships" ref="J629" r:id="rId398"/>
    <hyperlink xmlns:r="http://schemas.openxmlformats.org/officeDocument/2006/relationships" ref="J631" r:id="rId399"/>
    <hyperlink xmlns:r="http://schemas.openxmlformats.org/officeDocument/2006/relationships" ref="J632" r:id="rId400"/>
    <hyperlink xmlns:r="http://schemas.openxmlformats.org/officeDocument/2006/relationships" ref="J634" r:id="rId401"/>
    <hyperlink xmlns:r="http://schemas.openxmlformats.org/officeDocument/2006/relationships" ref="J635" r:id="rId402"/>
    <hyperlink xmlns:r="http://schemas.openxmlformats.org/officeDocument/2006/relationships" ref="J639" r:id="rId403"/>
    <hyperlink xmlns:r="http://schemas.openxmlformats.org/officeDocument/2006/relationships" ref="J641" r:id="rId404"/>
    <hyperlink xmlns:r="http://schemas.openxmlformats.org/officeDocument/2006/relationships" ref="J648" r:id="rId405"/>
    <hyperlink xmlns:r="http://schemas.openxmlformats.org/officeDocument/2006/relationships" ref="J649" r:id="rId406"/>
    <hyperlink xmlns:r="http://schemas.openxmlformats.org/officeDocument/2006/relationships" ref="J650" r:id="rId407"/>
    <hyperlink xmlns:r="http://schemas.openxmlformats.org/officeDocument/2006/relationships" ref="J652" r:id="rId408"/>
    <hyperlink xmlns:r="http://schemas.openxmlformats.org/officeDocument/2006/relationships" ref="J655" r:id="rId409"/>
    <hyperlink xmlns:r="http://schemas.openxmlformats.org/officeDocument/2006/relationships" ref="J656" r:id="rId410"/>
    <hyperlink xmlns:r="http://schemas.openxmlformats.org/officeDocument/2006/relationships" ref="J658" r:id="rId411"/>
    <hyperlink xmlns:r="http://schemas.openxmlformats.org/officeDocument/2006/relationships" ref="J659" r:id="rId412"/>
    <hyperlink xmlns:r="http://schemas.openxmlformats.org/officeDocument/2006/relationships" ref="J661" r:id="rId413"/>
    <hyperlink xmlns:r="http://schemas.openxmlformats.org/officeDocument/2006/relationships" ref="J662" r:id="rId414"/>
    <hyperlink xmlns:r="http://schemas.openxmlformats.org/officeDocument/2006/relationships" ref="J663" r:id="rId415"/>
    <hyperlink xmlns:r="http://schemas.openxmlformats.org/officeDocument/2006/relationships" ref="J664" r:id="rId416"/>
    <hyperlink xmlns:r="http://schemas.openxmlformats.org/officeDocument/2006/relationships" ref="J665" r:id="rId417"/>
    <hyperlink xmlns:r="http://schemas.openxmlformats.org/officeDocument/2006/relationships" ref="J668" r:id="rId418"/>
    <hyperlink xmlns:r="http://schemas.openxmlformats.org/officeDocument/2006/relationships" ref="J669" r:id="rId419"/>
    <hyperlink xmlns:r="http://schemas.openxmlformats.org/officeDocument/2006/relationships" ref="J670" r:id="rId420"/>
    <hyperlink xmlns:r="http://schemas.openxmlformats.org/officeDocument/2006/relationships" ref="J671" r:id="rId421"/>
    <hyperlink xmlns:r="http://schemas.openxmlformats.org/officeDocument/2006/relationships" ref="J672" r:id="rId422"/>
    <hyperlink xmlns:r="http://schemas.openxmlformats.org/officeDocument/2006/relationships" ref="J675" r:id="rId423"/>
    <hyperlink xmlns:r="http://schemas.openxmlformats.org/officeDocument/2006/relationships" ref="J677" r:id="rId424"/>
    <hyperlink xmlns:r="http://schemas.openxmlformats.org/officeDocument/2006/relationships" ref="J678" r:id="rId425"/>
    <hyperlink xmlns:r="http://schemas.openxmlformats.org/officeDocument/2006/relationships" ref="J679" r:id="rId426"/>
    <hyperlink xmlns:r="http://schemas.openxmlformats.org/officeDocument/2006/relationships" ref="J681" r:id="rId427"/>
    <hyperlink xmlns:r="http://schemas.openxmlformats.org/officeDocument/2006/relationships" ref="J682" r:id="rId428"/>
    <hyperlink xmlns:r="http://schemas.openxmlformats.org/officeDocument/2006/relationships" ref="J683" r:id="rId429"/>
    <hyperlink xmlns:r="http://schemas.openxmlformats.org/officeDocument/2006/relationships" ref="J685" r:id="rId430"/>
    <hyperlink xmlns:r="http://schemas.openxmlformats.org/officeDocument/2006/relationships" ref="J686" r:id="rId431"/>
    <hyperlink xmlns:r="http://schemas.openxmlformats.org/officeDocument/2006/relationships" ref="J687" r:id="rId432"/>
    <hyperlink xmlns:r="http://schemas.openxmlformats.org/officeDocument/2006/relationships" ref="J688" r:id="rId433"/>
    <hyperlink xmlns:r="http://schemas.openxmlformats.org/officeDocument/2006/relationships" ref="J689" r:id="rId434"/>
    <hyperlink xmlns:r="http://schemas.openxmlformats.org/officeDocument/2006/relationships" ref="J690" r:id="rId435"/>
    <hyperlink xmlns:r="http://schemas.openxmlformats.org/officeDocument/2006/relationships" ref="J691" r:id="rId436"/>
    <hyperlink xmlns:r="http://schemas.openxmlformats.org/officeDocument/2006/relationships" ref="J692" r:id="rId437"/>
    <hyperlink xmlns:r="http://schemas.openxmlformats.org/officeDocument/2006/relationships" ref="J693" r:id="rId438"/>
    <hyperlink xmlns:r="http://schemas.openxmlformats.org/officeDocument/2006/relationships" ref="J694" r:id="rId439"/>
    <hyperlink xmlns:r="http://schemas.openxmlformats.org/officeDocument/2006/relationships" ref="J695" r:id="rId440"/>
    <hyperlink xmlns:r="http://schemas.openxmlformats.org/officeDocument/2006/relationships" ref="J697" r:id="rId441"/>
    <hyperlink xmlns:r="http://schemas.openxmlformats.org/officeDocument/2006/relationships" ref="J700" r:id="rId442"/>
    <hyperlink xmlns:r="http://schemas.openxmlformats.org/officeDocument/2006/relationships" ref="J702" r:id="rId443"/>
    <hyperlink xmlns:r="http://schemas.openxmlformats.org/officeDocument/2006/relationships" ref="J704" r:id="rId444"/>
    <hyperlink xmlns:r="http://schemas.openxmlformats.org/officeDocument/2006/relationships" ref="J705" r:id="rId445"/>
    <hyperlink xmlns:r="http://schemas.openxmlformats.org/officeDocument/2006/relationships" ref="J706" r:id="rId446"/>
    <hyperlink xmlns:r="http://schemas.openxmlformats.org/officeDocument/2006/relationships" ref="J707" r:id="rId447"/>
    <hyperlink xmlns:r="http://schemas.openxmlformats.org/officeDocument/2006/relationships" ref="J708" r:id="rId448"/>
    <hyperlink xmlns:r="http://schemas.openxmlformats.org/officeDocument/2006/relationships" ref="J709" r:id="rId449"/>
    <hyperlink xmlns:r="http://schemas.openxmlformats.org/officeDocument/2006/relationships" ref="J712" r:id="rId450"/>
    <hyperlink xmlns:r="http://schemas.openxmlformats.org/officeDocument/2006/relationships" ref="J713" r:id="rId451"/>
    <hyperlink xmlns:r="http://schemas.openxmlformats.org/officeDocument/2006/relationships" ref="J714" r:id="rId452"/>
    <hyperlink xmlns:r="http://schemas.openxmlformats.org/officeDocument/2006/relationships" ref="J715" r:id="rId453"/>
    <hyperlink xmlns:r="http://schemas.openxmlformats.org/officeDocument/2006/relationships" ref="J716" r:id="rId454"/>
    <hyperlink xmlns:r="http://schemas.openxmlformats.org/officeDocument/2006/relationships" ref="J717" r:id="rId455"/>
    <hyperlink xmlns:r="http://schemas.openxmlformats.org/officeDocument/2006/relationships" ref="J718" r:id="rId456"/>
    <hyperlink xmlns:r="http://schemas.openxmlformats.org/officeDocument/2006/relationships" ref="J719" r:id="rId457"/>
    <hyperlink xmlns:r="http://schemas.openxmlformats.org/officeDocument/2006/relationships" ref="J721" r:id="rId458"/>
    <hyperlink xmlns:r="http://schemas.openxmlformats.org/officeDocument/2006/relationships" ref="J722" r:id="rId459"/>
    <hyperlink xmlns:r="http://schemas.openxmlformats.org/officeDocument/2006/relationships" ref="J723" r:id="rId460"/>
    <hyperlink xmlns:r="http://schemas.openxmlformats.org/officeDocument/2006/relationships" ref="J724" r:id="rId461"/>
    <hyperlink xmlns:r="http://schemas.openxmlformats.org/officeDocument/2006/relationships" ref="J725" r:id="rId462"/>
    <hyperlink xmlns:r="http://schemas.openxmlformats.org/officeDocument/2006/relationships" ref="J726" r:id="rId463"/>
    <hyperlink xmlns:r="http://schemas.openxmlformats.org/officeDocument/2006/relationships" ref="J727" r:id="rId464"/>
    <hyperlink xmlns:r="http://schemas.openxmlformats.org/officeDocument/2006/relationships" ref="J728" r:id="rId465"/>
    <hyperlink xmlns:r="http://schemas.openxmlformats.org/officeDocument/2006/relationships" ref="J730" r:id="rId466"/>
    <hyperlink xmlns:r="http://schemas.openxmlformats.org/officeDocument/2006/relationships" ref="J732" r:id="rId467"/>
    <hyperlink xmlns:r="http://schemas.openxmlformats.org/officeDocument/2006/relationships" ref="J733" r:id="rId468"/>
    <hyperlink xmlns:r="http://schemas.openxmlformats.org/officeDocument/2006/relationships" ref="J735" r:id="rId469"/>
    <hyperlink xmlns:r="http://schemas.openxmlformats.org/officeDocument/2006/relationships" ref="J736" r:id="rId470"/>
    <hyperlink xmlns:r="http://schemas.openxmlformats.org/officeDocument/2006/relationships" ref="J739" r:id="rId471"/>
    <hyperlink xmlns:r="http://schemas.openxmlformats.org/officeDocument/2006/relationships" ref="J740" r:id="rId472"/>
    <hyperlink xmlns:r="http://schemas.openxmlformats.org/officeDocument/2006/relationships" ref="J744" r:id="rId473"/>
    <hyperlink xmlns:r="http://schemas.openxmlformats.org/officeDocument/2006/relationships" ref="J747" r:id="rId474"/>
    <hyperlink xmlns:r="http://schemas.openxmlformats.org/officeDocument/2006/relationships" ref="J749" r:id="rId475"/>
    <hyperlink xmlns:r="http://schemas.openxmlformats.org/officeDocument/2006/relationships" ref="J750" r:id="rId476"/>
    <hyperlink xmlns:r="http://schemas.openxmlformats.org/officeDocument/2006/relationships" ref="J751" r:id="rId477"/>
    <hyperlink xmlns:r="http://schemas.openxmlformats.org/officeDocument/2006/relationships" ref="J753" r:id="rId478"/>
    <hyperlink xmlns:r="http://schemas.openxmlformats.org/officeDocument/2006/relationships" ref="J754" r:id="rId479"/>
    <hyperlink xmlns:r="http://schemas.openxmlformats.org/officeDocument/2006/relationships" ref="J757" r:id="rId480"/>
    <hyperlink xmlns:r="http://schemas.openxmlformats.org/officeDocument/2006/relationships" ref="J758" r:id="rId481"/>
    <hyperlink xmlns:r="http://schemas.openxmlformats.org/officeDocument/2006/relationships" ref="J760" r:id="rId482"/>
    <hyperlink xmlns:r="http://schemas.openxmlformats.org/officeDocument/2006/relationships" ref="J763" r:id="rId483"/>
    <hyperlink xmlns:r="http://schemas.openxmlformats.org/officeDocument/2006/relationships" ref="J764" r:id="rId484"/>
    <hyperlink xmlns:r="http://schemas.openxmlformats.org/officeDocument/2006/relationships" ref="J765" r:id="rId485"/>
    <hyperlink xmlns:r="http://schemas.openxmlformats.org/officeDocument/2006/relationships" ref="J766" r:id="rId486"/>
    <hyperlink xmlns:r="http://schemas.openxmlformats.org/officeDocument/2006/relationships" ref="J767" r:id="rId487"/>
    <hyperlink xmlns:r="http://schemas.openxmlformats.org/officeDocument/2006/relationships" ref="J770" r:id="rId488"/>
    <hyperlink xmlns:r="http://schemas.openxmlformats.org/officeDocument/2006/relationships" ref="J774" r:id="rId489"/>
    <hyperlink xmlns:r="http://schemas.openxmlformats.org/officeDocument/2006/relationships" ref="J775" r:id="rId490"/>
    <hyperlink xmlns:r="http://schemas.openxmlformats.org/officeDocument/2006/relationships" ref="J776" r:id="rId491"/>
    <hyperlink xmlns:r="http://schemas.openxmlformats.org/officeDocument/2006/relationships" ref="J779" r:id="rId492"/>
    <hyperlink xmlns:r="http://schemas.openxmlformats.org/officeDocument/2006/relationships" ref="J781" r:id="rId493"/>
    <hyperlink xmlns:r="http://schemas.openxmlformats.org/officeDocument/2006/relationships" ref="J782" r:id="rId494"/>
    <hyperlink xmlns:r="http://schemas.openxmlformats.org/officeDocument/2006/relationships" ref="J783" r:id="rId495"/>
    <hyperlink xmlns:r="http://schemas.openxmlformats.org/officeDocument/2006/relationships" ref="J785" r:id="rId496"/>
    <hyperlink xmlns:r="http://schemas.openxmlformats.org/officeDocument/2006/relationships" ref="J786" r:id="rId497"/>
    <hyperlink xmlns:r="http://schemas.openxmlformats.org/officeDocument/2006/relationships" ref="J787" r:id="rId498"/>
    <hyperlink xmlns:r="http://schemas.openxmlformats.org/officeDocument/2006/relationships" ref="J788" r:id="rId499"/>
    <hyperlink xmlns:r="http://schemas.openxmlformats.org/officeDocument/2006/relationships" ref="J790" r:id="rId500"/>
    <hyperlink xmlns:r="http://schemas.openxmlformats.org/officeDocument/2006/relationships" ref="J791" r:id="rId501"/>
    <hyperlink xmlns:r="http://schemas.openxmlformats.org/officeDocument/2006/relationships" ref="J793" r:id="rId502"/>
    <hyperlink xmlns:r="http://schemas.openxmlformats.org/officeDocument/2006/relationships" ref="J797" r:id="rId503"/>
    <hyperlink xmlns:r="http://schemas.openxmlformats.org/officeDocument/2006/relationships" ref="J800" r:id="rId504"/>
    <hyperlink xmlns:r="http://schemas.openxmlformats.org/officeDocument/2006/relationships" ref="J801" r:id="rId505"/>
    <hyperlink xmlns:r="http://schemas.openxmlformats.org/officeDocument/2006/relationships" ref="J802" r:id="rId506"/>
    <hyperlink xmlns:r="http://schemas.openxmlformats.org/officeDocument/2006/relationships" ref="J804" r:id="rId507"/>
    <hyperlink xmlns:r="http://schemas.openxmlformats.org/officeDocument/2006/relationships" ref="J808" r:id="rId508"/>
    <hyperlink xmlns:r="http://schemas.openxmlformats.org/officeDocument/2006/relationships" ref="J809" r:id="rId509"/>
    <hyperlink xmlns:r="http://schemas.openxmlformats.org/officeDocument/2006/relationships" ref="J811" r:id="rId510"/>
    <hyperlink xmlns:r="http://schemas.openxmlformats.org/officeDocument/2006/relationships" ref="J813" r:id="rId511"/>
    <hyperlink xmlns:r="http://schemas.openxmlformats.org/officeDocument/2006/relationships" ref="J815" r:id="rId512"/>
    <hyperlink xmlns:r="http://schemas.openxmlformats.org/officeDocument/2006/relationships" ref="J819" r:id="rId513"/>
    <hyperlink xmlns:r="http://schemas.openxmlformats.org/officeDocument/2006/relationships" ref="J820" r:id="rId514"/>
    <hyperlink xmlns:r="http://schemas.openxmlformats.org/officeDocument/2006/relationships" ref="J822" r:id="rId515"/>
    <hyperlink xmlns:r="http://schemas.openxmlformats.org/officeDocument/2006/relationships" ref="J823" r:id="rId516"/>
    <hyperlink xmlns:r="http://schemas.openxmlformats.org/officeDocument/2006/relationships" ref="J824" r:id="rId517"/>
    <hyperlink xmlns:r="http://schemas.openxmlformats.org/officeDocument/2006/relationships" ref="J825" r:id="rId518"/>
    <hyperlink xmlns:r="http://schemas.openxmlformats.org/officeDocument/2006/relationships" ref="J830" r:id="rId519"/>
    <hyperlink xmlns:r="http://schemas.openxmlformats.org/officeDocument/2006/relationships" ref="J833" r:id="rId520"/>
    <hyperlink xmlns:r="http://schemas.openxmlformats.org/officeDocument/2006/relationships" ref="J834" r:id="rId521"/>
    <hyperlink xmlns:r="http://schemas.openxmlformats.org/officeDocument/2006/relationships" ref="J836" r:id="rId522"/>
    <hyperlink xmlns:r="http://schemas.openxmlformats.org/officeDocument/2006/relationships" ref="J837" r:id="rId523"/>
    <hyperlink xmlns:r="http://schemas.openxmlformats.org/officeDocument/2006/relationships" ref="J838" r:id="rId524"/>
    <hyperlink xmlns:r="http://schemas.openxmlformats.org/officeDocument/2006/relationships" ref="J840" r:id="rId525"/>
    <hyperlink xmlns:r="http://schemas.openxmlformats.org/officeDocument/2006/relationships" ref="J841" r:id="rId526"/>
    <hyperlink xmlns:r="http://schemas.openxmlformats.org/officeDocument/2006/relationships" ref="J842" r:id="rId527"/>
    <hyperlink xmlns:r="http://schemas.openxmlformats.org/officeDocument/2006/relationships" ref="J844" r:id="rId528"/>
    <hyperlink xmlns:r="http://schemas.openxmlformats.org/officeDocument/2006/relationships" ref="J845" r:id="rId529"/>
    <hyperlink xmlns:r="http://schemas.openxmlformats.org/officeDocument/2006/relationships" ref="J847" r:id="rId530"/>
    <hyperlink xmlns:r="http://schemas.openxmlformats.org/officeDocument/2006/relationships" ref="J849" r:id="rId531"/>
    <hyperlink xmlns:r="http://schemas.openxmlformats.org/officeDocument/2006/relationships" ref="J850" r:id="rId532"/>
    <hyperlink xmlns:r="http://schemas.openxmlformats.org/officeDocument/2006/relationships" ref="J851" r:id="rId533"/>
    <hyperlink xmlns:r="http://schemas.openxmlformats.org/officeDocument/2006/relationships" ref="J853" r:id="rId534"/>
    <hyperlink xmlns:r="http://schemas.openxmlformats.org/officeDocument/2006/relationships" ref="J854" r:id="rId535"/>
    <hyperlink xmlns:r="http://schemas.openxmlformats.org/officeDocument/2006/relationships" ref="J855" r:id="rId536"/>
  </hyperlinks>
  <pageMargins left="0.7" right="0.7" top="0.75" bottom="0.75" header="0.511811023622047" footer="0.511811023622047"/>
  <pageSetup orientation="portrait" horizontalDpi="300" verticalDpi="300"/>
  <tableParts count="1">
    <tablePart xmlns:r="http://schemas.openxmlformats.org/officeDocument/2006/relationships" r:id="rId537"/>
  </tableParts>
</worksheet>
</file>

<file path=xl/worksheets/sheet2.xml><?xml version="1.0" encoding="utf-8"?>
<worksheet xmlns="http://schemas.openxmlformats.org/spreadsheetml/2006/main">
  <sheetPr>
    <outlinePr summaryBelow="1" summaryRight="1"/>
    <pageSetUpPr/>
  </sheetPr>
  <dimension ref="A1:E1228"/>
  <sheetViews>
    <sheetView topLeftCell="A1183" zoomScaleNormal="100" workbookViewId="0">
      <selection activeCell="B1221" sqref="B1221"/>
    </sheetView>
  </sheetViews>
  <sheetFormatPr baseColWidth="8" defaultColWidth="8.7109375" defaultRowHeight="15"/>
  <cols>
    <col width="54.85546875" customWidth="1" min="1" max="2"/>
    <col width="17.42578125" customWidth="1" min="3" max="3"/>
    <col width="21.140625" customWidth="1" min="4" max="4"/>
    <col width="189" customWidth="1" min="5" max="5"/>
  </cols>
  <sheetData>
    <row r="1" ht="15" customHeight="1">
      <c r="A1" t="inlineStr">
        <is>
          <t>Influencer</t>
        </is>
      </c>
      <c r="B1" t="inlineStr">
        <is>
          <t>Influencee</t>
        </is>
      </c>
      <c r="C1" t="inlineStr">
        <is>
          <t>Influencer Time</t>
        </is>
      </c>
      <c r="D1" t="inlineStr">
        <is>
          <t>Dev/Series Relation</t>
        </is>
      </c>
      <c r="E1" t="inlineStr">
        <is>
          <t>Source</t>
        </is>
      </c>
    </row>
    <row r="2" ht="15" customHeight="1">
      <c r="A2" t="inlineStr">
        <is>
          <t>100 Rogues</t>
        </is>
      </c>
      <c r="B2" t="inlineStr">
        <is>
          <t>Auro: A Monster-Bumping Adventure</t>
        </is>
      </c>
      <c r="C2" t="n">
        <v>2010</v>
      </c>
      <c r="D2" t="inlineStr">
        <is>
          <t>Yes</t>
        </is>
      </c>
      <c r="E2" s="1" t="n"/>
    </row>
    <row r="3" ht="15" customHeight="1">
      <c r="A3" t="inlineStr">
        <is>
          <t>100 Rogues</t>
        </is>
      </c>
      <c r="B3" t="inlineStr">
        <is>
          <t>Quest of Dungeons</t>
        </is>
      </c>
      <c r="C3" t="n">
        <v>2010</v>
      </c>
      <c r="E3" s="1" t="inlineStr">
        <is>
          <t>https://www.reddit.com/r/nintendo/comments/54vjq6/ama_im_david_the_developer_of_quest_of_dungeons/</t>
        </is>
      </c>
    </row>
    <row r="4" ht="15" customHeight="1">
      <c r="A4" t="inlineStr">
        <is>
          <t>20 Minutes Till Dawn</t>
        </is>
      </c>
      <c r="B4" t="inlineStr">
        <is>
          <t>Disfigure</t>
        </is>
      </c>
      <c r="C4" t="n">
        <v>2022</v>
      </c>
      <c r="E4" s="1" t="inlineStr">
        <is>
          <t>check folder</t>
        </is>
      </c>
    </row>
    <row r="5" ht="15" customHeight="1">
      <c r="A5" t="inlineStr">
        <is>
          <t>20 Minutes Till Dawn</t>
        </is>
      </c>
      <c r="B5" t="inlineStr">
        <is>
          <t>Rogue Command</t>
        </is>
      </c>
      <c r="C5" t="n">
        <v>2022</v>
      </c>
      <c r="E5" s="1" t="inlineStr">
        <is>
          <t>https://steamcommunity.com/app/1461910/discussions/0/3363649332031630216/?l=finnish</t>
        </is>
      </c>
    </row>
    <row r="6" ht="15" customHeight="1">
      <c r="A6" t="inlineStr">
        <is>
          <t>20XX</t>
        </is>
      </c>
      <c r="B6" t="inlineStr">
        <is>
          <t>30XX</t>
        </is>
      </c>
      <c r="C6" t="n">
        <v>2017</v>
      </c>
      <c r="D6" t="inlineStr">
        <is>
          <t>Yes</t>
        </is>
      </c>
      <c r="E6" s="1" t="n"/>
    </row>
    <row r="7" ht="15" customHeight="1">
      <c r="A7" t="inlineStr">
        <is>
          <t>868-Hack</t>
        </is>
      </c>
      <c r="B7" t="inlineStr">
        <is>
          <t>868-Back</t>
        </is>
      </c>
      <c r="C7" t="n">
        <v>2015</v>
      </c>
      <c r="D7" t="inlineStr">
        <is>
          <t>Yes</t>
        </is>
      </c>
      <c r="E7" s="1" t="n"/>
    </row>
    <row r="8" ht="15" customHeight="1">
      <c r="A8" t="inlineStr">
        <is>
          <t>9 Kings</t>
        </is>
      </c>
      <c r="B8" t="inlineStr">
        <is>
          <t>Tiny Auto Knights</t>
        </is>
      </c>
      <c r="C8" t="n">
        <v>2024</v>
      </c>
      <c r="E8" s="11" t="inlineStr">
        <is>
          <t>https://x.com/mumpitzgames/status/1925572756806017381</t>
        </is>
      </c>
    </row>
    <row r="9" ht="15" customHeight="1">
      <c r="A9" t="inlineStr">
        <is>
          <t>Across the Obelisk</t>
        </is>
      </c>
      <c r="B9" t="inlineStr">
        <is>
          <t>The Royal Writ</t>
        </is>
      </c>
      <c r="C9" t="n">
        <v>2021</v>
      </c>
      <c r="E9" s="1" t="inlineStr">
        <is>
          <t>https://store.steampowered.com/app/3333700/The_Royal_Writ/</t>
        </is>
      </c>
    </row>
    <row r="10" ht="15" customHeight="1">
      <c r="A10" t="inlineStr">
        <is>
          <t>Aethermancer</t>
        </is>
      </c>
      <c r="B10" t="inlineStr">
        <is>
          <t>Montabi</t>
        </is>
      </c>
      <c r="C10" t="n">
        <v>2025</v>
      </c>
      <c r="E10" s="11" t="inlineStr">
        <is>
          <t>https://www.akuparagames.com/2026/06/09/meeting-mankibo-the-team-behind-montabi/</t>
        </is>
      </c>
    </row>
    <row r="11" ht="15" customHeight="1">
      <c r="A11" t="inlineStr">
        <is>
          <t>Ancient Domains of Mystery</t>
        </is>
      </c>
      <c r="B11" t="inlineStr">
        <is>
          <t>Caves of Qud</t>
        </is>
      </c>
      <c r="C11" t="n">
        <v>1994</v>
      </c>
      <c r="E11" s="1" t="n"/>
    </row>
    <row r="12" ht="15" customHeight="1">
      <c r="A12" t="inlineStr">
        <is>
          <t>Ancient Domains of Mystery</t>
        </is>
      </c>
      <c r="B12" t="inlineStr">
        <is>
          <t>Crablike</t>
        </is>
      </c>
      <c r="C12" t="n">
        <v>1994</v>
      </c>
      <c r="E12" s="11" t="inlineStr">
        <is>
          <t>https://www.reddit.com/r/roguelikes/comments/1kanmof/crablike_an_underwater_dungeon_crawler/</t>
        </is>
      </c>
    </row>
    <row r="13" ht="15" customHeight="1">
      <c r="A13" t="inlineStr">
        <is>
          <t>Ancient Domains of Mystery</t>
        </is>
      </c>
      <c r="B13" t="inlineStr">
        <is>
          <t>Dungeonmans</t>
        </is>
      </c>
      <c r="C13" t="n">
        <v>1994</v>
      </c>
      <c r="E13" s="11" t="inlineStr">
        <is>
          <t>https://www.youtube.com/watch?v=JXv8hQguGCI</t>
        </is>
      </c>
    </row>
    <row r="14" ht="15" customHeight="1">
      <c r="A14" t="inlineStr">
        <is>
          <t>Ancient Domains of Mystery</t>
        </is>
      </c>
      <c r="B14" t="inlineStr">
        <is>
          <t>Elona</t>
        </is>
      </c>
      <c r="C14" t="n">
        <v>1994</v>
      </c>
      <c r="E14" s="1" t="n"/>
    </row>
    <row r="15" ht="15" customHeight="1">
      <c r="A15" t="inlineStr">
        <is>
          <t>Ancient Domains of Mystery</t>
        </is>
      </c>
      <c r="B15" t="inlineStr">
        <is>
          <t>Frozen Depths</t>
        </is>
      </c>
      <c r="C15" t="n">
        <v>1994</v>
      </c>
      <c r="E15" s="11" t="inlineStr">
        <is>
          <t>https://frozendepths.net/roguelike/info.php</t>
        </is>
      </c>
    </row>
    <row r="16" ht="15" customHeight="1">
      <c r="A16" t="inlineStr">
        <is>
          <t>Ancient Domains of Mystery</t>
        </is>
      </c>
      <c r="B16" t="inlineStr">
        <is>
          <t>GearHead Caramel</t>
        </is>
      </c>
      <c r="C16" t="n">
        <v>1994</v>
      </c>
      <c r="E16" s="11" t="inlineStr">
        <is>
          <t>https://roguebasin.com/index.php/GearHead_Caramel</t>
        </is>
      </c>
    </row>
    <row r="17" ht="15" customHeight="1">
      <c r="A17" t="inlineStr">
        <is>
          <t>Ancient Domains of Mystery</t>
        </is>
      </c>
      <c r="B17" t="inlineStr">
        <is>
          <t>HyperRogue</t>
        </is>
      </c>
      <c r="C17" t="n">
        <v>1994</v>
      </c>
      <c r="E17" s="11" t="inlineStr">
        <is>
          <t>https://zenorogue.blogspot.com/search/label/sources</t>
        </is>
      </c>
    </row>
    <row r="18" ht="15" customHeight="1">
      <c r="A18" t="inlineStr">
        <is>
          <t>Ancient Domains of Mystery</t>
        </is>
      </c>
      <c r="B18" t="inlineStr">
        <is>
          <t>Incursion</t>
        </is>
      </c>
      <c r="C18" t="n">
        <v>1994</v>
      </c>
      <c r="E18" s="1" t="inlineStr">
        <is>
          <t>game credits</t>
        </is>
      </c>
    </row>
    <row r="19" ht="15" customHeight="1">
      <c r="A19" t="inlineStr">
        <is>
          <t>Ancient Domains of Mystery</t>
        </is>
      </c>
      <c r="B19" t="inlineStr">
        <is>
          <t>KeeperRL</t>
        </is>
      </c>
      <c r="C19" t="n">
        <v>1994</v>
      </c>
      <c r="E19" s="1" t="inlineStr">
        <is>
          <t>check folder</t>
        </is>
      </c>
    </row>
    <row r="20" ht="15" customHeight="1">
      <c r="A20" t="inlineStr">
        <is>
          <t>Ancient Domains of Mystery</t>
        </is>
      </c>
      <c r="B20" t="inlineStr">
        <is>
          <t>LambdaRogue: The Book of Stars</t>
        </is>
      </c>
      <c r="C20" t="n">
        <v>1994</v>
      </c>
      <c r="E20" s="11" t="inlineStr">
        <is>
          <t>https://roguebasin.com/index.php/LambdaRogue</t>
        </is>
      </c>
    </row>
    <row r="21" ht="15" customHeight="1">
      <c r="A21" t="inlineStr">
        <is>
          <t>Ancient Domains of Mystery</t>
        </is>
      </c>
      <c r="B21" t="inlineStr">
        <is>
          <t>Moonring</t>
        </is>
      </c>
      <c r="C21" t="n">
        <v>1994</v>
      </c>
      <c r="E21" s="1" t="inlineStr">
        <is>
          <t>check folder</t>
        </is>
      </c>
    </row>
    <row r="22" ht="15" customHeight="1">
      <c r="A22" t="inlineStr">
        <is>
          <t>Ancient Domains of Mystery</t>
        </is>
      </c>
      <c r="B22" t="inlineStr">
        <is>
          <t>Powder</t>
        </is>
      </c>
      <c r="C22" t="n">
        <v>1994</v>
      </c>
      <c r="E22" s="11" t="inlineStr">
        <is>
          <t>http://www.zincland.com/powder/?pagename=about</t>
        </is>
      </c>
    </row>
    <row r="23" ht="15" customHeight="1">
      <c r="A23" t="inlineStr">
        <is>
          <t>Ancient Domains of Mystery</t>
        </is>
      </c>
      <c r="B23" t="inlineStr">
        <is>
          <t>Rogue Empire</t>
        </is>
      </c>
      <c r="C23" t="n">
        <v>1994</v>
      </c>
      <c r="E23" s="1" t="inlineStr">
        <is>
          <t>https://www.patreon.com/roguempire/about</t>
        </is>
      </c>
    </row>
    <row r="24" ht="15" customHeight="1">
      <c r="A24" t="inlineStr">
        <is>
          <t>Ancient Domains of Mystery</t>
        </is>
      </c>
      <c r="B24" t="inlineStr">
        <is>
          <t>Shadow of the Wyrm</t>
        </is>
      </c>
      <c r="C24" t="n">
        <v>1994</v>
      </c>
      <c r="E24" s="11" t="inlineStr">
        <is>
          <t>https://www.shadowofthewyrm.org/about.html</t>
        </is>
      </c>
    </row>
    <row r="25" ht="15" customHeight="1">
      <c r="A25" t="inlineStr">
        <is>
          <t>Ancient Domains of Mystery</t>
        </is>
      </c>
      <c r="B25" t="inlineStr">
        <is>
          <t>Soulash</t>
        </is>
      </c>
      <c r="C25" t="n">
        <v>1994</v>
      </c>
      <c r="E25" s="1" t="inlineStr">
        <is>
          <t>https://x.com/ArturSmiarowski/status/1870390372389597210</t>
        </is>
      </c>
    </row>
    <row r="26" ht="15" customHeight="1">
      <c r="A26" t="inlineStr">
        <is>
          <t>Ancient Domains of Mystery</t>
        </is>
      </c>
      <c r="B26" t="inlineStr">
        <is>
          <t>Sproggiwood</t>
        </is>
      </c>
      <c r="C26" t="n">
        <v>1994</v>
      </c>
      <c r="E26" s="1" t="inlineStr">
        <is>
          <t>https://www.roguebasin.com/index.php/Sproggiwood</t>
        </is>
      </c>
    </row>
    <row r="27" ht="15" customHeight="1">
      <c r="A27" t="inlineStr">
        <is>
          <t>Ancient Domains of Mystery</t>
        </is>
      </c>
      <c r="B27" t="inlineStr">
        <is>
          <t>Stoneshard</t>
        </is>
      </c>
      <c r="C27" t="n">
        <v>1994</v>
      </c>
      <c r="E27" s="1" t="inlineStr">
        <is>
          <t>https://www.kickstarter.com/projects/1926605606/stoneshard-open-world-roguelike-rpg-with-tactical</t>
        </is>
      </c>
    </row>
    <row r="28" ht="15" customHeight="1">
      <c r="A28" t="inlineStr">
        <is>
          <t>Ancient Domains of Mystery</t>
        </is>
      </c>
      <c r="B28" t="inlineStr">
        <is>
          <t>Ultimate ADOM</t>
        </is>
      </c>
      <c r="C28" t="n">
        <v>1994</v>
      </c>
      <c r="E28" s="1" t="n"/>
    </row>
    <row r="29" ht="15" customHeight="1">
      <c r="A29" t="inlineStr">
        <is>
          <t>Angband</t>
        </is>
      </c>
      <c r="B29" t="inlineStr">
        <is>
          <t>Cardinal Quest</t>
        </is>
      </c>
      <c r="C29" t="n">
        <v>1990</v>
      </c>
      <c r="E29" s="11" t="inlineStr">
        <is>
          <t>https://x.com/tametick/status/1202248124221272064</t>
        </is>
      </c>
    </row>
    <row r="30" ht="15" customHeight="1">
      <c r="A30" t="inlineStr">
        <is>
          <t>Angband</t>
        </is>
      </c>
      <c r="B30" t="inlineStr">
        <is>
          <t>Crablike</t>
        </is>
      </c>
      <c r="C30" t="n">
        <v>1990</v>
      </c>
      <c r="E30" s="11" t="inlineStr">
        <is>
          <t>https://roguebasin.com/index.php/Crablike</t>
        </is>
      </c>
    </row>
    <row r="31" ht="15" customHeight="1">
      <c r="A31" t="inlineStr">
        <is>
          <t>Angband</t>
        </is>
      </c>
      <c r="B31" t="inlineStr">
        <is>
          <t>Diablo</t>
        </is>
      </c>
      <c r="C31" t="n">
        <v>1990</v>
      </c>
      <c r="E31" s="11" t="inlineStr">
        <is>
          <t>https://roguebasin.com/index.php?title=Diablo</t>
        </is>
      </c>
    </row>
    <row r="32" ht="15" customHeight="1">
      <c r="A32" t="inlineStr">
        <is>
          <t>Angband</t>
        </is>
      </c>
      <c r="B32" t="inlineStr">
        <is>
          <t>Dungeonmans</t>
        </is>
      </c>
      <c r="C32" t="n">
        <v>1990</v>
      </c>
      <c r="E32" s="11" t="inlineStr">
        <is>
          <t>https://www.youtube.com/watch?v=JXv8hQguGCI</t>
        </is>
      </c>
    </row>
    <row r="33" ht="15" customHeight="1">
      <c r="A33" t="inlineStr">
        <is>
          <t>Angband</t>
        </is>
      </c>
      <c r="B33" t="inlineStr">
        <is>
          <t>Elona</t>
        </is>
      </c>
      <c r="C33" t="n">
        <v>1990</v>
      </c>
      <c r="E33" s="1" t="n"/>
    </row>
    <row r="34" ht="15" customHeight="1">
      <c r="A34" t="inlineStr">
        <is>
          <t>Angband</t>
        </is>
      </c>
      <c r="B34" t="inlineStr">
        <is>
          <t>Incursion</t>
        </is>
      </c>
      <c r="C34" t="n">
        <v>1990</v>
      </c>
      <c r="E34" s="1" t="inlineStr">
        <is>
          <t>game credits</t>
        </is>
      </c>
    </row>
    <row r="35" ht="15" customHeight="1">
      <c r="A35" t="inlineStr">
        <is>
          <t>Angband</t>
        </is>
      </c>
      <c r="B35" t="inlineStr">
        <is>
          <t>Infra Arcana</t>
        </is>
      </c>
      <c r="C35" t="n">
        <v>1990</v>
      </c>
      <c r="E35" s="1" t="inlineStr">
        <is>
          <t>check folder</t>
        </is>
      </c>
    </row>
    <row r="36" ht="15" customHeight="1">
      <c r="A36" t="inlineStr">
        <is>
          <t>Angband</t>
        </is>
      </c>
      <c r="B36" t="inlineStr">
        <is>
          <t>LambdaRogue: The Book of Stars</t>
        </is>
      </c>
      <c r="C36" t="n">
        <v>1990</v>
      </c>
      <c r="E36" s="11" t="inlineStr">
        <is>
          <t>https://roguebasin.com/index.php/LambdaRogue</t>
        </is>
      </c>
    </row>
    <row r="37" ht="15" customHeight="1">
      <c r="A37" t="inlineStr">
        <is>
          <t>Angband</t>
        </is>
      </c>
      <c r="B37" t="inlineStr">
        <is>
          <t>Powder</t>
        </is>
      </c>
      <c r="C37" t="n">
        <v>1990</v>
      </c>
      <c r="E37" s="11" t="inlineStr">
        <is>
          <t>http://www.zincland.com/powder/?pagename=about</t>
        </is>
      </c>
    </row>
    <row r="38" ht="15" customHeight="1">
      <c r="A38" t="inlineStr">
        <is>
          <t>Angband</t>
        </is>
      </c>
      <c r="B38" t="inlineStr">
        <is>
          <t>Sil</t>
        </is>
      </c>
      <c r="C38" t="n">
        <v>1990</v>
      </c>
      <c r="E38" s="1" t="inlineStr">
        <is>
          <t>https://roguebasin.com/index.php/Sil</t>
        </is>
      </c>
    </row>
    <row r="39" ht="15" customHeight="1">
      <c r="A39" t="inlineStr">
        <is>
          <t>Angband</t>
        </is>
      </c>
      <c r="B39" t="inlineStr">
        <is>
          <t>The Ground Gives Way</t>
        </is>
      </c>
      <c r="C39" t="n">
        <v>1990</v>
      </c>
      <c r="E39" s="1" t="inlineStr">
        <is>
          <t>https://roguebasin.com/index.php/The_Ground_Gives_Way</t>
        </is>
      </c>
    </row>
    <row r="40" ht="15" customHeight="1">
      <c r="A40" t="inlineStr">
        <is>
          <t>Angband</t>
        </is>
      </c>
      <c r="B40" t="inlineStr">
        <is>
          <t>Zangband</t>
        </is>
      </c>
      <c r="C40" t="n">
        <v>1990</v>
      </c>
      <c r="E40" s="1" t="inlineStr">
        <is>
          <t>https://roguebasin.com/index.php/Zangband</t>
        </is>
      </c>
    </row>
    <row r="41" ht="15" customHeight="1">
      <c r="A41" t="inlineStr">
        <is>
          <t>Angband</t>
        </is>
      </c>
      <c r="B41" t="inlineStr">
        <is>
          <t>ZMAngband</t>
        </is>
      </c>
      <c r="C41" t="n">
        <v>1990</v>
      </c>
      <c r="E41" s="1" t="inlineStr">
        <is>
          <t>https://roguebasin.com/index.php/ZMAngband</t>
        </is>
      </c>
    </row>
    <row r="42" ht="15" customHeight="1">
      <c r="A42" t="inlineStr">
        <is>
          <t>Angband</t>
        </is>
      </c>
      <c r="B42" t="inlineStr">
        <is>
          <t>Zorbus</t>
        </is>
      </c>
      <c r="C42" t="n">
        <v>1990</v>
      </c>
      <c r="E42" s="1" t="inlineStr">
        <is>
          <t>check folder</t>
        </is>
      </c>
    </row>
    <row r="43" ht="15" customHeight="1">
      <c r="A43" t="inlineStr">
        <is>
          <t>Another Farm Roguelike</t>
        </is>
      </c>
      <c r="B43" t="inlineStr">
        <is>
          <t>Another Farm Roguelike: Rebirth</t>
        </is>
      </c>
      <c r="C43" t="n">
        <v>2022</v>
      </c>
      <c r="D43" t="inlineStr">
        <is>
          <t>Yes</t>
        </is>
      </c>
      <c r="E43" s="1" t="n"/>
    </row>
    <row r="44" ht="15" customHeight="1">
      <c r="A44" t="inlineStr">
        <is>
          <t>Astronarch</t>
        </is>
      </c>
      <c r="B44" t="inlineStr">
        <is>
          <t>The Last Flame</t>
        </is>
      </c>
      <c r="C44" t="n">
        <v>2020</v>
      </c>
      <c r="E44" s="1" t="inlineStr">
        <is>
          <t>https://steamcommunity.com/app/1830970/discussions/0/6660355571253835571/</t>
        </is>
      </c>
    </row>
    <row r="45" ht="15" customHeight="1">
      <c r="A45" t="inlineStr">
        <is>
          <t>Atomicrops</t>
        </is>
      </c>
      <c r="B45" t="inlineStr">
        <is>
          <t>Pesticide Not Required</t>
        </is>
      </c>
      <c r="C45" t="n">
        <v>2020</v>
      </c>
      <c r="E45" s="1" t="inlineStr">
        <is>
          <t>https://store.steampowered.com/app/2479320/Pesticide_Not_Required/</t>
        </is>
      </c>
    </row>
    <row r="46" ht="15" customHeight="1">
      <c r="A46" t="inlineStr">
        <is>
          <t>Auro: A Monster-Bumping Adventure</t>
        </is>
      </c>
      <c r="B46" t="inlineStr">
        <is>
          <t>Rack and Slay</t>
        </is>
      </c>
      <c r="C46" t="n">
        <v>2014</v>
      </c>
      <c r="E46" s="1" t="inlineStr">
        <is>
          <t>https://www.youtube.com/watch?v=kYUYXX5vdkU</t>
        </is>
      </c>
    </row>
    <row r="47" ht="15" customHeight="1">
      <c r="A47" t="inlineStr">
        <is>
          <t>Azure Dreams</t>
        </is>
      </c>
      <c r="B47" t="inlineStr">
        <is>
          <t>Haque</t>
        </is>
      </c>
      <c r="C47" t="n">
        <v>1997</v>
      </c>
      <c r="E47" s="1" t="inlineStr">
        <is>
          <t>http://www.roguelikeradio.com/2019/02/episode-151-haque.html</t>
        </is>
      </c>
    </row>
    <row r="48" ht="15" customHeight="1">
      <c r="A48" t="inlineStr">
        <is>
          <t>Azure Dreams</t>
        </is>
      </c>
      <c r="B48" t="inlineStr">
        <is>
          <t>Sword of the Necromancer</t>
        </is>
      </c>
      <c r="C48" t="n">
        <v>1997</v>
      </c>
      <c r="E48" s="11" t="inlineStr">
        <is>
          <t>https://x.com/GrimorioG/status/1213196249509376001?s=20</t>
        </is>
      </c>
    </row>
    <row r="49" ht="15" customHeight="1">
      <c r="A49" t="inlineStr">
        <is>
          <t>Azure Dreams</t>
        </is>
      </c>
      <c r="B49" t="inlineStr">
        <is>
          <t>Tao's Adventure: Curse of the Demon Seal</t>
        </is>
      </c>
      <c r="C49" t="n">
        <v>1997</v>
      </c>
      <c r="D49" t="inlineStr">
        <is>
          <t>Yes</t>
        </is>
      </c>
      <c r="E49" s="1" t="n"/>
    </row>
    <row r="50" ht="15" customHeight="1">
      <c r="A50" t="inlineStr">
        <is>
          <t>Backpack Battles</t>
        </is>
      </c>
      <c r="B50" t="inlineStr">
        <is>
          <t>He is Coming</t>
        </is>
      </c>
      <c r="C50" t="n">
        <v>2023</v>
      </c>
      <c r="E50" s="1" t="inlineStr">
        <is>
          <t>check folder</t>
        </is>
      </c>
    </row>
    <row r="51" ht="15" customHeight="1">
      <c r="A51" t="inlineStr">
        <is>
          <t>Backpack Battles</t>
        </is>
      </c>
      <c r="B51" t="inlineStr">
        <is>
          <t>Knightica</t>
        </is>
      </c>
      <c r="C51" t="n">
        <v>2023</v>
      </c>
      <c r="E51" s="1" t="inlineStr">
        <is>
          <t>https://www.reddit.com/r/IndieGaming/comments/1iooyqr/roguelike_autobattler_cute_creatures_what_do_you/</t>
        </is>
      </c>
    </row>
    <row r="52" ht="15" customHeight="1">
      <c r="A52" t="inlineStr">
        <is>
          <t>Backpack Battles</t>
        </is>
      </c>
      <c r="B52" t="inlineStr">
        <is>
          <t>Lootplot</t>
        </is>
      </c>
      <c r="C52" t="n">
        <v>2023</v>
      </c>
      <c r="E52" s="1" t="inlineStr">
        <is>
          <t>https://codetheory.itch.io/lootplot-playtest#:~:text=A%20downloadable%20game%20for%20Windows,it%20to%20the%20next%20round.</t>
        </is>
      </c>
    </row>
    <row r="53" ht="15" customHeight="1">
      <c r="A53" t="inlineStr">
        <is>
          <t>Backpack Battles</t>
        </is>
      </c>
      <c r="B53" t="inlineStr">
        <is>
          <t>Oaken Tower</t>
        </is>
      </c>
      <c r="C53" t="n">
        <v>2023</v>
      </c>
      <c r="E53" s="1" t="inlineStr">
        <is>
          <t>check folder</t>
        </is>
      </c>
    </row>
    <row r="54" ht="15" customHeight="1">
      <c r="A54" t="inlineStr">
        <is>
          <t>Backpack Battles</t>
        </is>
      </c>
      <c r="B54" t="inlineStr">
        <is>
          <t>Tiny Auto Knights</t>
        </is>
      </c>
      <c r="C54" t="n">
        <v>2023</v>
      </c>
      <c r="E54" s="11" t="inlineStr">
        <is>
          <t>https://x.com/mumpitzgames/status/1925572756806017381</t>
        </is>
      </c>
    </row>
    <row r="55" ht="15" customHeight="1">
      <c r="A55" t="inlineStr">
        <is>
          <t>Backpack Battles</t>
        </is>
      </c>
      <c r="B55" t="inlineStr">
        <is>
          <t>Toy Smash Kaboom!</t>
        </is>
      </c>
      <c r="C55" t="n">
        <v>2023</v>
      </c>
      <c r="E55" s="1" t="inlineStr">
        <is>
          <t>look at it</t>
        </is>
      </c>
    </row>
    <row r="56" ht="15" customHeight="1">
      <c r="A56" t="inlineStr">
        <is>
          <t>Backpack Battles</t>
        </is>
      </c>
      <c r="B56" t="inlineStr">
        <is>
          <t>Turnbound</t>
        </is>
      </c>
      <c r="C56" t="n">
        <v>2023</v>
      </c>
      <c r="E56" s="1" t="inlineStr">
        <is>
          <t>https://youtu.be/DY-KwfFTU9g</t>
        </is>
      </c>
    </row>
    <row r="57" ht="15" customHeight="1">
      <c r="A57" t="inlineStr">
        <is>
          <t>Backpack Hero</t>
        </is>
      </c>
      <c r="B57" t="inlineStr">
        <is>
          <t>Backpack Battles</t>
        </is>
      </c>
      <c r="C57" t="n">
        <v>2022</v>
      </c>
      <c r="E57" s="1" t="inlineStr">
        <is>
          <t>https://www.reddit.com/r/IndieGaming/comments/13vr0mm/comment/jm7alk0/?context=3</t>
        </is>
      </c>
    </row>
    <row r="58" ht="15" customHeight="1">
      <c r="A58" t="inlineStr">
        <is>
          <t>Backpack Hero</t>
        </is>
      </c>
      <c r="B58" t="inlineStr">
        <is>
          <t>Barda</t>
        </is>
      </c>
      <c r="C58" t="n">
        <v>2022</v>
      </c>
      <c r="E58" s="11" t="inlineStr">
        <is>
          <t>https://x.com/Mudita_Games/status/1988179400454500794</t>
        </is>
      </c>
    </row>
    <row r="59" ht="15" customHeight="1">
      <c r="A59" t="inlineStr">
        <is>
          <t>Backpack Hero</t>
        </is>
      </c>
      <c r="B59" t="inlineStr">
        <is>
          <t>Moon Watch</t>
        </is>
      </c>
      <c r="C59" t="n">
        <v>2022</v>
      </c>
      <c r="D59" t="inlineStr">
        <is>
          <t>Yes</t>
        </is>
      </c>
      <c r="E59" s="1" t="n"/>
    </row>
    <row r="60" ht="15" customHeight="1">
      <c r="A60" t="inlineStr">
        <is>
          <t>Backpack Hero</t>
        </is>
      </c>
      <c r="B60" t="inlineStr">
        <is>
          <t>Rogue Voltage</t>
        </is>
      </c>
      <c r="C60" t="n">
        <v>2022</v>
      </c>
      <c r="E60" s="11" t="inlineStr">
        <is>
          <t>https://steamcommunity.com/app/1494560/discussions/0/4335355681660890217/#c4335355681661031211</t>
        </is>
      </c>
    </row>
    <row r="61" ht="15" customHeight="1">
      <c r="A61" t="inlineStr">
        <is>
          <t>Backpack Hero</t>
        </is>
      </c>
      <c r="B61" t="inlineStr">
        <is>
          <t>Spin Hero</t>
        </is>
      </c>
      <c r="C61" t="n">
        <v>2022</v>
      </c>
      <c r="E61" s="1" t="inlineStr">
        <is>
          <t>check folder</t>
        </is>
      </c>
    </row>
    <row r="62" ht="15" customHeight="1">
      <c r="A62" t="inlineStr">
        <is>
          <t>Bad North</t>
        </is>
      </c>
      <c r="B62" t="inlineStr">
        <is>
          <t>Tabletop Tavern</t>
        </is>
      </c>
      <c r="C62" t="n">
        <v>2018</v>
      </c>
      <c r="E62" s="1" t="inlineStr">
        <is>
          <t>check folder</t>
        </is>
      </c>
    </row>
    <row r="63" ht="15" customHeight="1">
      <c r="A63" t="inlineStr">
        <is>
          <t>Balatro</t>
        </is>
      </c>
      <c r="B63" t="inlineStr">
        <is>
          <t>Aotenjo: Infinite Hands</t>
        </is>
      </c>
      <c r="C63" t="n">
        <v>2023</v>
      </c>
      <c r="E63" s="1" t="inlineStr">
        <is>
          <t>talks about balatro in discord</t>
        </is>
      </c>
    </row>
    <row r="64" ht="15" customHeight="1">
      <c r="A64" t="inlineStr">
        <is>
          <t>Balatro</t>
        </is>
      </c>
      <c r="B64" t="inlineStr">
        <is>
          <t>BAZR</t>
        </is>
      </c>
      <c r="C64" t="n">
        <v>2023</v>
      </c>
      <c r="E64" s="1" t="inlineStr">
        <is>
          <t>developer is a big balatro fan, decks and cards resemble balatro</t>
        </is>
      </c>
    </row>
    <row r="65" ht="15" customHeight="1">
      <c r="A65" t="inlineStr">
        <is>
          <t>Balatro</t>
        </is>
      </c>
      <c r="B65" t="inlineStr">
        <is>
          <t>Beyond Words</t>
        </is>
      </c>
      <c r="C65" t="n">
        <v>2023</v>
      </c>
      <c r="E65" s="1" t="inlineStr">
        <is>
          <t>https://store.steampowered.com/app/3823370/Beyond_Words/</t>
        </is>
      </c>
    </row>
    <row r="66" ht="15" customHeight="1">
      <c r="A66" t="inlineStr">
        <is>
          <t>Balatro</t>
        </is>
      </c>
      <c r="B66" t="inlineStr">
        <is>
          <t>Bingle Bingle</t>
        </is>
      </c>
      <c r="C66" t="n">
        <v>2023</v>
      </c>
      <c r="E66" s="1" t="inlineStr">
        <is>
          <t>check folder</t>
        </is>
      </c>
    </row>
    <row r="67" ht="15" customHeight="1">
      <c r="A67" t="inlineStr">
        <is>
          <t>Balatro</t>
        </is>
      </c>
      <c r="B67" t="inlineStr">
        <is>
          <t>Black Jacket</t>
        </is>
      </c>
      <c r="C67" t="n">
        <v>2023</v>
      </c>
      <c r="E67" s="11" t="inlineStr">
        <is>
          <t>https://youtu.be/HyhYA69y62c</t>
        </is>
      </c>
    </row>
    <row r="68" ht="15" customHeight="1">
      <c r="A68" t="inlineStr">
        <is>
          <t>Balatro</t>
        </is>
      </c>
      <c r="B68" t="inlineStr">
        <is>
          <t>Cats &amp; Dice</t>
        </is>
      </c>
      <c r="C68" t="n">
        <v>2023</v>
      </c>
      <c r="E68" s="1" t="inlineStr">
        <is>
          <t>https://forum.gamemaker.io/index.php?threads/cats-dice-a-big-number-dice-building-roguelike-inspired-by-games-such-as-balatro-and-slice-dice.114871/</t>
        </is>
      </c>
    </row>
    <row r="69" ht="15" customHeight="1">
      <c r="A69" t="inlineStr">
        <is>
          <t>Balatro</t>
        </is>
      </c>
      <c r="B69" t="inlineStr">
        <is>
          <t>Chosen Garden</t>
        </is>
      </c>
      <c r="C69" t="n">
        <v>2023</v>
      </c>
      <c r="E69" s="11" t="inlineStr">
        <is>
          <t>https://x.com/CraftmosGames/status/2032372023327146439?s=20</t>
        </is>
      </c>
    </row>
    <row r="70" ht="15" customHeight="1">
      <c r="A70" t="inlineStr">
        <is>
          <t>Balatro</t>
        </is>
      </c>
      <c r="B70" t="inlineStr">
        <is>
          <t>CloverPit</t>
        </is>
      </c>
      <c r="C70" t="n">
        <v>2023</v>
      </c>
      <c r="E70" s="1" t="inlineStr">
        <is>
          <t>https://store.steampowered.com/app/3314790/CloverPit/</t>
        </is>
      </c>
    </row>
    <row r="71" ht="15" customHeight="1">
      <c r="A71" t="inlineStr">
        <is>
          <t>Balatro</t>
        </is>
      </c>
      <c r="B71" t="inlineStr">
        <is>
          <t>Clutchtime: Basketball Deckbuilder</t>
        </is>
      </c>
      <c r="C71" t="n">
        <v>2023</v>
      </c>
      <c r="E71" s="1" t="inlineStr">
        <is>
          <t>https://www.gamespress.com/Solo-Developer-Bigosaur-Launches-Basketball-Roguelike-Clutchtime-Baske#:~:text=With%20inspirations%20from%20hometown%20superstars%20Nikola%20Joki%C4%87%2C,passion%20project%20using%20basketball%20as%20the%20medium.</t>
        </is>
      </c>
    </row>
    <row r="72" ht="15" customHeight="1">
      <c r="A72" t="inlineStr">
        <is>
          <t>Balatro</t>
        </is>
      </c>
      <c r="B72" t="inlineStr">
        <is>
          <t>Cropdeck</t>
        </is>
      </c>
      <c r="C72" t="n">
        <v>2023</v>
      </c>
      <c r="E72" s="1" t="inlineStr">
        <is>
          <t>check folder</t>
        </is>
      </c>
    </row>
    <row r="73" ht="15" customHeight="1">
      <c r="A73" t="inlineStr">
        <is>
          <t>Balatro</t>
        </is>
      </c>
      <c r="B73" t="inlineStr">
        <is>
          <t>Cult of PiN</t>
        </is>
      </c>
      <c r="C73" t="n">
        <v>2023</v>
      </c>
      <c r="E73" s="11" t="inlineStr">
        <is>
          <t>https://www.reddit.com/r/roguelites/comments/1u78c4e/2_years_later_my_solo_pinball_roguelike_project/</t>
        </is>
      </c>
    </row>
    <row r="74" ht="15" customHeight="1">
      <c r="A74" t="inlineStr">
        <is>
          <t>Balatro</t>
        </is>
      </c>
      <c r="B74" t="inlineStr">
        <is>
          <t>Cursed Words</t>
        </is>
      </c>
      <c r="C74" t="n">
        <v>2023</v>
      </c>
      <c r="E74" s="1" t="inlineStr">
        <is>
          <t>https://www.youtube.com/watch?v=7SjRhK9wdEE</t>
        </is>
      </c>
    </row>
    <row r="75" ht="15" customHeight="1">
      <c r="A75" t="inlineStr">
        <is>
          <t>Balatro</t>
        </is>
      </c>
      <c r="B75" t="inlineStr">
        <is>
          <t>Dead Finger Dice</t>
        </is>
      </c>
      <c r="C75" t="n">
        <v>2023</v>
      </c>
      <c r="E75" s="1" t="inlineStr">
        <is>
          <t>https://rocketadrift.itch.io/dead-finger-dice-a-billionaire-killing-game/devlog/963841/dead-finger-dice-demo-out-now</t>
        </is>
      </c>
    </row>
    <row r="76" ht="15" customHeight="1">
      <c r="A76" t="inlineStr">
        <is>
          <t>Balatro</t>
        </is>
      </c>
      <c r="B76" t="inlineStr">
        <is>
          <t>Dice A Million</t>
        </is>
      </c>
      <c r="C76" t="n">
        <v>2023</v>
      </c>
      <c r="E76" s="1" t="inlineStr">
        <is>
          <t>look at it</t>
        </is>
      </c>
    </row>
    <row r="77" ht="15" customHeight="1">
      <c r="A77" t="inlineStr">
        <is>
          <t>Balatro</t>
        </is>
      </c>
      <c r="B77" t="inlineStr">
        <is>
          <t>Dicealot</t>
        </is>
      </c>
      <c r="C77" t="n">
        <v>2023</v>
      </c>
      <c r="E77" s="1" t="inlineStr">
        <is>
          <t>https://store.steampowered.com/app/3035330/Dicealot/</t>
        </is>
      </c>
    </row>
    <row r="78" ht="15" customHeight="1">
      <c r="A78" t="inlineStr">
        <is>
          <t>Balatro</t>
        </is>
      </c>
      <c r="B78" t="inlineStr">
        <is>
          <t>Dogpile</t>
        </is>
      </c>
      <c r="C78" t="n">
        <v>2023</v>
      </c>
      <c r="E78" s="1" t="inlineStr">
        <is>
          <t>https://www.reddit.com/r/IndieGaming/comments/1pjdyue/bucket_list_item_complete_presenting_at_day_of/</t>
        </is>
      </c>
    </row>
    <row r="79" ht="15" customHeight="1">
      <c r="A79" t="inlineStr">
        <is>
          <t>Balatro</t>
        </is>
      </c>
      <c r="B79" t="inlineStr">
        <is>
          <t>Drop Duchy</t>
        </is>
      </c>
      <c r="C79" t="n">
        <v>2023</v>
      </c>
      <c r="E79" s="1" t="inlineStr">
        <is>
          <t>check folder</t>
        </is>
      </c>
    </row>
    <row r="80" ht="15" customHeight="1">
      <c r="A80" t="inlineStr">
        <is>
          <t>Balatro</t>
        </is>
      </c>
      <c r="B80" t="inlineStr">
        <is>
          <t>Drop Pockets</t>
        </is>
      </c>
      <c r="C80" t="n">
        <v>2023</v>
      </c>
      <c r="E80" s="1" t="inlineStr">
        <is>
          <t>clear influence but also check folder, he clearly plays it and made a game like it</t>
        </is>
      </c>
    </row>
    <row r="81" ht="15" customHeight="1">
      <c r="A81" t="inlineStr">
        <is>
          <t>Balatro</t>
        </is>
      </c>
      <c r="B81" t="inlineStr">
        <is>
          <t>Gambonanza</t>
        </is>
      </c>
      <c r="C81" t="n">
        <v>2023</v>
      </c>
      <c r="E81" s="1" t="inlineStr">
        <is>
          <t>https://www.pocketgamer.com/gambonanza/developer-interview/</t>
        </is>
      </c>
    </row>
    <row r="82" ht="15" customHeight="1">
      <c r="A82" t="inlineStr">
        <is>
          <t>Balatro</t>
        </is>
      </c>
      <c r="B82" t="inlineStr">
        <is>
          <t>How Many Dudes?</t>
        </is>
      </c>
      <c r="C82" t="n">
        <v>2023</v>
      </c>
      <c r="E82" s="11" t="inlineStr">
        <is>
          <t>https://bscotch.itch.io/how-many-dudes</t>
        </is>
      </c>
    </row>
    <row r="83" ht="15" customHeight="1">
      <c r="A83" t="inlineStr">
        <is>
          <t>Balatro</t>
        </is>
      </c>
      <c r="B83" t="inlineStr">
        <is>
          <t>Hungry Horrors</t>
        </is>
      </c>
      <c r="C83" t="n">
        <v>2023</v>
      </c>
      <c r="E83" s="1" t="inlineStr">
        <is>
          <t>https://www.youtube.com/watch?v=txv0XsRrFwo</t>
        </is>
      </c>
    </row>
    <row r="84" ht="15" customHeight="1">
      <c r="A84" t="inlineStr">
        <is>
          <t>Balatro</t>
        </is>
      </c>
      <c r="B84" t="inlineStr">
        <is>
          <t>Lootplot</t>
        </is>
      </c>
      <c r="C84" t="n">
        <v>2023</v>
      </c>
      <c r="E84" s="1" t="inlineStr">
        <is>
          <t>https://codetheory.itch.io/lootplot-playtest#:~:text=A%20downloadable%20game%20for%20Windows,it%20to%20the%20next%20round.</t>
        </is>
      </c>
    </row>
    <row r="85" ht="15" customHeight="1">
      <c r="A85" t="inlineStr">
        <is>
          <t>Balatro</t>
        </is>
      </c>
      <c r="B85" t="inlineStr">
        <is>
          <t>Lucky Shot</t>
        </is>
      </c>
      <c r="C85" t="n">
        <v>2023</v>
      </c>
      <c r="E85" s="11" t="inlineStr">
        <is>
          <t>https://x.com/PlayLuckyShot/status/2084999450808782908</t>
        </is>
      </c>
    </row>
    <row r="86" ht="15" customHeight="1">
      <c r="A86" t="inlineStr">
        <is>
          <t>Balatro</t>
        </is>
      </c>
      <c r="B86" t="inlineStr">
        <is>
          <t>Menherarium</t>
        </is>
      </c>
      <c r="C86" t="n">
        <v>2023</v>
      </c>
      <c r="E86" s="1" t="inlineStr">
        <is>
          <t>https://www.youtube.com/watch?v=cjh1J2AuT_4</t>
        </is>
      </c>
    </row>
    <row r="87" ht="15" customHeight="1">
      <c r="A87" t="inlineStr">
        <is>
          <t>Balatro</t>
        </is>
      </c>
      <c r="B87" t="inlineStr">
        <is>
          <t>Omelet You Cook</t>
        </is>
      </c>
      <c r="C87" t="n">
        <v>2023</v>
      </c>
      <c r="E87" s="1" t="inlineStr">
        <is>
          <t>https://store.steampowered.com/app/3205380/Omelet_You_Cook/</t>
        </is>
      </c>
    </row>
    <row r="88" ht="15" customHeight="1">
      <c r="A88" t="inlineStr">
        <is>
          <t>Balatro</t>
        </is>
      </c>
      <c r="B88" t="inlineStr">
        <is>
          <t>Passant: A Chess Roguelike</t>
        </is>
      </c>
      <c r="C88" t="n">
        <v>2023</v>
      </c>
      <c r="E88" s="1" t="inlineStr">
        <is>
          <t>https://www.reddit.com/r/IndieGaming/comments/1h0aag9/passant_is_a_chess_roguelike_where_you_build_your/ / mentioned on discord he went back to an old project after playing balatro</t>
        </is>
      </c>
    </row>
    <row r="89" ht="15" customHeight="1">
      <c r="A89" t="inlineStr">
        <is>
          <t>Balatro</t>
        </is>
      </c>
      <c r="B89" t="inlineStr">
        <is>
          <t>Pegs X Stickers</t>
        </is>
      </c>
      <c r="C89" t="n">
        <v>2023</v>
      </c>
      <c r="E89" s="11" t="inlineStr">
        <is>
          <t>https://x.com/MrMorrisGames/status/2030327854383190254</t>
        </is>
      </c>
    </row>
    <row r="90" ht="15" customHeight="1">
      <c r="A90" t="inlineStr">
        <is>
          <t>Balatro</t>
        </is>
      </c>
      <c r="B90" t="inlineStr">
        <is>
          <t>Pip My Dice</t>
        </is>
      </c>
      <c r="C90" t="n">
        <v>2023</v>
      </c>
      <c r="E90" s="1" t="inlineStr">
        <is>
          <t>https://store.steampowered.com/app/2797650/Pip_My_Dice/</t>
        </is>
      </c>
    </row>
    <row r="91" ht="15" customHeight="1">
      <c r="A91" t="inlineStr">
        <is>
          <t>Balatro</t>
        </is>
      </c>
      <c r="B91" t="inlineStr">
        <is>
          <t>Plinbo</t>
        </is>
      </c>
      <c r="C91" t="n">
        <v>2023</v>
      </c>
      <c r="E91" s="1" t="inlineStr">
        <is>
          <t>look at it</t>
        </is>
      </c>
    </row>
    <row r="92" ht="15" customHeight="1">
      <c r="A92" t="inlineStr">
        <is>
          <t>Balatro</t>
        </is>
      </c>
      <c r="B92" t="inlineStr">
        <is>
          <t>Raccoin: Coin Pusher Roguelike</t>
        </is>
      </c>
      <c r="C92" t="n">
        <v>2023</v>
      </c>
      <c r="E92" s="1" t="inlineStr">
        <is>
          <t>https://retconmagazine.com/how-raccoin-a-game-about-watching-a-machine-push-coins-came-to-life-interview/</t>
        </is>
      </c>
    </row>
    <row r="93" ht="15" customHeight="1">
      <c r="A93" t="inlineStr">
        <is>
          <t>Balatro</t>
        </is>
      </c>
      <c r="B93" t="inlineStr">
        <is>
          <t>Replicat</t>
        </is>
      </c>
      <c r="C93" t="n">
        <v>2023</v>
      </c>
      <c r="E93" s="11" t="inlineStr">
        <is>
          <t>https://x.com/brainoidgames/status/1925653290278121609</t>
        </is>
      </c>
    </row>
    <row r="94" ht="15" customHeight="1">
      <c r="A94" t="inlineStr">
        <is>
          <t>Balatro</t>
        </is>
      </c>
      <c r="B94" t="inlineStr">
        <is>
          <t>Rogue Factory</t>
        </is>
      </c>
      <c r="C94" t="n">
        <v>2023</v>
      </c>
      <c r="E94" s="1" t="inlineStr">
        <is>
          <t>check folder</t>
        </is>
      </c>
    </row>
    <row r="95" ht="15" customHeight="1">
      <c r="A95" t="inlineStr">
        <is>
          <t>Balatro</t>
        </is>
      </c>
      <c r="B95" t="inlineStr">
        <is>
          <t>RogueJack21</t>
        </is>
      </c>
      <c r="C95" t="n">
        <v>2023</v>
      </c>
      <c r="E95" s="1" t="inlineStr">
        <is>
          <t>https://www.reddit.com/r/godot/comments/1lo0rfm/14_months_of_work_on_my_1st_game_demo_is_now/#:~:text=Demo%20is%20now%20available!,-selfpromo%20(games)&amp;text=This%20video%20cannot%20be%20played.&amp;text=Hi%20fellow%20devs%2C%20I'm,it%20to%20get%20notified%20:)</t>
        </is>
      </c>
    </row>
    <row r="96" ht="15" customHeight="1">
      <c r="A96" t="inlineStr">
        <is>
          <t>Balatro</t>
        </is>
      </c>
      <c r="B96" t="inlineStr">
        <is>
          <t>RollScape</t>
        </is>
      </c>
      <c r="C96" t="n">
        <v>2023</v>
      </c>
      <c r="E96" s="1" t="inlineStr">
        <is>
          <t>https://steamcommunity.com/games/2904290/announcements/detail/4185610799649293674#:~:text=RollScape%20is%20a%20game%20inspired,I%20played%20throughout%20the%20years.</t>
        </is>
      </c>
    </row>
    <row r="97" ht="15" customHeight="1">
      <c r="A97" t="inlineStr">
        <is>
          <t>Balatro</t>
        </is>
      </c>
      <c r="B97" t="inlineStr">
        <is>
          <t>Roulette Hero</t>
        </is>
      </c>
      <c r="C97" t="n">
        <v>2023</v>
      </c>
      <c r="E97" s="11" t="inlineStr">
        <is>
          <t>https://x.com/CLLC_studio/status/1925866594078453892</t>
        </is>
      </c>
    </row>
    <row r="98" ht="15" customHeight="1">
      <c r="A98" t="inlineStr">
        <is>
          <t>Balatro</t>
        </is>
      </c>
      <c r="B98" t="inlineStr">
        <is>
          <t>Runeborn</t>
        </is>
      </c>
      <c r="C98" t="n">
        <v>2023</v>
      </c>
      <c r="E98" s="1" t="inlineStr">
        <is>
          <t>https://www.reddit.com/r/pcgaming/comments/1ix1kj1/we_are_the_developers_of_runeborn_a_dark_fantasy/#:~:text=%2C%20say%2C%20Arco?-,RunebornGame,make%20it%20even%20more%20unique.</t>
        </is>
      </c>
    </row>
    <row r="99" ht="15" customHeight="1">
      <c r="A99" t="inlineStr">
        <is>
          <t>Balatro</t>
        </is>
      </c>
      <c r="B99" t="inlineStr">
        <is>
          <t>Runeveil</t>
        </is>
      </c>
      <c r="C99" t="n">
        <v>2023</v>
      </c>
      <c r="E99" s="11" t="inlineStr">
        <is>
          <t>https://www.reddit.com/r/deckbuildingroguelike/comments/1qszp8o/runeveil_sts_meets_balatro_is_on_steam/</t>
        </is>
      </c>
    </row>
    <row r="100" ht="15" customHeight="1">
      <c r="A100" t="inlineStr">
        <is>
          <t>Balatro</t>
        </is>
      </c>
      <c r="B100" t="inlineStr">
        <is>
          <t>Schism</t>
        </is>
      </c>
      <c r="C100" t="n">
        <v>2023</v>
      </c>
      <c r="E100" t="inlineStr">
        <is>
          <t>check folder</t>
        </is>
      </c>
    </row>
    <row r="101" ht="15" customHeight="1">
      <c r="A101" t="inlineStr">
        <is>
          <t>Balatro</t>
        </is>
      </c>
      <c r="B101" t="inlineStr">
        <is>
          <t>Sky's The Limit MAH-JONG</t>
        </is>
      </c>
      <c r="C101" t="n">
        <v>2023</v>
      </c>
      <c r="E101" s="1" t="inlineStr">
        <is>
          <t>duh</t>
        </is>
      </c>
    </row>
    <row r="102" ht="15" customHeight="1">
      <c r="A102" t="inlineStr">
        <is>
          <t>Balatro</t>
        </is>
      </c>
      <c r="B102" t="inlineStr">
        <is>
          <t>Slot or Not</t>
        </is>
      </c>
      <c r="C102" t="n">
        <v>2023</v>
      </c>
      <c r="E102" s="1" t="inlineStr">
        <is>
          <t>https://store.steampowered.com/app/3496890/Slot_or_Not/</t>
        </is>
      </c>
    </row>
    <row r="103" ht="15" customHeight="1">
      <c r="A103" t="inlineStr">
        <is>
          <t>Balatro</t>
        </is>
      </c>
      <c r="B103" t="inlineStr">
        <is>
          <t>Sodaman</t>
        </is>
      </c>
      <c r="C103" t="n">
        <v>2023</v>
      </c>
      <c r="E103" s="1" t="inlineStr">
        <is>
          <t>https://www.reddit.com/r/Games/comments/1giltps/sodaman_tape_corps_balatro_inspired_roguelite/</t>
        </is>
      </c>
    </row>
    <row r="104" ht="15" customHeight="1">
      <c r="A104" t="inlineStr">
        <is>
          <t>Balatro</t>
        </is>
      </c>
      <c r="B104" t="inlineStr">
        <is>
          <t>Sol Cesto</t>
        </is>
      </c>
      <c r="C104" t="n">
        <v>2023</v>
      </c>
      <c r="E104" s="11" t="inlineStr">
        <is>
          <t>https://www.youtube.com/watch?v=ZVQBDWbGPIg</t>
        </is>
      </c>
    </row>
    <row r="105" ht="15" customHeight="1">
      <c r="A105" t="inlineStr">
        <is>
          <t>Balatro</t>
        </is>
      </c>
      <c r="B105" t="inlineStr">
        <is>
          <t>Stackflow</t>
        </is>
      </c>
      <c r="C105" t="n">
        <v>2023</v>
      </c>
      <c r="E105" s="1" t="inlineStr">
        <is>
          <t>look at it</t>
        </is>
      </c>
    </row>
    <row r="106" ht="15" customHeight="1">
      <c r="A106" t="inlineStr">
        <is>
          <t>Balatro</t>
        </is>
      </c>
      <c r="B106" t="inlineStr">
        <is>
          <t>Steve's Warehouse: Physics. Roguelike. Chaos.</t>
        </is>
      </c>
      <c r="C106" t="n">
        <v>2023</v>
      </c>
      <c r="E106" s="1" t="inlineStr">
        <is>
          <t>https://store.steampowered.com/app/2902440/Steves_Warehouse_Physics_Roguelike_Chaos/</t>
        </is>
      </c>
    </row>
    <row r="107" ht="15" customHeight="1">
      <c r="A107" t="inlineStr">
        <is>
          <t>Balatro</t>
        </is>
      </c>
      <c r="B107" t="inlineStr">
        <is>
          <t>The Royal Writ</t>
        </is>
      </c>
      <c r="C107" t="n">
        <v>2023</v>
      </c>
      <c r="E107" s="1" t="inlineStr">
        <is>
          <t>https://store.steampowered.com/app/3333700/The_Royal_Writ/</t>
        </is>
      </c>
    </row>
    <row r="108" ht="15" customHeight="1">
      <c r="A108" t="inlineStr">
        <is>
          <t>Balatro</t>
        </is>
      </c>
      <c r="B108" t="inlineStr">
        <is>
          <t>Tic Tactic</t>
        </is>
      </c>
      <c r="C108" t="n">
        <v>2023</v>
      </c>
      <c r="E108" s="1" t="inlineStr">
        <is>
          <t>Mentioned multiple times in discord, not an inspiration to start the game, but helped out during development, check folder</t>
        </is>
      </c>
    </row>
    <row r="109" ht="15" customHeight="1">
      <c r="A109" t="inlineStr">
        <is>
          <t>Balatro</t>
        </is>
      </c>
      <c r="B109" t="inlineStr">
        <is>
          <t>Word Play</t>
        </is>
      </c>
      <c r="C109" t="n">
        <v>2023</v>
      </c>
      <c r="E109" s="1" t="inlineStr">
        <is>
          <t>https://gmtk.substack.com/p/how-i-made-word-play</t>
        </is>
      </c>
    </row>
    <row r="110" ht="15" customHeight="1">
      <c r="A110" t="inlineStr">
        <is>
          <t>Balatro</t>
        </is>
      </c>
      <c r="B110" t="inlineStr">
        <is>
          <t>Wordatro!</t>
        </is>
      </c>
      <c r="C110" t="n">
        <v>2023</v>
      </c>
      <c r="E110" s="1" t="inlineStr">
        <is>
          <t>….......</t>
        </is>
      </c>
    </row>
    <row r="111" ht="15" customHeight="1">
      <c r="A111" t="inlineStr">
        <is>
          <t>Balatro</t>
        </is>
      </c>
      <c r="B111" t="inlineStr">
        <is>
          <t>Zoominoes</t>
        </is>
      </c>
      <c r="C111" t="n">
        <v>2023</v>
      </c>
      <c r="E111" s="11" t="inlineStr">
        <is>
          <t>https://www.youtube.com/watch?v=9MTnAtXsJn0</t>
        </is>
      </c>
    </row>
    <row r="112" ht="15" customHeight="1">
      <c r="A112" t="inlineStr">
        <is>
          <t>Ballionaire</t>
        </is>
      </c>
      <c r="B112" t="inlineStr">
        <is>
          <t>Menherarium</t>
        </is>
      </c>
      <c r="C112" t="n">
        <v>2024</v>
      </c>
      <c r="E112" s="1" t="inlineStr">
        <is>
          <t>https://www.youtube.com/watch?v=cjh1J2AuT_4</t>
        </is>
      </c>
    </row>
    <row r="113" ht="15" customHeight="1">
      <c r="A113" t="inlineStr">
        <is>
          <t>Ballionaire</t>
        </is>
      </c>
      <c r="B113" t="inlineStr">
        <is>
          <t>Omelet You Cook</t>
        </is>
      </c>
      <c r="C113" t="n">
        <v>2024</v>
      </c>
      <c r="E113" s="1" t="inlineStr">
        <is>
          <t>https://store.steampowered.com/app/3205380/Omelet_You_Cook/</t>
        </is>
      </c>
    </row>
    <row r="114" ht="15" customHeight="1">
      <c r="A114" t="inlineStr">
        <is>
          <t>Baroque</t>
        </is>
      </c>
      <c r="B114" t="inlineStr">
        <is>
          <t>Baroque (2007)</t>
        </is>
      </c>
      <c r="C114" t="n">
        <v>1998</v>
      </c>
      <c r="D114" t="inlineStr">
        <is>
          <t>Yes</t>
        </is>
      </c>
    </row>
    <row r="115" ht="15" customHeight="1">
      <c r="A115" t="inlineStr">
        <is>
          <t>Battle Brothers</t>
        </is>
      </c>
      <c r="B115" t="inlineStr">
        <is>
          <t>Legend of Keepers: Career of a Dungeon Manager</t>
        </is>
      </c>
      <c r="C115" t="n">
        <v>2017</v>
      </c>
      <c r="E115" s="1" t="inlineStr">
        <is>
          <t>https://legendofkeepers.fandom.com/wiki/Legend_of_Keepers</t>
        </is>
      </c>
    </row>
    <row r="116" ht="15" customHeight="1">
      <c r="A116" t="inlineStr">
        <is>
          <t>Battle Brothers</t>
        </is>
      </c>
      <c r="B116" t="inlineStr">
        <is>
          <t>The Last Spell</t>
        </is>
      </c>
      <c r="C116" t="n">
        <v>2017</v>
      </c>
      <c r="E116" s="11" t="inlineStr">
        <is>
          <t>https://gamerant.com/the-last-spell-game-interview-launch-dlc/#:~:text=The%20Last%20Spell's%20unique%20blend,build%20characters%20however%20they%20want.</t>
        </is>
      </c>
    </row>
    <row r="117" ht="15" customHeight="1">
      <c r="A117" t="inlineStr">
        <is>
          <t>Bleak Sword</t>
        </is>
      </c>
      <c r="B117" t="inlineStr">
        <is>
          <t>Scourgebringer</t>
        </is>
      </c>
      <c r="C117" t="n">
        <v>2019</v>
      </c>
      <c r="E117" s="1" t="inlineStr">
        <is>
          <t>check folder</t>
        </is>
      </c>
    </row>
    <row r="118" ht="15" customHeight="1">
      <c r="A118" t="inlineStr">
        <is>
          <t>Block Tower TD</t>
        </is>
      </c>
      <c r="B118" t="inlineStr">
        <is>
          <t>Block Tower TD 2</t>
        </is>
      </c>
      <c r="C118" t="n">
        <v>2023</v>
      </c>
      <c r="D118" t="inlineStr">
        <is>
          <t>Yes</t>
        </is>
      </c>
      <c r="E118" s="1" t="n"/>
    </row>
    <row r="119" ht="15" customHeight="1">
      <c r="A119" t="inlineStr">
        <is>
          <t>Boneraiser Minions</t>
        </is>
      </c>
      <c r="B119" t="inlineStr">
        <is>
          <t>Be My Horde</t>
        </is>
      </c>
      <c r="C119" t="n">
        <v>2022</v>
      </c>
      <c r="E119" s="11" t="inlineStr">
        <is>
          <t>https://youtu.be/VGMszILvj78</t>
        </is>
      </c>
    </row>
    <row r="120" ht="15" customHeight="1">
      <c r="A120" t="inlineStr">
        <is>
          <t>Boneraiser Minions</t>
        </is>
      </c>
      <c r="B120" t="inlineStr">
        <is>
          <t>Voids Vigil</t>
        </is>
      </c>
      <c r="C120" t="n">
        <v>2022</v>
      </c>
      <c r="D120" t="inlineStr">
        <is>
          <t>Yes</t>
        </is>
      </c>
    </row>
    <row r="121" ht="15" customHeight="1">
      <c r="A121" t="inlineStr">
        <is>
          <t>Book of Demons</t>
        </is>
      </c>
      <c r="B121" t="inlineStr">
        <is>
          <t>Hellcard</t>
        </is>
      </c>
      <c r="C121" t="n">
        <v>2018</v>
      </c>
      <c r="D121" t="inlineStr">
        <is>
          <t>Yes</t>
        </is>
      </c>
      <c r="E121" s="1" t="inlineStr">
        <is>
          <t>https://www.ign.com/articles/claim-a-key-for-hellcard-the-turn-based-deckbuilding-rogue-lite-from-book-of-demons-developer</t>
        </is>
      </c>
    </row>
    <row r="122" ht="15" customHeight="1">
      <c r="A122" t="inlineStr">
        <is>
          <t>Bounty of One</t>
        </is>
      </c>
      <c r="B122" t="inlineStr">
        <is>
          <t>Hive Blight</t>
        </is>
      </c>
      <c r="C122" t="n">
        <v>2022</v>
      </c>
      <c r="D122" t="inlineStr">
        <is>
          <t>Yes</t>
        </is>
      </c>
      <c r="E122" s="1" t="n"/>
    </row>
    <row r="123" ht="15" customHeight="1">
      <c r="A123" t="inlineStr">
        <is>
          <t>Brogue</t>
        </is>
      </c>
      <c r="B123" t="inlineStr">
        <is>
          <t>Escape The Mad Empire</t>
        </is>
      </c>
      <c r="C123" t="n">
        <v>2009</v>
      </c>
      <c r="E123" s="11" t="inlineStr">
        <is>
          <t>https://steamcommunity.com/app/1823390/discussions/2/6893400166994423780/</t>
        </is>
      </c>
    </row>
    <row r="124" ht="15" customHeight="1">
      <c r="A124" t="inlineStr">
        <is>
          <t>Brogue</t>
        </is>
      </c>
      <c r="B124" t="inlineStr">
        <is>
          <t>Labyrinth of Legendary Loot</t>
        </is>
      </c>
      <c r="C124" t="n">
        <v>2009</v>
      </c>
      <c r="E124" s="1" t="inlineStr">
        <is>
          <t>https://roguebasin.com/index.php/Labyrinth_of_Legendary_Loot</t>
        </is>
      </c>
    </row>
    <row r="125" ht="15" customHeight="1">
      <c r="A125" t="inlineStr">
        <is>
          <t>Brogue</t>
        </is>
      </c>
      <c r="B125" t="inlineStr">
        <is>
          <t>Moonring</t>
        </is>
      </c>
      <c r="C125" t="n">
        <v>2009</v>
      </c>
      <c r="E125" s="1" t="inlineStr">
        <is>
          <t>check folder</t>
        </is>
      </c>
    </row>
    <row r="126" ht="15" customHeight="1">
      <c r="A126" t="inlineStr">
        <is>
          <t>Brogue</t>
        </is>
      </c>
      <c r="B126" t="inlineStr">
        <is>
          <t>Pixel Dungeon</t>
        </is>
      </c>
      <c r="C126" t="n">
        <v>2009</v>
      </c>
      <c r="E126" s="1" t="inlineStr">
        <is>
          <t>https://roguebasin.com/index.php/Pixel_Dungeon</t>
        </is>
      </c>
    </row>
    <row r="127" ht="15" customHeight="1">
      <c r="A127" t="inlineStr">
        <is>
          <t>Brogue</t>
        </is>
      </c>
      <c r="B127" t="inlineStr">
        <is>
          <t>Rogue-Fp</t>
        </is>
      </c>
      <c r="C127" t="n">
        <v>2009</v>
      </c>
      <c r="E127" s="1" t="inlineStr">
        <is>
          <t>https://roguebasin.com/index.php/ROGUE-FP</t>
        </is>
      </c>
    </row>
    <row r="128" ht="15" customHeight="1">
      <c r="A128" t="inlineStr">
        <is>
          <t>Brogue</t>
        </is>
      </c>
      <c r="B128" t="inlineStr">
        <is>
          <t>Space Grunts</t>
        </is>
      </c>
      <c r="C128" t="n">
        <v>2009</v>
      </c>
      <c r="E128" s="11" t="inlineStr">
        <is>
          <t>https://steamcommunity.com/app/371430/discussions/0/494631967651210890/#c494631967651765393</t>
        </is>
      </c>
    </row>
    <row r="129" ht="15" customHeight="1">
      <c r="A129" t="inlineStr">
        <is>
          <t>Brogue</t>
        </is>
      </c>
      <c r="B129" t="inlineStr">
        <is>
          <t>Unexplored</t>
        </is>
      </c>
      <c r="C129" t="n">
        <v>2009</v>
      </c>
      <c r="E129" s="1" t="inlineStr">
        <is>
          <t>https://steamcommunity.com/app/506870/discussions/0/1354868867726398236/</t>
        </is>
      </c>
    </row>
    <row r="130" ht="15" customHeight="1">
      <c r="A130" t="inlineStr">
        <is>
          <t>Brogue</t>
        </is>
      </c>
      <c r="B130" t="inlineStr">
        <is>
          <t>WarpVector</t>
        </is>
      </c>
      <c r="C130" t="n">
        <v>2009</v>
      </c>
      <c r="E130" s="1" t="inlineStr">
        <is>
          <t>https://www.youtube.com/watch?v=G8e_zxWb3QA</t>
        </is>
      </c>
    </row>
    <row r="131" ht="15" customHeight="1">
      <c r="A131" t="inlineStr">
        <is>
          <t>Brotato</t>
        </is>
      </c>
      <c r="B131" t="inlineStr">
        <is>
          <t>Arms of God</t>
        </is>
      </c>
      <c r="C131" t="n">
        <v>2022</v>
      </c>
      <c r="E131" s="11" t="inlineStr">
        <is>
          <t>https://steamcommunity.com/app/3100310/discussions/0/735910198043224446/#c735910198043297427</t>
        </is>
      </c>
    </row>
    <row r="132" ht="15" customHeight="1">
      <c r="A132" t="inlineStr">
        <is>
          <t>Brotato</t>
        </is>
      </c>
      <c r="B132" t="inlineStr">
        <is>
          <t>Astro Prospector</t>
        </is>
      </c>
      <c r="C132" t="n">
        <v>2022</v>
      </c>
      <c r="E132" s="1" t="inlineStr">
        <is>
          <t>check folder</t>
        </is>
      </c>
    </row>
    <row r="133" ht="15" customHeight="1">
      <c r="A133" t="inlineStr">
        <is>
          <t>Brotato</t>
        </is>
      </c>
      <c r="B133" t="inlineStr">
        <is>
          <t>Cluckmech Oasis</t>
        </is>
      </c>
      <c r="C133" t="n">
        <v>2022</v>
      </c>
      <c r="E133" s="11" t="inlineStr">
        <is>
          <t>https://caifuhao.eastmoney.com/news/20260725235351583816280</t>
        </is>
      </c>
    </row>
    <row r="134" ht="15" customHeight="1">
      <c r="A134" t="inlineStr">
        <is>
          <t>Brotato</t>
        </is>
      </c>
      <c r="B134" t="inlineStr">
        <is>
          <t>Heretic's Fork</t>
        </is>
      </c>
      <c r="C134" t="n">
        <v>2022</v>
      </c>
      <c r="E134" s="11" t="inlineStr">
        <is>
          <t>https://x.com/9fingergames/status/1702411051290006007</t>
        </is>
      </c>
    </row>
    <row r="135" ht="15" customHeight="1">
      <c r="A135" t="inlineStr">
        <is>
          <t>Brotato</t>
        </is>
      </c>
      <c r="B135" t="inlineStr">
        <is>
          <t>How Many Dudes?</t>
        </is>
      </c>
      <c r="C135" t="n">
        <v>2022</v>
      </c>
      <c r="E135" t="inlineStr">
        <is>
          <t>check folder</t>
        </is>
      </c>
    </row>
    <row r="136" ht="15" customHeight="1">
      <c r="A136" t="inlineStr">
        <is>
          <t>Brotato</t>
        </is>
      </c>
      <c r="B136" t="inlineStr">
        <is>
          <t>Kill The Music</t>
        </is>
      </c>
      <c r="C136" t="n">
        <v>2022</v>
      </c>
      <c r="E136" s="1" t="inlineStr">
        <is>
          <t>https://x.com/nikkonikkoLTD/status/1984291038723457227?s=20</t>
        </is>
      </c>
    </row>
    <row r="137" ht="15" customHeight="1">
      <c r="A137" t="inlineStr">
        <is>
          <t>Brotato</t>
        </is>
      </c>
      <c r="B137" t="inlineStr">
        <is>
          <t>Maid Survivors: Little Angels</t>
        </is>
      </c>
      <c r="C137" t="n">
        <v>2022</v>
      </c>
      <c r="E137" s="1" t="inlineStr">
        <is>
          <t>https://gamingtrend.com/previews/little-angels-maid-survivors-preview-playx4-a-brotato-esque-horde-survival-game-with-anime-packaging-and-evolutions-to-the-genre/</t>
        </is>
      </c>
    </row>
    <row r="138" ht="15" customHeight="1">
      <c r="A138" t="inlineStr">
        <is>
          <t>Brotato</t>
        </is>
      </c>
      <c r="B138" t="inlineStr">
        <is>
          <t>Noobs Are Coming</t>
        </is>
      </c>
      <c r="C138" t="n">
        <v>2022</v>
      </c>
      <c r="E138" s="1" t="inlineStr">
        <is>
          <t>https://store.steampowered.com/app/2225960/Noobs_Are_Coming/</t>
        </is>
      </c>
    </row>
    <row r="139" ht="15" customHeight="1">
      <c r="A139" t="inlineStr">
        <is>
          <t>Brotato</t>
        </is>
      </c>
      <c r="B139" t="inlineStr">
        <is>
          <t>Pesticide Not Required</t>
        </is>
      </c>
      <c r="C139" t="n">
        <v>2022</v>
      </c>
      <c r="E139" s="1" t="inlineStr">
        <is>
          <t>https://store.steampowered.com/app/2479320/Pesticide_Not_Required/</t>
        </is>
      </c>
    </row>
    <row r="140" ht="15" customHeight="1">
      <c r="A140" t="inlineStr">
        <is>
          <t>Brotato</t>
        </is>
      </c>
      <c r="B140" t="inlineStr">
        <is>
          <t>Rack and Slay</t>
        </is>
      </c>
      <c r="C140" t="n">
        <v>2022</v>
      </c>
      <c r="E140" s="1" t="inlineStr">
        <is>
          <t>https://www.youtube.com/watch?v=kYUYXX5vdkU</t>
        </is>
      </c>
    </row>
    <row r="141" ht="15" customHeight="1">
      <c r="A141" t="inlineStr">
        <is>
          <t>Brotato</t>
        </is>
      </c>
      <c r="B141" t="inlineStr">
        <is>
          <t>Shape Shifter: Formations</t>
        </is>
      </c>
      <c r="C141" t="n">
        <v>2022</v>
      </c>
      <c r="E141" s="11" t="inlineStr">
        <is>
          <t>https://www.reddit.com/r/Games/comments/16x0fkk/shape_shifter_formations_castec_studios_an_action/</t>
        </is>
      </c>
    </row>
    <row r="142" ht="15" customHeight="1">
      <c r="A142" t="inlineStr">
        <is>
          <t>Brotato</t>
        </is>
      </c>
      <c r="B142" t="inlineStr">
        <is>
          <t>Voids Vigil</t>
        </is>
      </c>
      <c r="C142" t="n">
        <v>2022</v>
      </c>
      <c r="E142" s="1" t="inlineStr">
        <is>
          <t>https://store.steampowered.com/app/2738940/Voids_Vigil/?inqueue=2_eyJzdHJDb250ZW50SHViVHlwZSI6InRhZ3MiLCJuQ29udGVudEh1YlRhZ0lEIjoxNzE2LCJiRGlzY291bnRzT25seSI6ZmFsc2UsImJQcmlvcml0aXplRGlzY291bnRzIjpmYWxzZX0</t>
        </is>
      </c>
    </row>
    <row r="143" ht="15" customHeight="1">
      <c r="A143" t="inlineStr">
        <is>
          <t>Buckshot Roulette</t>
        </is>
      </c>
      <c r="B143" t="inlineStr">
        <is>
          <t>CloverPit</t>
        </is>
      </c>
      <c r="C143" t="n">
        <v>2024</v>
      </c>
      <c r="E143" s="1" t="inlineStr">
        <is>
          <t>https://store.steampowered.com/app/3314790/CloverPit/</t>
        </is>
      </c>
    </row>
    <row r="144" ht="15" customHeight="1">
      <c r="A144" t="inlineStr">
        <is>
          <t>Candies 'n Curses</t>
        </is>
      </c>
      <c r="B144" t="inlineStr">
        <is>
          <t>Cross Blitz</t>
        </is>
      </c>
      <c r="C144" t="n">
        <v>2018</v>
      </c>
      <c r="D144" t="inlineStr">
        <is>
          <t>Yes</t>
        </is>
      </c>
      <c r="E144" s="1" t="n"/>
    </row>
    <row r="145" ht="15" customHeight="1">
      <c r="A145" t="inlineStr">
        <is>
          <t>Cardinal Quest</t>
        </is>
      </c>
      <c r="B145" t="inlineStr">
        <is>
          <t>Cardinal Quest 2</t>
        </is>
      </c>
      <c r="C145" t="n">
        <v>2010</v>
      </c>
      <c r="D145" t="inlineStr">
        <is>
          <t>Yes</t>
        </is>
      </c>
    </row>
    <row r="146" ht="15" customHeight="1">
      <c r="A146" t="inlineStr">
        <is>
          <t>Castle of the Winds</t>
        </is>
      </c>
      <c r="B146" t="inlineStr">
        <is>
          <t>Dungeonmans</t>
        </is>
      </c>
      <c r="C146" t="n">
        <v>1989</v>
      </c>
      <c r="E146" s="1" t="inlineStr">
        <is>
          <t>https://www.reddit.com/r/Games/comments/2osauc/hi_rgames_were_a_group_of_aaa_and_exaaa/</t>
        </is>
      </c>
    </row>
    <row r="147" ht="15" customHeight="1">
      <c r="A147" t="inlineStr">
        <is>
          <t>CastlevaniaRL</t>
        </is>
      </c>
      <c r="B147" t="inlineStr">
        <is>
          <t>ZMAngband</t>
        </is>
      </c>
      <c r="C147" t="n">
        <v>2005</v>
      </c>
      <c r="E147" s="1" t="inlineStr">
        <is>
          <t>https://roguebasin.com/index.php/ZMAngband</t>
        </is>
      </c>
    </row>
    <row r="148" ht="15" customHeight="1">
      <c r="A148" t="inlineStr">
        <is>
          <t>Cataclysm</t>
        </is>
      </c>
      <c r="B148" t="inlineStr">
        <is>
          <t>Cataclysm: Bright Nights</t>
        </is>
      </c>
      <c r="C148" t="n">
        <v>2010</v>
      </c>
      <c r="E148" s="1" t="inlineStr">
        <is>
          <t>https://roguebasin.com/index.php/Cataclysm:_Bright_Nights</t>
        </is>
      </c>
    </row>
    <row r="149" ht="15" customHeight="1">
      <c r="A149" t="inlineStr">
        <is>
          <t>Cataclysm</t>
        </is>
      </c>
      <c r="B149" t="inlineStr">
        <is>
          <t>Cataclysm: Dark Days Ahead</t>
        </is>
      </c>
      <c r="C149" t="n">
        <v>2010</v>
      </c>
      <c r="E149" s="1" t="inlineStr">
        <is>
          <t>https://roguebasin.com/index.php/CataclysmDDA</t>
        </is>
      </c>
    </row>
    <row r="150" ht="15" customHeight="1">
      <c r="A150" t="inlineStr">
        <is>
          <t>Cataclysm: Dark Days Ahead</t>
        </is>
      </c>
      <c r="B150" t="inlineStr">
        <is>
          <t>Cataclysm: The Last Generation</t>
        </is>
      </c>
      <c r="C150" t="n">
        <v>2013</v>
      </c>
      <c r="D150" t="inlineStr">
        <is>
          <t>Yes</t>
        </is>
      </c>
      <c r="E150" s="1" t="n"/>
    </row>
    <row r="151" ht="15" customHeight="1">
      <c r="A151" t="inlineStr">
        <is>
          <t>Catacomb Kids</t>
        </is>
      </c>
      <c r="B151" t="inlineStr">
        <is>
          <t>Red Rogue</t>
        </is>
      </c>
      <c r="C151" t="n">
        <v>2015</v>
      </c>
      <c r="E151" s="11" t="inlineStr">
        <is>
          <t>https://www.youtube.com/watch?v=DASCE8BbvOI&amp;t=1s (Got to play the kickstarter version early)</t>
        </is>
      </c>
    </row>
    <row r="152" ht="15" customHeight="1">
      <c r="A152" t="inlineStr">
        <is>
          <t>Caveblazers</t>
        </is>
      </c>
      <c r="B152" t="inlineStr">
        <is>
          <t>Wildfrost</t>
        </is>
      </c>
      <c r="C152" t="n">
        <v>2017</v>
      </c>
      <c r="E152" s="1" t="inlineStr">
        <is>
          <t>https://mcvuk.com/business-news/when-we-made-wildfrost/</t>
        </is>
      </c>
    </row>
    <row r="153" ht="15" customHeight="1">
      <c r="A153" t="inlineStr">
        <is>
          <t>Caves of Qud</t>
        </is>
      </c>
      <c r="B153" t="inlineStr">
        <is>
          <t>Approaching Infinity</t>
        </is>
      </c>
      <c r="C153" t="n">
        <v>2010</v>
      </c>
      <c r="E153" s="1" t="inlineStr">
        <is>
          <t>check folder</t>
        </is>
      </c>
    </row>
    <row r="154" ht="15" customHeight="1">
      <c r="A154" t="inlineStr">
        <is>
          <t>Caves of Qud</t>
        </is>
      </c>
      <c r="B154" t="inlineStr">
        <is>
          <t>Sproggiwood</t>
        </is>
      </c>
      <c r="C154" t="n">
        <v>2010</v>
      </c>
      <c r="D154" t="inlineStr">
        <is>
          <t>Yes</t>
        </is>
      </c>
      <c r="E154" s="1" t="n"/>
    </row>
    <row r="155" ht="15" customHeight="1">
      <c r="A155" t="inlineStr">
        <is>
          <t>Chess Survivors</t>
        </is>
      </c>
      <c r="B155" t="inlineStr">
        <is>
          <t>Hexagod</t>
        </is>
      </c>
      <c r="C155" t="n">
        <v>2022</v>
      </c>
      <c r="D155" t="inlineStr">
        <is>
          <t>Yes</t>
        </is>
      </c>
    </row>
    <row r="156" ht="15" customHeight="1">
      <c r="A156" t="inlineStr">
        <is>
          <t>Children of Morta</t>
        </is>
      </c>
      <c r="B156" t="inlineStr">
        <is>
          <t>Astral Ascent</t>
        </is>
      </c>
      <c r="C156" t="n">
        <v>2019</v>
      </c>
      <c r="E156" s="1" t="inlineStr">
        <is>
          <t>https://www.scousegamer88.com/2021/03/31/astral-ascent-hibernian-workshop-interview/</t>
        </is>
      </c>
    </row>
    <row r="157" ht="15" customHeight="1">
      <c r="A157" t="inlineStr">
        <is>
          <t>Children of Morta</t>
        </is>
      </c>
      <c r="B157" t="inlineStr">
        <is>
          <t>Teenage Mutant Ninja Turtles: Splintered Fate</t>
        </is>
      </c>
      <c r="C157" t="n">
        <v>2019</v>
      </c>
      <c r="E157" s="11" t="inlineStr">
        <is>
          <t>https://gonintendo.com/contents/37637-tmnt-splintered-fate-devs-say-they-were-inspired-by-hades-dead-cells-and-more</t>
        </is>
      </c>
    </row>
    <row r="158" ht="15" customHeight="1">
      <c r="A158" t="inlineStr">
        <is>
          <t>Chocobo's Dungeon 2</t>
        </is>
      </c>
      <c r="B158" t="inlineStr">
        <is>
          <t>Final Fantasy Fables: Chocobo's Dungeon</t>
        </is>
      </c>
      <c r="C158" t="n">
        <v>1998</v>
      </c>
      <c r="D158" t="inlineStr">
        <is>
          <t>Yes</t>
        </is>
      </c>
      <c r="E158" s="1" t="n"/>
    </row>
    <row r="159" ht="15" customHeight="1">
      <c r="A159" t="inlineStr">
        <is>
          <t>Chocobo's Mysterious Dungeon</t>
        </is>
      </c>
      <c r="B159" t="inlineStr">
        <is>
          <t>Chocobo's Dungeon 2</t>
        </is>
      </c>
      <c r="C159" t="n">
        <v>1997</v>
      </c>
      <c r="D159" t="inlineStr">
        <is>
          <t>Yes</t>
        </is>
      </c>
      <c r="E159" s="1" t="n"/>
    </row>
    <row r="160" ht="15" customHeight="1">
      <c r="A160" t="inlineStr">
        <is>
          <t>Choo Choo Survivor</t>
        </is>
      </c>
      <c r="B160" t="inlineStr">
        <is>
          <t>Choo Choo Survivor 2</t>
        </is>
      </c>
      <c r="C160" t="n">
        <v>2023</v>
      </c>
      <c r="D160" t="inlineStr">
        <is>
          <t>Yes</t>
        </is>
      </c>
      <c r="E160" s="1" t="n"/>
    </row>
    <row r="161" ht="15" customHeight="1">
      <c r="A161" t="inlineStr">
        <is>
          <t>CloverPit</t>
        </is>
      </c>
      <c r="B161" t="inlineStr">
        <is>
          <t>Don't Let It Starve</t>
        </is>
      </c>
      <c r="C161" t="n">
        <v>2025</v>
      </c>
      <c r="E161" t="inlineStr">
        <is>
          <t>check folder</t>
        </is>
      </c>
    </row>
    <row r="162" ht="15" customHeight="1">
      <c r="A162" t="inlineStr">
        <is>
          <t>Cogmind</t>
        </is>
      </c>
      <c r="B162" t="inlineStr">
        <is>
          <t>Mainframe Defenders</t>
        </is>
      </c>
      <c r="C162" t="n">
        <v>2017</v>
      </c>
      <c r="E162" s="1" t="inlineStr">
        <is>
          <t>https://www.reddit.com/r/roguelikes/comments/fwbx5g/mainframe_defenders_cogmind_inspired_tactics/#:~:text=*Mainframe%20Defenders*%20is%20a%20roguelite%20game%20available,**Earning%20Matter%20and%20drops**%20*%20**Upgrading%20mechs**</t>
        </is>
      </c>
    </row>
    <row r="163" ht="15" customHeight="1">
      <c r="A163" t="inlineStr">
        <is>
          <t>Cogmind</t>
        </is>
      </c>
      <c r="B163" t="inlineStr">
        <is>
          <t>The Doors of Trithius</t>
        </is>
      </c>
      <c r="C163" t="n">
        <v>2017</v>
      </c>
      <c r="E163" s="1" t="inlineStr">
        <is>
          <t>https://steamcommunity.com/app/1519490/discussions/0/5456682769556329213/#c5456682769558786398</t>
        </is>
      </c>
    </row>
    <row r="164" ht="15" customHeight="1">
      <c r="A164" t="inlineStr">
        <is>
          <t>Core Defense</t>
        </is>
      </c>
      <c r="B164" t="inlineStr">
        <is>
          <t>Bella Wants Blood</t>
        </is>
      </c>
      <c r="C164" t="n">
        <v>2020</v>
      </c>
      <c r="D164" t="inlineStr">
        <is>
          <t>Yes</t>
        </is>
      </c>
      <c r="E164" s="1" t="n"/>
    </row>
    <row r="165" ht="15" customHeight="1">
      <c r="A165" t="inlineStr">
        <is>
          <t>Crab Champions</t>
        </is>
      </c>
      <c r="B165" t="inlineStr">
        <is>
          <t>Oddcore</t>
        </is>
      </c>
      <c r="C165" t="n">
        <v>2023</v>
      </c>
      <c r="E165" s="1" t="inlineStr">
        <is>
          <t>https://malcolmsith.newgrounds.com/news/post/1504514</t>
        </is>
      </c>
    </row>
    <row r="166" ht="15" customHeight="1">
      <c r="A166" t="inlineStr">
        <is>
          <t>Crab Champions</t>
        </is>
      </c>
      <c r="B166" t="inlineStr">
        <is>
          <t>Vellum</t>
        </is>
      </c>
      <c r="C166" t="n">
        <v>2023</v>
      </c>
      <c r="E166" s="1" t="inlineStr">
        <is>
          <t>https://rogueliker.com/vellum-inspirations/#:~:text=Vellum's%20Inspirations,chapter%20of%20the%20original%20series.</t>
        </is>
      </c>
    </row>
    <row r="167" ht="15" customHeight="1">
      <c r="A167" t="inlineStr">
        <is>
          <t>Crypt of the NecroDancer</t>
        </is>
      </c>
      <c r="B167" t="inlineStr">
        <is>
          <t>20XX</t>
        </is>
      </c>
      <c r="C167" t="n">
        <v>2015</v>
      </c>
      <c r="E167" s="1" t="inlineStr">
        <is>
          <t>https://www.reddit.com/r/IAmA/comments/4po4pn/i_am_the_developer_of_20xx_the_megaman_xinspired/</t>
        </is>
      </c>
    </row>
    <row r="168" ht="15" customHeight="1">
      <c r="A168" t="inlineStr">
        <is>
          <t>Crypt of the NecroDancer</t>
        </is>
      </c>
      <c r="B168" t="inlineStr">
        <is>
          <t>BPM: Bullets Per Minute</t>
        </is>
      </c>
      <c r="C168" t="n">
        <v>2015</v>
      </c>
      <c r="E168" s="1" t="inlineStr">
        <is>
          <t>https://en.wikipedia.org/wiki/BPM:_Bullets_Per_Minute#:~:text=The%20game%20was%20inspired%20by,of%20the%20NecroDancer%20and%20Cuphead.</t>
        </is>
      </c>
    </row>
    <row r="169" ht="15" customHeight="1">
      <c r="A169" t="inlineStr">
        <is>
          <t>Crypt of the NecroDancer</t>
        </is>
      </c>
      <c r="B169" t="inlineStr">
        <is>
          <t>Chess Survivors</t>
        </is>
      </c>
      <c r="C169" t="n">
        <v>2015</v>
      </c>
      <c r="E169" s="11" t="inlineStr">
        <is>
          <t>https://www.youtube.com/watch?v=dfLSGkKC2ug</t>
        </is>
      </c>
    </row>
    <row r="170" ht="15" customHeight="1">
      <c r="A170" t="inlineStr">
        <is>
          <t>Crypt of the NecroDancer</t>
        </is>
      </c>
      <c r="B170" t="inlineStr">
        <is>
          <t>Demon Lord: Just a Block</t>
        </is>
      </c>
      <c r="C170" t="n">
        <v>2015</v>
      </c>
      <c r="E170" s="1" t="inlineStr">
        <is>
          <t>https://www.reddit.com/r/Games/comments/1syyjc8/ama_demon_lord_just_a_block_the_gridbased/</t>
        </is>
      </c>
    </row>
    <row r="171" ht="15" customHeight="1">
      <c r="A171" t="inlineStr">
        <is>
          <t>Crypt of the NecroDancer</t>
        </is>
      </c>
      <c r="B171" t="inlineStr">
        <is>
          <t>Guidus</t>
        </is>
      </c>
      <c r="C171" t="n">
        <v>2015</v>
      </c>
      <c r="E171" t="inlineStr">
        <is>
          <t>check folder</t>
        </is>
      </c>
    </row>
    <row r="172" ht="15" customHeight="1">
      <c r="A172" t="inlineStr">
        <is>
          <t>Crypt of the NecroDancer</t>
        </is>
      </c>
      <c r="B172" t="inlineStr">
        <is>
          <t>HyperRogue</t>
        </is>
      </c>
      <c r="C172" t="n">
        <v>2015</v>
      </c>
      <c r="E172" s="11" t="inlineStr">
        <is>
          <t>https://zenorogue.blogspot.com/search/label/sources</t>
        </is>
      </c>
    </row>
    <row r="173" ht="15" customHeight="1">
      <c r="A173" t="inlineStr">
        <is>
          <t>Crypt of the NecroDancer</t>
        </is>
      </c>
      <c r="B173" t="inlineStr">
        <is>
          <t>Kill The Music</t>
        </is>
      </c>
      <c r="C173" t="n">
        <v>2015</v>
      </c>
      <c r="E173" s="1" t="inlineStr">
        <is>
          <t>https://x.com/nikkonikkoLTD/status/1925953983178269138?s=20</t>
        </is>
      </c>
    </row>
    <row r="174" ht="15" customHeight="1">
      <c r="A174" t="inlineStr">
        <is>
          <t>Crypt of the NecroDancer</t>
        </is>
      </c>
      <c r="B174" t="inlineStr">
        <is>
          <t>Shogun Showdown</t>
        </is>
      </c>
      <c r="C174" t="n">
        <v>2015</v>
      </c>
      <c r="E174" s="1" t="inlineStr">
        <is>
          <t>https://shogunshowdown.wiki.gg/wiki/Shogun_Showdown</t>
        </is>
      </c>
    </row>
    <row r="175" ht="15" customHeight="1">
      <c r="A175" t="inlineStr">
        <is>
          <t>Cult of the Lamb</t>
        </is>
      </c>
      <c r="B175" t="inlineStr">
        <is>
          <t>Cinderia</t>
        </is>
      </c>
      <c r="C175" t="n">
        <v>2022</v>
      </c>
      <c r="E175" s="1" t="inlineStr">
        <is>
          <t>check folder</t>
        </is>
      </c>
    </row>
    <row r="176" ht="15" customHeight="1">
      <c r="A176" t="inlineStr">
        <is>
          <t>Cult of the Lamb</t>
        </is>
      </c>
      <c r="B176" t="inlineStr">
        <is>
          <t>Garden of Witches</t>
        </is>
      </c>
      <c r="C176" t="n">
        <v>2022</v>
      </c>
      <c r="E176" s="1" t="inlineStr">
        <is>
          <t>https://www.nettosgameroom.com/2025/09/interview-with-team-tapas-creators-of.html</t>
        </is>
      </c>
    </row>
    <row r="177" ht="15" customHeight="1">
      <c r="A177" t="inlineStr">
        <is>
          <t>Cupiclaw</t>
        </is>
      </c>
      <c r="B177" t="inlineStr">
        <is>
          <t>Raccoin: Coin Pusher Roguelike</t>
        </is>
      </c>
      <c r="C177" t="n">
        <v>2024</v>
      </c>
      <c r="E177" s="11" t="inlineStr">
        <is>
          <t>https://caifuhao.eastmoney.com/news/20260725235351583816280</t>
        </is>
      </c>
    </row>
    <row r="178" ht="15" customHeight="1">
      <c r="A178" t="inlineStr">
        <is>
          <t>Curious Expedition</t>
        </is>
      </c>
      <c r="B178" t="inlineStr">
        <is>
          <t>Curious Expedition 2</t>
        </is>
      </c>
      <c r="C178" t="n">
        <v>2016</v>
      </c>
      <c r="D178" t="inlineStr">
        <is>
          <t>Yes</t>
        </is>
      </c>
      <c r="E178" s="1" t="inlineStr">
        <is>
          <t>https://mcvuk.com/business-news/when-we-made-wildfrost/</t>
        </is>
      </c>
    </row>
    <row r="179" ht="15" customHeight="1">
      <c r="A179" t="inlineStr">
        <is>
          <t>Curious Expedition</t>
        </is>
      </c>
      <c r="B179" t="inlineStr">
        <is>
          <t>Insurmountable</t>
        </is>
      </c>
      <c r="C179" t="n">
        <v>2016</v>
      </c>
      <c r="E179" s="1" t="inlineStr">
        <is>
          <t>https://www.reddit.com/r/IndieGaming/comments/evnabb/a_short_impression_of_insurmountable_our_new_game/</t>
        </is>
      </c>
    </row>
    <row r="180" ht="15" customHeight="1">
      <c r="A180" t="inlineStr">
        <is>
          <t>Curious Expedition</t>
        </is>
      </c>
      <c r="B180" t="inlineStr">
        <is>
          <t>Sandwalkers</t>
        </is>
      </c>
      <c r="C180" t="n">
        <v>2016</v>
      </c>
      <c r="E180" s="11" t="inlineStr">
        <is>
          <t>https://x.com/studio_goblinz/status/1703121970680807815?s=20</t>
        </is>
      </c>
    </row>
    <row r="181" ht="15" customHeight="1">
      <c r="A181" t="inlineStr">
        <is>
          <t>Curse of the Dead Gods</t>
        </is>
      </c>
      <c r="B181" t="inlineStr">
        <is>
          <t>Netherworld Covenant</t>
        </is>
      </c>
      <c r="C181" t="n">
        <v>2020</v>
      </c>
      <c r="E181" s="11" t="inlineStr">
        <is>
          <t>https://steamcommunity.com/app/2735580/discussions/0/595152144826392997/</t>
        </is>
      </c>
    </row>
    <row r="182" ht="15" customHeight="1">
      <c r="A182" t="inlineStr">
        <is>
          <t>Curse of the Dead Gods</t>
        </is>
      </c>
      <c r="B182" t="inlineStr">
        <is>
          <t>Ravenswatch</t>
        </is>
      </c>
      <c r="C182" t="n">
        <v>2020</v>
      </c>
      <c r="D182" t="inlineStr">
        <is>
          <t>Yes</t>
        </is>
      </c>
      <c r="E182" s="1" t="n"/>
    </row>
    <row r="183" ht="15" customHeight="1">
      <c r="A183" t="inlineStr">
        <is>
          <t>Dark Devotion</t>
        </is>
      </c>
      <c r="B183" t="inlineStr">
        <is>
          <t>Astral Ascent</t>
        </is>
      </c>
      <c r="C183" t="n">
        <v>2019</v>
      </c>
      <c r="D183" t="inlineStr">
        <is>
          <t>Yes</t>
        </is>
      </c>
      <c r="E183" s="1" t="inlineStr">
        <is>
          <t>https://www.scousegamer88.com/2021/03/31/astral-ascent-hibernian-workshop-interview/</t>
        </is>
      </c>
    </row>
    <row r="184" ht="15" customHeight="1">
      <c r="A184" t="inlineStr">
        <is>
          <t>Darkest Dungeon</t>
        </is>
      </c>
      <c r="B184" t="inlineStr">
        <is>
          <t>Across the Obelisk</t>
        </is>
      </c>
      <c r="C184" t="n">
        <v>2015</v>
      </c>
      <c r="E184" s="1" t="inlineStr">
        <is>
          <t>duh also check the folder for proof</t>
        </is>
      </c>
    </row>
    <row r="185" ht="15" customHeight="1">
      <c r="A185" t="inlineStr">
        <is>
          <t>Darkest Dungeon</t>
        </is>
      </c>
      <c r="B185" t="inlineStr">
        <is>
          <t>As We Descend</t>
        </is>
      </c>
      <c r="C185" t="n">
        <v>2015</v>
      </c>
      <c r="D185" t="inlineStr">
        <is>
          <t>also mentioned in discord</t>
        </is>
      </c>
      <c r="E185" s="1" t="inlineStr">
        <is>
          <t>https://www.reddit.com/r/pcgaming/comments/1kxi8ze/as_we_descend_strategy_roguelike_deckbuilder/</t>
        </is>
      </c>
    </row>
    <row r="186" ht="15" customHeight="1">
      <c r="A186" t="inlineStr">
        <is>
          <t>Darkest Dungeon</t>
        </is>
      </c>
      <c r="B186" t="inlineStr">
        <is>
          <t>Chrono Ark</t>
        </is>
      </c>
      <c r="C186" t="n">
        <v>2015</v>
      </c>
      <c r="E186" s="1" t="inlineStr">
        <is>
          <t>check folder</t>
        </is>
      </c>
    </row>
    <row r="187" ht="15" customHeight="1">
      <c r="A187" t="inlineStr">
        <is>
          <t>Darkest Dungeon</t>
        </is>
      </c>
      <c r="B187" t="inlineStr">
        <is>
          <t>Corpse Keeper</t>
        </is>
      </c>
      <c r="C187" t="n">
        <v>2015</v>
      </c>
      <c r="E187" s="1" t="inlineStr">
        <is>
          <t>https://www.kickstarter.com/projects/thermitegames/corpse-keeper</t>
        </is>
      </c>
    </row>
    <row r="188" ht="15" customHeight="1">
      <c r="A188" t="inlineStr">
        <is>
          <t>Darkest Dungeon</t>
        </is>
      </c>
      <c r="B188" t="inlineStr">
        <is>
          <t>Curse of the Dead Gods</t>
        </is>
      </c>
      <c r="C188" t="n">
        <v>2015</v>
      </c>
      <c r="E188" s="1" t="inlineStr">
        <is>
          <t>https://en.wikipedia.org/wiki/Curse_of_the_Dead_Gods</t>
        </is>
      </c>
    </row>
    <row r="189" ht="15" customHeight="1">
      <c r="A189" t="inlineStr">
        <is>
          <t>Darkest Dungeon</t>
        </is>
      </c>
      <c r="B189" t="inlineStr">
        <is>
          <t>Dark Devotion</t>
        </is>
      </c>
      <c r="C189" t="n">
        <v>2015</v>
      </c>
      <c r="E189" s="1" t="inlineStr">
        <is>
          <t>https://youtu.be/tbs9o6bck1U</t>
        </is>
      </c>
    </row>
    <row r="190" ht="15" customHeight="1">
      <c r="A190" t="inlineStr">
        <is>
          <t>Darkest Dungeon</t>
        </is>
      </c>
      <c r="B190" t="inlineStr">
        <is>
          <t>Darkest Dungeon 2</t>
        </is>
      </c>
      <c r="C190" t="n">
        <v>2015</v>
      </c>
      <c r="E190" s="1" t="n"/>
    </row>
    <row r="191" ht="15" customHeight="1">
      <c r="A191" t="inlineStr">
        <is>
          <t>Darkest Dungeon</t>
        </is>
      </c>
      <c r="B191" t="inlineStr">
        <is>
          <t>Deck of Ashes</t>
        </is>
      </c>
      <c r="C191" t="n">
        <v>2015</v>
      </c>
      <c r="E191" s="1" t="inlineStr">
        <is>
          <t>https://steamcommunity.com/app/1016730/discussions/0/1814296907961762044/</t>
        </is>
      </c>
    </row>
    <row r="192" ht="15" customHeight="1">
      <c r="A192" t="inlineStr">
        <is>
          <t>Darkest Dungeon</t>
        </is>
      </c>
      <c r="B192" t="inlineStr">
        <is>
          <t>Deep Sky Derelicts</t>
        </is>
      </c>
      <c r="C192" t="n">
        <v>2015</v>
      </c>
      <c r="E192" s="1" t="inlineStr">
        <is>
          <t>https://www.pcgamer.com/turn-based-roguelike-deep-sky-derelicts-channels-darkest-dungeon-in-space/</t>
        </is>
      </c>
    </row>
    <row r="193" ht="15" customHeight="1">
      <c r="A193" t="inlineStr">
        <is>
          <t>Darkest Dungeon</t>
        </is>
      </c>
      <c r="B193" t="inlineStr">
        <is>
          <t>Die For The Lich</t>
        </is>
      </c>
      <c r="C193" t="n">
        <v>2015</v>
      </c>
      <c r="E193" s="1" t="inlineStr">
        <is>
          <t>https://www.gamespress.com/Die-For-The-Lich-is-coming-to-Early-Access-on-November-10th-2025</t>
        </is>
      </c>
    </row>
    <row r="194" ht="15" customHeight="1">
      <c r="A194" t="inlineStr">
        <is>
          <t>Darkest Dungeon</t>
        </is>
      </c>
      <c r="B194" t="inlineStr">
        <is>
          <t>Dungeon Rushers</t>
        </is>
      </c>
      <c r="C194" t="n">
        <v>2015</v>
      </c>
      <c r="E194" s="11" t="inlineStr">
        <is>
          <t>https://steamcommunity.com/app/429620/discussions/0/352788552271906911/#c352788917764129482</t>
        </is>
      </c>
    </row>
    <row r="195" ht="15" customHeight="1">
      <c r="A195" t="inlineStr">
        <is>
          <t>Darkest Dungeon</t>
        </is>
      </c>
      <c r="B195" t="inlineStr">
        <is>
          <t>Escape The Mad Empire</t>
        </is>
      </c>
      <c r="C195" t="n">
        <v>2015</v>
      </c>
      <c r="E195" s="1" t="inlineStr">
        <is>
          <t>https://www.reddit.com/r/roguelites/comments/r8cay9/weve_been_developing_the_roguelite_escape_the_mad/</t>
        </is>
      </c>
    </row>
    <row r="196" ht="15" customHeight="1">
      <c r="A196" t="inlineStr">
        <is>
          <t>Darkest Dungeon</t>
        </is>
      </c>
      <c r="B196" t="inlineStr">
        <is>
          <t>Hell Clock</t>
        </is>
      </c>
      <c r="C196" t="n">
        <v>2015</v>
      </c>
      <c r="E196" s="1" t="inlineStr">
        <is>
          <t>https://www.youtube.com/watch?v=ZqMZqQ-wrko</t>
        </is>
      </c>
    </row>
    <row r="197" ht="15" customHeight="1">
      <c r="A197" t="inlineStr">
        <is>
          <t>Darkest Dungeon</t>
        </is>
      </c>
      <c r="B197" t="inlineStr">
        <is>
          <t>Iratus: Lord of the Dead</t>
        </is>
      </c>
      <c r="C197" t="n">
        <v>2015</v>
      </c>
      <c r="E197" s="1" t="inlineStr">
        <is>
          <t>https://iratus.org/faq</t>
        </is>
      </c>
    </row>
    <row r="198" ht="15" customHeight="1">
      <c r="A198" t="inlineStr">
        <is>
          <t>Darkest Dungeon</t>
        </is>
      </c>
      <c r="B198" t="inlineStr">
        <is>
          <t>Legend of Keepers: Career of a Dungeon Manager</t>
        </is>
      </c>
      <c r="C198" t="n">
        <v>2015</v>
      </c>
      <c r="E198" s="1" t="inlineStr">
        <is>
          <t>https://legendofkeepers.fandom.com/wiki/Legend_of_Keepers</t>
        </is>
      </c>
    </row>
    <row r="199" ht="15" customHeight="1">
      <c r="A199" t="inlineStr">
        <is>
          <t>Darkest Dungeon</t>
        </is>
      </c>
      <c r="B199" t="inlineStr">
        <is>
          <t>Luck &amp; Loot</t>
        </is>
      </c>
      <c r="C199" t="n">
        <v>2015</v>
      </c>
      <c r="E199" s="1" t="inlineStr">
        <is>
          <t>check folder</t>
        </is>
      </c>
    </row>
    <row r="200" ht="15" customHeight="1">
      <c r="A200" t="inlineStr">
        <is>
          <t>Darkest Dungeon</t>
        </is>
      </c>
      <c r="B200" t="inlineStr">
        <is>
          <t>Nadir</t>
        </is>
      </c>
      <c r="C200" t="n">
        <v>2015</v>
      </c>
      <c r="E200" s="11" t="inlineStr">
        <is>
          <t>https://x.com/NadirTheGame/status/1585925975115702273?s=20</t>
        </is>
      </c>
    </row>
    <row r="201" ht="15" customHeight="1">
      <c r="A201" t="inlineStr">
        <is>
          <t>Darkest Dungeon</t>
        </is>
      </c>
      <c r="B201" t="inlineStr">
        <is>
          <t>Sandwalkers</t>
        </is>
      </c>
      <c r="C201" t="n">
        <v>2015</v>
      </c>
      <c r="E201" s="11" t="inlineStr">
        <is>
          <t>https://x.com/studio_goblinz/status/1703121970680807815?s=20</t>
        </is>
      </c>
    </row>
    <row r="202" ht="15" customHeight="1">
      <c r="A202" t="inlineStr">
        <is>
          <t>Darkest Dungeon</t>
        </is>
      </c>
      <c r="B202" t="inlineStr">
        <is>
          <t>Shadowveil: Legend of The Five Rings</t>
        </is>
      </c>
      <c r="C202" t="n">
        <v>2015</v>
      </c>
      <c r="E202" s="1" t="inlineStr">
        <is>
          <t>https://rogueliker.com/shadowveil-legend-of-the-five-rings-interview/</t>
        </is>
      </c>
    </row>
    <row r="203" ht="15" customHeight="1">
      <c r="A203" t="inlineStr">
        <is>
          <t>Darkest Dungeon</t>
        </is>
      </c>
      <c r="B203" t="inlineStr">
        <is>
          <t>Shogun Showdown</t>
        </is>
      </c>
      <c r="C203" t="n">
        <v>2015</v>
      </c>
      <c r="E203" s="1" t="inlineStr">
        <is>
          <t>https://shogunshowdown.wiki.gg/wiki/Shogun_Showdown</t>
        </is>
      </c>
    </row>
    <row r="204" ht="15" customHeight="1">
      <c r="A204" t="inlineStr">
        <is>
          <t>Darkest Dungeon</t>
        </is>
      </c>
      <c r="B204" t="inlineStr">
        <is>
          <t>Slay the Spire</t>
        </is>
      </c>
      <c r="C204" t="n">
        <v>2015</v>
      </c>
      <c r="E204" s="1" t="inlineStr">
        <is>
          <t>https://www.reddit.com/r/IAmA/comments/aj6sq1/comment/eet5qh4/</t>
        </is>
      </c>
    </row>
    <row r="205" ht="15" customHeight="1">
      <c r="A205" t="inlineStr">
        <is>
          <t>Darkest Dungeon</t>
        </is>
      </c>
      <c r="B205" t="inlineStr">
        <is>
          <t>Stoneshard</t>
        </is>
      </c>
      <c r="C205" t="n">
        <v>2015</v>
      </c>
      <c r="E205" s="1" t="inlineStr">
        <is>
          <t>https://www.kickstarter.com/projects/1926605606/stoneshard-open-world-roguelike-rpg-with-tactical</t>
        </is>
      </c>
    </row>
    <row r="206" ht="15" customHeight="1">
      <c r="A206" t="inlineStr">
        <is>
          <t>Darkest Dungeon</t>
        </is>
      </c>
      <c r="B206" t="inlineStr">
        <is>
          <t>Tinyfolks</t>
        </is>
      </c>
      <c r="C206" t="n">
        <v>2015</v>
      </c>
      <c r="E206" s="1" t="inlineStr">
        <is>
          <t>check folder</t>
        </is>
      </c>
    </row>
    <row r="207" ht="15" customHeight="1">
      <c r="A207" t="inlineStr">
        <is>
          <t>Darkest Dungeon</t>
        </is>
      </c>
      <c r="B207" t="inlineStr">
        <is>
          <t>Voice of Belldona</t>
        </is>
      </c>
      <c r="C207" t="n">
        <v>2015</v>
      </c>
      <c r="E207" s="1" t="inlineStr">
        <is>
          <t>https://www.reddit.com/r/indiegames/comments/171yt60/our_first_gamevoice_of_belldonademo_release/</t>
        </is>
      </c>
    </row>
    <row r="208" ht="15" customHeight="1">
      <c r="A208" t="inlineStr">
        <is>
          <t>Dave the Diver</t>
        </is>
      </c>
      <c r="B208" t="inlineStr">
        <is>
          <t>Dive or Die: Children of Rain</t>
        </is>
      </c>
      <c r="C208" t="n">
        <v>2022</v>
      </c>
      <c r="E208" s="11" t="inlineStr">
        <is>
          <t>https://store.steampowered.com/news/app/3590290/view/508482584447025703</t>
        </is>
      </c>
    </row>
    <row r="209" ht="15" customHeight="1">
      <c r="A209" t="inlineStr">
        <is>
          <t>Dead Cells</t>
        </is>
      </c>
      <c r="B209" t="inlineStr">
        <is>
          <t>Absolum</t>
        </is>
      </c>
      <c r="C209" t="n">
        <v>2018</v>
      </c>
      <c r="E209" s="1" t="inlineStr">
        <is>
          <t>https://www.polygon.com/absolum-roguelike-interview-dotemu-guard-crush/</t>
        </is>
      </c>
    </row>
    <row r="210" ht="15" customHeight="1">
      <c r="A210" t="inlineStr">
        <is>
          <t>Dead Cells</t>
        </is>
      </c>
      <c r="B210" t="inlineStr">
        <is>
          <t>Aethermancer</t>
        </is>
      </c>
      <c r="C210" t="n">
        <v>2018</v>
      </c>
      <c r="E210" s="1" t="inlineStr">
        <is>
          <t>check folder</t>
        </is>
      </c>
    </row>
    <row r="211" ht="15" customHeight="1">
      <c r="A211" t="inlineStr">
        <is>
          <t>Dead Cells</t>
        </is>
      </c>
      <c r="B211" t="inlineStr">
        <is>
          <t>An Amazing Wizard</t>
        </is>
      </c>
      <c r="C211" t="n">
        <v>2018</v>
      </c>
      <c r="E211" s="11" t="inlineStr">
        <is>
          <t>https://x.com/AnAmazingWizard/status/1489554155597352962?s=20</t>
        </is>
      </c>
    </row>
    <row r="212" ht="15" customHeight="1">
      <c r="A212" t="inlineStr">
        <is>
          <t>Dead Cells</t>
        </is>
      </c>
      <c r="B212" t="inlineStr">
        <is>
          <t>Astral Ascent</t>
        </is>
      </c>
      <c r="C212" t="n">
        <v>2018</v>
      </c>
      <c r="E212" s="1" t="inlineStr">
        <is>
          <t>https://www.scousegamer88.com/2021/03/31/astral-ascent-hibernian-workshop-interview/</t>
        </is>
      </c>
    </row>
    <row r="213" ht="15" customHeight="1">
      <c r="A213" t="inlineStr">
        <is>
          <t>Dead Cells</t>
        </is>
      </c>
      <c r="B213" t="inlineStr">
        <is>
          <t>Atomic Owl</t>
        </is>
      </c>
      <c r="C213" t="n">
        <v>2018</v>
      </c>
      <c r="E213" s="11" t="inlineStr">
        <is>
          <t>https://x.com/monstertheaterx/status/1819715822203355558?s=20</t>
        </is>
      </c>
    </row>
    <row r="214" ht="15" customHeight="1">
      <c r="A214" t="inlineStr">
        <is>
          <t>Dead Cells</t>
        </is>
      </c>
      <c r="B214" t="inlineStr">
        <is>
          <t>Battle Shapers</t>
        </is>
      </c>
      <c r="C214" t="n">
        <v>2018</v>
      </c>
      <c r="E214" s="1" t="inlineStr">
        <is>
          <t>https://80.lv/articles/battle-shapers-how-blender-unity-helped-create-the-game-s-vibrant-world</t>
        </is>
      </c>
    </row>
    <row r="215" ht="15" customHeight="1">
      <c r="A215" t="inlineStr">
        <is>
          <t>Dead Cells</t>
        </is>
      </c>
      <c r="B215" t="inlineStr">
        <is>
          <t>Cult of the Lamb</t>
        </is>
      </c>
      <c r="C215" t="n">
        <v>2018</v>
      </c>
      <c r="E215" s="1" t="inlineStr">
        <is>
          <t>https://www.youtube.com/watch?v=VRhAER68ynU</t>
        </is>
      </c>
    </row>
    <row r="216" ht="15" customHeight="1">
      <c r="A216" t="inlineStr">
        <is>
          <t>Dead Cells</t>
        </is>
      </c>
      <c r="B216" t="inlineStr">
        <is>
          <t>Devil Slayer: Raksasi</t>
        </is>
      </c>
      <c r="C216" t="n">
        <v>2018</v>
      </c>
      <c r="E216" s="1" t="inlineStr">
        <is>
          <t>https://darkrpgs.home.blog/2021/01/08/interview-with-glasses-cat-games-the-creators-of-devil-slayer-raksasi-a-souls-like-inspired-by-chinese-legends/#:~:text=How%20the%20idea%20behind%20this,souls%2Dlike%20style%20combat%20system.</t>
        </is>
      </c>
    </row>
    <row r="217" ht="15" customHeight="1">
      <c r="A217" t="inlineStr">
        <is>
          <t>Dead Cells</t>
        </is>
      </c>
      <c r="B217" t="inlineStr">
        <is>
          <t>Dreamscaper</t>
        </is>
      </c>
      <c r="C217" t="n">
        <v>2018</v>
      </c>
      <c r="E217" s="1" t="inlineStr">
        <is>
          <t>https://www.reddit.com/r/Games/comments/oymu1h/ama_we_are_afterburner_studios_the_3person_team/</t>
        </is>
      </c>
    </row>
    <row r="218" ht="15" customHeight="1">
      <c r="A218" t="inlineStr">
        <is>
          <t>Dead Cells</t>
        </is>
      </c>
      <c r="B218" t="inlineStr">
        <is>
          <t>Dunjungle</t>
        </is>
      </c>
      <c r="C218" t="n">
        <v>2018</v>
      </c>
      <c r="E218" s="1" t="inlineStr">
        <is>
          <t>https://www.reddit.com/r/IndieGaming/comments/1pji5gu/dunjungle_the_monkey_action_roguelite_is_out_on/#:~:text=A%20big%20of%20Rogue%20Legacy%2C%20Spelunky%2C%20Hades.,kinda%20got%20inspiration%20from%20all%20of%20them.</t>
        </is>
      </c>
    </row>
    <row r="219" ht="15" customHeight="1">
      <c r="A219" t="inlineStr">
        <is>
          <t>Dead Cells</t>
        </is>
      </c>
      <c r="B219" t="inlineStr">
        <is>
          <t>Ember Knights</t>
        </is>
      </c>
      <c r="C219" t="n">
        <v>2018</v>
      </c>
      <c r="E219" s="1" t="inlineStr">
        <is>
          <t>check folder</t>
        </is>
      </c>
    </row>
    <row r="220" ht="15" customHeight="1">
      <c r="A220" t="inlineStr">
        <is>
          <t>Dead Cells</t>
        </is>
      </c>
      <c r="B220" t="inlineStr">
        <is>
          <t>Fury Unleashed</t>
        </is>
      </c>
      <c r="C220" t="n">
        <v>2018</v>
      </c>
      <c r="E220" s="1" t="inlineStr">
        <is>
          <t>https://store.steampowered.com/app/465200/Fury_Unleashed/#:~:text=Fury%20Unleashed%20was%20created%20by,like%20Contra%20and%20Metal%20Slug.</t>
        </is>
      </c>
    </row>
    <row r="221" ht="15" customHeight="1">
      <c r="A221" t="inlineStr">
        <is>
          <t>Dead Cells</t>
        </is>
      </c>
      <c r="B221" t="inlineStr">
        <is>
          <t>Galactic Glitch</t>
        </is>
      </c>
      <c r="C221" t="n">
        <v>2018</v>
      </c>
      <c r="E221" s="1" t="inlineStr">
        <is>
          <t>https://x.com/JFGamesPR/status/1803711115047625170</t>
        </is>
      </c>
    </row>
    <row r="222" ht="15" customHeight="1">
      <c r="A222" t="inlineStr">
        <is>
          <t>Dead Cells</t>
        </is>
      </c>
      <c r="B222" t="inlineStr">
        <is>
          <t>Katanaut</t>
        </is>
      </c>
      <c r="C222" t="n">
        <v>2018</v>
      </c>
      <c r="E222" s="11" t="inlineStr">
        <is>
          <t>https://x.com/VoidmawGames/status/2024503993805000848?s=20</t>
        </is>
      </c>
    </row>
    <row r="223" ht="15" customHeight="1">
      <c r="A223" t="inlineStr">
        <is>
          <t>Dead Cells</t>
        </is>
      </c>
      <c r="B223" t="inlineStr">
        <is>
          <t>Metal Unit</t>
        </is>
      </c>
      <c r="C223" t="n">
        <v>2018</v>
      </c>
      <c r="E223" s="1" t="inlineStr">
        <is>
          <t>https://noisypixel.net/metal-unit-interview-waifus-2d-action-felix-soumpholphakdy/#:~:text=Felix%20Soumpholphakdy:%20Dead%20Cells%20is%20a%20big,we%20wanted%20to%20craft%20a%20big%20world.</t>
        </is>
      </c>
    </row>
    <row r="224" ht="15" customHeight="1">
      <c r="A224" t="inlineStr">
        <is>
          <t>Dead Cells</t>
        </is>
      </c>
      <c r="B224" t="inlineStr">
        <is>
          <t>Oblivion Override</t>
        </is>
      </c>
      <c r="C224" t="n">
        <v>2018</v>
      </c>
      <c r="E224" s="1" t="inlineStr">
        <is>
          <t>look at it</t>
        </is>
      </c>
    </row>
    <row r="225" ht="15" customHeight="1">
      <c r="A225" t="inlineStr">
        <is>
          <t>Dead Cells</t>
        </is>
      </c>
      <c r="B225" t="inlineStr">
        <is>
          <t>Reality Break</t>
        </is>
      </c>
      <c r="C225" t="n">
        <v>2018</v>
      </c>
      <c r="E225" s="1" t="inlineStr">
        <is>
          <t>check folder</t>
        </is>
      </c>
    </row>
    <row r="226" ht="15" customHeight="1">
      <c r="A226" t="inlineStr">
        <is>
          <t>Dead Cells</t>
        </is>
      </c>
      <c r="B226" t="inlineStr">
        <is>
          <t>Roboquest</t>
        </is>
      </c>
      <c r="C226" t="n">
        <v>2018</v>
      </c>
      <c r="E226" s="1" t="inlineStr">
        <is>
          <t>https://www.thecgview.com/p/roboquest-developer-interview</t>
        </is>
      </c>
    </row>
    <row r="227" ht="15" customHeight="1">
      <c r="A227" t="inlineStr">
        <is>
          <t>Dead Cells</t>
        </is>
      </c>
      <c r="B227" t="inlineStr">
        <is>
          <t>Scourgebringer</t>
        </is>
      </c>
      <c r="C227" t="n">
        <v>2018</v>
      </c>
      <c r="E227" s="1" t="inlineStr">
        <is>
          <t>check folder</t>
        </is>
      </c>
    </row>
    <row r="228" ht="15" customHeight="1">
      <c r="A228" t="inlineStr">
        <is>
          <t>Dead Cells</t>
        </is>
      </c>
      <c r="B228" t="inlineStr">
        <is>
          <t>Space Gladiators</t>
        </is>
      </c>
      <c r="C228" t="n">
        <v>2018</v>
      </c>
      <c r="E228" s="1" t="inlineStr">
        <is>
          <t>https://www.reddit.com/r/roguelites/comments/m2341u/space_gladiators_my_isaac_inspired_grotesque/</t>
        </is>
      </c>
    </row>
    <row r="229" ht="15" customHeight="1">
      <c r="A229" t="inlineStr">
        <is>
          <t>Dead Cells</t>
        </is>
      </c>
      <c r="B229" t="inlineStr">
        <is>
          <t>Teenage Mutant Ninja Turtles: Splintered Fate</t>
        </is>
      </c>
      <c r="C229" t="n">
        <v>2018</v>
      </c>
      <c r="E229" s="11" t="inlineStr">
        <is>
          <t>https://gonintendo.com/contents/37637-tmnt-splintered-fate-devs-say-they-were-inspired-by-hades-dead-cells-and-more</t>
        </is>
      </c>
    </row>
    <row r="230" ht="15" customHeight="1">
      <c r="A230" t="inlineStr">
        <is>
          <t>Dead Cells</t>
        </is>
      </c>
      <c r="B230" t="inlineStr">
        <is>
          <t>The Rogue Prince of Persia</t>
        </is>
      </c>
      <c r="C230" t="n">
        <v>2018</v>
      </c>
      <c r="D230" t="inlineStr">
        <is>
          <t>Yes</t>
        </is>
      </c>
      <c r="E230" s="1" t="inlineStr">
        <is>
          <t>https://www.cbr.com/rogue-prince-of-persia-asadi-xye-dylan-eurlings-interview/</t>
        </is>
      </c>
    </row>
    <row r="231" ht="15" customHeight="1">
      <c r="A231" t="inlineStr">
        <is>
          <t>Dead Cells</t>
        </is>
      </c>
      <c r="B231" t="inlineStr">
        <is>
          <t>Tyrant's Realm</t>
        </is>
      </c>
      <c r="C231" t="n">
        <v>2018</v>
      </c>
      <c r="E231" s="1" t="inlineStr">
        <is>
          <t>check folder</t>
        </is>
      </c>
    </row>
    <row r="232" ht="15" customHeight="1">
      <c r="A232" t="inlineStr">
        <is>
          <t>Dead Cells</t>
        </is>
      </c>
      <c r="B232" t="inlineStr">
        <is>
          <t>UnderMine</t>
        </is>
      </c>
      <c r="C232" t="n">
        <v>2018</v>
      </c>
      <c r="E232" s="1" t="inlineStr">
        <is>
          <t>https://www.shacknews.com/article/110700/undermine-dev-unearths-roguelike-rpg-info-in-interview</t>
        </is>
      </c>
    </row>
    <row r="233" ht="15" customHeight="1">
      <c r="A233" t="inlineStr">
        <is>
          <t>Dead Cells</t>
        </is>
      </c>
      <c r="B233" t="inlineStr">
        <is>
          <t>Windblown</t>
        </is>
      </c>
      <c r="C233" t="n">
        <v>2018</v>
      </c>
      <c r="D233" t="inlineStr">
        <is>
          <t>Yes</t>
        </is>
      </c>
      <c r="E233" s="1" t="inlineStr">
        <is>
          <t>https://en.wikipedia.org/wiki/Windblown</t>
        </is>
      </c>
    </row>
    <row r="234" ht="15" customHeight="1">
      <c r="A234" t="inlineStr">
        <is>
          <t>Death Must Die</t>
        </is>
      </c>
      <c r="B234" t="inlineStr">
        <is>
          <t>Be My Horde</t>
        </is>
      </c>
      <c r="C234" t="n">
        <v>2023</v>
      </c>
      <c r="E234" s="11" t="inlineStr">
        <is>
          <t>https://youtu.be/VGMszILvj78</t>
        </is>
      </c>
    </row>
    <row r="235" ht="15" customHeight="1">
      <c r="A235" t="inlineStr">
        <is>
          <t>Death Must Die</t>
        </is>
      </c>
      <c r="B235" t="inlineStr">
        <is>
          <t>Everything is Crab</t>
        </is>
      </c>
      <c r="C235" t="n">
        <v>2023</v>
      </c>
      <c r="E235" s="1" t="inlineStr">
        <is>
          <t>check folder</t>
        </is>
      </c>
    </row>
    <row r="236" ht="15" customHeight="1">
      <c r="A236" t="inlineStr">
        <is>
          <t>Death Must Die</t>
        </is>
      </c>
      <c r="B236" t="inlineStr">
        <is>
          <t>Jotunnslayer: Hordes of Hel</t>
        </is>
      </c>
      <c r="C236" t="n">
        <v>2023</v>
      </c>
      <c r="E236" s="1" t="inlineStr">
        <is>
          <t>https://www.reddit.com/r/Games/comments/1c3l5e8/jotunnslayer_hordes_of_hel_games_farm_roguelike/</t>
        </is>
      </c>
    </row>
    <row r="237" ht="15" customHeight="1">
      <c r="A237" t="inlineStr">
        <is>
          <t>Death Must Die</t>
        </is>
      </c>
      <c r="B237" t="inlineStr">
        <is>
          <t>Sodaman</t>
        </is>
      </c>
      <c r="C237" t="n">
        <v>2023</v>
      </c>
      <c r="E237" s="1" t="inlineStr">
        <is>
          <t>https://www.reddit.com/r/Games/comments/1giltps/sodaman_tape_corps_balatro_inspired_roguelite/</t>
        </is>
      </c>
    </row>
    <row r="238" ht="15" customHeight="1">
      <c r="A238" t="inlineStr">
        <is>
          <t>Death Must Die</t>
        </is>
      </c>
      <c r="B238" t="inlineStr">
        <is>
          <t>The Spell Brigade</t>
        </is>
      </c>
      <c r="C238" t="n">
        <v>2023</v>
      </c>
      <c r="E238" s="1" t="inlineStr">
        <is>
          <t>https://www.reddit.com/r/roguelites/comments/1df57mf/ama_hello_were_bolt_blaster_games_the_creators_of/</t>
        </is>
      </c>
    </row>
    <row r="239" ht="15" customHeight="1">
      <c r="A239" t="inlineStr">
        <is>
          <t>Death Roads: Tournament</t>
        </is>
      </c>
      <c r="B239" t="inlineStr">
        <is>
          <t>Fogpiercer</t>
        </is>
      </c>
      <c r="C239" t="n">
        <v>2023</v>
      </c>
      <c r="E239" t="inlineStr">
        <is>
          <t>check folder</t>
        </is>
      </c>
    </row>
    <row r="240" ht="15" customHeight="1">
      <c r="A240" t="inlineStr">
        <is>
          <t>Deep Rock Galactic: Survivor</t>
        </is>
      </c>
      <c r="B240" t="inlineStr">
        <is>
          <t>Hand of Fate: Hordes</t>
        </is>
      </c>
      <c r="C240" t="n">
        <v>2024</v>
      </c>
      <c r="E240" t="inlineStr">
        <is>
          <t>check folder</t>
        </is>
      </c>
    </row>
    <row r="241" ht="15" customHeight="1">
      <c r="A241" t="inlineStr">
        <is>
          <t>Deep Rock Galactic: Survivor</t>
        </is>
      </c>
      <c r="B241" t="inlineStr">
        <is>
          <t>The Spell Brigade</t>
        </is>
      </c>
      <c r="C241" t="n">
        <v>2024</v>
      </c>
      <c r="E241" s="1" t="inlineStr">
        <is>
          <t>https://www.reddit.com/r/roguelites/comments/1df57mf/ama_hello_were_bolt_blaster_games_the_creators_of/</t>
        </is>
      </c>
    </row>
    <row r="242" ht="15" customHeight="1">
      <c r="A242" t="inlineStr">
        <is>
          <t>Deep Sky Derelicts</t>
        </is>
      </c>
      <c r="B242" t="inlineStr">
        <is>
          <t>Death Roads: Tournament</t>
        </is>
      </c>
      <c r="C242" t="n">
        <v>2018</v>
      </c>
      <c r="E242" s="1" t="inlineStr">
        <is>
          <t>check folder</t>
        </is>
      </c>
    </row>
    <row r="243" ht="15" customHeight="1">
      <c r="A243" t="inlineStr">
        <is>
          <t>DemonCrawl</t>
        </is>
      </c>
      <c r="B243" t="inlineStr">
        <is>
          <t>BroomSweeper</t>
        </is>
      </c>
      <c r="C243" t="n">
        <v>2019</v>
      </c>
      <c r="E243" s="1" t="inlineStr">
        <is>
          <t>check folder</t>
        </is>
      </c>
    </row>
    <row r="244" ht="15" customHeight="1">
      <c r="A244" t="inlineStr">
        <is>
          <t>Desktop Dungeons</t>
        </is>
      </c>
      <c r="B244" t="inlineStr">
        <is>
          <t>Lost For Swords</t>
        </is>
      </c>
      <c r="C244" t="n">
        <v>2010</v>
      </c>
      <c r="E244" s="11" t="inlineStr">
        <is>
          <t>https://www.reddit.com/r/iosgaming/comments/1hjehh9/lost_for_swords_a_dungeon_crawler_focusing_on/</t>
        </is>
      </c>
    </row>
    <row r="245" ht="15" customHeight="1">
      <c r="A245" t="inlineStr">
        <is>
          <t>Desktop Dungeons</t>
        </is>
      </c>
      <c r="B245" t="inlineStr">
        <is>
          <t>The Binding of Isaac</t>
        </is>
      </c>
      <c r="C245" t="n">
        <v>2010</v>
      </c>
      <c r="E245" s="1" t="inlineStr">
        <is>
          <t>https://www.youtube.com/watch?v=-X_QYumQQGk</t>
        </is>
      </c>
    </row>
    <row r="246" ht="15" customHeight="1">
      <c r="A246" t="inlineStr">
        <is>
          <t>Despot's Game: Dystopian Battle Simulator</t>
        </is>
      </c>
      <c r="B246" t="inlineStr">
        <is>
          <t>Skull Horde</t>
        </is>
      </c>
      <c r="C246" t="n">
        <v>2021</v>
      </c>
      <c r="E246" s="1" t="inlineStr">
        <is>
          <t>check folder</t>
        </is>
      </c>
    </row>
    <row r="247" ht="15" customHeight="1">
      <c r="A247" t="inlineStr">
        <is>
          <t>Despot's Game: Dystopian Battle Simulator</t>
        </is>
      </c>
      <c r="B247" t="inlineStr">
        <is>
          <t>Slime 3K: Rise Against Despot</t>
        </is>
      </c>
      <c r="C247" t="n">
        <v>2021</v>
      </c>
      <c r="D247" t="inlineStr">
        <is>
          <t>Yes</t>
        </is>
      </c>
      <c r="E247" s="1" t="n"/>
    </row>
    <row r="248" ht="15" customHeight="1">
      <c r="A248" t="inlineStr">
        <is>
          <t>Diablo</t>
        </is>
      </c>
      <c r="B248" t="inlineStr">
        <is>
          <t>Arms of God</t>
        </is>
      </c>
      <c r="C248" t="n">
        <v>1996</v>
      </c>
      <c r="E248" s="11" t="inlineStr">
        <is>
          <t>https://steamcommunity.com/app/3100310/discussions/0/735910198042983690/#c758430178052462886</t>
        </is>
      </c>
    </row>
    <row r="249" ht="15" customHeight="1">
      <c r="A249" t="inlineStr">
        <is>
          <t>Diablo</t>
        </is>
      </c>
      <c r="B249" t="inlineStr">
        <is>
          <t>Book of Demons</t>
        </is>
      </c>
      <c r="C249" t="n">
        <v>1996</v>
      </c>
      <c r="E249" s="11" t="inlineStr">
        <is>
          <t>https://steamcommunity.com/app/449960/discussions/0/352788917765198084/?ctp=2#c353915309337431749</t>
        </is>
      </c>
    </row>
    <row r="250" ht="15" customHeight="1">
      <c r="A250" t="inlineStr">
        <is>
          <t>Diablo</t>
        </is>
      </c>
      <c r="B250" t="inlineStr">
        <is>
          <t>Cardinal Quest</t>
        </is>
      </c>
      <c r="C250" t="n">
        <v>1996</v>
      </c>
      <c r="E250" s="11" t="inlineStr">
        <is>
          <t>https://x.com/tametick/status/1202248124221272064</t>
        </is>
      </c>
    </row>
    <row r="251" ht="15" customHeight="1">
      <c r="A251" t="inlineStr">
        <is>
          <t>Diablo</t>
        </is>
      </c>
      <c r="B251" t="inlineStr">
        <is>
          <t>Dark Light: Survivor</t>
        </is>
      </c>
      <c r="C251" t="n">
        <v>1996</v>
      </c>
      <c r="E251" s="11" t="inlineStr">
        <is>
          <t>https://x.com/MirariRelics/status/2083184893182489017?s=20</t>
        </is>
      </c>
    </row>
    <row r="252" ht="15" customHeight="1">
      <c r="A252" t="inlineStr">
        <is>
          <t>Diablo</t>
        </is>
      </c>
      <c r="B252" t="inlineStr">
        <is>
          <t>Death Must Die</t>
        </is>
      </c>
      <c r="C252" t="n">
        <v>1996</v>
      </c>
      <c r="E252" s="11" t="inlineStr">
        <is>
          <t>https://www.youtube.com/watch?v=mGVNTEOoBXc</t>
        </is>
      </c>
    </row>
    <row r="253" ht="15" customHeight="1">
      <c r="A253" t="inlineStr">
        <is>
          <t>Diablo</t>
        </is>
      </c>
      <c r="B253" t="inlineStr">
        <is>
          <t>Dungeonmans</t>
        </is>
      </c>
      <c r="C253" t="n">
        <v>1996</v>
      </c>
      <c r="E253" s="11" t="inlineStr">
        <is>
          <t>https://www.reddit.com/r/Games/comments/2osauc/hi_rgames_were_a_group_of_aaa_and_exaaa/</t>
        </is>
      </c>
    </row>
    <row r="254" ht="15" customHeight="1">
      <c r="A254" t="inlineStr">
        <is>
          <t>Diablo</t>
        </is>
      </c>
      <c r="B254" t="inlineStr">
        <is>
          <t>Escape The Mad Empire</t>
        </is>
      </c>
      <c r="C254" t="n">
        <v>1996</v>
      </c>
      <c r="E254" s="11" t="inlineStr">
        <is>
          <t>https://steamcommunity.com/app/1823390/discussions/2/6893400166994423780/</t>
        </is>
      </c>
    </row>
    <row r="255" ht="15" customHeight="1">
      <c r="A255" t="inlineStr">
        <is>
          <t>Diablo</t>
        </is>
      </c>
      <c r="B255" t="inlineStr">
        <is>
          <t>Halls of Torment</t>
        </is>
      </c>
      <c r="C255" t="n">
        <v>1996</v>
      </c>
      <c r="E255" s="11" t="inlineStr">
        <is>
          <t>https://www.w4games.com/blog/w4-games-news-1/interview-with-chasing-carrots-developer-of-halls-of-torment-120</t>
        </is>
      </c>
    </row>
    <row r="256" ht="15" customHeight="1">
      <c r="A256" t="inlineStr">
        <is>
          <t>Diablo</t>
        </is>
      </c>
      <c r="B256" t="inlineStr">
        <is>
          <t>Hell Clock</t>
        </is>
      </c>
      <c r="C256" t="n">
        <v>1996</v>
      </c>
      <c r="E256" s="11" t="inlineStr">
        <is>
          <t>https://roguesnail.com/hell-clock-our-new-roguelike-arpg-in-a-dark-fantasy-twist-on-brazils-war-of-canudos/</t>
        </is>
      </c>
    </row>
    <row r="257" ht="15" customHeight="1">
      <c r="A257" t="inlineStr">
        <is>
          <t>Diablo</t>
        </is>
      </c>
      <c r="B257" t="inlineStr">
        <is>
          <t>Jotunnslayer: Hordes of Hel</t>
        </is>
      </c>
      <c r="C257" t="n">
        <v>1996</v>
      </c>
      <c r="E257" s="11" t="inlineStr">
        <is>
          <t>https://www.reddit.com/r/Games/comments/1c3l5e8/jotunnslayer_hordes_of_hel_games_farm_roguelike/</t>
        </is>
      </c>
    </row>
    <row r="258" ht="15" customHeight="1">
      <c r="A258" t="inlineStr">
        <is>
          <t>Diablo</t>
        </is>
      </c>
      <c r="B258" t="inlineStr">
        <is>
          <t>LambdaRogue: The Book of Stars</t>
        </is>
      </c>
      <c r="C258" t="n">
        <v>1996</v>
      </c>
      <c r="E258" s="11" t="inlineStr">
        <is>
          <t>https://roguebasin.com/index.php?title=LambdaRogue</t>
        </is>
      </c>
    </row>
    <row r="259" ht="15" customHeight="1">
      <c r="A259" t="inlineStr">
        <is>
          <t>Diablo</t>
        </is>
      </c>
      <c r="B259" t="inlineStr">
        <is>
          <t>Mewgenics</t>
        </is>
      </c>
      <c r="C259" t="n">
        <v>1996</v>
      </c>
      <c r="E259" s="11" t="inlineStr">
        <is>
          <t>https://x.com/edmundmcmillen/status/2073665726712614938?s=20</t>
        </is>
      </c>
    </row>
    <row r="260" ht="15" customHeight="1">
      <c r="A260" t="inlineStr">
        <is>
          <t>Diablo</t>
        </is>
      </c>
      <c r="B260" t="inlineStr">
        <is>
          <t>Powder</t>
        </is>
      </c>
      <c r="C260" t="n">
        <v>1996</v>
      </c>
      <c r="E260" s="11" t="inlineStr">
        <is>
          <t>http://www.zincland.com/powder/?pagename=about</t>
        </is>
      </c>
    </row>
    <row r="261" ht="15" customHeight="1">
      <c r="A261" t="inlineStr">
        <is>
          <t>Diablo</t>
        </is>
      </c>
      <c r="B261" t="inlineStr">
        <is>
          <t>Rift Wizard</t>
        </is>
      </c>
      <c r="C261" t="n">
        <v>1996</v>
      </c>
      <c r="E261" s="11" t="inlineStr">
        <is>
          <t>https://www.youtube.com/watch?v=xsmbVWflwpw</t>
        </is>
      </c>
    </row>
    <row r="262" ht="15" customHeight="1">
      <c r="A262" t="inlineStr">
        <is>
          <t>Diablo</t>
        </is>
      </c>
      <c r="B262" t="inlineStr">
        <is>
          <t>Sword of the Stars: The Pit</t>
        </is>
      </c>
      <c r="C262" t="n">
        <v>1996</v>
      </c>
      <c r="E262" s="11" t="inlineStr">
        <is>
          <t>https://roguebasin.com/index.php/Sword_of_the_Stars:_The_Pit</t>
        </is>
      </c>
    </row>
    <row r="263" ht="15" customHeight="1">
      <c r="A263" t="inlineStr">
        <is>
          <t>Dicey Dungeons</t>
        </is>
      </c>
      <c r="B263" t="inlineStr">
        <is>
          <t>Archon Soul</t>
        </is>
      </c>
      <c r="C263" t="n">
        <v>2019</v>
      </c>
      <c r="E263" s="11" t="inlineStr">
        <is>
          <t>https://www.reddit.com/r/WebGames/comments/1m6esqf/archon_soul_its_been_a_year_and_a_half_of_hard/</t>
        </is>
      </c>
    </row>
    <row r="264" ht="15" customHeight="1">
      <c r="A264" t="inlineStr">
        <is>
          <t>Dicey Dungeons</t>
        </is>
      </c>
      <c r="B264" t="inlineStr">
        <is>
          <t>Backpack Hero</t>
        </is>
      </c>
      <c r="C264" t="n">
        <v>2019</v>
      </c>
      <c r="E264" s="1" t="inlineStr">
        <is>
          <t>check folder</t>
        </is>
      </c>
    </row>
    <row r="265" ht="15" customHeight="1">
      <c r="A265" t="inlineStr">
        <is>
          <t>Dicey Dungeons</t>
        </is>
      </c>
      <c r="B265" t="inlineStr">
        <is>
          <t>Dice &amp; Fold</t>
        </is>
      </c>
      <c r="C265" t="n">
        <v>2019</v>
      </c>
      <c r="E265" s="1" t="inlineStr">
        <is>
          <t>https://www.reddit.com/r/Games/comments/1dbw5hw/dice_fold_tinymice_slay_the_spire_but_with_dice/</t>
        </is>
      </c>
    </row>
    <row r="266" ht="15" customHeight="1">
      <c r="A266" t="inlineStr">
        <is>
          <t>Dicey Dungeons</t>
        </is>
      </c>
      <c r="B266" t="inlineStr">
        <is>
          <t>Dicealot</t>
        </is>
      </c>
      <c r="C266" t="n">
        <v>2019</v>
      </c>
      <c r="E266" s="1" t="inlineStr">
        <is>
          <t>https://store.steampowered.com/app/3035330/Dicealot/</t>
        </is>
      </c>
    </row>
    <row r="267" ht="15" customHeight="1">
      <c r="A267" t="inlineStr">
        <is>
          <t>Dicey Dungeons</t>
        </is>
      </c>
      <c r="B267" t="inlineStr">
        <is>
          <t>Die For The Lich</t>
        </is>
      </c>
      <c r="C267" t="n">
        <v>2019</v>
      </c>
      <c r="E267" s="1" t="inlineStr">
        <is>
          <t>https://www.gamespress.com/Die-For-The-Lich-is-coming-to-Early-Access-on-November-10th-2025</t>
        </is>
      </c>
    </row>
    <row r="268" ht="15" customHeight="1">
      <c r="A268" t="inlineStr">
        <is>
          <t>Dicey Dungeons</t>
        </is>
      </c>
      <c r="B268" t="inlineStr">
        <is>
          <t>Dog Witch</t>
        </is>
      </c>
      <c r="C268" t="n">
        <v>2019</v>
      </c>
      <c r="E268" s="1" t="inlineStr">
        <is>
          <t>https://store.steampowered.com/app/3548520/DOG_WITCH/</t>
        </is>
      </c>
    </row>
    <row r="269" ht="15" customHeight="1">
      <c r="A269" t="inlineStr">
        <is>
          <t>Dicey Dungeons</t>
        </is>
      </c>
      <c r="B269" t="inlineStr">
        <is>
          <t>Dungeon Clawler</t>
        </is>
      </c>
      <c r="C269" t="n">
        <v>2019</v>
      </c>
      <c r="E269" s="1" t="inlineStr">
        <is>
          <t>https://www.facebook.com/reel/931892201606258</t>
        </is>
      </c>
    </row>
    <row r="270" ht="15" customHeight="1">
      <c r="A270" t="inlineStr">
        <is>
          <t>Dicey Dungeons</t>
        </is>
      </c>
      <c r="B270" t="inlineStr">
        <is>
          <t>SpellRogue</t>
        </is>
      </c>
      <c r="C270" t="n">
        <v>2019</v>
      </c>
      <c r="E270" s="1" t="inlineStr">
        <is>
          <t>check folder</t>
        </is>
      </c>
    </row>
    <row r="271" ht="15" customHeight="1">
      <c r="A271" t="inlineStr">
        <is>
          <t>Dome Keeper</t>
        </is>
      </c>
      <c r="B271" t="inlineStr">
        <is>
          <t>CleanFall</t>
        </is>
      </c>
      <c r="C271" t="n">
        <v>2022</v>
      </c>
      <c r="E271" s="11" t="inlineStr">
        <is>
          <t>https://x.com/cleanfallgame/status/1958500517597876299?s=20</t>
        </is>
      </c>
    </row>
    <row r="272" ht="15" customHeight="1">
      <c r="A272" t="inlineStr">
        <is>
          <t>Dome Keeper</t>
        </is>
      </c>
      <c r="B272" t="inlineStr">
        <is>
          <t>Feed the Deep</t>
        </is>
      </c>
      <c r="C272" t="n">
        <v>2022</v>
      </c>
      <c r="E272" s="1" t="inlineStr">
        <is>
          <t>https://store.steampowered.com/app/2332260/Feed_the_Deep/</t>
        </is>
      </c>
    </row>
    <row r="273" ht="15" customHeight="1">
      <c r="A273" t="inlineStr">
        <is>
          <t>Dome Keeper</t>
        </is>
      </c>
      <c r="B273" t="inlineStr">
        <is>
          <t>Monsters are Coming!</t>
        </is>
      </c>
      <c r="C273" t="n">
        <v>2022</v>
      </c>
      <c r="E273" s="1" t="inlineStr">
        <is>
          <t>https://store.steampowered.com/news/app/2934220/view/698764742929416235?l=english</t>
        </is>
      </c>
    </row>
    <row r="274" ht="15" customHeight="1">
      <c r="A274" t="inlineStr">
        <is>
          <t>Dome Keeper</t>
        </is>
      </c>
      <c r="B274" t="inlineStr">
        <is>
          <t>Wall World</t>
        </is>
      </c>
      <c r="C274" t="n">
        <v>2022</v>
      </c>
      <c r="E274" s="1" t="inlineStr">
        <is>
          <t>https://store.steampowered.com/news/app/2187290/view/3683427098080954737</t>
        </is>
      </c>
    </row>
    <row r="275" ht="15" customHeight="1">
      <c r="A275" t="inlineStr">
        <is>
          <t>Don't Starve</t>
        </is>
      </c>
      <c r="B275" t="inlineStr">
        <is>
          <t>Cult of the Lamb</t>
        </is>
      </c>
      <c r="C275" t="n">
        <v>2013</v>
      </c>
      <c r="E275" s="1" t="inlineStr">
        <is>
          <t>https://www.youtube.com/watch?v=VRhAER68ynU</t>
        </is>
      </c>
    </row>
    <row r="276" ht="15" customHeight="1">
      <c r="A276" t="inlineStr">
        <is>
          <t>Don't Starve</t>
        </is>
      </c>
      <c r="B276" t="inlineStr">
        <is>
          <t>Don't Starve Together</t>
        </is>
      </c>
      <c r="C276" t="n">
        <v>2013</v>
      </c>
      <c r="D276" t="inlineStr">
        <is>
          <t>Yes</t>
        </is>
      </c>
      <c r="E276" s="1" t="n"/>
    </row>
    <row r="277" ht="15" customHeight="1">
      <c r="A277" t="inlineStr">
        <is>
          <t>Don't Starve</t>
        </is>
      </c>
      <c r="B277" t="inlineStr">
        <is>
          <t>Hungry Horrors</t>
        </is>
      </c>
      <c r="C277" t="n">
        <v>2013</v>
      </c>
      <c r="E277" s="1" t="inlineStr">
        <is>
          <t>https://www.youtube.com/watch?v=txv0XsRrFwo</t>
        </is>
      </c>
    </row>
    <row r="278" ht="15" customHeight="1">
      <c r="A278" t="inlineStr">
        <is>
          <t>Don't Starve</t>
        </is>
      </c>
      <c r="B278" t="inlineStr">
        <is>
          <t>Road Not Taken</t>
        </is>
      </c>
      <c r="C278" t="n">
        <v>2013</v>
      </c>
      <c r="E278" s="1" t="inlineStr">
        <is>
          <t>https://en.wikipedia.org/wiki/Road_Not_Taken</t>
        </is>
      </c>
    </row>
    <row r="279" ht="15" customHeight="1">
      <c r="A279" t="inlineStr">
        <is>
          <t>Don't Starve</t>
        </is>
      </c>
      <c r="B279" t="inlineStr">
        <is>
          <t>The Flame in the Flood</t>
        </is>
      </c>
      <c r="C279" t="n">
        <v>2013</v>
      </c>
      <c r="E279" s="1" t="inlineStr">
        <is>
          <t>https://www.reddit.com/r/NintendoSwitch/comments/75yryq/hi_we_are_the_molasses_flood_creators_of_the/</t>
        </is>
      </c>
    </row>
    <row r="280" ht="15" customHeight="1">
      <c r="A280" t="inlineStr">
        <is>
          <t>DoomRL</t>
        </is>
      </c>
      <c r="B280" t="inlineStr">
        <is>
          <t>Cardinal Quest</t>
        </is>
      </c>
      <c r="C280" t="n">
        <v>2002</v>
      </c>
      <c r="E280" s="11" t="inlineStr">
        <is>
          <t>https://www.roguelikeradio.com/2011/10/interview-with-ido-yehieli.html</t>
        </is>
      </c>
    </row>
    <row r="281" ht="15" customHeight="1">
      <c r="A281" t="inlineStr">
        <is>
          <t>DoomRL</t>
        </is>
      </c>
      <c r="B281" t="inlineStr">
        <is>
          <t>Cataclysm</t>
        </is>
      </c>
      <c r="C281" t="n">
        <v>2002</v>
      </c>
      <c r="E281" s="1" t="inlineStr">
        <is>
          <t>https://roguebasin.com/index.php/Cataclysm</t>
        </is>
      </c>
    </row>
    <row r="282" ht="15" customHeight="1">
      <c r="A282" t="inlineStr">
        <is>
          <t>DoomRL</t>
        </is>
      </c>
      <c r="B282" t="inlineStr">
        <is>
          <t>Dungeonmans</t>
        </is>
      </c>
      <c r="C282" t="n">
        <v>2002</v>
      </c>
      <c r="E282" s="11" t="inlineStr">
        <is>
          <t>https://www.youtube.com/watch?v=JXv8hQguGCI</t>
        </is>
      </c>
    </row>
    <row r="283" ht="15" customHeight="1">
      <c r="A283" t="inlineStr">
        <is>
          <t>DoomRL</t>
        </is>
      </c>
      <c r="B283" t="inlineStr">
        <is>
          <t>Frozen Depths</t>
        </is>
      </c>
      <c r="C283" t="n">
        <v>2002</v>
      </c>
      <c r="E283" s="11" t="inlineStr">
        <is>
          <t>https://frozendepths.net/roguelike/info.php</t>
        </is>
      </c>
    </row>
    <row r="284" ht="15" customHeight="1">
      <c r="A284" t="inlineStr">
        <is>
          <t>DoomRL</t>
        </is>
      </c>
      <c r="B284" t="inlineStr">
        <is>
          <t>Infra Arcana</t>
        </is>
      </c>
      <c r="C284" t="n">
        <v>2002</v>
      </c>
      <c r="E284" s="1" t="inlineStr">
        <is>
          <t>check folder</t>
        </is>
      </c>
    </row>
    <row r="285" ht="15" customHeight="1">
      <c r="A285" t="inlineStr">
        <is>
          <t>DoomRL</t>
        </is>
      </c>
      <c r="B285" t="inlineStr">
        <is>
          <t>Jupiter Hell</t>
        </is>
      </c>
      <c r="C285" t="n">
        <v>2002</v>
      </c>
      <c r="D285" t="inlineStr">
        <is>
          <t>Yes</t>
        </is>
      </c>
      <c r="E285" s="1" t="n"/>
    </row>
    <row r="286" ht="15" customHeight="1">
      <c r="A286" t="inlineStr">
        <is>
          <t>DoomRL</t>
        </is>
      </c>
      <c r="B286" t="inlineStr">
        <is>
          <t>Quasimorph</t>
        </is>
      </c>
      <c r="C286" t="n">
        <v>2002</v>
      </c>
      <c r="E286" s="1" t="inlineStr">
        <is>
          <t>https://sassygamers.com/2023/10/20/gamedev-interview-quasimorph/</t>
        </is>
      </c>
    </row>
    <row r="287" ht="15" customHeight="1">
      <c r="A287" t="inlineStr">
        <is>
          <t>DoomRL</t>
        </is>
      </c>
      <c r="B287" t="inlineStr">
        <is>
          <t>Space Grunts</t>
        </is>
      </c>
      <c r="C287" t="n">
        <v>2002</v>
      </c>
      <c r="E287" s="11" t="inlineStr">
        <is>
          <t>https://steamcommunity.com/app/371430/discussions/0/494631967651210890/#c494631967651765393</t>
        </is>
      </c>
    </row>
    <row r="288" ht="15" customHeight="1">
      <c r="A288" t="inlineStr">
        <is>
          <t>Dota Auto Chess</t>
        </is>
      </c>
      <c r="B288" t="inlineStr">
        <is>
          <t>Pokémon Auto Chess</t>
        </is>
      </c>
      <c r="C288" t="n">
        <v>2019</v>
      </c>
      <c r="E288" s="1" t="n"/>
    </row>
    <row r="289" ht="15" customHeight="1">
      <c r="A289" t="inlineStr">
        <is>
          <t>Dota Auto Chess</t>
        </is>
      </c>
      <c r="B289" t="inlineStr">
        <is>
          <t>Super Auto Pets</t>
        </is>
      </c>
      <c r="C289" t="n">
        <v>2019</v>
      </c>
      <c r="E289" s="11" t="inlineStr">
        <is>
          <t>https://x.com/TeamWoodGames/status/1383470923156647938?s=20</t>
        </is>
      </c>
    </row>
    <row r="290" ht="15" customHeight="1">
      <c r="A290" t="inlineStr">
        <is>
          <t>Dota Auto Chess</t>
        </is>
      </c>
      <c r="B290" t="inlineStr">
        <is>
          <t>Teamfight Tactics</t>
        </is>
      </c>
      <c r="C290" t="n">
        <v>2019</v>
      </c>
      <c r="E290" s="1" t="inlineStr">
        <is>
          <t>https://en.wikipedia.org/wiki/Teamfight_Tactics</t>
        </is>
      </c>
    </row>
    <row r="291" ht="15" customHeight="1">
      <c r="A291" t="inlineStr">
        <is>
          <t>Dota Auto Chess</t>
        </is>
      </c>
      <c r="B291" t="inlineStr">
        <is>
          <t>The Bazaar</t>
        </is>
      </c>
      <c r="C291" t="n">
        <v>2019</v>
      </c>
      <c r="E291" s="1" t="inlineStr">
        <is>
          <t>https://gamestudio.n-ix.com/case-study/the-bazaar-game-development-story/</t>
        </is>
      </c>
    </row>
    <row r="292" ht="15" customHeight="1">
      <c r="A292" t="inlineStr">
        <is>
          <t>Dota Auto Chess</t>
        </is>
      </c>
      <c r="B292" t="inlineStr">
        <is>
          <t>Vivid Knight</t>
        </is>
      </c>
      <c r="C292" t="n">
        <v>2019</v>
      </c>
      <c r="E292" s="1" t="inlineStr">
        <is>
          <t>https://www.youtube.com/watch?v=5fR9VYTfm2A&amp;t=1s</t>
        </is>
      </c>
    </row>
    <row r="293" ht="15" customHeight="1">
      <c r="A293" t="inlineStr">
        <is>
          <t>Downwell</t>
        </is>
      </c>
      <c r="B293" t="inlineStr">
        <is>
          <t>GoNNER</t>
        </is>
      </c>
      <c r="C293" t="n">
        <v>2015</v>
      </c>
      <c r="E293" s="1" t="inlineStr">
        <is>
          <t>https://www.reddit.com/r/nintendo/comments/6k942k/yo_we_made_gonner_and_it_just_came_out_on_the/</t>
        </is>
      </c>
    </row>
    <row r="294" ht="15" customHeight="1">
      <c r="A294" t="inlineStr">
        <is>
          <t>Downwell</t>
        </is>
      </c>
      <c r="B294" t="inlineStr">
        <is>
          <t>Lone Ruin</t>
        </is>
      </c>
      <c r="C294" t="n">
        <v>2015</v>
      </c>
      <c r="E294" s="1" t="inlineStr">
        <is>
          <t>https://gamerant.com/lone-ruin-interview-roguelike-indie-game-design-inspirations-visuals-coding/#:~:text=As%20inspiration%20from%20different%20games,dangerous%20to%20go%20alone%22%20line.</t>
        </is>
      </c>
    </row>
    <row r="295" ht="15" customHeight="1">
      <c r="A295" t="inlineStr">
        <is>
          <t>Downwell</t>
        </is>
      </c>
      <c r="B295" t="inlineStr">
        <is>
          <t>Loot Rascals</t>
        </is>
      </c>
      <c r="C295" t="n">
        <v>2015</v>
      </c>
      <c r="E295" s="1" t="inlineStr">
        <is>
          <t>https://monstervine.com/ic/IC-LR-Interview.mp3</t>
        </is>
      </c>
    </row>
    <row r="296" ht="15" customHeight="1">
      <c r="A296" t="inlineStr">
        <is>
          <t>Downwell</t>
        </is>
      </c>
      <c r="B296" t="inlineStr">
        <is>
          <t>Riptale</t>
        </is>
      </c>
      <c r="C296" t="n">
        <v>2015</v>
      </c>
      <c r="E296" s="1" t="inlineStr">
        <is>
          <t>https://steamcommunity.com/app/616000/discussions/0/1319962663550892419/#c1319962683447326488</t>
        </is>
      </c>
    </row>
    <row r="297" ht="15" customHeight="1">
      <c r="A297" t="inlineStr">
        <is>
          <t>Downwell</t>
        </is>
      </c>
      <c r="B297" t="inlineStr">
        <is>
          <t>Scourgebringer</t>
        </is>
      </c>
      <c r="C297" t="n">
        <v>2015</v>
      </c>
      <c r="E297" s="1" t="inlineStr">
        <is>
          <t>check folder</t>
        </is>
      </c>
    </row>
    <row r="298" ht="15" customHeight="1">
      <c r="A298" t="inlineStr">
        <is>
          <t>Downwell</t>
        </is>
      </c>
      <c r="B298" t="inlineStr">
        <is>
          <t>Shovel Knight Dig</t>
        </is>
      </c>
      <c r="C298" t="n">
        <v>2015</v>
      </c>
      <c r="E298" s="1" t="inlineStr">
        <is>
          <t>https://www.fanbyte.com/legacy/shovel-knight-dig-interview</t>
        </is>
      </c>
    </row>
    <row r="299" ht="15" customHeight="1">
      <c r="A299" t="inlineStr">
        <is>
          <t>Downwell</t>
        </is>
      </c>
      <c r="B299" t="inlineStr">
        <is>
          <t>Tower Fortress</t>
        </is>
      </c>
      <c r="C299" t="n">
        <v>2015</v>
      </c>
      <c r="E299" s="11" t="inlineStr">
        <is>
          <t>https://x.com/Nitrome/status/931133911408828421?s=20</t>
        </is>
      </c>
    </row>
    <row r="300" ht="15" customHeight="1">
      <c r="A300" t="inlineStr">
        <is>
          <t>Downwell</t>
        </is>
      </c>
      <c r="B300" t="inlineStr">
        <is>
          <t>TumbleSeed</t>
        </is>
      </c>
      <c r="C300" t="n">
        <v>2015</v>
      </c>
      <c r="E300" s="11" t="inlineStr">
        <is>
          <t>https://www.reddit.com/r/nintendo/comments/691a58/we_are_team_tumbleseed_and_we_launched_tumbleseed/</t>
        </is>
      </c>
    </row>
    <row r="301" ht="15" customHeight="1">
      <c r="A301" t="inlineStr">
        <is>
          <t>Dream Quest</t>
        </is>
      </c>
      <c r="B301" t="inlineStr">
        <is>
          <t>Dicey Dungeons</t>
        </is>
      </c>
      <c r="C301" t="n">
        <v>2014</v>
      </c>
      <c r="E301" s="1" t="inlineStr">
        <is>
          <t>https://www.polygon.com/pc/2019/4/7/18299068/dicey-dungeons-terry-cavanagh-gdc-preview</t>
        </is>
      </c>
    </row>
    <row r="302" ht="15" customHeight="1">
      <c r="A302" t="inlineStr">
        <is>
          <t>Dream Quest</t>
        </is>
      </c>
      <c r="B302" t="inlineStr">
        <is>
          <t>Monster Slayers</t>
        </is>
      </c>
      <c r="C302" t="n">
        <v>2014</v>
      </c>
      <c r="E302" s="1" t="inlineStr">
        <is>
          <t>https://store.steampowered.com/app/496620/Monster_Slayers/</t>
        </is>
      </c>
    </row>
    <row r="303" ht="15" customHeight="1">
      <c r="A303" t="inlineStr">
        <is>
          <t>Dream Quest</t>
        </is>
      </c>
      <c r="B303" t="inlineStr">
        <is>
          <t>Nowhere Prophet</t>
        </is>
      </c>
      <c r="C303" t="n">
        <v>2014</v>
      </c>
      <c r="E303" s="1" t="inlineStr">
        <is>
          <t>https://game-wisdom.com/podcast/five-year-development-behind-nowhere-prophet mentions plaing dream quest in this interview</t>
        </is>
      </c>
    </row>
    <row r="304" ht="15" customHeight="1">
      <c r="A304" t="inlineStr">
        <is>
          <t>Dream Quest</t>
        </is>
      </c>
      <c r="B304" t="inlineStr">
        <is>
          <t>Slay the Spire</t>
        </is>
      </c>
      <c r="C304" t="n">
        <v>2014</v>
      </c>
      <c r="E304" s="1" t="inlineStr">
        <is>
          <t>https://podcasts.apple.com/us/podcast/slay-the-spire-with-anthony-giovannetti/id1435365252?i=1000447140877</t>
        </is>
      </c>
    </row>
    <row r="305" ht="15" customHeight="1">
      <c r="A305" t="inlineStr">
        <is>
          <t>Dungeon Clawler</t>
        </is>
      </c>
      <c r="B305" t="inlineStr">
        <is>
          <t>Roulette Dungeon</t>
        </is>
      </c>
      <c r="C305" t="n">
        <v>2024</v>
      </c>
      <c r="E305" t="inlineStr">
        <is>
          <t>check folder</t>
        </is>
      </c>
    </row>
    <row r="306" ht="15" customHeight="1">
      <c r="A306" t="inlineStr">
        <is>
          <t>Dungeon Crawl Stone Soup</t>
        </is>
      </c>
      <c r="B306" t="inlineStr">
        <is>
          <t>Cataclysm</t>
        </is>
      </c>
      <c r="C306" t="n">
        <v>2006</v>
      </c>
      <c r="E306" s="1" t="inlineStr">
        <is>
          <t>https://roguebasin.com/index.php/Cataclysm</t>
        </is>
      </c>
    </row>
    <row r="307" ht="15" customHeight="1">
      <c r="A307" t="inlineStr">
        <is>
          <t>Dungeon Crawl Stone Soup</t>
        </is>
      </c>
      <c r="B307" t="inlineStr">
        <is>
          <t>Cogmind</t>
        </is>
      </c>
      <c r="C307" t="n">
        <v>2006</v>
      </c>
      <c r="E307" s="1" t="inlineStr">
        <is>
          <t>https://www.gridsagegames.com/forums/index.php?topic=648.msg5316#msg5316</t>
        </is>
      </c>
    </row>
    <row r="308" ht="15" customHeight="1">
      <c r="A308" t="inlineStr">
        <is>
          <t>Dungeon Crawl Stone Soup</t>
        </is>
      </c>
      <c r="B308" t="inlineStr">
        <is>
          <t>Desktop Dungeons</t>
        </is>
      </c>
      <c r="C308" t="n">
        <v>2006</v>
      </c>
      <c r="E308" s="1" t="inlineStr">
        <is>
          <t>https://www.qcfdesign.com/wiki/DesktopDungeons/index.php?title=Desktop_Dungeons</t>
        </is>
      </c>
    </row>
    <row r="309" ht="15" customHeight="1">
      <c r="A309" t="inlineStr">
        <is>
          <t>Dungeon Crawl Stone Soup</t>
        </is>
      </c>
      <c r="B309" t="inlineStr">
        <is>
          <t>Dungeonmans</t>
        </is>
      </c>
      <c r="C309" t="n">
        <v>2006</v>
      </c>
      <c r="E309" s="1" t="inlineStr">
        <is>
          <t>https://www.reddit.com/r/Games/comments/2osauc/hi_rgames_were_a_group_of_aaa_and_exaaa/</t>
        </is>
      </c>
    </row>
    <row r="310" ht="15" customHeight="1">
      <c r="A310" t="inlineStr">
        <is>
          <t>Dungeon Crawl Stone Soup</t>
        </is>
      </c>
      <c r="B310" t="inlineStr">
        <is>
          <t>Golden Krone Hotel</t>
        </is>
      </c>
      <c r="C310" t="n">
        <v>2006</v>
      </c>
      <c r="E310" s="1" t="inlineStr">
        <is>
          <t>check folder</t>
        </is>
      </c>
    </row>
    <row r="311" ht="15" customHeight="1">
      <c r="A311" t="inlineStr">
        <is>
          <t>Dungeon Crawl Stone Soup</t>
        </is>
      </c>
      <c r="B311" t="inlineStr">
        <is>
          <t>Path of Achra</t>
        </is>
      </c>
      <c r="C311" t="n">
        <v>2006</v>
      </c>
      <c r="E311" s="1" t="inlineStr">
        <is>
          <t>https://store.steampowered.com/app/2128270/Path_of_Achra/</t>
        </is>
      </c>
    </row>
    <row r="312" ht="15" customHeight="1">
      <c r="A312" t="inlineStr">
        <is>
          <t>Dungeon Crawl Stone Soup</t>
        </is>
      </c>
      <c r="B312" t="inlineStr">
        <is>
          <t>Rift Wizard</t>
        </is>
      </c>
      <c r="C312" t="n">
        <v>2006</v>
      </c>
      <c r="E312" s="11" t="inlineStr">
        <is>
          <t>https://www.youtube.com/watch?v=xsmbVWflwpw</t>
        </is>
      </c>
    </row>
    <row r="313" ht="15" customHeight="1">
      <c r="A313" t="inlineStr">
        <is>
          <t>Dungeon Crawl Stone Soup</t>
        </is>
      </c>
      <c r="B313" t="inlineStr">
        <is>
          <t>Touhou Crawl</t>
        </is>
      </c>
      <c r="C313" t="n">
        <v>2006</v>
      </c>
      <c r="E313" s="1" t="inlineStr">
        <is>
          <t>https://store.steampowered.com/app/3601130/Touhou_Crawl/</t>
        </is>
      </c>
    </row>
    <row r="314" ht="15" customHeight="1">
      <c r="A314" t="inlineStr">
        <is>
          <t>Dungeon Crawl Stone Soup</t>
        </is>
      </c>
      <c r="B314" t="inlineStr">
        <is>
          <t>Vagante</t>
        </is>
      </c>
      <c r="C314" t="n">
        <v>2018</v>
      </c>
      <c r="E314" s="1" t="inlineStr">
        <is>
          <t>https://www.gamedeveloper.com/game-platforms/eugene-paik-talks-about-vagante-a-roguelite-8-years-in-the-making</t>
        </is>
      </c>
    </row>
    <row r="315" ht="15" customHeight="1">
      <c r="A315" t="inlineStr">
        <is>
          <t>Dungeon Crawl Stone Soup</t>
        </is>
      </c>
      <c r="B315" t="inlineStr">
        <is>
          <t>ZMAngband</t>
        </is>
      </c>
      <c r="C315" t="n">
        <v>2006</v>
      </c>
      <c r="E315" s="1" t="inlineStr">
        <is>
          <t>https://roguebasin.com/index.php/ZMAngband</t>
        </is>
      </c>
    </row>
    <row r="316" ht="15" customHeight="1">
      <c r="A316" t="inlineStr">
        <is>
          <t>Dungeonmans</t>
        </is>
      </c>
      <c r="B316" t="inlineStr">
        <is>
          <t>Tangledeep</t>
        </is>
      </c>
      <c r="C316" t="n">
        <v>2010</v>
      </c>
      <c r="E316" s="1" t="inlineStr">
        <is>
          <t>https://www.reddit.com/r/Games/comments/7ukbl1/im_the_lead_developer_of_tangledeep_a_roguelike/</t>
        </is>
      </c>
    </row>
    <row r="317" ht="15" customHeight="1">
      <c r="A317" t="inlineStr">
        <is>
          <t>Dungeons of Dredmor</t>
        </is>
      </c>
      <c r="B317" t="inlineStr">
        <is>
          <t>I Am Overburdened</t>
        </is>
      </c>
      <c r="C317" t="n">
        <v>2011</v>
      </c>
      <c r="E317" s="1" t="inlineStr">
        <is>
          <t>https://www.roguebasin.com/index.php/I_Am_Overburdened</t>
        </is>
      </c>
    </row>
    <row r="318" ht="15" customHeight="1">
      <c r="A318" t="inlineStr">
        <is>
          <t>Dungeons of Dredmor</t>
        </is>
      </c>
      <c r="B318" t="inlineStr">
        <is>
          <t>Quest of Dungeons</t>
        </is>
      </c>
      <c r="C318" t="n">
        <v>2011</v>
      </c>
      <c r="E318" s="1" t="inlineStr">
        <is>
          <t>https://www.reddit.com/r/nintendo/comments/54vjq6/ama_im_david_the_developer_of_quest_of_dungeons/</t>
        </is>
      </c>
    </row>
    <row r="319" ht="15" customHeight="1">
      <c r="A319" t="inlineStr">
        <is>
          <t>Dungeons of Dredmor</t>
        </is>
      </c>
      <c r="B319" t="inlineStr">
        <is>
          <t>Rogue Wizards</t>
        </is>
      </c>
      <c r="C319" t="n">
        <v>2011</v>
      </c>
      <c r="E319" s="11" t="inlineStr">
        <is>
          <t>https://www.gameskinny.com/culture/interview-with-colin-day-creator-of-rogue-wizards-and-founder-of-spellbind-studios/</t>
        </is>
      </c>
    </row>
    <row r="320" ht="15" customHeight="1">
      <c r="A320" t="inlineStr">
        <is>
          <t>Dungeons of Dredmor</t>
        </is>
      </c>
      <c r="B320" t="inlineStr">
        <is>
          <t>The Doors of Trithius</t>
        </is>
      </c>
      <c r="C320" t="n">
        <v>2011</v>
      </c>
      <c r="E320" s="1" t="inlineStr">
        <is>
          <t>https://steamcommunity.com/app/1519490/discussions/0/5456682769556329213/#c5456682769558786398</t>
        </is>
      </c>
    </row>
    <row r="321" ht="15" customHeight="1">
      <c r="A321" t="inlineStr">
        <is>
          <t>Dungreed</t>
        </is>
      </c>
      <c r="B321" t="inlineStr">
        <is>
          <t>Sephiria</t>
        </is>
      </c>
      <c r="C321" t="n">
        <v>2018</v>
      </c>
      <c r="D321" t="inlineStr">
        <is>
          <t>Yes</t>
        </is>
      </c>
      <c r="E321" s="1" t="n"/>
    </row>
    <row r="322" ht="15" customHeight="1">
      <c r="A322" t="inlineStr">
        <is>
          <t>Dwarf Fortress</t>
        </is>
      </c>
      <c r="B322" t="inlineStr">
        <is>
          <t>Dungeonmans</t>
        </is>
      </c>
      <c r="C322" t="n">
        <v>2006</v>
      </c>
      <c r="E322" s="11" t="inlineStr">
        <is>
          <t>https://www.youtube.com/watch?v=JXv8hQguGCI</t>
        </is>
      </c>
    </row>
    <row r="323" ht="15" customHeight="1">
      <c r="A323" t="inlineStr">
        <is>
          <t>Dwarf Fortress</t>
        </is>
      </c>
      <c r="B323" t="inlineStr">
        <is>
          <t>KeeperRL</t>
        </is>
      </c>
      <c r="C323" t="n">
        <v>2006</v>
      </c>
      <c r="E323" s="1" t="inlineStr">
        <is>
          <t>https://steamcommunity.com/app/329970/discussions/0/620700960829035333/#c606068060818832019</t>
        </is>
      </c>
    </row>
    <row r="324" ht="15" customHeight="1">
      <c r="A324" t="inlineStr">
        <is>
          <t>Dwarf Fortress</t>
        </is>
      </c>
      <c r="B324" t="inlineStr">
        <is>
          <t>Soulash 2</t>
        </is>
      </c>
      <c r="C324" t="n">
        <v>2006</v>
      </c>
      <c r="E324" s="1" t="inlineStr">
        <is>
          <t>https://www.bay12forums.com/smf/index.php?topic=182370.0#:~:text=Escaped%20Lunatic-,Soulash%202%20%2D%20Adventures%20and%20Conquest%20in%20Procedural%20Fantasy%20Worlds,to%20the%20Roguelike%20design%20formula.</t>
        </is>
      </c>
    </row>
    <row r="325" ht="15" customHeight="1">
      <c r="A325" t="inlineStr">
        <is>
          <t>Dwarf Fortress</t>
        </is>
      </c>
      <c r="B325" t="inlineStr">
        <is>
          <t>Super Fantasy Kingdom</t>
        </is>
      </c>
      <c r="C325" t="n">
        <v>2006</v>
      </c>
      <c r="E325" s="1" t="inlineStr">
        <is>
          <t>https://store.epicgames.com/en-US/news/super-fantasy-kingdom-city-builder-next-vampire-survivors-obsession</t>
        </is>
      </c>
    </row>
    <row r="326" ht="15" customHeight="1">
      <c r="A326" t="inlineStr">
        <is>
          <t>Dwarf Fortress</t>
        </is>
      </c>
      <c r="B326" t="inlineStr">
        <is>
          <t>The Doors of Trithius</t>
        </is>
      </c>
      <c r="C326" t="n">
        <v>2006</v>
      </c>
      <c r="E326" s="1" t="inlineStr">
        <is>
          <t>https://doorsoftrithius.com/</t>
        </is>
      </c>
    </row>
    <row r="327" ht="15" customHeight="1">
      <c r="A327" t="inlineStr">
        <is>
          <t>Dwarf Fortress</t>
        </is>
      </c>
      <c r="B327" t="inlineStr">
        <is>
          <t>Ultima Ratio Regum</t>
        </is>
      </c>
      <c r="C327" t="n">
        <v>2006</v>
      </c>
      <c r="E327" s="1" t="inlineStr">
        <is>
          <t>https://www.youtube.com/watch?v=giIIoIKntnw</t>
        </is>
      </c>
    </row>
    <row r="328" ht="15" customHeight="1">
      <c r="A328" t="inlineStr">
        <is>
          <t>Dwarf Fortress</t>
        </is>
      </c>
      <c r="B328" t="inlineStr">
        <is>
          <t>Void War</t>
        </is>
      </c>
      <c r="C328" t="n">
        <v>2006</v>
      </c>
      <c r="E328" s="1" t="inlineStr">
        <is>
          <t>https://youtu.be/-I__TxhbQgw</t>
        </is>
      </c>
    </row>
    <row r="329" ht="15" customHeight="1">
      <c r="A329" t="inlineStr">
        <is>
          <t>Dwarf Fortress</t>
        </is>
      </c>
      <c r="B329" t="inlineStr">
        <is>
          <t>Warsim: The Realm of Aslona</t>
        </is>
      </c>
      <c r="C329" t="n">
        <v>2006</v>
      </c>
      <c r="E329" s="1" t="inlineStr">
        <is>
          <t>http://www.bay12forums.com/smf/index.php?topic=173000.0</t>
        </is>
      </c>
    </row>
    <row r="330" ht="15" customHeight="1">
      <c r="A330" t="inlineStr">
        <is>
          <t>Dwarf Fortress</t>
        </is>
      </c>
      <c r="B330" t="inlineStr">
        <is>
          <t>Wayward</t>
        </is>
      </c>
      <c r="C330" t="n">
        <v>2006</v>
      </c>
      <c r="E330" s="1" t="inlineStr">
        <is>
          <t>https://roguebasin.com/index.php/Wayward</t>
        </is>
      </c>
    </row>
    <row r="331" ht="15" customHeight="1">
      <c r="A331" t="inlineStr">
        <is>
          <t>Elden Ring Nightreign</t>
        </is>
      </c>
      <c r="B331" t="inlineStr">
        <is>
          <t>Serpent's Gaze</t>
        </is>
      </c>
      <c r="C331" t="n">
        <v>2025</v>
      </c>
      <c r="E331" s="11" t="inlineStr">
        <is>
          <t>https://x.com/TheFeebleMinds/status/2027340299630989393</t>
        </is>
      </c>
    </row>
    <row r="332" ht="15" customHeight="1">
      <c r="A332" t="inlineStr">
        <is>
          <t>Elona</t>
        </is>
      </c>
      <c r="B332" t="inlineStr">
        <is>
          <t>Dungeonmans</t>
        </is>
      </c>
      <c r="C332" t="n">
        <v>2008</v>
      </c>
      <c r="E332" s="11" t="inlineStr">
        <is>
          <t>https://www.youtube.com/watch?v=JXv8hQguGCI</t>
        </is>
      </c>
    </row>
    <row r="333" ht="15" customHeight="1">
      <c r="A333" t="inlineStr">
        <is>
          <t>Elona</t>
        </is>
      </c>
      <c r="B333" t="inlineStr">
        <is>
          <t>Elin</t>
        </is>
      </c>
      <c r="C333" t="n">
        <v>2008</v>
      </c>
      <c r="D333" t="inlineStr">
        <is>
          <t>Yes</t>
        </is>
      </c>
      <c r="E333" s="1" t="n"/>
    </row>
    <row r="334" ht="15" customHeight="1">
      <c r="A334" t="inlineStr">
        <is>
          <t>Ember Knights</t>
        </is>
      </c>
      <c r="B334" t="inlineStr">
        <is>
          <t>Vellum</t>
        </is>
      </c>
      <c r="C334" t="n">
        <v>2022</v>
      </c>
      <c r="E334" s="1" t="inlineStr">
        <is>
          <t>https://rogueliker.com/vellum-inspirations/#:~:text=Vellum's%20Inspirations,chapter%20of%20the%20original%20series.</t>
        </is>
      </c>
    </row>
    <row r="335" ht="15" customHeight="1">
      <c r="A335" t="inlineStr">
        <is>
          <t>Enter the Gungeon</t>
        </is>
      </c>
      <c r="B335" t="inlineStr">
        <is>
          <t>Abandoned Archive</t>
        </is>
      </c>
      <c r="C335" t="n">
        <v>2016</v>
      </c>
      <c r="E335" s="1" t="inlineStr">
        <is>
          <t>https://www.reddit.com/r/playmygame/comments/sqb852/our_spellcasting_roguelike_abandoned_archive_now/</t>
        </is>
      </c>
    </row>
    <row r="336" ht="15" customHeight="1">
      <c r="A336" t="inlineStr">
        <is>
          <t>Enter the Gungeon</t>
        </is>
      </c>
      <c r="B336" t="inlineStr">
        <is>
          <t>AK-xolotl</t>
        </is>
      </c>
      <c r="C336" t="n">
        <v>2016</v>
      </c>
      <c r="E336" s="1" t="inlineStr">
        <is>
          <t>https://www.reddit.com/r/Games/comments/v2kcsr/ama_were_the_team_behind_akxolotl_a_cute_but/</t>
        </is>
      </c>
    </row>
    <row r="337" ht="15" customHeight="1">
      <c r="A337" t="inlineStr">
        <is>
          <t>Enter the Gungeon</t>
        </is>
      </c>
      <c r="B337" t="inlineStr">
        <is>
          <t>Asterogues</t>
        </is>
      </c>
      <c r="C337" t="n">
        <v>2016</v>
      </c>
      <c r="E337" s="1" t="inlineStr">
        <is>
          <t>dev has mentioned playing both isaac and gungeon, and also look at it</t>
        </is>
      </c>
    </row>
    <row r="338" ht="15" customHeight="1">
      <c r="A338" t="inlineStr">
        <is>
          <t>Enter the Gungeon</t>
        </is>
      </c>
      <c r="B338" t="inlineStr">
        <is>
          <t>Astro Prospector</t>
        </is>
      </c>
      <c r="C338" t="n">
        <v>2016</v>
      </c>
      <c r="E338" s="1" t="inlineStr">
        <is>
          <t>check folder</t>
        </is>
      </c>
    </row>
    <row r="339" ht="15" customHeight="1">
      <c r="A339" t="inlineStr">
        <is>
          <t>Enter the Gungeon</t>
        </is>
      </c>
      <c r="B339" t="inlineStr">
        <is>
          <t>Atomicrops</t>
        </is>
      </c>
      <c r="C339" t="n">
        <v>2016</v>
      </c>
      <c r="E339" s="1" t="inlineStr">
        <is>
          <t>https://www.reddit.com/r/Games/comments/czn9i5/were_the_developers_of_atomicrops_an_action/#:~:text=I%20got%20addicted%20to%20Stardew,simply%20stat%20upgrades%20or%20something).</t>
        </is>
      </c>
    </row>
    <row r="340" ht="15" customHeight="1">
      <c r="A340" t="inlineStr">
        <is>
          <t>Enter the Gungeon</t>
        </is>
      </c>
      <c r="B340" t="inlineStr">
        <is>
          <t>Beyond the Long Night</t>
        </is>
      </c>
      <c r="C340" t="n">
        <v>2016</v>
      </c>
      <c r="E340" s="1" t="inlineStr">
        <is>
          <t>https://web.archive.org/web/20220130212105/https://www.indiegameoftheweek.com/BeyondTheLongNight</t>
        </is>
      </c>
    </row>
    <row r="341" ht="15" customHeight="1">
      <c r="A341" t="inlineStr">
        <is>
          <t>Enter the Gungeon</t>
        </is>
      </c>
      <c r="B341" t="inlineStr">
        <is>
          <t>Brutal Orchestra</t>
        </is>
      </c>
      <c r="C341" t="n">
        <v>2016</v>
      </c>
      <c r="E341" s="1" t="inlineStr">
        <is>
          <t>https://steamcommunity.com/app/1734320/discussions/0/598515896185532848/</t>
        </is>
      </c>
    </row>
    <row r="342" ht="15" customHeight="1">
      <c r="A342" t="inlineStr">
        <is>
          <t>Enter the Gungeon</t>
        </is>
      </c>
      <c r="B342" t="inlineStr">
        <is>
          <t>Cult of the Lamb</t>
        </is>
      </c>
      <c r="C342" t="n">
        <v>2016</v>
      </c>
      <c r="E342" s="1" t="inlineStr">
        <is>
          <t>https://www.youtube.com/watch?v=VRhAER68ynU</t>
        </is>
      </c>
    </row>
    <row r="343" ht="15" customHeight="1">
      <c r="A343" t="inlineStr">
        <is>
          <t>Enter the Gungeon</t>
        </is>
      </c>
      <c r="B343" t="inlineStr">
        <is>
          <t>Escape The Mad Empire</t>
        </is>
      </c>
      <c r="C343" t="n">
        <v>2016</v>
      </c>
      <c r="E343" s="1" t="inlineStr">
        <is>
          <t>https://www.reddit.com/r/roguelites/comments/r8cay9/weve_been_developing_the_roguelite_escape_the_mad/</t>
        </is>
      </c>
    </row>
    <row r="344" ht="15" customHeight="1">
      <c r="A344" t="inlineStr">
        <is>
          <t>Enter the Gungeon</t>
        </is>
      </c>
      <c r="B344" t="inlineStr">
        <is>
          <t>Exit the Gungeon</t>
        </is>
      </c>
      <c r="C344" t="n">
        <v>2016</v>
      </c>
      <c r="D344" t="inlineStr">
        <is>
          <t>Yes</t>
        </is>
      </c>
      <c r="E344" s="1" t="n"/>
    </row>
    <row r="345" ht="15" customHeight="1">
      <c r="A345" t="inlineStr">
        <is>
          <t>Enter the Gungeon</t>
        </is>
      </c>
      <c r="B345" t="inlineStr">
        <is>
          <t>Galactic Glitch</t>
        </is>
      </c>
      <c r="C345" t="n">
        <v>2016</v>
      </c>
      <c r="E345" s="1" t="inlineStr">
        <is>
          <t>https://x.com/JFGamesPR/status/1803711115047625170</t>
        </is>
      </c>
    </row>
    <row r="346" ht="15" customHeight="1">
      <c r="A346" t="inlineStr">
        <is>
          <t>Enter the Gungeon</t>
        </is>
      </c>
      <c r="B346" t="inlineStr">
        <is>
          <t>Going Under</t>
        </is>
      </c>
      <c r="C346" t="n">
        <v>2016</v>
      </c>
      <c r="E346" s="1" t="inlineStr">
        <is>
          <t>check folder</t>
        </is>
      </c>
    </row>
    <row r="347" ht="15" customHeight="1">
      <c r="A347" t="inlineStr">
        <is>
          <t>Enter the Gungeon</t>
        </is>
      </c>
      <c r="B347" t="inlineStr">
        <is>
          <t>Gunfire Reborn</t>
        </is>
      </c>
      <c r="C347" t="n">
        <v>2016</v>
      </c>
      <c r="E347" s="1" t="inlineStr">
        <is>
          <t>https://en.wikipedia.org/wiki/Gunfire_Reborn#:~:text=Gunfire%20Reborn%20is%20developed%20by,would%20be%20most%20beneficial%20design.</t>
        </is>
      </c>
    </row>
    <row r="348" ht="15" customHeight="1">
      <c r="A348" t="inlineStr">
        <is>
          <t>Enter the Gungeon</t>
        </is>
      </c>
      <c r="B348" t="inlineStr">
        <is>
          <t>Lake of Creatures</t>
        </is>
      </c>
      <c r="C348" t="n">
        <v>2016</v>
      </c>
      <c r="E348" s="1" t="inlineStr">
        <is>
          <t>check folder</t>
        </is>
      </c>
    </row>
    <row r="349" ht="15" customHeight="1">
      <c r="A349" t="inlineStr">
        <is>
          <t>Enter the Gungeon</t>
        </is>
      </c>
      <c r="B349" t="inlineStr">
        <is>
          <t>NecroBouncer</t>
        </is>
      </c>
      <c r="C349" t="n">
        <v>2016</v>
      </c>
      <c r="E349" s="1" t="inlineStr">
        <is>
          <t>https://www.reddit.com/r/Games/comments/ziyl7m/this_is_alchemy_sheep_the_studio_behind_a/</t>
        </is>
      </c>
    </row>
    <row r="350" ht="15" customHeight="1">
      <c r="A350" t="inlineStr">
        <is>
          <t>Enter the Gungeon</t>
        </is>
      </c>
      <c r="B350" t="inlineStr">
        <is>
          <t>Odinfall</t>
        </is>
      </c>
      <c r="C350" t="n">
        <v>2016</v>
      </c>
      <c r="E350" s="1" t="inlineStr">
        <is>
          <t>https://fextralife.com/odinfall-a-new-viking-themed-roguelite-coming-to-early-access/#:~:text=Odinfall%20Early%20Access%20on%20Steam&amp;text=According%20to%20Oscar%20Axelsson%20from,Throne%20and%20Enter%20the%20Gungeon.</t>
        </is>
      </c>
    </row>
    <row r="351" ht="15" customHeight="1">
      <c r="A351" t="inlineStr">
        <is>
          <t>Enter the Gungeon</t>
        </is>
      </c>
      <c r="B351" t="inlineStr">
        <is>
          <t>Pathogenic</t>
        </is>
      </c>
      <c r="C351" t="n">
        <v>2016</v>
      </c>
      <c r="E351" s="11" t="inlineStr">
        <is>
          <t>https://x.com/pathogenicgame/status/2085041700716654606?s=20</t>
        </is>
      </c>
    </row>
    <row r="352" ht="15" customHeight="1">
      <c r="A352" t="inlineStr">
        <is>
          <t>Enter the Gungeon</t>
        </is>
      </c>
      <c r="B352" t="inlineStr">
        <is>
          <t>RAM: Random Access Mayhem</t>
        </is>
      </c>
      <c r="C352" t="n">
        <v>2016</v>
      </c>
      <c r="E352" s="1" t="inlineStr">
        <is>
          <t>https://www.gamedeveloper.com/design/ram-random-access-mayhem-s-body-swapping-mechanic-was-born-from-challenges-playing-roguelikes</t>
        </is>
      </c>
    </row>
    <row r="353" ht="15" customHeight="1">
      <c r="A353" t="inlineStr">
        <is>
          <t>Enter the Gungeon</t>
        </is>
      </c>
      <c r="B353" t="inlineStr">
        <is>
          <t>Sephiria</t>
        </is>
      </c>
      <c r="C353" t="n">
        <v>2016</v>
      </c>
      <c r="E353" s="1" t="inlineStr">
        <is>
          <t>check folder</t>
        </is>
      </c>
    </row>
    <row r="354" ht="15" customHeight="1">
      <c r="A354" t="inlineStr">
        <is>
          <t>Enter the Gungeon</t>
        </is>
      </c>
      <c r="B354" t="inlineStr">
        <is>
          <t>Sword of the Necromancer</t>
        </is>
      </c>
      <c r="C354" t="n">
        <v>2016</v>
      </c>
      <c r="E354" s="11" t="inlineStr">
        <is>
          <t>https://x.com/GrimorioG/status/1213196249509376001?s=20</t>
        </is>
      </c>
    </row>
    <row r="355" ht="15" customHeight="1">
      <c r="A355" t="inlineStr">
        <is>
          <t>Enter the Gungeon</t>
        </is>
      </c>
      <c r="B355" t="inlineStr">
        <is>
          <t>The Unliving</t>
        </is>
      </c>
      <c r="C355" t="n">
        <v>2016</v>
      </c>
      <c r="E355" s="1" t="inlineStr">
        <is>
          <t>devs mentioned gungeon and hades a few times as comparisons, it's clear they've played multiple roguelikes also check folder</t>
        </is>
      </c>
    </row>
    <row r="356" ht="15" customHeight="1">
      <c r="A356" t="inlineStr">
        <is>
          <t>Enter the Gungeon</t>
        </is>
      </c>
      <c r="B356" t="inlineStr">
        <is>
          <t>Tiny Rogues</t>
        </is>
      </c>
      <c r="C356" t="n">
        <v>2016</v>
      </c>
      <c r="E356" s="1" t="inlineStr">
        <is>
          <t>https://creators.spotify.com/pod/show/openindie/episodes/29---Pixlpunk---Tiny-Rogues---RubyDev---Austria-e2ainqm/a-aafpjfq</t>
        </is>
      </c>
    </row>
    <row r="357" ht="15" customHeight="1">
      <c r="A357" t="inlineStr">
        <is>
          <t>Enter the Gungeon</t>
        </is>
      </c>
      <c r="B357" t="inlineStr">
        <is>
          <t>TombStar</t>
        </is>
      </c>
      <c r="C357" t="n">
        <v>2016</v>
      </c>
      <c r="E357" s="1" t="inlineStr">
        <is>
          <t>https://www.nme.com/news/gaming-news/crossy-road-creator-announces-space-western-shooter-tombstar-3258744</t>
        </is>
      </c>
    </row>
    <row r="358" ht="15" customHeight="1">
      <c r="A358" t="inlineStr">
        <is>
          <t>Etrian Mystery Dungeon</t>
        </is>
      </c>
      <c r="B358" t="inlineStr">
        <is>
          <t>Etrian Mystery Dungeon 2</t>
        </is>
      </c>
      <c r="C358" t="n">
        <v>2015</v>
      </c>
      <c r="D358" t="inlineStr">
        <is>
          <t>Yes</t>
        </is>
      </c>
      <c r="E358" s="1" t="n"/>
    </row>
    <row r="359" ht="15" customHeight="1">
      <c r="A359" t="inlineStr">
        <is>
          <t>Fatal Labyrinth</t>
        </is>
      </c>
      <c r="B359" t="inlineStr">
        <is>
          <t>Dragon Crystal</t>
        </is>
      </c>
      <c r="C359" t="n">
        <v>1990</v>
      </c>
      <c r="D359" t="inlineStr">
        <is>
          <t>Yes</t>
        </is>
      </c>
      <c r="E359" s="11" t="inlineStr">
        <is>
          <t>https://www.reddit.com/r/JRPG/comments/1h4umpj/lets_talk_about_dragon_crystal_segas_own_early/</t>
        </is>
      </c>
    </row>
    <row r="360" ht="15" customHeight="1">
      <c r="A360" t="inlineStr">
        <is>
          <t>Fights in Tight Spaces</t>
        </is>
      </c>
      <c r="B360" t="inlineStr">
        <is>
          <t>2 Fights in 2 Tight Spaces</t>
        </is>
      </c>
      <c r="C360" t="n">
        <v>2021</v>
      </c>
      <c r="D360" t="inlineStr">
        <is>
          <t>Yes</t>
        </is>
      </c>
      <c r="E360" s="1" t="n"/>
    </row>
    <row r="361" ht="15" customHeight="1">
      <c r="A361" t="inlineStr">
        <is>
          <t>Fights in Tight Spaces</t>
        </is>
      </c>
      <c r="B361" t="inlineStr">
        <is>
          <t>Fogpiercer</t>
        </is>
      </c>
      <c r="C361" t="n">
        <v>2021</v>
      </c>
      <c r="E361" t="inlineStr">
        <is>
          <t>check folder</t>
        </is>
      </c>
    </row>
    <row r="362" ht="15" customHeight="1">
      <c r="A362" t="inlineStr">
        <is>
          <t>Fights in Tight Spaces</t>
        </is>
      </c>
      <c r="B362" t="inlineStr">
        <is>
          <t>Knights in Tight Spaces</t>
        </is>
      </c>
      <c r="C362" t="n">
        <v>2021</v>
      </c>
      <c r="D362" t="inlineStr">
        <is>
          <t>Yes</t>
        </is>
      </c>
      <c r="E362" s="1" t="n"/>
    </row>
    <row r="363" ht="15" customHeight="1">
      <c r="A363" t="inlineStr">
        <is>
          <t>Final Fantasy Fables: Chocobo's Dungeon</t>
        </is>
      </c>
      <c r="B363" t="inlineStr">
        <is>
          <t>Chocobo's Mystery Dungeon Every Buddy!</t>
        </is>
      </c>
      <c r="C363" t="n">
        <v>2007</v>
      </c>
      <c r="D363" t="inlineStr">
        <is>
          <t>Yes</t>
        </is>
      </c>
      <c r="E363" s="1" t="n"/>
    </row>
    <row r="364" ht="15" customHeight="1">
      <c r="A364" t="inlineStr">
        <is>
          <t>FLERP</t>
        </is>
      </c>
      <c r="B364" t="inlineStr">
        <is>
          <t>Centipede Gun</t>
        </is>
      </c>
      <c r="C364" t="n">
        <v>2022</v>
      </c>
      <c r="E364" s="1" t="inlineStr">
        <is>
          <t>https://store.steampowered.com/app/2308000/Centipede_Gun/</t>
        </is>
      </c>
    </row>
    <row r="365" ht="15" customHeight="1">
      <c r="A365" t="inlineStr">
        <is>
          <t>For the King</t>
        </is>
      </c>
      <c r="B365" t="inlineStr">
        <is>
          <t>For the King 2</t>
        </is>
      </c>
      <c r="C365" t="n">
        <v>2018</v>
      </c>
      <c r="D365" t="inlineStr">
        <is>
          <t>Yes</t>
        </is>
      </c>
      <c r="E365" s="1" t="n"/>
    </row>
    <row r="366" ht="15" customHeight="1">
      <c r="A366" t="inlineStr">
        <is>
          <t>For the King</t>
        </is>
      </c>
      <c r="B366" t="inlineStr">
        <is>
          <t>Legend of Keepers: Career of a Dungeon Manager</t>
        </is>
      </c>
      <c r="C366" t="n">
        <v>2018</v>
      </c>
      <c r="E366" s="1" t="inlineStr">
        <is>
          <t>https://legendofkeepers.fandom.com/wiki/Legend_of_Keepers</t>
        </is>
      </c>
    </row>
    <row r="367" ht="15" customHeight="1">
      <c r="A367" t="inlineStr">
        <is>
          <t>For the King</t>
        </is>
      </c>
      <c r="B367" t="inlineStr">
        <is>
          <t>Sandwalkers</t>
        </is>
      </c>
      <c r="C367" t="n">
        <v>2018</v>
      </c>
      <c r="E367" s="11" t="inlineStr">
        <is>
          <t>https://x.com/studio_goblinz/status/1703121970680807815?s=20</t>
        </is>
      </c>
    </row>
    <row r="368" ht="15" customHeight="1">
      <c r="A368" t="inlineStr">
        <is>
          <t>For The Warp</t>
        </is>
      </c>
      <c r="B368" t="inlineStr">
        <is>
          <t>Arc Seed</t>
        </is>
      </c>
      <c r="C368" t="n">
        <v>2020</v>
      </c>
      <c r="D368" t="inlineStr">
        <is>
          <t>Yes</t>
        </is>
      </c>
    </row>
    <row r="369" ht="15" customHeight="1">
      <c r="A369" t="inlineStr">
        <is>
          <t>Forward: Escape the Fold</t>
        </is>
      </c>
      <c r="B369" t="inlineStr">
        <is>
          <t>Dice &amp; Fold</t>
        </is>
      </c>
      <c r="C369" t="n">
        <v>2022</v>
      </c>
      <c r="E369" t="inlineStr">
        <is>
          <t>check folder</t>
        </is>
      </c>
    </row>
    <row r="370" ht="15" customHeight="1">
      <c r="A370" t="inlineStr">
        <is>
          <t>FTL</t>
        </is>
      </c>
      <c r="B370" t="inlineStr">
        <is>
          <t>Abandon Ship</t>
        </is>
      </c>
      <c r="C370" t="n">
        <v>2012</v>
      </c>
      <c r="E370" s="11" t="inlineStr">
        <is>
          <t>https://bigbossbattle.com/abandon-ship-interview-fireblade-softwares-gary-burchell/</t>
        </is>
      </c>
    </row>
    <row r="371" ht="15" customHeight="1">
      <c r="A371" t="inlineStr">
        <is>
          <t>FTL</t>
        </is>
      </c>
      <c r="B371" t="inlineStr">
        <is>
          <t>Arcanium: Rise of Akhan</t>
        </is>
      </c>
      <c r="C371" t="n">
        <v>2018</v>
      </c>
      <c r="E371" s="1" t="inlineStr">
        <is>
          <t>https://arcanium-rise-of-akhan.xsollasitebuilder.com/</t>
        </is>
      </c>
    </row>
    <row r="372" ht="15" customHeight="1">
      <c r="A372" t="inlineStr">
        <is>
          <t>FTL</t>
        </is>
      </c>
      <c r="B372" t="inlineStr">
        <is>
          <t>Breachway</t>
        </is>
      </c>
      <c r="C372" t="n">
        <v>2012</v>
      </c>
      <c r="E372" s="1" t="inlineStr">
        <is>
          <t>https://steamcommunity.com/app/2118810/discussions/1/3980680532379147080/#c6027566653452797874</t>
        </is>
      </c>
    </row>
    <row r="373" ht="15" customHeight="1">
      <c r="A373" t="inlineStr">
        <is>
          <t>FTL</t>
        </is>
      </c>
      <c r="B373" t="inlineStr">
        <is>
          <t>BroomSweeper</t>
        </is>
      </c>
      <c r="C373" t="n">
        <v>2012</v>
      </c>
      <c r="E373" s="1" t="inlineStr">
        <is>
          <t>check folder</t>
        </is>
      </c>
    </row>
    <row r="374" ht="15" customHeight="1">
      <c r="A374" t="inlineStr">
        <is>
          <t>FTL</t>
        </is>
      </c>
      <c r="B374" t="inlineStr">
        <is>
          <t>Convoy</t>
        </is>
      </c>
      <c r="C374" t="n">
        <v>2012</v>
      </c>
      <c r="E374" s="1" t="inlineStr">
        <is>
          <t>https://store.steampowered.com/app/318230/Convoy/</t>
        </is>
      </c>
    </row>
    <row r="375" ht="15" customHeight="1">
      <c r="A375" t="inlineStr">
        <is>
          <t>FTL</t>
        </is>
      </c>
      <c r="B375" t="inlineStr">
        <is>
          <t>Crying Suns</t>
        </is>
      </c>
      <c r="C375" t="n">
        <v>2012</v>
      </c>
      <c r="E375" s="1" t="inlineStr">
        <is>
          <t>https://medium.com/@gofig.news/a-coffee-break-with-fr%C3%A9d%C3%A9ric-lopez-crying-suns-3b030eb4f455</t>
        </is>
      </c>
    </row>
    <row r="376" ht="15" customHeight="1">
      <c r="A376" t="inlineStr">
        <is>
          <t>FTL</t>
        </is>
      </c>
      <c r="B376" t="inlineStr">
        <is>
          <t>Cultist Simulator</t>
        </is>
      </c>
      <c r="C376" t="n">
        <v>2012</v>
      </c>
      <c r="E376" s="1" t="inlineStr">
        <is>
          <t>https://medium.com/@alexiskennedy/q-a-with-alexis-kennedy-co-founder-of-weather-factory-dd35393c66f3</t>
        </is>
      </c>
    </row>
    <row r="377" ht="15" customHeight="1">
      <c r="A377" t="inlineStr">
        <is>
          <t>FTL</t>
        </is>
      </c>
      <c r="B377" t="inlineStr">
        <is>
          <t>Death Roads: Tournament</t>
        </is>
      </c>
      <c r="C377" t="n">
        <v>2012</v>
      </c>
      <c r="E377" s="1" t="inlineStr">
        <is>
          <t>check folder</t>
        </is>
      </c>
    </row>
    <row r="378" ht="15" customHeight="1">
      <c r="A378" t="inlineStr">
        <is>
          <t>FTL</t>
        </is>
      </c>
      <c r="B378" t="inlineStr">
        <is>
          <t>Death Skid Marks</t>
        </is>
      </c>
      <c r="C378" t="n">
        <v>2012</v>
      </c>
      <c r="E378" s="11" t="inlineStr">
        <is>
          <t>https://steamcommunity.com/app/326150/discussions/0/617320168090466146/#c617320168065346307</t>
        </is>
      </c>
    </row>
    <row r="379" ht="15" customHeight="1">
      <c r="A379" t="inlineStr">
        <is>
          <t>FTL</t>
        </is>
      </c>
      <c r="B379" t="inlineStr">
        <is>
          <t>Deep Sky Derelicts</t>
        </is>
      </c>
      <c r="C379" t="n">
        <v>2012</v>
      </c>
      <c r="E379" s="1" t="inlineStr">
        <is>
          <t>https://www.pcgamer.com/turn-based-roguelike-deep-sky-derelicts-channels-darkest-dungeon-in-space/</t>
        </is>
      </c>
    </row>
    <row r="380" ht="15" customHeight="1">
      <c r="A380" t="inlineStr">
        <is>
          <t>FTL</t>
        </is>
      </c>
      <c r="B380" t="inlineStr">
        <is>
          <t>Dicefolk</t>
        </is>
      </c>
      <c r="C380" t="n">
        <v>2012</v>
      </c>
      <c r="E380" s="1" t="inlineStr">
        <is>
          <t>https://www.nintendolife.com/features/only-pokemon-can-make-pokemon-dicefolk-devs-on-finding-a-voice-in-a-crowded-genre</t>
        </is>
      </c>
    </row>
    <row r="381" ht="15" customHeight="1">
      <c r="A381" t="inlineStr">
        <is>
          <t>FTL</t>
        </is>
      </c>
      <c r="B381" t="inlineStr">
        <is>
          <t>For The Warp</t>
        </is>
      </c>
      <c r="C381" t="n">
        <v>2012</v>
      </c>
      <c r="E381" s="11" t="inlineStr">
        <is>
          <t>https://www.reddit.com/r/NintendoSwitch/comments/trax0e/hi_im_the_developer_of_for_the_warp_a_scifi/</t>
        </is>
      </c>
    </row>
    <row r="382" ht="15" customHeight="1">
      <c r="A382" t="inlineStr">
        <is>
          <t>FTL</t>
        </is>
      </c>
      <c r="B382" t="inlineStr">
        <is>
          <t>Hand of Fate</t>
        </is>
      </c>
      <c r="C382" t="n">
        <v>2012</v>
      </c>
      <c r="E382" s="1" t="inlineStr">
        <is>
          <t>https://medium.com/@morganjaffit/games-dont-credit-their-influences-they-should-a32e9904d800</t>
        </is>
      </c>
    </row>
    <row r="383" ht="15" customHeight="1">
      <c r="A383" t="inlineStr">
        <is>
          <t>FTL</t>
        </is>
      </c>
      <c r="B383" t="inlineStr">
        <is>
          <t>Has-Been Heroes</t>
        </is>
      </c>
      <c r="C383" t="n">
        <v>2012</v>
      </c>
      <c r="E383" s="1" t="inlineStr">
        <is>
          <t>https://switchplayer.net/2017/05/08/grabbing-a-frozenbyte-with-some-has-been-heroes/</t>
        </is>
      </c>
    </row>
    <row r="384" ht="15" customHeight="1">
      <c r="A384" t="inlineStr">
        <is>
          <t>FTL</t>
        </is>
      </c>
      <c r="B384" t="inlineStr">
        <is>
          <t>Insurmountable</t>
        </is>
      </c>
      <c r="C384" t="n">
        <v>2012</v>
      </c>
      <c r="E384" s="1" t="inlineStr">
        <is>
          <t>https://www.reddit.com/r/IndieGaming/comments/evnabb/a_short_impression_of_insurmountable_our_new_game/</t>
        </is>
      </c>
    </row>
    <row r="385" ht="15" customHeight="1">
      <c r="A385" t="inlineStr">
        <is>
          <t>FTL</t>
        </is>
      </c>
      <c r="B385" t="inlineStr">
        <is>
          <t>Into the Breach</t>
        </is>
      </c>
      <c r="C385" t="n">
        <v>2012</v>
      </c>
      <c r="D385" t="inlineStr">
        <is>
          <t>Yes</t>
        </is>
      </c>
      <c r="E385" s="1" t="inlineStr">
        <is>
          <t>https://en.wikipedia.org/wiki/Into_the_Breach#:~:text=Into%20the%20Breach%20came%20out,%3A%20Enemy%20Unknown%20(2012).</t>
        </is>
      </c>
    </row>
    <row r="386" ht="15" customHeight="1">
      <c r="A386" t="inlineStr">
        <is>
          <t>FTL</t>
        </is>
      </c>
      <c r="B386" t="inlineStr">
        <is>
          <t>LoneStar</t>
        </is>
      </c>
      <c r="C386" t="n">
        <v>2012</v>
      </c>
      <c r="E386" s="1" t="inlineStr">
        <is>
          <t>look at it</t>
        </is>
      </c>
    </row>
    <row r="387" ht="15" customHeight="1">
      <c r="A387" t="inlineStr">
        <is>
          <t>FTL</t>
        </is>
      </c>
      <c r="B387" t="inlineStr">
        <is>
          <t>Monstrum</t>
        </is>
      </c>
      <c r="C387" t="n">
        <v>2012</v>
      </c>
      <c r="E387" s="1" t="inlineStr">
        <is>
          <t>https://forums.tigsource.com/index.php?topic=41609.0</t>
        </is>
      </c>
    </row>
    <row r="388" ht="15" customHeight="1">
      <c r="A388" t="inlineStr">
        <is>
          <t>FTL</t>
        </is>
      </c>
      <c r="B388" t="inlineStr">
        <is>
          <t>Nowhere Prophet</t>
        </is>
      </c>
      <c r="C388" t="n">
        <v>2012</v>
      </c>
      <c r="E388" s="1" t="inlineStr">
        <is>
          <t>https://steamcommunity.com/app/681730/discussions/0/2132869574262194220/#c1675812484339955409</t>
        </is>
      </c>
    </row>
    <row r="389" ht="15" customHeight="1">
      <c r="A389" t="inlineStr">
        <is>
          <t>FTL</t>
        </is>
      </c>
      <c r="B389" t="inlineStr">
        <is>
          <t>One Step From Eden</t>
        </is>
      </c>
      <c r="C389" t="n">
        <v>2012</v>
      </c>
      <c r="E389" s="1" t="inlineStr">
        <is>
          <t>https://en.wikipedia.org/wiki/One_Step_From_Eden#:~:text=Development%20of%20the%20game%20began,a%20reference%20to%20the%20game.</t>
        </is>
      </c>
    </row>
    <row r="390" ht="15" customHeight="1">
      <c r="A390" t="inlineStr">
        <is>
          <t>FTL</t>
        </is>
      </c>
      <c r="B390" t="inlineStr">
        <is>
          <t>Our Darker Purpose</t>
        </is>
      </c>
      <c r="C390" t="n">
        <v>2012</v>
      </c>
      <c r="E390" s="11" t="inlineStr">
        <is>
          <t>https://www.polygon.com/2013/6/20/4439320/our-darker-purpose-kickstarter-avidly-wild-games/</t>
        </is>
      </c>
    </row>
    <row r="391" ht="15" customHeight="1">
      <c r="A391" t="inlineStr">
        <is>
          <t>FTL</t>
        </is>
      </c>
      <c r="B391" t="inlineStr">
        <is>
          <t>Renowned Explorers: International Society</t>
        </is>
      </c>
      <c r="C391" t="n">
        <v>2012</v>
      </c>
      <c r="E391" s="11" t="inlineStr">
        <is>
          <t>https://steamcommunity.com/app/296970/discussions/0/483368526579730066/#c483368526581048948</t>
        </is>
      </c>
    </row>
    <row r="392" ht="15" customHeight="1">
      <c r="A392" t="inlineStr">
        <is>
          <t>FTL</t>
        </is>
      </c>
      <c r="B392" t="inlineStr">
        <is>
          <t>Road Not Taken</t>
        </is>
      </c>
      <c r="C392" t="n">
        <v>2012</v>
      </c>
      <c r="E392" s="1" t="inlineStr">
        <is>
          <t>https://en.wikipedia.org/wiki/Road_Not_Taken</t>
        </is>
      </c>
    </row>
    <row r="393" ht="15" customHeight="1">
      <c r="A393" t="inlineStr">
        <is>
          <t>FTL</t>
        </is>
      </c>
      <c r="B393" t="inlineStr">
        <is>
          <t>Rogue Voltage</t>
        </is>
      </c>
      <c r="C393" t="n">
        <v>2012</v>
      </c>
      <c r="E393" s="11" t="inlineStr">
        <is>
          <t>https://steamcommunity.com/app/1494560/discussions/0/4335355681660890217/#c4335355681661031211</t>
        </is>
      </c>
    </row>
    <row r="394" ht="15" customHeight="1">
      <c r="A394" t="inlineStr">
        <is>
          <t>FTL</t>
        </is>
      </c>
      <c r="B394" t="inlineStr">
        <is>
          <t>Shape of Dreams</t>
        </is>
      </c>
      <c r="C394" t="n">
        <v>2012</v>
      </c>
      <c r="E394" s="1" t="inlineStr">
        <is>
          <t>https://screenrant.com/shape-of-dreams-eunseop-shim-interview/#:~:text=MOBAs%20were%20a%20key%20inspiration,like%20action%20roguelites%20in%20general.</t>
        </is>
      </c>
    </row>
    <row r="395" ht="15" customHeight="1">
      <c r="A395" t="inlineStr">
        <is>
          <t>FTL</t>
        </is>
      </c>
      <c r="B395" t="inlineStr">
        <is>
          <t>Slay the Spire</t>
        </is>
      </c>
      <c r="C395" t="n">
        <v>2012</v>
      </c>
      <c r="E395" s="1" t="inlineStr">
        <is>
          <t>https://en.wikipedia.org/wiki/Slay_the_Spire#:~:text=Their%20initial%20goal%20was%20to,built%20on%20the%20libGDX%20framework.</t>
        </is>
      </c>
    </row>
    <row r="396" ht="15" customHeight="1">
      <c r="A396" t="inlineStr">
        <is>
          <t>FTL</t>
        </is>
      </c>
      <c r="B396" t="inlineStr">
        <is>
          <t>Slice &amp; Dice</t>
        </is>
      </c>
      <c r="C396" t="n">
        <v>2012</v>
      </c>
      <c r="E396" s="1" t="inlineStr">
        <is>
          <t>check folder</t>
        </is>
      </c>
    </row>
    <row r="397" ht="15" customHeight="1">
      <c r="A397" t="inlineStr">
        <is>
          <t>FTL</t>
        </is>
      </c>
      <c r="B397" t="inlineStr">
        <is>
          <t>Solitairica</t>
        </is>
      </c>
      <c r="C397" t="n">
        <v>2012</v>
      </c>
      <c r="E397" s="11" t="inlineStr">
        <is>
          <t>https://youtu.be/j6rOHgGxdHY</t>
        </is>
      </c>
    </row>
    <row r="398" ht="15" customHeight="1">
      <c r="A398" t="inlineStr">
        <is>
          <t>FTL</t>
        </is>
      </c>
      <c r="B398" t="inlineStr">
        <is>
          <t>Sunless Sea</t>
        </is>
      </c>
      <c r="C398" t="n">
        <v>2012</v>
      </c>
      <c r="E398" s="1" t="inlineStr">
        <is>
          <t>https://medium.com/@alexiskennedy/q-a-with-alexis-kennedy-co-founder-of-weather-factory-dd35393c66f3</t>
        </is>
      </c>
    </row>
    <row r="399" ht="15" customHeight="1">
      <c r="A399" t="inlineStr">
        <is>
          <t>FTL</t>
        </is>
      </c>
      <c r="B399" t="inlineStr">
        <is>
          <t>Switchcars</t>
        </is>
      </c>
      <c r="C399" t="n">
        <v>2012</v>
      </c>
      <c r="E399" s="1" t="inlineStr">
        <is>
          <t>https://www.emuglx.org/reportaze/interview/exclusive-switchcars-interview/</t>
        </is>
      </c>
    </row>
    <row r="400" ht="15" customHeight="1">
      <c r="A400" t="inlineStr">
        <is>
          <t>FTL</t>
        </is>
      </c>
      <c r="B400" t="inlineStr">
        <is>
          <t>Terraformers</t>
        </is>
      </c>
      <c r="C400" t="n">
        <v>2012</v>
      </c>
      <c r="E400" s="1" t="inlineStr">
        <is>
          <t>check folder</t>
        </is>
      </c>
    </row>
    <row r="401" ht="15" customHeight="1">
      <c r="A401" t="inlineStr">
        <is>
          <t>FTL</t>
        </is>
      </c>
      <c r="B401" t="inlineStr">
        <is>
          <t>Tower Tactics: Liberation</t>
        </is>
      </c>
      <c r="C401" t="n">
        <v>2012</v>
      </c>
      <c r="E401" s="1" t="inlineStr">
        <is>
          <t>check folder</t>
        </is>
      </c>
    </row>
    <row r="402" ht="15" customHeight="1">
      <c r="A402" t="inlineStr">
        <is>
          <t>FTL</t>
        </is>
      </c>
      <c r="B402" t="inlineStr">
        <is>
          <t>Trials of Fire</t>
        </is>
      </c>
      <c r="C402" t="n">
        <v>2012</v>
      </c>
      <c r="E402" s="1" t="inlineStr">
        <is>
          <t>check folder</t>
        </is>
      </c>
    </row>
    <row r="403" ht="15" customHeight="1">
      <c r="A403" t="inlineStr">
        <is>
          <t>FTL</t>
        </is>
      </c>
      <c r="B403" t="inlineStr">
        <is>
          <t>Void Bastards</t>
        </is>
      </c>
      <c r="C403" t="n">
        <v>2012</v>
      </c>
      <c r="E403" s="1" t="inlineStr">
        <is>
          <t>https://youtu.be/X_7TB97jCug &amp; check folder</t>
        </is>
      </c>
    </row>
    <row r="404" ht="15" customHeight="1">
      <c r="A404" t="inlineStr">
        <is>
          <t>FTL</t>
        </is>
      </c>
      <c r="B404" t="inlineStr">
        <is>
          <t>Void War</t>
        </is>
      </c>
      <c r="C404" t="n">
        <v>2012</v>
      </c>
      <c r="E404" s="1" t="inlineStr">
        <is>
          <t>https://youtu.be/-I__TxhbQgw</t>
        </is>
      </c>
    </row>
    <row r="405" ht="15" customHeight="1">
      <c r="A405" t="inlineStr">
        <is>
          <t>FTL</t>
        </is>
      </c>
      <c r="B405" t="inlineStr">
        <is>
          <t>WarpVector</t>
        </is>
      </c>
      <c r="C405" t="n">
        <v>2012</v>
      </c>
      <c r="E405" s="1" t="inlineStr">
        <is>
          <t>https://www.youtube.com/watch?v=G8e_zxWb3QA</t>
        </is>
      </c>
    </row>
    <row r="406" ht="15" customHeight="1">
      <c r="A406" t="inlineStr">
        <is>
          <t>Fushigi no Gensoukyou</t>
        </is>
      </c>
      <c r="B406" t="inlineStr">
        <is>
          <t>Atai no Gensoukyou</t>
        </is>
      </c>
      <c r="C406" t="n">
        <v>2010</v>
      </c>
      <c r="D406" t="inlineStr">
        <is>
          <t>Yes</t>
        </is>
      </c>
    </row>
    <row r="407" ht="15" customHeight="1">
      <c r="A407" t="inlineStr">
        <is>
          <t>Fushigi no Gensoukyou</t>
        </is>
      </c>
      <c r="B407" t="inlineStr">
        <is>
          <t>Miracle Party: Fushigi no Gensoukyou 2</t>
        </is>
      </c>
      <c r="C407" t="n">
        <v>2010</v>
      </c>
      <c r="D407" t="inlineStr">
        <is>
          <t>Yes</t>
        </is>
      </c>
    </row>
    <row r="408" ht="15" customHeight="1">
      <c r="A408" t="inlineStr">
        <is>
          <t>Fushigi no Gensoukyou</t>
        </is>
      </c>
      <c r="B408" t="inlineStr">
        <is>
          <t>Motto!? Fushigi no Gensoukyou: Under the Moonlight</t>
        </is>
      </c>
      <c r="C408" t="n">
        <v>2010</v>
      </c>
      <c r="D408" t="inlineStr">
        <is>
          <t>Yes</t>
        </is>
      </c>
    </row>
    <row r="409" ht="15" customHeight="1">
      <c r="A409" t="inlineStr">
        <is>
          <t>Fushigi no Gensoukyou</t>
        </is>
      </c>
      <c r="B409" t="inlineStr">
        <is>
          <t>Sanae no Chou Tokkyuu: The Express Trial</t>
        </is>
      </c>
      <c r="C409" t="n">
        <v>2010</v>
      </c>
      <c r="D409" t="inlineStr">
        <is>
          <t>Yes</t>
        </is>
      </c>
    </row>
    <row r="410" ht="15" customHeight="1">
      <c r="A410" t="inlineStr">
        <is>
          <t>Fushigi no Gensoukyou 3</t>
        </is>
      </c>
      <c r="B410" t="inlineStr">
        <is>
          <t>Touhou Genso Wanderer: Foresight</t>
        </is>
      </c>
      <c r="C410" t="n">
        <v>2014</v>
      </c>
      <c r="D410" t="inlineStr">
        <is>
          <t>Yes</t>
        </is>
      </c>
    </row>
    <row r="411" ht="15" customHeight="1">
      <c r="A411" t="inlineStr">
        <is>
          <t>GearHead</t>
        </is>
      </c>
      <c r="B411" t="inlineStr">
        <is>
          <t>GearHead 2</t>
        </is>
      </c>
      <c r="C411" t="n">
        <v>2002</v>
      </c>
      <c r="D411" t="inlineStr">
        <is>
          <t>Yes</t>
        </is>
      </c>
    </row>
    <row r="412" ht="15" customHeight="1">
      <c r="A412" t="inlineStr">
        <is>
          <t>GearHead 2</t>
        </is>
      </c>
      <c r="B412" t="inlineStr">
        <is>
          <t>GearHead Caramel</t>
        </is>
      </c>
      <c r="C412" t="n">
        <v>2007</v>
      </c>
      <c r="D412" t="inlineStr">
        <is>
          <t>Yes</t>
        </is>
      </c>
    </row>
    <row r="413" ht="15" customHeight="1">
      <c r="A413" t="inlineStr">
        <is>
          <t>Genome Guardian</t>
        </is>
      </c>
      <c r="B413" t="inlineStr">
        <is>
          <t>Cell Command</t>
        </is>
      </c>
      <c r="C413" t="n">
        <v>2024</v>
      </c>
      <c r="D413" t="inlineStr">
        <is>
          <t>Yes</t>
        </is>
      </c>
      <c r="E413" s="1" t="n"/>
    </row>
    <row r="414" ht="15" customHeight="1">
      <c r="A414" t="inlineStr">
        <is>
          <t>Genome Guardian</t>
        </is>
      </c>
      <c r="B414" t="inlineStr">
        <is>
          <t>Genome Guardian 2</t>
        </is>
      </c>
      <c r="C414" t="n">
        <v>2024</v>
      </c>
      <c r="D414" t="inlineStr">
        <is>
          <t>Yes</t>
        </is>
      </c>
    </row>
    <row r="415" ht="15" customHeight="1">
      <c r="A415" t="inlineStr">
        <is>
          <t>Geometry Arena</t>
        </is>
      </c>
      <c r="B415" t="inlineStr">
        <is>
          <t>Geometry Arena 2</t>
        </is>
      </c>
      <c r="C415" t="n">
        <v>2020</v>
      </c>
      <c r="D415" t="inlineStr">
        <is>
          <t>Yes</t>
        </is>
      </c>
      <c r="E415" s="1" t="n"/>
    </row>
    <row r="416" ht="15" customHeight="1">
      <c r="A416" t="inlineStr">
        <is>
          <t>GoNNER</t>
        </is>
      </c>
      <c r="B416" t="inlineStr">
        <is>
          <t>GONNER2</t>
        </is>
      </c>
      <c r="C416" t="n">
        <v>2026</v>
      </c>
      <c r="D416" t="inlineStr">
        <is>
          <t>Yes</t>
        </is>
      </c>
      <c r="E416" s="1" t="n"/>
    </row>
    <row r="417" ht="15" customHeight="1">
      <c r="A417" t="inlineStr">
        <is>
          <t>Griftlands</t>
        </is>
      </c>
      <c r="B417" t="inlineStr">
        <is>
          <t>Zoeti</t>
        </is>
      </c>
      <c r="C417" t="n">
        <v>2020</v>
      </c>
      <c r="E417" s="1" t="inlineStr">
        <is>
          <t>https://store.steampowered.com/news/app/1434540/view/2939150821227809707</t>
        </is>
      </c>
    </row>
    <row r="418" ht="15" customHeight="1">
      <c r="A418" t="inlineStr">
        <is>
          <t>Guidus</t>
        </is>
      </c>
      <c r="B418" t="inlineStr">
        <is>
          <t>Guidus Zero</t>
        </is>
      </c>
      <c r="C418" t="n">
        <v>2021</v>
      </c>
      <c r="D418" t="inlineStr">
        <is>
          <t>Yes</t>
        </is>
      </c>
    </row>
    <row r="419" ht="15" customHeight="1">
      <c r="A419" t="inlineStr">
        <is>
          <t>Guild of Dungeoneering</t>
        </is>
      </c>
      <c r="B419" t="inlineStr">
        <is>
          <t>Deck of Ashes</t>
        </is>
      </c>
      <c r="C419" t="n">
        <v>2015</v>
      </c>
      <c r="E419" s="1" t="inlineStr">
        <is>
          <t>https://steamcommunity.com/app/1016730/discussions/0/1814296907961762044/</t>
        </is>
      </c>
    </row>
    <row r="420" ht="15" customHeight="1">
      <c r="A420" t="inlineStr">
        <is>
          <t>Gunfire Reborn</t>
        </is>
      </c>
      <c r="B420" t="inlineStr">
        <is>
          <t>Brew</t>
        </is>
      </c>
      <c r="C420" t="n">
        <v>2020</v>
      </c>
      <c r="E420" s="1" t="inlineStr">
        <is>
          <t>https://www.gamingfurever.com/news/editorials/brew-interview-with-ceo-of-snow-leaf-studios-isak-wahl#:~:text=JW%2C%20GF:%20What%20are%20some,us%20a%20lot%20of%20motivation.</t>
        </is>
      </c>
    </row>
    <row r="421" ht="15" customHeight="1">
      <c r="A421" t="inlineStr">
        <is>
          <t>Gunfire Reborn</t>
        </is>
      </c>
      <c r="B421" t="inlineStr">
        <is>
          <t>Darkblade Ascent</t>
        </is>
      </c>
      <c r="C421" t="n">
        <v>2020</v>
      </c>
      <c r="E421" s="1" t="inlineStr">
        <is>
          <t>https://store.epicgames.com/en-US/news/darkblade-ascent-brings-the-roguelike-to-the-soulslike</t>
        </is>
      </c>
    </row>
    <row r="422" ht="15" customHeight="1">
      <c r="A422" t="inlineStr">
        <is>
          <t>Gunfire Reborn</t>
        </is>
      </c>
      <c r="B422" t="inlineStr">
        <is>
          <t>Roboquest</t>
        </is>
      </c>
      <c r="C422" t="n">
        <v>2020</v>
      </c>
      <c r="E422" s="1" t="inlineStr">
        <is>
          <t>https://www.thecgview.com/p/roboquest-developer-interview</t>
        </is>
      </c>
    </row>
    <row r="423" ht="15" customHeight="1">
      <c r="A423" t="inlineStr">
        <is>
          <t>Gunfire Reborn</t>
        </is>
      </c>
      <c r="B423" t="inlineStr">
        <is>
          <t>Vellum</t>
        </is>
      </c>
      <c r="C423" t="n">
        <v>2020</v>
      </c>
      <c r="E423" s="1" t="inlineStr">
        <is>
          <t>https://rogueliker.com/vellum-inspirations/#:~:text=Vellum's%20Inspirations,chapter%20of%20the%20original%20series.</t>
        </is>
      </c>
    </row>
    <row r="424" ht="15" customHeight="1">
      <c r="A424" t="inlineStr">
        <is>
          <t>Gunlocked</t>
        </is>
      </c>
      <c r="B424" t="inlineStr">
        <is>
          <t>Gunlocked 2</t>
        </is>
      </c>
      <c r="C424" t="n">
        <v>2022</v>
      </c>
      <c r="D424" t="inlineStr">
        <is>
          <t>Yes</t>
        </is>
      </c>
      <c r="E424" s="1" t="n"/>
    </row>
    <row r="425" ht="15" customHeight="1">
      <c r="A425" t="inlineStr">
        <is>
          <t>Hack</t>
        </is>
      </c>
      <c r="B425" t="inlineStr">
        <is>
          <t>Ancient Domains of Mystery</t>
        </is>
      </c>
      <c r="C425" t="n">
        <v>1984</v>
      </c>
      <c r="E425" s="1" t="inlineStr">
        <is>
          <t>https://roguebasin.com/index.php/ADOM</t>
        </is>
      </c>
    </row>
    <row r="426" ht="15" customHeight="1">
      <c r="A426" t="inlineStr">
        <is>
          <t>Hack</t>
        </is>
      </c>
      <c r="B426" t="inlineStr">
        <is>
          <t>Dwarf Fortress</t>
        </is>
      </c>
      <c r="C426" t="n">
        <v>1984</v>
      </c>
      <c r="E426" s="1" t="inlineStr">
        <is>
          <t>https://roguebasin.com/index.php/Slaves_to_Armok_II:_Dwarf_Fortress</t>
        </is>
      </c>
    </row>
    <row r="427" ht="15" customHeight="1">
      <c r="A427" t="inlineStr">
        <is>
          <t>Hack</t>
        </is>
      </c>
      <c r="B427" t="inlineStr">
        <is>
          <t>GearHead</t>
        </is>
      </c>
      <c r="C427" t="n">
        <v>1984</v>
      </c>
      <c r="E427" s="11" t="inlineStr">
        <is>
          <t>https://roguebasin.com/index.php/GearHead</t>
        </is>
      </c>
    </row>
    <row r="428" ht="15" customHeight="1">
      <c r="A428" t="inlineStr">
        <is>
          <t>Hack</t>
        </is>
      </c>
      <c r="B428" t="inlineStr">
        <is>
          <t>GearHead Caramel</t>
        </is>
      </c>
      <c r="C428" t="n">
        <v>1984</v>
      </c>
      <c r="E428" s="11" t="inlineStr">
        <is>
          <t>https://roguebasin.com/index.php/GearHead_Caramel</t>
        </is>
      </c>
    </row>
    <row r="429" ht="15" customHeight="1">
      <c r="A429" t="inlineStr">
        <is>
          <t>Hack</t>
        </is>
      </c>
      <c r="B429" t="inlineStr">
        <is>
          <t>Lost Labyrinth</t>
        </is>
      </c>
      <c r="C429" t="n">
        <v>1984</v>
      </c>
      <c r="E429" s="1" t="inlineStr">
        <is>
          <t>https://www.roguebasin.com/index.php/Lost_Labyrinth</t>
        </is>
      </c>
    </row>
    <row r="430" ht="15" customHeight="1">
      <c r="A430" t="inlineStr">
        <is>
          <t>Hack</t>
        </is>
      </c>
      <c r="B430" t="inlineStr">
        <is>
          <t>NetHack</t>
        </is>
      </c>
      <c r="C430" t="n">
        <v>1984</v>
      </c>
      <c r="E430" s="1" t="inlineStr">
        <is>
          <t>https://roguebasin.com/index.php/NetHack</t>
        </is>
      </c>
    </row>
    <row r="431" ht="15" customHeight="1">
      <c r="A431" t="inlineStr">
        <is>
          <t>Hack'EM</t>
        </is>
      </c>
      <c r="B431" t="inlineStr">
        <is>
          <t>ZMAngband</t>
        </is>
      </c>
      <c r="C431" t="n">
        <v>2022</v>
      </c>
      <c r="E431" s="1" t="inlineStr">
        <is>
          <t>https://roguebasin.com/index.php/ZMAngband</t>
        </is>
      </c>
    </row>
    <row r="432" ht="15" customHeight="1">
      <c r="A432" t="inlineStr">
        <is>
          <t>Hades</t>
        </is>
      </c>
      <c r="B432" t="inlineStr">
        <is>
          <t>[Redacted]</t>
        </is>
      </c>
      <c r="C432" t="n">
        <v>2019</v>
      </c>
      <c r="E432" s="1" t="inlineStr">
        <is>
          <t>look at it</t>
        </is>
      </c>
    </row>
    <row r="433" ht="15" customHeight="1">
      <c r="A433" t="inlineStr">
        <is>
          <t>Hades</t>
        </is>
      </c>
      <c r="B433" t="inlineStr">
        <is>
          <t>An Amazing Wizard</t>
        </is>
      </c>
      <c r="C433" t="n">
        <v>2019</v>
      </c>
      <c r="E433" s="11" t="inlineStr">
        <is>
          <t>https://x.com/AnAmazingWizard/status/1489554155597352962?s=20</t>
        </is>
      </c>
    </row>
    <row r="434" ht="15" customHeight="1">
      <c r="A434" t="inlineStr">
        <is>
          <t>Hades</t>
        </is>
      </c>
      <c r="B434" t="inlineStr">
        <is>
          <t>Asgard's Fall: Viking Survivors</t>
        </is>
      </c>
      <c r="C434" t="n">
        <v>2019</v>
      </c>
      <c r="E434" s="1" t="inlineStr">
        <is>
          <t>https://www.reddit.com/r/survivorslikes/comments/1jvtb6m/we_released_asgards_fall_on_steam/</t>
        </is>
      </c>
    </row>
    <row r="435" ht="15" customHeight="1">
      <c r="A435" t="inlineStr">
        <is>
          <t>Hades</t>
        </is>
      </c>
      <c r="B435" t="inlineStr">
        <is>
          <t>Astral Ascent</t>
        </is>
      </c>
      <c r="C435" t="n">
        <v>2019</v>
      </c>
      <c r="E435" s="1" t="inlineStr">
        <is>
          <t>https://www.scousegamer88.com/2021/03/31/astral-ascent-hibernian-workshop-interview/</t>
        </is>
      </c>
    </row>
    <row r="436" ht="15" customHeight="1">
      <c r="A436" t="inlineStr">
        <is>
          <t>Hades</t>
        </is>
      </c>
      <c r="B436" t="inlineStr">
        <is>
          <t>Battle Shapers</t>
        </is>
      </c>
      <c r="C436" t="n">
        <v>2019</v>
      </c>
      <c r="E436" s="1" t="inlineStr">
        <is>
          <t>https://80.lv/articles/battle-shapers-how-blender-unity-helped-create-the-game-s-vibrant-world</t>
        </is>
      </c>
    </row>
    <row r="437" ht="15" customHeight="1">
      <c r="A437" t="inlineStr">
        <is>
          <t>Hades</t>
        </is>
      </c>
      <c r="B437" t="inlineStr">
        <is>
          <t>Black Jacket</t>
        </is>
      </c>
      <c r="C437" t="n">
        <v>2019</v>
      </c>
      <c r="E437" s="11" t="inlineStr">
        <is>
          <t>https://youtu.be/HyhYA69y62c</t>
        </is>
      </c>
    </row>
    <row r="438" ht="15" customHeight="1">
      <c r="A438" t="inlineStr">
        <is>
          <t>Hades</t>
        </is>
      </c>
      <c r="B438" t="inlineStr">
        <is>
          <t>BloodDome99</t>
        </is>
      </c>
      <c r="C438" t="n">
        <v>2019</v>
      </c>
      <c r="E438" s="1" t="inlineStr">
        <is>
          <t>check folder</t>
        </is>
      </c>
    </row>
    <row r="439" ht="15" customHeight="1">
      <c r="A439" t="inlineStr">
        <is>
          <t>Hades</t>
        </is>
      </c>
      <c r="B439" t="inlineStr">
        <is>
          <t>Brew</t>
        </is>
      </c>
      <c r="C439" t="n">
        <v>2019</v>
      </c>
      <c r="E439" s="1" t="inlineStr">
        <is>
          <t>https://www.gamingfurever.com/news/editorials/brew-interview-with-ceo-of-snow-leaf-studios-isak-wahl#:~:text=JW%2C%20GF:%20What%20are%20some,us%20a%20lot%20of%20motivation.</t>
        </is>
      </c>
    </row>
    <row r="440" ht="15" customHeight="1">
      <c r="A440" t="inlineStr">
        <is>
          <t>Hades</t>
        </is>
      </c>
      <c r="B440" t="inlineStr">
        <is>
          <t>Cinderia</t>
        </is>
      </c>
      <c r="C440" t="n">
        <v>2019</v>
      </c>
      <c r="E440" s="1" t="inlineStr">
        <is>
          <t>check folder</t>
        </is>
      </c>
    </row>
    <row r="441" ht="15" customHeight="1">
      <c r="A441" t="inlineStr">
        <is>
          <t>Hades</t>
        </is>
      </c>
      <c r="B441" t="inlineStr">
        <is>
          <t>Cult of the Lamb</t>
        </is>
      </c>
      <c r="C441" t="n">
        <v>2019</v>
      </c>
      <c r="E441" s="1" t="inlineStr">
        <is>
          <t>https://www.youtube.com/watch?v=VRhAER68ynU</t>
        </is>
      </c>
    </row>
    <row r="442" ht="15" customHeight="1">
      <c r="A442" t="inlineStr">
        <is>
          <t>Hades</t>
        </is>
      </c>
      <c r="B442" t="inlineStr">
        <is>
          <t>Darkblade Ascent</t>
        </is>
      </c>
      <c r="C442" t="n">
        <v>2019</v>
      </c>
      <c r="E442" s="1" t="inlineStr">
        <is>
          <t>https://store.epicgames.com/en-US/news/darkblade-ascent-brings-the-roguelike-to-the-soulslike</t>
        </is>
      </c>
    </row>
    <row r="443" ht="15" customHeight="1">
      <c r="A443" t="inlineStr">
        <is>
          <t>Hades</t>
        </is>
      </c>
      <c r="B443" t="inlineStr">
        <is>
          <t>Death Must Die</t>
        </is>
      </c>
      <c r="C443" t="n">
        <v>2019</v>
      </c>
      <c r="E443" s="1" t="inlineStr">
        <is>
          <t>https://filipmagnuswrites.wordpress.com/2023/12/07/in-the-oven-death-must-die-is-a-love-letter-to-your-favourite-games/#:~:text=Death%20Must%20Die%20opens%20up,appropriation%2C%20even%20a%20love%20letter.</t>
        </is>
      </c>
    </row>
    <row r="444" ht="15" customHeight="1">
      <c r="A444" t="inlineStr">
        <is>
          <t>Hades</t>
        </is>
      </c>
      <c r="B444" t="inlineStr">
        <is>
          <t>Demon Lord: Just a Block</t>
        </is>
      </c>
      <c r="C444" t="n">
        <v>2019</v>
      </c>
      <c r="E444" s="1" t="inlineStr">
        <is>
          <t>https://www.reddit.com/r/Games/comments/1syyjc8/ama_demon_lord_just_a_block_the_gridbased/</t>
        </is>
      </c>
    </row>
    <row r="445" ht="15" customHeight="1">
      <c r="A445" t="inlineStr">
        <is>
          <t>Hades</t>
        </is>
      </c>
      <c r="B445" t="inlineStr">
        <is>
          <t>Dreamscaper</t>
        </is>
      </c>
      <c r="C445" t="n">
        <v>2019</v>
      </c>
      <c r="E445" s="1" t="inlineStr">
        <is>
          <t>https://www.reddit.com/r/Games/comments/oymu1h/ama_we_are_afterburner_studios_the_3person_team/</t>
        </is>
      </c>
    </row>
    <row r="446" ht="15" customHeight="1">
      <c r="A446" t="inlineStr">
        <is>
          <t>Hades</t>
        </is>
      </c>
      <c r="B446" t="inlineStr">
        <is>
          <t>Dunjungle</t>
        </is>
      </c>
      <c r="C446" t="n">
        <v>2019</v>
      </c>
      <c r="E446" s="1" t="inlineStr">
        <is>
          <t>https://www.reddit.com/r/IndieGaming/comments/1pji5gu/dunjungle_the_monkey_action_roguelite_is_out_on/#:~:text=A%20big%20of%20Rogue%20Legacy%2C%20Spelunky%2C%20Hades.,kinda%20got%20inspiration%20from%20all%20of%20them.</t>
        </is>
      </c>
    </row>
    <row r="447" ht="15" customHeight="1">
      <c r="A447" t="inlineStr">
        <is>
          <t>Hades</t>
        </is>
      </c>
      <c r="B447" t="inlineStr">
        <is>
          <t>Ember Knights</t>
        </is>
      </c>
      <c r="C447" t="n">
        <v>2019</v>
      </c>
      <c r="E447" s="1" t="inlineStr">
        <is>
          <t>check folder</t>
        </is>
      </c>
    </row>
    <row r="448" ht="15" customHeight="1">
      <c r="A448" t="inlineStr">
        <is>
          <t>Hades</t>
        </is>
      </c>
      <c r="B448" t="inlineStr">
        <is>
          <t>Forward: Escape the Fold</t>
        </is>
      </c>
      <c r="C448" t="n">
        <v>2019</v>
      </c>
      <c r="E448" s="1" t="inlineStr">
        <is>
          <t>https://twotinydice.itch.io/forward/devlog/355393/development-update-2-new-game-mode-cool-features</t>
        </is>
      </c>
    </row>
    <row r="449" ht="15" customHeight="1">
      <c r="A449" t="inlineStr">
        <is>
          <t>Hades</t>
        </is>
      </c>
      <c r="B449" t="inlineStr">
        <is>
          <t>Garden of Witches</t>
        </is>
      </c>
      <c r="C449" t="n">
        <v>2019</v>
      </c>
      <c r="E449" s="1" t="inlineStr">
        <is>
          <t>https://www.nettosgameroom.com/2025/09/interview-with-team-tapas-creators-of.html</t>
        </is>
      </c>
    </row>
    <row r="450" ht="15" customHeight="1">
      <c r="A450" t="inlineStr">
        <is>
          <t>Hades</t>
        </is>
      </c>
      <c r="B450" t="inlineStr">
        <is>
          <t>Going Under</t>
        </is>
      </c>
      <c r="C450" t="n">
        <v>2019</v>
      </c>
      <c r="E450" s="1" t="inlineStr">
        <is>
          <t>check folder</t>
        </is>
      </c>
    </row>
    <row r="451" ht="15" customHeight="1">
      <c r="A451" t="inlineStr">
        <is>
          <t>Hades</t>
        </is>
      </c>
      <c r="B451" t="inlineStr">
        <is>
          <t>Hades II</t>
        </is>
      </c>
      <c r="C451" t="n">
        <v>2019</v>
      </c>
      <c r="D451" t="inlineStr">
        <is>
          <t>Yes</t>
        </is>
      </c>
      <c r="E451" s="1" t="n"/>
    </row>
    <row r="452" ht="15" customHeight="1">
      <c r="A452" t="inlineStr">
        <is>
          <t>Hades</t>
        </is>
      </c>
      <c r="B452" t="inlineStr">
        <is>
          <t>Have a Nice Death</t>
        </is>
      </c>
      <c r="C452" t="n">
        <v>2019</v>
      </c>
      <c r="E452" s="1" t="inlineStr">
        <is>
          <t>https://gamerant.com/have-a-nice-death-tim-burton-one-punch-man-anime-game-inspirations/#:~:text=Have%20a%20Nice%20Death%20also,movies%2C%20shorts%2C%20and%20ads.</t>
        </is>
      </c>
    </row>
    <row r="453" ht="15" customHeight="1">
      <c r="A453" t="inlineStr">
        <is>
          <t>Hades</t>
        </is>
      </c>
      <c r="B453" t="inlineStr">
        <is>
          <t>Hell Clock</t>
        </is>
      </c>
      <c r="C453" t="n">
        <v>2019</v>
      </c>
      <c r="E453" s="1" t="inlineStr">
        <is>
          <t>https://www.youtube.com/watch?v=ZqMZqQ-wrko</t>
        </is>
      </c>
    </row>
    <row r="454" ht="15" customHeight="1">
      <c r="A454" t="inlineStr">
        <is>
          <t>Hades</t>
        </is>
      </c>
      <c r="B454" t="inlineStr">
        <is>
          <t>Hell Maiden</t>
        </is>
      </c>
      <c r="C454" t="n">
        <v>2019</v>
      </c>
      <c r="E454" s="11" t="inlineStr">
        <is>
          <t>https://store.steampowered.com/news/app/3372060/view/600783816474231378?l=english</t>
        </is>
      </c>
    </row>
    <row r="455" ht="15" customHeight="1">
      <c r="A455" t="inlineStr">
        <is>
          <t>Hades</t>
        </is>
      </c>
      <c r="B455" t="inlineStr">
        <is>
          <t>Helskate</t>
        </is>
      </c>
      <c r="C455" t="n">
        <v>2019</v>
      </c>
      <c r="E455" s="1" t="inlineStr">
        <is>
          <t>https://youtu.be/tGdbRTxu4Ew</t>
        </is>
      </c>
    </row>
    <row r="456" ht="15" customHeight="1">
      <c r="A456" t="inlineStr">
        <is>
          <t>Hades</t>
        </is>
      </c>
      <c r="B456" t="inlineStr">
        <is>
          <t>Kill The Music</t>
        </is>
      </c>
      <c r="C456" t="n">
        <v>2019</v>
      </c>
      <c r="E456" s="1" t="inlineStr">
        <is>
          <t>https://x.com/nikkonikkoLTD/status/1925953983178269138?s=20</t>
        </is>
      </c>
    </row>
    <row r="457" ht="15" customHeight="1">
      <c r="A457" t="inlineStr">
        <is>
          <t>Hades</t>
        </is>
      </c>
      <c r="B457" t="inlineStr">
        <is>
          <t>Lost in Random: The Eternal Die</t>
        </is>
      </c>
      <c r="C457" t="n">
        <v>2019</v>
      </c>
      <c r="E457" s="1" t="inlineStr">
        <is>
          <t>https://www.polygon.com/gaming/610928/lost-random-eternal-die-roguelike-developer-insights/</t>
        </is>
      </c>
    </row>
    <row r="458" ht="15" customHeight="1">
      <c r="A458" t="inlineStr">
        <is>
          <t>Hades</t>
        </is>
      </c>
      <c r="B458" t="inlineStr">
        <is>
          <t>Masks of the Void: Origins</t>
        </is>
      </c>
      <c r="C458" t="n">
        <v>2019</v>
      </c>
      <c r="E458" s="11" t="inlineStr">
        <is>
          <t>https://x.com/MasksOfTheVoid/status/2084174185505448157?s=20</t>
        </is>
      </c>
    </row>
    <row r="459" ht="15" customHeight="1">
      <c r="A459" t="inlineStr">
        <is>
          <t>Hades</t>
        </is>
      </c>
      <c r="B459" t="inlineStr">
        <is>
          <t>Netherworld Covenant</t>
        </is>
      </c>
      <c r="C459" t="n">
        <v>2019</v>
      </c>
      <c r="E459" s="11" t="inlineStr">
        <is>
          <t>https://steamcommunity.com/app/2735580/discussions/0/595152144826392997/</t>
        </is>
      </c>
    </row>
    <row r="460" ht="15" customHeight="1">
      <c r="A460" t="inlineStr">
        <is>
          <t>Hades</t>
        </is>
      </c>
      <c r="B460" t="inlineStr">
        <is>
          <t>Nigate Tale</t>
        </is>
      </c>
      <c r="C460" t="n">
        <v>2019</v>
      </c>
      <c r="E460" t="inlineStr">
        <is>
          <t>look at it</t>
        </is>
      </c>
    </row>
    <row r="461" ht="15" customHeight="1">
      <c r="A461" t="inlineStr">
        <is>
          <t>Hades</t>
        </is>
      </c>
      <c r="B461" t="inlineStr">
        <is>
          <t>Nunholy</t>
        </is>
      </c>
      <c r="C461" t="n">
        <v>2019</v>
      </c>
      <c r="E461" s="1" t="inlineStr">
        <is>
          <t>look at it</t>
        </is>
      </c>
    </row>
    <row r="462" ht="15" customHeight="1">
      <c r="A462" t="inlineStr">
        <is>
          <t>Hades</t>
        </is>
      </c>
      <c r="B462" t="inlineStr">
        <is>
          <t>Putrid Shot Ultra</t>
        </is>
      </c>
      <c r="C462" t="n">
        <v>2019</v>
      </c>
      <c r="E462" s="1" t="inlineStr">
        <is>
          <t>https://www.reddit.com/r/Games/comments/wifqwk/putrid_shot_ultra_abhi_sundu_chaotic_roguelike/</t>
        </is>
      </c>
    </row>
    <row r="463" ht="15" customHeight="1">
      <c r="A463" t="inlineStr">
        <is>
          <t>Hades</t>
        </is>
      </c>
      <c r="B463" t="inlineStr">
        <is>
          <t>Reality Break</t>
        </is>
      </c>
      <c r="C463" t="n">
        <v>2019</v>
      </c>
      <c r="E463" s="1" t="inlineStr">
        <is>
          <t>check folder</t>
        </is>
      </c>
    </row>
    <row r="464" ht="15" customHeight="1">
      <c r="A464" t="inlineStr">
        <is>
          <t>Hades</t>
        </is>
      </c>
      <c r="B464" t="inlineStr">
        <is>
          <t>Realm of Ink</t>
        </is>
      </c>
      <c r="C464" t="n">
        <v>2019</v>
      </c>
      <c r="E464" s="1" t="inlineStr">
        <is>
          <t>https://rogueliker.com/realm-of-ink-interview/</t>
        </is>
      </c>
    </row>
    <row r="465" ht="15" customHeight="1">
      <c r="A465" t="inlineStr">
        <is>
          <t>Hades</t>
        </is>
      </c>
      <c r="B465" t="inlineStr">
        <is>
          <t>Serpent's Gaze</t>
        </is>
      </c>
      <c r="C465" t="n">
        <v>2019</v>
      </c>
      <c r="E465" s="13" t="inlineStr">
        <is>
          <t>check folder</t>
        </is>
      </c>
    </row>
    <row r="466" ht="15" customHeight="1">
      <c r="A466" t="inlineStr">
        <is>
          <t>Hades</t>
        </is>
      </c>
      <c r="B466" t="inlineStr">
        <is>
          <t>Ship of Fools</t>
        </is>
      </c>
      <c r="C466" t="n">
        <v>2019</v>
      </c>
      <c r="E466" s="1" t="inlineStr">
        <is>
          <t>check folder</t>
        </is>
      </c>
    </row>
    <row r="467" ht="15" customHeight="1">
      <c r="A467" t="inlineStr">
        <is>
          <t>Hades</t>
        </is>
      </c>
      <c r="B467" t="inlineStr">
        <is>
          <t>Soulstone Survivors</t>
        </is>
      </c>
      <c r="C467" t="n">
        <v>2019</v>
      </c>
      <c r="E467" s="1" t="inlineStr">
        <is>
          <t>https://www.reddit.com/r/roguelites/comments/xtr9td/tomorrow_we_have_a_huge_announcement_for/</t>
        </is>
      </c>
    </row>
    <row r="468" ht="15" customHeight="1">
      <c r="A468" t="inlineStr">
        <is>
          <t>Hades</t>
        </is>
      </c>
      <c r="B468" t="inlineStr">
        <is>
          <t>Spiritfall</t>
        </is>
      </c>
      <c r="C468" t="n">
        <v>2019</v>
      </c>
      <c r="E468" s="1" t="inlineStr">
        <is>
          <t>check folder</t>
        </is>
      </c>
    </row>
    <row r="469" ht="15" customHeight="1">
      <c r="A469" t="inlineStr">
        <is>
          <t>Hades</t>
        </is>
      </c>
      <c r="B469" t="inlineStr">
        <is>
          <t>Starlight Revolver</t>
        </is>
      </c>
      <c r="C469" t="n">
        <v>2019</v>
      </c>
      <c r="E469" s="1" t="inlineStr">
        <is>
          <t>https://www.gamescom.global/en/product/starlight-revolver-pahdo</t>
        </is>
      </c>
    </row>
    <row r="470" ht="15" customHeight="1">
      <c r="A470" t="inlineStr">
        <is>
          <t>Hades</t>
        </is>
      </c>
      <c r="B470" t="inlineStr">
        <is>
          <t>Super Fantasy Kingdom</t>
        </is>
      </c>
      <c r="C470" t="n">
        <v>2019</v>
      </c>
      <c r="E470" s="1" t="inlineStr">
        <is>
          <t>https://store.epicgames.com/en-US/news/super-fantasy-kingdom-city-builder-next-vampire-survivors-obsession</t>
        </is>
      </c>
    </row>
    <row r="471" ht="15" customHeight="1">
      <c r="A471" t="inlineStr">
        <is>
          <t>Hades</t>
        </is>
      </c>
      <c r="B471" t="inlineStr">
        <is>
          <t>Sworn</t>
        </is>
      </c>
      <c r="C471" t="n">
        <v>2019</v>
      </c>
      <c r="E471" s="1" t="inlineStr">
        <is>
          <t>https://steamcommunity.com/app/1763250/discussions/0/4289188745218594758/</t>
        </is>
      </c>
    </row>
    <row r="472" ht="15" customHeight="1">
      <c r="A472" t="inlineStr">
        <is>
          <t>Hades</t>
        </is>
      </c>
      <c r="B472" t="inlineStr">
        <is>
          <t>Tape to Tape</t>
        </is>
      </c>
      <c r="C472" t="n">
        <v>2019</v>
      </c>
      <c r="E472" s="1" t="inlineStr">
        <is>
          <t>https://www.reddit.com/r/Games/comments/w6vkdf/tape_to_tape_a_roguelite_hockey_game/#:~:text=Tape%20to%20Tape%20is%20a,the%20Spire%20and%20NHL%2094!</t>
        </is>
      </c>
    </row>
    <row r="473" ht="15" customHeight="1">
      <c r="A473" t="inlineStr">
        <is>
          <t>Hades</t>
        </is>
      </c>
      <c r="B473" t="inlineStr">
        <is>
          <t>Teenage Mutant Ninja Turtles: Splintered Fate</t>
        </is>
      </c>
      <c r="C473" t="n">
        <v>2019</v>
      </c>
      <c r="E473" s="1" t="inlineStr">
        <is>
          <t>https://www.thegamer.com/teenage-mutant-ninja-turtles-tmnt-splintered-fate-leads-talk-idw-inspirations-2025-dlc-and-the-comparisons-to-hades/</t>
        </is>
      </c>
    </row>
    <row r="474" ht="15" customHeight="1">
      <c r="A474" t="inlineStr">
        <is>
          <t>Hades</t>
        </is>
      </c>
      <c r="B474" t="inlineStr">
        <is>
          <t>The Unliving</t>
        </is>
      </c>
      <c r="C474" t="n">
        <v>2019</v>
      </c>
      <c r="E474" s="1" t="inlineStr">
        <is>
          <t>devs mentioned gungeon and hades a few times as comparisons, it's clear they've played multiple roguelikes also check folder</t>
        </is>
      </c>
    </row>
    <row r="475" ht="15" customHeight="1">
      <c r="A475" t="inlineStr">
        <is>
          <t>Hades</t>
        </is>
      </c>
      <c r="B475" t="inlineStr">
        <is>
          <t>Tiny Rogues</t>
        </is>
      </c>
      <c r="C475" t="n">
        <v>2019</v>
      </c>
      <c r="E475" s="1" t="inlineStr">
        <is>
          <t>https://creators.spotify.com/pod/show/openindie/episodes/29---Pixlpunk---Tiny-Rogues---RubyDev---Austria-e2ainqm/a-aafpjfq</t>
        </is>
      </c>
    </row>
    <row r="476" ht="15" customHeight="1">
      <c r="A476" t="inlineStr">
        <is>
          <t>Hades</t>
        </is>
      </c>
      <c r="B476" t="inlineStr">
        <is>
          <t>Vellum</t>
        </is>
      </c>
      <c r="C476" t="n">
        <v>2019</v>
      </c>
      <c r="E476" s="1" t="inlineStr">
        <is>
          <t>https://rogueliker.com/vellum-inspirations/#:~:text=Vellum's%20Inspirations,chapter%20of%20the%20original%20series.</t>
        </is>
      </c>
    </row>
    <row r="477" ht="15" customHeight="1">
      <c r="A477" t="inlineStr">
        <is>
          <t>Hades</t>
        </is>
      </c>
      <c r="B477" t="inlineStr">
        <is>
          <t>Yasha: Legends of the Demon Blade</t>
        </is>
      </c>
      <c r="C477" t="n">
        <v>2019</v>
      </c>
      <c r="E477" s="1" t="inlineStr">
        <is>
          <t>look at it</t>
        </is>
      </c>
    </row>
    <row r="478" ht="15" customHeight="1">
      <c r="A478" t="inlineStr">
        <is>
          <t>Hades</t>
        </is>
      </c>
      <c r="B478" t="inlineStr">
        <is>
          <t>Zet Zillions</t>
        </is>
      </c>
      <c r="C478" t="n">
        <v>2019</v>
      </c>
      <c r="E478" s="1" t="inlineStr">
        <is>
          <t>check folder</t>
        </is>
      </c>
    </row>
    <row r="479" ht="15" customHeight="1">
      <c r="A479" t="inlineStr">
        <is>
          <t>Halls of Torment</t>
        </is>
      </c>
      <c r="B479" t="inlineStr">
        <is>
          <t>Be My Horde</t>
        </is>
      </c>
      <c r="C479" t="n">
        <v>2023</v>
      </c>
      <c r="E479" s="11" t="inlineStr">
        <is>
          <t>https://youtu.be/VGMszILvj78</t>
        </is>
      </c>
    </row>
    <row r="480" ht="15" customHeight="1">
      <c r="A480" t="inlineStr">
        <is>
          <t>Halls of Torment</t>
        </is>
      </c>
      <c r="B480" t="inlineStr">
        <is>
          <t>Hell Maiden</t>
        </is>
      </c>
      <c r="C480" t="n">
        <v>2023</v>
      </c>
      <c r="E480" s="11" t="inlineStr">
        <is>
          <t>https://www.indie-games.eu/hell-maiden-touhou-meets-vampire-survivors-interview/</t>
        </is>
      </c>
    </row>
    <row r="481" ht="15" customHeight="1">
      <c r="A481" t="inlineStr">
        <is>
          <t>Halls of Torment</t>
        </is>
      </c>
      <c r="B481" t="inlineStr">
        <is>
          <t>Jotunnslayer: Hordes of Hel</t>
        </is>
      </c>
      <c r="C481" t="n">
        <v>2023</v>
      </c>
      <c r="E481" s="1" t="inlineStr">
        <is>
          <t>https://www.reddit.com/r/Games/comments/1c3l5e8/jotunnslayer_hordes_of_hel_games_farm_roguelike/</t>
        </is>
      </c>
    </row>
    <row r="482" ht="15" customHeight="1">
      <c r="A482" t="inlineStr">
        <is>
          <t>Hand of Fate</t>
        </is>
      </c>
      <c r="B482" t="inlineStr">
        <is>
          <t>Hand of Fate 2</t>
        </is>
      </c>
      <c r="C482" t="n">
        <v>2014</v>
      </c>
      <c r="E482" s="1" t="n"/>
    </row>
    <row r="483" ht="15" customHeight="1">
      <c r="A483" t="inlineStr">
        <is>
          <t>Hand of Fate</t>
        </is>
      </c>
      <c r="B483" t="inlineStr">
        <is>
          <t>Hand of Fate: Hordes</t>
        </is>
      </c>
      <c r="C483" t="n">
        <v>2014</v>
      </c>
      <c r="D483" t="inlineStr">
        <is>
          <t>Yes</t>
        </is>
      </c>
    </row>
    <row r="484" ht="15" customHeight="1">
      <c r="A484" t="inlineStr">
        <is>
          <t>Hand of Fate</t>
        </is>
      </c>
      <c r="B484" t="inlineStr">
        <is>
          <t>Inkshade</t>
        </is>
      </c>
      <c r="C484" t="n">
        <v>2014</v>
      </c>
      <c r="E484" t="inlineStr">
        <is>
          <t>check folder</t>
        </is>
      </c>
    </row>
    <row r="485" ht="15" customHeight="1">
      <c r="A485" t="inlineStr">
        <is>
          <t>Heroes of Hammerwatch</t>
        </is>
      </c>
      <c r="B485" t="inlineStr">
        <is>
          <t>Escape The Mad Empire</t>
        </is>
      </c>
      <c r="C485" t="n">
        <v>2018</v>
      </c>
      <c r="E485" s="1" t="inlineStr">
        <is>
          <t>https://www.reddit.com/r/roguelites/comments/r8cay9/weve_been_developing_the_roguelite_escape_the_mad/</t>
        </is>
      </c>
    </row>
    <row r="486" ht="15" customHeight="1">
      <c r="A486" t="inlineStr">
        <is>
          <t>Heroes of Hammerwatch</t>
        </is>
      </c>
      <c r="B486" t="inlineStr">
        <is>
          <t>Heroes of Hammerwatch II</t>
        </is>
      </c>
      <c r="C486" t="n">
        <v>2018</v>
      </c>
      <c r="D486" t="inlineStr">
        <is>
          <t>Yes</t>
        </is>
      </c>
      <c r="E486" s="1" t="n"/>
    </row>
    <row r="487" ht="15" customHeight="1">
      <c r="A487" t="inlineStr">
        <is>
          <t>Heroes of Hammerwatch</t>
        </is>
      </c>
      <c r="B487" t="inlineStr">
        <is>
          <t>Tower Factory</t>
        </is>
      </c>
      <c r="C487" t="n">
        <v>2018</v>
      </c>
      <c r="E487" s="1" t="inlineStr">
        <is>
          <t>check folder</t>
        </is>
      </c>
    </row>
    <row r="488" ht="15" customHeight="1">
      <c r="A488" t="inlineStr">
        <is>
          <t>Hoplite</t>
        </is>
      </c>
      <c r="B488" t="inlineStr">
        <is>
          <t>HyperRogue</t>
        </is>
      </c>
      <c r="C488" t="n">
        <v>2013</v>
      </c>
      <c r="E488" s="11" t="inlineStr">
        <is>
          <t>https://zenorogue.blogspot.com/search/label/sources</t>
        </is>
      </c>
    </row>
    <row r="489" ht="15" customHeight="1">
      <c r="A489" t="inlineStr">
        <is>
          <t>Hoplite</t>
        </is>
      </c>
      <c r="B489" t="inlineStr">
        <is>
          <t>Into the Breach</t>
        </is>
      </c>
      <c r="C489" t="n">
        <v>2013</v>
      </c>
      <c r="E489" s="1" t="inlineStr">
        <is>
          <t>https://youtu.be/s_I07Iq_2XM?si=AWX0JtDGVzx0vl36</t>
        </is>
      </c>
    </row>
    <row r="490" ht="15" customHeight="1">
      <c r="A490" t="inlineStr">
        <is>
          <t>Incursion</t>
        </is>
      </c>
      <c r="B490" t="inlineStr">
        <is>
          <t>The Ground Gives Way</t>
        </is>
      </c>
      <c r="C490" t="n">
        <v>2007</v>
      </c>
      <c r="E490" s="1" t="inlineStr">
        <is>
          <t>https://roguebasin.com/index.php/The_Ground_Gives_Way</t>
        </is>
      </c>
    </row>
    <row r="491" ht="15" customHeight="1">
      <c r="A491" t="inlineStr">
        <is>
          <t>Inscryption</t>
        </is>
      </c>
      <c r="B491" t="inlineStr">
        <is>
          <t>Backpack Hero</t>
        </is>
      </c>
      <c r="C491" t="n">
        <v>2021</v>
      </c>
      <c r="E491" s="1" t="inlineStr">
        <is>
          <t>check folder</t>
        </is>
      </c>
    </row>
    <row r="492" ht="15" customHeight="1">
      <c r="A492" t="inlineStr">
        <is>
          <t>Inscryption</t>
        </is>
      </c>
      <c r="B492" t="inlineStr">
        <is>
          <t>Black Jacket</t>
        </is>
      </c>
      <c r="C492" t="n">
        <v>2021</v>
      </c>
      <c r="E492" s="11" t="inlineStr">
        <is>
          <t>https://youtu.be/HyhYA69y62c</t>
        </is>
      </c>
    </row>
    <row r="493" ht="15" customHeight="1">
      <c r="A493" t="inlineStr">
        <is>
          <t>Inscryption</t>
        </is>
      </c>
      <c r="B493" t="inlineStr">
        <is>
          <t>Cobalt Core</t>
        </is>
      </c>
      <c r="C493" t="n">
        <v>2021</v>
      </c>
      <c r="E493" s="1" t="inlineStr">
        <is>
          <t>https://www.rockpapershotgun.com/the-making-of-cobalt-core-how-tabletop-simulator-and-inscryption-were-the-secret-catalysts-behind-this-clever-deckbuilding-roguelike</t>
        </is>
      </c>
    </row>
    <row r="494" ht="15" customHeight="1">
      <c r="A494" t="inlineStr">
        <is>
          <t>Inscryption</t>
        </is>
      </c>
      <c r="B494" t="inlineStr">
        <is>
          <t>Cursed Words</t>
        </is>
      </c>
      <c r="C494" t="n">
        <v>2021</v>
      </c>
      <c r="E494" s="1" t="inlineStr">
        <is>
          <t>https://www.youtube.com/watch?v=7SjRhK9wdEE</t>
        </is>
      </c>
    </row>
    <row r="495" ht="15" customHeight="1">
      <c r="A495" t="inlineStr">
        <is>
          <t>Inscryption</t>
        </is>
      </c>
      <c r="B495" t="inlineStr">
        <is>
          <t>Dicealot</t>
        </is>
      </c>
      <c r="C495" t="n">
        <v>2021</v>
      </c>
      <c r="E495" s="1" t="inlineStr">
        <is>
          <t>https://store.steampowered.com/app/3035330/Dicealot/</t>
        </is>
      </c>
    </row>
    <row r="496" ht="15" customHeight="1">
      <c r="A496" t="inlineStr">
        <is>
          <t>Inscryption</t>
        </is>
      </c>
      <c r="B496" t="inlineStr">
        <is>
          <t>From The Top</t>
        </is>
      </c>
      <c r="C496" t="n">
        <v>2021</v>
      </c>
      <c r="E496" s="1" t="inlineStr">
        <is>
          <t>https://steamcommunity.com/app/3585160/discussions/0/663844088186935277/#c695373095208229623</t>
        </is>
      </c>
    </row>
    <row r="497" ht="15" customHeight="1">
      <c r="A497" t="inlineStr">
        <is>
          <t>Inscryption</t>
        </is>
      </c>
      <c r="B497" t="inlineStr">
        <is>
          <t>Inkshade</t>
        </is>
      </c>
      <c r="C497" t="n">
        <v>2021</v>
      </c>
      <c r="E497" t="inlineStr">
        <is>
          <t>check folder</t>
        </is>
      </c>
    </row>
    <row r="498" ht="15" customHeight="1">
      <c r="A498" t="inlineStr">
        <is>
          <t>Inscryption</t>
        </is>
      </c>
      <c r="B498" t="inlineStr">
        <is>
          <t>Master of Piece</t>
        </is>
      </c>
      <c r="C498" t="n">
        <v>2021</v>
      </c>
      <c r="E498" s="11" t="inlineStr">
        <is>
          <t>https://x.com/imgame_official/status/1925464077654249724</t>
        </is>
      </c>
    </row>
    <row r="499" ht="15" customHeight="1">
      <c r="A499" t="inlineStr">
        <is>
          <t>Inscryption</t>
        </is>
      </c>
      <c r="B499" t="inlineStr">
        <is>
          <t>My Card Is Better Than Your Card!</t>
        </is>
      </c>
      <c r="C499" t="n">
        <v>2021</v>
      </c>
      <c r="E499" s="1" t="inlineStr">
        <is>
          <t>check folder</t>
        </is>
      </c>
    </row>
    <row r="500" ht="15" customHeight="1">
      <c r="A500" t="inlineStr">
        <is>
          <t>Inscryption</t>
        </is>
      </c>
      <c r="B500" t="inlineStr">
        <is>
          <t>Pocket Crystal League</t>
        </is>
      </c>
      <c r="C500" t="n">
        <v>2021</v>
      </c>
      <c r="E500" s="1" t="inlineStr">
        <is>
          <t>https://moodytail.itch.io/pocket-crystal-league</t>
        </is>
      </c>
    </row>
    <row r="501" ht="15" customHeight="1">
      <c r="A501" t="inlineStr">
        <is>
          <t>Inscryption</t>
        </is>
      </c>
      <c r="B501" t="inlineStr">
        <is>
          <t>PokeVoid</t>
        </is>
      </c>
      <c r="C501" t="n">
        <v>2021</v>
      </c>
      <c r="E501" s="1" t="inlineStr">
        <is>
          <t>https://pokevoid.com/</t>
        </is>
      </c>
    </row>
    <row r="502" ht="15" customHeight="1">
      <c r="A502" t="inlineStr">
        <is>
          <t>Inscryption</t>
        </is>
      </c>
      <c r="B502" t="inlineStr">
        <is>
          <t>The Royal Writ</t>
        </is>
      </c>
      <c r="C502" t="n">
        <v>2021</v>
      </c>
      <c r="E502" s="1" t="inlineStr">
        <is>
          <t>https://store.steampowered.com/app/3333700/The_Royal_Writ/</t>
        </is>
      </c>
    </row>
    <row r="503" ht="15" customHeight="1">
      <c r="A503" t="inlineStr">
        <is>
          <t>Into the Breach</t>
        </is>
      </c>
      <c r="B503" t="inlineStr">
        <is>
          <t>Alina of the Arena</t>
        </is>
      </c>
      <c r="C503" t="n">
        <v>2018</v>
      </c>
      <c r="E503" s="1" t="inlineStr">
        <is>
          <t>https://store.steampowered.com/app/1668690/Alina_of_the_Arena/#:~:text=About%20This%20Game-,ABOUT,and%20'Into%20the%20Breach'.</t>
        </is>
      </c>
    </row>
    <row r="504" ht="15" customHeight="1">
      <c r="A504" t="inlineStr">
        <is>
          <t>Into the Breach</t>
        </is>
      </c>
      <c r="B504" t="inlineStr">
        <is>
          <t>Arc Seed</t>
        </is>
      </c>
      <c r="C504" t="n">
        <v>2018</v>
      </c>
      <c r="E504" t="inlineStr">
        <is>
          <t>look at it</t>
        </is>
      </c>
    </row>
    <row r="505" ht="15" customHeight="1">
      <c r="A505" t="inlineStr">
        <is>
          <t>Into the Breach</t>
        </is>
      </c>
      <c r="B505" t="inlineStr">
        <is>
          <t>Backpack Hero</t>
        </is>
      </c>
      <c r="C505" t="n">
        <v>2018</v>
      </c>
      <c r="E505" s="1" t="inlineStr">
        <is>
          <t>https://en.wikipedia.org/wiki/Backpack_Hero#:~:text=Main%20developer%20Jasper%20Cole%20stated,inventory%20as%20an%20additional%20inspiration.</t>
        </is>
      </c>
    </row>
    <row r="506" ht="15" customHeight="1">
      <c r="A506" t="inlineStr">
        <is>
          <t>Into the Breach</t>
        </is>
      </c>
      <c r="B506" t="inlineStr">
        <is>
          <t>Cell Command</t>
        </is>
      </c>
      <c r="C506" t="n">
        <v>2018</v>
      </c>
      <c r="E506" t="inlineStr">
        <is>
          <t>check folder</t>
        </is>
      </c>
    </row>
    <row r="507" ht="15" customHeight="1">
      <c r="A507" t="inlineStr">
        <is>
          <t>Into the Breach</t>
        </is>
      </c>
      <c r="B507" t="inlineStr">
        <is>
          <t>Cropdeck</t>
        </is>
      </c>
      <c r="C507" t="n">
        <v>2018</v>
      </c>
      <c r="E507" s="1" t="inlineStr">
        <is>
          <t>check folder</t>
        </is>
      </c>
    </row>
    <row r="508" ht="15" customHeight="1">
      <c r="A508" t="inlineStr">
        <is>
          <t>Into the Breach</t>
        </is>
      </c>
      <c r="B508" t="inlineStr">
        <is>
          <t>Dead Weight</t>
        </is>
      </c>
      <c r="C508" t="n">
        <v>2018</v>
      </c>
      <c r="E508" s="11" t="inlineStr">
        <is>
          <t>https://x.com/Klukva_Games/status/1750485532868522090</t>
        </is>
      </c>
    </row>
    <row r="509" ht="15" customHeight="1">
      <c r="A509" t="inlineStr">
        <is>
          <t>Into the Breach</t>
        </is>
      </c>
      <c r="B509" t="inlineStr">
        <is>
          <t>Death Roads: Tournament</t>
        </is>
      </c>
      <c r="C509" t="n">
        <v>2018</v>
      </c>
      <c r="E509" s="1" t="inlineStr">
        <is>
          <t>check folder</t>
        </is>
      </c>
    </row>
    <row r="510" ht="15" customHeight="1">
      <c r="A510" t="inlineStr">
        <is>
          <t>Into the Breach</t>
        </is>
      </c>
      <c r="B510" t="inlineStr">
        <is>
          <t>Dicefolk</t>
        </is>
      </c>
      <c r="C510" t="n">
        <v>2018</v>
      </c>
      <c r="E510" s="1" t="inlineStr">
        <is>
          <t>https://www.nintendolife.com/features/only-pokemon-can-make-pokemon-dicefolk-devs-on-finding-a-voice-in-a-crowded-genre</t>
        </is>
      </c>
    </row>
    <row r="511" ht="15" customHeight="1">
      <c r="A511" t="inlineStr">
        <is>
          <t>Into the Breach</t>
        </is>
      </c>
      <c r="B511" t="inlineStr">
        <is>
          <t>Dungeon Drafters</t>
        </is>
      </c>
      <c r="C511" t="n">
        <v>2018</v>
      </c>
      <c r="E511" t="inlineStr">
        <is>
          <t>check folder</t>
        </is>
      </c>
    </row>
    <row r="512" ht="15" customHeight="1">
      <c r="A512" t="inlineStr">
        <is>
          <t>Into the Breach</t>
        </is>
      </c>
      <c r="B512" t="inlineStr">
        <is>
          <t>Fights in Tight Spaces</t>
        </is>
      </c>
      <c r="C512" t="n">
        <v>2018</v>
      </c>
      <c r="E512" s="1" t="inlineStr">
        <is>
          <t>https://youtu.be/zLmdMjZtDs4</t>
        </is>
      </c>
    </row>
    <row r="513" ht="15" customHeight="1">
      <c r="A513" t="inlineStr">
        <is>
          <t>Into the Breach</t>
        </is>
      </c>
      <c r="B513" t="inlineStr">
        <is>
          <t>Fogpiercer</t>
        </is>
      </c>
      <c r="C513" t="n">
        <v>2018</v>
      </c>
      <c r="E513" s="11" t="inlineStr">
        <is>
          <t>https://www.reddit.com/r/Games/comments/1kjulpf/fogpiercer_mad_cookies_train_building_roguelike/</t>
        </is>
      </c>
    </row>
    <row r="514" ht="15" customHeight="1">
      <c r="A514" t="inlineStr">
        <is>
          <t>Into the Breach</t>
        </is>
      </c>
      <c r="B514" t="inlineStr">
        <is>
          <t>Master of Piece</t>
        </is>
      </c>
      <c r="C514" t="n">
        <v>2018</v>
      </c>
      <c r="E514" s="11" t="inlineStr">
        <is>
          <t>https://x.com/imgame_official/status/1925464077654249724</t>
        </is>
      </c>
    </row>
    <row r="515" ht="15" customHeight="1">
      <c r="A515" t="inlineStr">
        <is>
          <t>Into the Breach</t>
        </is>
      </c>
      <c r="B515" t="inlineStr">
        <is>
          <t>Metal Slug Tactics</t>
        </is>
      </c>
      <c r="C515" t="n">
        <v>2018</v>
      </c>
      <c r="E515" s="1" t="inlineStr">
        <is>
          <t>https://www.thegamer.com/metal-slug-tactics-interview/</t>
        </is>
      </c>
    </row>
    <row r="516" ht="15" customHeight="1">
      <c r="A516" t="inlineStr">
        <is>
          <t>Into the Breach</t>
        </is>
      </c>
      <c r="B516" t="inlineStr">
        <is>
          <t>Pawnbarian</t>
        </is>
      </c>
      <c r="C516" t="n">
        <v>2018</v>
      </c>
      <c r="E516" s="1" t="inlineStr">
        <is>
          <t>https://www.reddit.com/r/Games/comments/vftn02/pawnbarian_j4nw_a_chessinspired_tactical_puzzle/</t>
        </is>
      </c>
    </row>
    <row r="517" ht="15" customHeight="1">
      <c r="A517" t="inlineStr">
        <is>
          <t>Into the Breach</t>
        </is>
      </c>
      <c r="B517" t="inlineStr">
        <is>
          <t>Rogue Voltage</t>
        </is>
      </c>
      <c r="C517" t="n">
        <v>2018</v>
      </c>
      <c r="E517" s="11" t="inlineStr">
        <is>
          <t>https://steamcommunity.com/app/1494560/discussions/0/4335355681660890217/#c4335355681661031211</t>
        </is>
      </c>
    </row>
    <row r="518" ht="15" customHeight="1">
      <c r="A518" t="inlineStr">
        <is>
          <t>Into the Breach</t>
        </is>
      </c>
      <c r="B518" t="inlineStr">
        <is>
          <t>Shogun Showdown</t>
        </is>
      </c>
      <c r="C518" t="n">
        <v>2018</v>
      </c>
      <c r="E518" s="1" t="inlineStr">
        <is>
          <t>https://shogunshowdown.wiki.gg/wiki/Shogun_Showdown</t>
        </is>
      </c>
    </row>
    <row r="519" ht="15" customHeight="1">
      <c r="A519" t="inlineStr">
        <is>
          <t>Into the Breach</t>
        </is>
      </c>
      <c r="B519" t="inlineStr">
        <is>
          <t>Spellmasons</t>
        </is>
      </c>
      <c r="C519" t="n">
        <v>2018</v>
      </c>
      <c r="E519" s="1" t="inlineStr">
        <is>
          <t>https://www.reddit.com/r/IndieGaming/comments/1m9tpw9/a_whole_25_years_after_release_my_spellcrafting/#:~:text=is%20blowing%20up!-,830%20concurrent%20players%2C%20I%20can't%20believe%20it!,has%20been%20a%20wild%20ride.</t>
        </is>
      </c>
    </row>
    <row r="520" ht="15" customHeight="1">
      <c r="A520" t="inlineStr">
        <is>
          <t>Into the Breach</t>
        </is>
      </c>
      <c r="B520" t="inlineStr">
        <is>
          <t>Swordship</t>
        </is>
      </c>
      <c r="C520" t="n">
        <v>2018</v>
      </c>
      <c r="E520" s="1" t="inlineStr">
        <is>
          <t>check folder</t>
        </is>
      </c>
    </row>
    <row r="521" ht="15" customHeight="1">
      <c r="A521" t="inlineStr">
        <is>
          <t>Into the Breach</t>
        </is>
      </c>
      <c r="B521" t="inlineStr">
        <is>
          <t>The Last Spell</t>
        </is>
      </c>
      <c r="C521" t="n">
        <v>2018</v>
      </c>
      <c r="E521" s="1" t="inlineStr">
        <is>
          <t>https://gamerant.com/the-last-spell-game-interview-launch-dlc/#:~:text=The%20Last%20Spell's%20unique%20blend,build%20characters%20however%20they%20want.</t>
        </is>
      </c>
    </row>
    <row r="522" ht="15" customHeight="1">
      <c r="A522" t="inlineStr">
        <is>
          <t>Into the Breach</t>
        </is>
      </c>
      <c r="B522" t="inlineStr">
        <is>
          <t>The Ouroboros King</t>
        </is>
      </c>
      <c r="C522" t="n">
        <v>2018</v>
      </c>
      <c r="E522" s="1" t="inlineStr">
        <is>
          <t>https://www.reddit.com/r/Games/comments/10uappd/the_ouroboros_king_oriol_cosp_chess_based/</t>
        </is>
      </c>
    </row>
    <row r="523" ht="15" customHeight="1">
      <c r="A523" t="inlineStr">
        <is>
          <t>Iter Vehemens Ad Necem</t>
        </is>
      </c>
      <c r="B523" t="inlineStr">
        <is>
          <t>Catacomb Kids</t>
        </is>
      </c>
      <c r="C523" t="n">
        <v>2001</v>
      </c>
      <c r="E523" s="11" t="inlineStr">
        <is>
          <t>https://www.siliconera.com/catacomb-kids-interview-spelunky-comparisons-and-the-early-access-gamble/</t>
        </is>
      </c>
    </row>
    <row r="524" ht="15" customHeight="1">
      <c r="A524" t="inlineStr">
        <is>
          <t>Izuna: Legend of the Unemployed Ninja</t>
        </is>
      </c>
      <c r="B524" t="inlineStr">
        <is>
          <t>Izuna 2: The Unemployed Ninja Returns</t>
        </is>
      </c>
      <c r="C524" t="n">
        <v>2006</v>
      </c>
      <c r="D524" t="inlineStr">
        <is>
          <t>Yes</t>
        </is>
      </c>
      <c r="E524" s="1" t="n"/>
    </row>
    <row r="525" ht="15" customHeight="1">
      <c r="A525" t="inlineStr">
        <is>
          <t>Kingdom: New Lands</t>
        </is>
      </c>
      <c r="B525" t="inlineStr">
        <is>
          <t>Dome Keeper</t>
        </is>
      </c>
      <c r="C525" t="n">
        <v>2016</v>
      </c>
      <c r="E525" s="1" t="inlineStr">
        <is>
          <t>check folder</t>
        </is>
      </c>
    </row>
    <row r="526" ht="15" customHeight="1">
      <c r="A526" t="inlineStr">
        <is>
          <t>Kingdom: New Lands</t>
        </is>
      </c>
      <c r="B526" t="inlineStr">
        <is>
          <t>Drill Core</t>
        </is>
      </c>
      <c r="C526" t="n">
        <v>2016</v>
      </c>
      <c r="E526" s="1" t="inlineStr">
        <is>
          <t>https://steamcommunity.com/app/2821800/discussions/0/4346617656894336061/#c4346617656897843847</t>
        </is>
      </c>
    </row>
    <row r="527" ht="15" customHeight="1">
      <c r="A527" t="inlineStr">
        <is>
          <t>Kingdom: New Lands</t>
        </is>
      </c>
      <c r="B527" t="inlineStr">
        <is>
          <t>Ratropolis</t>
        </is>
      </c>
      <c r="C527" t="n">
        <v>2016</v>
      </c>
      <c r="E527" s="1" t="inlineStr">
        <is>
          <t>look at it</t>
        </is>
      </c>
    </row>
    <row r="528" ht="15" customHeight="1">
      <c r="A528" t="inlineStr">
        <is>
          <t>Lake of Creatures</t>
        </is>
      </c>
      <c r="B528" t="inlineStr">
        <is>
          <t>Ogre Chambers 2222</t>
        </is>
      </c>
      <c r="C528" t="n">
        <v>2024</v>
      </c>
      <c r="D528" t="inlineStr">
        <is>
          <t>Yes</t>
        </is>
      </c>
    </row>
    <row r="529" ht="15" customHeight="1">
      <c r="A529" t="inlineStr">
        <is>
          <t>Linley's Dungeon Crawl</t>
        </is>
      </c>
      <c r="B529" t="inlineStr">
        <is>
          <t>Dungeon Crawl Stone Soup</t>
        </is>
      </c>
      <c r="C529" t="n">
        <v>1995</v>
      </c>
      <c r="E529" s="1" t="inlineStr">
        <is>
          <t>https://roguebasin.com/index.php/Dungeon_Crawl_Stone_Soup</t>
        </is>
      </c>
    </row>
    <row r="530" ht="15" customHeight="1">
      <c r="A530" t="inlineStr">
        <is>
          <t>Linley's Dungeon Crawl</t>
        </is>
      </c>
      <c r="B530" t="inlineStr">
        <is>
          <t>Frozen Depths</t>
        </is>
      </c>
      <c r="C530" t="n">
        <v>1995</v>
      </c>
      <c r="E530" s="11" t="inlineStr">
        <is>
          <t>https://frozendepths.net/roguelike/info.php</t>
        </is>
      </c>
    </row>
    <row r="531" ht="15" customHeight="1">
      <c r="A531" t="inlineStr">
        <is>
          <t>Linley's Dungeon Crawl</t>
        </is>
      </c>
      <c r="B531" t="inlineStr">
        <is>
          <t>Powder</t>
        </is>
      </c>
      <c r="C531" t="n">
        <v>1995</v>
      </c>
      <c r="E531" s="11" t="inlineStr">
        <is>
          <t>http://www.zincland.com/powder/?pagename=about</t>
        </is>
      </c>
    </row>
    <row r="532" ht="15" customHeight="1">
      <c r="A532" t="inlineStr">
        <is>
          <t>Linley's Dungeon Crawl</t>
        </is>
      </c>
      <c r="B532" t="inlineStr">
        <is>
          <t>Strange Adventures in Infinite Space</t>
        </is>
      </c>
      <c r="C532" t="n">
        <v>1995</v>
      </c>
      <c r="E532" s="1" t="inlineStr">
        <is>
          <t>https://www.gamedeveloper.com/design/making-a-case-for-short-games</t>
        </is>
      </c>
    </row>
    <row r="533" ht="15" customHeight="1">
      <c r="A533" t="inlineStr">
        <is>
          <t>Loop Hero</t>
        </is>
      </c>
      <c r="B533" t="inlineStr">
        <is>
          <t>Rungore</t>
        </is>
      </c>
      <c r="C533" t="n">
        <v>2021</v>
      </c>
      <c r="E533" s="11" t="inlineStr">
        <is>
          <t>https://store.steampowered.com/app/2113040/RUNGORE/</t>
        </is>
      </c>
    </row>
    <row r="534" ht="15" customHeight="1">
      <c r="A534" t="inlineStr">
        <is>
          <t>Loop Hero</t>
        </is>
      </c>
      <c r="B534" t="inlineStr">
        <is>
          <t>Super Fantasy Kingdom</t>
        </is>
      </c>
      <c r="C534" t="n">
        <v>2021</v>
      </c>
      <c r="E534" s="1" t="inlineStr">
        <is>
          <t>https://store.epicgames.com/en-US/news/super-fantasy-kingdom-city-builder-next-vampire-survivors-obsession</t>
        </is>
      </c>
    </row>
    <row r="535" ht="15" customHeight="1">
      <c r="A535" t="inlineStr">
        <is>
          <t>Loop Hero</t>
        </is>
      </c>
      <c r="B535" t="inlineStr">
        <is>
          <t>Winnie's Hole</t>
        </is>
      </c>
      <c r="C535" t="n">
        <v>2021</v>
      </c>
      <c r="E535" s="1" t="inlineStr">
        <is>
          <t>https://youtu.be/DpEmpx4isOQ</t>
        </is>
      </c>
    </row>
    <row r="536" ht="15" customHeight="1">
      <c r="A536" t="inlineStr">
        <is>
          <t>Lost For Swords</t>
        </is>
      </c>
      <c r="B536" t="inlineStr">
        <is>
          <t>Slot &amp; Dungeons</t>
        </is>
      </c>
      <c r="C536" t="n">
        <v>2023</v>
      </c>
      <c r="E536" s="11" t="inlineStr">
        <is>
          <t>https://x.com/sparklewing925/status/1926056500113346640</t>
        </is>
      </c>
    </row>
    <row r="537" ht="15" customHeight="1">
      <c r="A537" t="inlineStr">
        <is>
          <t>Lost Labyrinth</t>
        </is>
      </c>
      <c r="B537" t="inlineStr">
        <is>
          <t>I Am Overburdened</t>
        </is>
      </c>
      <c r="C537" t="n">
        <v>2001</v>
      </c>
      <c r="E537" s="1" t="inlineStr">
        <is>
          <t>https://www.roguebasin.com/index.php/I_Am_Overburdened</t>
        </is>
      </c>
    </row>
    <row r="538" ht="15" customHeight="1">
      <c r="A538" t="inlineStr">
        <is>
          <t>Luck be a Landlord</t>
        </is>
      </c>
      <c r="B538" t="inlineStr">
        <is>
          <t>Backpack Hero</t>
        </is>
      </c>
      <c r="C538" t="n">
        <v>2021</v>
      </c>
      <c r="E538" s="1" t="inlineStr">
        <is>
          <t>check folder</t>
        </is>
      </c>
    </row>
    <row r="539" ht="15" customHeight="1">
      <c r="A539" t="inlineStr">
        <is>
          <t>Luck be a Landlord</t>
        </is>
      </c>
      <c r="B539" t="inlineStr">
        <is>
          <t>Balatro</t>
        </is>
      </c>
      <c r="C539" t="n">
        <v>2021</v>
      </c>
      <c r="E539" s="1" t="inlineStr">
        <is>
          <t>https://en.wikipedia.org/wiki/Balatro</t>
        </is>
      </c>
    </row>
    <row r="540" ht="15" customHeight="1">
      <c r="A540" t="inlineStr">
        <is>
          <t>Luck be a Landlord</t>
        </is>
      </c>
      <c r="B540" t="inlineStr">
        <is>
          <t>Ballionaire</t>
        </is>
      </c>
      <c r="C540" t="n">
        <v>2021</v>
      </c>
      <c r="E540" s="1" t="inlineStr">
        <is>
          <t>check folder</t>
        </is>
      </c>
    </row>
    <row r="541" ht="15" customHeight="1">
      <c r="A541" t="inlineStr">
        <is>
          <t>Luck be a Landlord</t>
        </is>
      </c>
      <c r="B541" t="inlineStr">
        <is>
          <t>Bingle Bingle</t>
        </is>
      </c>
      <c r="C541" t="n">
        <v>2021</v>
      </c>
      <c r="E541" s="1" t="inlineStr">
        <is>
          <t>check folder</t>
        </is>
      </c>
    </row>
    <row r="542" ht="15" customHeight="1">
      <c r="A542" t="inlineStr">
        <is>
          <t>Luck be a Landlord</t>
        </is>
      </c>
      <c r="B542" t="inlineStr">
        <is>
          <t>BroomSweeper</t>
        </is>
      </c>
      <c r="C542" t="n">
        <v>2021</v>
      </c>
      <c r="E542" s="1" t="inlineStr">
        <is>
          <t>check folder</t>
        </is>
      </c>
    </row>
    <row r="543" ht="15" customHeight="1">
      <c r="A543" t="inlineStr">
        <is>
          <t>Luck be a Landlord</t>
        </is>
      </c>
      <c r="B543" t="inlineStr">
        <is>
          <t>Cat God Ranch</t>
        </is>
      </c>
      <c r="C543" t="n">
        <v>2021</v>
      </c>
      <c r="E543" s="1" t="inlineStr">
        <is>
          <t>https://www.reddit.com/r/indiegames/comments/1b21ga6/we_are_developing_a_strategy_deckbuilding_game/</t>
        </is>
      </c>
    </row>
    <row r="544" ht="15" customHeight="1">
      <c r="A544" t="inlineStr">
        <is>
          <t>Luck be a Landlord</t>
        </is>
      </c>
      <c r="B544" t="inlineStr">
        <is>
          <t>Crop Rotation</t>
        </is>
      </c>
      <c r="C544" t="n">
        <v>2021</v>
      </c>
      <c r="E544" s="1" t="inlineStr">
        <is>
          <t>check folder</t>
        </is>
      </c>
    </row>
    <row r="545" ht="15" customHeight="1">
      <c r="A545" t="inlineStr">
        <is>
          <t>Luck be a Landlord</t>
        </is>
      </c>
      <c r="B545" t="inlineStr">
        <is>
          <t>Cupiclaw</t>
        </is>
      </c>
      <c r="C545" t="n">
        <v>2021</v>
      </c>
      <c r="E545" s="11" t="inlineStr">
        <is>
          <t>https://x.com/Typin_/status/2033598772677140518?s=20</t>
        </is>
      </c>
    </row>
    <row r="546" ht="15" customHeight="1">
      <c r="A546" t="inlineStr">
        <is>
          <t>Luck be a Landlord</t>
        </is>
      </c>
      <c r="B546" t="inlineStr">
        <is>
          <t>Dog and Goblin</t>
        </is>
      </c>
      <c r="C546" t="n">
        <v>2021</v>
      </c>
      <c r="E546" s="1" t="inlineStr">
        <is>
          <t>https://www.reddit.com/r/indiegames/comments/1gg9w9m/the_new_luck_be_a_landlordstyle_game_dog_and/</t>
        </is>
      </c>
    </row>
    <row r="547" ht="15" customHeight="1">
      <c r="A547" t="inlineStr">
        <is>
          <t>Luck be a Landlord</t>
        </is>
      </c>
      <c r="B547" t="inlineStr">
        <is>
          <t>Dungeons &amp; Degenerate Gamblers</t>
        </is>
      </c>
      <c r="C547" t="n">
        <v>2021</v>
      </c>
      <c r="E547" s="1" t="inlineStr">
        <is>
          <t>check folder</t>
        </is>
      </c>
    </row>
    <row r="548" ht="15" customHeight="1">
      <c r="A548" t="inlineStr">
        <is>
          <t>Luck be a Landlord</t>
        </is>
      </c>
      <c r="B548" t="inlineStr">
        <is>
          <t>Endgame of Devil</t>
        </is>
      </c>
      <c r="C548" t="n">
        <v>2021</v>
      </c>
      <c r="E548" s="1" t="inlineStr">
        <is>
          <t>look at it</t>
        </is>
      </c>
    </row>
    <row r="549" ht="15" customHeight="1">
      <c r="A549" t="inlineStr">
        <is>
          <t>Luck be a Landlord</t>
        </is>
      </c>
      <c r="B549" t="inlineStr">
        <is>
          <t>Lucky Hero</t>
        </is>
      </c>
      <c r="C549" t="n">
        <v>2021</v>
      </c>
      <c r="E549" s="1" t="inlineStr">
        <is>
          <t>look at it</t>
        </is>
      </c>
    </row>
    <row r="550" ht="15" customHeight="1">
      <c r="A550" t="inlineStr">
        <is>
          <t>Luck be a Landlord</t>
        </is>
      </c>
      <c r="B550" t="inlineStr">
        <is>
          <t>Node Crown</t>
        </is>
      </c>
      <c r="C550" t="n">
        <v>2021</v>
      </c>
      <c r="E550" s="1" t="inlineStr">
        <is>
          <t>check folder</t>
        </is>
      </c>
    </row>
    <row r="551" ht="15" customHeight="1">
      <c r="A551" t="inlineStr">
        <is>
          <t>Luck be a Landlord</t>
        </is>
      </c>
      <c r="B551" t="inlineStr">
        <is>
          <t>Omelet You Cook</t>
        </is>
      </c>
      <c r="C551" t="n">
        <v>2021</v>
      </c>
      <c r="E551" s="1" t="inlineStr">
        <is>
          <t>https://store.steampowered.com/app/3205380/Omelet_You_Cook/</t>
        </is>
      </c>
    </row>
    <row r="552" ht="15" customHeight="1">
      <c r="A552" t="inlineStr">
        <is>
          <t>Luck be a Landlord</t>
        </is>
      </c>
      <c r="B552" t="inlineStr">
        <is>
          <t>Plinko Panic!</t>
        </is>
      </c>
      <c r="C552" t="n">
        <v>2021</v>
      </c>
      <c r="E552" s="1" t="inlineStr">
        <is>
          <t>https://steamcommunity.com/app/1794400/discussions/0/3409803709049368658/</t>
        </is>
      </c>
    </row>
    <row r="553" ht="15" customHeight="1">
      <c r="A553" t="inlineStr">
        <is>
          <t>Luck be a Landlord</t>
        </is>
      </c>
      <c r="B553" t="inlineStr">
        <is>
          <t>Roulette Hero</t>
        </is>
      </c>
      <c r="C553" t="n">
        <v>2021</v>
      </c>
      <c r="E553" s="11" t="inlineStr">
        <is>
          <t>https://x.com/CLLC_studio/status/1925866594078453892</t>
        </is>
      </c>
    </row>
    <row r="554" ht="15" customHeight="1">
      <c r="A554" t="inlineStr">
        <is>
          <t>Luck be a Landlord</t>
        </is>
      </c>
      <c r="B554" t="inlineStr">
        <is>
          <t>Runeborn</t>
        </is>
      </c>
      <c r="C554" t="n">
        <v>2021</v>
      </c>
      <c r="E554" s="1" t="inlineStr">
        <is>
          <t>https://www.kxan.com/business/press-releases/ein-presswire/785406016/idream-interactive-unveils-runeborn-a-dark-fantasy-roguelike-deckbuilder-at-steam-next-fest/#:~:text=Founder's%20Vision%20%E2%80%9CRuneborn%20is%20an,share%20it%20with%20the%20world.%E2%80%9D</t>
        </is>
      </c>
    </row>
    <row r="555" ht="15" customHeight="1">
      <c r="A555" t="inlineStr">
        <is>
          <t>Luck be a Landlord</t>
        </is>
      </c>
      <c r="B555" t="inlineStr">
        <is>
          <t>Slot &amp; Dungeons</t>
        </is>
      </c>
      <c r="C555" t="n">
        <v>2021</v>
      </c>
      <c r="E555" s="11" t="inlineStr">
        <is>
          <t>https://x.com/sparklewing925/status/1926056500113346640</t>
        </is>
      </c>
    </row>
    <row r="556" ht="15" customHeight="1">
      <c r="A556" t="inlineStr">
        <is>
          <t>Luck be a Landlord</t>
        </is>
      </c>
      <c r="B556" t="inlineStr">
        <is>
          <t>Spin Hero</t>
        </is>
      </c>
      <c r="C556" t="n">
        <v>2021</v>
      </c>
      <c r="E556" s="1" t="inlineStr">
        <is>
          <t>check folder</t>
        </is>
      </c>
    </row>
    <row r="557" ht="15" customHeight="1">
      <c r="A557" t="inlineStr">
        <is>
          <t>Luck be a Landlord</t>
        </is>
      </c>
      <c r="B557" t="inlineStr">
        <is>
          <t>Steve's Warehouse: Physics. Roguelike. Chaos.</t>
        </is>
      </c>
      <c r="C557" t="n">
        <v>2021</v>
      </c>
      <c r="E557" s="1" t="inlineStr">
        <is>
          <t>https://store.steampowered.com/app/2902440/Steves_Warehouse_Physics_Roguelike_Chaos/</t>
        </is>
      </c>
    </row>
    <row r="558" ht="15" customHeight="1">
      <c r="A558" t="inlineStr">
        <is>
          <t>Luck be a Landlord</t>
        </is>
      </c>
      <c r="B558" t="inlineStr">
        <is>
          <t>Super Tax City</t>
        </is>
      </c>
      <c r="C558" t="n">
        <v>2021</v>
      </c>
      <c r="E558" s="1" t="inlineStr">
        <is>
          <t>https://x.com/SoramameKoubou/status/1786329686978777095</t>
        </is>
      </c>
    </row>
    <row r="559" ht="15" customHeight="1">
      <c r="A559" t="inlineStr">
        <is>
          <t>Magic Survival</t>
        </is>
      </c>
      <c r="B559" t="inlineStr">
        <is>
          <t>Vampire Survivors</t>
        </is>
      </c>
      <c r="C559" t="n">
        <v>2019</v>
      </c>
      <c r="E559" s="1" t="inlineStr">
        <is>
          <t>https://en.wikipedia.org/wiki/Vampire_Survivors#:~:text=The%20game%20was%20inspired%20by,assets%2C%20art%2C%20and%20music.</t>
        </is>
      </c>
    </row>
    <row r="560" ht="15" customHeight="1">
      <c r="A560" t="inlineStr">
        <is>
          <t>Magicraft</t>
        </is>
      </c>
      <c r="B560" t="inlineStr">
        <is>
          <t>Astro Prospector</t>
        </is>
      </c>
      <c r="C560" t="n">
        <v>2023</v>
      </c>
      <c r="E560" s="1" t="inlineStr">
        <is>
          <t>check folder</t>
        </is>
      </c>
    </row>
    <row r="561" ht="15" customHeight="1">
      <c r="A561" t="inlineStr">
        <is>
          <t>Mimic Logic</t>
        </is>
      </c>
      <c r="B561" t="inlineStr">
        <is>
          <t>Lethal Dungeon</t>
        </is>
      </c>
      <c r="C561" t="n">
        <v>2024</v>
      </c>
      <c r="D561" t="inlineStr">
        <is>
          <t>Yes</t>
        </is>
      </c>
      <c r="E561" s="1" t="n"/>
    </row>
    <row r="562" ht="15" customHeight="1">
      <c r="A562" t="inlineStr">
        <is>
          <t>Miracle Chou Party: Sanae to Tenshi no Gensou Labyrinth</t>
        </is>
      </c>
      <c r="B562" t="inlineStr">
        <is>
          <t>Touhou Genso Wanderer: Lotus Labyrinth R</t>
        </is>
      </c>
      <c r="C562" t="n">
        <v>2012</v>
      </c>
      <c r="D562" t="inlineStr">
        <is>
          <t>Yes</t>
        </is>
      </c>
    </row>
    <row r="563" ht="15" customHeight="1">
      <c r="A563" t="inlineStr">
        <is>
          <t>Miracle Party: Fushigi no Gensoukyou 2</t>
        </is>
      </c>
      <c r="B563" t="inlineStr">
        <is>
          <t>Fushigi no Gensoukyou 3</t>
        </is>
      </c>
      <c r="C563" t="n">
        <v>2011</v>
      </c>
      <c r="D563" t="inlineStr">
        <is>
          <t>Yes</t>
        </is>
      </c>
    </row>
    <row r="564" ht="15" customHeight="1">
      <c r="A564" t="inlineStr">
        <is>
          <t>Miracle Party: Fushigi no Gensoukyou 2</t>
        </is>
      </c>
      <c r="B564" t="inlineStr">
        <is>
          <t>Miracle Chou Party: Sanae to Tenshi no Gensou Labyrinth</t>
        </is>
      </c>
      <c r="C564" t="n">
        <v>2011</v>
      </c>
      <c r="D564" t="inlineStr">
        <is>
          <t>Yes</t>
        </is>
      </c>
    </row>
    <row r="565" ht="15" customHeight="1">
      <c r="A565" t="inlineStr">
        <is>
          <t>Monster Gate</t>
        </is>
      </c>
      <c r="B565" t="inlineStr">
        <is>
          <t>Dungeon Drafters</t>
        </is>
      </c>
      <c r="C565" t="n">
        <v>2002</v>
      </c>
      <c r="E565" t="inlineStr">
        <is>
          <t>check folder</t>
        </is>
      </c>
    </row>
    <row r="566" ht="15" customHeight="1">
      <c r="A566" t="inlineStr">
        <is>
          <t>Monster Gate</t>
        </is>
      </c>
      <c r="B566" t="inlineStr">
        <is>
          <t>Monster Gate: Ooinaru Dungeon - Fuuin no Orb</t>
        </is>
      </c>
      <c r="C566" t="n">
        <v>2002</v>
      </c>
      <c r="D566" t="inlineStr">
        <is>
          <t>Yes</t>
        </is>
      </c>
    </row>
    <row r="567" ht="15" customHeight="1">
      <c r="A567" t="inlineStr">
        <is>
          <t>Monster Girls and the Mysterious Adventure</t>
        </is>
      </c>
      <c r="B567" t="inlineStr">
        <is>
          <t>Monster Girls and the Mysterious Adventure 2</t>
        </is>
      </c>
      <c r="C567" t="n">
        <v>2022</v>
      </c>
      <c r="D567" t="inlineStr">
        <is>
          <t>Yes</t>
        </is>
      </c>
      <c r="E567" s="1" t="n"/>
    </row>
    <row r="568" ht="15" customHeight="1">
      <c r="A568" t="inlineStr">
        <is>
          <t>Monster Slayers</t>
        </is>
      </c>
      <c r="B568" t="inlineStr">
        <is>
          <t>Deck of Ashes</t>
        </is>
      </c>
      <c r="C568" t="n">
        <v>2017</v>
      </c>
      <c r="E568" s="1" t="inlineStr">
        <is>
          <t>https://steamcommunity.com/app/1016730/discussions/0/1814296907961762044/</t>
        </is>
      </c>
    </row>
    <row r="569" ht="15" customHeight="1">
      <c r="A569" t="inlineStr">
        <is>
          <t>Monster Train</t>
        </is>
      </c>
      <c r="B569" t="inlineStr">
        <is>
          <t>Cross Blitz</t>
        </is>
      </c>
      <c r="C569" t="n">
        <v>2020</v>
      </c>
      <c r="E569" s="1" t="inlineStr">
        <is>
          <t>check folder</t>
        </is>
      </c>
    </row>
    <row r="570" ht="15" customHeight="1">
      <c r="A570" t="inlineStr">
        <is>
          <t>Monster Train</t>
        </is>
      </c>
      <c r="B570" t="inlineStr">
        <is>
          <t>Dicealot</t>
        </is>
      </c>
      <c r="C570" t="n">
        <v>2020</v>
      </c>
      <c r="E570" s="1" t="inlineStr">
        <is>
          <t>https://store.steampowered.com/app/3035330/Dicealot/</t>
        </is>
      </c>
    </row>
    <row r="571" ht="15" customHeight="1">
      <c r="A571" t="inlineStr">
        <is>
          <t>Monster Train</t>
        </is>
      </c>
      <c r="B571" t="inlineStr">
        <is>
          <t>Dicefolk</t>
        </is>
      </c>
      <c r="C571" t="n">
        <v>2020</v>
      </c>
      <c r="E571" s="1" t="inlineStr">
        <is>
          <t>https://www.nintendolife.com/features/only-pokemon-can-make-pokemon-dicefolk-devs-on-finding-a-voice-in-a-crowded-genre</t>
        </is>
      </c>
    </row>
    <row r="572" ht="15" customHeight="1">
      <c r="A572" t="inlineStr">
        <is>
          <t>Monster Train</t>
        </is>
      </c>
      <c r="B572" t="inlineStr">
        <is>
          <t>Inkbound</t>
        </is>
      </c>
      <c r="C572" t="n">
        <v>2020</v>
      </c>
      <c r="D572" t="inlineStr">
        <is>
          <t>Yes</t>
        </is>
      </c>
    </row>
    <row r="573" ht="15" customHeight="1">
      <c r="A573" t="inlineStr">
        <is>
          <t>Monster Train</t>
        </is>
      </c>
      <c r="B573" t="inlineStr">
        <is>
          <t>Inscryption</t>
        </is>
      </c>
      <c r="C573" t="n">
        <v>2020</v>
      </c>
      <c r="E573" s="11" t="inlineStr">
        <is>
          <t>https://www.digitallydownloaded.net/2021/10/four-quick-questions-for-developer-of.html</t>
        </is>
      </c>
    </row>
    <row r="574" ht="15" customHeight="1">
      <c r="A574" t="inlineStr">
        <is>
          <t>Monster Train</t>
        </is>
      </c>
      <c r="B574" t="inlineStr">
        <is>
          <t>Master of Piece</t>
        </is>
      </c>
      <c r="C574" t="n">
        <v>2020</v>
      </c>
      <c r="E574" s="11" t="inlineStr">
        <is>
          <t>https://x.com/imgame_official/status/1925464077654249724</t>
        </is>
      </c>
    </row>
    <row r="575" ht="15" customHeight="1">
      <c r="A575" t="inlineStr">
        <is>
          <t>Monster Train</t>
        </is>
      </c>
      <c r="B575" t="inlineStr">
        <is>
          <t>Monster Train 2</t>
        </is>
      </c>
      <c r="C575" t="n">
        <v>2020</v>
      </c>
      <c r="D575" t="inlineStr">
        <is>
          <t>Yes</t>
        </is>
      </c>
      <c r="E575" s="1" t="n"/>
    </row>
    <row r="576" ht="15" customHeight="1">
      <c r="A576" t="inlineStr">
        <is>
          <t>Monster Train</t>
        </is>
      </c>
      <c r="B576" t="inlineStr">
        <is>
          <t>Rogue Command</t>
        </is>
      </c>
      <c r="C576" t="n">
        <v>2020</v>
      </c>
      <c r="E576" s="1" t="inlineStr">
        <is>
          <t>https://steamcommunity.com/app/1461910/discussions/0/3363649332031630216/?l=finnish</t>
        </is>
      </c>
    </row>
    <row r="577" ht="15" customHeight="1">
      <c r="A577" t="inlineStr">
        <is>
          <t>Monster Train</t>
        </is>
      </c>
      <c r="B577" t="inlineStr">
        <is>
          <t>Ship of Fools</t>
        </is>
      </c>
      <c r="C577" t="n">
        <v>2020</v>
      </c>
      <c r="E577" s="1" t="inlineStr">
        <is>
          <t>check folder</t>
        </is>
      </c>
    </row>
    <row r="578" ht="15" customHeight="1">
      <c r="A578" t="inlineStr">
        <is>
          <t>Monster Train</t>
        </is>
      </c>
      <c r="B578" t="inlineStr">
        <is>
          <t>The Royal Writ</t>
        </is>
      </c>
      <c r="C578" t="n">
        <v>2020</v>
      </c>
      <c r="E578" s="1" t="inlineStr">
        <is>
          <t>https://store.steampowered.com/app/3333700/The_Royal_Writ/</t>
        </is>
      </c>
    </row>
    <row r="579" ht="15" customHeight="1">
      <c r="A579" t="inlineStr">
        <is>
          <t>Monster Train</t>
        </is>
      </c>
      <c r="B579" t="inlineStr">
        <is>
          <t>Tower Escape</t>
        </is>
      </c>
      <c r="C579" t="n">
        <v>2020</v>
      </c>
      <c r="E579" s="1" t="inlineStr">
        <is>
          <t>check folder</t>
        </is>
      </c>
    </row>
    <row r="580" ht="15" customHeight="1">
      <c r="A580" t="inlineStr">
        <is>
          <t>Monster Train</t>
        </is>
      </c>
      <c r="B580" t="inlineStr">
        <is>
          <t>Wildfrost</t>
        </is>
      </c>
      <c r="C580" t="n">
        <v>2020</v>
      </c>
      <c r="E580" s="1" t="inlineStr">
        <is>
          <t>https://mcvuk.com/business-news/when-we-made-wildfrost/</t>
        </is>
      </c>
    </row>
    <row r="581" ht="15" customHeight="1">
      <c r="A581" t="inlineStr">
        <is>
          <t>Moon Hunters</t>
        </is>
      </c>
      <c r="B581" t="inlineStr">
        <is>
          <t>Boyfriend Dungeon</t>
        </is>
      </c>
      <c r="C581" t="n">
        <v>2016</v>
      </c>
      <c r="D581" t="inlineStr">
        <is>
          <t>Yes</t>
        </is>
      </c>
      <c r="E581" s="1" t="n"/>
    </row>
    <row r="582" ht="15" customHeight="1">
      <c r="A582" t="inlineStr">
        <is>
          <t>Moonlighter</t>
        </is>
      </c>
      <c r="B582" t="inlineStr">
        <is>
          <t>Masks of the Void: Origins</t>
        </is>
      </c>
      <c r="C582" t="n">
        <v>2018</v>
      </c>
      <c r="E582" s="11" t="inlineStr">
        <is>
          <t>https://x.com/MasksOfTheVoid/status/2084174185505448157?s=20</t>
        </is>
      </c>
    </row>
    <row r="583" ht="15" customHeight="1">
      <c r="A583" t="inlineStr">
        <is>
          <t>Moonlighter</t>
        </is>
      </c>
      <c r="B583" t="inlineStr">
        <is>
          <t>Moonlighter 2: The Endless Vault</t>
        </is>
      </c>
      <c r="C583" t="n">
        <v>2018</v>
      </c>
      <c r="D583" t="inlineStr">
        <is>
          <t>Yes</t>
        </is>
      </c>
      <c r="E583" s="1" t="n"/>
    </row>
    <row r="584" ht="15" customHeight="1">
      <c r="A584" t="inlineStr">
        <is>
          <t>Moria</t>
        </is>
      </c>
      <c r="B584" t="inlineStr">
        <is>
          <t>Angband</t>
        </is>
      </c>
      <c r="C584" t="n">
        <v>1983</v>
      </c>
      <c r="E584" s="1" t="inlineStr">
        <is>
          <t>https://roguebasin.com/index.php/Angband</t>
        </is>
      </c>
    </row>
    <row r="585" ht="15" customHeight="1">
      <c r="A585" t="inlineStr">
        <is>
          <t>Moria</t>
        </is>
      </c>
      <c r="B585" t="inlineStr">
        <is>
          <t>Diablo</t>
        </is>
      </c>
      <c r="C585" t="n">
        <v>1983</v>
      </c>
      <c r="E585" s="11" t="inlineStr">
        <is>
          <t>https://roguebasin.com/index.php?title=Diablo</t>
        </is>
      </c>
    </row>
    <row r="586" ht="15" customHeight="1">
      <c r="A586" t="inlineStr">
        <is>
          <t>Moria</t>
        </is>
      </c>
      <c r="B586" t="inlineStr">
        <is>
          <t>Powder</t>
        </is>
      </c>
      <c r="C586" t="n">
        <v>1983</v>
      </c>
      <c r="E586" s="11" t="inlineStr">
        <is>
          <t>http://www.zincland.com/powder/?pagename=about</t>
        </is>
      </c>
    </row>
    <row r="587" ht="15" customHeight="1">
      <c r="A587" t="inlineStr">
        <is>
          <t>Mothergunship</t>
        </is>
      </c>
      <c r="B587" t="inlineStr">
        <is>
          <t>Mothergunship: Forge</t>
        </is>
      </c>
      <c r="C587" t="n">
        <v>2018</v>
      </c>
      <c r="D587" t="inlineStr">
        <is>
          <t>Yes</t>
        </is>
      </c>
      <c r="E587" s="1" t="n"/>
    </row>
    <row r="588" ht="15" customHeight="1">
      <c r="A588" t="inlineStr">
        <is>
          <t>Motto!? Fushigi no Gensoukyou: Under the Moonlight</t>
        </is>
      </c>
      <c r="B588" t="inlineStr">
        <is>
          <t>Fushigi no Gensoukyou 3</t>
        </is>
      </c>
      <c r="C588" t="n">
        <v>2011</v>
      </c>
      <c r="D588" t="inlineStr">
        <is>
          <t>Yes</t>
        </is>
      </c>
    </row>
    <row r="589" ht="15" customHeight="1">
      <c r="A589" t="inlineStr">
        <is>
          <t>Muck</t>
        </is>
      </c>
      <c r="B589" t="inlineStr">
        <is>
          <t>Lort</t>
        </is>
      </c>
      <c r="C589" t="n">
        <v>2021</v>
      </c>
      <c r="E589" s="1" t="inlineStr">
        <is>
          <t>https://www.reddit.com/r/pcgaming/comments/1p30oqw/were_big_distraction_an_indie_studio_founded_by/</t>
        </is>
      </c>
    </row>
    <row r="590" ht="15" customHeight="1">
      <c r="A590" t="inlineStr">
        <is>
          <t>Mystery Dungeon 2: Shiren the Wanderer</t>
        </is>
      </c>
      <c r="B590" t="inlineStr">
        <is>
          <t>100 Rogues</t>
        </is>
      </c>
      <c r="C590" t="n">
        <v>1995</v>
      </c>
      <c r="E590" s="1" t="inlineStr">
        <is>
          <t>https://www.gamedeveloper.com/business/marketing-on-the-app-store-the-cautionary-tale-of-i-100-rogues-i-</t>
        </is>
      </c>
    </row>
    <row r="591" ht="15" customHeight="1">
      <c r="A591" t="inlineStr">
        <is>
          <t>Mystery Dungeon 2: Shiren the Wanderer</t>
        </is>
      </c>
      <c r="B591" t="inlineStr">
        <is>
          <t>Dungeon Drafters</t>
        </is>
      </c>
      <c r="C591" t="n">
        <v>1995</v>
      </c>
      <c r="E591" t="inlineStr">
        <is>
          <t>check folder</t>
        </is>
      </c>
    </row>
    <row r="592" ht="15" customHeight="1">
      <c r="A592" t="inlineStr">
        <is>
          <t>Mystery Dungeon 2: Shiren the Wanderer</t>
        </is>
      </c>
      <c r="B592" t="inlineStr">
        <is>
          <t>House of Necrosis</t>
        </is>
      </c>
      <c r="C592" t="n">
        <v>1995</v>
      </c>
      <c r="E592" s="1" t="inlineStr">
        <is>
          <t>https://www.reddit.com/r/roguelikes/comments/1iyzkws/house_of_necrosis_demo_is_out_now_on_steam/#:~:text=House%20of%20Necrosis%20is%20a,Linux)%20and%20the%20Steam%20Deck</t>
        </is>
      </c>
    </row>
    <row r="593" ht="15" customHeight="1">
      <c r="A593" t="inlineStr">
        <is>
          <t>Mystery Dungeon 2: Shiren the Wanderer</t>
        </is>
      </c>
      <c r="B593" t="inlineStr">
        <is>
          <t>One Way Heroics</t>
        </is>
      </c>
      <c r="C593" t="n">
        <v>1995</v>
      </c>
      <c r="E593" s="11" t="inlineStr">
        <is>
          <t>https://www.moguragames.com/smokingwolfinterview/</t>
        </is>
      </c>
    </row>
    <row r="594" ht="15" customHeight="1">
      <c r="A594" t="inlineStr">
        <is>
          <t>Mystery Dungeon 2: Shiren the Wanderer</t>
        </is>
      </c>
      <c r="B594" t="inlineStr">
        <is>
          <t>Shiren the Wanderer 2: Shiren's Castle and the Oni Invasion</t>
        </is>
      </c>
      <c r="C594" t="n">
        <v>1995</v>
      </c>
      <c r="D594" t="inlineStr">
        <is>
          <t>Yes</t>
        </is>
      </c>
      <c r="E594" s="1" t="n"/>
    </row>
    <row r="595" ht="15" customHeight="1">
      <c r="A595" t="inlineStr">
        <is>
          <t>Mystery Dungeon 2: Shiren the Wanderer</t>
        </is>
      </c>
      <c r="B595" t="inlineStr">
        <is>
          <t>Shiren the Wanderer GB: Monster of Moonlight Village</t>
        </is>
      </c>
      <c r="C595" t="n">
        <v>1995</v>
      </c>
      <c r="D595" t="inlineStr">
        <is>
          <t>Yes</t>
        </is>
      </c>
      <c r="E595" s="1" t="n"/>
    </row>
    <row r="596" ht="15" customHeight="1">
      <c r="A596" t="inlineStr">
        <is>
          <t>Mystery Dungeon 2: Shiren the Wanderer</t>
        </is>
      </c>
      <c r="B596" t="inlineStr">
        <is>
          <t>Slot &amp; Dungeons</t>
        </is>
      </c>
      <c r="C596" t="n">
        <v>1995</v>
      </c>
      <c r="E596" s="11" t="inlineStr">
        <is>
          <t>https://x.com/sparklewing925/status/1926056500113346640</t>
        </is>
      </c>
    </row>
    <row r="597" ht="15" customHeight="1">
      <c r="A597" t="inlineStr">
        <is>
          <t>Mystery Dungeon 2: Shiren the Wanderer</t>
        </is>
      </c>
      <c r="B597" t="inlineStr">
        <is>
          <t>Tangledeep</t>
        </is>
      </c>
      <c r="C597" t="n">
        <v>1995</v>
      </c>
      <c r="E597" s="1" t="inlineStr">
        <is>
          <t>https://www.pcgamer.com/how-a-videogame-composer-designed-the-tangledeep-rpg/</t>
        </is>
      </c>
    </row>
    <row r="598" ht="15" customHeight="1">
      <c r="A598" t="inlineStr">
        <is>
          <t>Necrosmith</t>
        </is>
      </c>
      <c r="B598" t="inlineStr">
        <is>
          <t>Be My Horde</t>
        </is>
      </c>
      <c r="C598" t="n">
        <v>2022</v>
      </c>
      <c r="E598" s="11" t="inlineStr">
        <is>
          <t>https://youtu.be/VGMszILvj78</t>
        </is>
      </c>
    </row>
    <row r="599" ht="15" customHeight="1">
      <c r="A599" t="inlineStr">
        <is>
          <t>Necrosmith</t>
        </is>
      </c>
      <c r="B599" t="inlineStr">
        <is>
          <t>Necrosmith 2</t>
        </is>
      </c>
      <c r="C599" t="n">
        <v>2022</v>
      </c>
      <c r="D599" t="inlineStr">
        <is>
          <t>Yes</t>
        </is>
      </c>
      <c r="E599" s="1" t="n"/>
    </row>
    <row r="600" ht="15" customHeight="1">
      <c r="A600" t="inlineStr">
        <is>
          <t>Neon Abyss</t>
        </is>
      </c>
      <c r="B600" t="inlineStr">
        <is>
          <t>Neon Abyss 2</t>
        </is>
      </c>
      <c r="C600" t="n">
        <v>2019</v>
      </c>
      <c r="D600" t="inlineStr">
        <is>
          <t>Yes</t>
        </is>
      </c>
      <c r="E600" s="1" t="n"/>
    </row>
    <row r="601" ht="15" customHeight="1">
      <c r="A601" t="inlineStr">
        <is>
          <t>NetHack</t>
        </is>
      </c>
      <c r="B601" t="inlineStr">
        <is>
          <t>Barony</t>
        </is>
      </c>
      <c r="C601" t="n">
        <v>1987</v>
      </c>
      <c r="E601" s="1" t="inlineStr">
        <is>
          <t>https://indiegraph.wordpress.com/2013/12/11/interview-with-the-creator-of-barony/</t>
        </is>
      </c>
    </row>
    <row r="602" ht="15" customHeight="1">
      <c r="A602" t="inlineStr">
        <is>
          <t>NetHack</t>
        </is>
      </c>
      <c r="B602" t="inlineStr">
        <is>
          <t>Deep Dungeons of Doom</t>
        </is>
      </c>
      <c r="C602" t="n">
        <v>1987</v>
      </c>
      <c r="E602" s="1" t="inlineStr">
        <is>
          <t>https://forums.tigsource.com/index.php?topic=25392.0</t>
        </is>
      </c>
    </row>
    <row r="603" ht="15" customHeight="1">
      <c r="A603" t="inlineStr">
        <is>
          <t>NetHack</t>
        </is>
      </c>
      <c r="B603" t="inlineStr">
        <is>
          <t>Diablo</t>
        </is>
      </c>
      <c r="C603" t="n">
        <v>1987</v>
      </c>
      <c r="E603" s="11" t="inlineStr">
        <is>
          <t>https://roguebasin.com/index.php?title=Diablo</t>
        </is>
      </c>
    </row>
    <row r="604" ht="15" customHeight="1">
      <c r="A604" t="inlineStr">
        <is>
          <t>NetHack</t>
        </is>
      </c>
      <c r="B604" t="inlineStr">
        <is>
          <t>Dragonslayer</t>
        </is>
      </c>
      <c r="C604" t="n">
        <v>1987</v>
      </c>
      <c r="E604" s="1" t="inlineStr">
        <is>
          <t>https://www.roguebasin.com/index.php/Dragonslayer</t>
        </is>
      </c>
    </row>
    <row r="605" ht="15" customHeight="1">
      <c r="A605" t="inlineStr">
        <is>
          <t>NetHack</t>
        </is>
      </c>
      <c r="B605" t="inlineStr">
        <is>
          <t>Dungeons of Dredmor</t>
        </is>
      </c>
      <c r="C605" t="n">
        <v>1987</v>
      </c>
      <c r="E605" s="1" t="inlineStr">
        <is>
          <t>https://www.roguebasin.com/index.php/Dungeons_of_Dredmor</t>
        </is>
      </c>
    </row>
    <row r="606" ht="15" customHeight="1">
      <c r="A606" t="inlineStr">
        <is>
          <t>NetHack</t>
        </is>
      </c>
      <c r="B606" t="inlineStr">
        <is>
          <t>Elona</t>
        </is>
      </c>
      <c r="C606" t="n">
        <v>1987</v>
      </c>
      <c r="E606" s="1" t="n"/>
    </row>
    <row r="607" ht="15" customHeight="1">
      <c r="A607" t="inlineStr">
        <is>
          <t>NetHack</t>
        </is>
      </c>
      <c r="B607" t="inlineStr">
        <is>
          <t>Fear &amp; Hunger</t>
        </is>
      </c>
      <c r="C607" t="n">
        <v>1987</v>
      </c>
      <c r="E607" s="1" t="inlineStr">
        <is>
          <t>https://darkrpgs.home.blog/2019/03/08/interview-with-miro-haverinen-the-creator-of-the-dark-rpg-fear-hunger/</t>
        </is>
      </c>
    </row>
    <row r="608" ht="15" customHeight="1">
      <c r="A608" t="inlineStr">
        <is>
          <t>NetHack</t>
        </is>
      </c>
      <c r="B608" t="inlineStr">
        <is>
          <t>Frozen Depths</t>
        </is>
      </c>
      <c r="C608" t="n">
        <v>1987</v>
      </c>
      <c r="E608" s="11" t="inlineStr">
        <is>
          <t>https://frozendepths.net/roguelike/info.php</t>
        </is>
      </c>
    </row>
    <row r="609" ht="15" customHeight="1">
      <c r="A609" t="inlineStr">
        <is>
          <t>NetHack</t>
        </is>
      </c>
      <c r="B609" t="inlineStr">
        <is>
          <t>GnollHack</t>
        </is>
      </c>
      <c r="C609" t="n">
        <v>1987</v>
      </c>
      <c r="E609" s="1" t="inlineStr">
        <is>
          <t>variant</t>
        </is>
      </c>
    </row>
    <row r="610" ht="15" customHeight="1">
      <c r="A610" t="inlineStr">
        <is>
          <t>NetHack</t>
        </is>
      </c>
      <c r="B610" t="inlineStr">
        <is>
          <t>Haque</t>
        </is>
      </c>
      <c r="C610" t="n">
        <v>1987</v>
      </c>
      <c r="E610" s="1" t="inlineStr">
        <is>
          <t>https://www.gamingonlinux.com/2015/10/project-maiden-review-plus-interview-with-developer-kevin-cole/</t>
        </is>
      </c>
    </row>
    <row r="611" ht="15" customHeight="1">
      <c r="A611" t="inlineStr">
        <is>
          <t>NetHack</t>
        </is>
      </c>
      <c r="B611" t="inlineStr">
        <is>
          <t>HyperRogue</t>
        </is>
      </c>
      <c r="C611" t="n">
        <v>1987</v>
      </c>
      <c r="E611" s="11" t="inlineStr">
        <is>
          <t>https://zenorogue.blogspot.com/search/label/sources</t>
        </is>
      </c>
    </row>
    <row r="612" ht="15" customHeight="1">
      <c r="A612" t="inlineStr">
        <is>
          <t>NetHack</t>
        </is>
      </c>
      <c r="B612" t="inlineStr">
        <is>
          <t>Incursion</t>
        </is>
      </c>
      <c r="C612" t="n">
        <v>1987</v>
      </c>
      <c r="E612" s="1" t="inlineStr">
        <is>
          <t>game credits</t>
        </is>
      </c>
    </row>
    <row r="613" ht="15" customHeight="1">
      <c r="A613" t="inlineStr">
        <is>
          <t>NetHack</t>
        </is>
      </c>
      <c r="B613" t="inlineStr">
        <is>
          <t>Iter Vehemens Ad Necem</t>
        </is>
      </c>
      <c r="C613" t="n">
        <v>1987</v>
      </c>
      <c r="E613" s="1" t="inlineStr">
        <is>
          <t>http://roguebasin.com/index.php/IVAN</t>
        </is>
      </c>
    </row>
    <row r="614" ht="15" customHeight="1">
      <c r="A614" t="inlineStr">
        <is>
          <t>NetHack</t>
        </is>
      </c>
      <c r="B614" t="inlineStr">
        <is>
          <t>KeeperRL</t>
        </is>
      </c>
      <c r="C614" t="n">
        <v>1987</v>
      </c>
      <c r="E614" s="1" t="inlineStr">
        <is>
          <t>check folder</t>
        </is>
      </c>
    </row>
    <row r="615" ht="15" customHeight="1">
      <c r="A615" t="inlineStr">
        <is>
          <t>NetHack</t>
        </is>
      </c>
      <c r="B615" t="inlineStr">
        <is>
          <t>LambdaRogue: The Book of Stars</t>
        </is>
      </c>
      <c r="C615" t="n">
        <v>1987</v>
      </c>
      <c r="E615" s="11" t="inlineStr">
        <is>
          <t>https://roguebasin.com/index.php/LambdaRogue</t>
        </is>
      </c>
    </row>
    <row r="616" ht="15" customHeight="1">
      <c r="A616" t="inlineStr">
        <is>
          <t>NetHack</t>
        </is>
      </c>
      <c r="B616" t="inlineStr">
        <is>
          <t>Linley's Dungeon Crawl</t>
        </is>
      </c>
      <c r="C616" t="n">
        <v>1987</v>
      </c>
      <c r="E616" s="1" t="inlineStr">
        <is>
          <t>https://roguebasin.com/index.php/Linley%27s_Dungeon_Crawl</t>
        </is>
      </c>
    </row>
    <row r="617" ht="15" customHeight="1">
      <c r="A617" t="inlineStr">
        <is>
          <t>NetHack</t>
        </is>
      </c>
      <c r="B617" t="inlineStr">
        <is>
          <t>Lost Flame</t>
        </is>
      </c>
      <c r="C617" t="n">
        <v>1987</v>
      </c>
      <c r="E617" s="1" t="inlineStr">
        <is>
          <t>check folder</t>
        </is>
      </c>
    </row>
    <row r="618" ht="15" customHeight="1">
      <c r="A618" t="inlineStr">
        <is>
          <t>NetHack</t>
        </is>
      </c>
      <c r="B618" t="inlineStr">
        <is>
          <t>Moonring</t>
        </is>
      </c>
      <c r="C618" t="n">
        <v>1987</v>
      </c>
      <c r="E618" s="1" t="inlineStr">
        <is>
          <t>check folder</t>
        </is>
      </c>
    </row>
    <row r="619" ht="15" customHeight="1">
      <c r="A619" t="inlineStr">
        <is>
          <t>Nethack</t>
        </is>
      </c>
      <c r="B619" t="inlineStr">
        <is>
          <t>Overworld</t>
        </is>
      </c>
      <c r="C619" t="n">
        <v>1987</v>
      </c>
      <c r="E619" t="inlineStr">
        <is>
          <t>check folder</t>
        </is>
      </c>
    </row>
    <row r="620" ht="15" customHeight="1">
      <c r="A620" t="inlineStr">
        <is>
          <t>NetHack</t>
        </is>
      </c>
      <c r="B620" t="inlineStr">
        <is>
          <t>Pathos: Nethack Codex</t>
        </is>
      </c>
      <c r="C620" t="n">
        <v>1987</v>
      </c>
      <c r="E620" s="1" t="inlineStr">
        <is>
          <t>https://www.roguebasin.com/index.php/Pathos:_NetHack_Codex</t>
        </is>
      </c>
    </row>
    <row r="621" ht="15" customHeight="1">
      <c r="A621" t="inlineStr">
        <is>
          <t>NetHack</t>
        </is>
      </c>
      <c r="B621" t="inlineStr">
        <is>
          <t>Powder</t>
        </is>
      </c>
      <c r="C621" t="n">
        <v>1987</v>
      </c>
      <c r="E621" s="1" t="inlineStr">
        <is>
          <t>https://roguebasin.com/index.php/POWDER</t>
        </is>
      </c>
    </row>
    <row r="622" ht="15" customHeight="1">
      <c r="A622" t="inlineStr">
        <is>
          <t>NetHack</t>
        </is>
      </c>
      <c r="B622" t="inlineStr">
        <is>
          <t>Ragnarok</t>
        </is>
      </c>
      <c r="C622" t="n">
        <v>1987</v>
      </c>
      <c r="E622" s="1" t="inlineStr">
        <is>
          <t>https://crpgaddict.blogspot.com/2020/02/game-354-ragnarok-1992.html</t>
        </is>
      </c>
    </row>
    <row r="623" ht="15" customHeight="1">
      <c r="A623" t="inlineStr">
        <is>
          <t>NetHack</t>
        </is>
      </c>
      <c r="B623" t="inlineStr">
        <is>
          <t>Rift Wizard</t>
        </is>
      </c>
      <c r="C623" t="n">
        <v>1987</v>
      </c>
      <c r="E623" s="11" t="inlineStr">
        <is>
          <t>https://www.youtube.com/watch?v=xsmbVWflwpw</t>
        </is>
      </c>
    </row>
    <row r="624" ht="15" customHeight="1">
      <c r="A624" t="inlineStr">
        <is>
          <t>NetHack</t>
        </is>
      </c>
      <c r="B624" t="inlineStr">
        <is>
          <t>Slash'EM</t>
        </is>
      </c>
      <c r="C624" t="n">
        <v>1987</v>
      </c>
      <c r="E624" s="1" t="inlineStr">
        <is>
          <t>https://roguebasin.com/index.php/SLASH%27EM</t>
        </is>
      </c>
    </row>
    <row r="625" ht="15" customHeight="1">
      <c r="A625" t="inlineStr">
        <is>
          <t>NetHack</t>
        </is>
      </c>
      <c r="B625" t="inlineStr">
        <is>
          <t>Spelunky Classic</t>
        </is>
      </c>
      <c r="C625" t="n">
        <v>1987</v>
      </c>
      <c r="E625" s="1" t="inlineStr">
        <is>
          <t>https://en.wikipedia.org/wiki/Spelunky</t>
        </is>
      </c>
    </row>
    <row r="626" ht="15" customHeight="1">
      <c r="A626" t="inlineStr">
        <is>
          <t>NetHack</t>
        </is>
      </c>
      <c r="B626" t="inlineStr">
        <is>
          <t>Strange Adventures in Infinite Space</t>
        </is>
      </c>
      <c r="C626" t="n">
        <v>1987</v>
      </c>
      <c r="E626" s="1" t="inlineStr">
        <is>
          <t>https://www.gamedeveloper.com/design/making-a-case-for-short-games</t>
        </is>
      </c>
    </row>
    <row r="627" ht="15" customHeight="1">
      <c r="A627" t="inlineStr">
        <is>
          <t>NetHack</t>
        </is>
      </c>
      <c r="B627" t="inlineStr">
        <is>
          <t>Sword of the Stars: The Pit</t>
        </is>
      </c>
      <c r="C627" t="n">
        <v>1987</v>
      </c>
      <c r="E627" s="1" t="inlineStr">
        <is>
          <t>https://www.roguebasin.com/index.php/Sword_of_the_Stars:_The_Pit</t>
        </is>
      </c>
    </row>
    <row r="628" ht="15" customHeight="1">
      <c r="A628" t="inlineStr">
        <is>
          <t>NetHack</t>
        </is>
      </c>
      <c r="B628" t="inlineStr">
        <is>
          <t>UnReal World</t>
        </is>
      </c>
      <c r="C628" t="n">
        <v>1987</v>
      </c>
      <c r="E628" s="1" t="inlineStr">
        <is>
          <t>http://www.roguelikeradio.com/2013/09/this-is-episode-80-of-roguelike-radio.html</t>
        </is>
      </c>
    </row>
    <row r="629" ht="15" customHeight="1">
      <c r="A629" t="inlineStr">
        <is>
          <t>NetHack</t>
        </is>
      </c>
      <c r="B629" t="inlineStr">
        <is>
          <t>WazHack</t>
        </is>
      </c>
      <c r="C629" t="n">
        <v>1987</v>
      </c>
      <c r="E629" s="1" t="inlineStr">
        <is>
          <t>https://www.reddit.com/r/WazHack/comments/2dgp8s/question_is_wazhack_based_of_of_nethack/</t>
        </is>
      </c>
    </row>
    <row r="630" ht="15" customHeight="1">
      <c r="A630" t="inlineStr">
        <is>
          <t>Node Farm</t>
        </is>
      </c>
      <c r="B630" t="inlineStr">
        <is>
          <t>Node Crown</t>
        </is>
      </c>
      <c r="C630" t="n">
        <v>2024</v>
      </c>
      <c r="D630" t="inlineStr">
        <is>
          <t>Yes</t>
        </is>
      </c>
      <c r="E630" s="1" t="n"/>
    </row>
    <row r="631" ht="15" customHeight="1">
      <c r="A631" t="inlineStr">
        <is>
          <t>Noita</t>
        </is>
      </c>
      <c r="B631" t="inlineStr">
        <is>
          <t>CleanFall</t>
        </is>
      </c>
      <c r="C631" t="n">
        <v>2019</v>
      </c>
      <c r="E631" s="1" t="inlineStr">
        <is>
          <t>dev is a noita fan also look at it</t>
        </is>
      </c>
    </row>
    <row r="632" ht="15" customHeight="1">
      <c r="A632" t="inlineStr">
        <is>
          <t>Noita</t>
        </is>
      </c>
      <c r="B632" t="inlineStr">
        <is>
          <t>Magicraft</t>
        </is>
      </c>
      <c r="C632" t="n">
        <v>2019</v>
      </c>
      <c r="E632" s="1" t="inlineStr">
        <is>
          <t>https://www.sohu.com/a/740136808_204824</t>
        </is>
      </c>
    </row>
    <row r="633" ht="15" customHeight="1">
      <c r="A633" t="inlineStr">
        <is>
          <t>Noita</t>
        </is>
      </c>
      <c r="B633" t="inlineStr">
        <is>
          <t>Pathogenic</t>
        </is>
      </c>
      <c r="C633" t="n">
        <v>2019</v>
      </c>
      <c r="E633" s="11" t="inlineStr">
        <is>
          <t>https://steamcommunity.com/app/3808690/discussions/0/574921459914426009/#c574921459914427191</t>
        </is>
      </c>
    </row>
    <row r="634" ht="15" customHeight="1">
      <c r="A634" t="inlineStr">
        <is>
          <t>Noita</t>
        </is>
      </c>
      <c r="B634" t="inlineStr">
        <is>
          <t>Primordialis</t>
        </is>
      </c>
      <c r="C634" t="n">
        <v>2019</v>
      </c>
      <c r="E634" s="1" t="inlineStr">
        <is>
          <t>https://youtu.be/3C_nZPTNy4E</t>
        </is>
      </c>
    </row>
    <row r="635" ht="15" customHeight="1">
      <c r="A635" t="inlineStr">
        <is>
          <t>Noita</t>
        </is>
      </c>
      <c r="B635" t="inlineStr">
        <is>
          <t>SULFUR</t>
        </is>
      </c>
      <c r="C635" t="n">
        <v>2019</v>
      </c>
      <c r="E635" s="1" t="inlineStr">
        <is>
          <t>mentioned multiple times by players as inspired by noita, and check folder for the dev saying he likes noita</t>
        </is>
      </c>
    </row>
    <row r="636" ht="15" customHeight="1">
      <c r="A636" t="inlineStr">
        <is>
          <t>Nubby's Number Factory</t>
        </is>
      </c>
      <c r="B636" t="inlineStr">
        <is>
          <t>Cursed Words</t>
        </is>
      </c>
      <c r="C636" t="n">
        <v>2024</v>
      </c>
      <c r="E636" s="1" t="inlineStr">
        <is>
          <t>https://www.youtube.com/watch?v=7SjRhK9wdEE</t>
        </is>
      </c>
    </row>
    <row r="637" ht="15" customHeight="1">
      <c r="A637" t="inlineStr">
        <is>
          <t>Nubby's Number Factory</t>
        </is>
      </c>
      <c r="B637" t="inlineStr">
        <is>
          <t>Pegs X Stickers</t>
        </is>
      </c>
      <c r="C637" t="n">
        <v>2024</v>
      </c>
      <c r="E637" s="11" t="inlineStr">
        <is>
          <t>https://x.com/MrMorrisGames/status/2030327854383190254</t>
        </is>
      </c>
    </row>
    <row r="638" ht="15" customHeight="1">
      <c r="A638" t="inlineStr">
        <is>
          <t>Nuclear Throne</t>
        </is>
      </c>
      <c r="B638" t="inlineStr">
        <is>
          <t>AK-xolotl</t>
        </is>
      </c>
      <c r="C638" t="n">
        <v>2015</v>
      </c>
      <c r="E638" s="1" t="inlineStr">
        <is>
          <t>https://www.reddit.com/r/Games/comments/v2kcsr/ama_were_the_team_behind_akxolotl_a_cute_but/</t>
        </is>
      </c>
    </row>
    <row r="639" ht="15" customHeight="1">
      <c r="A639" t="inlineStr">
        <is>
          <t>Nuclear Throne</t>
        </is>
      </c>
      <c r="B639" t="inlineStr">
        <is>
          <t>Astro Prospector</t>
        </is>
      </c>
      <c r="C639" t="n">
        <v>2015</v>
      </c>
      <c r="E639" s="1" t="inlineStr">
        <is>
          <t>check folder</t>
        </is>
      </c>
    </row>
    <row r="640" ht="15" customHeight="1">
      <c r="A640" t="inlineStr">
        <is>
          <t>Nuclear Throne</t>
        </is>
      </c>
      <c r="B640" t="inlineStr">
        <is>
          <t>Atomicrops</t>
        </is>
      </c>
      <c r="C640" t="n">
        <v>2015</v>
      </c>
      <c r="E640" s="1" t="inlineStr">
        <is>
          <t>https://www.reddit.com/r/Games/comments/czn9i5/were_the_developers_of_atomicrops_an_action/#:~:text=I%20got%20addicted%20to%20Stardew,simply%20stat%20upgrades%20or%20something).</t>
        </is>
      </c>
    </row>
    <row r="641" ht="15" customHeight="1">
      <c r="A641" t="inlineStr">
        <is>
          <t>Nuclear Throne</t>
        </is>
      </c>
      <c r="B641" t="inlineStr">
        <is>
          <t>Blazing Beaks</t>
        </is>
      </c>
      <c r="C641" t="n">
        <v>2015</v>
      </c>
      <c r="E641" s="1" t="inlineStr">
        <is>
          <t>check folder</t>
        </is>
      </c>
    </row>
    <row r="642" ht="15" customHeight="1">
      <c r="A642" t="inlineStr">
        <is>
          <t>Nuclear Throne</t>
        </is>
      </c>
      <c r="B642" t="inlineStr">
        <is>
          <t>Colt Canyon</t>
        </is>
      </c>
      <c r="C642" t="n">
        <v>2015</v>
      </c>
      <c r="E642" s="1" t="inlineStr">
        <is>
          <t>mentioned multiple times in discord and on steam discussions</t>
        </is>
      </c>
    </row>
    <row r="643" ht="15" customHeight="1">
      <c r="A643" t="inlineStr">
        <is>
          <t>Nuclear Throne</t>
        </is>
      </c>
      <c r="B643" t="inlineStr">
        <is>
          <t>Dead Estate</t>
        </is>
      </c>
      <c r="C643" t="n">
        <v>2015</v>
      </c>
      <c r="E643" s="1" t="inlineStr">
        <is>
          <t>https://milkbar-lads.itch.io/dead-estate</t>
        </is>
      </c>
    </row>
    <row r="644" ht="15" customHeight="1">
      <c r="A644" t="inlineStr">
        <is>
          <t>Nuclear Throne</t>
        </is>
      </c>
      <c r="B644" t="inlineStr">
        <is>
          <t>Enter the Gungeon</t>
        </is>
      </c>
      <c r="C644" t="n">
        <v>2015</v>
      </c>
      <c r="E644" s="1" t="inlineStr">
        <is>
          <t>https://en.wikipedia.org/wiki/Enter_the_Gungeon#:~:text=Though%20Crooks%20stated%20that%20The,Souls%2C%20and%20Metal%20Gear%20Solid.</t>
        </is>
      </c>
    </row>
    <row r="645" ht="15" customHeight="1">
      <c r="A645" t="inlineStr">
        <is>
          <t>Nuclear Throne</t>
        </is>
      </c>
      <c r="B645" t="inlineStr">
        <is>
          <t>GoNNER</t>
        </is>
      </c>
      <c r="C645" t="n">
        <v>2015</v>
      </c>
      <c r="E645" s="1" t="inlineStr">
        <is>
          <t>https://gamingbolt.com/gonner-interview-a-colorful-and-challenging-ride</t>
        </is>
      </c>
    </row>
    <row r="646" ht="15" customHeight="1">
      <c r="A646" t="inlineStr">
        <is>
          <t>Nuclear Throne</t>
        </is>
      </c>
      <c r="B646" t="inlineStr">
        <is>
          <t>Haque</t>
        </is>
      </c>
      <c r="C646" t="n">
        <v>2015</v>
      </c>
      <c r="E646" s="1" t="inlineStr">
        <is>
          <t>http://www.roguelikeradio.com/2019/02/episode-151-haque.html</t>
        </is>
      </c>
    </row>
    <row r="647" ht="15" customHeight="1">
      <c r="A647" t="inlineStr">
        <is>
          <t>Nuclear Throne</t>
        </is>
      </c>
      <c r="B647" t="inlineStr">
        <is>
          <t>Lone Ruin</t>
        </is>
      </c>
      <c r="C647" t="n">
        <v>2015</v>
      </c>
      <c r="E647" s="1" t="inlineStr">
        <is>
          <t>https://gamerant.com/lone-ruin-interview-roguelike-indie-game-design-inspirations-visuals-coding/#:~:text=As%20inspiration%20from%20different%20games,dangerous%20to%20go%20alone%22%20line.</t>
        </is>
      </c>
    </row>
    <row r="648" ht="15" customHeight="1">
      <c r="A648" t="inlineStr">
        <is>
          <t>Nuclear Throne</t>
        </is>
      </c>
      <c r="B648" t="inlineStr">
        <is>
          <t>NecroBouncer</t>
        </is>
      </c>
      <c r="C648" t="n">
        <v>2015</v>
      </c>
      <c r="E648" s="1" t="inlineStr">
        <is>
          <t>https://www.reddit.com/r/Games/comments/ziyl7m/this_is_alchemy_sheep_the_studio_behind_a/</t>
        </is>
      </c>
    </row>
    <row r="649" ht="15" customHeight="1">
      <c r="A649" t="inlineStr">
        <is>
          <t>Nuclear Throne</t>
        </is>
      </c>
      <c r="B649" t="inlineStr">
        <is>
          <t>Odinfall</t>
        </is>
      </c>
      <c r="C649" t="n">
        <v>2015</v>
      </c>
      <c r="E649" s="1" t="inlineStr">
        <is>
          <t>https://fextralife.com/odinfall-a-new-viking-themed-roguelite-coming-to-early-access/#:~:text=Odinfall%20Early%20Access%20on%20Steam&amp;text=According%20to%20Oscar%20Axelsson%20from,Throne%20and%20Enter%20the%20Gungeon.</t>
        </is>
      </c>
    </row>
    <row r="650" ht="15" customHeight="1">
      <c r="A650" t="inlineStr">
        <is>
          <t>Nuclear Throne</t>
        </is>
      </c>
      <c r="B650" t="inlineStr">
        <is>
          <t>Ogre Chambers 2222</t>
        </is>
      </c>
      <c r="C650" t="n">
        <v>2015</v>
      </c>
      <c r="E650" s="11" t="inlineStr">
        <is>
          <t>https://x.com/AntennaGames/status/2062052913199956449</t>
        </is>
      </c>
    </row>
    <row r="651" ht="15" customHeight="1">
      <c r="A651" t="inlineStr">
        <is>
          <t>Nuclear Throne</t>
        </is>
      </c>
      <c r="B651" t="inlineStr">
        <is>
          <t>One Step From Eden</t>
        </is>
      </c>
      <c r="C651" t="n">
        <v>2015</v>
      </c>
      <c r="E651" s="1" t="inlineStr">
        <is>
          <t>https://en.wikipedia.org/wiki/One_Step_From_Eden#:~:text=Development%20of%20the%20game%20began,a%20reference%20to%20the%20game.</t>
        </is>
      </c>
    </row>
    <row r="652" ht="15" customHeight="1">
      <c r="A652" t="inlineStr">
        <is>
          <t>Nuclear Throne</t>
        </is>
      </c>
      <c r="B652" t="inlineStr">
        <is>
          <t>RAM: Random Access Mayhem</t>
        </is>
      </c>
      <c r="C652" t="n">
        <v>2015</v>
      </c>
      <c r="E652" s="1" t="inlineStr">
        <is>
          <t>https://www.gamedeveloper.com/design/ram-random-access-mayhem-s-body-swapping-mechanic-was-born-from-challenges-playing-roguelikes</t>
        </is>
      </c>
    </row>
    <row r="653" ht="15" customHeight="1">
      <c r="A653" t="inlineStr">
        <is>
          <t>Nuclear Throne</t>
        </is>
      </c>
      <c r="B653" t="inlineStr">
        <is>
          <t>Repetendium</t>
        </is>
      </c>
      <c r="C653" t="n">
        <v>2015</v>
      </c>
      <c r="E653" s="1" t="inlineStr">
        <is>
          <t>check folder</t>
        </is>
      </c>
    </row>
    <row r="654" ht="15" customHeight="1">
      <c r="A654" t="inlineStr">
        <is>
          <t>Nuclear Throne</t>
        </is>
      </c>
      <c r="B654" t="inlineStr">
        <is>
          <t>Roboquest</t>
        </is>
      </c>
      <c r="C654" t="n">
        <v>2015</v>
      </c>
      <c r="E654" s="1" t="inlineStr">
        <is>
          <t>https://www.thecgview.com/p/roboquest-developer-interview</t>
        </is>
      </c>
    </row>
    <row r="655" ht="15" customHeight="1">
      <c r="A655" t="inlineStr">
        <is>
          <t>Nuclear Throne</t>
        </is>
      </c>
      <c r="B655" t="inlineStr">
        <is>
          <t>Rocket Rats</t>
        </is>
      </c>
      <c r="C655" t="n">
        <v>2015</v>
      </c>
      <c r="E655" s="1" t="inlineStr">
        <is>
          <t>check folder</t>
        </is>
      </c>
    </row>
    <row r="656" ht="15" customHeight="1">
      <c r="A656" t="inlineStr">
        <is>
          <t>Nuclear Throne</t>
        </is>
      </c>
      <c r="B656" t="inlineStr">
        <is>
          <t>Streets of Rogue</t>
        </is>
      </c>
      <c r="C656" t="n">
        <v>2015</v>
      </c>
      <c r="E656" s="1" t="inlineStr">
        <is>
          <t>https://store.steampowered.com/app/512900/Streets_of_Rogue/</t>
        </is>
      </c>
    </row>
    <row r="657" ht="15" customHeight="1">
      <c r="A657" t="inlineStr">
        <is>
          <t>Nuclear Throne</t>
        </is>
      </c>
      <c r="B657" t="inlineStr">
        <is>
          <t>Tiny Rogues</t>
        </is>
      </c>
      <c r="C657" t="n">
        <v>2015</v>
      </c>
      <c r="E657" s="1" t="inlineStr">
        <is>
          <t>https://creators.spotify.com/pod/show/openindie/episodes/29---Pixlpunk---Tiny-Rogues---RubyDev---Austria-e2ainqm/a-aafpjfq</t>
        </is>
      </c>
    </row>
    <row r="658" ht="15" customHeight="1">
      <c r="A658" t="inlineStr">
        <is>
          <t>Nuclear Throne</t>
        </is>
      </c>
      <c r="B658" t="inlineStr">
        <is>
          <t>Voidigo</t>
        </is>
      </c>
      <c r="C658" t="n">
        <v>2015</v>
      </c>
      <c r="E658" s="1" t="inlineStr">
        <is>
          <t>https://gamerant.com/voidigo-developer-art-rogue-like-interview/</t>
        </is>
      </c>
    </row>
    <row r="659" ht="15" customHeight="1">
      <c r="A659" t="inlineStr">
        <is>
          <t>Omega</t>
        </is>
      </c>
      <c r="B659" t="inlineStr">
        <is>
          <t>Incursion</t>
        </is>
      </c>
      <c r="C659" t="n">
        <v>1987</v>
      </c>
      <c r="E659" s="1" t="inlineStr">
        <is>
          <t>game credits</t>
        </is>
      </c>
    </row>
    <row r="660" ht="15" customHeight="1">
      <c r="A660" t="inlineStr">
        <is>
          <t>Omega</t>
        </is>
      </c>
      <c r="B660" t="inlineStr">
        <is>
          <t>Shadow of the Wyrm</t>
        </is>
      </c>
      <c r="C660" t="n">
        <v>1987</v>
      </c>
      <c r="E660" s="11" t="inlineStr">
        <is>
          <t>https://www.shadowofthewyrm.org/about.html</t>
        </is>
      </c>
    </row>
    <row r="661" ht="15" customHeight="1">
      <c r="A661" t="inlineStr">
        <is>
          <t>Omega</t>
        </is>
      </c>
      <c r="B661" t="inlineStr">
        <is>
          <t>UnReal World</t>
        </is>
      </c>
      <c r="C661" t="n">
        <v>1987</v>
      </c>
      <c r="E661" s="1" t="inlineStr">
        <is>
          <t>http://www.roguelikeradio.com/2013/09/this-is-episode-80-of-roguelike-radio.html</t>
        </is>
      </c>
    </row>
    <row r="662" ht="15" customHeight="1">
      <c r="A662" t="inlineStr">
        <is>
          <t>Omega Labyrinth</t>
        </is>
      </c>
      <c r="B662" t="inlineStr">
        <is>
          <t>Omega Labyrinth Z</t>
        </is>
      </c>
      <c r="C662" t="n">
        <v>2015</v>
      </c>
      <c r="D662" t="inlineStr">
        <is>
          <t>Yes</t>
        </is>
      </c>
    </row>
    <row r="663" ht="15" customHeight="1">
      <c r="A663" t="inlineStr">
        <is>
          <t>Omega Labyrinth Z</t>
        </is>
      </c>
      <c r="B663" t="inlineStr">
        <is>
          <t>Omega Labyrinth Life</t>
        </is>
      </c>
      <c r="C663" t="n">
        <v>2017</v>
      </c>
      <c r="D663" t="inlineStr">
        <is>
          <t>Yes</t>
        </is>
      </c>
    </row>
    <row r="664" ht="15" customHeight="1">
      <c r="A664" t="inlineStr">
        <is>
          <t>One Way Heroics</t>
        </is>
      </c>
      <c r="B664" t="inlineStr">
        <is>
          <t>Mystery Chronicle: One Way Heroics</t>
        </is>
      </c>
      <c r="C664" t="n">
        <v>2014</v>
      </c>
      <c r="D664" t="inlineStr">
        <is>
          <t>Yes</t>
        </is>
      </c>
      <c r="E664" s="11" t="n"/>
    </row>
    <row r="665" ht="15" customHeight="1">
      <c r="A665" t="inlineStr">
        <is>
          <t>Patch Quest</t>
        </is>
      </c>
      <c r="B665" t="inlineStr">
        <is>
          <t>Kādomon: Hyper Auto Battlers</t>
        </is>
      </c>
      <c r="C665" t="n">
        <v>2021</v>
      </c>
      <c r="E665" s="1" t="inlineStr">
        <is>
          <t>check folder</t>
        </is>
      </c>
    </row>
    <row r="666" ht="15" customHeight="1">
      <c r="A666" t="inlineStr">
        <is>
          <t>Pawnbarian</t>
        </is>
      </c>
      <c r="B666" t="inlineStr">
        <is>
          <t>The Ouroboros King</t>
        </is>
      </c>
      <c r="C666" t="n">
        <v>2021</v>
      </c>
      <c r="E666" s="1" t="inlineStr">
        <is>
          <t>https://www.reddit.com/r/Games/comments/10uappd/the_ouroboros_king_oriol_cosp_chess_based/</t>
        </is>
      </c>
    </row>
    <row r="667" ht="15" customHeight="1">
      <c r="A667" t="inlineStr">
        <is>
          <t>Peglin</t>
        </is>
      </c>
      <c r="B667" t="inlineStr">
        <is>
          <t>Arrogue</t>
        </is>
      </c>
      <c r="C667" t="n">
        <v>2022</v>
      </c>
      <c r="E667" s="1" t="inlineStr">
        <is>
          <t>https://www.reddit.com/r/roguelites/comments/1ic44r5/my_angry_bird_roguelike_is_finally_out_on_steam/</t>
        </is>
      </c>
    </row>
    <row r="668" ht="15" customHeight="1">
      <c r="A668" t="inlineStr">
        <is>
          <t>Peglin</t>
        </is>
      </c>
      <c r="B668" t="inlineStr">
        <is>
          <t>Cult of PiN</t>
        </is>
      </c>
      <c r="C668" t="n">
        <v>2022</v>
      </c>
      <c r="E668" s="11" t="inlineStr">
        <is>
          <t>https://www.reddit.com/r/roguelites/comments/1u78c4e/2_years_later_my_solo_pinball_roguelike_project/</t>
        </is>
      </c>
    </row>
    <row r="669" ht="15" customHeight="1">
      <c r="A669" t="inlineStr">
        <is>
          <t>Peglin</t>
        </is>
      </c>
      <c r="B669" t="inlineStr">
        <is>
          <t>Dungeon Clawler</t>
        </is>
      </c>
      <c r="C669" t="n">
        <v>2022</v>
      </c>
      <c r="E669" s="1" t="inlineStr">
        <is>
          <t>https://www.facebook.com/reel/931892201606258</t>
        </is>
      </c>
    </row>
    <row r="670" ht="15" customHeight="1">
      <c r="A670" t="inlineStr">
        <is>
          <t>Peglin</t>
        </is>
      </c>
      <c r="B670" t="inlineStr">
        <is>
          <t>Pegs X Stickers</t>
        </is>
      </c>
      <c r="C670" t="n">
        <v>2022</v>
      </c>
      <c r="E670" s="11" t="inlineStr">
        <is>
          <t>https://x.com/MrMorrisGames/status/2030327854383190254</t>
        </is>
      </c>
    </row>
    <row r="671" ht="15" customHeight="1">
      <c r="A671" t="inlineStr">
        <is>
          <t>Peglin</t>
        </is>
      </c>
      <c r="B671" t="inlineStr">
        <is>
          <t>Rune Dice</t>
        </is>
      </c>
      <c r="C671" t="n">
        <v>2022</v>
      </c>
      <c r="E671" s="11" t="inlineStr">
        <is>
          <t>https://www.reddit.com/r/Games/comments/1ker0jk/rune_dice_smart_raven_studio_peglininspired/</t>
        </is>
      </c>
    </row>
    <row r="672" ht="15" customHeight="1">
      <c r="A672" t="inlineStr">
        <is>
          <t>Peglin</t>
        </is>
      </c>
      <c r="B672" t="inlineStr">
        <is>
          <t>Steve's Warehouse: Physics. Roguelike. Chaos.</t>
        </is>
      </c>
      <c r="C672" t="n">
        <v>2022</v>
      </c>
      <c r="E672" s="1" t="inlineStr">
        <is>
          <t>https://store.steampowered.com/app/2902440/Steves_Warehouse_Physics_Roguelike_Chaos/</t>
        </is>
      </c>
    </row>
    <row r="673" ht="15" customHeight="1">
      <c r="A673" t="inlineStr">
        <is>
          <t>Pixel Dungeon</t>
        </is>
      </c>
      <c r="B673" t="inlineStr">
        <is>
          <t>OneBit Adventure</t>
        </is>
      </c>
      <c r="C673" t="n">
        <v>2012</v>
      </c>
      <c r="E673" s="1" t="inlineStr">
        <is>
          <t>https://youtu.be/ShnrIAmnN8I</t>
        </is>
      </c>
    </row>
    <row r="674" ht="15" customHeight="1">
      <c r="A674" t="inlineStr">
        <is>
          <t>Pixel Dungeon</t>
        </is>
      </c>
      <c r="B674" t="inlineStr">
        <is>
          <t>Shattered Pixel Dungeon</t>
        </is>
      </c>
      <c r="C674" t="n">
        <v>2012</v>
      </c>
      <c r="D674" t="inlineStr">
        <is>
          <t>Yes</t>
        </is>
      </c>
      <c r="E674" s="1" t="n"/>
    </row>
    <row r="675" ht="15" customHeight="1">
      <c r="A675" t="inlineStr">
        <is>
          <t>Pokémon Auto Chess</t>
        </is>
      </c>
      <c r="B675" t="inlineStr">
        <is>
          <t>Pokémon Auto Spire</t>
        </is>
      </c>
      <c r="C675" t="n">
        <v>2021</v>
      </c>
      <c r="E675" s="1" t="n"/>
    </row>
    <row r="676" ht="15" customHeight="1">
      <c r="A676" t="inlineStr">
        <is>
          <t>Pokémon Mystery Dungeon: Explorers of Time and Explorers of Darkness</t>
        </is>
      </c>
      <c r="B676" t="inlineStr">
        <is>
          <t>Pokémon Mystery Dungeon: Explorers of Sky</t>
        </is>
      </c>
      <c r="C676" t="n">
        <v>2007</v>
      </c>
      <c r="D676" t="inlineStr">
        <is>
          <t>Yes</t>
        </is>
      </c>
      <c r="E676" s="1" t="n"/>
    </row>
    <row r="677" ht="15" customHeight="1">
      <c r="A677" t="inlineStr">
        <is>
          <t>Pokémon Mystery Dungeon: Red and Blue Rescue Team</t>
        </is>
      </c>
      <c r="B677" t="inlineStr">
        <is>
          <t>Paper Animal Adventure</t>
        </is>
      </c>
      <c r="C677" t="n">
        <v>2005</v>
      </c>
      <c r="E677" s="1" t="inlineStr">
        <is>
          <t>https://www.reddit.com/r/indiegames/comments/1kfcwzq/i_worked_4_years_fulltime_on_my_dream_game/</t>
        </is>
      </c>
    </row>
    <row r="678" ht="15" customHeight="1">
      <c r="A678" t="inlineStr">
        <is>
          <t>Pokémon Mystery Dungeon: Red and Blue Rescue Team</t>
        </is>
      </c>
      <c r="B678" t="inlineStr">
        <is>
          <t>Pokémon Mystery Dungeon: Explorers of Time and Explorers of Darkness</t>
        </is>
      </c>
      <c r="C678" t="n">
        <v>2005</v>
      </c>
      <c r="D678" t="inlineStr">
        <is>
          <t>Yes</t>
        </is>
      </c>
      <c r="E678" s="1" t="n"/>
    </row>
    <row r="679" ht="15" customHeight="1">
      <c r="A679" t="inlineStr">
        <is>
          <t>Pokémon Mystery Dungeon: Red and Blue Rescue Team</t>
        </is>
      </c>
      <c r="B679" t="inlineStr">
        <is>
          <t>Pokémon Mystery Dungeon: Gates to Infinity</t>
        </is>
      </c>
      <c r="C679" t="n">
        <v>2005</v>
      </c>
      <c r="D679" t="inlineStr">
        <is>
          <t>Yes</t>
        </is>
      </c>
      <c r="E679" s="1" t="n"/>
    </row>
    <row r="680" ht="15" customHeight="1">
      <c r="A680" t="inlineStr">
        <is>
          <t>Pokémon Mystery Dungeon: Red and Blue Rescue Team</t>
        </is>
      </c>
      <c r="B680" t="inlineStr">
        <is>
          <t>Pokémon Mystery Dungeon: Rescue Team DX</t>
        </is>
      </c>
      <c r="C680" t="n">
        <v>2005</v>
      </c>
      <c r="D680" t="inlineStr">
        <is>
          <t>Yes</t>
        </is>
      </c>
      <c r="E680" s="1" t="n"/>
    </row>
    <row r="681" ht="15" customHeight="1">
      <c r="A681" t="inlineStr">
        <is>
          <t>Pokémon Mystery Dungeon: Red and Blue Rescue Team</t>
        </is>
      </c>
      <c r="B681" t="inlineStr">
        <is>
          <t>Pokémon Super Mystery Dungeon</t>
        </is>
      </c>
      <c r="C681" t="n">
        <v>2005</v>
      </c>
      <c r="D681" t="inlineStr">
        <is>
          <t>Yes</t>
        </is>
      </c>
      <c r="E681" s="1" t="n"/>
    </row>
    <row r="682" ht="15" customHeight="1">
      <c r="A682" t="inlineStr">
        <is>
          <t>PokéRogue</t>
        </is>
      </c>
      <c r="B682" t="inlineStr">
        <is>
          <t>Montabi</t>
        </is>
      </c>
      <c r="C682" t="n">
        <v>2024</v>
      </c>
      <c r="E682" s="11" t="inlineStr">
        <is>
          <t>https://www.akuparagames.com/2026/06/09/meeting-mankibo-the-team-behind-montabi/</t>
        </is>
      </c>
    </row>
    <row r="683" ht="15" customHeight="1">
      <c r="A683" t="inlineStr">
        <is>
          <t>PokéRogue</t>
        </is>
      </c>
      <c r="B683" t="inlineStr">
        <is>
          <t>PokeVoid</t>
        </is>
      </c>
      <c r="C683" t="n">
        <v>2024</v>
      </c>
      <c r="E683" s="1" t="inlineStr">
        <is>
          <t>https://pokevoid.com/</t>
        </is>
      </c>
    </row>
    <row r="684" ht="15" customHeight="1">
      <c r="A684" t="inlineStr">
        <is>
          <t>Popup Dungeon</t>
        </is>
      </c>
      <c r="B684" t="inlineStr">
        <is>
          <t>Aces &amp; Adventures</t>
        </is>
      </c>
      <c r="C684" t="n">
        <v>2020</v>
      </c>
      <c r="E684" s="1" t="inlineStr">
        <is>
          <t>https://creators.spotify.com/pod/show/the-indie-diarist/episodes/Indie-Diary-5-Enrique-Dryere-Triple-B-Titles---Creativity-as-Sacrifice--Secrets-of-Inspiration--DnD-and----Poker-e207m5b</t>
        </is>
      </c>
    </row>
    <row r="685" ht="15" customHeight="1">
      <c r="A685" t="inlineStr">
        <is>
          <t>Powder</t>
        </is>
      </c>
      <c r="B685" t="inlineStr">
        <is>
          <t>100 Rogues</t>
        </is>
      </c>
      <c r="C685" t="n">
        <v>2003</v>
      </c>
      <c r="E685" s="1" t="inlineStr">
        <is>
          <t>https://www.gamedeveloper.com/business/marketing-on-the-app-store-the-cautionary-tale-of-i-100-rogues-i-</t>
        </is>
      </c>
    </row>
    <row r="686" ht="15" customHeight="1">
      <c r="A686" t="inlineStr">
        <is>
          <t>Powder</t>
        </is>
      </c>
      <c r="B686" t="inlineStr">
        <is>
          <t>Catacomb Kids</t>
        </is>
      </c>
      <c r="C686" t="n">
        <v>2003</v>
      </c>
      <c r="E686" s="11" t="inlineStr">
        <is>
          <t>https://www.siliconera.com/catacomb-kids-interview-spelunky-comparisons-and-the-early-access-gamble/</t>
        </is>
      </c>
    </row>
    <row r="687" ht="15" customHeight="1">
      <c r="A687" t="inlineStr">
        <is>
          <t>Powder</t>
        </is>
      </c>
      <c r="B687" t="inlineStr">
        <is>
          <t>Haque</t>
        </is>
      </c>
      <c r="C687" t="n">
        <v>2003</v>
      </c>
      <c r="E687" s="1" t="inlineStr">
        <is>
          <t>https://roguebasin.com/index.php/Haque</t>
        </is>
      </c>
    </row>
    <row r="688" ht="15" customHeight="1">
      <c r="A688" t="inlineStr">
        <is>
          <t>Powder</t>
        </is>
      </c>
      <c r="B688" t="inlineStr">
        <is>
          <t>The Ground Gives Way</t>
        </is>
      </c>
      <c r="C688" t="n">
        <v>2003</v>
      </c>
      <c r="E688" s="1" t="inlineStr">
        <is>
          <t>https://roguebasin.com/index.php/The_Ground_Gives_Way</t>
        </is>
      </c>
    </row>
    <row r="689" ht="15" customHeight="1">
      <c r="A689" t="inlineStr">
        <is>
          <t>Powder</t>
        </is>
      </c>
      <c r="B689" t="inlineStr">
        <is>
          <t>Wayward</t>
        </is>
      </c>
      <c r="C689" t="n">
        <v>2003</v>
      </c>
      <c r="E689" s="11" t="inlineStr">
        <is>
          <t>https://roguebasin.com/index.php?title=Wayward</t>
        </is>
      </c>
    </row>
    <row r="690" ht="15" customHeight="1">
      <c r="A690" t="inlineStr">
        <is>
          <t>Ragnarok</t>
        </is>
      </c>
      <c r="B690" t="inlineStr">
        <is>
          <t>HyperRogue</t>
        </is>
      </c>
      <c r="C690" t="n">
        <v>1992</v>
      </c>
      <c r="E690" s="11" t="inlineStr">
        <is>
          <t>https://zenorogue.blogspot.com/search/label/sources</t>
        </is>
      </c>
    </row>
    <row r="691" ht="15" customHeight="1">
      <c r="A691" t="inlineStr">
        <is>
          <t>Ravenswatch</t>
        </is>
      </c>
      <c r="B691" t="inlineStr">
        <is>
          <t>Shape of Dreams</t>
        </is>
      </c>
      <c r="C691" t="n">
        <v>2023</v>
      </c>
      <c r="E691" s="1" t="inlineStr">
        <is>
          <t>https://screenrant.com/shape-of-dreams-eunseop-shim-interview/#:~:text=MOBAs%20were%20a%20key%20inspiration,like%20action%20roguelites%20in%20general.</t>
        </is>
      </c>
    </row>
    <row r="692" ht="15" customHeight="1">
      <c r="A692" t="inlineStr">
        <is>
          <t>Realm of the Mad God</t>
        </is>
      </c>
      <c r="B692" t="inlineStr">
        <is>
          <t>33 Immortals</t>
        </is>
      </c>
      <c r="C692" t="n">
        <v>2010</v>
      </c>
      <c r="E692" s="1" t="inlineStr">
        <is>
          <t>check folder</t>
        </is>
      </c>
    </row>
    <row r="693" ht="15" customHeight="1">
      <c r="A693" t="inlineStr">
        <is>
          <t>Realm of the Mad God</t>
        </is>
      </c>
      <c r="B693" t="inlineStr">
        <is>
          <t>Talented</t>
        </is>
      </c>
      <c r="C693" t="n">
        <v>2010</v>
      </c>
      <c r="E693" s="1" t="inlineStr">
        <is>
          <t>check folder</t>
        </is>
      </c>
    </row>
    <row r="694" ht="15" customHeight="1">
      <c r="A694" t="inlineStr">
        <is>
          <t>Renowned Explorers: International Society</t>
        </is>
      </c>
      <c r="B694" t="inlineStr">
        <is>
          <t>Worlds Upon The Wind</t>
        </is>
      </c>
      <c r="C694" t="n">
        <v>2015</v>
      </c>
      <c r="E694" t="inlineStr">
        <is>
          <t>check folder</t>
        </is>
      </c>
    </row>
    <row r="695" ht="15" customHeight="1">
      <c r="A695" t="inlineStr">
        <is>
          <t>Returnal</t>
        </is>
      </c>
      <c r="B695" t="inlineStr">
        <is>
          <t>Dark Light: Survivor</t>
        </is>
      </c>
      <c r="C695" t="n">
        <v>2023</v>
      </c>
      <c r="E695" s="11" t="inlineStr">
        <is>
          <t>https://x.com/search?q=from%3AMiraricogames%20survivors&amp;src=typed_query</t>
        </is>
      </c>
    </row>
    <row r="696" ht="15" customHeight="1">
      <c r="A696" t="inlineStr">
        <is>
          <t>Returnal</t>
        </is>
      </c>
      <c r="B696" t="inlineStr">
        <is>
          <t>Swapmeat</t>
        </is>
      </c>
      <c r="C696" t="n">
        <v>2023</v>
      </c>
      <c r="E696" s="1" t="inlineStr">
        <is>
          <t>https://www.reddit.com/r/pcgaming/comments/1f9y4d8/weve_been_making_our_totally_normal_coop_shooter/</t>
        </is>
      </c>
    </row>
    <row r="697" ht="15" customHeight="1">
      <c r="A697" t="inlineStr">
        <is>
          <t>Rift Wizard</t>
        </is>
      </c>
      <c r="B697" t="inlineStr">
        <is>
          <t>Path of Achra</t>
        </is>
      </c>
      <c r="C697" t="n">
        <v>2020</v>
      </c>
      <c r="E697" s="1" t="inlineStr">
        <is>
          <t>https://store.steampowered.com/app/2128270/Path_of_Achra/</t>
        </is>
      </c>
    </row>
    <row r="698" ht="15" customHeight="1">
      <c r="A698" t="inlineStr">
        <is>
          <t>Rift Wizard</t>
        </is>
      </c>
      <c r="B698" t="inlineStr">
        <is>
          <t>Rift Wizard 2</t>
        </is>
      </c>
      <c r="C698" t="n">
        <v>2020</v>
      </c>
      <c r="D698" t="inlineStr">
        <is>
          <t>Yes</t>
        </is>
      </c>
      <c r="E698" s="1" t="n"/>
    </row>
    <row r="699" ht="15" customHeight="1">
      <c r="A699" t="inlineStr">
        <is>
          <t>Rift Wizard 2</t>
        </is>
      </c>
      <c r="B699" t="inlineStr">
        <is>
          <t>Rift Wizard 3</t>
        </is>
      </c>
      <c r="C699" t="n">
        <v>2024</v>
      </c>
      <c r="D699" t="inlineStr">
        <is>
          <t>Yes</t>
        </is>
      </c>
      <c r="E699" s="1" t="n"/>
    </row>
    <row r="700" ht="15" customHeight="1">
      <c r="A700" t="inlineStr">
        <is>
          <t>Ring of Pain</t>
        </is>
      </c>
      <c r="B700" t="inlineStr">
        <is>
          <t>Winnie's Hole</t>
        </is>
      </c>
      <c r="C700" t="n">
        <v>2020</v>
      </c>
      <c r="D700" t="inlineStr">
        <is>
          <t>Yes</t>
        </is>
      </c>
      <c r="E700" s="1" t="n"/>
    </row>
    <row r="701" ht="15" customHeight="1">
      <c r="A701" t="inlineStr">
        <is>
          <t>Riptale</t>
        </is>
      </c>
      <c r="B701" t="inlineStr">
        <is>
          <t>Scourgebringer</t>
        </is>
      </c>
      <c r="C701" t="n">
        <v>2017</v>
      </c>
      <c r="E701" s="1" t="inlineStr">
        <is>
          <t>check folder</t>
        </is>
      </c>
    </row>
    <row r="702" ht="15" customHeight="1">
      <c r="A702" t="inlineStr">
        <is>
          <t>Risk of Rain</t>
        </is>
      </c>
      <c r="B702" t="inlineStr">
        <is>
          <t>Dead Cells</t>
        </is>
      </c>
      <c r="C702" t="n">
        <v>2013</v>
      </c>
      <c r="E702" s="1" t="inlineStr">
        <is>
          <t>https://mcvuk.com/development-news/when-we-made-dead-cells/</t>
        </is>
      </c>
    </row>
    <row r="703" ht="15" customHeight="1">
      <c r="A703" t="inlineStr">
        <is>
          <t>Risk of Rain</t>
        </is>
      </c>
      <c r="B703" t="inlineStr">
        <is>
          <t>In Celebration of Violence</t>
        </is>
      </c>
      <c r="C703" t="n">
        <v>2013</v>
      </c>
      <c r="E703" s="11" t="inlineStr">
        <is>
          <t>https://www.julianedisonart.com/icov</t>
        </is>
      </c>
    </row>
    <row r="704" ht="15" customHeight="1">
      <c r="A704" t="inlineStr">
        <is>
          <t>Risk of Rain</t>
        </is>
      </c>
      <c r="B704" t="inlineStr">
        <is>
          <t>Putrid Shot Ultra</t>
        </is>
      </c>
      <c r="C704" t="n">
        <v>2013</v>
      </c>
      <c r="E704" s="1" t="inlineStr">
        <is>
          <t>https://www.reddit.com/r/Games/comments/wifqwk/putrid_shot_ultra_abhi_sundu_chaotic_roguelike/</t>
        </is>
      </c>
    </row>
    <row r="705" ht="15" customHeight="1">
      <c r="A705" t="inlineStr">
        <is>
          <t>Risk of Rain</t>
        </is>
      </c>
      <c r="B705" t="inlineStr">
        <is>
          <t>Risk of Rain 2</t>
        </is>
      </c>
      <c r="C705" t="n">
        <v>2013</v>
      </c>
      <c r="D705" t="inlineStr">
        <is>
          <t>Yes</t>
        </is>
      </c>
      <c r="E705" s="1" t="n"/>
    </row>
    <row r="706" ht="15" customHeight="1">
      <c r="A706" t="inlineStr">
        <is>
          <t>Risk of Rain</t>
        </is>
      </c>
      <c r="B706" t="inlineStr">
        <is>
          <t>Risk of Rain Returns</t>
        </is>
      </c>
      <c r="C706" t="n">
        <v>2013</v>
      </c>
      <c r="D706" t="inlineStr">
        <is>
          <t>Yes</t>
        </is>
      </c>
      <c r="E706" s="1" t="n"/>
    </row>
    <row r="707" ht="15" customHeight="1">
      <c r="A707" t="inlineStr">
        <is>
          <t>Risk of Rain</t>
        </is>
      </c>
      <c r="B707" t="inlineStr">
        <is>
          <t>Shape of Dreams</t>
        </is>
      </c>
      <c r="C707" t="n">
        <v>2013</v>
      </c>
      <c r="E707" s="1" t="inlineStr">
        <is>
          <t>https://screenrant.com/shape-of-dreams-eunseop-shim-interview/#:~:text=MOBAs%20were%20a%20key%20inspiration,like%20action%20roguelites%20in%20general.</t>
        </is>
      </c>
    </row>
    <row r="708" ht="15" customHeight="1">
      <c r="A708" t="inlineStr">
        <is>
          <t>Risk of Rain</t>
        </is>
      </c>
      <c r="B708" t="inlineStr">
        <is>
          <t>Synthetik: Legion Rising</t>
        </is>
      </c>
      <c r="C708" t="n">
        <v>2013</v>
      </c>
      <c r="E708" s="1" t="inlineStr">
        <is>
          <t>https://www.reddit.com/r/IAmA/comments/9m53vr/after_a_failed_kickstarter_and_3_years_of_working/</t>
        </is>
      </c>
    </row>
    <row r="709" ht="15" customHeight="1">
      <c r="A709" t="inlineStr">
        <is>
          <t>Risk of Rain</t>
        </is>
      </c>
      <c r="B709" t="inlineStr">
        <is>
          <t>Wildfrost</t>
        </is>
      </c>
      <c r="C709" t="n">
        <v>2013</v>
      </c>
      <c r="E709" s="1" t="inlineStr">
        <is>
          <t>https://mcvuk.com/business-news/when-we-made-wildfrost/</t>
        </is>
      </c>
    </row>
    <row r="710" ht="15" customHeight="1">
      <c r="A710" t="inlineStr">
        <is>
          <t>Risk of Rain 2</t>
        </is>
      </c>
      <c r="B710" t="inlineStr">
        <is>
          <t>Dark Light: Survivor</t>
        </is>
      </c>
      <c r="C710" t="n">
        <v>2020</v>
      </c>
      <c r="E710" s="11" t="inlineStr">
        <is>
          <t>https://x.com/MirariRelics/status/2083184893182489017?s=20</t>
        </is>
      </c>
    </row>
    <row r="711" ht="15" customHeight="1">
      <c r="A711" t="inlineStr">
        <is>
          <t>Risk of Rain 2</t>
        </is>
      </c>
      <c r="B711" t="inlineStr">
        <is>
          <t>Endless Alice</t>
        </is>
      </c>
      <c r="C711" t="n">
        <v>2020</v>
      </c>
      <c r="E711" s="1" t="inlineStr">
        <is>
          <t>https://steamcommunity.com/app/1425000/discussions/0/595137684887848950/#c595137684887857500</t>
        </is>
      </c>
    </row>
    <row r="712" ht="15" customHeight="1">
      <c r="A712" t="inlineStr">
        <is>
          <t>Risk of Rain 2</t>
        </is>
      </c>
      <c r="B712" t="inlineStr">
        <is>
          <t>Everything is Crab</t>
        </is>
      </c>
      <c r="C712" t="n">
        <v>2020</v>
      </c>
      <c r="E712" s="1" t="inlineStr">
        <is>
          <t>check folder</t>
        </is>
      </c>
    </row>
    <row r="713" ht="15" customHeight="1">
      <c r="A713" t="inlineStr">
        <is>
          <t>Risk of Rain 2</t>
        </is>
      </c>
      <c r="B713" t="inlineStr">
        <is>
          <t>Gatekeeper</t>
        </is>
      </c>
      <c r="C713" t="n">
        <v>2020</v>
      </c>
      <c r="E713" s="1" t="inlineStr">
        <is>
          <t>look at it</t>
        </is>
      </c>
    </row>
    <row r="714" ht="15" customHeight="1">
      <c r="A714" t="inlineStr">
        <is>
          <t>Risk of Rain 2</t>
        </is>
      </c>
      <c r="B714" t="inlineStr">
        <is>
          <t>Lort</t>
        </is>
      </c>
      <c r="C714" t="n">
        <v>2020</v>
      </c>
      <c r="E714" s="1" t="inlineStr">
        <is>
          <t>https://www.reddit.com/r/pcgaming/comments/1p30oqw/were_big_distraction_an_indie_studio_founded_by/</t>
        </is>
      </c>
    </row>
    <row r="715" ht="15" customHeight="1">
      <c r="A715" t="inlineStr">
        <is>
          <t>Risk of Rain 2</t>
        </is>
      </c>
      <c r="B715" t="inlineStr">
        <is>
          <t>Megabonk</t>
        </is>
      </c>
      <c r="C715" t="n">
        <v>2020</v>
      </c>
      <c r="E715" s="1" t="inlineStr">
        <is>
          <t>check folder</t>
        </is>
      </c>
    </row>
    <row r="716" ht="15" customHeight="1">
      <c r="A716" t="inlineStr">
        <is>
          <t>Risk of Rain 2</t>
        </is>
      </c>
      <c r="B716" t="inlineStr">
        <is>
          <t>Morbid Metal</t>
        </is>
      </c>
      <c r="C716" t="n">
        <v>2020</v>
      </c>
      <c r="E716" s="1" t="inlineStr">
        <is>
          <t>check folder</t>
        </is>
      </c>
    </row>
    <row r="717" ht="15" customHeight="1">
      <c r="A717" t="inlineStr">
        <is>
          <t>Risk of Rain 2</t>
        </is>
      </c>
      <c r="B717" t="inlineStr">
        <is>
          <t>Muck</t>
        </is>
      </c>
      <c r="C717" t="n">
        <v>2020</v>
      </c>
      <c r="E717" s="1" t="inlineStr">
        <is>
          <t>https://youtu.be/GWc7QppCPHM</t>
        </is>
      </c>
    </row>
    <row r="718" ht="15" customHeight="1">
      <c r="A718" t="inlineStr">
        <is>
          <t>Risk of Rain 2</t>
        </is>
      </c>
      <c r="B718" t="inlineStr">
        <is>
          <t>PokéRogue</t>
        </is>
      </c>
      <c r="C718" t="n">
        <v>2020</v>
      </c>
      <c r="E718" s="1" t="inlineStr">
        <is>
          <t>check folder</t>
        </is>
      </c>
    </row>
    <row r="719" ht="15" customHeight="1">
      <c r="A719" t="inlineStr">
        <is>
          <t>Risk of Rain 2</t>
        </is>
      </c>
      <c r="B719" t="inlineStr">
        <is>
          <t>Serpent's Gaze</t>
        </is>
      </c>
      <c r="C719" t="n">
        <v>2020</v>
      </c>
      <c r="E719" t="inlineStr">
        <is>
          <t>check folder</t>
        </is>
      </c>
    </row>
    <row r="720" ht="15" customHeight="1">
      <c r="A720" t="inlineStr">
        <is>
          <t>Risk of Rain 2</t>
        </is>
      </c>
      <c r="B720" t="inlineStr">
        <is>
          <t>Shape Shifter: Formations</t>
        </is>
      </c>
      <c r="C720" t="n">
        <v>2020</v>
      </c>
      <c r="E720" s="11" t="inlineStr">
        <is>
          <t>https://www.reddit.com/r/Games/comments/16x0fkk/shape_shifter_formations_castec_studios_an_action/</t>
        </is>
      </c>
    </row>
    <row r="721" ht="15" customHeight="1">
      <c r="A721" t="inlineStr">
        <is>
          <t>Risk of Rain 2</t>
        </is>
      </c>
      <c r="B721" t="inlineStr">
        <is>
          <t>Swapmeat</t>
        </is>
      </c>
      <c r="C721" t="n">
        <v>2020</v>
      </c>
      <c r="E721" s="1" t="inlineStr">
        <is>
          <t>https://www.reddit.com/r/pcgaming/comments/1f9y4d8/weve_been_making_our_totally_normal_coop_shooter/</t>
        </is>
      </c>
    </row>
    <row r="722" ht="15" customHeight="1">
      <c r="A722" t="inlineStr">
        <is>
          <t>Risk of Rain 2</t>
        </is>
      </c>
      <c r="B722" t="inlineStr">
        <is>
          <t>Tears of Metal</t>
        </is>
      </c>
      <c r="C722" t="n">
        <v>2020</v>
      </c>
      <c r="E722" s="11" t="inlineStr">
        <is>
          <t>https://youtu.be/Jn9yS2eSJzg</t>
        </is>
      </c>
    </row>
    <row r="723" ht="15" customHeight="1">
      <c r="A723" t="inlineStr">
        <is>
          <t>Risk of Rain 2</t>
        </is>
      </c>
      <c r="B723" t="inlineStr">
        <is>
          <t>TerRoguelike</t>
        </is>
      </c>
      <c r="C723" t="n">
        <v>2020</v>
      </c>
      <c r="E723" s="1" t="inlineStr">
        <is>
          <t>it's clear from the discord messages</t>
        </is>
      </c>
    </row>
    <row r="724" ht="15" customHeight="1">
      <c r="A724" t="inlineStr">
        <is>
          <t>Risk of Rain 2</t>
        </is>
      </c>
      <c r="B724" t="inlineStr">
        <is>
          <t>Vellum</t>
        </is>
      </c>
      <c r="C724" t="n">
        <v>2020</v>
      </c>
      <c r="E724" s="1" t="inlineStr">
        <is>
          <t>https://rogueliker.com/vellum-inspirations/#:~:text=Vellum's%20Inspirations,chapter%20of%20the%20original%20series.</t>
        </is>
      </c>
    </row>
    <row r="725" ht="15" customHeight="1">
      <c r="A725" t="inlineStr">
        <is>
          <t>Roboquest</t>
        </is>
      </c>
      <c r="B725" t="inlineStr">
        <is>
          <t>Brew</t>
        </is>
      </c>
      <c r="C725" t="n">
        <v>2020</v>
      </c>
      <c r="E725" s="1" t="inlineStr">
        <is>
          <t>https://www.gamingfurever.com/news/editorials/brew-interview-with-ceo-of-snow-leaf-studios-isak-wahl#:~:text=JW%2C%20GF:%20What%20are%20some,us%20a%20lot%20of%20motivation.</t>
        </is>
      </c>
    </row>
    <row r="726" ht="15" customHeight="1">
      <c r="A726" t="inlineStr">
        <is>
          <t>Roboquest</t>
        </is>
      </c>
      <c r="B726" t="inlineStr">
        <is>
          <t>Swapmeat</t>
        </is>
      </c>
      <c r="C726" t="n">
        <v>2020</v>
      </c>
      <c r="E726" s="1" t="inlineStr">
        <is>
          <t>https://www.reddit.com/r/pcgaming/comments/1f9y4d8/weve_been_making_our_totally_normal_coop_shooter/</t>
        </is>
      </c>
    </row>
    <row r="727" ht="15" customHeight="1">
      <c r="A727" t="inlineStr">
        <is>
          <t>Rogue</t>
        </is>
      </c>
      <c r="B727" t="inlineStr">
        <is>
          <t>868-Hack</t>
        </is>
      </c>
      <c r="C727" t="n">
        <v>1980</v>
      </c>
      <c r="E727" s="1" t="inlineStr">
        <is>
          <t>https://www.gamedeveloper.com/design/how-michael-brough-s-love-of-exploring-a-single-game-mechanic-beget-i-cinco-paus-i-</t>
        </is>
      </c>
    </row>
    <row r="728" ht="15" customHeight="1">
      <c r="A728" t="inlineStr">
        <is>
          <t>Rogue</t>
        </is>
      </c>
      <c r="B728" t="inlineStr">
        <is>
          <t>Brogue</t>
        </is>
      </c>
      <c r="C728" t="n">
        <v>1980</v>
      </c>
      <c r="E728" s="1" t="inlineStr">
        <is>
          <t>https://roguebasin.com/index.php/Brogue</t>
        </is>
      </c>
    </row>
    <row r="729" ht="15" customHeight="1">
      <c r="A729" t="inlineStr">
        <is>
          <t>Rogue</t>
        </is>
      </c>
      <c r="B729" t="inlineStr">
        <is>
          <t>Castle of the Winds</t>
        </is>
      </c>
      <c r="C729" t="n">
        <v>1980</v>
      </c>
      <c r="E729" s="1" t="n"/>
    </row>
    <row r="730" ht="15" customHeight="1">
      <c r="A730" t="inlineStr">
        <is>
          <t>Rogue</t>
        </is>
      </c>
      <c r="B730" t="inlineStr">
        <is>
          <t>Cave Noire</t>
        </is>
      </c>
      <c r="C730" t="n">
        <v>1980</v>
      </c>
      <c r="E730" s="1" t="inlineStr">
        <is>
          <t>https://www.honestgamers.com/15273/game-boy/cave-noire/review.html (not an actual source, just an informed speculation)</t>
        </is>
      </c>
    </row>
    <row r="731" ht="15" customHeight="1">
      <c r="A731" t="inlineStr">
        <is>
          <t>Rogue</t>
        </is>
      </c>
      <c r="B731" t="inlineStr">
        <is>
          <t>Crypt of the NecroDancer</t>
        </is>
      </c>
      <c r="C731" t="n">
        <v>1980</v>
      </c>
      <c r="E731" s="1" t="inlineStr">
        <is>
          <t>https://www.reddit.com/r/Games/comments/2e7eti/hello_rgames_we_are_the_creators_of_the_roguelike/</t>
        </is>
      </c>
    </row>
    <row r="732" ht="15" customHeight="1">
      <c r="A732" t="inlineStr">
        <is>
          <t>Rogue</t>
        </is>
      </c>
      <c r="B732" t="inlineStr">
        <is>
          <t>Fatal Labyrinth</t>
        </is>
      </c>
      <c r="C732" t="n">
        <v>1980</v>
      </c>
      <c r="E732" s="1" t="inlineStr">
        <is>
          <t>https://segadoes.com/2017/06/16/fatal-labyrinth/#:~:text=Fatal%20Labyrinth%20is%20Sega's%20first,is%20a%20game%2Dbreaking%20affair. Also it shares a lot of similarities</t>
        </is>
      </c>
    </row>
    <row r="733" ht="15" customHeight="1">
      <c r="A733" t="inlineStr">
        <is>
          <t>Rogue</t>
        </is>
      </c>
      <c r="B733" t="inlineStr">
        <is>
          <t>Golden Light</t>
        </is>
      </c>
      <c r="C733" t="n">
        <v>1980</v>
      </c>
      <c r="E733" s="1" t="inlineStr">
        <is>
          <t>https://www.reddit.com/r/gamedev/comments/o8bzkt/one_year_into_early_access_for_golden_light_lets/</t>
        </is>
      </c>
    </row>
    <row r="734" ht="15" customHeight="1">
      <c r="A734" t="inlineStr">
        <is>
          <t>Rogue</t>
        </is>
      </c>
      <c r="B734" t="inlineStr">
        <is>
          <t>Hack</t>
        </is>
      </c>
      <c r="C734" t="n">
        <v>1980</v>
      </c>
      <c r="E734" s="1" t="n"/>
    </row>
    <row r="735" ht="15" customHeight="1">
      <c r="A735" t="inlineStr">
        <is>
          <t>Rogue</t>
        </is>
      </c>
      <c r="B735" t="inlineStr">
        <is>
          <t>HyperRogue</t>
        </is>
      </c>
      <c r="C735" t="n">
        <v>1980</v>
      </c>
      <c r="E735" s="11" t="inlineStr">
        <is>
          <t>https://zenorogue.blogspot.com/search/label/sources</t>
        </is>
      </c>
    </row>
    <row r="736" ht="15" customHeight="1">
      <c r="A736" t="inlineStr">
        <is>
          <t>Rogue</t>
        </is>
      </c>
      <c r="B736" t="inlineStr">
        <is>
          <t>Infra Arcana</t>
        </is>
      </c>
      <c r="C736" t="n">
        <v>1980</v>
      </c>
      <c r="E736" s="1" t="inlineStr">
        <is>
          <t>check folder</t>
        </is>
      </c>
    </row>
    <row r="737" ht="15" customHeight="1">
      <c r="A737" t="inlineStr">
        <is>
          <t>Rogue</t>
        </is>
      </c>
      <c r="B737" t="inlineStr">
        <is>
          <t>Larn</t>
        </is>
      </c>
      <c r="C737" t="n">
        <v>1980</v>
      </c>
      <c r="E737" s="1" t="inlineStr">
        <is>
          <t>https://roguebasin.com/index.php/Larn</t>
        </is>
      </c>
    </row>
    <row r="738" ht="15" customHeight="1">
      <c r="A738" t="inlineStr">
        <is>
          <t>Rogue</t>
        </is>
      </c>
      <c r="B738" t="inlineStr">
        <is>
          <t>Mission: Thunderbolt</t>
        </is>
      </c>
      <c r="C738" t="n">
        <v>1980</v>
      </c>
      <c r="E738" t="inlineStr">
        <is>
          <t>look at it</t>
        </is>
      </c>
    </row>
    <row r="739" ht="15" customHeight="1">
      <c r="A739" t="inlineStr">
        <is>
          <t>Rogue</t>
        </is>
      </c>
      <c r="B739" t="inlineStr">
        <is>
          <t>Moria</t>
        </is>
      </c>
      <c r="C739" t="n">
        <v>1980</v>
      </c>
      <c r="E739" s="1" t="inlineStr">
        <is>
          <t>https://roguebasin.com/index.php/Moria</t>
        </is>
      </c>
    </row>
    <row r="740" ht="15" customHeight="1">
      <c r="A740" t="inlineStr">
        <is>
          <t>Rogue</t>
        </is>
      </c>
      <c r="B740" t="inlineStr">
        <is>
          <t>Quasimorph</t>
        </is>
      </c>
      <c r="C740" t="n">
        <v>1980</v>
      </c>
      <c r="E740" s="1" t="inlineStr">
        <is>
          <t>https://sassygamers.com/2023/10/20/gamedev-interview-quasimorph/</t>
        </is>
      </c>
    </row>
    <row r="741" ht="15" customHeight="1">
      <c r="A741" t="inlineStr">
        <is>
          <t>Rogue</t>
        </is>
      </c>
      <c r="B741" t="inlineStr">
        <is>
          <t>Ragnarok</t>
        </is>
      </c>
      <c r="C741" t="n">
        <v>1980</v>
      </c>
      <c r="E741" s="1" t="inlineStr">
        <is>
          <t>https://crpgaddict.blogspot.com/2020/02/game-354-ragnarok-1992.html</t>
        </is>
      </c>
    </row>
    <row r="742" ht="15" customHeight="1">
      <c r="A742" t="inlineStr">
        <is>
          <t>Rogue</t>
        </is>
      </c>
      <c r="B742" t="inlineStr">
        <is>
          <t>Red Rogue</t>
        </is>
      </c>
      <c r="C742" t="n">
        <v>1980</v>
      </c>
      <c r="E742" s="11" t="inlineStr">
        <is>
          <t>https://www.youtube.com/watch?v=DASCE8BbvOI&amp;t=1s</t>
        </is>
      </c>
    </row>
    <row r="743" ht="15" customHeight="1">
      <c r="A743" t="inlineStr">
        <is>
          <t>Rogue</t>
        </is>
      </c>
      <c r="B743" t="inlineStr">
        <is>
          <t>Rogue Hearts Dungeon</t>
        </is>
      </c>
      <c r="C743" t="n">
        <v>1980</v>
      </c>
      <c r="E743" s="11" t="inlineStr">
        <is>
          <t>https://www.reddit.com/r/JRPG/comments/1k54nny/lets_discover_rogue_hearts_dungeon_jun_ota_and/#:~:text=Apparently%2C%20Ota%20was%20a%20well%20known%20figure,to%20connect%20Tokyo's%20three%20main%20universities%20that</t>
        </is>
      </c>
    </row>
    <row r="744" ht="15" customHeight="1">
      <c r="A744" t="inlineStr">
        <is>
          <t>Rogue</t>
        </is>
      </c>
      <c r="B744" t="inlineStr">
        <is>
          <t>Rogue-Fp</t>
        </is>
      </c>
      <c r="C744" t="n">
        <v>1980</v>
      </c>
      <c r="E744" s="1" t="inlineStr">
        <is>
          <t>https://roguebasin.com/index.php/ROGUE-FP</t>
        </is>
      </c>
    </row>
    <row r="745" ht="15" customHeight="1">
      <c r="A745" t="inlineStr">
        <is>
          <t>Rogue</t>
        </is>
      </c>
      <c r="B745" t="inlineStr">
        <is>
          <t>Rogue's Tale</t>
        </is>
      </c>
      <c r="C745" t="n">
        <v>1980</v>
      </c>
      <c r="E745" s="1" t="inlineStr">
        <is>
          <t>https://www.roguebasin.com/index.php/Rogue's_Tale</t>
        </is>
      </c>
    </row>
    <row r="746" ht="15" customHeight="1">
      <c r="A746" t="inlineStr">
        <is>
          <t>Rogue</t>
        </is>
      </c>
      <c r="B746" t="inlineStr">
        <is>
          <t>Sword of the Stars: The Pit</t>
        </is>
      </c>
      <c r="C746" t="n">
        <v>1980</v>
      </c>
      <c r="E746" s="1" t="inlineStr">
        <is>
          <t>https://www.roguebasin.com/index.php/Sword_of_the_Stars:_The_Pit</t>
        </is>
      </c>
    </row>
    <row r="747" ht="15" customHeight="1">
      <c r="A747" t="inlineStr">
        <is>
          <t>Rogue</t>
        </is>
      </c>
      <c r="B747" t="inlineStr">
        <is>
          <t>The Dungeon RPG</t>
        </is>
      </c>
      <c r="C747" t="n">
        <v>1980</v>
      </c>
      <c r="E747" s="11" t="inlineStr">
        <is>
          <t>https://www.reddit.com/r/JRPG/comments/1k54nny/lets_discover_rogue_hearts_dungeon_jun_ota_and/#:~:text=Apparently%2C%20Ota%20was%20a%20well%20known%20figure,to%20connect%20Tokyo's%20three%20main%20universities%20that</t>
        </is>
      </c>
    </row>
    <row r="748" ht="15" customHeight="1">
      <c r="A748" t="inlineStr">
        <is>
          <t>Rogue</t>
        </is>
      </c>
      <c r="B748" t="inlineStr">
        <is>
          <t>ToeJam &amp; Earl</t>
        </is>
      </c>
      <c r="C748" t="n">
        <v>1980</v>
      </c>
      <c r="E748" s="1" t="inlineStr">
        <is>
          <t>https://en.wikipedia.org/wiki/ToeJam_%26_Earl</t>
        </is>
      </c>
    </row>
    <row r="749" ht="15" customHeight="1">
      <c r="A749" t="inlineStr">
        <is>
          <t>Rogue</t>
        </is>
      </c>
      <c r="B749" t="inlineStr">
        <is>
          <t>Torneko's Great Adventure: Mystery Dungeon</t>
        </is>
      </c>
      <c r="C749" t="n">
        <v>1980</v>
      </c>
      <c r="E749" s="1" t="inlineStr">
        <is>
          <t>https://en.wikipedia.org/wiki/Torneko%27s_Great_Adventure</t>
        </is>
      </c>
    </row>
    <row r="750" ht="15" customHeight="1">
      <c r="A750" t="inlineStr">
        <is>
          <t>Rogue Legacy</t>
        </is>
      </c>
      <c r="B750" t="inlineStr">
        <is>
          <t>Crypt of the NecroDancer</t>
        </is>
      </c>
      <c r="C750" t="n">
        <v>2013</v>
      </c>
      <c r="E750" s="1" t="inlineStr">
        <is>
          <t>https://www.reddit.com/r/Games/comments/2e7eti/hello_rgames_we_are_the_creators_of_the_roguelike/</t>
        </is>
      </c>
    </row>
    <row r="751" ht="15" customHeight="1">
      <c r="A751" t="inlineStr">
        <is>
          <t>Rogue Legacy</t>
        </is>
      </c>
      <c r="B751" t="inlineStr">
        <is>
          <t>Dead Cells</t>
        </is>
      </c>
      <c r="C751" t="n">
        <v>2013</v>
      </c>
      <c r="E751" s="1" t="inlineStr">
        <is>
          <t>https://youtu.be/0MY03yNkuFI</t>
        </is>
      </c>
    </row>
    <row r="752" ht="15" customHeight="1">
      <c r="A752" t="inlineStr">
        <is>
          <t>Rogue Legacy</t>
        </is>
      </c>
      <c r="B752" t="inlineStr">
        <is>
          <t>Dunjungle</t>
        </is>
      </c>
      <c r="C752" t="n">
        <v>2013</v>
      </c>
      <c r="E752" s="1" t="inlineStr">
        <is>
          <t>https://www.reddit.com/r/IndieGaming/comments/1pji5gu/dunjungle_the_monkey_action_roguelite_is_out_on/#:~:text=A%20big%20of%20Rogue%20Legacy%2C%20Spelunky%2C%20Hades.,kinda%20got%20inspiration%20from%20all%20of%20them.</t>
        </is>
      </c>
    </row>
    <row r="753" ht="15" customHeight="1">
      <c r="A753" t="inlineStr">
        <is>
          <t>Rogue Legacy</t>
        </is>
      </c>
      <c r="B753" t="inlineStr">
        <is>
          <t>Flinthook</t>
        </is>
      </c>
      <c r="C753" t="n">
        <v>2013</v>
      </c>
      <c r="E753" s="1" t="inlineStr">
        <is>
          <t>https://en.wikipedia.org/wiki/Flinthook#:~:text=The%20game%20was%20inspired%20by,exceptionally%20difficult%20for%20all%20players.</t>
        </is>
      </c>
    </row>
    <row r="754" ht="15" customHeight="1">
      <c r="A754" t="inlineStr">
        <is>
          <t>Rogue Legacy</t>
        </is>
      </c>
      <c r="B754" t="inlineStr">
        <is>
          <t>Fury Unleashed</t>
        </is>
      </c>
      <c r="C754" t="n">
        <v>2013</v>
      </c>
      <c r="E754" s="1" t="inlineStr">
        <is>
          <t>https://store.steampowered.com/app/465200/Fury_Unleashed/#:~:text=Fury%20Unleashed%20was%20created%20by,like%20Contra%20and%20Metal%20Slug.</t>
        </is>
      </c>
    </row>
    <row r="755" ht="15" customHeight="1">
      <c r="A755" t="inlineStr">
        <is>
          <t>Rogue Legacy</t>
        </is>
      </c>
      <c r="B755" t="inlineStr">
        <is>
          <t>Immortal Redneck</t>
        </is>
      </c>
      <c r="C755" t="n">
        <v>2013</v>
      </c>
      <c r="E755" s="1" t="inlineStr">
        <is>
          <t>https://gamerheadquarters.com/articles/immortal-redneck-interview.html</t>
        </is>
      </c>
    </row>
    <row r="756" ht="15" customHeight="1">
      <c r="A756" t="inlineStr">
        <is>
          <t>Rogue Legacy</t>
        </is>
      </c>
      <c r="B756" t="inlineStr">
        <is>
          <t>Moonlighter</t>
        </is>
      </c>
      <c r="C756" t="n">
        <v>2013</v>
      </c>
      <c r="E756" s="1" t="inlineStr">
        <is>
          <t>https://mcvuk.com/development-news/when-we-made-moonlighter/</t>
        </is>
      </c>
    </row>
    <row r="757" ht="15" customHeight="1">
      <c r="A757" t="inlineStr">
        <is>
          <t>Rogue Legacy</t>
        </is>
      </c>
      <c r="B757" t="inlineStr">
        <is>
          <t>Rogue Heroes: Ruins of Tasos</t>
        </is>
      </c>
      <c r="C757" t="n">
        <v>2013</v>
      </c>
      <c r="E757" s="1" t="inlineStr">
        <is>
          <t>https://www.facebook.com/DreamHack/videos/rogue-heroes-ruins-of-tasos-developers-explain-how-why-the-game-came-together-go/440879170356208/</t>
        </is>
      </c>
    </row>
    <row r="758" ht="15" customHeight="1">
      <c r="A758" t="inlineStr">
        <is>
          <t>Rogue Legacy</t>
        </is>
      </c>
      <c r="B758" t="inlineStr">
        <is>
          <t>Rogue Legacy 2</t>
        </is>
      </c>
      <c r="C758" t="n">
        <v>2013</v>
      </c>
      <c r="D758" t="inlineStr">
        <is>
          <t>Yes</t>
        </is>
      </c>
      <c r="E758" s="1" t="n"/>
    </row>
    <row r="759" ht="15" customHeight="1">
      <c r="A759" t="inlineStr">
        <is>
          <t>Rogue Legacy</t>
        </is>
      </c>
      <c r="B759" t="inlineStr">
        <is>
          <t>Space Gladiators</t>
        </is>
      </c>
      <c r="C759" t="n">
        <v>2013</v>
      </c>
      <c r="E759" s="1" t="inlineStr">
        <is>
          <t>https://www.reddit.com/r/roguelites/comments/m2341u/space_gladiators_my_isaac_inspired_grotesque/</t>
        </is>
      </c>
    </row>
    <row r="760" ht="15" customHeight="1">
      <c r="A760" t="inlineStr">
        <is>
          <t>Rogue Legacy</t>
        </is>
      </c>
      <c r="B760" t="inlineStr">
        <is>
          <t>Sundered</t>
        </is>
      </c>
      <c r="C760" t="n">
        <v>2013</v>
      </c>
      <c r="E760" s="1" t="inlineStr">
        <is>
          <t>https://steamcommunity.com/app/535480/discussions/0/1693785035806645807/#c1693785035807819716</t>
        </is>
      </c>
    </row>
    <row r="761" ht="15" customHeight="1">
      <c r="A761" t="inlineStr">
        <is>
          <t>Rogue Legacy</t>
        </is>
      </c>
      <c r="B761" t="inlineStr">
        <is>
          <t>UnderMine</t>
        </is>
      </c>
      <c r="C761" t="n">
        <v>2013</v>
      </c>
      <c r="E761" s="1" t="inlineStr">
        <is>
          <t>https://www.shacknews.com/article/110700/undermine-dev-unearths-roguelike-rpg-info-in-interview</t>
        </is>
      </c>
    </row>
    <row r="762" ht="15" customHeight="1">
      <c r="A762" t="inlineStr">
        <is>
          <t>Rogue Tower</t>
        </is>
      </c>
      <c r="B762" t="inlineStr">
        <is>
          <t>Nordhold</t>
        </is>
      </c>
      <c r="C762" t="n">
        <v>2022</v>
      </c>
      <c r="E762" s="1" t="inlineStr">
        <is>
          <t>check folder</t>
        </is>
      </c>
    </row>
    <row r="763" ht="15" customHeight="1">
      <c r="A763" t="inlineStr">
        <is>
          <t>Rogue Tower</t>
        </is>
      </c>
      <c r="B763" t="inlineStr">
        <is>
          <t>Tower Dominion</t>
        </is>
      </c>
      <c r="C763" t="n">
        <v>2022</v>
      </c>
      <c r="E763" s="1" t="inlineStr">
        <is>
          <t>https://steamcommunity.com/app/3226530/discussions/0/592890533790115891/</t>
        </is>
      </c>
    </row>
    <row r="764" ht="15" customHeight="1">
      <c r="A764" t="inlineStr">
        <is>
          <t>Roguebook</t>
        </is>
      </c>
      <c r="B764" t="inlineStr">
        <is>
          <t>Dicefolk</t>
        </is>
      </c>
      <c r="C764" t="n">
        <v>2021</v>
      </c>
      <c r="E764" s="1" t="inlineStr">
        <is>
          <t>https://www.nintendolife.com/features/only-pokemon-can-make-pokemon-dicefolk-devs-on-finding-a-voice-in-a-crowded-genre</t>
        </is>
      </c>
    </row>
    <row r="765" ht="15" customHeight="1">
      <c r="A765" t="inlineStr">
        <is>
          <t>Roguebook</t>
        </is>
      </c>
      <c r="B765" t="inlineStr">
        <is>
          <t>The Spirit Lift</t>
        </is>
      </c>
      <c r="C765" t="n">
        <v>2021</v>
      </c>
      <c r="E765" s="1" t="inlineStr">
        <is>
          <t>https://youtu.be/MgSjfLOYMXg</t>
        </is>
      </c>
    </row>
    <row r="766" ht="15" customHeight="1">
      <c r="A766" t="inlineStr">
        <is>
          <t>Roll</t>
        </is>
      </c>
      <c r="B766" t="inlineStr">
        <is>
          <t>RollScape</t>
        </is>
      </c>
      <c r="C766" t="n">
        <v>2021</v>
      </c>
      <c r="E766" s="1" t="inlineStr">
        <is>
          <t>https://steamcommunity.com/games/2904290/announcements/detail/4185610799649293674#:~:text=RollScape%20is%20a%20game%20inspired,I%20played%20throughout%20the%20years.</t>
        </is>
      </c>
    </row>
    <row r="767" ht="15" customHeight="1">
      <c r="A767" t="inlineStr">
        <is>
          <t>Scourgebringer</t>
        </is>
      </c>
      <c r="B767" t="inlineStr">
        <is>
          <t>Galactic Glitch</t>
        </is>
      </c>
      <c r="C767" t="n">
        <v>2020</v>
      </c>
      <c r="E767" s="1" t="inlineStr">
        <is>
          <t>check folder</t>
        </is>
      </c>
    </row>
    <row r="768" ht="15" customHeight="1">
      <c r="A768" t="inlineStr">
        <is>
          <t>Scourgebringer</t>
        </is>
      </c>
      <c r="B768" t="inlineStr">
        <is>
          <t>Ogre Chambers 2222</t>
        </is>
      </c>
      <c r="C768" t="n">
        <v>2020</v>
      </c>
      <c r="E768" s="11" t="inlineStr">
        <is>
          <t>https://x.com/AntennaGames/status/2062052913199956449</t>
        </is>
      </c>
    </row>
    <row r="769" ht="15" customHeight="1">
      <c r="A769" t="inlineStr">
        <is>
          <t>Seraph's Last Stand</t>
        </is>
      </c>
      <c r="B769" t="inlineStr">
        <is>
          <t>9 Kings</t>
        </is>
      </c>
      <c r="C769" t="n">
        <v>2022</v>
      </c>
      <c r="D769" t="inlineStr">
        <is>
          <t>Yes</t>
        </is>
      </c>
      <c r="E769" s="1" t="n"/>
    </row>
    <row r="770" ht="15" customHeight="1">
      <c r="A770" t="inlineStr">
        <is>
          <t>Shattered Pixel Dungeon</t>
        </is>
      </c>
      <c r="B770" t="inlineStr">
        <is>
          <t>Lost For Swords</t>
        </is>
      </c>
      <c r="C770" t="n">
        <v>2014</v>
      </c>
      <c r="E770" s="11" t="inlineStr">
        <is>
          <t>https://www.reddit.com/r/iosgaming/comments/1hjehh9/lost_for_swords_a_dungeon_crawler_focusing_on/</t>
        </is>
      </c>
    </row>
    <row r="771" ht="15" customHeight="1">
      <c r="A771" t="inlineStr">
        <is>
          <t>Shiren the Wanderer (2008)</t>
        </is>
      </c>
      <c r="B771" t="inlineStr">
        <is>
          <t>Shiren the Wanderer 4: The Eye of God and the Devil's Navel</t>
        </is>
      </c>
      <c r="C771" t="n">
        <v>2008</v>
      </c>
      <c r="D771" t="inlineStr">
        <is>
          <t>Yes</t>
        </is>
      </c>
      <c r="E771" s="1" t="n"/>
    </row>
    <row r="772" ht="15" customHeight="1">
      <c r="A772" t="inlineStr">
        <is>
          <t>Shiren the Wanderer 2: Shiren's Castle and the Oni Invasion</t>
        </is>
      </c>
      <c r="B772" t="inlineStr">
        <is>
          <t>Shiren the Wanderer (2008)</t>
        </is>
      </c>
      <c r="C772" t="n">
        <v>2000</v>
      </c>
      <c r="D772" t="inlineStr">
        <is>
          <t>Yes</t>
        </is>
      </c>
      <c r="E772" s="1" t="n"/>
    </row>
    <row r="773" ht="15" customHeight="1">
      <c r="A773" t="inlineStr">
        <is>
          <t>Shiren the Wanderer 2: Shiren's Castle and the Oni Invasion</t>
        </is>
      </c>
      <c r="B773" t="inlineStr">
        <is>
          <t>Shiren the Wanderer Gaiden: Asuka the Swordswoman</t>
        </is>
      </c>
      <c r="C773" t="n">
        <v>2000</v>
      </c>
      <c r="D773" t="inlineStr">
        <is>
          <t>Yes</t>
        </is>
      </c>
      <c r="E773" s="1" t="n"/>
    </row>
    <row r="774" ht="15" customHeight="1">
      <c r="A774" t="inlineStr">
        <is>
          <t>Shiren the Wanderer 4: The Eye of God and the Devil's Navel</t>
        </is>
      </c>
      <c r="B774" t="inlineStr">
        <is>
          <t>Shiren the Wanderer: The Tower of Fortune and the Dice of Fate</t>
        </is>
      </c>
      <c r="C774" t="n">
        <v>2010</v>
      </c>
      <c r="D774" t="inlineStr">
        <is>
          <t>Yes</t>
        </is>
      </c>
      <c r="E774" s="1" t="n"/>
    </row>
    <row r="775" ht="15" customHeight="1">
      <c r="A775" t="inlineStr">
        <is>
          <t>Shiren the Wanderer GB: Monster of Moonlight Village</t>
        </is>
      </c>
      <c r="B775" t="inlineStr">
        <is>
          <t>Shiren the Wanderer GB2: Magic Castle of the Desert</t>
        </is>
      </c>
      <c r="C775" t="n">
        <v>1996</v>
      </c>
      <c r="D775" t="inlineStr">
        <is>
          <t>Yes</t>
        </is>
      </c>
      <c r="E775" s="1" t="n"/>
    </row>
    <row r="776" ht="15" customHeight="1">
      <c r="A776" t="inlineStr">
        <is>
          <t>Shiren the Wanderer: The Tower of Fortune and the Dice of Fate</t>
        </is>
      </c>
      <c r="B776" t="inlineStr">
        <is>
          <t>Shiren the Wanderer: The Mystery Dungeon of Serpentcoil Island</t>
        </is>
      </c>
      <c r="C776" t="n">
        <v>2010</v>
      </c>
      <c r="D776" t="inlineStr">
        <is>
          <t>Yes</t>
        </is>
      </c>
      <c r="E776" s="1" t="n"/>
    </row>
    <row r="777" ht="15" customHeight="1">
      <c r="A777" t="inlineStr">
        <is>
          <t>Shogun Showdown</t>
        </is>
      </c>
      <c r="B777" t="inlineStr">
        <is>
          <t>Tic Tactic</t>
        </is>
      </c>
      <c r="C777" t="n">
        <v>2023</v>
      </c>
      <c r="E777" s="1" t="inlineStr">
        <is>
          <t>check folder</t>
        </is>
      </c>
    </row>
    <row r="778" ht="15" customHeight="1">
      <c r="A778" t="inlineStr">
        <is>
          <t>Shoot First</t>
        </is>
      </c>
      <c r="B778" t="inlineStr">
        <is>
          <t>Nuclear Throne</t>
        </is>
      </c>
      <c r="C778" t="n">
        <v>2010</v>
      </c>
      <c r="E778" s="1" t="inlineStr">
        <is>
          <t>https://steamcommunity.com/app/242680/discussions/0/648811852292061582/</t>
        </is>
      </c>
    </row>
    <row r="779" ht="15" customHeight="1">
      <c r="A779" t="inlineStr">
        <is>
          <t>Shotgun King: The Final Checkmate</t>
        </is>
      </c>
      <c r="B779" t="inlineStr">
        <is>
          <t>Bingle Bingle</t>
        </is>
      </c>
      <c r="C779" t="n">
        <v>2022</v>
      </c>
      <c r="E779" s="1" t="inlineStr">
        <is>
          <t>check folder</t>
        </is>
      </c>
    </row>
    <row r="780" ht="15" customHeight="1">
      <c r="A780" t="inlineStr">
        <is>
          <t>Shotgun King: The Final Checkmate</t>
        </is>
      </c>
      <c r="B780" t="inlineStr">
        <is>
          <t>Chess Survivors</t>
        </is>
      </c>
      <c r="C780" t="n">
        <v>2022</v>
      </c>
      <c r="E780" s="11" t="inlineStr">
        <is>
          <t>https://www.youtube.com/watch?v=dfLSGkKC2ug</t>
        </is>
      </c>
    </row>
    <row r="781" ht="15" customHeight="1">
      <c r="A781" t="inlineStr">
        <is>
          <t>Shotgun King: The Final Checkmate</t>
        </is>
      </c>
      <c r="B781" t="inlineStr">
        <is>
          <t>The Ouroboros King</t>
        </is>
      </c>
      <c r="C781" t="n">
        <v>2022</v>
      </c>
      <c r="E781" s="1" t="inlineStr">
        <is>
          <t>https://www.reddit.com/r/Games/comments/10uappd/the_ouroboros_king_oriol_cosp_chess_based/</t>
        </is>
      </c>
    </row>
    <row r="782" ht="15" customHeight="1">
      <c r="A782" t="inlineStr">
        <is>
          <t>Skul: The Hero Slayer</t>
        </is>
      </c>
      <c r="B782" t="inlineStr">
        <is>
          <t>Realm of Ink</t>
        </is>
      </c>
      <c r="C782" t="n">
        <v>2020</v>
      </c>
      <c r="E782" s="1" t="inlineStr">
        <is>
          <t>https://rogueliker.com/realm-of-ink-interview/</t>
        </is>
      </c>
    </row>
    <row r="783" ht="15" customHeight="1">
      <c r="A783" t="inlineStr">
        <is>
          <t>Slash'EM</t>
        </is>
      </c>
      <c r="B783" t="inlineStr">
        <is>
          <t>Hack'EM</t>
        </is>
      </c>
      <c r="C783" t="n">
        <v>2006</v>
      </c>
      <c r="E783" s="1" t="inlineStr">
        <is>
          <t>https://nethackwiki.com/wiki/Hack%27EM</t>
        </is>
      </c>
    </row>
    <row r="784" ht="15" customHeight="1">
      <c r="A784" t="inlineStr">
        <is>
          <t>Slay the Spire</t>
        </is>
      </c>
      <c r="B784" t="inlineStr">
        <is>
          <t>9 Kings</t>
        </is>
      </c>
      <c r="C784" t="n">
        <v>2017</v>
      </c>
      <c r="E784" s="1" t="inlineStr">
        <is>
          <t>https://www.youtube.com/watch?v=9fxnPkfyHuA</t>
        </is>
      </c>
    </row>
    <row r="785" ht="15" customHeight="1">
      <c r="A785" t="inlineStr">
        <is>
          <t>Slay the Spire</t>
        </is>
      </c>
      <c r="B785" t="inlineStr">
        <is>
          <t>A la Card</t>
        </is>
      </c>
      <c r="C785" t="n">
        <v>2017</v>
      </c>
      <c r="E785" s="1" t="inlineStr">
        <is>
          <t>check folder</t>
        </is>
      </c>
    </row>
    <row r="786" ht="15" customHeight="1">
      <c r="A786" t="inlineStr">
        <is>
          <t>Slay the Spire</t>
        </is>
      </c>
      <c r="B786" t="inlineStr">
        <is>
          <t>Aces &amp; Adventures</t>
        </is>
      </c>
      <c r="C786" t="n">
        <v>2017</v>
      </c>
      <c r="E786" s="1" t="inlineStr">
        <is>
          <t>https://creators.spotify.com/pod/show/the-indie-diarist/episodes/Indie-Diary-5-Enrique-Dryere-Triple-B-Titles---Creativity-as-Sacrifice--Secrets-of-Inspiration--DnD-and----Poker-e207m5b</t>
        </is>
      </c>
    </row>
    <row r="787" ht="15" customHeight="1">
      <c r="A787" t="inlineStr">
        <is>
          <t>Slay the Spire</t>
        </is>
      </c>
      <c r="B787" t="inlineStr">
        <is>
          <t>Across the Obelisk</t>
        </is>
      </c>
      <c r="C787" t="n">
        <v>2017</v>
      </c>
      <c r="E787" s="1" t="inlineStr">
        <is>
          <t>duh also the devs talk about loving sts in discord</t>
        </is>
      </c>
    </row>
    <row r="788" ht="15" customHeight="1">
      <c r="A788" t="inlineStr">
        <is>
          <t>Slay the Spire</t>
        </is>
      </c>
      <c r="B788" t="inlineStr">
        <is>
          <t>Alina of the Arena</t>
        </is>
      </c>
      <c r="C788" t="n">
        <v>2017</v>
      </c>
      <c r="E788" s="1" t="inlineStr">
        <is>
          <t>https://store.steampowered.com/app/1668690/Alina_of_the_Arena/#:~:text=About%20This%20Game-,ABOUT,and%20'Into%20the%20Breach'.</t>
        </is>
      </c>
    </row>
    <row r="789" ht="15" customHeight="1">
      <c r="A789" t="inlineStr">
        <is>
          <t>Slay the Spire</t>
        </is>
      </c>
      <c r="B789" t="inlineStr">
        <is>
          <t>Arcanium: Rise of Akhan</t>
        </is>
      </c>
      <c r="C789" t="n">
        <v>2017</v>
      </c>
      <c r="E789" s="1" t="inlineStr">
        <is>
          <t>https://arcanium-rise-of-akhan.xsollasitebuilder.com/</t>
        </is>
      </c>
    </row>
    <row r="790" ht="15" customHeight="1">
      <c r="A790" t="inlineStr">
        <is>
          <t>Slay the Spire</t>
        </is>
      </c>
      <c r="B790" t="inlineStr">
        <is>
          <t>Archon Soul</t>
        </is>
      </c>
      <c r="C790" t="n">
        <v>2017</v>
      </c>
      <c r="E790" s="11" t="inlineStr">
        <is>
          <t>https://www.reddit.com/r/WebGames/comments/1m6esqf/archon_soul_its_been_a_year_and_a_half_of_hard/</t>
        </is>
      </c>
    </row>
    <row r="791" ht="15" customHeight="1">
      <c r="A791" t="inlineStr">
        <is>
          <t>Slay the Spire</t>
        </is>
      </c>
      <c r="B791" t="inlineStr">
        <is>
          <t>Arrogue</t>
        </is>
      </c>
      <c r="C791" t="n">
        <v>2017</v>
      </c>
      <c r="E791" s="1" t="inlineStr">
        <is>
          <t>https://www.reddit.com/r/roguelites/comments/1ic44r5/my_angry_bird_roguelike_is_finally_out_on_steam/</t>
        </is>
      </c>
    </row>
    <row r="792" ht="15" customHeight="1">
      <c r="A792" t="inlineStr">
        <is>
          <t>Slay the Spire</t>
        </is>
      </c>
      <c r="B792" t="inlineStr">
        <is>
          <t>As We Descend</t>
        </is>
      </c>
      <c r="C792" t="n">
        <v>2017</v>
      </c>
      <c r="E792" s="1" t="inlineStr">
        <is>
          <t>check folder</t>
        </is>
      </c>
    </row>
    <row r="793" ht="15" customHeight="1">
      <c r="A793" t="inlineStr">
        <is>
          <t>Slay the Spire</t>
        </is>
      </c>
      <c r="B793" t="inlineStr">
        <is>
          <t>Astral Ascent</t>
        </is>
      </c>
      <c r="C793" t="n">
        <v>2017</v>
      </c>
      <c r="E793" s="1" t="inlineStr">
        <is>
          <t>https://www.kickstarter.com/projects/hibernian-workshop/astral-ascent#:~:text=Inspired%20by%20rogue%2Dlite%20games,set%20of%20attacks%20and%20spells.</t>
        </is>
      </c>
    </row>
    <row r="794" ht="15" customHeight="1">
      <c r="A794" t="inlineStr">
        <is>
          <t>Slay the Spire</t>
        </is>
      </c>
      <c r="B794" t="inlineStr">
        <is>
          <t>Astrea: Six-Sided Oracles</t>
        </is>
      </c>
      <c r="C794" t="n">
        <v>2017</v>
      </c>
      <c r="E794" s="1" t="inlineStr">
        <is>
          <t>https://indiecator.org/2022/09/26/astrea-six-sided-oracles-interview/</t>
        </is>
      </c>
    </row>
    <row r="795" ht="15" customHeight="1">
      <c r="A795" t="inlineStr">
        <is>
          <t>Slay the Spire</t>
        </is>
      </c>
      <c r="B795" t="inlineStr">
        <is>
          <t>Atomicrops</t>
        </is>
      </c>
      <c r="C795" t="n">
        <v>2017</v>
      </c>
      <c r="E795" s="1" t="inlineStr">
        <is>
          <t>https://www.reddit.com/r/Games/comments/czn9i5/were_the_developers_of_atomicrops_an_action/#:~:text=I%20got%20addicted%20to%20Stardew,simply%20stat%20upgrades%20or%20something).</t>
        </is>
      </c>
    </row>
    <row r="796" ht="15" customHeight="1">
      <c r="A796" t="inlineStr">
        <is>
          <t>Slay the Spire</t>
        </is>
      </c>
      <c r="B796" t="inlineStr">
        <is>
          <t>Backpack Hero</t>
        </is>
      </c>
      <c r="C796" t="n">
        <v>2017</v>
      </c>
      <c r="E796" s="1" t="inlineStr">
        <is>
          <t>https://en.wikipedia.org/wiki/Backpack_Hero#:~:text=Main%20developer%20Jasper%20Cole%20stated,inventory%20as%20an%20additional%20inspiration.</t>
        </is>
      </c>
    </row>
    <row r="797" ht="15" customHeight="1">
      <c r="A797" t="inlineStr">
        <is>
          <t>Slay the Spire</t>
        </is>
      </c>
      <c r="B797" t="inlineStr">
        <is>
          <t>Banners of Ruin</t>
        </is>
      </c>
      <c r="C797" t="n">
        <v>2017</v>
      </c>
      <c r="E797" s="1" t="inlineStr">
        <is>
          <t>look at it</t>
        </is>
      </c>
    </row>
    <row r="798" ht="15" customHeight="1">
      <c r="A798" t="inlineStr">
        <is>
          <t>Slay the Spire</t>
        </is>
      </c>
      <c r="B798" t="inlineStr">
        <is>
          <t>Barda</t>
        </is>
      </c>
      <c r="C798" t="n">
        <v>2017</v>
      </c>
      <c r="E798" s="11" t="inlineStr">
        <is>
          <t>https://x.com/Mudita_Games/status/1988179400454500794</t>
        </is>
      </c>
    </row>
    <row r="799" ht="15" customHeight="1">
      <c r="A799" t="inlineStr">
        <is>
          <t>Slay the Spire</t>
        </is>
      </c>
      <c r="B799" t="inlineStr">
        <is>
          <t>Bella Wants Blood</t>
        </is>
      </c>
      <c r="C799" t="n">
        <v>2017</v>
      </c>
      <c r="E799" s="1" t="inlineStr">
        <is>
          <t>https://www.gamingonlinux.com/2024/07/bite-sized-roguelike-tower-defense-game-bella-wants-blood-releases-july-24/#:~:text=What%20they%20said%20about%20it,rewards%20that%20come%20with%20them.</t>
        </is>
      </c>
    </row>
    <row r="800" ht="15" customHeight="1">
      <c r="A800" t="inlineStr">
        <is>
          <t>Slay the Spire</t>
        </is>
      </c>
      <c r="B800" t="inlineStr">
        <is>
          <t>Beneath Oresa</t>
        </is>
      </c>
      <c r="C800" t="n">
        <v>2017</v>
      </c>
      <c r="E800" s="1" t="inlineStr">
        <is>
          <t>https://steamcommunity.com/app/1803400/discussions/0/3883848697076653164/?l=hungarian</t>
        </is>
      </c>
    </row>
    <row r="801" ht="15" customHeight="1">
      <c r="A801" t="inlineStr">
        <is>
          <t>Slay the Spire</t>
        </is>
      </c>
      <c r="B801" t="inlineStr">
        <is>
          <t>Black Jacket</t>
        </is>
      </c>
      <c r="C801" t="n">
        <v>2017</v>
      </c>
      <c r="E801" s="11" t="inlineStr">
        <is>
          <t>https://youtu.be/HyhYA69y62c</t>
        </is>
      </c>
    </row>
    <row r="802" ht="15" customHeight="1">
      <c r="A802" t="inlineStr">
        <is>
          <t>Slay the Spire</t>
        </is>
      </c>
      <c r="B802" t="inlineStr">
        <is>
          <t>Bounty of One</t>
        </is>
      </c>
      <c r="C802" t="n">
        <v>2017</v>
      </c>
      <c r="E802" s="1" t="inlineStr">
        <is>
          <t>check folder</t>
        </is>
      </c>
    </row>
    <row r="803" ht="15" customHeight="1">
      <c r="A803" t="inlineStr">
        <is>
          <t>Slay the Spire</t>
        </is>
      </c>
      <c r="B803" t="inlineStr">
        <is>
          <t>Brawl Tactics: Origins</t>
        </is>
      </c>
      <c r="C803" t="n">
        <v>2017</v>
      </c>
      <c r="E803" s="1" t="inlineStr">
        <is>
          <t>check folder</t>
        </is>
      </c>
    </row>
    <row r="804" ht="15" customHeight="1">
      <c r="A804" t="inlineStr">
        <is>
          <t>Slay the Spire</t>
        </is>
      </c>
      <c r="B804" t="inlineStr">
        <is>
          <t>Breach Wanderers</t>
        </is>
      </c>
      <c r="C804" t="n">
        <v>2017</v>
      </c>
      <c r="E804" s="1" t="inlineStr">
        <is>
          <t>https://www.reddit.com/r/Games/comments/s5izbt/breach_wanderers_baronnerie_games_roguelike/</t>
        </is>
      </c>
    </row>
    <row r="805" ht="15" customHeight="1">
      <c r="A805" t="inlineStr">
        <is>
          <t>Slay the Spire</t>
        </is>
      </c>
      <c r="B805" t="inlineStr">
        <is>
          <t>Breachway</t>
        </is>
      </c>
      <c r="C805" t="n">
        <v>2017</v>
      </c>
      <c r="E805" s="1" t="inlineStr">
        <is>
          <t>https://steamcommunity.com/app/2118810/discussions/1/3980680532379147080/#c6027566653452797874</t>
        </is>
      </c>
    </row>
    <row r="806" ht="15" customHeight="1">
      <c r="A806" t="inlineStr">
        <is>
          <t>Slay the Spire</t>
        </is>
      </c>
      <c r="B806" t="inlineStr">
        <is>
          <t>BroomSweeper</t>
        </is>
      </c>
      <c r="C806" t="n">
        <v>2017</v>
      </c>
      <c r="E806" s="1" t="inlineStr">
        <is>
          <t>check folder</t>
        </is>
      </c>
    </row>
    <row r="807" ht="15" customHeight="1">
      <c r="A807" t="inlineStr">
        <is>
          <t>Slay the Spire</t>
        </is>
      </c>
      <c r="B807" t="inlineStr">
        <is>
          <t>Chaos Zero Nightmare</t>
        </is>
      </c>
      <c r="C807" t="n">
        <v>2017</v>
      </c>
      <c r="E807" s="1" t="inlineStr">
        <is>
          <t>https://hardcoregamer.com/chaos-zero-nightmare-director-interview-tgs-2025/</t>
        </is>
      </c>
    </row>
    <row r="808" ht="15" customHeight="1">
      <c r="A808" t="inlineStr">
        <is>
          <t>Slay the Spire</t>
        </is>
      </c>
      <c r="B808" t="inlineStr">
        <is>
          <t>Chess Survivors</t>
        </is>
      </c>
      <c r="C808" t="n">
        <v>2017</v>
      </c>
      <c r="E808" s="11" t="inlineStr">
        <is>
          <t>https://www.youtube.com/watch?v=SI0_xHvFIKM</t>
        </is>
      </c>
    </row>
    <row r="809" ht="15" customHeight="1">
      <c r="A809" t="inlineStr">
        <is>
          <t>Slay the Spire</t>
        </is>
      </c>
      <c r="B809" t="inlineStr">
        <is>
          <t>Chrono Ark</t>
        </is>
      </c>
      <c r="C809" t="n">
        <v>2017</v>
      </c>
      <c r="E809" s="1" t="inlineStr">
        <is>
          <t>check folder</t>
        </is>
      </c>
    </row>
    <row r="810" ht="15" customHeight="1">
      <c r="A810" t="inlineStr">
        <is>
          <t>Slay the Spire</t>
        </is>
      </c>
      <c r="B810" t="inlineStr">
        <is>
          <t>Cluckmech Oasis</t>
        </is>
      </c>
      <c r="C810" t="n">
        <v>2017</v>
      </c>
      <c r="E810" s="11" t="inlineStr">
        <is>
          <t>https://caifuhao.eastmoney.com/news/20260725235351583816280</t>
        </is>
      </c>
    </row>
    <row r="811" ht="15" customHeight="1">
      <c r="A811" t="inlineStr">
        <is>
          <t>Slay the Spire</t>
        </is>
      </c>
      <c r="B811" t="inlineStr">
        <is>
          <t>Cobalt Core</t>
        </is>
      </c>
      <c r="C811" t="n">
        <v>2017</v>
      </c>
      <c r="E811" s="1" t="inlineStr">
        <is>
          <t>https://www.rockpapershotgun.com/the-making-of-cobalt-core-how-tabletop-simulator-and-inscryption-were-the-secret-catalysts-behind-this-clever-deckbuilding-roguelike</t>
        </is>
      </c>
    </row>
    <row r="812" ht="15" customHeight="1">
      <c r="A812" t="inlineStr">
        <is>
          <t>Slay the Spire</t>
        </is>
      </c>
      <c r="B812" t="inlineStr">
        <is>
          <t>Commander Quest</t>
        </is>
      </c>
      <c r="C812" t="n">
        <v>2017</v>
      </c>
      <c r="E812" s="1" t="inlineStr">
        <is>
          <t>https://www.reddit.com/r/Games/comments/1g2qolv/commander_quest_flyway_games_deck_building/#:~:text=I'm%20the%20game%20designer,battling%20from%20%22Clash%20Royale%22.</t>
        </is>
      </c>
    </row>
    <row r="813" ht="15" customHeight="1">
      <c r="A813" t="inlineStr">
        <is>
          <t>Slay the Spire</t>
        </is>
      </c>
      <c r="B813" t="inlineStr">
        <is>
          <t>Core Defense</t>
        </is>
      </c>
      <c r="C813" t="n">
        <v>2017</v>
      </c>
      <c r="E813" s="1" t="inlineStr">
        <is>
          <t>https://www.reddit.com/r/TowerDefense/comments/epx1qr/ive_just_released_core_defense_a_very_difficult/#:~:text=Oh%20and%20did%20I%20mention,insanely%20replayable%20for%20similar%20reasons.</t>
        </is>
      </c>
    </row>
    <row r="814" ht="15" customHeight="1">
      <c r="A814" t="inlineStr">
        <is>
          <t>Slay the Spire</t>
        </is>
      </c>
      <c r="B814" t="inlineStr">
        <is>
          <t>Cropdeck</t>
        </is>
      </c>
      <c r="C814" t="n">
        <v>2017</v>
      </c>
      <c r="E814" s="1" t="inlineStr">
        <is>
          <t>check folder</t>
        </is>
      </c>
    </row>
    <row r="815" ht="15" customHeight="1">
      <c r="A815" t="inlineStr">
        <is>
          <t>Slay the Spire</t>
        </is>
      </c>
      <c r="B815" t="inlineStr">
        <is>
          <t>Crush the Industry</t>
        </is>
      </c>
      <c r="C815" t="n">
        <v>2017</v>
      </c>
      <c r="E815" s="1" t="inlineStr">
        <is>
          <t>https://www.reddit.com/r/Games/comments/1bmxhsf/crush_the_industry_cognoggin_games_a_roguelike/</t>
        </is>
      </c>
    </row>
    <row r="816" ht="15" customHeight="1">
      <c r="A816" t="inlineStr">
        <is>
          <t>Slay the Spire</t>
        </is>
      </c>
      <c r="B816" t="inlineStr">
        <is>
          <t>Cursed Words</t>
        </is>
      </c>
      <c r="C816" t="n">
        <v>2017</v>
      </c>
      <c r="E816" s="1" t="inlineStr">
        <is>
          <t>https://www.youtube.com/watch?v=7SjRhK9wdEE</t>
        </is>
      </c>
    </row>
    <row r="817" ht="15" customHeight="1">
      <c r="A817" t="inlineStr">
        <is>
          <t>Slay the Spire</t>
        </is>
      </c>
      <c r="B817" t="inlineStr">
        <is>
          <t>Deck of Ashes</t>
        </is>
      </c>
      <c r="C817" t="n">
        <v>2017</v>
      </c>
      <c r="E817" s="1" t="inlineStr">
        <is>
          <t>https://steamcommunity.com/app/1016730/discussions/0/1814296907961762044/</t>
        </is>
      </c>
    </row>
    <row r="818" ht="15" customHeight="1">
      <c r="A818" t="inlineStr">
        <is>
          <t>Slay the Spire</t>
        </is>
      </c>
      <c r="B818" t="inlineStr">
        <is>
          <t>Deck of Haunts</t>
        </is>
      </c>
      <c r="C818" t="n">
        <v>2017</v>
      </c>
      <c r="E818" s="1" t="inlineStr">
        <is>
          <t>devs mention liking and playing sts multiple times in discord</t>
        </is>
      </c>
    </row>
    <row r="819" ht="15" customHeight="1">
      <c r="A819" t="inlineStr">
        <is>
          <t>Slay the Spire</t>
        </is>
      </c>
      <c r="B819" t="inlineStr">
        <is>
          <t>Decktamer</t>
        </is>
      </c>
      <c r="C819" t="n">
        <v>2017</v>
      </c>
      <c r="E819" s="1" t="inlineStr">
        <is>
          <t>check folder</t>
        </is>
      </c>
    </row>
    <row r="820" ht="15" customHeight="1">
      <c r="A820" t="inlineStr">
        <is>
          <t>Slay the Spire</t>
        </is>
      </c>
      <c r="B820" t="inlineStr">
        <is>
          <t>Deepest Chamber: Resurrection</t>
        </is>
      </c>
      <c r="C820" t="n">
        <v>2017</v>
      </c>
      <c r="E820" s="1" t="inlineStr">
        <is>
          <t>https://indiegamepicks.wordpress.com/2023/10/18/deepest-chamber-resurrection-interview/</t>
        </is>
      </c>
    </row>
    <row r="821" ht="15" customHeight="1">
      <c r="A821" t="inlineStr">
        <is>
          <t>Slay the Spire</t>
        </is>
      </c>
      <c r="B821" t="inlineStr">
        <is>
          <t>Demonic Mahjong</t>
        </is>
      </c>
      <c r="C821" t="n">
        <v>2017</v>
      </c>
      <c r="E821" s="1" t="inlineStr">
        <is>
          <t>check folder</t>
        </is>
      </c>
    </row>
    <row r="822" ht="15" customHeight="1">
      <c r="A822" t="inlineStr">
        <is>
          <t>Slay the Spire</t>
        </is>
      </c>
      <c r="B822" t="inlineStr">
        <is>
          <t>Dice &amp; Fold</t>
        </is>
      </c>
      <c r="C822" t="n">
        <v>2017</v>
      </c>
      <c r="E822" s="11" t="inlineStr">
        <is>
          <t>https://x.com/dicefold/status/1805536239212544285</t>
        </is>
      </c>
    </row>
    <row r="823" ht="15" customHeight="1">
      <c r="A823" t="inlineStr">
        <is>
          <t>Slay the Spire</t>
        </is>
      </c>
      <c r="B823" t="inlineStr">
        <is>
          <t>Dice Legends</t>
        </is>
      </c>
      <c r="C823" t="n">
        <v>2017</v>
      </c>
      <c r="E823" s="11" t="inlineStr">
        <is>
          <t>https://www.reddit.com/r/slaythespire/comments/1mqcqmg/dice_legends_a_love_letter_and_homage_to_slay_the/</t>
        </is>
      </c>
    </row>
    <row r="824" ht="15" customHeight="1">
      <c r="A824" t="inlineStr">
        <is>
          <t>Slay the Spire</t>
        </is>
      </c>
      <c r="B824" t="inlineStr">
        <is>
          <t>Dicealot</t>
        </is>
      </c>
      <c r="C824" t="n">
        <v>2017</v>
      </c>
      <c r="E824" s="1" t="inlineStr">
        <is>
          <t>https://store.steampowered.com/app/3035330/Dicealot/</t>
        </is>
      </c>
    </row>
    <row r="825" ht="15" customHeight="1">
      <c r="A825" t="inlineStr">
        <is>
          <t>Slay the Spire</t>
        </is>
      </c>
      <c r="B825" t="inlineStr">
        <is>
          <t>Dicefolk</t>
        </is>
      </c>
      <c r="C825" t="n">
        <v>2017</v>
      </c>
      <c r="E825" s="1" t="inlineStr">
        <is>
          <t>https://www.nintendolife.com/features/only-pokemon-can-make-pokemon-dicefolk-devs-on-finding-a-voice-in-a-crowded-genre</t>
        </is>
      </c>
    </row>
    <row r="826" ht="15" customHeight="1">
      <c r="A826" t="inlineStr">
        <is>
          <t>Slay the Spire</t>
        </is>
      </c>
      <c r="B826" t="inlineStr">
        <is>
          <t>Diceomancer</t>
        </is>
      </c>
      <c r="C826" t="n">
        <v>2017</v>
      </c>
      <c r="E826" t="inlineStr">
        <is>
          <t>check folder</t>
        </is>
      </c>
    </row>
    <row r="827" ht="15" customHeight="1">
      <c r="A827" t="inlineStr">
        <is>
          <t>Slay the Spire</t>
        </is>
      </c>
      <c r="B827" t="inlineStr">
        <is>
          <t>Die For The Lich</t>
        </is>
      </c>
      <c r="C827" t="n">
        <v>2017</v>
      </c>
      <c r="E827" s="1" t="inlineStr">
        <is>
          <t>https://www.gamespress.com/Die-For-The-Lich-is-coming-to-Early-Access-on-November-10th-2025</t>
        </is>
      </c>
    </row>
    <row r="828" ht="15" customHeight="1">
      <c r="A828" t="inlineStr">
        <is>
          <t>Slay the Spire</t>
        </is>
      </c>
      <c r="B828" t="inlineStr">
        <is>
          <t>Die in the Dungeon</t>
        </is>
      </c>
      <c r="C828" t="n">
        <v>2017</v>
      </c>
      <c r="E828" s="1" t="inlineStr">
        <is>
          <t>https://x.com/dieinthedungeon/status/1829950757699010949</t>
        </is>
      </c>
    </row>
    <row r="829" ht="15" customHeight="1">
      <c r="A829" t="inlineStr">
        <is>
          <t>Slay the Spire</t>
        </is>
      </c>
      <c r="B829" t="inlineStr">
        <is>
          <t>Dimensionals</t>
        </is>
      </c>
      <c r="C829" t="n">
        <v>2017</v>
      </c>
      <c r="E829" s="1" t="inlineStr">
        <is>
          <t>check folder</t>
        </is>
      </c>
    </row>
    <row r="830" ht="15" customHeight="1">
      <c r="A830" t="inlineStr">
        <is>
          <t>Slay the Spire</t>
        </is>
      </c>
      <c r="B830" t="inlineStr">
        <is>
          <t>Dog Witch</t>
        </is>
      </c>
      <c r="C830" t="n">
        <v>2017</v>
      </c>
      <c r="E830" s="1" t="inlineStr">
        <is>
          <t>https://store.steampowered.com/app/3548520/DOG_WITCH/</t>
        </is>
      </c>
    </row>
    <row r="831" ht="15" customHeight="1">
      <c r="A831" t="inlineStr">
        <is>
          <t>Slay the Spire</t>
        </is>
      </c>
      <c r="B831" t="inlineStr">
        <is>
          <t>Dungeon Clawler</t>
        </is>
      </c>
      <c r="C831" t="n">
        <v>2017</v>
      </c>
      <c r="E831" s="1" t="inlineStr">
        <is>
          <t>https://www.facebook.com/reel/931892201606258</t>
        </is>
      </c>
    </row>
    <row r="832" ht="15" customHeight="1">
      <c r="A832" t="inlineStr">
        <is>
          <t>Slay the Spire</t>
        </is>
      </c>
      <c r="B832" t="inlineStr">
        <is>
          <t>Ember Knights</t>
        </is>
      </c>
      <c r="C832" t="n">
        <v>2017</v>
      </c>
      <c r="E832" s="1" t="inlineStr">
        <is>
          <t>check folder</t>
        </is>
      </c>
    </row>
    <row r="833" ht="15" customHeight="1">
      <c r="A833" t="inlineStr">
        <is>
          <t>Slay the Spire</t>
        </is>
      </c>
      <c r="B833" t="inlineStr">
        <is>
          <t>Emberward</t>
        </is>
      </c>
      <c r="C833" t="n">
        <v>2017</v>
      </c>
      <c r="E833" s="1" t="inlineStr">
        <is>
          <t>mentions slay the spire multiple times in discord and also check the folder</t>
        </is>
      </c>
    </row>
    <row r="834" ht="15" customHeight="1">
      <c r="A834" t="inlineStr">
        <is>
          <t>Slay the Spire</t>
        </is>
      </c>
      <c r="B834" t="inlineStr">
        <is>
          <t>Everything is Crab</t>
        </is>
      </c>
      <c r="C834" t="n">
        <v>2017</v>
      </c>
      <c r="E834" s="1" t="inlineStr">
        <is>
          <t>check folder</t>
        </is>
      </c>
    </row>
    <row r="835" ht="15" customHeight="1">
      <c r="A835" t="inlineStr">
        <is>
          <t>Slay the Spire</t>
        </is>
      </c>
      <c r="B835" t="inlineStr">
        <is>
          <t>Fights in Tight Spaces</t>
        </is>
      </c>
      <c r="C835" t="n">
        <v>2017</v>
      </c>
      <c r="E835" s="1" t="inlineStr">
        <is>
          <t>https://youtu.be/zLmdMjZtDs4</t>
        </is>
      </c>
    </row>
    <row r="836" ht="15" customHeight="1">
      <c r="A836" t="inlineStr">
        <is>
          <t>Slay the Spire</t>
        </is>
      </c>
      <c r="B836" t="inlineStr">
        <is>
          <t>Fogpiercer</t>
        </is>
      </c>
      <c r="C836" t="n">
        <v>2017</v>
      </c>
      <c r="E836" s="11" t="inlineStr">
        <is>
          <t>https://www.reddit.com/r/Games/comments/1kjulpf/fogpiercer_mad_cookies_train_building_roguelike/</t>
        </is>
      </c>
    </row>
    <row r="837" ht="15" customHeight="1">
      <c r="A837" t="inlineStr">
        <is>
          <t>Slay the Spire</t>
        </is>
      </c>
      <c r="B837" t="inlineStr">
        <is>
          <t>For The Warp</t>
        </is>
      </c>
      <c r="C837" t="n">
        <v>2017</v>
      </c>
      <c r="E837" s="11" t="inlineStr">
        <is>
          <t>https://www.reddit.com/r/NintendoSwitch/comments/trax0e/hi_im_the_developer_of_for_the_warp_a_scifi/</t>
        </is>
      </c>
    </row>
    <row r="838" ht="15" customHeight="1">
      <c r="A838" t="inlineStr">
        <is>
          <t>Slay the Spire</t>
        </is>
      </c>
      <c r="B838" t="inlineStr">
        <is>
          <t>Forward: Escape the Fold</t>
        </is>
      </c>
      <c r="C838" t="n">
        <v>2017</v>
      </c>
      <c r="E838" s="1" t="inlineStr">
        <is>
          <t>https://twotinydice.itch.io/forward/devlog/355393/development-update-2-new-game-mode-cool-features</t>
        </is>
      </c>
    </row>
    <row r="839" ht="15" customHeight="1">
      <c r="A839" t="inlineStr">
        <is>
          <t>Slay the Spire</t>
        </is>
      </c>
      <c r="B839" t="inlineStr">
        <is>
          <t>Golfie</t>
        </is>
      </c>
      <c r="C839" t="n">
        <v>2022</v>
      </c>
      <c r="E839" s="1" t="inlineStr">
        <is>
          <t>mentions slay the spire multiple times in discord</t>
        </is>
      </c>
    </row>
    <row r="840" ht="15" customHeight="1">
      <c r="A840" t="inlineStr">
        <is>
          <t>Slay the Spire</t>
        </is>
      </c>
      <c r="B840" t="inlineStr">
        <is>
          <t>Gordian Quest</t>
        </is>
      </c>
      <c r="C840" t="n">
        <v>2017</v>
      </c>
      <c r="E840" s="11" t="inlineStr">
        <is>
          <t>https://www.pocketgamer.com/gordian-quest/interview/</t>
        </is>
      </c>
    </row>
    <row r="841" ht="15" customHeight="1">
      <c r="A841" t="inlineStr">
        <is>
          <t>Slay the Spire</t>
        </is>
      </c>
      <c r="B841" t="inlineStr">
        <is>
          <t>Griftlands</t>
        </is>
      </c>
      <c r="C841" t="n">
        <v>2017</v>
      </c>
      <c r="E841" s="1" t="inlineStr">
        <is>
          <t>https://youtu.be/gxLI-Zq8gqU</t>
        </is>
      </c>
    </row>
    <row r="842" ht="15" customHeight="1">
      <c r="A842" t="inlineStr">
        <is>
          <t>Slay the Spire</t>
        </is>
      </c>
      <c r="B842" t="inlineStr">
        <is>
          <t>Hadean Tactics</t>
        </is>
      </c>
      <c r="C842" t="n">
        <v>2017</v>
      </c>
      <c r="E842" s="1" t="n"/>
    </row>
    <row r="843" ht="15" customHeight="1">
      <c r="A843" t="inlineStr">
        <is>
          <t>Slay the Spire</t>
        </is>
      </c>
      <c r="B843" t="inlineStr">
        <is>
          <t>Hell Maiden</t>
        </is>
      </c>
      <c r="C843" t="n">
        <v>2017</v>
      </c>
      <c r="E843" s="11" t="inlineStr">
        <is>
          <t>https://x.com/hellmaidengame/status/1929946431311241324</t>
        </is>
      </c>
    </row>
    <row r="844" ht="15" customHeight="1">
      <c r="A844" t="inlineStr">
        <is>
          <t>Slay the Spire</t>
        </is>
      </c>
      <c r="B844" t="inlineStr">
        <is>
          <t>Hellcard</t>
        </is>
      </c>
      <c r="C844" t="n">
        <v>2017</v>
      </c>
      <c r="E844" s="1" t="inlineStr">
        <is>
          <t>https://www.ign.com/articles/claim-a-key-for-hellcard-the-turn-based-deckbuilding-rogue-lite-from-book-of-demons-developer</t>
        </is>
      </c>
    </row>
    <row r="845" ht="15" customHeight="1">
      <c r="A845" t="inlineStr">
        <is>
          <t>Slay the Spire</t>
        </is>
      </c>
      <c r="B845" t="inlineStr">
        <is>
          <t>Hive Blight</t>
        </is>
      </c>
      <c r="C845" t="n">
        <v>2017</v>
      </c>
      <c r="E845" s="1" t="inlineStr">
        <is>
          <t>check folder</t>
        </is>
      </c>
    </row>
    <row r="846" ht="15" customHeight="1">
      <c r="A846" t="inlineStr">
        <is>
          <t>Slay the Spire</t>
        </is>
      </c>
      <c r="B846" t="inlineStr">
        <is>
          <t>Hungry Horrors</t>
        </is>
      </c>
      <c r="C846" t="n">
        <v>2017</v>
      </c>
      <c r="E846" s="1" t="inlineStr">
        <is>
          <t>https://www.youtube.com/watch?v=txv0XsRrFwo</t>
        </is>
      </c>
    </row>
    <row r="847" ht="15" customHeight="1">
      <c r="A847" t="inlineStr">
        <is>
          <t>Slay the Spire</t>
        </is>
      </c>
      <c r="B847" t="inlineStr">
        <is>
          <t>Inscryption</t>
        </is>
      </c>
      <c r="C847" t="n">
        <v>2017</v>
      </c>
      <c r="E847" s="11" t="inlineStr">
        <is>
          <t>https://www.digitallydownloaded.net/2021/10/four-quick-questions-for-developer-of.html</t>
        </is>
      </c>
    </row>
    <row r="848" ht="15" customHeight="1">
      <c r="A848" t="inlineStr">
        <is>
          <t>Slay the Spire</t>
        </is>
      </c>
      <c r="B848" t="inlineStr">
        <is>
          <t>Into The Grid</t>
        </is>
      </c>
      <c r="C848" t="n">
        <v>2017</v>
      </c>
      <c r="E848" t="inlineStr">
        <is>
          <t>check folder</t>
        </is>
      </c>
    </row>
    <row r="849" ht="15" customHeight="1">
      <c r="A849" t="inlineStr">
        <is>
          <t>Slay the Spire</t>
        </is>
      </c>
      <c r="B849" t="inlineStr">
        <is>
          <t>Iratus: Lord of the Dead</t>
        </is>
      </c>
      <c r="C849" t="n">
        <v>2017</v>
      </c>
      <c r="E849" s="1" t="inlineStr">
        <is>
          <t>https://iratus.org/faq</t>
        </is>
      </c>
    </row>
    <row r="850" ht="15" customHeight="1">
      <c r="A850" t="inlineStr">
        <is>
          <t>Slay the Spire</t>
        </is>
      </c>
      <c r="B850" t="inlineStr">
        <is>
          <t>Kādomon: Hyper Auto Battlers</t>
        </is>
      </c>
      <c r="C850" t="n">
        <v>2017</v>
      </c>
      <c r="E850" s="1" t="inlineStr">
        <is>
          <t>mutiple messages about sts and check folder</t>
        </is>
      </c>
    </row>
    <row r="851" ht="15" customHeight="1">
      <c r="A851" t="inlineStr">
        <is>
          <t>Slay the Spire</t>
        </is>
      </c>
      <c r="B851" t="inlineStr">
        <is>
          <t>Knock on the Coffin Lid</t>
        </is>
      </c>
      <c r="C851" t="n">
        <v>2017</v>
      </c>
      <c r="E851" s="1" t="inlineStr">
        <is>
          <t>check folder</t>
        </is>
      </c>
    </row>
    <row r="852" ht="15" customHeight="1">
      <c r="A852" t="inlineStr">
        <is>
          <t>Slay the Spire</t>
        </is>
      </c>
      <c r="B852" t="inlineStr">
        <is>
          <t>Legend of Keepers: Career of a Dungeon Manager</t>
        </is>
      </c>
      <c r="C852" t="n">
        <v>2017</v>
      </c>
      <c r="E852" s="1" t="inlineStr">
        <is>
          <t>https://legendofkeepers.fandom.com/wiki/Legend_of_Keepers</t>
        </is>
      </c>
    </row>
    <row r="853" ht="15" customHeight="1">
      <c r="A853" t="inlineStr">
        <is>
          <t>Slay the Spire</t>
        </is>
      </c>
      <c r="B853" t="inlineStr">
        <is>
          <t>Lost For Swords</t>
        </is>
      </c>
      <c r="C853" t="n">
        <v>2017</v>
      </c>
      <c r="E853" s="11" t="inlineStr">
        <is>
          <t>https://www.reddit.com/r/iosgaming/comments/1hjehh9/lost_for_swords_a_dungeon_crawler_focusing_on/</t>
        </is>
      </c>
    </row>
    <row r="854" ht="15" customHeight="1">
      <c r="A854" t="inlineStr">
        <is>
          <t>Slay the Spire</t>
        </is>
      </c>
      <c r="B854" t="inlineStr">
        <is>
          <t>Lost In Fantaland</t>
        </is>
      </c>
      <c r="C854" t="n">
        <v>2017</v>
      </c>
      <c r="E854" s="1" t="inlineStr">
        <is>
          <t>https://steamcommunity.com/app/1266430/discussions/0/3194745319517826630/#c3194745319530070972</t>
        </is>
      </c>
    </row>
    <row r="855" ht="15" customHeight="1">
      <c r="A855" t="inlineStr">
        <is>
          <t>Slay the Spire</t>
        </is>
      </c>
      <c r="B855" t="inlineStr">
        <is>
          <t>Luck &amp; Loot</t>
        </is>
      </c>
      <c r="C855" t="n">
        <v>2017</v>
      </c>
      <c r="E855" s="1" t="inlineStr">
        <is>
          <t>check folder</t>
        </is>
      </c>
    </row>
    <row r="856" ht="15" customHeight="1">
      <c r="A856" t="inlineStr">
        <is>
          <t>Slay the Spire</t>
        </is>
      </c>
      <c r="B856" t="inlineStr">
        <is>
          <t>Luck be a Landlord</t>
        </is>
      </c>
      <c r="C856" t="n">
        <v>2017</v>
      </c>
      <c r="E856" s="1" t="inlineStr">
        <is>
          <t>https://en.wikipedia.org/wiki/Luck_Be_a_Landlord#:~:text=Dan%20DiIorio%20developed%20Luck%20Be,pondering%20why%20rent%20was%20necessary.</t>
        </is>
      </c>
    </row>
    <row r="857" ht="15" customHeight="1">
      <c r="A857" t="inlineStr">
        <is>
          <t>Slay the Spire</t>
        </is>
      </c>
      <c r="B857" t="inlineStr">
        <is>
          <t>Magicraft</t>
        </is>
      </c>
      <c r="C857" t="n">
        <v>2017</v>
      </c>
      <c r="E857" s="1" t="inlineStr">
        <is>
          <t>https://www.sohu.com/a/740136808_204824</t>
        </is>
      </c>
    </row>
    <row r="858" ht="15" customHeight="1">
      <c r="A858" t="inlineStr">
        <is>
          <t>Slay the Spire</t>
        </is>
      </c>
      <c r="B858" t="inlineStr">
        <is>
          <t>Master of Piece</t>
        </is>
      </c>
      <c r="C858" t="n">
        <v>2017</v>
      </c>
      <c r="E858" s="11" t="inlineStr">
        <is>
          <t>https://x.com/imgame_official/status/1925464077654249724</t>
        </is>
      </c>
    </row>
    <row r="859" ht="15" customHeight="1">
      <c r="A859" t="inlineStr">
        <is>
          <t>Slay the Spire</t>
        </is>
      </c>
      <c r="B859" t="inlineStr">
        <is>
          <t>Meme Mayhem</t>
        </is>
      </c>
      <c r="C859" t="n">
        <v>2017</v>
      </c>
      <c r="E859" s="1" t="inlineStr">
        <is>
          <t>Perfect is based on defect</t>
        </is>
      </c>
    </row>
    <row r="860" ht="15" customHeight="1">
      <c r="A860" t="inlineStr">
        <is>
          <t>Slay the Spire</t>
        </is>
      </c>
      <c r="B860" t="inlineStr">
        <is>
          <t>Menace from the Deep</t>
        </is>
      </c>
      <c r="C860" t="n">
        <v>2017</v>
      </c>
      <c r="E860" s="1" t="inlineStr">
        <is>
          <t>https://mezha.media/en/articles/interview-with-artem-bazdyrev-about-the-development-and-release-of-menace-from-the-deep-problems-and-future-plans/</t>
        </is>
      </c>
    </row>
    <row r="861" ht="15" customHeight="1">
      <c r="A861" s="2" t="inlineStr">
        <is>
          <t>Slay the Spire</t>
        </is>
      </c>
      <c r="B861" s="3" t="inlineStr">
        <is>
          <t>Monmusu Gladiator</t>
        </is>
      </c>
      <c r="C861" s="3" t="n">
        <v>2017</v>
      </c>
      <c r="D861" s="3" t="n"/>
      <c r="E861" s="1" t="inlineStr">
        <is>
          <t>dev mentions slay the spire when talking about some specific decisions, check folder</t>
        </is>
      </c>
    </row>
    <row r="862" ht="15" customHeight="1">
      <c r="A862" t="inlineStr">
        <is>
          <t>Slay the Spire</t>
        </is>
      </c>
      <c r="B862" t="inlineStr">
        <is>
          <t>Monster Train</t>
        </is>
      </c>
      <c r="C862" t="n">
        <v>2017</v>
      </c>
      <c r="E862" s="1" t="inlineStr">
        <is>
          <t>look at it</t>
        </is>
      </c>
    </row>
    <row r="863" ht="15" customHeight="1">
      <c r="A863" s="2" t="inlineStr">
        <is>
          <t>Slay the Spire</t>
        </is>
      </c>
      <c r="B863" s="3" t="inlineStr">
        <is>
          <t>Montabi</t>
        </is>
      </c>
      <c r="C863" s="3" t="n">
        <v>2017</v>
      </c>
      <c r="D863" s="3" t="n"/>
      <c r="E863" s="11" t="inlineStr">
        <is>
          <t>https://x.com/PlayMontabi/status/2084484478647595121?s=20</t>
        </is>
      </c>
    </row>
    <row r="864" ht="15" customHeight="1">
      <c r="A864" t="inlineStr">
        <is>
          <t>Slay the Spire</t>
        </is>
      </c>
      <c r="B864" t="inlineStr">
        <is>
          <t>Morimens</t>
        </is>
      </c>
      <c r="C864" t="n">
        <v>2017</v>
      </c>
      <c r="E864" s="1" t="inlineStr">
        <is>
          <t>https://youtu.be/-Vsd5hUMAT8</t>
        </is>
      </c>
    </row>
    <row r="865" ht="15" customHeight="1">
      <c r="A865" t="inlineStr">
        <is>
          <t>Slay the Spire</t>
        </is>
      </c>
      <c r="B865" t="inlineStr">
        <is>
          <t>Mortal Sin</t>
        </is>
      </c>
      <c r="C865" t="n">
        <v>2017</v>
      </c>
      <c r="E865" s="1" t="inlineStr">
        <is>
          <t>check folder</t>
        </is>
      </c>
    </row>
    <row r="866" ht="15" customHeight="1">
      <c r="A866" t="inlineStr">
        <is>
          <t>Slay the Spire</t>
        </is>
      </c>
      <c r="B866" t="inlineStr">
        <is>
          <t>Nadir</t>
        </is>
      </c>
      <c r="C866" t="n">
        <v>2017</v>
      </c>
      <c r="E866" s="11" t="inlineStr">
        <is>
          <t>https://x.com/NadirTheGame/status/1585925975115702273?s=20</t>
        </is>
      </c>
    </row>
    <row r="867" ht="15" customHeight="1">
      <c r="A867" t="inlineStr">
        <is>
          <t>Slay the Spire</t>
        </is>
      </c>
      <c r="B867" t="inlineStr">
        <is>
          <t>Node Crown</t>
        </is>
      </c>
      <c r="C867" t="n">
        <v>2017</v>
      </c>
      <c r="E867" s="1" t="inlineStr">
        <is>
          <t>check folder</t>
        </is>
      </c>
    </row>
    <row r="868" ht="15" customHeight="1">
      <c r="A868" t="inlineStr">
        <is>
          <t>Slay the Spire</t>
        </is>
      </c>
      <c r="B868" t="inlineStr">
        <is>
          <t>Nordhold</t>
        </is>
      </c>
      <c r="C868" t="n">
        <v>2017</v>
      </c>
      <c r="E868" s="1" t="inlineStr">
        <is>
          <t>check folder</t>
        </is>
      </c>
    </row>
    <row r="869" ht="15" customHeight="1">
      <c r="A869" t="inlineStr">
        <is>
          <t>Slay the Spire</t>
        </is>
      </c>
      <c r="B869" t="inlineStr">
        <is>
          <t>Obsidian Prince</t>
        </is>
      </c>
      <c r="C869" t="n">
        <v>2017</v>
      </c>
      <c r="E869" s="11" t="inlineStr">
        <is>
          <t>https://youtu.be/lr9xu3YNwZE</t>
        </is>
      </c>
    </row>
    <row r="870" ht="15" customHeight="1">
      <c r="A870" t="inlineStr">
        <is>
          <t>Slay the Spire</t>
        </is>
      </c>
      <c r="B870" t="inlineStr">
        <is>
          <t>One Step From Eden</t>
        </is>
      </c>
      <c r="C870" t="n">
        <v>2017</v>
      </c>
      <c r="E870" s="1" t="inlineStr">
        <is>
          <t>https://en.wikipedia.org/wiki/One_Step_From_Eden#:~:text=Development%20of%20the%20game%20began,a%20reference%20to%20the%20game.</t>
        </is>
      </c>
    </row>
    <row r="871" ht="15" customHeight="1">
      <c r="A871" t="inlineStr">
        <is>
          <t>Slay the Spire</t>
        </is>
      </c>
      <c r="B871" t="inlineStr">
        <is>
          <t>Pairs &amp; Perils</t>
        </is>
      </c>
      <c r="C871" t="n">
        <v>2017</v>
      </c>
      <c r="E871" s="1" t="inlineStr">
        <is>
          <t>look at it</t>
        </is>
      </c>
    </row>
    <row r="872" ht="15" customHeight="1">
      <c r="A872" t="inlineStr">
        <is>
          <t>Slay the Spire</t>
        </is>
      </c>
      <c r="B872" t="inlineStr">
        <is>
          <t>Pawnbarian</t>
        </is>
      </c>
      <c r="C872" t="n">
        <v>2017</v>
      </c>
      <c r="E872" s="1" t="inlineStr">
        <is>
          <t>https://www.reddit.com/r/Games/comments/vftn02/pawnbarian_j4nw_a_chessinspired_tactical_puzzle/</t>
        </is>
      </c>
    </row>
    <row r="873" ht="15" customHeight="1">
      <c r="A873" t="inlineStr">
        <is>
          <t>Slay the Spire</t>
        </is>
      </c>
      <c r="B873" t="inlineStr">
        <is>
          <t>Peglin</t>
        </is>
      </c>
      <c r="C873" t="n">
        <v>2017</v>
      </c>
      <c r="E873" s="1" t="inlineStr">
        <is>
          <t>https://en.wikipedia.org/wiki/Peglin#:~:text=As%20design%20of%20the%20game,Bandicoot%20and%20Donkey%20Kong%20Country.</t>
        </is>
      </c>
    </row>
    <row r="874" ht="15" customHeight="1">
      <c r="A874" t="inlineStr">
        <is>
          <t>Slay the Spire</t>
        </is>
      </c>
      <c r="B874" t="inlineStr">
        <is>
          <t>Pluto</t>
        </is>
      </c>
      <c r="C874" t="n">
        <v>2017</v>
      </c>
      <c r="E874" s="1" t="inlineStr">
        <is>
          <t>check folder</t>
        </is>
      </c>
    </row>
    <row r="875" ht="15" customHeight="1">
      <c r="A875" t="inlineStr">
        <is>
          <t>Slay the Spire</t>
        </is>
      </c>
      <c r="B875" t="inlineStr">
        <is>
          <t>Pokelike</t>
        </is>
      </c>
      <c r="C875" t="n">
        <v>2017</v>
      </c>
      <c r="E875" s="1" t="inlineStr">
        <is>
          <t>https://www.reddit.com/r/pokemon/comments/1rp0vq7/i_made_a_roguelike_pokemon_autobattler/</t>
        </is>
      </c>
    </row>
    <row r="876" ht="15" customHeight="1">
      <c r="A876" t="inlineStr">
        <is>
          <t>Slay the Spire</t>
        </is>
      </c>
      <c r="B876" t="inlineStr">
        <is>
          <t>Pokémon Auto Spire</t>
        </is>
      </c>
      <c r="C876" t="n">
        <v>2017</v>
      </c>
      <c r="E876" s="1" t="n"/>
    </row>
    <row r="877" ht="15" customHeight="1">
      <c r="A877" t="inlineStr">
        <is>
          <t>Slay the Spire</t>
        </is>
      </c>
      <c r="B877" t="inlineStr">
        <is>
          <t>PokeVoid</t>
        </is>
      </c>
      <c r="C877" t="n">
        <v>2017</v>
      </c>
      <c r="E877" s="1" t="inlineStr">
        <is>
          <t>https://pokevoid.com/</t>
        </is>
      </c>
    </row>
    <row r="878" ht="15" customHeight="1">
      <c r="A878" t="inlineStr">
        <is>
          <t>Slay the Spire</t>
        </is>
      </c>
      <c r="B878" t="inlineStr">
        <is>
          <t>Ratropolis</t>
        </is>
      </c>
      <c r="C878" t="n">
        <v>2017</v>
      </c>
      <c r="E878" s="1" t="inlineStr">
        <is>
          <t>look at it</t>
        </is>
      </c>
    </row>
    <row r="879" ht="15" customHeight="1">
      <c r="A879" t="inlineStr">
        <is>
          <t>Slay the Spire</t>
        </is>
      </c>
      <c r="B879" t="inlineStr">
        <is>
          <t>Replicat</t>
        </is>
      </c>
      <c r="C879" t="n">
        <v>2017</v>
      </c>
      <c r="E879" s="11" t="inlineStr">
        <is>
          <t>https://x.com/brainoidgames/status/1925653290278121609</t>
        </is>
      </c>
    </row>
    <row r="880" ht="15" customHeight="1">
      <c r="A880" t="inlineStr">
        <is>
          <t>Slay the Spire</t>
        </is>
      </c>
      <c r="B880" t="inlineStr">
        <is>
          <t>Right and Down</t>
        </is>
      </c>
      <c r="C880" t="n">
        <v>2017</v>
      </c>
      <c r="E880" s="1" t="inlineStr">
        <is>
          <t>https://www.reddit.com/r/NintendoSwitch/comments/10q0wez/ama_the_roguelike_that_is_played_using_only_two/</t>
        </is>
      </c>
    </row>
    <row r="881" ht="15" customHeight="1">
      <c r="A881" t="inlineStr">
        <is>
          <t>Slay the Spire</t>
        </is>
      </c>
      <c r="B881" t="inlineStr">
        <is>
          <t>Ring of Pain</t>
        </is>
      </c>
      <c r="C881" t="n">
        <v>2017</v>
      </c>
      <c r="E881" s="1" t="inlineStr">
        <is>
          <t>https://www.reddit.com/r/NintendoSwitch/comments/jsi9x8/we_are_the_devs_behind_ring_of_pain_a_roguelike/</t>
        </is>
      </c>
    </row>
    <row r="882" ht="15" customHeight="1">
      <c r="A882" t="inlineStr">
        <is>
          <t>Slay the Spire</t>
        </is>
      </c>
      <c r="B882" t="inlineStr">
        <is>
          <t>Rogue Command</t>
        </is>
      </c>
      <c r="C882" t="n">
        <v>2017</v>
      </c>
      <c r="E882" s="1" t="inlineStr">
        <is>
          <t>https://steamcommunity.com/app/1461910/discussions/0/3363649332031630216/?l=finnish</t>
        </is>
      </c>
    </row>
    <row r="883" ht="15" customHeight="1">
      <c r="A883" t="inlineStr">
        <is>
          <t>Slay the Spire</t>
        </is>
      </c>
      <c r="B883" t="inlineStr">
        <is>
          <t>Rogue Lords</t>
        </is>
      </c>
      <c r="C883" t="n">
        <v>2017</v>
      </c>
      <c r="E883" s="1" t="n"/>
    </row>
    <row r="884" ht="15" customHeight="1">
      <c r="A884" t="inlineStr">
        <is>
          <t>Slay the Spire</t>
        </is>
      </c>
      <c r="B884" t="inlineStr">
        <is>
          <t>Rogue Voltage</t>
        </is>
      </c>
      <c r="C884" t="n">
        <v>2017</v>
      </c>
      <c r="E884" s="11" t="inlineStr">
        <is>
          <t>https://steamcommunity.com/app/1494560/discussions/0/4335355681660890217/#c4335355681661031211</t>
        </is>
      </c>
    </row>
    <row r="885" ht="15" customHeight="1">
      <c r="A885" t="inlineStr">
        <is>
          <t>Slay the Spire</t>
        </is>
      </c>
      <c r="B885" t="inlineStr">
        <is>
          <t>Roguebook</t>
        </is>
      </c>
      <c r="C885" t="n">
        <v>2017</v>
      </c>
      <c r="E885" s="1" t="inlineStr">
        <is>
          <t>https://venturebeat.com/games/roguebook-interview-rewriting-the-slay-to-spire-formula/</t>
        </is>
      </c>
    </row>
    <row r="886" ht="15" customHeight="1">
      <c r="A886" t="inlineStr">
        <is>
          <t>Slay the Spire</t>
        </is>
      </c>
      <c r="B886" t="inlineStr">
        <is>
          <t>RogueJack21</t>
        </is>
      </c>
      <c r="C886" t="n">
        <v>2017</v>
      </c>
      <c r="E886" s="1" t="inlineStr">
        <is>
          <t>https://www.reddit.com/r/godot/comments/1lo0rfm/14_months_of_work_on_my_1st_game_demo_is_now/#:~:text=Demo%20is%20now%20available!,-selfpromo%20(games)&amp;text=This%20video%20cannot%20be%20played.&amp;text=Hi%20fellow%20devs%2C%20I'm,it%20to%20get%20notified%20:)</t>
        </is>
      </c>
    </row>
    <row r="887" ht="15" customHeight="1">
      <c r="A887" t="inlineStr">
        <is>
          <t>Slay the Spire</t>
        </is>
      </c>
      <c r="B887" t="inlineStr">
        <is>
          <t>Roulette Hero</t>
        </is>
      </c>
      <c r="C887" t="n">
        <v>2017</v>
      </c>
      <c r="E887" s="11" t="inlineStr">
        <is>
          <t>https://x.com/CLLC_studio/status/1925866594078453892</t>
        </is>
      </c>
    </row>
    <row r="888" ht="15" customHeight="1">
      <c r="A888" t="inlineStr">
        <is>
          <t>Slay the Spire</t>
        </is>
      </c>
      <c r="B888" t="inlineStr">
        <is>
          <t>Runeveil</t>
        </is>
      </c>
      <c r="C888" t="n">
        <v>2017</v>
      </c>
      <c r="E888" s="11" t="inlineStr">
        <is>
          <t>https://www.reddit.com/r/deckbuildingroguelike/comments/1qszp8o/runeveil_sts_meets_balatro_is_on_steam/</t>
        </is>
      </c>
    </row>
    <row r="889" ht="15" customHeight="1">
      <c r="A889" t="inlineStr">
        <is>
          <t>Slay the Spire</t>
        </is>
      </c>
      <c r="B889" t="inlineStr">
        <is>
          <t>Rungore</t>
        </is>
      </c>
      <c r="C889" t="n">
        <v>2017</v>
      </c>
      <c r="E889" s="11" t="inlineStr">
        <is>
          <t>https://store.steampowered.com/app/2113040/RUNGORE/</t>
        </is>
      </c>
    </row>
    <row r="890" ht="15" customHeight="1">
      <c r="A890" t="inlineStr">
        <is>
          <t>Slay the Spire</t>
        </is>
      </c>
      <c r="B890" t="inlineStr">
        <is>
          <t>Seedborne Soldiers</t>
        </is>
      </c>
      <c r="C890" t="n">
        <v>2017</v>
      </c>
      <c r="E890" s="1" t="inlineStr">
        <is>
          <t>https://forum.godotengine.org/t/seedborne-soldiers-an-auto-battler-roguelike-demo-now-available-on-steam/83974</t>
        </is>
      </c>
    </row>
    <row r="891" ht="15" customHeight="1">
      <c r="A891" t="inlineStr">
        <is>
          <t>Slay the Spire</t>
        </is>
      </c>
      <c r="B891" t="inlineStr">
        <is>
          <t>Shadowveil: Legend of The Five Rings</t>
        </is>
      </c>
      <c r="C891" t="n">
        <v>2017</v>
      </c>
      <c r="E891" s="1" t="inlineStr">
        <is>
          <t>https://rogueliker.com/shadowveil-legend-of-the-five-rings-interview/</t>
        </is>
      </c>
    </row>
    <row r="892" ht="15" customHeight="1">
      <c r="A892" t="inlineStr">
        <is>
          <t>Slay the Spire</t>
        </is>
      </c>
      <c r="B892" t="inlineStr">
        <is>
          <t>Shogun Showdown</t>
        </is>
      </c>
      <c r="C892" t="n">
        <v>2017</v>
      </c>
      <c r="E892" s="1" t="inlineStr">
        <is>
          <t>https://shogunshowdown.wiki.gg/wiki/Shogun_Showdown</t>
        </is>
      </c>
    </row>
    <row r="893" ht="15" customHeight="1">
      <c r="A893" t="inlineStr">
        <is>
          <t>Slay the Spire</t>
        </is>
      </c>
      <c r="B893" t="inlineStr">
        <is>
          <t>Slay the Spire 2</t>
        </is>
      </c>
      <c r="C893" t="n">
        <v>2017</v>
      </c>
      <c r="D893" t="inlineStr">
        <is>
          <t>Yes</t>
        </is>
      </c>
      <c r="E893" s="1" t="n"/>
    </row>
    <row r="894" ht="15" customHeight="1">
      <c r="A894" t="inlineStr">
        <is>
          <t>Slay the Spire</t>
        </is>
      </c>
      <c r="B894" t="inlineStr">
        <is>
          <t>Slice &amp; Dice</t>
        </is>
      </c>
      <c r="C894" t="n">
        <v>2017</v>
      </c>
      <c r="E894" s="1" t="inlineStr">
        <is>
          <t>check folder</t>
        </is>
      </c>
    </row>
    <row r="895" ht="15" customHeight="1">
      <c r="A895" t="inlineStr">
        <is>
          <t>Slay the Spire</t>
        </is>
      </c>
      <c r="B895" t="inlineStr">
        <is>
          <t>Slot &amp; Dungeons</t>
        </is>
      </c>
      <c r="C895" t="n">
        <v>2017</v>
      </c>
      <c r="E895" s="11" t="inlineStr">
        <is>
          <t>https://x.com/sparklewing925/status/1926056500113346640</t>
        </is>
      </c>
    </row>
    <row r="896" ht="15" customHeight="1">
      <c r="A896" t="inlineStr">
        <is>
          <t>Slay the Spire</t>
        </is>
      </c>
      <c r="B896" t="inlineStr">
        <is>
          <t>Slot or Not</t>
        </is>
      </c>
      <c r="C896" t="n">
        <v>2017</v>
      </c>
      <c r="E896" s="1" t="inlineStr">
        <is>
          <t>https://store.steampowered.com/app/3496890/Slot_or_Not/</t>
        </is>
      </c>
    </row>
    <row r="897" ht="15" customHeight="1">
      <c r="A897" t="inlineStr">
        <is>
          <t>Slay the Spire</t>
        </is>
      </c>
      <c r="B897" t="inlineStr">
        <is>
          <t>SpellRogue</t>
        </is>
      </c>
      <c r="C897" t="n">
        <v>2017</v>
      </c>
      <c r="E897" s="1" t="inlineStr">
        <is>
          <t>check folder</t>
        </is>
      </c>
    </row>
    <row r="898" ht="15" customHeight="1">
      <c r="A898" t="inlineStr">
        <is>
          <t>Slay the Spire</t>
        </is>
      </c>
      <c r="B898" t="inlineStr">
        <is>
          <t>Spin Hero</t>
        </is>
      </c>
      <c r="C898" t="n">
        <v>2017</v>
      </c>
      <c r="E898" s="1" t="inlineStr">
        <is>
          <t>check folder</t>
        </is>
      </c>
    </row>
    <row r="899" ht="15" customHeight="1">
      <c r="A899" t="inlineStr">
        <is>
          <t>Slay the Spire</t>
        </is>
      </c>
      <c r="B899" t="inlineStr">
        <is>
          <t>Spiritfall</t>
        </is>
      </c>
      <c r="C899" t="n">
        <v>2017</v>
      </c>
      <c r="E899" s="1" t="inlineStr">
        <is>
          <t>check folder</t>
        </is>
      </c>
    </row>
    <row r="900" ht="15" customHeight="1">
      <c r="A900" t="inlineStr">
        <is>
          <t>Slay the Spire</t>
        </is>
      </c>
      <c r="B900" t="inlineStr">
        <is>
          <t>StarVaders</t>
        </is>
      </c>
      <c r="C900" t="n">
        <v>2017</v>
      </c>
      <c r="E900" s="1" t="inlineStr">
        <is>
          <t>https://www.reddit.com/r/slaythespire/comments/1g25q6g/design_lessons_from_sts_or_how_i_got_inspired_to/</t>
        </is>
      </c>
    </row>
    <row r="901" ht="15" customHeight="1">
      <c r="A901" t="inlineStr">
        <is>
          <t>Slay the Spire</t>
        </is>
      </c>
      <c r="B901" t="inlineStr">
        <is>
          <t>Tabletop Tavern</t>
        </is>
      </c>
      <c r="C901" t="n">
        <v>2017</v>
      </c>
      <c r="E901" s="1" t="inlineStr">
        <is>
          <t>https://x.com/tjgamedev/status/1850115152118796296</t>
        </is>
      </c>
    </row>
    <row r="902" ht="15" customHeight="1">
      <c r="A902" t="inlineStr">
        <is>
          <t>Slay the Spire</t>
        </is>
      </c>
      <c r="B902" t="inlineStr">
        <is>
          <t>Tainted Grail: Conquest</t>
        </is>
      </c>
      <c r="C902" t="n">
        <v>2017</v>
      </c>
      <c r="E902" s="1" t="inlineStr">
        <is>
          <t>https://steamcommunity.com/app/1199030/discussions/0/5011908545188375361/?ctp=2#c3005556719742617866</t>
        </is>
      </c>
    </row>
    <row r="903" ht="15" customHeight="1">
      <c r="A903" t="inlineStr">
        <is>
          <t>Slay the Spire</t>
        </is>
      </c>
      <c r="B903" t="inlineStr">
        <is>
          <t>Talespinner</t>
        </is>
      </c>
      <c r="C903" t="n">
        <v>2017</v>
      </c>
      <c r="E903" s="11" t="inlineStr">
        <is>
          <t>https://x.com/Talespinner_/status/1925872666474401877?s=20</t>
        </is>
      </c>
    </row>
    <row r="904" ht="15" customHeight="1">
      <c r="A904" t="inlineStr">
        <is>
          <t>Slay the Spire</t>
        </is>
      </c>
      <c r="B904" t="inlineStr">
        <is>
          <t>Tape to Tape</t>
        </is>
      </c>
      <c r="C904" t="n">
        <v>2017</v>
      </c>
      <c r="E904" s="1" t="inlineStr">
        <is>
          <t>https://www.reddit.com/r/Games/comments/w6vkdf/tape_to_tape_a_roguelite_hockey_game/#:~:text=Tape%20to%20Tape%20is%20a,the%20Spire%20and%20NHL%2094!</t>
        </is>
      </c>
    </row>
    <row r="905" ht="15" customHeight="1">
      <c r="A905" t="inlineStr">
        <is>
          <t>Slay the Spire</t>
        </is>
      </c>
      <c r="B905" t="inlineStr">
        <is>
          <t>The Last Flame</t>
        </is>
      </c>
      <c r="C905" t="n">
        <v>2017</v>
      </c>
      <c r="E905" s="1" t="inlineStr">
        <is>
          <t>https://www.reddit.com/r/slaythespire/comments/173zdvp/i_am_a_solo_developer_working_on_the_last_flame_a/#:~:text=hotloopgames-,I%20am%20a%20solo%20developer%20working%20on%20The%20Last%20Flame,plays%20as%20an%20auto%2Dbattler.</t>
        </is>
      </c>
    </row>
    <row r="906" ht="15" customHeight="1">
      <c r="A906" t="inlineStr">
        <is>
          <t>Slay the Spire</t>
        </is>
      </c>
      <c r="B906" t="inlineStr">
        <is>
          <t>The Last Spell</t>
        </is>
      </c>
      <c r="C906" t="n">
        <v>2017</v>
      </c>
      <c r="E906" s="1" t="inlineStr">
        <is>
          <t>https://gamerant.com/the-last-spell-game-interview-launch-dlc/#:~:text=The%20Last%20Spell's%20unique%20blend,build%20characters%20however%20they%20want.</t>
        </is>
      </c>
    </row>
    <row r="907" ht="15" customHeight="1">
      <c r="A907" t="inlineStr">
        <is>
          <t>Slay the Spire</t>
        </is>
      </c>
      <c r="B907" t="inlineStr">
        <is>
          <t>The Ouroboros King</t>
        </is>
      </c>
      <c r="C907" t="n">
        <v>2017</v>
      </c>
      <c r="E907" s="1" t="inlineStr">
        <is>
          <t>https://www.reddit.com/r/Games/comments/10uappd/the_ouroboros_king_oriol_cosp_chess_based/</t>
        </is>
      </c>
    </row>
    <row r="908" ht="15" customHeight="1">
      <c r="A908" t="inlineStr">
        <is>
          <t>Slay the Spire</t>
        </is>
      </c>
      <c r="B908" t="inlineStr">
        <is>
          <t>The Royal Writ</t>
        </is>
      </c>
      <c r="C908" t="n">
        <v>2017</v>
      </c>
      <c r="E908" s="1" t="inlineStr">
        <is>
          <t>https://store.steampowered.com/app/3333700/The_Royal_Writ/</t>
        </is>
      </c>
    </row>
    <row r="909" ht="15" customHeight="1">
      <c r="A909" t="inlineStr">
        <is>
          <t>Slay the Spire</t>
        </is>
      </c>
      <c r="B909" t="inlineStr">
        <is>
          <t>The Spirit Lift</t>
        </is>
      </c>
      <c r="C909" t="n">
        <v>2017</v>
      </c>
      <c r="E909" s="1" t="inlineStr">
        <is>
          <t>check folder</t>
        </is>
      </c>
    </row>
    <row r="910" ht="15" customHeight="1">
      <c r="A910" t="inlineStr">
        <is>
          <t>Slay the Spire</t>
        </is>
      </c>
      <c r="B910" t="inlineStr">
        <is>
          <t>Tic Tactic</t>
        </is>
      </c>
      <c r="C910" t="n">
        <v>2017</v>
      </c>
      <c r="E910" s="1" t="inlineStr">
        <is>
          <t>check folder</t>
        </is>
      </c>
    </row>
    <row r="911" ht="15" customHeight="1">
      <c r="A911" t="inlineStr">
        <is>
          <t>Slay the Spire</t>
        </is>
      </c>
      <c r="B911" t="inlineStr">
        <is>
          <t>Touhou: Lost Branch of Legend</t>
        </is>
      </c>
      <c r="C911" t="n">
        <v>2017</v>
      </c>
      <c r="E911" s="1" t="inlineStr">
        <is>
          <t>https://en.touhouwiki.net/wiki/Touhou:_Lost_Branch_of_Legend  (also just look at it)</t>
        </is>
      </c>
    </row>
    <row r="912" ht="15" customHeight="1">
      <c r="A912" t="inlineStr">
        <is>
          <t>Slay the Spire</t>
        </is>
      </c>
      <c r="B912" t="inlineStr">
        <is>
          <t>Tower Escape</t>
        </is>
      </c>
      <c r="C912" t="n">
        <v>2017</v>
      </c>
      <c r="E912" s="1" t="inlineStr">
        <is>
          <t>check folder</t>
        </is>
      </c>
    </row>
    <row r="913" ht="15" customHeight="1">
      <c r="A913" t="inlineStr">
        <is>
          <t>Slay the Spire</t>
        </is>
      </c>
      <c r="B913" t="inlineStr">
        <is>
          <t>Tower Tactics: Liberation</t>
        </is>
      </c>
      <c r="C913" t="n">
        <v>2017</v>
      </c>
      <c r="E913" s="1" t="inlineStr">
        <is>
          <t>check folder</t>
        </is>
      </c>
    </row>
    <row r="914" ht="15" customHeight="1">
      <c r="A914" t="inlineStr">
        <is>
          <t>Slay the Spire</t>
        </is>
      </c>
      <c r="B914" t="inlineStr">
        <is>
          <t>UnderMine</t>
        </is>
      </c>
      <c r="C914" t="n">
        <v>2017</v>
      </c>
      <c r="E914" s="1" t="inlineStr">
        <is>
          <t>https://www.shacknews.com/article/110700/undermine-dev-unearths-roguelike-rpg-info-in-interview</t>
        </is>
      </c>
    </row>
    <row r="915" ht="15" customHeight="1">
      <c r="A915" t="inlineStr">
        <is>
          <t>Slay the Spire</t>
        </is>
      </c>
      <c r="B915" t="inlineStr">
        <is>
          <t>Vault of the Void</t>
        </is>
      </c>
      <c r="C915" t="n">
        <v>2017</v>
      </c>
      <c r="E915" s="1" t="inlineStr">
        <is>
          <t>https://www.reddit.com/r/roguelites/comments/1djfzyz/started_as_a_solodev_with_no_programming/</t>
        </is>
      </c>
    </row>
    <row r="916" ht="15" customHeight="1">
      <c r="A916" t="inlineStr">
        <is>
          <t>Slay the Spire</t>
        </is>
      </c>
      <c r="B916" t="inlineStr">
        <is>
          <t>Vivid Knight</t>
        </is>
      </c>
      <c r="C916" t="n">
        <v>2017</v>
      </c>
      <c r="E916" s="1" t="inlineStr">
        <is>
          <t>https://www.youtube.com/watch?v=5fR9VYTfm2A&amp;t=1s</t>
        </is>
      </c>
    </row>
    <row r="917" ht="15" customHeight="1">
      <c r="A917" t="inlineStr">
        <is>
          <t>Slay the Spire</t>
        </is>
      </c>
      <c r="B917" t="inlineStr">
        <is>
          <t>Voice of Belldona</t>
        </is>
      </c>
      <c r="C917" t="n">
        <v>2017</v>
      </c>
      <c r="E917" s="1" t="inlineStr">
        <is>
          <t>check folder</t>
        </is>
      </c>
    </row>
    <row r="918" ht="15" customHeight="1">
      <c r="A918" t="inlineStr">
        <is>
          <t>Slay the Spire</t>
        </is>
      </c>
      <c r="B918" t="inlineStr">
        <is>
          <t>Warriors: Abyss</t>
        </is>
      </c>
      <c r="C918" t="n">
        <v>2017</v>
      </c>
      <c r="E918" s="1" t="inlineStr">
        <is>
          <t>https://automaton-media.com/en/interviews/interview-koei-tecmos-warriors-abyss-is-a-major-japanese-developers-take-on-the-roguelite-genre-made-by-a-hardcore-roguelite-lover/</t>
        </is>
      </c>
    </row>
    <row r="919" ht="15" customHeight="1">
      <c r="A919" t="inlineStr">
        <is>
          <t>Slay the Spire</t>
        </is>
      </c>
      <c r="B919" t="inlineStr">
        <is>
          <t>Wildfrost</t>
        </is>
      </c>
      <c r="C919" t="n">
        <v>2017</v>
      </c>
      <c r="E919" s="1" t="inlineStr">
        <is>
          <t>https://mcvuk.com/business-news/when-we-made-wildfrost/</t>
        </is>
      </c>
    </row>
    <row r="920" ht="15" customHeight="1">
      <c r="A920" t="inlineStr">
        <is>
          <t>Slay the Spire</t>
        </is>
      </c>
      <c r="B920" t="inlineStr">
        <is>
          <t>Winnie's Hole</t>
        </is>
      </c>
      <c r="C920" t="n">
        <v>2017</v>
      </c>
      <c r="E920" s="1" t="inlineStr">
        <is>
          <t>https://youtu.be/cX-tottt9i0</t>
        </is>
      </c>
    </row>
    <row r="921" ht="15" customHeight="1">
      <c r="A921" t="inlineStr">
        <is>
          <t>Slay the Spire</t>
        </is>
      </c>
      <c r="B921" t="inlineStr">
        <is>
          <t>Witch's Apocalyptic Journey</t>
        </is>
      </c>
      <c r="C921" t="n">
        <v>2017</v>
      </c>
      <c r="E921" s="1" t="inlineStr">
        <is>
          <t>https://www.reddit.com/r/IndieGame/comments/1s28b5c/we_have_such_a_game_do_you_think_people_will_like/</t>
        </is>
      </c>
    </row>
    <row r="922" ht="15" customHeight="1">
      <c r="A922" t="inlineStr">
        <is>
          <t>Slay the Spire</t>
        </is>
      </c>
      <c r="B922" t="inlineStr">
        <is>
          <t>Words Can Kill</t>
        </is>
      </c>
      <c r="C922" t="n">
        <v>2017</v>
      </c>
      <c r="E922" s="1" t="inlineStr">
        <is>
          <t>https://www.reddit.com/r/Games/comments/r4a4sv/words_can_kill_typing_monkey_slay_the_spire/</t>
        </is>
      </c>
    </row>
    <row r="923" ht="15" customHeight="1">
      <c r="A923" t="inlineStr">
        <is>
          <t>Slay the Spire</t>
        </is>
      </c>
      <c r="B923" t="inlineStr">
        <is>
          <t>Yohane the Parhelion: Numazu in the Mirage</t>
        </is>
      </c>
      <c r="C923" t="n">
        <v>2017</v>
      </c>
      <c r="E923" s="1" t="inlineStr">
        <is>
          <t>look at it</t>
        </is>
      </c>
    </row>
    <row r="924" ht="15" customHeight="1">
      <c r="A924" t="inlineStr">
        <is>
          <t>Slay the Spire</t>
        </is>
      </c>
      <c r="B924" t="inlineStr">
        <is>
          <t>Zet Zillions</t>
        </is>
      </c>
      <c r="C924" t="n">
        <v>2017</v>
      </c>
      <c r="E924" s="1" t="inlineStr">
        <is>
          <t>check folder</t>
        </is>
      </c>
    </row>
    <row r="925" ht="15" customHeight="1">
      <c r="A925" t="inlineStr">
        <is>
          <t>Slay the Spire</t>
        </is>
      </c>
      <c r="B925" t="inlineStr">
        <is>
          <t>Zoeti</t>
        </is>
      </c>
      <c r="C925" t="n">
        <v>2017</v>
      </c>
      <c r="E925" s="1" t="inlineStr">
        <is>
          <t>https://store.steampowered.com/news/app/1434540/view/2939150821227809707</t>
        </is>
      </c>
    </row>
    <row r="926" ht="15" customHeight="1">
      <c r="A926" t="inlineStr">
        <is>
          <t>Slice &amp; Dice</t>
        </is>
      </c>
      <c r="B926" t="inlineStr">
        <is>
          <t>Cats &amp; Dice</t>
        </is>
      </c>
      <c r="C926" t="n">
        <v>2018</v>
      </c>
      <c r="E926" s="1" t="inlineStr">
        <is>
          <t>https://forum.gamemaker.io/index.php?threads/cats-dice-a-big-number-dice-building-roguelike-inspired-by-games-such-as-balatro-and-slice-dice.114871/</t>
        </is>
      </c>
    </row>
    <row r="927" ht="15" customHeight="1">
      <c r="A927" t="inlineStr">
        <is>
          <t>Slice &amp; Dice</t>
        </is>
      </c>
      <c r="B927" t="inlineStr">
        <is>
          <t>Luck &amp; Loot</t>
        </is>
      </c>
      <c r="C927" t="n">
        <v>2018</v>
      </c>
      <c r="E927" s="1" t="inlineStr">
        <is>
          <t>check folder</t>
        </is>
      </c>
    </row>
    <row r="928" ht="15" customHeight="1">
      <c r="A928" t="inlineStr">
        <is>
          <t>Slime 3K: Rise Against Despot</t>
        </is>
      </c>
      <c r="B928" t="inlineStr">
        <is>
          <t>Skull Horde</t>
        </is>
      </c>
      <c r="C928" t="n">
        <v>2023</v>
      </c>
      <c r="E928" s="1" t="inlineStr">
        <is>
          <t>check folder</t>
        </is>
      </c>
    </row>
    <row r="929" ht="15" customHeight="1">
      <c r="A929" t="inlineStr">
        <is>
          <t>SNKRX</t>
        </is>
      </c>
      <c r="B929" t="inlineStr">
        <is>
          <t>Centipede Gun</t>
        </is>
      </c>
      <c r="C929" t="n">
        <v>2021</v>
      </c>
      <c r="E929" s="1" t="inlineStr">
        <is>
          <t>https://store.steampowered.com/app/2308000/Centipede_Gun/</t>
        </is>
      </c>
    </row>
    <row r="930" ht="15" customHeight="1">
      <c r="A930" t="inlineStr">
        <is>
          <t>SNKRX</t>
        </is>
      </c>
      <c r="B930" t="inlineStr">
        <is>
          <t>FLERP</t>
        </is>
      </c>
      <c r="C930" t="n">
        <v>2021</v>
      </c>
      <c r="E930" s="1" t="inlineStr">
        <is>
          <t>look at it</t>
        </is>
      </c>
    </row>
    <row r="931" ht="15" customHeight="1">
      <c r="A931" t="inlineStr">
        <is>
          <t>SNKRX</t>
        </is>
      </c>
      <c r="B931" t="inlineStr">
        <is>
          <t>Just King</t>
        </is>
      </c>
      <c r="C931" t="n">
        <v>2021</v>
      </c>
      <c r="E931" s="1" t="inlineStr">
        <is>
          <t>look at it</t>
        </is>
      </c>
    </row>
    <row r="932" ht="15" customHeight="1">
      <c r="A932" t="inlineStr">
        <is>
          <t>SNKRX</t>
        </is>
      </c>
      <c r="B932" t="inlineStr">
        <is>
          <t>Lone Ruin</t>
        </is>
      </c>
      <c r="C932" t="n">
        <v>2021</v>
      </c>
      <c r="E932" s="1" t="inlineStr">
        <is>
          <t>https://gamerant.com/lone-ruin-interview-roguelike-indie-game-design-inspirations-visuals-coding/#:~:text=As%20inspiration%20from%20different%20games,dangerous%20to%20go%20alone%22%20line.</t>
        </is>
      </c>
    </row>
    <row r="933" ht="15" customHeight="1">
      <c r="A933" t="inlineStr">
        <is>
          <t>SNKRX</t>
        </is>
      </c>
      <c r="B933" t="inlineStr">
        <is>
          <t>Node Crown</t>
        </is>
      </c>
      <c r="C933" t="n">
        <v>2021</v>
      </c>
      <c r="E933" s="1" t="inlineStr">
        <is>
          <t>check folder</t>
        </is>
      </c>
    </row>
    <row r="934" ht="15" customHeight="1">
      <c r="A934" t="inlineStr">
        <is>
          <t>SNKRX</t>
        </is>
      </c>
      <c r="B934" t="inlineStr">
        <is>
          <t>Stackflow</t>
        </is>
      </c>
      <c r="C934" t="n">
        <v>2021</v>
      </c>
      <c r="E934" s="1" t="inlineStr">
        <is>
          <t>check folder</t>
        </is>
      </c>
    </row>
    <row r="935" ht="15" customHeight="1">
      <c r="A935" t="inlineStr">
        <is>
          <t>Soulash</t>
        </is>
      </c>
      <c r="B935" t="inlineStr">
        <is>
          <t>Soulash 2</t>
        </is>
      </c>
      <c r="C935" t="n">
        <v>2022</v>
      </c>
      <c r="D935" t="inlineStr">
        <is>
          <t>Yes</t>
        </is>
      </c>
      <c r="E935" s="1" t="n"/>
    </row>
    <row r="936" ht="15" customHeight="1">
      <c r="A936" t="inlineStr">
        <is>
          <t>Space Gladiators</t>
        </is>
      </c>
      <c r="B936" t="inlineStr">
        <is>
          <t>Brotato</t>
        </is>
      </c>
      <c r="C936" t="n">
        <v>2019</v>
      </c>
      <c r="D936" t="inlineStr">
        <is>
          <t>Yes</t>
        </is>
      </c>
      <c r="E936" s="1" t="n"/>
    </row>
    <row r="937" ht="15" customHeight="1">
      <c r="A937" t="inlineStr">
        <is>
          <t>Spelunky</t>
        </is>
      </c>
      <c r="B937" t="inlineStr">
        <is>
          <t>Spelunky 2</t>
        </is>
      </c>
      <c r="C937" t="n">
        <v>2012</v>
      </c>
      <c r="D937" t="inlineStr">
        <is>
          <t>Yes</t>
        </is>
      </c>
      <c r="E937" s="1" t="n"/>
    </row>
    <row r="938" ht="15" customHeight="1">
      <c r="A938" t="inlineStr">
        <is>
          <t>Spelunky Classic</t>
        </is>
      </c>
      <c r="B938" t="inlineStr">
        <is>
          <t>99 Levels to Hell</t>
        </is>
      </c>
      <c r="C938" t="n">
        <v>2008</v>
      </c>
      <c r="E938" s="1" t="inlineStr">
        <is>
          <t>https://youtu.be/wJ2cgBoxsi4</t>
        </is>
      </c>
    </row>
    <row r="939" ht="15" customHeight="1">
      <c r="A939" t="inlineStr">
        <is>
          <t>Spelunky Classic</t>
        </is>
      </c>
      <c r="B939" t="inlineStr">
        <is>
          <t>Barony</t>
        </is>
      </c>
      <c r="C939" t="n">
        <v>2008</v>
      </c>
      <c r="E939" s="1" t="inlineStr">
        <is>
          <t>https://indiegraph.wordpress.com/2013/12/11/interview-with-the-creator-of-barony/</t>
        </is>
      </c>
    </row>
    <row r="940" ht="15" customHeight="1">
      <c r="A940" t="inlineStr">
        <is>
          <t>Spelunky Classic</t>
        </is>
      </c>
      <c r="B940" t="inlineStr">
        <is>
          <t>Blazing Beaks</t>
        </is>
      </c>
      <c r="C940" t="n">
        <v>2008</v>
      </c>
      <c r="E940" s="1" t="inlineStr">
        <is>
          <t>check folder</t>
        </is>
      </c>
    </row>
    <row r="941" ht="15" customHeight="1">
      <c r="A941" t="inlineStr">
        <is>
          <t>Spelunky Classic</t>
        </is>
      </c>
      <c r="B941" t="inlineStr">
        <is>
          <t>Catacomb Kids</t>
        </is>
      </c>
      <c r="C941" t="n">
        <v>2008</v>
      </c>
      <c r="E941" s="11" t="inlineStr">
        <is>
          <t>https://www.siliconera.com/catacomb-kids-interview-spelunky-comparisons-and-the-early-access-gamble/</t>
        </is>
      </c>
    </row>
    <row r="942" ht="15" customHeight="1">
      <c r="A942" t="inlineStr">
        <is>
          <t>Spelunky Classic</t>
        </is>
      </c>
      <c r="B942" t="inlineStr">
        <is>
          <t>Caveblazers</t>
        </is>
      </c>
      <c r="C942" t="n">
        <v>2008</v>
      </c>
      <c r="E942" s="1" t="inlineStr">
        <is>
          <t>https://en.wikipedia.org/wiki/Caveblazers</t>
        </is>
      </c>
    </row>
    <row r="943" ht="15" customHeight="1">
      <c r="A943" t="inlineStr">
        <is>
          <t>Spelunky Classic</t>
        </is>
      </c>
      <c r="B943" t="inlineStr">
        <is>
          <t>CleanFall</t>
        </is>
      </c>
      <c r="C943" t="n">
        <v>2008</v>
      </c>
      <c r="E943" s="11" t="inlineStr">
        <is>
          <t>https://x.com/cleanfallgame/status/1958500517597876299?s=20</t>
        </is>
      </c>
    </row>
    <row r="944" ht="15" customHeight="1">
      <c r="A944" t="inlineStr">
        <is>
          <t>Spelunky Classic</t>
        </is>
      </c>
      <c r="B944" t="inlineStr">
        <is>
          <t>Coin Crypt</t>
        </is>
      </c>
      <c r="C944" t="n">
        <v>2008</v>
      </c>
      <c r="E944" s="1" t="inlineStr">
        <is>
          <t>https://dumbandfat.com/coincrypt/</t>
        </is>
      </c>
    </row>
    <row r="945" ht="15" customHeight="1">
      <c r="A945" t="inlineStr">
        <is>
          <t>Spelunky Classic</t>
        </is>
      </c>
      <c r="B945" t="inlineStr">
        <is>
          <t>Crypt of the NecroDancer</t>
        </is>
      </c>
      <c r="C945" t="n">
        <v>2008</v>
      </c>
      <c r="E945" s="1" t="inlineStr">
        <is>
          <t>https://www.reddit.com/r/Games/comments/2e7eti/hello_rgames_we_are_the_creators_of_the_roguelike/</t>
        </is>
      </c>
    </row>
    <row r="946" ht="15" customHeight="1">
      <c r="A946" t="inlineStr">
        <is>
          <t>Spelunky Classic</t>
        </is>
      </c>
      <c r="B946" t="inlineStr">
        <is>
          <t>Dicefolk</t>
        </is>
      </c>
      <c r="C946" t="n">
        <v>2008</v>
      </c>
      <c r="E946" s="1" t="inlineStr">
        <is>
          <t>https://www.nintendolife.com/features/only-pokemon-can-make-pokemon-dicefolk-devs-on-finding-a-voice-in-a-crowded-genre</t>
        </is>
      </c>
    </row>
    <row r="947" ht="15" customHeight="1">
      <c r="A947" t="inlineStr">
        <is>
          <t>Spelunky Classic</t>
        </is>
      </c>
      <c r="B947" t="inlineStr">
        <is>
          <t>Downwell</t>
        </is>
      </c>
      <c r="C947" t="n">
        <v>2008</v>
      </c>
      <c r="E947" s="1" t="inlineStr">
        <is>
          <t>https://en.wikipedia.org/wiki/Downwell_(video_game)#:~:text=Much%20of%20the%20game%20was,similar%20gameplay%20would%20be%20like.</t>
        </is>
      </c>
    </row>
    <row r="948" ht="15" customHeight="1">
      <c r="A948" t="inlineStr">
        <is>
          <t>Spelunky Classic</t>
        </is>
      </c>
      <c r="B948" t="inlineStr">
        <is>
          <t>Dunjungle</t>
        </is>
      </c>
      <c r="C948" t="n">
        <v>2008</v>
      </c>
      <c r="E948" s="1" t="inlineStr">
        <is>
          <t>https://www.reddit.com/r/IndieGaming/comments/1pji5gu/dunjungle_the_monkey_action_roguelite_is_out_on/#:~:text=A%20big%20of%20Rogue%20Legacy%2C%20Spelunky%2C%20Hades.,kinda%20got%20inspiration%20from%20all%20of%20them.</t>
        </is>
      </c>
    </row>
    <row r="949" ht="15" customHeight="1">
      <c r="A949" t="inlineStr">
        <is>
          <t>Spelunky Classic</t>
        </is>
      </c>
      <c r="B949" t="inlineStr">
        <is>
          <t>Eldritch</t>
        </is>
      </c>
      <c r="C949" t="n">
        <v>2008</v>
      </c>
      <c r="E949" s="11" t="inlineStr">
        <is>
          <t>https://bsky.app/profile/dphrygian.com/post/3mgga4hmbg22r</t>
        </is>
      </c>
    </row>
    <row r="950" ht="15" customHeight="1">
      <c r="A950" t="inlineStr">
        <is>
          <t>Spelunky Classic</t>
        </is>
      </c>
      <c r="B950" t="inlineStr">
        <is>
          <t>Enter the Gungeon</t>
        </is>
      </c>
      <c r="C950" t="n">
        <v>2008</v>
      </c>
      <c r="E950" s="1" t="inlineStr">
        <is>
          <t>https://en.wikipedia.org/wiki/Enter_the_Gungeon#:~:text=Though%20Crooks%20stated%20that%20The,Souls%2C%20and%20Metal%20Gear%20Solid.</t>
        </is>
      </c>
    </row>
    <row r="951">
      <c r="A951" t="inlineStr">
        <is>
          <t>Spelunky Classic</t>
        </is>
      </c>
      <c r="B951" t="inlineStr">
        <is>
          <t>Feed the Deep</t>
        </is>
      </c>
      <c r="C951" t="n">
        <v>2008</v>
      </c>
      <c r="E951" s="1" t="inlineStr">
        <is>
          <t>https://store.steampowered.com/app/2332260/Feed_the_Deep/</t>
        </is>
      </c>
    </row>
    <row r="952">
      <c r="A952" t="inlineStr">
        <is>
          <t>Spelunky Classic</t>
        </is>
      </c>
      <c r="B952" t="inlineStr">
        <is>
          <t>Flinthook</t>
        </is>
      </c>
      <c r="C952" t="n">
        <v>2008</v>
      </c>
      <c r="E952" s="1" t="inlineStr">
        <is>
          <t>https://en.wikipedia.org/wiki/Flinthook#:~:text=The%20game%20was%20inspired%20by,exceptionally%20difficult%20for%20all%20players.</t>
        </is>
      </c>
    </row>
    <row r="953">
      <c r="A953" t="inlineStr">
        <is>
          <t>Spelunky Classic</t>
        </is>
      </c>
      <c r="B953" t="inlineStr">
        <is>
          <t>FTL</t>
        </is>
      </c>
      <c r="C953" t="n">
        <v>2008</v>
      </c>
      <c r="E953" s="1" t="inlineStr">
        <is>
          <t>https://youtu.be/gDuqf4uCBho</t>
        </is>
      </c>
    </row>
    <row r="954">
      <c r="A954" t="inlineStr">
        <is>
          <t>Spelunky Classic</t>
        </is>
      </c>
      <c r="B954" t="inlineStr">
        <is>
          <t>Going Under</t>
        </is>
      </c>
      <c r="C954" t="n">
        <v>2008</v>
      </c>
      <c r="E954" s="1" t="inlineStr">
        <is>
          <t>check folder</t>
        </is>
      </c>
    </row>
    <row r="955">
      <c r="A955" t="inlineStr">
        <is>
          <t>Spelunky Classic</t>
        </is>
      </c>
      <c r="B955" t="inlineStr">
        <is>
          <t>GoNNER</t>
        </is>
      </c>
      <c r="C955" t="n">
        <v>2008</v>
      </c>
      <c r="E955" s="1" t="inlineStr">
        <is>
          <t>https://gamingbolt.com/gonner-interview-a-colorful-and-challenging-ride</t>
        </is>
      </c>
    </row>
    <row r="956">
      <c r="A956" t="inlineStr">
        <is>
          <t>Spelunky Classic</t>
        </is>
      </c>
      <c r="B956" t="inlineStr">
        <is>
          <t>Loot Rascals</t>
        </is>
      </c>
      <c r="C956" t="n">
        <v>2008</v>
      </c>
      <c r="E956" s="1" t="inlineStr">
        <is>
          <t>https://monstervine.com/ic/IC-LR-Interview.mp3</t>
        </is>
      </c>
    </row>
    <row r="957">
      <c r="A957" t="inlineStr">
        <is>
          <t>Spelunky Classic</t>
        </is>
      </c>
      <c r="B957" t="inlineStr">
        <is>
          <t>Mana Spark</t>
        </is>
      </c>
      <c r="C957" t="n">
        <v>2008</v>
      </c>
      <c r="E957" s="1" t="inlineStr">
        <is>
          <t>https://wesleyjkurtz.wixsite.com/orangedrop/post/mana-spark-kishimoto-studios-indie-devs-behemutt-an-in-depth-interview</t>
        </is>
      </c>
    </row>
    <row r="958">
      <c r="A958" t="inlineStr">
        <is>
          <t>Spelunky Classic</t>
        </is>
      </c>
      <c r="B958" t="inlineStr">
        <is>
          <t>Monstrum</t>
        </is>
      </c>
      <c r="C958" t="n">
        <v>2008</v>
      </c>
      <c r="E958" s="1" t="inlineStr">
        <is>
          <t>https://forums.tigsource.com/index.php?topic=41609.0</t>
        </is>
      </c>
    </row>
    <row r="959">
      <c r="A959" t="inlineStr">
        <is>
          <t>Spelunky Classic</t>
        </is>
      </c>
      <c r="B959" t="inlineStr">
        <is>
          <t>Mr. Sun's Hatbox</t>
        </is>
      </c>
      <c r="C959" t="n">
        <v>2008</v>
      </c>
      <c r="E959" s="1" t="inlineStr">
        <is>
          <t>https://www.gamedeveloper.com/business/road-to-the-igf-2023-kenny-sun-s-mr-sun-s-hatbox</t>
        </is>
      </c>
    </row>
    <row r="960">
      <c r="A960" t="inlineStr">
        <is>
          <t>Spelunky Classic</t>
        </is>
      </c>
      <c r="B960" t="inlineStr">
        <is>
          <t>Noita</t>
        </is>
      </c>
      <c r="C960" t="n">
        <v>2008</v>
      </c>
      <c r="E960" s="1" t="inlineStr">
        <is>
          <t>check folder</t>
        </is>
      </c>
    </row>
    <row r="961">
      <c r="A961" t="inlineStr">
        <is>
          <t>Spelunky Classic</t>
        </is>
      </c>
      <c r="B961" t="inlineStr">
        <is>
          <t>Red Rogue</t>
        </is>
      </c>
      <c r="C961" t="n">
        <v>2008</v>
      </c>
      <c r="E961" s="11" t="inlineStr">
        <is>
          <t>https://www.youtube.com/watch?v=DASCE8BbvOI&amp;t=1s</t>
        </is>
      </c>
    </row>
    <row r="962">
      <c r="A962" t="inlineStr">
        <is>
          <t>Spelunky Classic</t>
        </is>
      </c>
      <c r="B962" t="inlineStr">
        <is>
          <t>Rogue Legacy</t>
        </is>
      </c>
      <c r="C962" t="n">
        <v>2008</v>
      </c>
      <c r="E962" s="1" t="inlineStr">
        <is>
          <t>https://en.wikipedia.org/wiki/Rogue_Legacy#:~:text=The%20game%20was%20developed%20by,development%2C%20including%20an%20experience%20system.</t>
        </is>
      </c>
    </row>
    <row r="963">
      <c r="A963" t="inlineStr">
        <is>
          <t>Spelunky Classic</t>
        </is>
      </c>
      <c r="B963" t="inlineStr">
        <is>
          <t>Shovel Knight Dig</t>
        </is>
      </c>
      <c r="C963" t="n">
        <v>2008</v>
      </c>
      <c r="E963" s="1" t="inlineStr">
        <is>
          <t>https://www.fanbyte.com/legacy/shovel-knight-dig-interview</t>
        </is>
      </c>
    </row>
    <row r="964">
      <c r="A964" t="inlineStr">
        <is>
          <t>Spelunky Classic</t>
        </is>
      </c>
      <c r="B964" t="inlineStr">
        <is>
          <t>Sky Rogue</t>
        </is>
      </c>
      <c r="C964" t="n">
        <v>2008</v>
      </c>
      <c r="E964" t="inlineStr">
        <is>
          <t>check folder</t>
        </is>
      </c>
    </row>
    <row r="965">
      <c r="A965" t="inlineStr">
        <is>
          <t>Spelunky Classic</t>
        </is>
      </c>
      <c r="B965" t="inlineStr">
        <is>
          <t>Spelunky</t>
        </is>
      </c>
      <c r="C965" t="n">
        <v>2008</v>
      </c>
      <c r="D965" t="inlineStr">
        <is>
          <t>Yes</t>
        </is>
      </c>
      <c r="E965" s="1" t="n"/>
    </row>
    <row r="966">
      <c r="A966" t="inlineStr">
        <is>
          <t>Spelunky Classic</t>
        </is>
      </c>
      <c r="B966" t="inlineStr">
        <is>
          <t>Spirits Abyss</t>
        </is>
      </c>
      <c r="C966" t="n">
        <v>2008</v>
      </c>
      <c r="E966" s="1" t="inlineStr">
        <is>
          <t>https://store.steampowered.com/app/1078200/Spirits_Abyss/</t>
        </is>
      </c>
    </row>
    <row r="967">
      <c r="A967" t="inlineStr">
        <is>
          <t>Spelunky Classic</t>
        </is>
      </c>
      <c r="B967" t="inlineStr">
        <is>
          <t>Strafe</t>
        </is>
      </c>
      <c r="C967" t="n">
        <v>2008</v>
      </c>
      <c r="E967" s="11" t="inlineStr">
        <is>
          <t>https://youtu.be/zKQl9Xp3dxo</t>
        </is>
      </c>
    </row>
    <row r="968">
      <c r="A968" t="inlineStr">
        <is>
          <t>Spelunky Classic</t>
        </is>
      </c>
      <c r="B968" t="inlineStr">
        <is>
          <t>Streets of Rogue</t>
        </is>
      </c>
      <c r="C968" t="n">
        <v>2008</v>
      </c>
      <c r="E968" s="1" t="inlineStr">
        <is>
          <t>https://en.wikipedia.org/wiki/Streets_of_Rogue#:~:text=Lead%20designer%20Matt%20Dabrowski%20credited,inspirations%20for%20Streets%20of%20Rogue.</t>
        </is>
      </c>
    </row>
    <row r="969">
      <c r="A969" t="inlineStr">
        <is>
          <t>Spelunky Classic</t>
        </is>
      </c>
      <c r="B969" t="inlineStr">
        <is>
          <t>Switchcars</t>
        </is>
      </c>
      <c r="C969" t="n">
        <v>2008</v>
      </c>
      <c r="E969" s="1" t="inlineStr">
        <is>
          <t>https://www.emuglx.org/reportaze/interview/exclusive-switchcars-interview/</t>
        </is>
      </c>
    </row>
    <row r="970">
      <c r="A970" t="inlineStr">
        <is>
          <t>Spelunky Classic</t>
        </is>
      </c>
      <c r="B970" t="inlineStr">
        <is>
          <t>The Binding of Isaac</t>
        </is>
      </c>
      <c r="C970" t="n">
        <v>2008</v>
      </c>
      <c r="E970" s="1" t="inlineStr">
        <is>
          <t>https://www.youtube.com/watch?v=-X_QYumQQGk</t>
        </is>
      </c>
    </row>
    <row r="971">
      <c r="A971" t="inlineStr">
        <is>
          <t>Spelunky Classic</t>
        </is>
      </c>
      <c r="B971" t="inlineStr">
        <is>
          <t>TumbleSeed</t>
        </is>
      </c>
      <c r="C971" t="n">
        <v>2008</v>
      </c>
      <c r="E971" s="11" t="inlineStr">
        <is>
          <t>https://www.reddit.com/r/nintendo/comments/691a58/we_are_team_tumbleseed_and_we_launched_tumbleseed/</t>
        </is>
      </c>
    </row>
    <row r="972">
      <c r="A972" t="inlineStr">
        <is>
          <t>Spelunky Classic</t>
        </is>
      </c>
      <c r="B972" t="inlineStr">
        <is>
          <t>Vagante</t>
        </is>
      </c>
      <c r="C972" t="n">
        <v>2018</v>
      </c>
      <c r="E972" s="1" t="inlineStr">
        <is>
          <t>https://www.gamedeveloper.com/game-platforms/eugene-paik-talks-about-vagante-a-roguelite-8-years-in-the-making</t>
        </is>
      </c>
    </row>
    <row r="973">
      <c r="A973" t="inlineStr">
        <is>
          <t>Spelunky Classic</t>
        </is>
      </c>
      <c r="B973" t="inlineStr">
        <is>
          <t>Wildfrost</t>
        </is>
      </c>
      <c r="C973" t="n">
        <v>2008</v>
      </c>
      <c r="E973" s="1" t="inlineStr">
        <is>
          <t>https://mcvuk.com/business-news/when-we-made-wildfrost/</t>
        </is>
      </c>
    </row>
    <row r="974">
      <c r="A974" t="inlineStr">
        <is>
          <t>Spirits Abyss</t>
        </is>
      </c>
      <c r="B974" t="inlineStr">
        <is>
          <t>Boneraiser Minions</t>
        </is>
      </c>
      <c r="C974" t="n">
        <v>2019</v>
      </c>
      <c r="D974" t="inlineStr">
        <is>
          <t>Yes</t>
        </is>
      </c>
    </row>
    <row r="975">
      <c r="A975" t="inlineStr">
        <is>
          <t>Sproggiwood</t>
        </is>
      </c>
      <c r="B975" t="inlineStr">
        <is>
          <t>Youdanji</t>
        </is>
      </c>
      <c r="C975" t="n">
        <v>2014</v>
      </c>
      <c r="E975" s="1" t="inlineStr">
        <is>
          <t>https://www.reddit.com/r/roguelikes/comments/5zi6kq/y%C5%8Ddanji_coffeebreak_mobile_roguelike_themed_after/</t>
        </is>
      </c>
    </row>
    <row r="976">
      <c r="A976" t="inlineStr">
        <is>
          <t>Star of Providence</t>
        </is>
      </c>
      <c r="B976" t="inlineStr">
        <is>
          <t>Scourgebringer</t>
        </is>
      </c>
      <c r="C976" t="n">
        <v>2017</v>
      </c>
      <c r="E976" s="1" t="inlineStr">
        <is>
          <t>check folder</t>
        </is>
      </c>
    </row>
    <row r="977">
      <c r="A977" t="inlineStr">
        <is>
          <t>Stoneshard</t>
        </is>
      </c>
      <c r="B977" t="inlineStr">
        <is>
          <t>Escape The Mad Empire</t>
        </is>
      </c>
      <c r="C977" t="n">
        <v>2020</v>
      </c>
      <c r="E977" s="11" t="inlineStr">
        <is>
          <t>https://steamcommunity.com/app/1823390/discussions/2/6893400166994423780/</t>
        </is>
      </c>
    </row>
    <row r="978">
      <c r="A978" t="inlineStr">
        <is>
          <t>Strange Adventures in Infinite Space</t>
        </is>
      </c>
      <c r="B978" t="inlineStr">
        <is>
          <t>Weird Worlds: Return to Infinite Space</t>
        </is>
      </c>
      <c r="C978" t="n">
        <v>2002</v>
      </c>
      <c r="D978" t="inlineStr">
        <is>
          <t>Yes</t>
        </is>
      </c>
      <c r="E978" s="1" t="n"/>
    </row>
    <row r="979">
      <c r="A979" t="inlineStr">
        <is>
          <t>Sundered</t>
        </is>
      </c>
      <c r="B979" t="inlineStr">
        <is>
          <t>33 Immortals</t>
        </is>
      </c>
      <c r="C979" t="n">
        <v>2017</v>
      </c>
      <c r="D979" t="inlineStr">
        <is>
          <t>Yes</t>
        </is>
      </c>
      <c r="E979" s="1" t="n"/>
    </row>
    <row r="980">
      <c r="A980" t="inlineStr">
        <is>
          <t>Sunless Sea</t>
        </is>
      </c>
      <c r="B980" t="inlineStr">
        <is>
          <t>Cultist Simulator</t>
        </is>
      </c>
      <c r="C980" t="n">
        <v>2015</v>
      </c>
      <c r="D980" t="inlineStr">
        <is>
          <t>Yes</t>
        </is>
      </c>
      <c r="E980" s="1" t="n"/>
    </row>
    <row r="981">
      <c r="A981" t="inlineStr">
        <is>
          <t>Super Auto Pets</t>
        </is>
      </c>
      <c r="B981" t="inlineStr">
        <is>
          <t>Backpack Battles</t>
        </is>
      </c>
      <c r="C981" t="n">
        <v>2021</v>
      </c>
      <c r="E981" s="1" t="inlineStr">
        <is>
          <t>check folder</t>
        </is>
      </c>
    </row>
    <row r="982">
      <c r="A982" t="inlineStr">
        <is>
          <t>Super Auto Pets</t>
        </is>
      </c>
      <c r="B982" t="inlineStr">
        <is>
          <t>Cursed Words</t>
        </is>
      </c>
      <c r="C982" t="n">
        <v>2021</v>
      </c>
      <c r="E982" s="1" t="inlineStr">
        <is>
          <t>https://www.youtube.com/watch?v=7SjRhK9wdEE</t>
        </is>
      </c>
    </row>
    <row r="983">
      <c r="A983" t="inlineStr">
        <is>
          <t>Super Auto Pets</t>
        </is>
      </c>
      <c r="B983" t="inlineStr">
        <is>
          <t>Facehand</t>
        </is>
      </c>
      <c r="C983" t="n">
        <v>2021</v>
      </c>
      <c r="E983" s="1" t="inlineStr">
        <is>
          <t>look at it</t>
        </is>
      </c>
    </row>
    <row r="984">
      <c r="A984" t="inlineStr">
        <is>
          <t>Super Auto Pets</t>
        </is>
      </c>
      <c r="B984" t="inlineStr">
        <is>
          <t>Kādomon: Hyper Auto Battlers</t>
        </is>
      </c>
      <c r="C984" t="n">
        <v>2021</v>
      </c>
      <c r="E984" s="1" t="inlineStr">
        <is>
          <t>check folder</t>
        </is>
      </c>
    </row>
    <row r="985">
      <c r="A985" t="inlineStr">
        <is>
          <t>Super Auto Pets</t>
        </is>
      </c>
      <c r="B985" t="inlineStr">
        <is>
          <t>Knightica</t>
        </is>
      </c>
      <c r="C985" t="n">
        <v>2021</v>
      </c>
      <c r="E985" s="1" t="inlineStr">
        <is>
          <t>https://www.reddit.com/r/IndieGaming/comments/1iooyqr/roguelike_autobattler_cute_creatures_what_do_you/</t>
        </is>
      </c>
    </row>
    <row r="986">
      <c r="A986" t="inlineStr">
        <is>
          <t>Super Auto Pets</t>
        </is>
      </c>
      <c r="B986" t="inlineStr">
        <is>
          <t>Lunchbreak Tactics</t>
        </is>
      </c>
      <c r="C986" t="n">
        <v>2021</v>
      </c>
      <c r="E986" s="1" t="inlineStr">
        <is>
          <t>check folder</t>
        </is>
      </c>
    </row>
    <row r="987">
      <c r="A987" t="inlineStr">
        <is>
          <t>Super Auto Pets</t>
        </is>
      </c>
      <c r="B987" t="inlineStr">
        <is>
          <t>Merge Maestro</t>
        </is>
      </c>
      <c r="C987" t="n">
        <v>2021</v>
      </c>
      <c r="E987" s="1" t="inlineStr">
        <is>
          <t>check folder</t>
        </is>
      </c>
    </row>
    <row r="988">
      <c r="A988" t="inlineStr">
        <is>
          <t>Super Auto Pets</t>
        </is>
      </c>
      <c r="B988" t="inlineStr">
        <is>
          <t>Nubby's Number Factory</t>
        </is>
      </c>
      <c r="C988" t="n">
        <v>2021</v>
      </c>
      <c r="E988" s="1" t="inlineStr">
        <is>
          <t>check folder</t>
        </is>
      </c>
    </row>
    <row r="989">
      <c r="A989" t="inlineStr">
        <is>
          <t>Super Auto Pets</t>
        </is>
      </c>
      <c r="B989" t="inlineStr">
        <is>
          <t>Oaken Tower</t>
        </is>
      </c>
      <c r="C989" t="n">
        <v>2021</v>
      </c>
      <c r="E989" s="1" t="inlineStr">
        <is>
          <t>check folder</t>
        </is>
      </c>
    </row>
    <row r="990">
      <c r="A990" t="inlineStr">
        <is>
          <t>Super Auto Pets</t>
        </is>
      </c>
      <c r="B990" t="inlineStr">
        <is>
          <t>Roulette Hero</t>
        </is>
      </c>
      <c r="C990" t="n">
        <v>2021</v>
      </c>
      <c r="E990" s="11" t="inlineStr">
        <is>
          <t>https://x.com/CLLC_studio/status/1925866594078453892</t>
        </is>
      </c>
    </row>
    <row r="991">
      <c r="A991" t="inlineStr">
        <is>
          <t>Super Auto Pets</t>
        </is>
      </c>
      <c r="B991" t="inlineStr">
        <is>
          <t>Tiny Auto Knights</t>
        </is>
      </c>
      <c r="C991" t="n">
        <v>2021</v>
      </c>
      <c r="E991" s="11" t="inlineStr">
        <is>
          <t>https://x.com/mumpitzgames/status/1925572756806017381</t>
        </is>
      </c>
    </row>
    <row r="992">
      <c r="A992" t="inlineStr">
        <is>
          <t>Super House of Dead Ninjas</t>
        </is>
      </c>
      <c r="B992" t="inlineStr">
        <is>
          <t>GoNNER</t>
        </is>
      </c>
      <c r="C992" t="n">
        <v>2013</v>
      </c>
      <c r="E992" s="1" t="inlineStr">
        <is>
          <t>https://gamingbolt.com/gonner-interview-a-colorful-and-challenging-ride</t>
        </is>
      </c>
    </row>
    <row r="993">
      <c r="A993" t="inlineStr">
        <is>
          <t>Super Tax City</t>
        </is>
      </c>
      <c r="B993" t="inlineStr">
        <is>
          <t>Node Crown</t>
        </is>
      </c>
      <c r="C993" t="n">
        <v>2025</v>
      </c>
      <c r="E993" s="1" t="inlineStr">
        <is>
          <t>check folder</t>
        </is>
      </c>
    </row>
    <row r="994">
      <c r="A994" t="inlineStr">
        <is>
          <t>Sword of Fargoal</t>
        </is>
      </c>
      <c r="B994" t="inlineStr">
        <is>
          <t>Rogue Wizards</t>
        </is>
      </c>
      <c r="C994" t="n">
        <v>1982</v>
      </c>
      <c r="E994" s="11" t="inlineStr">
        <is>
          <t>https://www.gameskinny.com/culture/interview-with-colin-day-creator-of-rogue-wizards-and-founder-of-spellbind-studios/</t>
        </is>
      </c>
    </row>
    <row r="995">
      <c r="A995" t="inlineStr">
        <is>
          <t>Sword of the Necromancer</t>
        </is>
      </c>
      <c r="B995" t="inlineStr">
        <is>
          <t>Sword of the Necromancer: Resurrection</t>
        </is>
      </c>
      <c r="C995" t="n">
        <v>2021</v>
      </c>
      <c r="D995" t="inlineStr">
        <is>
          <t>Yes</t>
        </is>
      </c>
    </row>
    <row r="996">
      <c r="A996" t="inlineStr">
        <is>
          <t>Synthetik: Legion Rising</t>
        </is>
      </c>
      <c r="B996" t="inlineStr">
        <is>
          <t>Synthetik 2</t>
        </is>
      </c>
      <c r="C996" t="n">
        <v>2018</v>
      </c>
      <c r="D996" t="inlineStr">
        <is>
          <t>Yes</t>
        </is>
      </c>
      <c r="E996" s="1" t="n"/>
    </row>
    <row r="997">
      <c r="A997" t="inlineStr">
        <is>
          <t>Tales of Maj'Eyal</t>
        </is>
      </c>
      <c r="B997" t="inlineStr">
        <is>
          <t>Cardinal Quest</t>
        </is>
      </c>
      <c r="C997" t="n">
        <v>1998</v>
      </c>
      <c r="E997" s="11" t="inlineStr">
        <is>
          <t>https://www.roguelikeradio.com/2011/10/interview-with-ido-yehieli.html</t>
        </is>
      </c>
    </row>
    <row r="998">
      <c r="A998" t="inlineStr">
        <is>
          <t>Tales of Maj'Eyal</t>
        </is>
      </c>
      <c r="B998" t="inlineStr">
        <is>
          <t>Dungeonmans</t>
        </is>
      </c>
      <c r="C998" t="n">
        <v>1998</v>
      </c>
      <c r="E998" s="11" t="inlineStr">
        <is>
          <t>https://www.youtube.com/watch?v=JXv8hQguGCI</t>
        </is>
      </c>
    </row>
    <row r="999">
      <c r="A999" t="inlineStr">
        <is>
          <t>Tales of Maj'Eyal</t>
        </is>
      </c>
      <c r="B999" t="inlineStr">
        <is>
          <t>Incursion</t>
        </is>
      </c>
      <c r="C999" t="n">
        <v>1998</v>
      </c>
      <c r="E999" s="1" t="inlineStr">
        <is>
          <t>game credits</t>
        </is>
      </c>
    </row>
    <row r="1000">
      <c r="A1000" t="inlineStr">
        <is>
          <t>Tales of Maj'Eyal</t>
        </is>
      </c>
      <c r="B1000" t="inlineStr">
        <is>
          <t>Labyrinth of Legendary Loot</t>
        </is>
      </c>
      <c r="C1000" t="n">
        <v>1998</v>
      </c>
      <c r="E1000" s="1" t="inlineStr">
        <is>
          <t>https://roguebasin.com/index.php/Labyrinth_of_Legendary_Loot</t>
        </is>
      </c>
    </row>
    <row r="1001">
      <c r="A1001" t="inlineStr">
        <is>
          <t>Tales of Maj'Eyal</t>
        </is>
      </c>
      <c r="B1001" t="inlineStr">
        <is>
          <t>Path of Achra</t>
        </is>
      </c>
      <c r="C1001" t="n">
        <v>1998</v>
      </c>
      <c r="E1001" s="1" t="inlineStr">
        <is>
          <t>https://store.steampowered.com/app/2128270/Path_of_Achra/</t>
        </is>
      </c>
    </row>
    <row r="1002">
      <c r="A1002" t="inlineStr">
        <is>
          <t>Tales of Maj'Eyal</t>
        </is>
      </c>
      <c r="B1002" t="inlineStr">
        <is>
          <t>Rift Wizard</t>
        </is>
      </c>
      <c r="C1002" t="n">
        <v>1998</v>
      </c>
      <c r="E1002" s="11" t="inlineStr">
        <is>
          <t>https://www.youtube.com/watch?v=xsmbVWflwpw</t>
        </is>
      </c>
    </row>
    <row r="1003">
      <c r="A1003" t="inlineStr">
        <is>
          <t>Tales of Maj'Eyal</t>
        </is>
      </c>
      <c r="B1003" t="inlineStr">
        <is>
          <t>Rogue Empire</t>
        </is>
      </c>
      <c r="C1003" t="n">
        <v>1998</v>
      </c>
      <c r="E1003" s="1" t="inlineStr">
        <is>
          <t>https://www.patreon.com/roguempire/about</t>
        </is>
      </c>
    </row>
    <row r="1004">
      <c r="A1004" t="inlineStr">
        <is>
          <t>Tales of Maj'Eyal</t>
        </is>
      </c>
      <c r="B1004" t="inlineStr">
        <is>
          <t>Tangledeep</t>
        </is>
      </c>
      <c r="C1004" t="n">
        <v>1998</v>
      </c>
      <c r="E1004" s="1" t="inlineStr">
        <is>
          <t>https://www.reddit.com/r/Games/comments/7ukbl1/im_the_lead_developer_of_tangledeep_a_roguelike/</t>
        </is>
      </c>
    </row>
    <row r="1005">
      <c r="A1005" t="inlineStr">
        <is>
          <t>Tangledeep</t>
        </is>
      </c>
      <c r="B1005" t="inlineStr">
        <is>
          <t>Labyrinth of Legendary Loot</t>
        </is>
      </c>
      <c r="C1005" t="n">
        <v>2017</v>
      </c>
      <c r="E1005" s="1" t="inlineStr">
        <is>
          <t>https://roguebasin.com/index.php/Labyrinth_of_Legendary_Loot</t>
        </is>
      </c>
    </row>
    <row r="1006">
      <c r="A1006" t="inlineStr">
        <is>
          <t>Teamfight Tactics</t>
        </is>
      </c>
      <c r="B1006" t="inlineStr">
        <is>
          <t>Dwarves: Glory, Death and Loot</t>
        </is>
      </c>
      <c r="C1006" t="n">
        <v>2019</v>
      </c>
      <c r="E1006" s="1" t="inlineStr">
        <is>
          <t>check folder</t>
        </is>
      </c>
    </row>
    <row r="1007">
      <c r="A1007" t="inlineStr">
        <is>
          <t>Teamfight Tactics</t>
        </is>
      </c>
      <c r="B1007" t="inlineStr">
        <is>
          <t>Knightica</t>
        </is>
      </c>
      <c r="C1007" t="n">
        <v>2019</v>
      </c>
      <c r="E1007" s="1" t="inlineStr">
        <is>
          <t>https://www.reddit.com/r/IndieGaming/comments/1iooyqr/roguelike_autobattler_cute_creatures_what_do_you/</t>
        </is>
      </c>
    </row>
    <row r="1008">
      <c r="A1008" t="inlineStr">
        <is>
          <t>Teamfight Tactics</t>
        </is>
      </c>
      <c r="B1008" t="inlineStr">
        <is>
          <t>Seedborne Soldiers</t>
        </is>
      </c>
      <c r="C1008" t="n">
        <v>2019</v>
      </c>
      <c r="E1008" s="1" t="inlineStr">
        <is>
          <t>https://forum.godotengine.org/t/seedborne-soldiers-an-auto-battler-roguelike-demo-now-available-on-steam/83974</t>
        </is>
      </c>
    </row>
    <row r="1009">
      <c r="A1009" t="inlineStr">
        <is>
          <t>Teamfight Tactics</t>
        </is>
      </c>
      <c r="B1009" t="inlineStr">
        <is>
          <t>The Bazaar</t>
        </is>
      </c>
      <c r="C1009" t="n">
        <v>2019</v>
      </c>
      <c r="E1009" s="1" t="inlineStr">
        <is>
          <t>https://gamestudio.n-ix.com/case-study/the-bazaar-game-development-story/</t>
        </is>
      </c>
    </row>
    <row r="1010">
      <c r="A1010" t="inlineStr">
        <is>
          <t>Teamfight Tactics</t>
        </is>
      </c>
      <c r="B1010" t="inlineStr">
        <is>
          <t>Tiny Auto Knights</t>
        </is>
      </c>
      <c r="C1010" t="n">
        <v>2019</v>
      </c>
      <c r="E1010" s="11" t="inlineStr">
        <is>
          <t>https://x.com/mumpitzgames/status/1925572756806017381</t>
        </is>
      </c>
    </row>
    <row r="1011">
      <c r="A1011" t="inlineStr">
        <is>
          <t>The Bazaar</t>
        </is>
      </c>
      <c r="B1011" t="inlineStr">
        <is>
          <t>Oaken Tower</t>
        </is>
      </c>
      <c r="C1011" t="n">
        <v>2025</v>
      </c>
      <c r="E1011" s="1" t="inlineStr">
        <is>
          <t>check folder</t>
        </is>
      </c>
    </row>
    <row r="1012">
      <c r="A1012" t="inlineStr">
        <is>
          <t>The Bazaar</t>
        </is>
      </c>
      <c r="B1012" t="inlineStr">
        <is>
          <t>Turnbound</t>
        </is>
      </c>
      <c r="C1012" t="n">
        <v>2025</v>
      </c>
      <c r="E1012" s="1" t="inlineStr">
        <is>
          <t>https://youtu.be/DY-KwfFTU9g</t>
        </is>
      </c>
    </row>
    <row r="1013">
      <c r="A1013" t="inlineStr">
        <is>
          <t>The Binding of Isaac</t>
        </is>
      </c>
      <c r="B1013" t="inlineStr">
        <is>
          <t>20XX</t>
        </is>
      </c>
      <c r="C1013" t="n">
        <v>2011</v>
      </c>
      <c r="E1013" s="1" t="inlineStr">
        <is>
          <t>https://www.reddit.com/r/IAmA/comments/4po4pn/i_am_the_developer_of_20xx_the_megaman_xinspired/</t>
        </is>
      </c>
    </row>
    <row r="1014">
      <c r="A1014" t="inlineStr">
        <is>
          <t>The Binding of Isaac</t>
        </is>
      </c>
      <c r="B1014" t="inlineStr">
        <is>
          <t>99 Levels to Hell</t>
        </is>
      </c>
      <c r="C1014" t="n">
        <v>2011</v>
      </c>
      <c r="E1014" s="1" t="inlineStr">
        <is>
          <t>https://youtu.be/wJ2cgBoxsi4</t>
        </is>
      </c>
    </row>
    <row r="1015">
      <c r="A1015" t="inlineStr">
        <is>
          <t>The Binding of Isaac</t>
        </is>
      </c>
      <c r="B1015" t="inlineStr">
        <is>
          <t>A Robot Named Fight!</t>
        </is>
      </c>
      <c r="C1015" t="n">
        <v>2011</v>
      </c>
      <c r="E1015" s="1" t="inlineStr">
        <is>
          <t>https://www.reddit.com/r/NintendoSwitch/comments/8jv8rd/im_matt_bitner_sole_developer_of_a_robot_named/#:~:text=I%20left%20my%20old%20job,as%20The%20Binding%20of%20Isaac.</t>
        </is>
      </c>
    </row>
    <row r="1016">
      <c r="A1016" t="inlineStr">
        <is>
          <t>The Binding of Isaac</t>
        </is>
      </c>
      <c r="B1016" t="inlineStr">
        <is>
          <t>An Amazing Wizard</t>
        </is>
      </c>
      <c r="C1016" t="n">
        <v>2011</v>
      </c>
      <c r="E1016" s="11" t="inlineStr">
        <is>
          <t>https://x.com/AnAmazingWizard/status/1489554155597352962?s=20</t>
        </is>
      </c>
    </row>
    <row r="1017">
      <c r="A1017" t="inlineStr">
        <is>
          <t>The Binding of Isaac</t>
        </is>
      </c>
      <c r="B1017" t="inlineStr">
        <is>
          <t>Asterogues</t>
        </is>
      </c>
      <c r="C1017" t="n">
        <v>2011</v>
      </c>
      <c r="E1017" s="1" t="inlineStr">
        <is>
          <t>dev has mentioned playing both isaac and gungeon, and also look at it</t>
        </is>
      </c>
    </row>
    <row r="1018">
      <c r="A1018" t="inlineStr">
        <is>
          <t>The Binding of Isaac</t>
        </is>
      </c>
      <c r="B1018" t="inlineStr">
        <is>
          <t>Beyond the Long Night</t>
        </is>
      </c>
      <c r="C1018" t="n">
        <v>2011</v>
      </c>
      <c r="E1018" s="1" t="inlineStr">
        <is>
          <t>https://web.archive.org/web/20220130212105/https://www.indiegameoftheweek.com/BeyondTheLongNight</t>
        </is>
      </c>
    </row>
    <row r="1019">
      <c r="A1019" t="inlineStr">
        <is>
          <t>The Binding of Isaac</t>
        </is>
      </c>
      <c r="B1019" t="inlineStr">
        <is>
          <t>Blazing Beaks</t>
        </is>
      </c>
      <c r="C1019" t="n">
        <v>2011</v>
      </c>
      <c r="E1019" s="1" t="inlineStr">
        <is>
          <t>check folder</t>
        </is>
      </c>
    </row>
    <row r="1020">
      <c r="A1020" t="inlineStr">
        <is>
          <t>The Binding of Isaac</t>
        </is>
      </c>
      <c r="B1020" t="inlineStr">
        <is>
          <t>Brutal Orchestra</t>
        </is>
      </c>
      <c r="C1020" t="n">
        <v>2011</v>
      </c>
      <c r="E1020" s="1" t="inlineStr">
        <is>
          <t>https://steamcommunity.com/app/1734320/discussions/0/598515896185532848/</t>
        </is>
      </c>
    </row>
    <row r="1021">
      <c r="A1021" t="inlineStr">
        <is>
          <t>The Binding of Isaac</t>
        </is>
      </c>
      <c r="B1021" t="inlineStr">
        <is>
          <t>Cavity Busters</t>
        </is>
      </c>
      <c r="C1021" t="n">
        <v>2011</v>
      </c>
      <c r="E1021" s="1" t="inlineStr">
        <is>
          <t>https://www.reddit.com/r/bindingofisaac/comments/icvtkc/cavity_busters_toothpunk_roguelite_with_some/</t>
        </is>
      </c>
    </row>
    <row r="1022">
      <c r="A1022" t="inlineStr">
        <is>
          <t>The Binding of Isaac</t>
        </is>
      </c>
      <c r="B1022" t="inlineStr">
        <is>
          <t>Cluckmech Oasis</t>
        </is>
      </c>
      <c r="C1022" t="n">
        <v>2011</v>
      </c>
      <c r="E1022" s="11" t="inlineStr">
        <is>
          <t>https://caifuhao.eastmoney.com/news/20260725235351583816280</t>
        </is>
      </c>
    </row>
    <row r="1023">
      <c r="A1023" t="inlineStr">
        <is>
          <t>The Binding of Isaac</t>
        </is>
      </c>
      <c r="B1023" t="inlineStr">
        <is>
          <t>Conan Chop Chop</t>
        </is>
      </c>
      <c r="C1023" t="n">
        <v>2011</v>
      </c>
      <c r="E1023" s="1" t="inlineStr">
        <is>
          <t>https://conanchopchop.fandom.com/wiki/Conan_Chop_Chop</t>
        </is>
      </c>
    </row>
    <row r="1024">
      <c r="A1024" t="inlineStr">
        <is>
          <t>The Binding of Isaac</t>
        </is>
      </c>
      <c r="B1024" t="inlineStr">
        <is>
          <t>Crypt of the NecroDancer</t>
        </is>
      </c>
      <c r="C1024" t="n">
        <v>2011</v>
      </c>
      <c r="E1024" s="1" t="inlineStr">
        <is>
          <t>https://www.reddit.com/r/Games/comments/2e7eti/hello_rgames_we_are_the_creators_of_the_roguelike/</t>
        </is>
      </c>
    </row>
    <row r="1025">
      <c r="A1025" t="inlineStr">
        <is>
          <t>The Binding of Isaac</t>
        </is>
      </c>
      <c r="B1025" t="inlineStr">
        <is>
          <t>Cult of the Lamb</t>
        </is>
      </c>
      <c r="C1025" t="n">
        <v>2011</v>
      </c>
      <c r="E1025" s="1" t="inlineStr">
        <is>
          <t>https://www.youtube.com/watch?v=VRhAER68ynU</t>
        </is>
      </c>
    </row>
    <row r="1026">
      <c r="A1026" t="inlineStr">
        <is>
          <t>The Binding of Isaac</t>
        </is>
      </c>
      <c r="B1026" t="inlineStr">
        <is>
          <t>Dead Cells</t>
        </is>
      </c>
      <c r="C1026" t="n">
        <v>2011</v>
      </c>
      <c r="E1026" s="1" t="inlineStr">
        <is>
          <t>https://mcvuk.com/development-news/when-we-made-dead-cells/</t>
        </is>
      </c>
    </row>
    <row r="1027">
      <c r="A1027" t="inlineStr">
        <is>
          <t>The Binding of Isaac</t>
        </is>
      </c>
      <c r="B1027" t="inlineStr">
        <is>
          <t>Dead Estate</t>
        </is>
      </c>
      <c r="C1027" t="n">
        <v>2011</v>
      </c>
      <c r="E1027" s="1" t="inlineStr">
        <is>
          <t>https://x.com/2_left_thumbs/status/1625686255093813249?s=20</t>
        </is>
      </c>
    </row>
    <row r="1028">
      <c r="A1028" t="inlineStr">
        <is>
          <t>The Binding of Isaac</t>
        </is>
      </c>
      <c r="B1028" t="inlineStr">
        <is>
          <t>Devil Slayer: Raksasi</t>
        </is>
      </c>
      <c r="C1028" t="n">
        <v>2011</v>
      </c>
      <c r="E1028" s="1" t="inlineStr">
        <is>
          <t>https://darkrpgs.home.blog/2021/01/08/interview-with-glasses-cat-games-the-creators-of-devil-slayer-raksasi-a-souls-like-inspired-by-chinese-legends/#:~:text=How%20the%20idea%20behind%20this,souls%2Dlike%20style%20combat%20system.</t>
        </is>
      </c>
    </row>
    <row r="1029">
      <c r="A1029" t="inlineStr">
        <is>
          <t>The Binding of Isaac</t>
        </is>
      </c>
      <c r="B1029" t="inlineStr">
        <is>
          <t>Dice A Million</t>
        </is>
      </c>
      <c r="C1029" t="n">
        <v>2011</v>
      </c>
      <c r="E1029" s="1" t="inlineStr">
        <is>
          <t>The dev's favorite roguelike, check folder</t>
        </is>
      </c>
    </row>
    <row r="1030">
      <c r="A1030" t="inlineStr">
        <is>
          <t>The Binding of Isaac</t>
        </is>
      </c>
      <c r="B1030" t="inlineStr">
        <is>
          <t>Dreamscaper</t>
        </is>
      </c>
      <c r="C1030" t="n">
        <v>2011</v>
      </c>
      <c r="E1030" s="1" t="inlineStr">
        <is>
          <t>https://www.reddit.com/r/Games/comments/oymu1h/ama_we_are_afterburner_studios_the_3person_team/</t>
        </is>
      </c>
    </row>
    <row r="1031">
      <c r="A1031" t="inlineStr">
        <is>
          <t>The Binding of Isaac</t>
        </is>
      </c>
      <c r="B1031" t="inlineStr">
        <is>
          <t>Dungeons of Blood and Dream</t>
        </is>
      </c>
      <c r="C1031" t="n">
        <v>2011</v>
      </c>
      <c r="E1031" s="1" t="inlineStr">
        <is>
          <t>check folder</t>
        </is>
      </c>
    </row>
    <row r="1032">
      <c r="A1032" t="inlineStr">
        <is>
          <t>The Binding of Isaac</t>
        </is>
      </c>
      <c r="B1032" t="inlineStr">
        <is>
          <t>Ember Knights</t>
        </is>
      </c>
      <c r="C1032" t="n">
        <v>2011</v>
      </c>
      <c r="E1032" s="1" t="inlineStr">
        <is>
          <t>check folder</t>
        </is>
      </c>
    </row>
    <row r="1033">
      <c r="A1033" t="inlineStr">
        <is>
          <t>The Binding of Isaac</t>
        </is>
      </c>
      <c r="B1033" t="inlineStr">
        <is>
          <t>Enter the Gungeon</t>
        </is>
      </c>
      <c r="C1033" t="n">
        <v>2011</v>
      </c>
      <c r="E1033" s="1" t="inlineStr">
        <is>
          <t>https://en.wikipedia.org/wiki/Enter_the_Gungeon#:~:text=Though%20Crooks%20stated%20that%20The,Souls%2C%20and%20Metal%20Gear%20Solid.</t>
        </is>
      </c>
    </row>
    <row r="1034">
      <c r="A1034" t="inlineStr">
        <is>
          <t>The Binding of Isaac</t>
        </is>
      </c>
      <c r="B1034" t="inlineStr">
        <is>
          <t>Freaky Awesome</t>
        </is>
      </c>
      <c r="C1034" t="n">
        <v>2011</v>
      </c>
      <c r="E1034" s="1" t="inlineStr">
        <is>
          <t>look at it</t>
        </is>
      </c>
    </row>
    <row r="1035">
      <c r="A1035" t="inlineStr">
        <is>
          <t>The Binding of Isaac</t>
        </is>
      </c>
      <c r="B1035" t="inlineStr">
        <is>
          <t>Full Mojo Rampage</t>
        </is>
      </c>
      <c r="C1035" t="n">
        <v>2011</v>
      </c>
      <c r="E1035" s="11" t="inlineStr">
        <is>
          <t>https://steamcommunity.com/app/225280/discussions/0/846961716374404705/#c846961716375428005</t>
        </is>
      </c>
    </row>
    <row r="1036">
      <c r="A1036" t="inlineStr">
        <is>
          <t>The Binding of Isaac</t>
        </is>
      </c>
      <c r="B1036" t="inlineStr">
        <is>
          <t>Going Under</t>
        </is>
      </c>
      <c r="C1036" t="n">
        <v>2011</v>
      </c>
      <c r="E1036" s="1" t="inlineStr">
        <is>
          <t>check folder</t>
        </is>
      </c>
    </row>
    <row r="1037">
      <c r="A1037" t="inlineStr">
        <is>
          <t>The Binding of Isaac</t>
        </is>
      </c>
      <c r="B1037" t="inlineStr">
        <is>
          <t>Golden Light</t>
        </is>
      </c>
      <c r="C1037" t="n">
        <v>2011</v>
      </c>
      <c r="E1037" s="1" t="inlineStr">
        <is>
          <t>https://www.reddit.com/r/gamedev/comments/o8bzkt/one_year_into_early_access_for_golden_light_lets/</t>
        </is>
      </c>
    </row>
    <row r="1038">
      <c r="A1038" t="inlineStr">
        <is>
          <t>The Binding of Isaac</t>
        </is>
      </c>
      <c r="B1038" t="inlineStr">
        <is>
          <t>Has-Been Heroes</t>
        </is>
      </c>
      <c r="C1038" t="n">
        <v>2011</v>
      </c>
      <c r="E1038" s="1" t="inlineStr">
        <is>
          <t>https://switchplayer.net/2017/05/08/grabbing-a-frozenbyte-with-some-has-been-heroes/</t>
        </is>
      </c>
    </row>
    <row r="1039">
      <c r="A1039" t="inlineStr">
        <is>
          <t>The Binding of Isaac</t>
        </is>
      </c>
      <c r="B1039" t="inlineStr">
        <is>
          <t>Lake of Creatures</t>
        </is>
      </c>
      <c r="C1039" t="n">
        <v>2011</v>
      </c>
      <c r="E1039" s="1" t="inlineStr">
        <is>
          <t>check folder</t>
        </is>
      </c>
    </row>
    <row r="1040">
      <c r="A1040" t="inlineStr">
        <is>
          <t>The Binding of Isaac</t>
        </is>
      </c>
      <c r="B1040" t="inlineStr">
        <is>
          <t>Lost Flame</t>
        </is>
      </c>
      <c r="C1040" t="n">
        <v>2011</v>
      </c>
      <c r="E1040" s="1" t="inlineStr">
        <is>
          <t>check folder</t>
        </is>
      </c>
    </row>
    <row r="1041">
      <c r="A1041" t="inlineStr">
        <is>
          <t>The Binding of Isaac</t>
        </is>
      </c>
      <c r="B1041" t="inlineStr">
        <is>
          <t>Magicraft</t>
        </is>
      </c>
      <c r="C1041" t="n">
        <v>2011</v>
      </c>
      <c r="E1041" s="1" t="inlineStr">
        <is>
          <t>https://www.sohu.com/a/740136808_204824</t>
        </is>
      </c>
    </row>
    <row r="1042">
      <c r="A1042" t="inlineStr">
        <is>
          <t>The Binding of Isaac</t>
        </is>
      </c>
      <c r="B1042" t="inlineStr">
        <is>
          <t>Mana Spark</t>
        </is>
      </c>
      <c r="C1042" t="n">
        <v>2011</v>
      </c>
      <c r="E1042" s="1" t="inlineStr">
        <is>
          <t>https://wesleyjkurtz.wixsite.com/orangedrop/post/mana-spark-kishimoto-studios-indie-devs-behemutt-an-in-depth-interview</t>
        </is>
      </c>
    </row>
    <row r="1043">
      <c r="A1043" t="inlineStr">
        <is>
          <t>The Binding of Isaac</t>
        </is>
      </c>
      <c r="B1043" t="inlineStr">
        <is>
          <t>Masks of the Void: Origins</t>
        </is>
      </c>
      <c r="C1043" t="n">
        <v>2011</v>
      </c>
      <c r="E1043" s="11" t="inlineStr">
        <is>
          <t>https://x.com/MasksOfTheVoid/status/2084174185505448157?s=20</t>
        </is>
      </c>
    </row>
    <row r="1044">
      <c r="A1044" t="inlineStr">
        <is>
          <t>The Binding of Isaac</t>
        </is>
      </c>
      <c r="B1044" t="inlineStr">
        <is>
          <t>Mewgenics</t>
        </is>
      </c>
      <c r="C1044" t="n">
        <v>2011</v>
      </c>
      <c r="D1044" t="inlineStr">
        <is>
          <t>Yes</t>
        </is>
      </c>
      <c r="E1044" s="1" t="n"/>
    </row>
    <row r="1045">
      <c r="A1045" t="inlineStr">
        <is>
          <t>The Binding of Isaac</t>
        </is>
      </c>
      <c r="B1045" t="inlineStr">
        <is>
          <t>Monstrum</t>
        </is>
      </c>
      <c r="C1045" t="n">
        <v>2011</v>
      </c>
      <c r="E1045" s="1" t="inlineStr">
        <is>
          <t>https://forums.tigsource.com/index.php?topic=41609.0</t>
        </is>
      </c>
    </row>
    <row r="1046">
      <c r="A1046" t="inlineStr">
        <is>
          <t>The Binding of Isaac</t>
        </is>
      </c>
      <c r="B1046" t="inlineStr">
        <is>
          <t>Moonlighter</t>
        </is>
      </c>
      <c r="C1046" t="n">
        <v>2011</v>
      </c>
      <c r="E1046" s="1" t="inlineStr">
        <is>
          <t>https://mcvuk.com/development-news/when-we-made-moonlighter/</t>
        </is>
      </c>
    </row>
    <row r="1047">
      <c r="A1047" t="inlineStr">
        <is>
          <t>The Binding of Isaac</t>
        </is>
      </c>
      <c r="B1047" t="inlineStr">
        <is>
          <t>Neon Abyss</t>
        </is>
      </c>
      <c r="C1047" t="n">
        <v>2011</v>
      </c>
      <c r="E1047" s="1" t="inlineStr">
        <is>
          <t>check folder</t>
        </is>
      </c>
    </row>
    <row r="1048">
      <c r="A1048" t="inlineStr">
        <is>
          <t>The Binding of Isaac</t>
        </is>
      </c>
      <c r="B1048" t="inlineStr">
        <is>
          <t>Noobs Are Coming</t>
        </is>
      </c>
      <c r="C1048" t="n">
        <v>2011</v>
      </c>
      <c r="E1048" s="1" t="inlineStr">
        <is>
          <t>https://store.steampowered.com/app/2225960/Noobs_Are_Coming/</t>
        </is>
      </c>
    </row>
    <row r="1049">
      <c r="A1049" t="inlineStr">
        <is>
          <t>The Binding of Isaac</t>
        </is>
      </c>
      <c r="B1049" t="inlineStr">
        <is>
          <t>Nova Drift</t>
        </is>
      </c>
      <c r="C1049" t="n">
        <v>2011</v>
      </c>
      <c r="E1049" s="1" t="inlineStr">
        <is>
          <t>https://blog.novadrift.io/nova-drift-frequently-asked-questions/</t>
        </is>
      </c>
    </row>
    <row r="1050">
      <c r="A1050" t="inlineStr">
        <is>
          <t>The Binding of Isaac</t>
        </is>
      </c>
      <c r="B1050" t="inlineStr">
        <is>
          <t>Nubby's Number Factory</t>
        </is>
      </c>
      <c r="C1050" t="n">
        <v>2011</v>
      </c>
      <c r="E1050" s="1" t="inlineStr">
        <is>
          <t>check folder</t>
        </is>
      </c>
    </row>
    <row r="1051">
      <c r="A1051" t="inlineStr">
        <is>
          <t>The Binding of Isaac</t>
        </is>
      </c>
      <c r="B1051" t="inlineStr">
        <is>
          <t>Obsidian Prince</t>
        </is>
      </c>
      <c r="C1051" t="n">
        <v>2011</v>
      </c>
      <c r="E1051" s="11" t="inlineStr">
        <is>
          <t>https://youtu.be/lr9xu3YNwZE</t>
        </is>
      </c>
    </row>
    <row r="1052">
      <c r="A1052" t="inlineStr">
        <is>
          <t>The Binding of Isaac</t>
        </is>
      </c>
      <c r="B1052" t="inlineStr">
        <is>
          <t>Our Darker Purpose</t>
        </is>
      </c>
      <c r="C1052" t="n">
        <v>2011</v>
      </c>
      <c r="E1052" s="11" t="inlineStr">
        <is>
          <t>https://www.polygon.com/2013/6/20/4439320/our-darker-purpose-kickstarter-avidly-wild-games/</t>
        </is>
      </c>
    </row>
    <row r="1053">
      <c r="A1053" t="inlineStr">
        <is>
          <t>The Binding of Isaac</t>
        </is>
      </c>
      <c r="B1053" t="inlineStr">
        <is>
          <t>Paper Planet</t>
        </is>
      </c>
      <c r="C1053" t="n">
        <v>2011</v>
      </c>
      <c r="E1053" s="1" t="inlineStr">
        <is>
          <t>check folder</t>
        </is>
      </c>
    </row>
    <row r="1054">
      <c r="A1054" t="inlineStr">
        <is>
          <t>The Binding of Isaac</t>
        </is>
      </c>
      <c r="B1054" t="inlineStr">
        <is>
          <t>Patch Quest</t>
        </is>
      </c>
      <c r="C1054" t="n">
        <v>2011</v>
      </c>
      <c r="E1054" s="1" t="inlineStr">
        <is>
          <t>https://youtu.be/G_Oc86mFc8A</t>
        </is>
      </c>
    </row>
    <row r="1055">
      <c r="A1055" t="inlineStr">
        <is>
          <t>The Binding of Isaac</t>
        </is>
      </c>
      <c r="B1055" t="inlineStr">
        <is>
          <t>Pathogenic</t>
        </is>
      </c>
      <c r="C1055" t="n">
        <v>2011</v>
      </c>
      <c r="E1055" s="11" t="inlineStr">
        <is>
          <t>https://www.reddit.com/r/Spore/comments/1uz4aye/just_released_my_game_pathogenic_its_basically/</t>
        </is>
      </c>
    </row>
    <row r="1056">
      <c r="A1056" t="inlineStr">
        <is>
          <t>The Binding of Isaac</t>
        </is>
      </c>
      <c r="B1056" t="inlineStr">
        <is>
          <t>Pronoun Palace</t>
        </is>
      </c>
      <c r="C1056" t="n">
        <v>2011</v>
      </c>
      <c r="E1056" s="1" t="inlineStr">
        <is>
          <t>https://store.steampowered.com/news/app/3618850/view/527614642864786784?l=english</t>
        </is>
      </c>
    </row>
    <row r="1057">
      <c r="A1057" t="inlineStr">
        <is>
          <t>The Binding of Isaac</t>
        </is>
      </c>
      <c r="B1057" t="inlineStr">
        <is>
          <t>Rampage Knights</t>
        </is>
      </c>
      <c r="C1057" t="n">
        <v>2011</v>
      </c>
      <c r="E1057" s="11" t="inlineStr">
        <is>
          <t>https://games.tiscali.cz/novinky/cesky-tym-rake-in-grass-se-hlasi-se-slibnou-arkadou-rampage-knights-240475</t>
        </is>
      </c>
    </row>
    <row r="1058">
      <c r="A1058" t="inlineStr">
        <is>
          <t>The Binding of Isaac</t>
        </is>
      </c>
      <c r="B1058" t="inlineStr">
        <is>
          <t>Revita</t>
        </is>
      </c>
      <c r="C1058" t="n">
        <v>2011</v>
      </c>
      <c r="E1058" s="1" t="inlineStr">
        <is>
          <t>https://gamerant.com/revita-benstar-interview-six-year-development-early-access-pc-switch-launch/#:~:text=The%20Binding%20of%20Isaac's%20%22Deals,health%2Das%2Dcurrency%20mechanic.</t>
        </is>
      </c>
    </row>
    <row r="1059">
      <c r="A1059" t="inlineStr">
        <is>
          <t>The Binding of Isaac</t>
        </is>
      </c>
      <c r="B1059" t="inlineStr">
        <is>
          <t>Rogue Legacy</t>
        </is>
      </c>
      <c r="C1059" t="n">
        <v>2011</v>
      </c>
      <c r="E1059" s="1" t="inlineStr">
        <is>
          <t>https://en.wikipedia.org/wiki/Rogue_Legacy#:~:text=The%20game%20was%20developed%20by,development%2C%20including%20an%20experience%20system.</t>
        </is>
      </c>
    </row>
    <row r="1060">
      <c r="A1060" t="inlineStr">
        <is>
          <t>The Binding of Isaac</t>
        </is>
      </c>
      <c r="B1060" t="inlineStr">
        <is>
          <t>Schism</t>
        </is>
      </c>
      <c r="C1060" t="n">
        <v>2011</v>
      </c>
      <c r="E1060" t="inlineStr">
        <is>
          <t>check folder</t>
        </is>
      </c>
    </row>
    <row r="1061">
      <c r="A1061" t="inlineStr">
        <is>
          <t>The Binding of Isaac</t>
        </is>
      </c>
      <c r="B1061" t="inlineStr">
        <is>
          <t>Ship of Fools</t>
        </is>
      </c>
      <c r="C1061" t="n">
        <v>2011</v>
      </c>
      <c r="E1061" s="1" t="inlineStr">
        <is>
          <t>check folder</t>
        </is>
      </c>
    </row>
    <row r="1062">
      <c r="A1062" t="inlineStr">
        <is>
          <t>The Binding of Isaac</t>
        </is>
      </c>
      <c r="B1062" t="inlineStr">
        <is>
          <t>Slay the Spire</t>
        </is>
      </c>
      <c r="C1062" t="n">
        <v>2011</v>
      </c>
      <c r="E1062" s="1" t="inlineStr">
        <is>
          <t>https://podcasts.apple.com/us/podcast/slay-the-spire-with-anthony-giovannetti/id1435365252?i=1000447140877</t>
        </is>
      </c>
    </row>
    <row r="1063">
      <c r="A1063" t="inlineStr">
        <is>
          <t>The Binding of Isaac</t>
        </is>
      </c>
      <c r="B1063" t="inlineStr">
        <is>
          <t>Space Gladiators</t>
        </is>
      </c>
      <c r="C1063" t="n">
        <v>2011</v>
      </c>
      <c r="E1063" s="1" t="inlineStr">
        <is>
          <t>https://www.reddit.com/r/roguelites/comments/m2341u/space_gladiators_my_isaac_inspired_grotesque/</t>
        </is>
      </c>
    </row>
    <row r="1064">
      <c r="A1064" t="inlineStr">
        <is>
          <t>The Binding of Isaac</t>
        </is>
      </c>
      <c r="B1064" t="inlineStr">
        <is>
          <t>Star of Providence</t>
        </is>
      </c>
      <c r="C1064" t="n">
        <v>2011</v>
      </c>
      <c r="E1064" s="1" t="inlineStr">
        <is>
          <t>https://github.com/ScottBurger/going_rogue_podcast/blob/master/docs/providence.md</t>
        </is>
      </c>
    </row>
    <row r="1065">
      <c r="A1065" t="inlineStr">
        <is>
          <t>The Binding of Isaac</t>
        </is>
      </c>
      <c r="B1065" t="inlineStr">
        <is>
          <t>Streets of Rogue</t>
        </is>
      </c>
      <c r="C1065" t="n">
        <v>2011</v>
      </c>
      <c r="E1065" s="1" t="inlineStr">
        <is>
          <t>https://en.wikipedia.org/wiki/Streets_of_Rogue#:~:text=Lead%20designer%20Matt%20Dabrowski%20credited,inspirations%20for%20Streets%20of%20Rogue.</t>
        </is>
      </c>
    </row>
    <row r="1066">
      <c r="A1066" t="inlineStr">
        <is>
          <t>The Binding of Isaac</t>
        </is>
      </c>
      <c r="B1066" t="inlineStr">
        <is>
          <t>Switchcars</t>
        </is>
      </c>
      <c r="C1066" t="n">
        <v>2011</v>
      </c>
      <c r="E1066" s="1" t="inlineStr">
        <is>
          <t>https://www.emuglx.org/reportaze/interview/exclusive-switchcars-interview/</t>
        </is>
      </c>
    </row>
    <row r="1067">
      <c r="A1067" t="inlineStr">
        <is>
          <t>The Binding of Isaac</t>
        </is>
      </c>
      <c r="B1067" t="inlineStr">
        <is>
          <t>Talented</t>
        </is>
      </c>
      <c r="C1067" t="n">
        <v>2011</v>
      </c>
      <c r="E1067" s="1" t="inlineStr">
        <is>
          <t>check folder</t>
        </is>
      </c>
    </row>
    <row r="1068">
      <c r="A1068" t="inlineStr">
        <is>
          <t>The Binding of Isaac</t>
        </is>
      </c>
      <c r="B1068" t="inlineStr">
        <is>
          <t>The Binding of Isaac: Rebirth</t>
        </is>
      </c>
      <c r="C1068" t="n">
        <v>2011</v>
      </c>
      <c r="D1068" t="inlineStr">
        <is>
          <t>Yes</t>
        </is>
      </c>
      <c r="E1068" s="1" t="n"/>
    </row>
    <row r="1069">
      <c r="A1069" t="inlineStr">
        <is>
          <t>The Binding of Isaac</t>
        </is>
      </c>
      <c r="B1069" t="inlineStr">
        <is>
          <t>The Last Game</t>
        </is>
      </c>
      <c r="C1069" t="n">
        <v>2011</v>
      </c>
      <c r="E1069" s="11" t="inlineStr">
        <is>
          <t>https://steamcommunity.com/app/2563800/discussions/0/4756451565242385846/#c592882772895432824</t>
        </is>
      </c>
    </row>
    <row r="1070">
      <c r="A1070" t="inlineStr">
        <is>
          <t>The Binding of Isaac</t>
        </is>
      </c>
      <c r="B1070" t="inlineStr">
        <is>
          <t>The Legend of Bum-Bo</t>
        </is>
      </c>
      <c r="C1070" t="n">
        <v>2011</v>
      </c>
      <c r="D1070" t="inlineStr">
        <is>
          <t>Yes</t>
        </is>
      </c>
      <c r="E1070" s="1" t="n"/>
    </row>
    <row r="1071">
      <c r="A1071" t="inlineStr">
        <is>
          <t>The Binding of Isaac</t>
        </is>
      </c>
      <c r="B1071" t="inlineStr">
        <is>
          <t>The Void Rains Upon Her Heart</t>
        </is>
      </c>
      <c r="C1071" t="n">
        <v>2011</v>
      </c>
      <c r="E1071" s="1" t="inlineStr">
        <is>
          <t>https://steamcommunity.com/app/790060/discussions/0/3377008022024931698/?ctp=12#c1696095174288151256</t>
        </is>
      </c>
    </row>
    <row r="1072">
      <c r="A1072" t="inlineStr">
        <is>
          <t>The Binding of Isaac</t>
        </is>
      </c>
      <c r="B1072" t="inlineStr">
        <is>
          <t>Tiny Rogues</t>
        </is>
      </c>
      <c r="C1072" t="n">
        <v>2011</v>
      </c>
      <c r="E1072" s="1" t="inlineStr">
        <is>
          <t>https://creators.spotify.com/pod/show/openindie/episodes/29---Pixlpunk---Tiny-Rogues---RubyDev---Austria-e2ainqm/a-aafpjfq</t>
        </is>
      </c>
    </row>
    <row r="1073">
      <c r="A1073" t="inlineStr">
        <is>
          <t>The Binding of Isaac</t>
        </is>
      </c>
      <c r="B1073" t="inlineStr">
        <is>
          <t>TombStar</t>
        </is>
      </c>
      <c r="C1073" t="n">
        <v>2011</v>
      </c>
      <c r="E1073" s="1" t="inlineStr">
        <is>
          <t>https://www.nme.com/news/gaming-news/crossy-road-creator-announces-space-western-shooter-tombstar-3258744</t>
        </is>
      </c>
    </row>
    <row r="1074">
      <c r="A1074" t="inlineStr">
        <is>
          <t>The Binding of Isaac</t>
        </is>
      </c>
      <c r="B1074" t="inlineStr">
        <is>
          <t>Tower of Guns</t>
        </is>
      </c>
      <c r="C1074" t="n">
        <v>2011</v>
      </c>
      <c r="E1074" s="1" t="inlineStr">
        <is>
          <t>https://www.terribleposture.com/tower-of-guns/</t>
        </is>
      </c>
    </row>
    <row r="1075">
      <c r="A1075" t="inlineStr">
        <is>
          <t>The Binding of Isaac</t>
        </is>
      </c>
      <c r="B1075" t="inlineStr">
        <is>
          <t>TumbleSeed</t>
        </is>
      </c>
      <c r="C1075" t="n">
        <v>2011</v>
      </c>
      <c r="E1075" s="11" t="inlineStr">
        <is>
          <t>https://www.reddit.com/r/nintendo/comments/691a58/we_are_team_tumbleseed_and_we_launched_tumbleseed/</t>
        </is>
      </c>
    </row>
    <row r="1076">
      <c r="A1076" t="inlineStr">
        <is>
          <t>The Binding of Isaac</t>
        </is>
      </c>
      <c r="B1076" t="inlineStr">
        <is>
          <t>Ultima Ratio Regum</t>
        </is>
      </c>
      <c r="C1076" t="n">
        <v>2011</v>
      </c>
      <c r="E1076" s="1" t="inlineStr">
        <is>
          <t>https://www.youtube.com/watch?v=giIIoIKntnw</t>
        </is>
      </c>
    </row>
    <row r="1077">
      <c r="A1077" t="inlineStr">
        <is>
          <t>The Binding of Isaac</t>
        </is>
      </c>
      <c r="B1077" t="inlineStr">
        <is>
          <t>UnderMine</t>
        </is>
      </c>
      <c r="C1077" t="n">
        <v>2011</v>
      </c>
      <c r="E1077" s="1" t="inlineStr">
        <is>
          <t>https://www.shacknews.com/article/110700/undermine-dev-unearths-roguelike-rpg-info-in-interview</t>
        </is>
      </c>
    </row>
    <row r="1078">
      <c r="A1078" t="inlineStr">
        <is>
          <t>The Binding of Isaac</t>
        </is>
      </c>
      <c r="B1078" t="inlineStr">
        <is>
          <t>Wildfrost</t>
        </is>
      </c>
      <c r="C1078" t="n">
        <v>2011</v>
      </c>
      <c r="E1078" s="1" t="inlineStr">
        <is>
          <t>https://mcvuk.com/business-news/when-we-made-wildfrost/</t>
        </is>
      </c>
    </row>
    <row r="1079">
      <c r="A1079" t="inlineStr">
        <is>
          <t>The Binding of Isaac</t>
        </is>
      </c>
      <c r="B1079" t="inlineStr">
        <is>
          <t>WizardChess</t>
        </is>
      </c>
      <c r="C1079" t="n">
        <v>2011</v>
      </c>
      <c r="E1079" s="1" t="inlineStr">
        <is>
          <t>check folder</t>
        </is>
      </c>
    </row>
    <row r="1080">
      <c r="A1080" t="inlineStr">
        <is>
          <t>The Dungeon RPG</t>
        </is>
      </c>
      <c r="B1080" t="inlineStr">
        <is>
          <t>Eternal Quest</t>
        </is>
      </c>
      <c r="C1080" t="n">
        <v>2000</v>
      </c>
      <c r="D1080" t="inlineStr">
        <is>
          <t>Yes</t>
        </is>
      </c>
      <c r="E1080" s="11" t="inlineStr">
        <is>
          <t>https://www.reddit.com/r/JRPG/comments/1k54nny/lets_discover_rogue_hearts_dungeon_jun_ota_and/#:~:text=Apparently%2C%20Ota%20was%20a%20well%20known%20figure,to%20connect%20Tokyo's%20three%20main%20universities%20that</t>
        </is>
      </c>
    </row>
    <row r="1081">
      <c r="A1081" t="inlineStr">
        <is>
          <t>The Dungeon RPG</t>
        </is>
      </c>
      <c r="B1081" t="inlineStr">
        <is>
          <t>Rogue Hearts Dungeon</t>
        </is>
      </c>
      <c r="C1081" t="n">
        <v>2000</v>
      </c>
      <c r="D1081" t="inlineStr">
        <is>
          <t>Yes</t>
        </is>
      </c>
    </row>
    <row r="1082">
      <c r="A1082" t="inlineStr">
        <is>
          <t>The Ground Gives Way</t>
        </is>
      </c>
      <c r="B1082" t="inlineStr">
        <is>
          <t>ZMAngband</t>
        </is>
      </c>
      <c r="C1082" t="n">
        <v>2014</v>
      </c>
      <c r="E1082" s="1" t="inlineStr">
        <is>
          <t>https://roguebasin.com/index.php/ZMAngband</t>
        </is>
      </c>
    </row>
    <row r="1083">
      <c r="A1083" t="inlineStr">
        <is>
          <t>The Legend of Bum-Bo</t>
        </is>
      </c>
      <c r="B1083" t="inlineStr">
        <is>
          <t>Brutal Orchestra</t>
        </is>
      </c>
      <c r="C1083" t="n">
        <v>2019</v>
      </c>
      <c r="E1083" s="1" t="inlineStr">
        <is>
          <t>https://steamcommunity.com/app/1734320/discussions/0/598515896185532848/</t>
        </is>
      </c>
    </row>
    <row r="1084">
      <c r="A1084" t="inlineStr">
        <is>
          <t>The Legend of Bum-Bo</t>
        </is>
      </c>
      <c r="B1084" t="inlineStr">
        <is>
          <t>Pronoun Palace</t>
        </is>
      </c>
      <c r="C1084" t="n">
        <v>2019</v>
      </c>
      <c r="E1084" s="1" t="inlineStr">
        <is>
          <t>https://store.steampowered.com/news/app/3618850/view/527612739964633653?l=english</t>
        </is>
      </c>
    </row>
    <row r="1085">
      <c r="A1085" t="inlineStr">
        <is>
          <t>The Unliving</t>
        </is>
      </c>
      <c r="B1085" t="inlineStr">
        <is>
          <t>Be My Horde</t>
        </is>
      </c>
      <c r="C1085" t="n">
        <v>2022</v>
      </c>
      <c r="E1085" s="11" t="inlineStr">
        <is>
          <t>https://youtu.be/VGMszILvj78</t>
        </is>
      </c>
    </row>
    <row r="1086">
      <c r="A1086" t="inlineStr">
        <is>
          <t>Tiny Auto Knights</t>
        </is>
      </c>
      <c r="B1086" t="inlineStr">
        <is>
          <t>Sir, We Have an Orc Problem</t>
        </is>
      </c>
      <c r="C1086" t="n">
        <v>2025</v>
      </c>
      <c r="D1086" t="inlineStr">
        <is>
          <t>Yes</t>
        </is>
      </c>
    </row>
    <row r="1087">
      <c r="A1087" t="inlineStr">
        <is>
          <t>Tiny Rogues</t>
        </is>
      </c>
      <c r="B1087" t="inlineStr">
        <is>
          <t>The Last Game</t>
        </is>
      </c>
      <c r="C1087" t="n">
        <v>2022</v>
      </c>
      <c r="E1087" s="11" t="inlineStr">
        <is>
          <t>https://steamcommunity.com/app/2563800/discussions/0/4756451565242385846/#c592882772895432824</t>
        </is>
      </c>
    </row>
    <row r="1088">
      <c r="A1088" t="inlineStr">
        <is>
          <t>ToeJam &amp; Earl</t>
        </is>
      </c>
      <c r="B1088" t="inlineStr">
        <is>
          <t>Baldi's Basics Plus</t>
        </is>
      </c>
      <c r="C1088" t="n">
        <v>1991</v>
      </c>
      <c r="E1088" s="1" t="inlineStr">
        <is>
          <t>https://baldis-basics-in-education-and-learning.fandom.com/wiki/Inspiration_and_reference</t>
        </is>
      </c>
    </row>
    <row r="1089">
      <c r="A1089" t="inlineStr">
        <is>
          <t>ToeJam &amp; Earl</t>
        </is>
      </c>
      <c r="B1089" t="inlineStr">
        <is>
          <t>ToeJam &amp; Earl: Back in the Groove!</t>
        </is>
      </c>
      <c r="C1089" t="n">
        <v>1991</v>
      </c>
      <c r="D1089" t="inlineStr">
        <is>
          <t>Yes</t>
        </is>
      </c>
      <c r="E1089" s="1" t="n"/>
    </row>
    <row r="1090">
      <c r="A1090" t="inlineStr">
        <is>
          <t>Torneko: The Last Hope</t>
        </is>
      </c>
      <c r="B1090" t="inlineStr">
        <is>
          <t>Fushigi no Gensoukyou</t>
        </is>
      </c>
      <c r="C1090" t="n">
        <v>1999</v>
      </c>
      <c r="E1090" s="11" t="inlineStr">
        <is>
          <t>https://www.dualshockers.com/touhou-genso-wanderer-interview-director-jyunya-talks-about-the-best-rouge-like-game-in-japan/</t>
        </is>
      </c>
    </row>
    <row r="1091">
      <c r="A1091" t="inlineStr">
        <is>
          <t>Torneko: The Last Hope</t>
        </is>
      </c>
      <c r="B1091" t="inlineStr">
        <is>
          <t>Torneko's Great Adventure 3</t>
        </is>
      </c>
      <c r="C1091" t="n">
        <v>1999</v>
      </c>
      <c r="D1091" t="inlineStr">
        <is>
          <t>Yes</t>
        </is>
      </c>
      <c r="E1091" s="1" t="n"/>
    </row>
    <row r="1092">
      <c r="A1092" t="inlineStr">
        <is>
          <t>Torneko's Great Adventure: Mystery Dungeon</t>
        </is>
      </c>
      <c r="B1092" t="inlineStr">
        <is>
          <t>Azure Dreams</t>
        </is>
      </c>
      <c r="C1092" t="n">
        <v>1993</v>
      </c>
      <c r="E1092" s="1" t="inlineStr">
        <is>
          <t>look at it</t>
        </is>
      </c>
    </row>
    <row r="1093">
      <c r="A1093" t="inlineStr">
        <is>
          <t>Torneko's Great Adventure: Mystery Dungeon</t>
        </is>
      </c>
      <c r="B1093" t="inlineStr">
        <is>
          <t>Baroque</t>
        </is>
      </c>
      <c r="C1093" t="n">
        <v>1993</v>
      </c>
      <c r="E1093" s="1" t="inlineStr">
        <is>
          <t>https://en.wikipedia.org/wiki/Baroque_(video_game)#cite_note-GuideInterview-40</t>
        </is>
      </c>
    </row>
    <row r="1094">
      <c r="A1094" t="inlineStr">
        <is>
          <t>Torneko's Great Adventure: Mystery Dungeon</t>
        </is>
      </c>
      <c r="B1094" t="inlineStr">
        <is>
          <t>Chocobo's Mysterious Dungeon</t>
        </is>
      </c>
      <c r="C1094" t="n">
        <v>1993</v>
      </c>
      <c r="D1094" t="inlineStr">
        <is>
          <t>Yes</t>
        </is>
      </c>
      <c r="E1094" s="1" t="inlineStr">
        <is>
          <t>https://www.youtube.com/watch?v=txv0XsRrFwo</t>
        </is>
      </c>
    </row>
    <row r="1095">
      <c r="A1095" t="inlineStr">
        <is>
          <t>Torneko's Great Adventure: Mystery Dungeon</t>
        </is>
      </c>
      <c r="B1095" t="inlineStr">
        <is>
          <t>Dave the Diver</t>
        </is>
      </c>
      <c r="C1095" t="n">
        <v>1993</v>
      </c>
      <c r="E1095" s="1" t="inlineStr">
        <is>
          <t>https://www.pcgamer.com/dave-the-diver-was-inspired-by-a-real-oceanside-seafood-restaurant-and-metal-gear-solid/</t>
        </is>
      </c>
    </row>
    <row r="1096">
      <c r="A1096" t="inlineStr">
        <is>
          <t>Torneko's Great Adventure: Mystery Dungeon</t>
        </is>
      </c>
      <c r="B1096" t="inlineStr">
        <is>
          <t>Dragon Quest: Young Yangus and the Mystery Dungeon</t>
        </is>
      </c>
      <c r="C1096" t="n">
        <v>1993</v>
      </c>
      <c r="D1096" t="inlineStr">
        <is>
          <t>Yes</t>
        </is>
      </c>
      <c r="E1096" s="1" t="n"/>
    </row>
    <row r="1097">
      <c r="A1097" t="inlineStr">
        <is>
          <t>Torneko's Great Adventure: Mystery Dungeon</t>
        </is>
      </c>
      <c r="B1097" t="inlineStr">
        <is>
          <t>Dungeon Drafters</t>
        </is>
      </c>
      <c r="C1097" t="n">
        <v>1993</v>
      </c>
      <c r="E1097" t="inlineStr">
        <is>
          <t>check folder</t>
        </is>
      </c>
    </row>
    <row r="1098">
      <c r="A1098" t="inlineStr">
        <is>
          <t>Torneko's Great Adventure: Mystery Dungeon</t>
        </is>
      </c>
      <c r="B1098" t="inlineStr">
        <is>
          <t>Dungeon of Windaria</t>
        </is>
      </c>
      <c r="C1098" t="n">
        <v>1993</v>
      </c>
      <c r="E1098" s="1" t="inlineStr">
        <is>
          <t>look at it</t>
        </is>
      </c>
    </row>
    <row r="1099">
      <c r="A1099" t="inlineStr">
        <is>
          <t>Torneko's Great Adventure: Mystery Dungeon</t>
        </is>
      </c>
      <c r="B1099" t="inlineStr">
        <is>
          <t>Etrian Mystery Dungeon</t>
        </is>
      </c>
      <c r="C1099" t="n">
        <v>1993</v>
      </c>
      <c r="D1099" t="inlineStr">
        <is>
          <t>Yes</t>
        </is>
      </c>
      <c r="E1099" s="1" t="n"/>
    </row>
    <row r="1100">
      <c r="A1100" t="inlineStr">
        <is>
          <t>Torneko's Great Adventure: Mystery Dungeon</t>
        </is>
      </c>
      <c r="B1100" t="inlineStr">
        <is>
          <t>HoloDungeon: Koyori vs HollowLive in Honsha Tower</t>
        </is>
      </c>
      <c r="C1100" t="n">
        <v>1993</v>
      </c>
      <c r="E1100" t="inlineStr">
        <is>
          <t>look at it</t>
        </is>
      </c>
    </row>
    <row r="1101">
      <c r="A1101" t="inlineStr">
        <is>
          <t>Torneko's Great Adventure: Mystery Dungeon</t>
        </is>
      </c>
      <c r="B1101" t="inlineStr">
        <is>
          <t>House of Necrosis</t>
        </is>
      </c>
      <c r="C1101" t="n">
        <v>1993</v>
      </c>
      <c r="E1101" s="1" t="inlineStr">
        <is>
          <t>https://www.reddit.com/r/roguelikes/comments/1iyzkws/house_of_necrosis_demo_is_out_now_on_steam/#:~:text=House%20of%20Necrosis%20is%20a,Linux)%20and%20the%20Steam%20Deck</t>
        </is>
      </c>
    </row>
    <row r="1102">
      <c r="A1102" t="inlineStr">
        <is>
          <t>Torneko's Great Adventure: Mystery Dungeon</t>
        </is>
      </c>
      <c r="B1102" t="inlineStr">
        <is>
          <t>Izuna: Legend of the Unemployed Ninja</t>
        </is>
      </c>
      <c r="C1102" t="n">
        <v>1993</v>
      </c>
      <c r="E1102" s="1" t="inlineStr">
        <is>
          <t>look at it</t>
        </is>
      </c>
    </row>
    <row r="1103">
      <c r="A1103" t="inlineStr">
        <is>
          <t>Torneko's Great Adventure: Mystery Dungeon</t>
        </is>
      </c>
      <c r="B1103" t="inlineStr">
        <is>
          <t>Mistrogue: Mist and the Living Dungeons</t>
        </is>
      </c>
      <c r="C1103" t="n">
        <v>1993</v>
      </c>
      <c r="E1103" s="1" t="inlineStr">
        <is>
          <t>https://store.steampowered.com/app/2102320/MISTROGUE_Mist_and_the_Living_Dungeons/</t>
        </is>
      </c>
    </row>
    <row r="1104">
      <c r="A1104" t="inlineStr">
        <is>
          <t>Torneko's Great Adventure: Mystery Dungeon</t>
        </is>
      </c>
      <c r="B1104" t="inlineStr">
        <is>
          <t>Monster Gate</t>
        </is>
      </c>
      <c r="C1104" t="n">
        <v>1993</v>
      </c>
      <c r="E1104" t="inlineStr">
        <is>
          <t>look at it</t>
        </is>
      </c>
    </row>
    <row r="1105">
      <c r="A1105" t="inlineStr">
        <is>
          <t>Torneko's Great Adventure: Mystery Dungeon</t>
        </is>
      </c>
      <c r="B1105" t="inlineStr">
        <is>
          <t>Monster Girls and the Mysterious Adventure</t>
        </is>
      </c>
      <c r="C1105" t="n">
        <v>1993</v>
      </c>
      <c r="E1105" s="1" t="inlineStr">
        <is>
          <t>https://store.steampowered.com/app/1229260/Monster_Girls_and_the_Mysterious_Adventure/</t>
        </is>
      </c>
    </row>
    <row r="1106">
      <c r="A1106" t="inlineStr">
        <is>
          <t>Torneko's Great Adventure: Mystery Dungeon</t>
        </is>
      </c>
      <c r="B1106" t="inlineStr">
        <is>
          <t>Mystery Dungeon 2: Shiren the Wanderer</t>
        </is>
      </c>
      <c r="C1106" t="n">
        <v>1993</v>
      </c>
      <c r="D1106" t="inlineStr">
        <is>
          <t>Yes</t>
        </is>
      </c>
      <c r="E1106" s="1" t="inlineStr">
        <is>
          <t>https://www.youtube.com/watch?v=txv0XsRrFwo</t>
        </is>
      </c>
    </row>
    <row r="1107">
      <c r="A1107" t="inlineStr">
        <is>
          <t>Torneko's Great Adventure: Mystery Dungeon</t>
        </is>
      </c>
      <c r="B1107" t="inlineStr">
        <is>
          <t>Omega Labyrinth</t>
        </is>
      </c>
      <c r="C1107" t="n">
        <v>1993</v>
      </c>
      <c r="D1107" t="inlineStr">
        <is>
          <t>Yes</t>
        </is>
      </c>
    </row>
    <row r="1108">
      <c r="A1108" t="inlineStr">
        <is>
          <t>Torneko's Great Adventure: Mystery Dungeon</t>
        </is>
      </c>
      <c r="B1108" t="inlineStr">
        <is>
          <t>One Way Heroics</t>
        </is>
      </c>
      <c r="C1108" t="n">
        <v>1993</v>
      </c>
      <c r="E1108" s="11" t="inlineStr">
        <is>
          <t>https://www.moguragames.com/smokingwolfinterview/</t>
        </is>
      </c>
    </row>
    <row r="1109">
      <c r="A1109" t="inlineStr">
        <is>
          <t>Torneko's Great Adventure: Mystery Dungeon</t>
        </is>
      </c>
      <c r="B1109" t="inlineStr">
        <is>
          <t>Pokémon Mystery Dungeon: Red and Blue Rescue Team</t>
        </is>
      </c>
      <c r="C1109" t="n">
        <v>1993</v>
      </c>
      <c r="D1109" t="inlineStr">
        <is>
          <t>Yes</t>
        </is>
      </c>
      <c r="E1109" s="1" t="n"/>
    </row>
    <row r="1110">
      <c r="A1110" t="inlineStr">
        <is>
          <t>Torneko's Great Adventure: Mystery Dungeon</t>
        </is>
      </c>
      <c r="B1110" t="inlineStr">
        <is>
          <t>The Dungeon RPG</t>
        </is>
      </c>
      <c r="C1110" t="n">
        <v>1993</v>
      </c>
      <c r="E1110" s="11" t="inlineStr">
        <is>
          <t>https://www.simplelove.co/entry/20141209/1418122763</t>
        </is>
      </c>
    </row>
    <row r="1111">
      <c r="A1111" t="inlineStr">
        <is>
          <t>Torneko's Great Adventure: Mystery Dungeon</t>
        </is>
      </c>
      <c r="B1111" t="inlineStr">
        <is>
          <t>The Nightmare of Druaga</t>
        </is>
      </c>
      <c r="C1111" t="n">
        <v>1993</v>
      </c>
      <c r="D1111" t="inlineStr">
        <is>
          <t>Yes</t>
        </is>
      </c>
      <c r="E1111" s="1" t="n"/>
    </row>
    <row r="1112">
      <c r="A1112" t="inlineStr">
        <is>
          <t>Torneko's Great Adventure: Mystery Dungeon</t>
        </is>
      </c>
      <c r="B1112" t="inlineStr">
        <is>
          <t>The World is Your Weapon</t>
        </is>
      </c>
      <c r="C1112" t="n">
        <v>1993</v>
      </c>
      <c r="E1112" s="11" t="inlineStr">
        <is>
          <t>https://x.com/kagaya_wqy/status/1152559201945677825</t>
        </is>
      </c>
    </row>
    <row r="1113">
      <c r="A1113" t="inlineStr">
        <is>
          <t>Torneko's Great Adventure: Mystery Dungeon</t>
        </is>
      </c>
      <c r="B1113" t="inlineStr">
        <is>
          <t>Torneko: The Last Hope</t>
        </is>
      </c>
      <c r="C1113" t="n">
        <v>1993</v>
      </c>
      <c r="D1113" t="inlineStr">
        <is>
          <t>Yes</t>
        </is>
      </c>
      <c r="E1113" s="1" t="n"/>
    </row>
    <row r="1114">
      <c r="A1114" t="inlineStr">
        <is>
          <t>Torneko's Great Adventure: Mystery Dungeon</t>
        </is>
      </c>
      <c r="B1114" t="inlineStr">
        <is>
          <t>Vivid Knight</t>
        </is>
      </c>
      <c r="C1114" t="n">
        <v>1993</v>
      </c>
      <c r="E1114" s="1" t="inlineStr">
        <is>
          <t>https://www.youtube.com/watch?v=5fR9VYTfm2A&amp;t=1s</t>
        </is>
      </c>
    </row>
    <row r="1115">
      <c r="A1115" t="inlineStr">
        <is>
          <t>Torneko's Great Adventure: Mystery Dungeon</t>
        </is>
      </c>
      <c r="B1115" t="inlineStr">
        <is>
          <t>Waku Waku Puyo Puyo Dungeon</t>
        </is>
      </c>
      <c r="C1115" t="n">
        <v>1993</v>
      </c>
      <c r="E1115" t="inlineStr">
        <is>
          <t>look at it</t>
        </is>
      </c>
    </row>
    <row r="1116">
      <c r="A1116" t="inlineStr">
        <is>
          <t>Torneko's Great Adventure: Mystery Dungeon</t>
        </is>
      </c>
      <c r="B1116" t="inlineStr">
        <is>
          <t>Z.H.P. Unlosing Ranger VS Darkdeath Evilman</t>
        </is>
      </c>
      <c r="C1116" t="n">
        <v>1993</v>
      </c>
      <c r="E1116" s="1" t="inlineStr">
        <is>
          <t>tried my best to find sources, but all I got is that like duh look at it and also that there might be an interview in Dengeki PlayStation Vol. 478 but I don't got that shit (might be more like shiren but oh well)</t>
        </is>
      </c>
    </row>
    <row r="1117">
      <c r="A1117" t="inlineStr">
        <is>
          <t>Tower of Guns</t>
        </is>
      </c>
      <c r="B1117" t="inlineStr">
        <is>
          <t>Mothergunship</t>
        </is>
      </c>
      <c r="C1117" t="n">
        <v>2014</v>
      </c>
      <c r="D1117" t="inlineStr">
        <is>
          <t>Yes</t>
        </is>
      </c>
      <c r="E1117" s="1" t="n"/>
    </row>
    <row r="1118">
      <c r="A1118" t="inlineStr">
        <is>
          <t>Tower Tactics: Liberation</t>
        </is>
      </c>
      <c r="B1118" t="inlineStr">
        <is>
          <t>Brawl Tactics: Origins</t>
        </is>
      </c>
      <c r="C1118" t="n">
        <v>2021</v>
      </c>
      <c r="D1118" t="inlineStr">
        <is>
          <t>Yes</t>
        </is>
      </c>
      <c r="E1118" s="1" t="n"/>
    </row>
    <row r="1119">
      <c r="A1119" t="inlineStr">
        <is>
          <t>UnderMine</t>
        </is>
      </c>
      <c r="B1119" t="inlineStr">
        <is>
          <t>UnderMine 2</t>
        </is>
      </c>
      <c r="C1119" t="n">
        <v>2019</v>
      </c>
      <c r="D1119" t="inlineStr">
        <is>
          <t>Yes</t>
        </is>
      </c>
      <c r="E1119" s="1" t="n"/>
    </row>
    <row r="1120">
      <c r="A1120" t="inlineStr">
        <is>
          <t>Unexplored</t>
        </is>
      </c>
      <c r="B1120" t="inlineStr">
        <is>
          <t>Moonring</t>
        </is>
      </c>
      <c r="C1120" t="n">
        <v>2017</v>
      </c>
      <c r="E1120" s="1" t="inlineStr">
        <is>
          <t>check folder</t>
        </is>
      </c>
    </row>
    <row r="1121">
      <c r="A1121" t="inlineStr">
        <is>
          <t>Unexplored</t>
        </is>
      </c>
      <c r="B1121" t="inlineStr">
        <is>
          <t>Unexplored 2: The Wayfarer's Legacy</t>
        </is>
      </c>
      <c r="C1121" t="n">
        <v>2017</v>
      </c>
      <c r="D1121" t="inlineStr">
        <is>
          <t>Yes</t>
        </is>
      </c>
      <c r="E1121" s="1" t="n"/>
    </row>
    <row r="1122">
      <c r="A1122" t="inlineStr">
        <is>
          <t>UnReal World</t>
        </is>
      </c>
      <c r="B1122" t="inlineStr">
        <is>
          <t>Soulash</t>
        </is>
      </c>
      <c r="C1122" t="n">
        <v>1992</v>
      </c>
      <c r="E1122" s="1" t="inlineStr">
        <is>
          <t>https://x.com/ArturSmiarowski/status/1870390372389597210</t>
        </is>
      </c>
    </row>
    <row r="1123">
      <c r="A1123" t="inlineStr">
        <is>
          <t>Vampire Survivors</t>
        </is>
      </c>
      <c r="B1123" t="inlineStr">
        <is>
          <t>20 Minutes Till Dawn</t>
        </is>
      </c>
      <c r="C1123" t="n">
        <v>2021</v>
      </c>
      <c r="E1123" s="1" t="inlineStr">
        <is>
          <t>look at it</t>
        </is>
      </c>
    </row>
    <row r="1124">
      <c r="A1124" t="inlineStr">
        <is>
          <t>Vampire Survivors</t>
        </is>
      </c>
      <c r="B1124" t="inlineStr">
        <is>
          <t>Archons</t>
        </is>
      </c>
      <c r="C1124" t="n">
        <v>2021</v>
      </c>
      <c r="E1124" s="1" t="inlineStr">
        <is>
          <t>look at it</t>
        </is>
      </c>
    </row>
    <row r="1125">
      <c r="A1125" t="inlineStr">
        <is>
          <t>Vampire Survivors</t>
        </is>
      </c>
      <c r="B1125" t="inlineStr">
        <is>
          <t>Arms of God</t>
        </is>
      </c>
      <c r="C1125" t="n">
        <v>2021</v>
      </c>
      <c r="E1125" s="11" t="inlineStr">
        <is>
          <t>https://steamcommunity.com/app/3100310/discussions/0/735910198043224446/#c735910198043297427</t>
        </is>
      </c>
    </row>
    <row r="1126">
      <c r="A1126" t="inlineStr">
        <is>
          <t>Vampire Survivors</t>
        </is>
      </c>
      <c r="B1126" t="inlineStr">
        <is>
          <t>Army of Ruin</t>
        </is>
      </c>
      <c r="C1126" t="n">
        <v>2021</v>
      </c>
      <c r="E1126" s="1" t="inlineStr">
        <is>
          <t>check folder</t>
        </is>
      </c>
    </row>
    <row r="1127">
      <c r="A1127" t="inlineStr">
        <is>
          <t>Vampire Survivors</t>
        </is>
      </c>
      <c r="B1127" t="inlineStr">
        <is>
          <t>Asgard's Fall: Viking Survivors</t>
        </is>
      </c>
      <c r="C1127" t="n">
        <v>2021</v>
      </c>
      <c r="E1127" s="1" t="inlineStr">
        <is>
          <t>look at it</t>
        </is>
      </c>
    </row>
    <row r="1128">
      <c r="A1128" t="inlineStr">
        <is>
          <t>Vampire Survivors</t>
        </is>
      </c>
      <c r="B1128" t="inlineStr">
        <is>
          <t>Astro Prospector</t>
        </is>
      </c>
      <c r="C1128" t="n">
        <v>2021</v>
      </c>
      <c r="E1128" s="1" t="inlineStr">
        <is>
          <t>check folder</t>
        </is>
      </c>
    </row>
    <row r="1129">
      <c r="A1129" t="inlineStr">
        <is>
          <t>Vampire Survivors</t>
        </is>
      </c>
      <c r="B1129" t="inlineStr">
        <is>
          <t>Ball x Pit</t>
        </is>
      </c>
      <c r="C1129" t="n">
        <v>2021</v>
      </c>
      <c r="E1129" s="1" t="inlineStr">
        <is>
          <t>https://www.polygon.com/ball-x-pit-review/#:~:text=I%20was%20right%20because%20Ball,search%20of%20treasure%20and%20resources.&amp;text=If%20playback%20doesn't%20begin%20shortly%2C%20try%20restarting%20your%20device.</t>
        </is>
      </c>
    </row>
    <row r="1130">
      <c r="A1130" t="inlineStr">
        <is>
          <t>Vampire Survivors</t>
        </is>
      </c>
      <c r="B1130" t="inlineStr">
        <is>
          <t>Be My Horde</t>
        </is>
      </c>
      <c r="C1130" t="n">
        <v>2021</v>
      </c>
      <c r="E1130" s="11" t="inlineStr">
        <is>
          <t>https://youtu.be/VGMszILvj78</t>
        </is>
      </c>
    </row>
    <row r="1131">
      <c r="A1131" t="inlineStr">
        <is>
          <t>Vampire Survivors</t>
        </is>
      </c>
      <c r="B1131" t="inlineStr">
        <is>
          <t>Bioprototype</t>
        </is>
      </c>
      <c r="C1131" t="n">
        <v>2021</v>
      </c>
      <c r="E1131" s="11" t="inlineStr">
        <is>
          <t>look at it</t>
        </is>
      </c>
    </row>
    <row r="1132">
      <c r="A1132" t="inlineStr">
        <is>
          <t>Vampire Survivors</t>
        </is>
      </c>
      <c r="B1132" t="inlineStr">
        <is>
          <t>Black Jacket</t>
        </is>
      </c>
      <c r="C1132" t="n">
        <v>2021</v>
      </c>
      <c r="E1132" s="11" t="inlineStr">
        <is>
          <t>https://youtu.be/HyhYA69y62c</t>
        </is>
      </c>
    </row>
    <row r="1133">
      <c r="A1133" t="inlineStr">
        <is>
          <t>Vampire Survivors</t>
        </is>
      </c>
      <c r="B1133" t="inlineStr">
        <is>
          <t>BloodDome99</t>
        </is>
      </c>
      <c r="C1133" t="n">
        <v>2021</v>
      </c>
      <c r="E1133" s="1" t="inlineStr">
        <is>
          <t>look at it</t>
        </is>
      </c>
    </row>
    <row r="1134">
      <c r="A1134" t="inlineStr">
        <is>
          <t>Vampire Survivors</t>
        </is>
      </c>
      <c r="B1134" t="inlineStr">
        <is>
          <t>Bloodshed</t>
        </is>
      </c>
      <c r="C1134" t="n">
        <v>2021</v>
      </c>
      <c r="E1134" s="1" t="inlineStr">
        <is>
          <t>look at it</t>
        </is>
      </c>
    </row>
    <row r="1135">
      <c r="A1135" t="inlineStr">
        <is>
          <t>Vampire Survivors</t>
        </is>
      </c>
      <c r="B1135" t="inlineStr">
        <is>
          <t>Boneraiser Minions</t>
        </is>
      </c>
      <c r="C1135" t="n">
        <v>2021</v>
      </c>
      <c r="E1135" s="1" t="inlineStr">
        <is>
          <t>look at it</t>
        </is>
      </c>
    </row>
    <row r="1136">
      <c r="A1136" t="inlineStr">
        <is>
          <t>Vampire Survivors</t>
        </is>
      </c>
      <c r="B1136" t="inlineStr">
        <is>
          <t>Bounty of One</t>
        </is>
      </c>
      <c r="C1136" t="n">
        <v>2021</v>
      </c>
      <c r="E1136" s="1" t="inlineStr">
        <is>
          <t>look at it</t>
        </is>
      </c>
    </row>
    <row r="1137">
      <c r="A1137" t="inlineStr">
        <is>
          <t>Vampire Survivors</t>
        </is>
      </c>
      <c r="B1137" t="inlineStr">
        <is>
          <t>Brotato</t>
        </is>
      </c>
      <c r="C1137" t="n">
        <v>2021</v>
      </c>
      <c r="E1137" s="1" t="inlineStr">
        <is>
          <t>look at it</t>
        </is>
      </c>
    </row>
    <row r="1138">
      <c r="A1138" t="inlineStr">
        <is>
          <t>Vampire Survivors</t>
        </is>
      </c>
      <c r="B1138" t="inlineStr">
        <is>
          <t>Chess Survivors</t>
        </is>
      </c>
      <c r="C1138" t="n">
        <v>2021</v>
      </c>
      <c r="E1138" s="11" t="inlineStr">
        <is>
          <t>https://www.youtube.com/watch?v=dfLSGkKC2ug</t>
        </is>
      </c>
    </row>
    <row r="1139">
      <c r="A1139" t="inlineStr">
        <is>
          <t>Vampire Survivors</t>
        </is>
      </c>
      <c r="B1139" t="inlineStr">
        <is>
          <t>Choo Choo Survivor</t>
        </is>
      </c>
      <c r="C1139" t="n">
        <v>2021</v>
      </c>
      <c r="E1139" s="1" t="inlineStr">
        <is>
          <t>look at it</t>
        </is>
      </c>
    </row>
    <row r="1140">
      <c r="A1140" t="inlineStr">
        <is>
          <t>Vampire Survivors</t>
        </is>
      </c>
      <c r="B1140" t="inlineStr">
        <is>
          <t>Crafty Survivors</t>
        </is>
      </c>
      <c r="C1140" t="n">
        <v>2021</v>
      </c>
      <c r="E1140" s="1" t="inlineStr">
        <is>
          <t>look at it</t>
        </is>
      </c>
    </row>
    <row r="1141">
      <c r="A1141" t="inlineStr">
        <is>
          <t>Vampire Survivors</t>
        </is>
      </c>
      <c r="B1141" t="inlineStr">
        <is>
          <t>Dark Light: Survivor</t>
        </is>
      </c>
      <c r="C1141" t="n">
        <v>2021</v>
      </c>
      <c r="E1141" s="11" t="inlineStr">
        <is>
          <t>https://steamcommunity.com/app/3088070/discussions/0/562532756309055685/#c562532756309107833</t>
        </is>
      </c>
    </row>
    <row r="1142">
      <c r="A1142" t="inlineStr">
        <is>
          <t>Vampire Survivors</t>
        </is>
      </c>
      <c r="B1142" t="inlineStr">
        <is>
          <t>Death Must Die</t>
        </is>
      </c>
      <c r="C1142" t="n">
        <v>2021</v>
      </c>
      <c r="E1142" s="11" t="inlineStr">
        <is>
          <t>https://www.youtube.com/watch?v=mGVNTEOoBXc</t>
        </is>
      </c>
    </row>
    <row r="1143">
      <c r="A1143" t="inlineStr">
        <is>
          <t>Vampire Survivors</t>
        </is>
      </c>
      <c r="B1143" t="inlineStr">
        <is>
          <t>Deep Rock Galactic: Survivor</t>
        </is>
      </c>
      <c r="C1143" t="n">
        <v>2021</v>
      </c>
      <c r="E1143" s="1" t="inlineStr">
        <is>
          <t>look at it</t>
        </is>
      </c>
    </row>
    <row r="1144">
      <c r="A1144" t="inlineStr">
        <is>
          <t>Vampire Survivors</t>
        </is>
      </c>
      <c r="B1144" t="inlineStr">
        <is>
          <t>Desktop Survivors 98</t>
        </is>
      </c>
      <c r="C1144" t="n">
        <v>2021</v>
      </c>
      <c r="E1144" s="1" t="inlineStr">
        <is>
          <t>https://www.reddit.com/r/IndieGaming/comments/1dnw8jb/been_working_on_an_experimental_survivorslike/</t>
        </is>
      </c>
    </row>
    <row r="1145">
      <c r="A1145" t="inlineStr">
        <is>
          <t>Vampire Survivors</t>
        </is>
      </c>
      <c r="B1145" t="inlineStr">
        <is>
          <t>Disfigure</t>
        </is>
      </c>
      <c r="C1145" t="n">
        <v>2021</v>
      </c>
      <c r="E1145" s="1" t="inlineStr">
        <is>
          <t>check folder</t>
        </is>
      </c>
    </row>
    <row r="1146">
      <c r="A1146" t="inlineStr">
        <is>
          <t>Vampire Survivors</t>
        </is>
      </c>
      <c r="B1146" t="inlineStr">
        <is>
          <t>Elemental Survivors</t>
        </is>
      </c>
      <c r="C1146" t="n">
        <v>2021</v>
      </c>
      <c r="E1146" s="1" t="inlineStr">
        <is>
          <t>look at it</t>
        </is>
      </c>
    </row>
    <row r="1147">
      <c r="A1147" t="inlineStr">
        <is>
          <t>Vampire Survivors</t>
        </is>
      </c>
      <c r="B1147" t="inlineStr">
        <is>
          <t>Elewar: Fused Survivors</t>
        </is>
      </c>
      <c r="C1147" t="n">
        <v>2021</v>
      </c>
      <c r="E1147" t="inlineStr">
        <is>
          <t>look at it</t>
        </is>
      </c>
    </row>
    <row r="1148">
      <c r="A1148" t="inlineStr">
        <is>
          <t>Vampire Survivors</t>
        </is>
      </c>
      <c r="B1148" t="inlineStr">
        <is>
          <t>Fish Fear Me</t>
        </is>
      </c>
      <c r="C1148" t="n">
        <v>2021</v>
      </c>
      <c r="E1148" s="1" t="inlineStr">
        <is>
          <t>https://store.steampowered.com/app/3000120/FISH_FEAR_ME/</t>
        </is>
      </c>
    </row>
    <row r="1149">
      <c r="A1149" t="inlineStr">
        <is>
          <t>Vampire Survivors</t>
        </is>
      </c>
      <c r="B1149" t="inlineStr">
        <is>
          <t>Genome Guardian</t>
        </is>
      </c>
      <c r="C1149" t="n">
        <v>2021</v>
      </c>
      <c r="E1149" t="inlineStr">
        <is>
          <t>check folder</t>
        </is>
      </c>
    </row>
    <row r="1150">
      <c r="A1150" t="inlineStr">
        <is>
          <t>Vampire Survivors</t>
        </is>
      </c>
      <c r="B1150" t="inlineStr">
        <is>
          <t>Glyphica: Typing Survival</t>
        </is>
      </c>
      <c r="C1150" t="n">
        <v>2021</v>
      </c>
      <c r="E1150" s="1" t="inlineStr">
        <is>
          <t>https://xuanmingzhou.com/blog/glyphica-a-solo-dev-retrospective/</t>
        </is>
      </c>
    </row>
    <row r="1151">
      <c r="A1151" t="inlineStr">
        <is>
          <t>Vampire Survivors</t>
        </is>
      </c>
      <c r="B1151" t="inlineStr">
        <is>
          <t>God of Weapons</t>
        </is>
      </c>
      <c r="C1151" t="n">
        <v>2021</v>
      </c>
      <c r="E1151" s="1" t="inlineStr">
        <is>
          <t>look at it</t>
        </is>
      </c>
    </row>
    <row r="1152">
      <c r="A1152" t="inlineStr">
        <is>
          <t>Vampire Survivors</t>
        </is>
      </c>
      <c r="B1152" t="inlineStr">
        <is>
          <t>Goobies</t>
        </is>
      </c>
      <c r="C1152" t="n">
        <v>2021</v>
      </c>
      <c r="E1152" s="1" t="inlineStr">
        <is>
          <t>look at it</t>
        </is>
      </c>
    </row>
    <row r="1153">
      <c r="A1153" t="inlineStr">
        <is>
          <t>Vampire Survivors</t>
        </is>
      </c>
      <c r="B1153" t="inlineStr">
        <is>
          <t>Greedland</t>
        </is>
      </c>
      <c r="C1153" t="n">
        <v>2021</v>
      </c>
      <c r="E1153" s="1" t="inlineStr">
        <is>
          <t>https://store.steampowered.com/app/2218400/Greedland/</t>
        </is>
      </c>
    </row>
    <row r="1154">
      <c r="A1154" t="inlineStr">
        <is>
          <t>Vampire Survivors</t>
        </is>
      </c>
      <c r="B1154" t="inlineStr">
        <is>
          <t>Gunlocked</t>
        </is>
      </c>
      <c r="C1154" t="n">
        <v>2021</v>
      </c>
      <c r="E1154" s="1" t="inlineStr">
        <is>
          <t>check folder</t>
        </is>
      </c>
    </row>
    <row r="1155">
      <c r="A1155" t="inlineStr">
        <is>
          <t>Vampire Survivors</t>
        </is>
      </c>
      <c r="B1155" t="inlineStr">
        <is>
          <t>Halls of Torment</t>
        </is>
      </c>
      <c r="C1155" t="n">
        <v>2021</v>
      </c>
      <c r="E1155" s="1" t="inlineStr">
        <is>
          <t>look at it</t>
        </is>
      </c>
    </row>
    <row r="1156">
      <c r="A1156" t="inlineStr">
        <is>
          <t>Vampire Survivors</t>
        </is>
      </c>
      <c r="B1156" t="inlineStr">
        <is>
          <t>Hell Maiden</t>
        </is>
      </c>
      <c r="C1156" t="n">
        <v>2021</v>
      </c>
      <c r="E1156" s="11" t="inlineStr">
        <is>
          <t>https://www.indie-games.eu/hell-maiden-touhou-meets-vampire-survivors-interview/</t>
        </is>
      </c>
    </row>
    <row r="1157">
      <c r="A1157" t="inlineStr">
        <is>
          <t>Vampire Survivors</t>
        </is>
      </c>
      <c r="B1157" t="inlineStr">
        <is>
          <t>Heretic's Fork</t>
        </is>
      </c>
      <c r="C1157" t="n">
        <v>2021</v>
      </c>
      <c r="E1157" s="1" t="inlineStr">
        <is>
          <t>look at it</t>
        </is>
      </c>
    </row>
    <row r="1158">
      <c r="A1158" t="inlineStr">
        <is>
          <t>Vampire Survivors</t>
        </is>
      </c>
      <c r="B1158" t="inlineStr">
        <is>
          <t>HoloCure: Save the Fans!</t>
        </is>
      </c>
      <c r="C1158" t="n">
        <v>2021</v>
      </c>
      <c r="E1158" s="1" t="inlineStr">
        <is>
          <t>look at it</t>
        </is>
      </c>
    </row>
    <row r="1159">
      <c r="A1159" t="inlineStr">
        <is>
          <t>Vampire Survivors</t>
        </is>
      </c>
      <c r="B1159" t="inlineStr">
        <is>
          <t>Hunter X Hunter: Nen X Survivor</t>
        </is>
      </c>
      <c r="C1159" t="n">
        <v>2021</v>
      </c>
      <c r="E1159" s="1" t="inlineStr">
        <is>
          <t>look at it</t>
        </is>
      </c>
    </row>
    <row r="1160">
      <c r="A1160" t="inlineStr">
        <is>
          <t>Vampire Survivors</t>
        </is>
      </c>
      <c r="B1160" t="inlineStr">
        <is>
          <t>I Am Legion: Stand Survivors</t>
        </is>
      </c>
      <c r="C1160" t="n">
        <v>2021</v>
      </c>
      <c r="E1160" s="1" t="inlineStr">
        <is>
          <t>look at it</t>
        </is>
      </c>
    </row>
    <row r="1161">
      <c r="A1161" t="inlineStr">
        <is>
          <t>Vampire Survivors</t>
        </is>
      </c>
      <c r="B1161" t="inlineStr">
        <is>
          <t>Icewall</t>
        </is>
      </c>
      <c r="C1161" t="n">
        <v>2021</v>
      </c>
      <c r="E1161" s="1" t="inlineStr">
        <is>
          <t>https://www.reddit.com/r/shmups/comments/y3uhl5/i_just_released_my_game_icewall_an_action/</t>
        </is>
      </c>
    </row>
    <row r="1162">
      <c r="A1162" t="inlineStr">
        <is>
          <t>Vampire Survivors</t>
        </is>
      </c>
      <c r="B1162" t="inlineStr">
        <is>
          <t>Jotunnslayer: Hordes of Hel</t>
        </is>
      </c>
      <c r="C1162" t="n">
        <v>2021</v>
      </c>
      <c r="E1162" s="1" t="inlineStr">
        <is>
          <t>https://www.reddit.com/r/Games/comments/1c3l5e8/jotunnslayer_hordes_of_hel_games_farm_roguelike/</t>
        </is>
      </c>
    </row>
    <row r="1163">
      <c r="A1163" t="inlineStr">
        <is>
          <t>Vampire Survivors</t>
        </is>
      </c>
      <c r="B1163" t="inlineStr">
        <is>
          <t>Keeper's Toll</t>
        </is>
      </c>
      <c r="C1163" t="n">
        <v>2021</v>
      </c>
      <c r="E1163" s="1" t="inlineStr">
        <is>
          <t>look at it</t>
        </is>
      </c>
    </row>
    <row r="1164">
      <c r="A1164" t="inlineStr">
        <is>
          <t>Vampire Survivors</t>
        </is>
      </c>
      <c r="B1164" t="inlineStr">
        <is>
          <t>Kill The Music</t>
        </is>
      </c>
      <c r="C1164" t="n">
        <v>2021</v>
      </c>
      <c r="E1164" s="1" t="inlineStr">
        <is>
          <t>https://x.com/nikkonikkoLTD/status/1925953983178269138?s=20</t>
        </is>
      </c>
    </row>
    <row r="1165">
      <c r="A1165" t="inlineStr">
        <is>
          <t>Vampire Survivors</t>
        </is>
      </c>
      <c r="B1165" t="inlineStr">
        <is>
          <t>Kitty Survivors: Rogues of Catmere</t>
        </is>
      </c>
      <c r="C1165" t="n">
        <v>2021</v>
      </c>
      <c r="E1165" s="1" t="inlineStr">
        <is>
          <t>look at it</t>
        </is>
      </c>
    </row>
    <row r="1166">
      <c r="A1166" t="inlineStr">
        <is>
          <t>Vampire Survivors</t>
        </is>
      </c>
      <c r="B1166" t="inlineStr">
        <is>
          <t>Let Him Cook</t>
        </is>
      </c>
      <c r="C1166" t="n">
        <v>2021</v>
      </c>
      <c r="E1166" s="1" t="inlineStr">
        <is>
          <t>look at it</t>
        </is>
      </c>
    </row>
    <row r="1167">
      <c r="A1167" t="inlineStr">
        <is>
          <t>Vampire Survivors</t>
        </is>
      </c>
      <c r="B1167" t="inlineStr">
        <is>
          <t>Maze Mice</t>
        </is>
      </c>
      <c r="C1167" t="n">
        <v>2021</v>
      </c>
      <c r="E1167" s="1" t="inlineStr">
        <is>
          <t>described as a bullet heaven, unclear if there was a specific game inspired from, but I think VS counts to an extent</t>
        </is>
      </c>
    </row>
    <row r="1168">
      <c r="A1168" t="inlineStr">
        <is>
          <t>Vampire Survivors</t>
        </is>
      </c>
      <c r="B1168" t="inlineStr">
        <is>
          <t>Megabonk</t>
        </is>
      </c>
      <c r="C1168" t="n">
        <v>2021</v>
      </c>
      <c r="E1168" s="1" t="inlineStr">
        <is>
          <t>check folder</t>
        </is>
      </c>
    </row>
    <row r="1169">
      <c r="A1169" t="inlineStr">
        <is>
          <t>Vampire Survivors</t>
        </is>
      </c>
      <c r="B1169" t="inlineStr">
        <is>
          <t>Mobmania</t>
        </is>
      </c>
      <c r="C1169" t="n">
        <v>2021</v>
      </c>
      <c r="E1169" s="1" t="inlineStr">
        <is>
          <t>look at it</t>
        </is>
      </c>
    </row>
    <row r="1170">
      <c r="A1170" t="inlineStr">
        <is>
          <t>Vampire Survivors</t>
        </is>
      </c>
      <c r="B1170" t="inlineStr">
        <is>
          <t>Monsters are Coming!</t>
        </is>
      </c>
      <c r="C1170" t="n">
        <v>2021</v>
      </c>
      <c r="E1170" s="1" t="inlineStr">
        <is>
          <t>https://store.steampowered.com/news/app/2934220/view/698764742929416235?l=english</t>
        </is>
      </c>
    </row>
    <row r="1171">
      <c r="A1171" t="inlineStr">
        <is>
          <t>Vampire Survivors</t>
        </is>
      </c>
      <c r="B1171" t="inlineStr">
        <is>
          <t>Mortal Sin</t>
        </is>
      </c>
      <c r="C1171" t="n">
        <v>2021</v>
      </c>
      <c r="E1171" s="1" t="inlineStr">
        <is>
          <t>check folder</t>
        </is>
      </c>
    </row>
    <row r="1172">
      <c r="A1172" t="inlineStr">
        <is>
          <t>Vampire Survivors</t>
        </is>
      </c>
      <c r="B1172" t="inlineStr">
        <is>
          <t>Mythical Concept Starnaut</t>
        </is>
      </c>
      <c r="C1172" t="n">
        <v>2021</v>
      </c>
      <c r="E1172" s="1" t="inlineStr">
        <is>
          <t>look at it</t>
        </is>
      </c>
    </row>
    <row r="1173">
      <c r="A1173" t="inlineStr">
        <is>
          <t>Vampire Survivors</t>
        </is>
      </c>
      <c r="B1173" t="inlineStr">
        <is>
          <t>Neophyte</t>
        </is>
      </c>
      <c r="C1173" t="n">
        <v>2021</v>
      </c>
      <c r="E1173" s="1" t="inlineStr">
        <is>
          <t>look at it</t>
        </is>
      </c>
    </row>
    <row r="1174">
      <c r="A1174" t="inlineStr">
        <is>
          <t>Vampire Survivors</t>
        </is>
      </c>
      <c r="B1174" t="inlineStr">
        <is>
          <t>Night Swarm</t>
        </is>
      </c>
      <c r="C1174" t="n">
        <v>2021</v>
      </c>
      <c r="E1174" s="1" t="inlineStr">
        <is>
          <t>look at it</t>
        </is>
      </c>
    </row>
    <row r="1175">
      <c r="A1175" t="inlineStr">
        <is>
          <t>Vampire Survivors</t>
        </is>
      </c>
      <c r="B1175" t="inlineStr">
        <is>
          <t>Nimrods</t>
        </is>
      </c>
      <c r="C1175" t="n">
        <v>2021</v>
      </c>
      <c r="E1175" s="1" t="inlineStr">
        <is>
          <t>check folder</t>
        </is>
      </c>
    </row>
    <row r="1176">
      <c r="A1176" t="inlineStr">
        <is>
          <t>Vampire Survivors</t>
        </is>
      </c>
      <c r="B1176" t="inlineStr">
        <is>
          <t>Nomad Survival</t>
        </is>
      </c>
      <c r="C1176" t="n">
        <v>2021</v>
      </c>
      <c r="E1176" s="1" t="inlineStr">
        <is>
          <t>look at it</t>
        </is>
      </c>
    </row>
    <row r="1177">
      <c r="A1177" t="inlineStr">
        <is>
          <t>Vampire Survivors</t>
        </is>
      </c>
      <c r="B1177" t="inlineStr">
        <is>
          <t>Noobs Want to Live</t>
        </is>
      </c>
      <c r="C1177" t="n">
        <v>2021</v>
      </c>
      <c r="E1177" s="1" t="inlineStr">
        <is>
          <t>look at it</t>
        </is>
      </c>
    </row>
    <row r="1178">
      <c r="A1178" t="inlineStr">
        <is>
          <t>Vampire Survivors</t>
        </is>
      </c>
      <c r="B1178" t="inlineStr">
        <is>
          <t>Nordic Ashes: Survivors of Ragnarok</t>
        </is>
      </c>
      <c r="C1178" t="n">
        <v>2021</v>
      </c>
      <c r="E1178" s="1" t="inlineStr">
        <is>
          <t>look at it</t>
        </is>
      </c>
    </row>
    <row r="1179">
      <c r="A1179" t="inlineStr">
        <is>
          <t>Vampire Survivors</t>
        </is>
      </c>
      <c r="B1179" t="inlineStr">
        <is>
          <t>Nubby's Number Factory</t>
        </is>
      </c>
      <c r="C1179" t="n">
        <v>2021</v>
      </c>
      <c r="E1179" s="1" t="inlineStr">
        <is>
          <t>check folder</t>
        </is>
      </c>
    </row>
    <row r="1180">
      <c r="A1180" t="inlineStr">
        <is>
          <t>Vampire Survivors</t>
        </is>
      </c>
      <c r="B1180" t="inlineStr">
        <is>
          <t>Pesticide Not Required</t>
        </is>
      </c>
      <c r="C1180" t="n">
        <v>2021</v>
      </c>
      <c r="E1180" s="1" t="inlineStr">
        <is>
          <t>https://store.steampowered.com/app/2479320/Pesticide_Not_Required/</t>
        </is>
      </c>
    </row>
    <row r="1181">
      <c r="A1181" t="inlineStr">
        <is>
          <t>Vampire Survivors</t>
        </is>
      </c>
      <c r="B1181" t="inlineStr">
        <is>
          <t>Picayune Dreams</t>
        </is>
      </c>
      <c r="C1181" t="n">
        <v>2021</v>
      </c>
      <c r="E1181" s="1" t="inlineStr">
        <is>
          <t>look at it</t>
        </is>
      </c>
    </row>
    <row r="1182">
      <c r="A1182" t="inlineStr">
        <is>
          <t>Vampire Survivors</t>
        </is>
      </c>
      <c r="B1182" t="inlineStr">
        <is>
          <t>Return to Abyss</t>
        </is>
      </c>
      <c r="C1182" t="n">
        <v>2021</v>
      </c>
      <c r="E1182" s="1" t="inlineStr">
        <is>
          <t>look at it</t>
        </is>
      </c>
    </row>
    <row r="1183">
      <c r="A1183" t="inlineStr">
        <is>
          <t>Vampire Survivors</t>
        </is>
      </c>
      <c r="B1183" t="inlineStr">
        <is>
          <t>Rhythm Witch: Beat Death</t>
        </is>
      </c>
      <c r="C1183" t="n">
        <v>2021</v>
      </c>
      <c r="E1183" s="1" t="inlineStr">
        <is>
          <t>look at it</t>
        </is>
      </c>
    </row>
    <row r="1184">
      <c r="A1184" t="inlineStr">
        <is>
          <t>Vampire Survivors</t>
        </is>
      </c>
      <c r="B1184" t="inlineStr">
        <is>
          <t>Rogue Factory</t>
        </is>
      </c>
      <c r="C1184" t="n">
        <v>2021</v>
      </c>
      <c r="E1184" s="1" t="inlineStr">
        <is>
          <t>check folder</t>
        </is>
      </c>
    </row>
    <row r="1185">
      <c r="A1185" t="inlineStr">
        <is>
          <t>Vampire Survivors</t>
        </is>
      </c>
      <c r="B1185" t="inlineStr">
        <is>
          <t>Rogue: Genesia</t>
        </is>
      </c>
      <c r="C1185" t="n">
        <v>2021</v>
      </c>
      <c r="E1185" s="1" t="inlineStr">
        <is>
          <t>look at it</t>
        </is>
      </c>
    </row>
    <row r="1186">
      <c r="A1186" t="inlineStr">
        <is>
          <t>Vampire Survivors</t>
        </is>
      </c>
      <c r="B1186" t="inlineStr">
        <is>
          <t>Scarlet Tower</t>
        </is>
      </c>
      <c r="C1186" t="n">
        <v>2021</v>
      </c>
      <c r="E1186" s="1" t="inlineStr">
        <is>
          <t>look at it</t>
        </is>
      </c>
    </row>
    <row r="1187">
      <c r="A1187" t="inlineStr">
        <is>
          <t>Vampire Survivors</t>
        </is>
      </c>
      <c r="B1187" t="inlineStr">
        <is>
          <t>Sea of Survivors</t>
        </is>
      </c>
      <c r="C1187" t="n">
        <v>2021</v>
      </c>
      <c r="E1187" s="1" t="inlineStr">
        <is>
          <t>look at it</t>
        </is>
      </c>
    </row>
    <row r="1188">
      <c r="A1188" t="inlineStr">
        <is>
          <t>Vampire Survivors</t>
        </is>
      </c>
      <c r="B1188" t="inlineStr">
        <is>
          <t>Slime 3K: Rise Against Despot</t>
        </is>
      </c>
      <c r="C1188" t="n">
        <v>2021</v>
      </c>
      <c r="E1188" s="1" t="inlineStr">
        <is>
          <t>look at it</t>
        </is>
      </c>
    </row>
    <row r="1189">
      <c r="A1189" t="inlineStr">
        <is>
          <t>Vampire Survivors</t>
        </is>
      </c>
      <c r="B1189" t="inlineStr">
        <is>
          <t>Sodaman</t>
        </is>
      </c>
      <c r="C1189" t="n">
        <v>2021</v>
      </c>
      <c r="E1189" s="1" t="inlineStr">
        <is>
          <t>check folder</t>
        </is>
      </c>
    </row>
    <row r="1190">
      <c r="A1190" t="inlineStr">
        <is>
          <t>Vampire Survivors</t>
        </is>
      </c>
      <c r="B1190" t="inlineStr">
        <is>
          <t>Soulstone Survivors</t>
        </is>
      </c>
      <c r="C1190" t="n">
        <v>2021</v>
      </c>
      <c r="E1190" s="1" t="inlineStr">
        <is>
          <t>https://www.reddit.com/r/roguelites/comments/xtr9td/tomorrow_we_have_a_huge_announcement_for/</t>
        </is>
      </c>
    </row>
    <row r="1191">
      <c r="A1191" t="inlineStr">
        <is>
          <t>Vampire Survivors</t>
        </is>
      </c>
      <c r="B1191" t="inlineStr">
        <is>
          <t>Spellbook Demonslayers</t>
        </is>
      </c>
      <c r="C1191" t="n">
        <v>2021</v>
      </c>
      <c r="E1191" s="1" t="inlineStr">
        <is>
          <t>look at it</t>
        </is>
      </c>
    </row>
    <row r="1192">
      <c r="A1192" t="inlineStr">
        <is>
          <t>Vampire Survivors</t>
        </is>
      </c>
      <c r="B1192" t="inlineStr">
        <is>
          <t>Spirit Hunters: Infinite Horde</t>
        </is>
      </c>
      <c r="C1192" t="n">
        <v>2021</v>
      </c>
      <c r="E1192" s="1" t="inlineStr">
        <is>
          <t>look at it</t>
        </is>
      </c>
    </row>
    <row r="1193">
      <c r="A1193" t="inlineStr">
        <is>
          <t>Vampire Survivors</t>
        </is>
      </c>
      <c r="B1193" t="inlineStr">
        <is>
          <t>Star Survivor</t>
        </is>
      </c>
      <c r="C1193" t="n">
        <v>2021</v>
      </c>
      <c r="E1193" s="1" t="inlineStr">
        <is>
          <t>https://www.reddit.com/r/Games/comments/116odn6/star_survivor_prologue_spaceowl_games_scifi/</t>
        </is>
      </c>
    </row>
    <row r="1194">
      <c r="A1194" t="inlineStr">
        <is>
          <t>Vampire Survivors</t>
        </is>
      </c>
      <c r="B1194" t="inlineStr">
        <is>
          <t>Swarm Grinder</t>
        </is>
      </c>
      <c r="C1194" t="n">
        <v>2021</v>
      </c>
      <c r="E1194" s="1" t="inlineStr">
        <is>
          <t>https://www.reddit.com/r/Games/comments/196wldd/swarm_grinder_last_bite_games_a_roguelite_game/</t>
        </is>
      </c>
    </row>
    <row r="1195">
      <c r="A1195" t="inlineStr">
        <is>
          <t>Vampire Survivors</t>
        </is>
      </c>
      <c r="B1195" t="inlineStr">
        <is>
          <t>Temtem: Swarm</t>
        </is>
      </c>
      <c r="C1195" t="n">
        <v>2021</v>
      </c>
      <c r="E1195" s="1" t="inlineStr">
        <is>
          <t>look at it</t>
        </is>
      </c>
    </row>
    <row r="1196">
      <c r="A1196" t="inlineStr">
        <is>
          <t>Vampire Survivors</t>
        </is>
      </c>
      <c r="B1196" t="inlineStr">
        <is>
          <t>TerraTech Legion</t>
        </is>
      </c>
      <c r="C1196" t="n">
        <v>2021</v>
      </c>
      <c r="E1196" s="11" t="inlineStr">
        <is>
          <t>https://store.epicgames.com/news/terratech-legion-interview-russ-clark-car-building-freedom-bullet-heaven?lang=hi</t>
        </is>
      </c>
    </row>
    <row r="1197">
      <c r="A1197" t="inlineStr">
        <is>
          <t>Vampire Survivors</t>
        </is>
      </c>
      <c r="B1197" t="inlineStr">
        <is>
          <t>The Spell Brigade</t>
        </is>
      </c>
      <c r="C1197" t="n">
        <v>2021</v>
      </c>
      <c r="E1197" s="1" t="inlineStr">
        <is>
          <t>look at it</t>
        </is>
      </c>
    </row>
    <row r="1198">
      <c r="A1198" t="inlineStr">
        <is>
          <t>Vampire Survivors</t>
        </is>
      </c>
      <c r="B1198" t="inlineStr">
        <is>
          <t>Time Survivors</t>
        </is>
      </c>
      <c r="C1198" t="n">
        <v>2021</v>
      </c>
      <c r="E1198" s="11" t="inlineStr">
        <is>
          <t>https://www.reddit.com/r/DestroyMyGame/comments/119wet3/looking_for_feedback_on_this_vs_inspired/</t>
        </is>
      </c>
    </row>
    <row r="1199">
      <c r="A1199" t="inlineStr">
        <is>
          <t>Vampire Survivors</t>
        </is>
      </c>
      <c r="B1199" t="inlineStr">
        <is>
          <t>Time Wasters</t>
        </is>
      </c>
      <c r="C1199" t="n">
        <v>2021</v>
      </c>
      <c r="E1199" s="1" t="inlineStr">
        <is>
          <t>look at it</t>
        </is>
      </c>
    </row>
    <row r="1200">
      <c r="A1200" t="inlineStr">
        <is>
          <t>Vampire Survivors</t>
        </is>
      </c>
      <c r="B1200" t="inlineStr">
        <is>
          <t>Tiny Rogues</t>
        </is>
      </c>
      <c r="C1200" t="n">
        <v>2021</v>
      </c>
      <c r="E1200" s="1" t="inlineStr">
        <is>
          <t>https://creators.spotify.com/pod/show/openindie/episodes/29---Pixlpunk---Tiny-Rogues---RubyDev---Austria-e2ainqm/a-aafpjfq</t>
        </is>
      </c>
    </row>
    <row r="1201">
      <c r="A1201" t="inlineStr">
        <is>
          <t>Vampire Survivors</t>
        </is>
      </c>
      <c r="B1201" t="inlineStr">
        <is>
          <t>Tower Factory</t>
        </is>
      </c>
      <c r="C1201" t="n">
        <v>2021</v>
      </c>
      <c r="E1201" s="1" t="inlineStr">
        <is>
          <t>check folder</t>
        </is>
      </c>
    </row>
    <row r="1202">
      <c r="A1202" t="inlineStr">
        <is>
          <t>Vampire Survivors</t>
        </is>
      </c>
      <c r="B1202" t="inlineStr">
        <is>
          <t>Vampire Crawlers</t>
        </is>
      </c>
      <c r="C1202" t="n">
        <v>2021</v>
      </c>
      <c r="D1202" t="inlineStr">
        <is>
          <t>Yes</t>
        </is>
      </c>
      <c r="E1202" s="1" t="n"/>
    </row>
    <row r="1203">
      <c r="A1203" t="inlineStr">
        <is>
          <t>Vampire Survivors</t>
        </is>
      </c>
      <c r="B1203" t="inlineStr">
        <is>
          <t>Vampire Hunters</t>
        </is>
      </c>
      <c r="C1203" t="n">
        <v>2021</v>
      </c>
      <c r="E1203" s="1" t="inlineStr">
        <is>
          <t>check folder</t>
        </is>
      </c>
    </row>
    <row r="1204">
      <c r="A1204" t="inlineStr">
        <is>
          <t>Vampire Survivors</t>
        </is>
      </c>
      <c r="B1204" t="inlineStr">
        <is>
          <t>Vital Shell</t>
        </is>
      </c>
      <c r="C1204" t="n">
        <v>2021</v>
      </c>
      <c r="E1204" s="1" t="inlineStr">
        <is>
          <t>check folder</t>
        </is>
      </c>
    </row>
    <row r="1205">
      <c r="A1205" t="inlineStr">
        <is>
          <t>Vampire Survivors</t>
        </is>
      </c>
      <c r="B1205" t="inlineStr">
        <is>
          <t>Void Scrappers</t>
        </is>
      </c>
      <c r="C1205" t="n">
        <v>2021</v>
      </c>
      <c r="E1205" s="1" t="inlineStr">
        <is>
          <t>check folder</t>
        </is>
      </c>
    </row>
    <row r="1206">
      <c r="A1206" t="inlineStr">
        <is>
          <t>Vampire Survivors</t>
        </is>
      </c>
      <c r="B1206" t="inlineStr">
        <is>
          <t>Warhammer Survivors</t>
        </is>
      </c>
      <c r="C1206" t="n">
        <v>2021</v>
      </c>
      <c r="D1206" t="inlineStr">
        <is>
          <t>Yes</t>
        </is>
      </c>
      <c r="E1206" s="1" t="inlineStr">
        <is>
          <t>Developed by Auroch Digital (Warhammer 40,000: Boltgun) in partnership with Warhammer and poncle (Vampire Survivors)</t>
        </is>
      </c>
    </row>
    <row r="1207">
      <c r="A1207" t="inlineStr">
        <is>
          <t>Vampire Survivors</t>
        </is>
      </c>
      <c r="B1207" t="inlineStr">
        <is>
          <t>Whisker Squadron: Survivor</t>
        </is>
      </c>
      <c r="C1207" t="n">
        <v>2021</v>
      </c>
      <c r="E1207" s="1" t="inlineStr">
        <is>
          <t>https://tonemadison.com/articles/whisker-squadron-survivor-takes-aim-at-its-pain-points/#:~:text=Runs%20in%20Whisker%20Squadron:%20Survivor,to%20engage%20the%20boost%20thrusters.</t>
        </is>
      </c>
    </row>
    <row r="1208">
      <c r="A1208" t="inlineStr">
        <is>
          <t>Vampire Survivors</t>
        </is>
      </c>
      <c r="B1208" t="inlineStr">
        <is>
          <t>Yet Another Zombie Survivors</t>
        </is>
      </c>
      <c r="C1208" t="n">
        <v>2021</v>
      </c>
      <c r="E1208" s="1" t="inlineStr">
        <is>
          <t>look at it</t>
        </is>
      </c>
    </row>
    <row r="1209">
      <c r="A1209" t="inlineStr">
        <is>
          <t>Vivid Knight</t>
        </is>
      </c>
      <c r="B1209" t="inlineStr">
        <is>
          <t>Vivid World</t>
        </is>
      </c>
      <c r="C1209" t="n">
        <v>2021</v>
      </c>
      <c r="D1209" t="inlineStr">
        <is>
          <t>Yes</t>
        </is>
      </c>
      <c r="E1209" s="1" t="n"/>
    </row>
    <row r="1210">
      <c r="A1210" t="inlineStr">
        <is>
          <t>Void Bastards</t>
        </is>
      </c>
      <c r="B1210" t="inlineStr">
        <is>
          <t>Wild Bastards</t>
        </is>
      </c>
      <c r="C1210" t="n">
        <v>2019</v>
      </c>
      <c r="D1210" t="inlineStr">
        <is>
          <t>Yes</t>
        </is>
      </c>
      <c r="E1210" s="1" t="n"/>
    </row>
    <row r="1211">
      <c r="A1211" t="inlineStr">
        <is>
          <t>Void Scrappers</t>
        </is>
      </c>
      <c r="B1211" t="inlineStr">
        <is>
          <t>Skull Horde</t>
        </is>
      </c>
      <c r="C1211" t="n">
        <v>2022</v>
      </c>
      <c r="D1211" t="inlineStr">
        <is>
          <t>Yes</t>
        </is>
      </c>
      <c r="E1211" s="1" t="n"/>
    </row>
    <row r="1212">
      <c r="A1212" t="inlineStr">
        <is>
          <t>Wall World</t>
        </is>
      </c>
      <c r="B1212" t="inlineStr">
        <is>
          <t>Wall World 2</t>
        </is>
      </c>
      <c r="C1212" t="n">
        <v>2023</v>
      </c>
      <c r="D1212" t="inlineStr">
        <is>
          <t>Yes</t>
        </is>
      </c>
      <c r="E1212" s="1" t="n"/>
    </row>
    <row r="1213">
      <c r="A1213" t="inlineStr">
        <is>
          <t>Weird Worlds: Return to Infinite Space</t>
        </is>
      </c>
      <c r="B1213" t="inlineStr">
        <is>
          <t>Infinite Space III: Sea of Stars</t>
        </is>
      </c>
      <c r="C1213" t="n">
        <v>2005</v>
      </c>
      <c r="D1213" t="inlineStr">
        <is>
          <t>Yes</t>
        </is>
      </c>
      <c r="E1213" s="1" t="n"/>
    </row>
    <row r="1214">
      <c r="A1214" t="inlineStr">
        <is>
          <t>West of Dead</t>
        </is>
      </c>
      <c r="B1214" t="inlineStr">
        <is>
          <t>Hellboy Web of Wyrd</t>
        </is>
      </c>
      <c r="C1214" t="n">
        <v>2020</v>
      </c>
      <c r="D1214" t="inlineStr">
        <is>
          <t>Yes</t>
        </is>
      </c>
    </row>
    <row r="1215">
      <c r="A1215" t="inlineStr">
        <is>
          <t>Wildfrost</t>
        </is>
      </c>
      <c r="B1215" t="inlineStr">
        <is>
          <t>Decktamer</t>
        </is>
      </c>
      <c r="C1215" t="n">
        <v>2023</v>
      </c>
      <c r="E1215" s="1" t="inlineStr">
        <is>
          <t>check folder</t>
        </is>
      </c>
    </row>
    <row r="1216">
      <c r="A1216" t="inlineStr">
        <is>
          <t>Wildfrost</t>
        </is>
      </c>
      <c r="B1216" t="inlineStr">
        <is>
          <t>Hungry Horrors</t>
        </is>
      </c>
      <c r="C1216" t="n">
        <v>2023</v>
      </c>
      <c r="E1216" s="1" t="inlineStr">
        <is>
          <t>https://www.youtube.com/watch?v=txv0XsRrFwo</t>
        </is>
      </c>
    </row>
    <row r="1217">
      <c r="A1217" t="inlineStr">
        <is>
          <t>Witchfire</t>
        </is>
      </c>
      <c r="B1217" t="inlineStr">
        <is>
          <t>Voin</t>
        </is>
      </c>
      <c r="C1217" t="n">
        <v>2024</v>
      </c>
      <c r="E1217" s="1" t="inlineStr">
        <is>
          <t>https://80.lv/articles/making-hack-and-slash-action-rpg-voin-as-solo-developer</t>
        </is>
      </c>
    </row>
    <row r="1218">
      <c r="A1218" t="inlineStr">
        <is>
          <t>Wizard of Legend</t>
        </is>
      </c>
      <c r="B1218" t="inlineStr">
        <is>
          <t>Abandoned Archive</t>
        </is>
      </c>
      <c r="C1218" t="n">
        <v>2018</v>
      </c>
      <c r="E1218" s="1" t="inlineStr">
        <is>
          <t>https://www.reddit.com/r/playmygame/comments/sqb852/our_spellcasting_roguelike_abandoned_archive_now/</t>
        </is>
      </c>
    </row>
    <row r="1219">
      <c r="A1219" t="inlineStr">
        <is>
          <t>Wizard of Legend</t>
        </is>
      </c>
      <c r="B1219" t="inlineStr">
        <is>
          <t>Astral Ascent</t>
        </is>
      </c>
      <c r="C1219" t="n">
        <v>2018</v>
      </c>
      <c r="E1219" s="1" t="inlineStr">
        <is>
          <t>https://www.scousegamer88.com/2021/03/31/astral-ascent-hibernian-workshop-interview/</t>
        </is>
      </c>
    </row>
    <row r="1220">
      <c r="A1220" t="inlineStr">
        <is>
          <t>Wizard of Legend</t>
        </is>
      </c>
      <c r="B1220" t="inlineStr">
        <is>
          <t>Putrid Shot Ultra</t>
        </is>
      </c>
      <c r="C1220" t="n">
        <v>2018</v>
      </c>
      <c r="E1220" s="1" t="inlineStr">
        <is>
          <t>https://www.reddit.com/r/Games/comments/wifqwk/putrid_shot_ultra_abhi_sundu_chaotic_roguelike/</t>
        </is>
      </c>
    </row>
    <row r="1221">
      <c r="A1221" t="inlineStr">
        <is>
          <t>Wizard of Legend</t>
        </is>
      </c>
      <c r="B1221" t="inlineStr">
        <is>
          <t>Wizard of Legend 2</t>
        </is>
      </c>
      <c r="C1221" t="n">
        <v>2018</v>
      </c>
      <c r="D1221" t="inlineStr">
        <is>
          <t>Yes</t>
        </is>
      </c>
      <c r="E1221" s="1" t="n"/>
    </row>
    <row r="1222">
      <c r="A1222" t="inlineStr">
        <is>
          <t>Z.H.P. Unlosing Ranger VS Darkdeath Evilman</t>
        </is>
      </c>
      <c r="B1222" t="inlineStr">
        <is>
          <t>The Guided Fate Paradox</t>
        </is>
      </c>
      <c r="C1222" t="n">
        <v>2010</v>
      </c>
      <c r="D1222" t="inlineStr">
        <is>
          <t>Yes</t>
        </is>
      </c>
      <c r="E1222" s="1" t="inlineStr">
        <is>
          <t>same devs, same mechanics, different tone</t>
        </is>
      </c>
    </row>
    <row r="1223">
      <c r="A1223" t="inlineStr">
        <is>
          <t>Zangband</t>
        </is>
      </c>
      <c r="B1223" t="inlineStr">
        <is>
          <t>Cthangband</t>
        </is>
      </c>
      <c r="C1223" t="n">
        <v>1994</v>
      </c>
      <c r="E1223" s="11" t="inlineStr">
        <is>
          <t>https://www.roguebasin.com/index.php/Cthangband</t>
        </is>
      </c>
    </row>
    <row r="1224">
      <c r="A1224" t="inlineStr">
        <is>
          <t>Zangband</t>
        </is>
      </c>
      <c r="B1224" t="inlineStr">
        <is>
          <t>Tales of Maj'Eyal</t>
        </is>
      </c>
      <c r="C1224" t="n">
        <v>1994</v>
      </c>
      <c r="E1224" s="1" t="inlineStr">
        <is>
          <t>https://roguebasin.com/index.php/PernAngband</t>
        </is>
      </c>
    </row>
    <row r="1225">
      <c r="A1225" t="inlineStr">
        <is>
          <t>Zangband</t>
        </is>
      </c>
      <c r="B1225" t="inlineStr">
        <is>
          <t>ZMAngband</t>
        </is>
      </c>
      <c r="C1225" t="n">
        <v>1994</v>
      </c>
      <c r="E1225" s="1" t="inlineStr">
        <is>
          <t>https://roguebasin.com/index.php/ZMAngband</t>
        </is>
      </c>
    </row>
    <row r="1226">
      <c r="A1226" t="inlineStr">
        <is>
          <t>Ziggurat</t>
        </is>
      </c>
      <c r="B1226" t="inlineStr">
        <is>
          <t>Vellum</t>
        </is>
      </c>
      <c r="C1226" t="n">
        <v>2014</v>
      </c>
      <c r="E1226" s="1" t="inlineStr">
        <is>
          <t>https://rogueliker.com/vellum-inspirations/#:~:text=Vellum's%20Inspirations,chapter%20of%20the%20original%20series.</t>
        </is>
      </c>
    </row>
    <row r="1227">
      <c r="A1227" t="inlineStr">
        <is>
          <t>Ziggurat</t>
        </is>
      </c>
      <c r="B1227" t="inlineStr">
        <is>
          <t>Ziggurat 2</t>
        </is>
      </c>
      <c r="C1227" t="n">
        <v>2014</v>
      </c>
      <c r="D1227" t="inlineStr">
        <is>
          <t>Yes</t>
        </is>
      </c>
      <c r="E1227" s="1" t="n"/>
    </row>
    <row r="1228">
      <c r="A1228" t="inlineStr">
        <is>
          <t>Zoeti</t>
        </is>
      </c>
      <c r="B1228" t="inlineStr">
        <is>
          <t>Rhythm Witch: Beat Death</t>
        </is>
      </c>
      <c r="C1228" t="n">
        <v>2023</v>
      </c>
      <c r="D1228" t="inlineStr">
        <is>
          <t>Yes</t>
        </is>
      </c>
      <c r="E1228" s="1" t="n"/>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9" r:id="rId3"/>
    <hyperlink xmlns:r="http://schemas.openxmlformats.org/officeDocument/2006/relationships" ref="E10" r:id="rId4"/>
    <hyperlink xmlns:r="http://schemas.openxmlformats.org/officeDocument/2006/relationships" ref="E12" r:id="rId5"/>
    <hyperlink xmlns:r="http://schemas.openxmlformats.org/officeDocument/2006/relationships" ref="E13" r:id="rId6"/>
    <hyperlink xmlns:r="http://schemas.openxmlformats.org/officeDocument/2006/relationships" ref="E15" r:id="rId7"/>
    <hyperlink xmlns:r="http://schemas.openxmlformats.org/officeDocument/2006/relationships" ref="E16" r:id="rId8"/>
    <hyperlink xmlns:r="http://schemas.openxmlformats.org/officeDocument/2006/relationships" ref="E17" r:id="rId9"/>
    <hyperlink xmlns:r="http://schemas.openxmlformats.org/officeDocument/2006/relationships" ref="E20" r:id="rId10"/>
    <hyperlink xmlns:r="http://schemas.openxmlformats.org/officeDocument/2006/relationships" ref="E22" r:id="rId11"/>
    <hyperlink xmlns:r="http://schemas.openxmlformats.org/officeDocument/2006/relationships" ref="E23" r:id="rId12"/>
    <hyperlink xmlns:r="http://schemas.openxmlformats.org/officeDocument/2006/relationships" ref="E24" r:id="rId13"/>
    <hyperlink xmlns:r="http://schemas.openxmlformats.org/officeDocument/2006/relationships" ref="E25" r:id="rId14"/>
    <hyperlink xmlns:r="http://schemas.openxmlformats.org/officeDocument/2006/relationships" ref="E26" r:id="rId15"/>
    <hyperlink xmlns:r="http://schemas.openxmlformats.org/officeDocument/2006/relationships" ref="E27" r:id="rId16"/>
    <hyperlink xmlns:r="http://schemas.openxmlformats.org/officeDocument/2006/relationships" ref="E29" r:id="rId17"/>
    <hyperlink xmlns:r="http://schemas.openxmlformats.org/officeDocument/2006/relationships" ref="E30" r:id="rId18"/>
    <hyperlink xmlns:r="http://schemas.openxmlformats.org/officeDocument/2006/relationships" ref="E31" r:id="rId19"/>
    <hyperlink xmlns:r="http://schemas.openxmlformats.org/officeDocument/2006/relationships" ref="E32" r:id="rId20"/>
    <hyperlink xmlns:r="http://schemas.openxmlformats.org/officeDocument/2006/relationships" ref="E36" r:id="rId21"/>
    <hyperlink xmlns:r="http://schemas.openxmlformats.org/officeDocument/2006/relationships" ref="E37" r:id="rId22"/>
    <hyperlink xmlns:r="http://schemas.openxmlformats.org/officeDocument/2006/relationships" ref="E38" r:id="rId23"/>
    <hyperlink xmlns:r="http://schemas.openxmlformats.org/officeDocument/2006/relationships" ref="E39" r:id="rId24"/>
    <hyperlink xmlns:r="http://schemas.openxmlformats.org/officeDocument/2006/relationships" ref="E40" r:id="rId25"/>
    <hyperlink xmlns:r="http://schemas.openxmlformats.org/officeDocument/2006/relationships" ref="E41" r:id="rId26"/>
    <hyperlink xmlns:r="http://schemas.openxmlformats.org/officeDocument/2006/relationships" ref="E44" r:id="rId27"/>
    <hyperlink xmlns:r="http://schemas.openxmlformats.org/officeDocument/2006/relationships" ref="E45" r:id="rId28"/>
    <hyperlink xmlns:r="http://schemas.openxmlformats.org/officeDocument/2006/relationships" ref="E46" r:id="rId29"/>
    <hyperlink xmlns:r="http://schemas.openxmlformats.org/officeDocument/2006/relationships" ref="E47" r:id="rId30"/>
    <hyperlink xmlns:r="http://schemas.openxmlformats.org/officeDocument/2006/relationships" ref="E48" r:id="rId31"/>
    <hyperlink xmlns:r="http://schemas.openxmlformats.org/officeDocument/2006/relationships" ref="E51" r:id="rId32"/>
    <hyperlink xmlns:r="http://schemas.openxmlformats.org/officeDocument/2006/relationships" ref="E52" location=":~:text=A%20downloadable%20game%20for%20Windows,it%20to%20the%20next%20round." r:id="rId33"/>
    <hyperlink xmlns:r="http://schemas.openxmlformats.org/officeDocument/2006/relationships" ref="E54" r:id="rId34"/>
    <hyperlink xmlns:r="http://schemas.openxmlformats.org/officeDocument/2006/relationships" ref="E56" r:id="rId35"/>
    <hyperlink xmlns:r="http://schemas.openxmlformats.org/officeDocument/2006/relationships" ref="E57" r:id="rId36"/>
    <hyperlink xmlns:r="http://schemas.openxmlformats.org/officeDocument/2006/relationships" ref="E58" r:id="rId37"/>
    <hyperlink xmlns:r="http://schemas.openxmlformats.org/officeDocument/2006/relationships" ref="E60" location="c4335355681661031211" r:id="rId38"/>
    <hyperlink xmlns:r="http://schemas.openxmlformats.org/officeDocument/2006/relationships" ref="E65" r:id="rId39"/>
    <hyperlink xmlns:r="http://schemas.openxmlformats.org/officeDocument/2006/relationships" ref="E67" r:id="rId40"/>
    <hyperlink xmlns:r="http://schemas.openxmlformats.org/officeDocument/2006/relationships" ref="E68" r:id="rId41"/>
    <hyperlink xmlns:r="http://schemas.openxmlformats.org/officeDocument/2006/relationships" ref="E69" r:id="rId42"/>
    <hyperlink xmlns:r="http://schemas.openxmlformats.org/officeDocument/2006/relationships" ref="E70" r:id="rId43"/>
    <hyperlink xmlns:r="http://schemas.openxmlformats.org/officeDocument/2006/relationships" ref="E71" location=":~:text=With%20inspirations%20from%20hometown%20superstars%20Nikola%20Jokić%2C,passion%20project%20using%20basketball%20as%20the%20medium." r:id="rId44"/>
    <hyperlink xmlns:r="http://schemas.openxmlformats.org/officeDocument/2006/relationships" ref="E73" r:id="rId45"/>
    <hyperlink xmlns:r="http://schemas.openxmlformats.org/officeDocument/2006/relationships" ref="E74" r:id="rId46"/>
    <hyperlink xmlns:r="http://schemas.openxmlformats.org/officeDocument/2006/relationships" ref="E75" r:id="rId47"/>
    <hyperlink xmlns:r="http://schemas.openxmlformats.org/officeDocument/2006/relationships" ref="E78" r:id="rId48"/>
    <hyperlink xmlns:r="http://schemas.openxmlformats.org/officeDocument/2006/relationships" ref="E81" r:id="rId49"/>
    <hyperlink xmlns:r="http://schemas.openxmlformats.org/officeDocument/2006/relationships" ref="E82" r:id="rId50"/>
    <hyperlink xmlns:r="http://schemas.openxmlformats.org/officeDocument/2006/relationships" ref="E84" location=":~:text=A%20downloadable%20game%20for%20Windows,it%20to%20the%20next%20round." r:id="rId51"/>
    <hyperlink xmlns:r="http://schemas.openxmlformats.org/officeDocument/2006/relationships" ref="E85" r:id="rId52"/>
    <hyperlink xmlns:r="http://schemas.openxmlformats.org/officeDocument/2006/relationships" ref="E86" r:id="rId53"/>
    <hyperlink xmlns:r="http://schemas.openxmlformats.org/officeDocument/2006/relationships" ref="E87" r:id="rId54"/>
    <hyperlink xmlns:r="http://schemas.openxmlformats.org/officeDocument/2006/relationships" ref="E88" r:id="rId55"/>
    <hyperlink xmlns:r="http://schemas.openxmlformats.org/officeDocument/2006/relationships" ref="E89" r:id="rId56"/>
    <hyperlink xmlns:r="http://schemas.openxmlformats.org/officeDocument/2006/relationships" ref="E90" r:id="rId57"/>
    <hyperlink xmlns:r="http://schemas.openxmlformats.org/officeDocument/2006/relationships" ref="E92" r:id="rId58"/>
    <hyperlink xmlns:r="http://schemas.openxmlformats.org/officeDocument/2006/relationships" ref="E93" r:id="rId59"/>
    <hyperlink xmlns:r="http://schemas.openxmlformats.org/officeDocument/2006/relationships" ref="E96" location=":~:text=RollScape%20is%20a%20game%20inspired,I%20played%20throughout%20the%20years." r:id="rId60"/>
    <hyperlink xmlns:r="http://schemas.openxmlformats.org/officeDocument/2006/relationships" ref="E97" r:id="rId61"/>
    <hyperlink xmlns:r="http://schemas.openxmlformats.org/officeDocument/2006/relationships" ref="E98" location=":~:text=%2C%20say%2C%20Arco?-,RunebornGame,make%20it%20even%20more%20unique." r:id="rId62"/>
    <hyperlink xmlns:r="http://schemas.openxmlformats.org/officeDocument/2006/relationships" ref="E99" r:id="rId63"/>
    <hyperlink xmlns:r="http://schemas.openxmlformats.org/officeDocument/2006/relationships" ref="E102" r:id="rId64"/>
    <hyperlink xmlns:r="http://schemas.openxmlformats.org/officeDocument/2006/relationships" ref="E103" r:id="rId65"/>
    <hyperlink xmlns:r="http://schemas.openxmlformats.org/officeDocument/2006/relationships" ref="E104" r:id="rId66"/>
    <hyperlink xmlns:r="http://schemas.openxmlformats.org/officeDocument/2006/relationships" ref="E106" r:id="rId67"/>
    <hyperlink xmlns:r="http://schemas.openxmlformats.org/officeDocument/2006/relationships" ref="E107" r:id="rId68"/>
    <hyperlink xmlns:r="http://schemas.openxmlformats.org/officeDocument/2006/relationships" ref="E109" r:id="rId69"/>
    <hyperlink xmlns:r="http://schemas.openxmlformats.org/officeDocument/2006/relationships" ref="E111" r:id="rId70"/>
    <hyperlink xmlns:r="http://schemas.openxmlformats.org/officeDocument/2006/relationships" ref="E112" r:id="rId71"/>
    <hyperlink xmlns:r="http://schemas.openxmlformats.org/officeDocument/2006/relationships" ref="E113" r:id="rId72"/>
    <hyperlink xmlns:r="http://schemas.openxmlformats.org/officeDocument/2006/relationships" ref="E116" location=":~:text=The%20Last%20Spell's%20unique%20blend,build%20characters%20however%20they%20want." r:id="rId73"/>
    <hyperlink xmlns:r="http://schemas.openxmlformats.org/officeDocument/2006/relationships" ref="E119" r:id="rId74"/>
    <hyperlink xmlns:r="http://schemas.openxmlformats.org/officeDocument/2006/relationships" ref="E121" r:id="rId75"/>
    <hyperlink xmlns:r="http://schemas.openxmlformats.org/officeDocument/2006/relationships" ref="E123" r:id="rId76"/>
    <hyperlink xmlns:r="http://schemas.openxmlformats.org/officeDocument/2006/relationships" ref="E124" r:id="rId77"/>
    <hyperlink xmlns:r="http://schemas.openxmlformats.org/officeDocument/2006/relationships" ref="E126" r:id="rId78"/>
    <hyperlink xmlns:r="http://schemas.openxmlformats.org/officeDocument/2006/relationships" ref="E127" r:id="rId79"/>
    <hyperlink xmlns:r="http://schemas.openxmlformats.org/officeDocument/2006/relationships" ref="E128" location="c494631967651765393" r:id="rId80"/>
    <hyperlink xmlns:r="http://schemas.openxmlformats.org/officeDocument/2006/relationships" ref="E129" r:id="rId81"/>
    <hyperlink xmlns:r="http://schemas.openxmlformats.org/officeDocument/2006/relationships" ref="E130" r:id="rId82"/>
    <hyperlink xmlns:r="http://schemas.openxmlformats.org/officeDocument/2006/relationships" ref="E131" location="c735910198043297427" r:id="rId83"/>
    <hyperlink xmlns:r="http://schemas.openxmlformats.org/officeDocument/2006/relationships" ref="E133" r:id="rId84"/>
    <hyperlink xmlns:r="http://schemas.openxmlformats.org/officeDocument/2006/relationships" ref="E134" r:id="rId85"/>
    <hyperlink xmlns:r="http://schemas.openxmlformats.org/officeDocument/2006/relationships" ref="E136" r:id="rId86"/>
    <hyperlink xmlns:r="http://schemas.openxmlformats.org/officeDocument/2006/relationships" ref="E137" r:id="rId87"/>
    <hyperlink xmlns:r="http://schemas.openxmlformats.org/officeDocument/2006/relationships" ref="E138" r:id="rId88"/>
    <hyperlink xmlns:r="http://schemas.openxmlformats.org/officeDocument/2006/relationships" ref="E139" r:id="rId89"/>
    <hyperlink xmlns:r="http://schemas.openxmlformats.org/officeDocument/2006/relationships" ref="E140" r:id="rId90"/>
    <hyperlink xmlns:r="http://schemas.openxmlformats.org/officeDocument/2006/relationships" ref="E141" r:id="rId91"/>
    <hyperlink xmlns:r="http://schemas.openxmlformats.org/officeDocument/2006/relationships" ref="E142" r:id="rId92"/>
    <hyperlink xmlns:r="http://schemas.openxmlformats.org/officeDocument/2006/relationships" ref="E143" r:id="rId93"/>
    <hyperlink xmlns:r="http://schemas.openxmlformats.org/officeDocument/2006/relationships" ref="E146" r:id="rId94"/>
    <hyperlink xmlns:r="http://schemas.openxmlformats.org/officeDocument/2006/relationships" ref="E147" r:id="rId95"/>
    <hyperlink xmlns:r="http://schemas.openxmlformats.org/officeDocument/2006/relationships" ref="E148" r:id="rId96"/>
    <hyperlink xmlns:r="http://schemas.openxmlformats.org/officeDocument/2006/relationships" ref="E149" r:id="rId97"/>
    <hyperlink xmlns:r="http://schemas.openxmlformats.org/officeDocument/2006/relationships" ref="E151" r:id="rId98"/>
    <hyperlink xmlns:r="http://schemas.openxmlformats.org/officeDocument/2006/relationships" ref="E157" r:id="rId99"/>
    <hyperlink xmlns:r="http://schemas.openxmlformats.org/officeDocument/2006/relationships" ref="E162" location=":~:text=*Mainframe%20Defenders*%20is%20a%20roguelite%20game%20available,**Earning%20Matter%20and%20drops**%20*%20**Upgrading%20mechs**" r:id="rId100"/>
    <hyperlink xmlns:r="http://schemas.openxmlformats.org/officeDocument/2006/relationships" ref="E163" location="c5456682769558786398" r:id="rId101"/>
    <hyperlink xmlns:r="http://schemas.openxmlformats.org/officeDocument/2006/relationships" ref="E165" r:id="rId102"/>
    <hyperlink xmlns:r="http://schemas.openxmlformats.org/officeDocument/2006/relationships" ref="E166" location=":~:text=Vellum's%20Inspirations,chapter%20of%20the%20original%20series." r:id="rId103"/>
    <hyperlink xmlns:r="http://schemas.openxmlformats.org/officeDocument/2006/relationships" ref="E167" r:id="rId104"/>
    <hyperlink xmlns:r="http://schemas.openxmlformats.org/officeDocument/2006/relationships" ref="E168" location=":~:text=The%20game%20was%20inspired%20by,of%20the%20NecroDancer%20and%20Cuphead." r:id="rId105"/>
    <hyperlink xmlns:r="http://schemas.openxmlformats.org/officeDocument/2006/relationships" ref="E169" r:id="rId106"/>
    <hyperlink xmlns:r="http://schemas.openxmlformats.org/officeDocument/2006/relationships" ref="E170" r:id="rId107"/>
    <hyperlink xmlns:r="http://schemas.openxmlformats.org/officeDocument/2006/relationships" ref="E172" r:id="rId108"/>
    <hyperlink xmlns:r="http://schemas.openxmlformats.org/officeDocument/2006/relationships" ref="E175" r:id="rId109"/>
    <hyperlink xmlns:r="http://schemas.openxmlformats.org/officeDocument/2006/relationships" ref="E176" r:id="rId110"/>
    <hyperlink xmlns:r="http://schemas.openxmlformats.org/officeDocument/2006/relationships" ref="E177" r:id="rId111"/>
    <hyperlink xmlns:r="http://schemas.openxmlformats.org/officeDocument/2006/relationships" ref="E178" r:id="rId112"/>
    <hyperlink xmlns:r="http://schemas.openxmlformats.org/officeDocument/2006/relationships" ref="E179" r:id="rId113"/>
    <hyperlink xmlns:r="http://schemas.openxmlformats.org/officeDocument/2006/relationships" ref="E180" r:id="rId114"/>
    <hyperlink xmlns:r="http://schemas.openxmlformats.org/officeDocument/2006/relationships" ref="E181" r:id="rId115"/>
    <hyperlink xmlns:r="http://schemas.openxmlformats.org/officeDocument/2006/relationships" ref="E183" r:id="rId116"/>
    <hyperlink xmlns:r="http://schemas.openxmlformats.org/officeDocument/2006/relationships" ref="E185" r:id="rId117"/>
    <hyperlink xmlns:r="http://schemas.openxmlformats.org/officeDocument/2006/relationships" ref="E187" r:id="rId118"/>
    <hyperlink xmlns:r="http://schemas.openxmlformats.org/officeDocument/2006/relationships" ref="E189" r:id="rId119"/>
    <hyperlink xmlns:r="http://schemas.openxmlformats.org/officeDocument/2006/relationships" ref="E191" r:id="rId120"/>
    <hyperlink xmlns:r="http://schemas.openxmlformats.org/officeDocument/2006/relationships" ref="E192" r:id="rId121"/>
    <hyperlink xmlns:r="http://schemas.openxmlformats.org/officeDocument/2006/relationships" ref="E193" r:id="rId122"/>
    <hyperlink xmlns:r="http://schemas.openxmlformats.org/officeDocument/2006/relationships" ref="E194" location="c352788917764129482" r:id="rId123"/>
    <hyperlink xmlns:r="http://schemas.openxmlformats.org/officeDocument/2006/relationships" ref="E195" r:id="rId124"/>
    <hyperlink xmlns:r="http://schemas.openxmlformats.org/officeDocument/2006/relationships" ref="E196" r:id="rId125"/>
    <hyperlink xmlns:r="http://schemas.openxmlformats.org/officeDocument/2006/relationships" ref="E197" r:id="rId126"/>
    <hyperlink xmlns:r="http://schemas.openxmlformats.org/officeDocument/2006/relationships" ref="E200" r:id="rId127"/>
    <hyperlink xmlns:r="http://schemas.openxmlformats.org/officeDocument/2006/relationships" ref="E201" r:id="rId128"/>
    <hyperlink xmlns:r="http://schemas.openxmlformats.org/officeDocument/2006/relationships" ref="E203" r:id="rId129"/>
    <hyperlink xmlns:r="http://schemas.openxmlformats.org/officeDocument/2006/relationships" ref="E204" r:id="rId130"/>
    <hyperlink xmlns:r="http://schemas.openxmlformats.org/officeDocument/2006/relationships" ref="E205" r:id="rId131"/>
    <hyperlink xmlns:r="http://schemas.openxmlformats.org/officeDocument/2006/relationships" ref="E207" r:id="rId132"/>
    <hyperlink xmlns:r="http://schemas.openxmlformats.org/officeDocument/2006/relationships" ref="E208" r:id="rId133"/>
    <hyperlink xmlns:r="http://schemas.openxmlformats.org/officeDocument/2006/relationships" ref="E209" r:id="rId134"/>
    <hyperlink xmlns:r="http://schemas.openxmlformats.org/officeDocument/2006/relationships" ref="E211" r:id="rId135"/>
    <hyperlink xmlns:r="http://schemas.openxmlformats.org/officeDocument/2006/relationships" ref="E213" r:id="rId136"/>
    <hyperlink xmlns:r="http://schemas.openxmlformats.org/officeDocument/2006/relationships" ref="E214" r:id="rId137"/>
    <hyperlink xmlns:r="http://schemas.openxmlformats.org/officeDocument/2006/relationships" ref="E218" location=":~:text=A%20big%20of%20Rogue%20Legacy%2C%20Spelunky%2C%20Hades.,kinda%20got%20inspiration%20from%20all%20of%20them." r:id="rId138"/>
    <hyperlink xmlns:r="http://schemas.openxmlformats.org/officeDocument/2006/relationships" ref="E220" location=":~:text=Fury%20Unleashed%20was%20created%20by,like%20Contra%20and%20Metal%20Slug." r:id="rId139"/>
    <hyperlink xmlns:r="http://schemas.openxmlformats.org/officeDocument/2006/relationships" ref="E221" r:id="rId140"/>
    <hyperlink xmlns:r="http://schemas.openxmlformats.org/officeDocument/2006/relationships" ref="E222" r:id="rId141"/>
    <hyperlink xmlns:r="http://schemas.openxmlformats.org/officeDocument/2006/relationships" ref="E223" location=":~:text=Felix%20Soumpholphakdy:%20Dead%20Cells%20is%20a%20big,we%20wanted%20to%20craft%20a%20big%20world." r:id="rId142"/>
    <hyperlink xmlns:r="http://schemas.openxmlformats.org/officeDocument/2006/relationships" ref="E226" r:id="rId143"/>
    <hyperlink xmlns:r="http://schemas.openxmlformats.org/officeDocument/2006/relationships" ref="E228" r:id="rId144"/>
    <hyperlink xmlns:r="http://schemas.openxmlformats.org/officeDocument/2006/relationships" ref="E229" r:id="rId145"/>
    <hyperlink xmlns:r="http://schemas.openxmlformats.org/officeDocument/2006/relationships" ref="E230" r:id="rId146"/>
    <hyperlink xmlns:r="http://schemas.openxmlformats.org/officeDocument/2006/relationships" ref="E233" r:id="rId147"/>
    <hyperlink xmlns:r="http://schemas.openxmlformats.org/officeDocument/2006/relationships" ref="E234" r:id="rId148"/>
    <hyperlink xmlns:r="http://schemas.openxmlformats.org/officeDocument/2006/relationships" ref="E237" r:id="rId149"/>
    <hyperlink xmlns:r="http://schemas.openxmlformats.org/officeDocument/2006/relationships" ref="E244" r:id="rId150"/>
    <hyperlink xmlns:r="http://schemas.openxmlformats.org/officeDocument/2006/relationships" ref="E248" location="c758430178052462886" r:id="rId151"/>
    <hyperlink xmlns:r="http://schemas.openxmlformats.org/officeDocument/2006/relationships" ref="E249" location="c353915309337431749" r:id="rId152"/>
    <hyperlink xmlns:r="http://schemas.openxmlformats.org/officeDocument/2006/relationships" ref="E250" r:id="rId153"/>
    <hyperlink xmlns:r="http://schemas.openxmlformats.org/officeDocument/2006/relationships" ref="E251" r:id="rId154"/>
    <hyperlink xmlns:r="http://schemas.openxmlformats.org/officeDocument/2006/relationships" ref="E252" r:id="rId155"/>
    <hyperlink xmlns:r="http://schemas.openxmlformats.org/officeDocument/2006/relationships" ref="E253" r:id="rId156"/>
    <hyperlink xmlns:r="http://schemas.openxmlformats.org/officeDocument/2006/relationships" ref="E254" r:id="rId157"/>
    <hyperlink xmlns:r="http://schemas.openxmlformats.org/officeDocument/2006/relationships" ref="E255" r:id="rId158"/>
    <hyperlink xmlns:r="http://schemas.openxmlformats.org/officeDocument/2006/relationships" ref="E256" r:id="rId159"/>
    <hyperlink xmlns:r="http://schemas.openxmlformats.org/officeDocument/2006/relationships" ref="E257" r:id="rId160"/>
    <hyperlink xmlns:r="http://schemas.openxmlformats.org/officeDocument/2006/relationships" ref="E258" r:id="rId161"/>
    <hyperlink xmlns:r="http://schemas.openxmlformats.org/officeDocument/2006/relationships" ref="E259" r:id="rId162"/>
    <hyperlink xmlns:r="http://schemas.openxmlformats.org/officeDocument/2006/relationships" ref="E260" r:id="rId163"/>
    <hyperlink xmlns:r="http://schemas.openxmlformats.org/officeDocument/2006/relationships" ref="E261" r:id="rId164"/>
    <hyperlink xmlns:r="http://schemas.openxmlformats.org/officeDocument/2006/relationships" ref="E262" r:id="rId165"/>
    <hyperlink xmlns:r="http://schemas.openxmlformats.org/officeDocument/2006/relationships" ref="E263" r:id="rId166"/>
    <hyperlink xmlns:r="http://schemas.openxmlformats.org/officeDocument/2006/relationships" ref="E265" r:id="rId167"/>
    <hyperlink xmlns:r="http://schemas.openxmlformats.org/officeDocument/2006/relationships" ref="E267" r:id="rId168"/>
    <hyperlink xmlns:r="http://schemas.openxmlformats.org/officeDocument/2006/relationships" ref="E268" r:id="rId169"/>
    <hyperlink xmlns:r="http://schemas.openxmlformats.org/officeDocument/2006/relationships" ref="E271" r:id="rId170"/>
    <hyperlink xmlns:r="http://schemas.openxmlformats.org/officeDocument/2006/relationships" ref="E273" r:id="rId171"/>
    <hyperlink xmlns:r="http://schemas.openxmlformats.org/officeDocument/2006/relationships" ref="E274" r:id="rId172"/>
    <hyperlink xmlns:r="http://schemas.openxmlformats.org/officeDocument/2006/relationships" ref="E277" r:id="rId173"/>
    <hyperlink xmlns:r="http://schemas.openxmlformats.org/officeDocument/2006/relationships" ref="E278" r:id="rId174"/>
    <hyperlink xmlns:r="http://schemas.openxmlformats.org/officeDocument/2006/relationships" ref="E279" r:id="rId175"/>
    <hyperlink xmlns:r="http://schemas.openxmlformats.org/officeDocument/2006/relationships" ref="E280" r:id="rId176"/>
    <hyperlink xmlns:r="http://schemas.openxmlformats.org/officeDocument/2006/relationships" ref="E281" r:id="rId177"/>
    <hyperlink xmlns:r="http://schemas.openxmlformats.org/officeDocument/2006/relationships" ref="E282" r:id="rId178"/>
    <hyperlink xmlns:r="http://schemas.openxmlformats.org/officeDocument/2006/relationships" ref="E283" r:id="rId179"/>
    <hyperlink xmlns:r="http://schemas.openxmlformats.org/officeDocument/2006/relationships" ref="E287" location="c494631967651765393" r:id="rId180"/>
    <hyperlink xmlns:r="http://schemas.openxmlformats.org/officeDocument/2006/relationships" ref="E289" r:id="rId181"/>
    <hyperlink xmlns:r="http://schemas.openxmlformats.org/officeDocument/2006/relationships" ref="E290" r:id="rId182"/>
    <hyperlink xmlns:r="http://schemas.openxmlformats.org/officeDocument/2006/relationships" ref="E291" r:id="rId183"/>
    <hyperlink xmlns:r="http://schemas.openxmlformats.org/officeDocument/2006/relationships" ref="E292" r:id="rId184"/>
    <hyperlink xmlns:r="http://schemas.openxmlformats.org/officeDocument/2006/relationships" ref="E293" r:id="rId185"/>
    <hyperlink xmlns:r="http://schemas.openxmlformats.org/officeDocument/2006/relationships" ref="E294" location=":~:text=As%20inspiration%20from%20different%20games,dangerous%20to%20go%20alone%22%20line." r:id="rId186"/>
    <hyperlink xmlns:r="http://schemas.openxmlformats.org/officeDocument/2006/relationships" ref="E295" r:id="rId187"/>
    <hyperlink xmlns:r="http://schemas.openxmlformats.org/officeDocument/2006/relationships" ref="E296" location="c1319962683447326488" r:id="rId188"/>
    <hyperlink xmlns:r="http://schemas.openxmlformats.org/officeDocument/2006/relationships" ref="E298" r:id="rId189"/>
    <hyperlink xmlns:r="http://schemas.openxmlformats.org/officeDocument/2006/relationships" ref="E299" r:id="rId190"/>
    <hyperlink xmlns:r="http://schemas.openxmlformats.org/officeDocument/2006/relationships" ref="E300" r:id="rId191"/>
    <hyperlink xmlns:r="http://schemas.openxmlformats.org/officeDocument/2006/relationships" ref="E301" r:id="rId192"/>
    <hyperlink xmlns:r="http://schemas.openxmlformats.org/officeDocument/2006/relationships" ref="E302" r:id="rId193"/>
    <hyperlink xmlns:r="http://schemas.openxmlformats.org/officeDocument/2006/relationships" ref="E303" r:id="rId194"/>
    <hyperlink xmlns:r="http://schemas.openxmlformats.org/officeDocument/2006/relationships" ref="E304" r:id="rId195"/>
    <hyperlink xmlns:r="http://schemas.openxmlformats.org/officeDocument/2006/relationships" ref="E306" r:id="rId196"/>
    <hyperlink xmlns:r="http://schemas.openxmlformats.org/officeDocument/2006/relationships" ref="E307" location="msg5316" r:id="rId197"/>
    <hyperlink xmlns:r="http://schemas.openxmlformats.org/officeDocument/2006/relationships" ref="E308" r:id="rId198"/>
    <hyperlink xmlns:r="http://schemas.openxmlformats.org/officeDocument/2006/relationships" ref="E309" r:id="rId199"/>
    <hyperlink xmlns:r="http://schemas.openxmlformats.org/officeDocument/2006/relationships" ref="E312" r:id="rId200"/>
    <hyperlink xmlns:r="http://schemas.openxmlformats.org/officeDocument/2006/relationships" ref="E313" r:id="rId201"/>
    <hyperlink xmlns:r="http://schemas.openxmlformats.org/officeDocument/2006/relationships" ref="E314" r:id="rId202"/>
    <hyperlink xmlns:r="http://schemas.openxmlformats.org/officeDocument/2006/relationships" ref="E315" r:id="rId203"/>
    <hyperlink xmlns:r="http://schemas.openxmlformats.org/officeDocument/2006/relationships" ref="E316" r:id="rId204"/>
    <hyperlink xmlns:r="http://schemas.openxmlformats.org/officeDocument/2006/relationships" ref="E317" r:id="rId205"/>
    <hyperlink xmlns:r="http://schemas.openxmlformats.org/officeDocument/2006/relationships" ref="E319" r:id="rId206"/>
    <hyperlink xmlns:r="http://schemas.openxmlformats.org/officeDocument/2006/relationships" ref="E320" location="c5456682769558786398" r:id="rId207"/>
    <hyperlink xmlns:r="http://schemas.openxmlformats.org/officeDocument/2006/relationships" ref="E322" r:id="rId208"/>
    <hyperlink xmlns:r="http://schemas.openxmlformats.org/officeDocument/2006/relationships" ref="E323" location="c606068060818832019" r:id="rId209"/>
    <hyperlink xmlns:r="http://schemas.openxmlformats.org/officeDocument/2006/relationships" ref="E324" location=":~:text=Escaped%20Lunatic-,Soulash%202%20%2D%20Adventures%20and%20Conquest%20in%20Procedural%20Fantasy%20Worlds,to%20the%20Roguelike%20design%20formula." r:id="rId210"/>
    <hyperlink xmlns:r="http://schemas.openxmlformats.org/officeDocument/2006/relationships" ref="E325" r:id="rId211"/>
    <hyperlink xmlns:r="http://schemas.openxmlformats.org/officeDocument/2006/relationships" ref="E327" r:id="rId212"/>
    <hyperlink xmlns:r="http://schemas.openxmlformats.org/officeDocument/2006/relationships" ref="E328" r:id="rId213"/>
    <hyperlink xmlns:r="http://schemas.openxmlformats.org/officeDocument/2006/relationships" ref="E329" r:id="rId214"/>
    <hyperlink xmlns:r="http://schemas.openxmlformats.org/officeDocument/2006/relationships" ref="E330" r:id="rId215"/>
    <hyperlink xmlns:r="http://schemas.openxmlformats.org/officeDocument/2006/relationships" ref="E331" r:id="rId216"/>
    <hyperlink xmlns:r="http://schemas.openxmlformats.org/officeDocument/2006/relationships" ref="E332" r:id="rId217"/>
    <hyperlink xmlns:r="http://schemas.openxmlformats.org/officeDocument/2006/relationships" ref="E334" location=":~:text=Vellum's%20Inspirations,chapter%20of%20the%20original%20series." r:id="rId218"/>
    <hyperlink xmlns:r="http://schemas.openxmlformats.org/officeDocument/2006/relationships" ref="E335" r:id="rId219"/>
    <hyperlink xmlns:r="http://schemas.openxmlformats.org/officeDocument/2006/relationships" ref="E336" r:id="rId220"/>
    <hyperlink xmlns:r="http://schemas.openxmlformats.org/officeDocument/2006/relationships" ref="E339" location=":~:text=I%20got%20addicted%20to%20Stardew,simply%20stat%20upgrades%20or%20something)." r:id="rId221"/>
    <hyperlink xmlns:r="http://schemas.openxmlformats.org/officeDocument/2006/relationships" ref="E340" r:id="rId222"/>
    <hyperlink xmlns:r="http://schemas.openxmlformats.org/officeDocument/2006/relationships" ref="E343" r:id="rId223"/>
    <hyperlink xmlns:r="http://schemas.openxmlformats.org/officeDocument/2006/relationships" ref="E345" r:id="rId224"/>
    <hyperlink xmlns:r="http://schemas.openxmlformats.org/officeDocument/2006/relationships" ref="E347" location=":~:text=Gunfire%20Reborn%20is%20developed%20by,would%20be%20most%20beneficial%20design." r:id="rId225"/>
    <hyperlink xmlns:r="http://schemas.openxmlformats.org/officeDocument/2006/relationships" ref="E349" r:id="rId226"/>
    <hyperlink xmlns:r="http://schemas.openxmlformats.org/officeDocument/2006/relationships" ref="E350" location=":~:text=Odinfall%20Early%20Access%20on%20Steam&amp;text=According%20to%20Oscar%20Axelsson%20from,Throne%20and%20Enter%20the%20Gungeon." r:id="rId227"/>
    <hyperlink xmlns:r="http://schemas.openxmlformats.org/officeDocument/2006/relationships" ref="E351" r:id="rId228"/>
    <hyperlink xmlns:r="http://schemas.openxmlformats.org/officeDocument/2006/relationships" ref="E352" r:id="rId229"/>
    <hyperlink xmlns:r="http://schemas.openxmlformats.org/officeDocument/2006/relationships" ref="E354" r:id="rId230"/>
    <hyperlink xmlns:r="http://schemas.openxmlformats.org/officeDocument/2006/relationships" ref="E357" r:id="rId231"/>
    <hyperlink xmlns:r="http://schemas.openxmlformats.org/officeDocument/2006/relationships" ref="E359" r:id="rId232"/>
    <hyperlink xmlns:r="http://schemas.openxmlformats.org/officeDocument/2006/relationships" ref="E364" r:id="rId233"/>
    <hyperlink xmlns:r="http://schemas.openxmlformats.org/officeDocument/2006/relationships" ref="E367" r:id="rId234"/>
    <hyperlink xmlns:r="http://schemas.openxmlformats.org/officeDocument/2006/relationships" ref="E370" r:id="rId235"/>
    <hyperlink xmlns:r="http://schemas.openxmlformats.org/officeDocument/2006/relationships" ref="E371" r:id="rId236"/>
    <hyperlink xmlns:r="http://schemas.openxmlformats.org/officeDocument/2006/relationships" ref="E372" location="c6027566653452797874" r:id="rId237"/>
    <hyperlink xmlns:r="http://schemas.openxmlformats.org/officeDocument/2006/relationships" ref="E374" r:id="rId238"/>
    <hyperlink xmlns:r="http://schemas.openxmlformats.org/officeDocument/2006/relationships" ref="E375" r:id="rId239"/>
    <hyperlink xmlns:r="http://schemas.openxmlformats.org/officeDocument/2006/relationships" ref="E376" r:id="rId240"/>
    <hyperlink xmlns:r="http://schemas.openxmlformats.org/officeDocument/2006/relationships" ref="E378" location="c617320168065346307" r:id="rId241"/>
    <hyperlink xmlns:r="http://schemas.openxmlformats.org/officeDocument/2006/relationships" ref="E379" r:id="rId242"/>
    <hyperlink xmlns:r="http://schemas.openxmlformats.org/officeDocument/2006/relationships" ref="E381" r:id="rId243"/>
    <hyperlink xmlns:r="http://schemas.openxmlformats.org/officeDocument/2006/relationships" ref="E382" r:id="rId244"/>
    <hyperlink xmlns:r="http://schemas.openxmlformats.org/officeDocument/2006/relationships" ref="E383" r:id="rId245"/>
    <hyperlink xmlns:r="http://schemas.openxmlformats.org/officeDocument/2006/relationships" ref="E384" r:id="rId246"/>
    <hyperlink xmlns:r="http://schemas.openxmlformats.org/officeDocument/2006/relationships" ref="E387" r:id="rId247"/>
    <hyperlink xmlns:r="http://schemas.openxmlformats.org/officeDocument/2006/relationships" ref="E388" location="c1675812484339955409" r:id="rId248"/>
    <hyperlink xmlns:r="http://schemas.openxmlformats.org/officeDocument/2006/relationships" ref="E390" r:id="rId249"/>
    <hyperlink xmlns:r="http://schemas.openxmlformats.org/officeDocument/2006/relationships" ref="E391" location="c483368526581048948" r:id="rId250"/>
    <hyperlink xmlns:r="http://schemas.openxmlformats.org/officeDocument/2006/relationships" ref="E392" r:id="rId251"/>
    <hyperlink xmlns:r="http://schemas.openxmlformats.org/officeDocument/2006/relationships" ref="E393" location="c4335355681661031211" r:id="rId252"/>
    <hyperlink xmlns:r="http://schemas.openxmlformats.org/officeDocument/2006/relationships" ref="E394" location=":~:text=MOBAs%20were%20a%20key%20inspiration,like%20action%20roguelites%20in%20general." r:id="rId253"/>
    <hyperlink xmlns:r="http://schemas.openxmlformats.org/officeDocument/2006/relationships" ref="E395" location=":~:text=Their%20initial%20goal%20was%20to,built%20on%20the%20libGDX%20framework." r:id="rId254"/>
    <hyperlink xmlns:r="http://schemas.openxmlformats.org/officeDocument/2006/relationships" ref="E397" r:id="rId255"/>
    <hyperlink xmlns:r="http://schemas.openxmlformats.org/officeDocument/2006/relationships" ref="E398" r:id="rId256"/>
    <hyperlink xmlns:r="http://schemas.openxmlformats.org/officeDocument/2006/relationships" ref="E399" r:id="rId257"/>
    <hyperlink xmlns:r="http://schemas.openxmlformats.org/officeDocument/2006/relationships" ref="E403" r:id="rId258"/>
    <hyperlink xmlns:r="http://schemas.openxmlformats.org/officeDocument/2006/relationships" ref="E404" r:id="rId259"/>
    <hyperlink xmlns:r="http://schemas.openxmlformats.org/officeDocument/2006/relationships" ref="E405" r:id="rId260"/>
    <hyperlink xmlns:r="http://schemas.openxmlformats.org/officeDocument/2006/relationships" ref="E417" r:id="rId261"/>
    <hyperlink xmlns:r="http://schemas.openxmlformats.org/officeDocument/2006/relationships" ref="E419" r:id="rId262"/>
    <hyperlink xmlns:r="http://schemas.openxmlformats.org/officeDocument/2006/relationships" ref="E420" location=":~:text=JW%2C%20GF:%20What%20are%20some,us%20a%20lot%20of%20motivation." r:id="rId263"/>
    <hyperlink xmlns:r="http://schemas.openxmlformats.org/officeDocument/2006/relationships" ref="E421" r:id="rId264"/>
    <hyperlink xmlns:r="http://schemas.openxmlformats.org/officeDocument/2006/relationships" ref="E423" location=":~:text=Vellum's%20Inspirations,chapter%20of%20the%20original%20series." r:id="rId265"/>
    <hyperlink xmlns:r="http://schemas.openxmlformats.org/officeDocument/2006/relationships" ref="E425" r:id="rId266"/>
    <hyperlink xmlns:r="http://schemas.openxmlformats.org/officeDocument/2006/relationships" ref="E426" r:id="rId267"/>
    <hyperlink xmlns:r="http://schemas.openxmlformats.org/officeDocument/2006/relationships" ref="E427" r:id="rId268"/>
    <hyperlink xmlns:r="http://schemas.openxmlformats.org/officeDocument/2006/relationships" ref="E428" r:id="rId269"/>
    <hyperlink xmlns:r="http://schemas.openxmlformats.org/officeDocument/2006/relationships" ref="E430" r:id="rId270"/>
    <hyperlink xmlns:r="http://schemas.openxmlformats.org/officeDocument/2006/relationships" ref="E431" r:id="rId271"/>
    <hyperlink xmlns:r="http://schemas.openxmlformats.org/officeDocument/2006/relationships" ref="E433" r:id="rId272"/>
    <hyperlink xmlns:r="http://schemas.openxmlformats.org/officeDocument/2006/relationships" ref="E434" r:id="rId273"/>
    <hyperlink xmlns:r="http://schemas.openxmlformats.org/officeDocument/2006/relationships" ref="E436" r:id="rId274"/>
    <hyperlink xmlns:r="http://schemas.openxmlformats.org/officeDocument/2006/relationships" ref="E437" r:id="rId275"/>
    <hyperlink xmlns:r="http://schemas.openxmlformats.org/officeDocument/2006/relationships" ref="E439" location=":~:text=JW%2C%20GF:%20What%20are%20some,us%20a%20lot%20of%20motivation." r:id="rId276"/>
    <hyperlink xmlns:r="http://schemas.openxmlformats.org/officeDocument/2006/relationships" ref="E442" r:id="rId277"/>
    <hyperlink xmlns:r="http://schemas.openxmlformats.org/officeDocument/2006/relationships" ref="E443" location=":~:text=Death%20Must%20Die%20opens%20up,appropriation%2C%20even%20a%20love%20letter." r:id="rId278"/>
    <hyperlink xmlns:r="http://schemas.openxmlformats.org/officeDocument/2006/relationships" ref="E444" r:id="rId279"/>
    <hyperlink xmlns:r="http://schemas.openxmlformats.org/officeDocument/2006/relationships" ref="E446" location=":~:text=A%20big%20of%20Rogue%20Legacy%2C%20Spelunky%2C%20Hades.,kinda%20got%20inspiration%20from%20all%20of%20them." r:id="rId280"/>
    <hyperlink xmlns:r="http://schemas.openxmlformats.org/officeDocument/2006/relationships" ref="E448" r:id="rId281"/>
    <hyperlink xmlns:r="http://schemas.openxmlformats.org/officeDocument/2006/relationships" ref="E449" r:id="rId282"/>
    <hyperlink xmlns:r="http://schemas.openxmlformats.org/officeDocument/2006/relationships" ref="E452" location=":~:text=Have%20a%20Nice%20Death%20also,movies%2C%20shorts%2C%20and%20ads." r:id="rId283"/>
    <hyperlink xmlns:r="http://schemas.openxmlformats.org/officeDocument/2006/relationships" ref="E453" r:id="rId284"/>
    <hyperlink xmlns:r="http://schemas.openxmlformats.org/officeDocument/2006/relationships" ref="E454" r:id="rId285"/>
    <hyperlink xmlns:r="http://schemas.openxmlformats.org/officeDocument/2006/relationships" ref="E455" r:id="rId286"/>
    <hyperlink xmlns:r="http://schemas.openxmlformats.org/officeDocument/2006/relationships" ref="E457" r:id="rId287"/>
    <hyperlink xmlns:r="http://schemas.openxmlformats.org/officeDocument/2006/relationships" ref="E458" r:id="rId288"/>
    <hyperlink xmlns:r="http://schemas.openxmlformats.org/officeDocument/2006/relationships" ref="E459" r:id="rId289"/>
    <hyperlink xmlns:r="http://schemas.openxmlformats.org/officeDocument/2006/relationships" ref="E464" r:id="rId290"/>
    <hyperlink xmlns:r="http://schemas.openxmlformats.org/officeDocument/2006/relationships" ref="E467" r:id="rId291"/>
    <hyperlink xmlns:r="http://schemas.openxmlformats.org/officeDocument/2006/relationships" ref="E469" r:id="rId292"/>
    <hyperlink xmlns:r="http://schemas.openxmlformats.org/officeDocument/2006/relationships" ref="E470" r:id="rId293"/>
    <hyperlink xmlns:r="http://schemas.openxmlformats.org/officeDocument/2006/relationships" ref="E471" r:id="rId294"/>
    <hyperlink xmlns:r="http://schemas.openxmlformats.org/officeDocument/2006/relationships" ref="E472" location=":~:text=Tape%20to%20Tape%20is%20a,the%20Spire%20and%20NHL%2094!" r:id="rId295"/>
    <hyperlink xmlns:r="http://schemas.openxmlformats.org/officeDocument/2006/relationships" ref="E473" r:id="rId296"/>
    <hyperlink xmlns:r="http://schemas.openxmlformats.org/officeDocument/2006/relationships" ref="E476" location=":~:text=Vellum's%20Inspirations,chapter%20of%20the%20original%20series." r:id="rId297"/>
    <hyperlink xmlns:r="http://schemas.openxmlformats.org/officeDocument/2006/relationships" ref="E479" r:id="rId298"/>
    <hyperlink xmlns:r="http://schemas.openxmlformats.org/officeDocument/2006/relationships" ref="E480" r:id="rId299"/>
    <hyperlink xmlns:r="http://schemas.openxmlformats.org/officeDocument/2006/relationships" ref="E485" r:id="rId300"/>
    <hyperlink xmlns:r="http://schemas.openxmlformats.org/officeDocument/2006/relationships" ref="E488" r:id="rId301"/>
    <hyperlink xmlns:r="http://schemas.openxmlformats.org/officeDocument/2006/relationships" ref="E489" r:id="rId302"/>
    <hyperlink xmlns:r="http://schemas.openxmlformats.org/officeDocument/2006/relationships" ref="E490" r:id="rId303"/>
    <hyperlink xmlns:r="http://schemas.openxmlformats.org/officeDocument/2006/relationships" ref="E492" r:id="rId304"/>
    <hyperlink xmlns:r="http://schemas.openxmlformats.org/officeDocument/2006/relationships" ref="E493" r:id="rId305"/>
    <hyperlink xmlns:r="http://schemas.openxmlformats.org/officeDocument/2006/relationships" ref="E494" r:id="rId306"/>
    <hyperlink xmlns:r="http://schemas.openxmlformats.org/officeDocument/2006/relationships" ref="E496" location="c695373095208229623" r:id="rId307"/>
    <hyperlink xmlns:r="http://schemas.openxmlformats.org/officeDocument/2006/relationships" ref="E498" r:id="rId308"/>
    <hyperlink xmlns:r="http://schemas.openxmlformats.org/officeDocument/2006/relationships" ref="E500" r:id="rId309"/>
    <hyperlink xmlns:r="http://schemas.openxmlformats.org/officeDocument/2006/relationships" ref="E501" r:id="rId310"/>
    <hyperlink xmlns:r="http://schemas.openxmlformats.org/officeDocument/2006/relationships" ref="E502" r:id="rId311"/>
    <hyperlink xmlns:r="http://schemas.openxmlformats.org/officeDocument/2006/relationships" ref="E503" location=":~:text=About%20This%20Game-,ABOUT,and%20'Into%20the%20Breach'." r:id="rId312"/>
    <hyperlink xmlns:r="http://schemas.openxmlformats.org/officeDocument/2006/relationships" ref="E505" location=":~:text=Main%20developer%20Jasper%20Cole%20stated,inventory%20as%20an%20additional%20inspiration." r:id="rId313"/>
    <hyperlink xmlns:r="http://schemas.openxmlformats.org/officeDocument/2006/relationships" ref="E508" r:id="rId314"/>
    <hyperlink xmlns:r="http://schemas.openxmlformats.org/officeDocument/2006/relationships" ref="E512" r:id="rId315"/>
    <hyperlink xmlns:r="http://schemas.openxmlformats.org/officeDocument/2006/relationships" ref="E513" r:id="rId316"/>
    <hyperlink xmlns:r="http://schemas.openxmlformats.org/officeDocument/2006/relationships" ref="E514" r:id="rId317"/>
    <hyperlink xmlns:r="http://schemas.openxmlformats.org/officeDocument/2006/relationships" ref="E515" r:id="rId318"/>
    <hyperlink xmlns:r="http://schemas.openxmlformats.org/officeDocument/2006/relationships" ref="E516" r:id="rId319"/>
    <hyperlink xmlns:r="http://schemas.openxmlformats.org/officeDocument/2006/relationships" ref="E517" location="c4335355681661031211" r:id="rId320"/>
    <hyperlink xmlns:r="http://schemas.openxmlformats.org/officeDocument/2006/relationships" ref="E519" location=":~:text=is%20blowing%20up!-,830%20concurrent%20players%2C%20I%20can't%20believe%20it!,has%20been%20a%20wild%20ride." r:id="rId321"/>
    <hyperlink xmlns:r="http://schemas.openxmlformats.org/officeDocument/2006/relationships" ref="E521" location=":~:text=The%20Last%20Spell's%20unique%20blend,build%20characters%20however%20they%20want." r:id="rId322"/>
    <hyperlink xmlns:r="http://schemas.openxmlformats.org/officeDocument/2006/relationships" ref="E522" r:id="rId323"/>
    <hyperlink xmlns:r="http://schemas.openxmlformats.org/officeDocument/2006/relationships" ref="E523" r:id="rId324"/>
    <hyperlink xmlns:r="http://schemas.openxmlformats.org/officeDocument/2006/relationships" ref="E526" location="c4346617656897843847" r:id="rId325"/>
    <hyperlink xmlns:r="http://schemas.openxmlformats.org/officeDocument/2006/relationships" ref="E529" r:id="rId326"/>
    <hyperlink xmlns:r="http://schemas.openxmlformats.org/officeDocument/2006/relationships" ref="E530" r:id="rId327"/>
    <hyperlink xmlns:r="http://schemas.openxmlformats.org/officeDocument/2006/relationships" ref="E531" r:id="rId328"/>
    <hyperlink xmlns:r="http://schemas.openxmlformats.org/officeDocument/2006/relationships" ref="E532" r:id="rId329"/>
    <hyperlink xmlns:r="http://schemas.openxmlformats.org/officeDocument/2006/relationships" ref="E533" r:id="rId330"/>
    <hyperlink xmlns:r="http://schemas.openxmlformats.org/officeDocument/2006/relationships" ref="E534" r:id="rId331"/>
    <hyperlink xmlns:r="http://schemas.openxmlformats.org/officeDocument/2006/relationships" ref="E535" r:id="rId332"/>
    <hyperlink xmlns:r="http://schemas.openxmlformats.org/officeDocument/2006/relationships" ref="E536" r:id="rId333"/>
    <hyperlink xmlns:r="http://schemas.openxmlformats.org/officeDocument/2006/relationships" ref="E537" r:id="rId334"/>
    <hyperlink xmlns:r="http://schemas.openxmlformats.org/officeDocument/2006/relationships" ref="E539" r:id="rId335"/>
    <hyperlink xmlns:r="http://schemas.openxmlformats.org/officeDocument/2006/relationships" ref="E543" r:id="rId336"/>
    <hyperlink xmlns:r="http://schemas.openxmlformats.org/officeDocument/2006/relationships" ref="E545" r:id="rId337"/>
    <hyperlink xmlns:r="http://schemas.openxmlformats.org/officeDocument/2006/relationships" ref="E546" r:id="rId338"/>
    <hyperlink xmlns:r="http://schemas.openxmlformats.org/officeDocument/2006/relationships" ref="E551" r:id="rId339"/>
    <hyperlink xmlns:r="http://schemas.openxmlformats.org/officeDocument/2006/relationships" ref="E552" r:id="rId340"/>
    <hyperlink xmlns:r="http://schemas.openxmlformats.org/officeDocument/2006/relationships" ref="E553" r:id="rId341"/>
    <hyperlink xmlns:r="http://schemas.openxmlformats.org/officeDocument/2006/relationships" ref="E55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342"/>
    <hyperlink xmlns:r="http://schemas.openxmlformats.org/officeDocument/2006/relationships" ref="E555" r:id="rId343"/>
    <hyperlink xmlns:r="http://schemas.openxmlformats.org/officeDocument/2006/relationships" ref="E557" r:id="rId344"/>
    <hyperlink xmlns:r="http://schemas.openxmlformats.org/officeDocument/2006/relationships" ref="E558" r:id="rId345"/>
    <hyperlink xmlns:r="http://schemas.openxmlformats.org/officeDocument/2006/relationships" ref="E559" location=":~:text=The%20game%20was%20inspired%20by,assets%2C%20art%2C%20and%20music." r:id="rId346"/>
    <hyperlink xmlns:r="http://schemas.openxmlformats.org/officeDocument/2006/relationships" ref="E568" r:id="rId347"/>
    <hyperlink xmlns:r="http://schemas.openxmlformats.org/officeDocument/2006/relationships" ref="E570" r:id="rId348"/>
    <hyperlink xmlns:r="http://schemas.openxmlformats.org/officeDocument/2006/relationships" ref="E573" r:id="rId349"/>
    <hyperlink xmlns:r="http://schemas.openxmlformats.org/officeDocument/2006/relationships" ref="E574" r:id="rId350"/>
    <hyperlink xmlns:r="http://schemas.openxmlformats.org/officeDocument/2006/relationships" ref="E576" r:id="rId351"/>
    <hyperlink xmlns:r="http://schemas.openxmlformats.org/officeDocument/2006/relationships" ref="E578" r:id="rId352"/>
    <hyperlink xmlns:r="http://schemas.openxmlformats.org/officeDocument/2006/relationships" ref="E582" r:id="rId353"/>
    <hyperlink xmlns:r="http://schemas.openxmlformats.org/officeDocument/2006/relationships" ref="E584" r:id="rId354"/>
    <hyperlink xmlns:r="http://schemas.openxmlformats.org/officeDocument/2006/relationships" ref="E585" r:id="rId355"/>
    <hyperlink xmlns:r="http://schemas.openxmlformats.org/officeDocument/2006/relationships" ref="E586" r:id="rId356"/>
    <hyperlink xmlns:r="http://schemas.openxmlformats.org/officeDocument/2006/relationships" ref="E589" r:id="rId357"/>
    <hyperlink xmlns:r="http://schemas.openxmlformats.org/officeDocument/2006/relationships" ref="E590" r:id="rId358"/>
    <hyperlink xmlns:r="http://schemas.openxmlformats.org/officeDocument/2006/relationships" ref="E592" location=":~:text=House%20of%20Necrosis%20is%20a,Linux)%20and%20the%20Steam%20Deck" r:id="rId359"/>
    <hyperlink xmlns:r="http://schemas.openxmlformats.org/officeDocument/2006/relationships" ref="E593" r:id="rId360"/>
    <hyperlink xmlns:r="http://schemas.openxmlformats.org/officeDocument/2006/relationships" ref="E596" r:id="rId361"/>
    <hyperlink xmlns:r="http://schemas.openxmlformats.org/officeDocument/2006/relationships" ref="E597" r:id="rId362"/>
    <hyperlink xmlns:r="http://schemas.openxmlformats.org/officeDocument/2006/relationships" ref="E598" r:id="rId363"/>
    <hyperlink xmlns:r="http://schemas.openxmlformats.org/officeDocument/2006/relationships" ref="E601" r:id="rId364"/>
    <hyperlink xmlns:r="http://schemas.openxmlformats.org/officeDocument/2006/relationships" ref="E602" r:id="rId365"/>
    <hyperlink xmlns:r="http://schemas.openxmlformats.org/officeDocument/2006/relationships" ref="E603" r:id="rId366"/>
    <hyperlink xmlns:r="http://schemas.openxmlformats.org/officeDocument/2006/relationships" ref="E604" r:id="rId367"/>
    <hyperlink xmlns:r="http://schemas.openxmlformats.org/officeDocument/2006/relationships" ref="E605" r:id="rId368"/>
    <hyperlink xmlns:r="http://schemas.openxmlformats.org/officeDocument/2006/relationships" ref="E607" r:id="rId369"/>
    <hyperlink xmlns:r="http://schemas.openxmlformats.org/officeDocument/2006/relationships" ref="E608" r:id="rId370"/>
    <hyperlink xmlns:r="http://schemas.openxmlformats.org/officeDocument/2006/relationships" ref="E611" r:id="rId371"/>
    <hyperlink xmlns:r="http://schemas.openxmlformats.org/officeDocument/2006/relationships" ref="E613" r:id="rId372"/>
    <hyperlink xmlns:r="http://schemas.openxmlformats.org/officeDocument/2006/relationships" ref="E615" r:id="rId373"/>
    <hyperlink xmlns:r="http://schemas.openxmlformats.org/officeDocument/2006/relationships" ref="E616" r:id="rId374"/>
    <hyperlink xmlns:r="http://schemas.openxmlformats.org/officeDocument/2006/relationships" ref="E620" r:id="rId375"/>
    <hyperlink xmlns:r="http://schemas.openxmlformats.org/officeDocument/2006/relationships" ref="E621" r:id="rId376"/>
    <hyperlink xmlns:r="http://schemas.openxmlformats.org/officeDocument/2006/relationships" ref="E622" r:id="rId377"/>
    <hyperlink xmlns:r="http://schemas.openxmlformats.org/officeDocument/2006/relationships" ref="E623" r:id="rId378"/>
    <hyperlink xmlns:r="http://schemas.openxmlformats.org/officeDocument/2006/relationships" ref="E626" r:id="rId379"/>
    <hyperlink xmlns:r="http://schemas.openxmlformats.org/officeDocument/2006/relationships" ref="E627" r:id="rId380"/>
    <hyperlink xmlns:r="http://schemas.openxmlformats.org/officeDocument/2006/relationships" ref="E628" r:id="rId381"/>
    <hyperlink xmlns:r="http://schemas.openxmlformats.org/officeDocument/2006/relationships" ref="E629" r:id="rId382"/>
    <hyperlink xmlns:r="http://schemas.openxmlformats.org/officeDocument/2006/relationships" ref="E632" r:id="rId383"/>
    <hyperlink xmlns:r="http://schemas.openxmlformats.org/officeDocument/2006/relationships" ref="E633" location="c574921459914427191" r:id="rId384"/>
    <hyperlink xmlns:r="http://schemas.openxmlformats.org/officeDocument/2006/relationships" ref="E634" r:id="rId385"/>
    <hyperlink xmlns:r="http://schemas.openxmlformats.org/officeDocument/2006/relationships" ref="E636" r:id="rId386"/>
    <hyperlink xmlns:r="http://schemas.openxmlformats.org/officeDocument/2006/relationships" ref="E637" r:id="rId387"/>
    <hyperlink xmlns:r="http://schemas.openxmlformats.org/officeDocument/2006/relationships" ref="E638" r:id="rId388"/>
    <hyperlink xmlns:r="http://schemas.openxmlformats.org/officeDocument/2006/relationships" ref="E640" location=":~:text=I%20got%20addicted%20to%20Stardew,simply%20stat%20upgrades%20or%20something)." r:id="rId389"/>
    <hyperlink xmlns:r="http://schemas.openxmlformats.org/officeDocument/2006/relationships" ref="E643" r:id="rId390"/>
    <hyperlink xmlns:r="http://schemas.openxmlformats.org/officeDocument/2006/relationships" ref="E644" location=":~:text=Though%20Crooks%20stated%20that%20The,Souls%2C%20and%20Metal%20Gear%20Solid." r:id="rId391"/>
    <hyperlink xmlns:r="http://schemas.openxmlformats.org/officeDocument/2006/relationships" ref="E645" r:id="rId392"/>
    <hyperlink xmlns:r="http://schemas.openxmlformats.org/officeDocument/2006/relationships" ref="E646" r:id="rId393"/>
    <hyperlink xmlns:r="http://schemas.openxmlformats.org/officeDocument/2006/relationships" ref="E647" location=":~:text=As%20inspiration%20from%20different%20games,dangerous%20to%20go%20alone%22%20line." r:id="rId394"/>
    <hyperlink xmlns:r="http://schemas.openxmlformats.org/officeDocument/2006/relationships" ref="E648" r:id="rId395"/>
    <hyperlink xmlns:r="http://schemas.openxmlformats.org/officeDocument/2006/relationships" ref="E649" location=":~:text=Odinfall%20Early%20Access%20on%20Steam&amp;text=According%20to%20Oscar%20Axelsson%20from,Throne%20and%20Enter%20the%20Gungeon." r:id="rId396"/>
    <hyperlink xmlns:r="http://schemas.openxmlformats.org/officeDocument/2006/relationships" ref="E650" r:id="rId397"/>
    <hyperlink xmlns:r="http://schemas.openxmlformats.org/officeDocument/2006/relationships" ref="E652" r:id="rId398"/>
    <hyperlink xmlns:r="http://schemas.openxmlformats.org/officeDocument/2006/relationships" ref="E654" r:id="rId399"/>
    <hyperlink xmlns:r="http://schemas.openxmlformats.org/officeDocument/2006/relationships" ref="E656" r:id="rId400"/>
    <hyperlink xmlns:r="http://schemas.openxmlformats.org/officeDocument/2006/relationships" ref="E660" r:id="rId401"/>
    <hyperlink xmlns:r="http://schemas.openxmlformats.org/officeDocument/2006/relationships" ref="E661" r:id="rId402"/>
    <hyperlink xmlns:r="http://schemas.openxmlformats.org/officeDocument/2006/relationships" ref="E666" r:id="rId403"/>
    <hyperlink xmlns:r="http://schemas.openxmlformats.org/officeDocument/2006/relationships" ref="E667" r:id="rId404"/>
    <hyperlink xmlns:r="http://schemas.openxmlformats.org/officeDocument/2006/relationships" ref="E668" r:id="rId405"/>
    <hyperlink xmlns:r="http://schemas.openxmlformats.org/officeDocument/2006/relationships" ref="E669" r:id="rId406"/>
    <hyperlink xmlns:r="http://schemas.openxmlformats.org/officeDocument/2006/relationships" ref="E670" r:id="rId407"/>
    <hyperlink xmlns:r="http://schemas.openxmlformats.org/officeDocument/2006/relationships" ref="E671" r:id="rId408"/>
    <hyperlink xmlns:r="http://schemas.openxmlformats.org/officeDocument/2006/relationships" ref="E672" r:id="rId409"/>
    <hyperlink xmlns:r="http://schemas.openxmlformats.org/officeDocument/2006/relationships" ref="E673" r:id="rId410"/>
    <hyperlink xmlns:r="http://schemas.openxmlformats.org/officeDocument/2006/relationships" ref="E677" r:id="rId411"/>
    <hyperlink xmlns:r="http://schemas.openxmlformats.org/officeDocument/2006/relationships" ref="E682" r:id="rId412"/>
    <hyperlink xmlns:r="http://schemas.openxmlformats.org/officeDocument/2006/relationships" ref="E683" r:id="rId413"/>
    <hyperlink xmlns:r="http://schemas.openxmlformats.org/officeDocument/2006/relationships" ref="E684" r:id="rId414"/>
    <hyperlink xmlns:r="http://schemas.openxmlformats.org/officeDocument/2006/relationships" ref="E685" r:id="rId415"/>
    <hyperlink xmlns:r="http://schemas.openxmlformats.org/officeDocument/2006/relationships" ref="E686" r:id="rId416"/>
    <hyperlink xmlns:r="http://schemas.openxmlformats.org/officeDocument/2006/relationships" ref="E687" r:id="rId417"/>
    <hyperlink xmlns:r="http://schemas.openxmlformats.org/officeDocument/2006/relationships" ref="E688" r:id="rId418"/>
    <hyperlink xmlns:r="http://schemas.openxmlformats.org/officeDocument/2006/relationships" ref="E689" r:id="rId419"/>
    <hyperlink xmlns:r="http://schemas.openxmlformats.org/officeDocument/2006/relationships" ref="E690" r:id="rId420"/>
    <hyperlink xmlns:r="http://schemas.openxmlformats.org/officeDocument/2006/relationships" ref="E691" location=":~:text=MOBAs%20were%20a%20key%20inspiration,like%20action%20roguelites%20in%20general." r:id="rId421"/>
    <hyperlink xmlns:r="http://schemas.openxmlformats.org/officeDocument/2006/relationships" ref="E695" r:id="rId422"/>
    <hyperlink xmlns:r="http://schemas.openxmlformats.org/officeDocument/2006/relationships" ref="E696" r:id="rId423"/>
    <hyperlink xmlns:r="http://schemas.openxmlformats.org/officeDocument/2006/relationships" ref="E703" r:id="rId424"/>
    <hyperlink xmlns:r="http://schemas.openxmlformats.org/officeDocument/2006/relationships" ref="E707" location=":~:text=MOBAs%20were%20a%20key%20inspiration,like%20action%20roguelites%20in%20general." r:id="rId425"/>
    <hyperlink xmlns:r="http://schemas.openxmlformats.org/officeDocument/2006/relationships" ref="E708" r:id="rId426"/>
    <hyperlink xmlns:r="http://schemas.openxmlformats.org/officeDocument/2006/relationships" ref="E710" r:id="rId427"/>
    <hyperlink xmlns:r="http://schemas.openxmlformats.org/officeDocument/2006/relationships" ref="E711" location="c595137684887857500" r:id="rId428"/>
    <hyperlink xmlns:r="http://schemas.openxmlformats.org/officeDocument/2006/relationships" ref="E714" r:id="rId429"/>
    <hyperlink xmlns:r="http://schemas.openxmlformats.org/officeDocument/2006/relationships" ref="E717" r:id="rId430"/>
    <hyperlink xmlns:r="http://schemas.openxmlformats.org/officeDocument/2006/relationships" ref="E720" r:id="rId431"/>
    <hyperlink xmlns:r="http://schemas.openxmlformats.org/officeDocument/2006/relationships" ref="E721" r:id="rId432"/>
    <hyperlink xmlns:r="http://schemas.openxmlformats.org/officeDocument/2006/relationships" ref="E722" r:id="rId433"/>
    <hyperlink xmlns:r="http://schemas.openxmlformats.org/officeDocument/2006/relationships" ref="E724" location=":~:text=Vellum's%20Inspirations,chapter%20of%20the%20original%20series." r:id="rId434"/>
    <hyperlink xmlns:r="http://schemas.openxmlformats.org/officeDocument/2006/relationships" ref="E725" location=":~:text=JW%2C%20GF:%20What%20are%20some,us%20a%20lot%20of%20motivation." r:id="rId435"/>
    <hyperlink xmlns:r="http://schemas.openxmlformats.org/officeDocument/2006/relationships" ref="E726" r:id="rId436"/>
    <hyperlink xmlns:r="http://schemas.openxmlformats.org/officeDocument/2006/relationships" ref="E727" r:id="rId437"/>
    <hyperlink xmlns:r="http://schemas.openxmlformats.org/officeDocument/2006/relationships" ref="E728" r:id="rId438"/>
    <hyperlink xmlns:r="http://schemas.openxmlformats.org/officeDocument/2006/relationships" ref="E730" r:id="rId439"/>
    <hyperlink xmlns:r="http://schemas.openxmlformats.org/officeDocument/2006/relationships" ref="E731" r:id="rId440"/>
    <hyperlink xmlns:r="http://schemas.openxmlformats.org/officeDocument/2006/relationships" ref="E732" location=":~:text=Fatal%20Labyrinth%20is%20Sega's%20first,is%20a%20game%2Dbreaking%20affair.%20Also%20it%20shares%20a%20lot%20of%20similarities" r:id="rId441"/>
    <hyperlink xmlns:r="http://schemas.openxmlformats.org/officeDocument/2006/relationships" ref="E733" r:id="rId442"/>
    <hyperlink xmlns:r="http://schemas.openxmlformats.org/officeDocument/2006/relationships" ref="E735" r:id="rId443"/>
    <hyperlink xmlns:r="http://schemas.openxmlformats.org/officeDocument/2006/relationships" ref="E737" r:id="rId444"/>
    <hyperlink xmlns:r="http://schemas.openxmlformats.org/officeDocument/2006/relationships" ref="E739" r:id="rId445"/>
    <hyperlink xmlns:r="http://schemas.openxmlformats.org/officeDocument/2006/relationships" ref="E742" r:id="rId446"/>
    <hyperlink xmlns:r="http://schemas.openxmlformats.org/officeDocument/2006/relationships" ref="E743" location=":~:text=Apparently%2C%20Ota%20was%20a%20well%20known%20figure,to%20connect%20Tokyo's%20three%20main%20universities%20that" r:id="rId447"/>
    <hyperlink xmlns:r="http://schemas.openxmlformats.org/officeDocument/2006/relationships" ref="E744" r:id="rId448"/>
    <hyperlink xmlns:r="http://schemas.openxmlformats.org/officeDocument/2006/relationships" ref="E745" r:id="rId449"/>
    <hyperlink xmlns:r="http://schemas.openxmlformats.org/officeDocument/2006/relationships" ref="E746" r:id="rId450"/>
    <hyperlink xmlns:r="http://schemas.openxmlformats.org/officeDocument/2006/relationships" ref="E747" location=":~:text=Apparently%2C%20Ota%20was%20a%20well%20known%20figure,to%20connect%20Tokyo's%20three%20main%20universities%20that" r:id="rId451"/>
    <hyperlink xmlns:r="http://schemas.openxmlformats.org/officeDocument/2006/relationships" ref="E748" r:id="rId452"/>
    <hyperlink xmlns:r="http://schemas.openxmlformats.org/officeDocument/2006/relationships" ref="E749" r:id="rId453"/>
    <hyperlink xmlns:r="http://schemas.openxmlformats.org/officeDocument/2006/relationships" ref="E750" r:id="rId454"/>
    <hyperlink xmlns:r="http://schemas.openxmlformats.org/officeDocument/2006/relationships" ref="E751" r:id="rId455"/>
    <hyperlink xmlns:r="http://schemas.openxmlformats.org/officeDocument/2006/relationships" ref="E752" location=":~:text=A%20big%20of%20Rogue%20Legacy%2C%20Spelunky%2C%20Hades.,kinda%20got%20inspiration%20from%20all%20of%20them." r:id="rId456"/>
    <hyperlink xmlns:r="http://schemas.openxmlformats.org/officeDocument/2006/relationships" ref="E754" location=":~:text=Fury%20Unleashed%20was%20created%20by,like%20Contra%20and%20Metal%20Slug." r:id="rId457"/>
    <hyperlink xmlns:r="http://schemas.openxmlformats.org/officeDocument/2006/relationships" ref="E755" r:id="rId458"/>
    <hyperlink xmlns:r="http://schemas.openxmlformats.org/officeDocument/2006/relationships" ref="E756" r:id="rId459"/>
    <hyperlink xmlns:r="http://schemas.openxmlformats.org/officeDocument/2006/relationships" ref="E757" r:id="rId460"/>
    <hyperlink xmlns:r="http://schemas.openxmlformats.org/officeDocument/2006/relationships" ref="E759" r:id="rId461"/>
    <hyperlink xmlns:r="http://schemas.openxmlformats.org/officeDocument/2006/relationships" ref="E760" location="c1693785035807819716" r:id="rId462"/>
    <hyperlink xmlns:r="http://schemas.openxmlformats.org/officeDocument/2006/relationships" ref="E763" r:id="rId463"/>
    <hyperlink xmlns:r="http://schemas.openxmlformats.org/officeDocument/2006/relationships" ref="E765" r:id="rId464"/>
    <hyperlink xmlns:r="http://schemas.openxmlformats.org/officeDocument/2006/relationships" ref="E766" location=":~:text=RollScape%20is%20a%20game%20inspired,I%20played%20throughout%20the%20years." r:id="rId465"/>
    <hyperlink xmlns:r="http://schemas.openxmlformats.org/officeDocument/2006/relationships" ref="E768" r:id="rId466"/>
    <hyperlink xmlns:r="http://schemas.openxmlformats.org/officeDocument/2006/relationships" ref="E770" r:id="rId467"/>
    <hyperlink xmlns:r="http://schemas.openxmlformats.org/officeDocument/2006/relationships" ref="E778" r:id="rId468"/>
    <hyperlink xmlns:r="http://schemas.openxmlformats.org/officeDocument/2006/relationships" ref="E780" r:id="rId469"/>
    <hyperlink xmlns:r="http://schemas.openxmlformats.org/officeDocument/2006/relationships" ref="E781" r:id="rId470"/>
    <hyperlink xmlns:r="http://schemas.openxmlformats.org/officeDocument/2006/relationships" ref="E782" r:id="rId471"/>
    <hyperlink xmlns:r="http://schemas.openxmlformats.org/officeDocument/2006/relationships" ref="E784" r:id="rId472"/>
    <hyperlink xmlns:r="http://schemas.openxmlformats.org/officeDocument/2006/relationships" ref="E785" r:id="rId473"/>
    <hyperlink xmlns:r="http://schemas.openxmlformats.org/officeDocument/2006/relationships" ref="E786" r:id="rId474"/>
    <hyperlink xmlns:r="http://schemas.openxmlformats.org/officeDocument/2006/relationships" ref="E788" location=":~:text=About%20This%20Game-,ABOUT,and%20'Into%20the%20Breach'." r:id="rId475"/>
    <hyperlink xmlns:r="http://schemas.openxmlformats.org/officeDocument/2006/relationships" ref="E789" r:id="rId476"/>
    <hyperlink xmlns:r="http://schemas.openxmlformats.org/officeDocument/2006/relationships" ref="E790" r:id="rId477"/>
    <hyperlink xmlns:r="http://schemas.openxmlformats.org/officeDocument/2006/relationships" ref="E791" r:id="rId478"/>
    <hyperlink xmlns:r="http://schemas.openxmlformats.org/officeDocument/2006/relationships" ref="E793" location=":~:text=Inspired%20by%20rogue%2Dlite%20games,set%20of%20attacks%20and%20spells." r:id="rId479"/>
    <hyperlink xmlns:r="http://schemas.openxmlformats.org/officeDocument/2006/relationships" ref="E794" r:id="rId480"/>
    <hyperlink xmlns:r="http://schemas.openxmlformats.org/officeDocument/2006/relationships" ref="E795" location=":~:text=I%20got%20addicted%20to%20Stardew,simply%20stat%20upgrades%20or%20something)." r:id="rId481"/>
    <hyperlink xmlns:r="http://schemas.openxmlformats.org/officeDocument/2006/relationships" ref="E798" r:id="rId482"/>
    <hyperlink xmlns:r="http://schemas.openxmlformats.org/officeDocument/2006/relationships" ref="E799" location=":~:text=What%20they%20said%20about%20it,rewards%20that%20come%20with%20them." r:id="rId483"/>
    <hyperlink xmlns:r="http://schemas.openxmlformats.org/officeDocument/2006/relationships" ref="E800" r:id="rId484"/>
    <hyperlink xmlns:r="http://schemas.openxmlformats.org/officeDocument/2006/relationships" ref="E801" r:id="rId485"/>
    <hyperlink xmlns:r="http://schemas.openxmlformats.org/officeDocument/2006/relationships" ref="E804" r:id="rId486"/>
    <hyperlink xmlns:r="http://schemas.openxmlformats.org/officeDocument/2006/relationships" ref="E805" location="c6027566653452797874" r:id="rId487"/>
    <hyperlink xmlns:r="http://schemas.openxmlformats.org/officeDocument/2006/relationships" ref="E807" r:id="rId488"/>
    <hyperlink xmlns:r="http://schemas.openxmlformats.org/officeDocument/2006/relationships" ref="E808" r:id="rId489"/>
    <hyperlink xmlns:r="http://schemas.openxmlformats.org/officeDocument/2006/relationships" ref="E810" r:id="rId490"/>
    <hyperlink xmlns:r="http://schemas.openxmlformats.org/officeDocument/2006/relationships" ref="E812" r:id="rId491"/>
    <hyperlink xmlns:r="http://schemas.openxmlformats.org/officeDocument/2006/relationships" ref="E813" location=":~:text=Oh%20and%20did%20I%20mention,insanely%20replayable%20for%20similar%20reasons." r:id="rId492"/>
    <hyperlink xmlns:r="http://schemas.openxmlformats.org/officeDocument/2006/relationships" ref="E815" r:id="rId493"/>
    <hyperlink xmlns:r="http://schemas.openxmlformats.org/officeDocument/2006/relationships" ref="E816" r:id="rId494"/>
    <hyperlink xmlns:r="http://schemas.openxmlformats.org/officeDocument/2006/relationships" ref="E817" r:id="rId495"/>
    <hyperlink xmlns:r="http://schemas.openxmlformats.org/officeDocument/2006/relationships" ref="E818" r:id="rId496"/>
    <hyperlink xmlns:r="http://schemas.openxmlformats.org/officeDocument/2006/relationships" ref="E820" r:id="rId497"/>
    <hyperlink xmlns:r="http://schemas.openxmlformats.org/officeDocument/2006/relationships" ref="E822" r:id="rId498"/>
    <hyperlink xmlns:r="http://schemas.openxmlformats.org/officeDocument/2006/relationships" ref="E823" r:id="rId499"/>
    <hyperlink xmlns:r="http://schemas.openxmlformats.org/officeDocument/2006/relationships" ref="E825" r:id="rId500"/>
    <hyperlink xmlns:r="http://schemas.openxmlformats.org/officeDocument/2006/relationships" ref="E827" r:id="rId501"/>
    <hyperlink xmlns:r="http://schemas.openxmlformats.org/officeDocument/2006/relationships" ref="E828" r:id="rId502"/>
    <hyperlink xmlns:r="http://schemas.openxmlformats.org/officeDocument/2006/relationships" ref="E830" r:id="rId503"/>
    <hyperlink xmlns:r="http://schemas.openxmlformats.org/officeDocument/2006/relationships" ref="E835" r:id="rId504"/>
    <hyperlink xmlns:r="http://schemas.openxmlformats.org/officeDocument/2006/relationships" ref="E836" r:id="rId505"/>
    <hyperlink xmlns:r="http://schemas.openxmlformats.org/officeDocument/2006/relationships" ref="E837" r:id="rId506"/>
    <hyperlink xmlns:r="http://schemas.openxmlformats.org/officeDocument/2006/relationships" ref="E838" r:id="rId507"/>
    <hyperlink xmlns:r="http://schemas.openxmlformats.org/officeDocument/2006/relationships" ref="E840" r:id="rId508"/>
    <hyperlink xmlns:r="http://schemas.openxmlformats.org/officeDocument/2006/relationships" ref="E843" r:id="rId509"/>
    <hyperlink xmlns:r="http://schemas.openxmlformats.org/officeDocument/2006/relationships" ref="E844" r:id="rId510"/>
    <hyperlink xmlns:r="http://schemas.openxmlformats.org/officeDocument/2006/relationships" ref="E847" r:id="rId511"/>
    <hyperlink xmlns:r="http://schemas.openxmlformats.org/officeDocument/2006/relationships" ref="E849" r:id="rId512"/>
    <hyperlink xmlns:r="http://schemas.openxmlformats.org/officeDocument/2006/relationships" ref="E853" r:id="rId513"/>
    <hyperlink xmlns:r="http://schemas.openxmlformats.org/officeDocument/2006/relationships" ref="E854" location="c3194745319530070972" r:id="rId514"/>
    <hyperlink xmlns:r="http://schemas.openxmlformats.org/officeDocument/2006/relationships" ref="E856" location=":~:text=Dan%20DiIorio%20developed%20Luck%20Be,pondering%20why%20rent%20was%20necessary." r:id="rId515"/>
    <hyperlink xmlns:r="http://schemas.openxmlformats.org/officeDocument/2006/relationships" ref="E857" r:id="rId516"/>
    <hyperlink xmlns:r="http://schemas.openxmlformats.org/officeDocument/2006/relationships" ref="E858" r:id="rId517"/>
    <hyperlink xmlns:r="http://schemas.openxmlformats.org/officeDocument/2006/relationships" ref="E860" r:id="rId518"/>
    <hyperlink xmlns:r="http://schemas.openxmlformats.org/officeDocument/2006/relationships" ref="E861" r:id="rId519"/>
    <hyperlink xmlns:r="http://schemas.openxmlformats.org/officeDocument/2006/relationships" ref="E863" r:id="rId520"/>
    <hyperlink xmlns:r="http://schemas.openxmlformats.org/officeDocument/2006/relationships" ref="E864" r:id="rId521"/>
    <hyperlink xmlns:r="http://schemas.openxmlformats.org/officeDocument/2006/relationships" ref="E866" r:id="rId522"/>
    <hyperlink xmlns:r="http://schemas.openxmlformats.org/officeDocument/2006/relationships" ref="E869" r:id="rId523"/>
    <hyperlink xmlns:r="http://schemas.openxmlformats.org/officeDocument/2006/relationships" ref="E872" r:id="rId524"/>
    <hyperlink xmlns:r="http://schemas.openxmlformats.org/officeDocument/2006/relationships" ref="E873" location=":~:text=As%20design%20of%20the%20game,Bandicoot%20and%20Donkey%20Kong%20Country." r:id="rId525"/>
    <hyperlink xmlns:r="http://schemas.openxmlformats.org/officeDocument/2006/relationships" ref="E875" r:id="rId526"/>
    <hyperlink xmlns:r="http://schemas.openxmlformats.org/officeDocument/2006/relationships" ref="E877" r:id="rId527"/>
    <hyperlink xmlns:r="http://schemas.openxmlformats.org/officeDocument/2006/relationships" ref="E879" r:id="rId528"/>
    <hyperlink xmlns:r="http://schemas.openxmlformats.org/officeDocument/2006/relationships" ref="E880" r:id="rId529"/>
    <hyperlink xmlns:r="http://schemas.openxmlformats.org/officeDocument/2006/relationships" ref="E882" r:id="rId530"/>
    <hyperlink xmlns:r="http://schemas.openxmlformats.org/officeDocument/2006/relationships" ref="E884" location="c4335355681661031211" r:id="rId531"/>
    <hyperlink xmlns:r="http://schemas.openxmlformats.org/officeDocument/2006/relationships" ref="E88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532"/>
    <hyperlink xmlns:r="http://schemas.openxmlformats.org/officeDocument/2006/relationships" ref="E887" r:id="rId533"/>
    <hyperlink xmlns:r="http://schemas.openxmlformats.org/officeDocument/2006/relationships" ref="E888" r:id="rId534"/>
    <hyperlink xmlns:r="http://schemas.openxmlformats.org/officeDocument/2006/relationships" ref="E889" r:id="rId535"/>
    <hyperlink xmlns:r="http://schemas.openxmlformats.org/officeDocument/2006/relationships" ref="E890" r:id="rId536"/>
    <hyperlink xmlns:r="http://schemas.openxmlformats.org/officeDocument/2006/relationships" ref="E895" r:id="rId537"/>
    <hyperlink xmlns:r="http://schemas.openxmlformats.org/officeDocument/2006/relationships" ref="E896" r:id="rId538"/>
    <hyperlink xmlns:r="http://schemas.openxmlformats.org/officeDocument/2006/relationships" ref="E900" r:id="rId539"/>
    <hyperlink xmlns:r="http://schemas.openxmlformats.org/officeDocument/2006/relationships" ref="E901" r:id="rId540"/>
    <hyperlink xmlns:r="http://schemas.openxmlformats.org/officeDocument/2006/relationships" ref="E902" location="c3005556719742617866" r:id="rId541"/>
    <hyperlink xmlns:r="http://schemas.openxmlformats.org/officeDocument/2006/relationships" ref="E903" r:id="rId542"/>
    <hyperlink xmlns:r="http://schemas.openxmlformats.org/officeDocument/2006/relationships" ref="E905" location=":~:text=hotloopgames-,I%20am%20a%20solo%20developer%20working%20on%20The%20Last%20Flame,plays%20as%20an%20auto%2Dbattler." r:id="rId543"/>
    <hyperlink xmlns:r="http://schemas.openxmlformats.org/officeDocument/2006/relationships" ref="E907" r:id="rId544"/>
    <hyperlink xmlns:r="http://schemas.openxmlformats.org/officeDocument/2006/relationships" ref="E908" r:id="rId545"/>
    <hyperlink xmlns:r="http://schemas.openxmlformats.org/officeDocument/2006/relationships" ref="E911" r:id="rId546"/>
    <hyperlink xmlns:r="http://schemas.openxmlformats.org/officeDocument/2006/relationships" ref="E914" r:id="rId547"/>
    <hyperlink xmlns:r="http://schemas.openxmlformats.org/officeDocument/2006/relationships" ref="E915" r:id="rId548"/>
    <hyperlink xmlns:r="http://schemas.openxmlformats.org/officeDocument/2006/relationships" ref="E916" r:id="rId549"/>
    <hyperlink xmlns:r="http://schemas.openxmlformats.org/officeDocument/2006/relationships" ref="E918" r:id="rId550"/>
    <hyperlink xmlns:r="http://schemas.openxmlformats.org/officeDocument/2006/relationships" ref="E919" r:id="rId551"/>
    <hyperlink xmlns:r="http://schemas.openxmlformats.org/officeDocument/2006/relationships" ref="E920" r:id="rId552"/>
    <hyperlink xmlns:r="http://schemas.openxmlformats.org/officeDocument/2006/relationships" ref="E921" r:id="rId553"/>
    <hyperlink xmlns:r="http://schemas.openxmlformats.org/officeDocument/2006/relationships" ref="E922" r:id="rId554"/>
    <hyperlink xmlns:r="http://schemas.openxmlformats.org/officeDocument/2006/relationships" ref="E925" r:id="rId555"/>
    <hyperlink xmlns:r="http://schemas.openxmlformats.org/officeDocument/2006/relationships" ref="E926" r:id="rId556"/>
    <hyperlink xmlns:r="http://schemas.openxmlformats.org/officeDocument/2006/relationships" ref="E929" r:id="rId557"/>
    <hyperlink xmlns:r="http://schemas.openxmlformats.org/officeDocument/2006/relationships" ref="E932" location=":~:text=As%20inspiration%20from%20different%20games,dangerous%20to%20go%20alone%22%20line." r:id="rId558"/>
    <hyperlink xmlns:r="http://schemas.openxmlformats.org/officeDocument/2006/relationships" ref="E939" r:id="rId559"/>
    <hyperlink xmlns:r="http://schemas.openxmlformats.org/officeDocument/2006/relationships" ref="E941" r:id="rId560"/>
    <hyperlink xmlns:r="http://schemas.openxmlformats.org/officeDocument/2006/relationships" ref="E942" r:id="rId561"/>
    <hyperlink xmlns:r="http://schemas.openxmlformats.org/officeDocument/2006/relationships" ref="E943" r:id="rId562"/>
    <hyperlink xmlns:r="http://schemas.openxmlformats.org/officeDocument/2006/relationships" ref="E944" r:id="rId563"/>
    <hyperlink xmlns:r="http://schemas.openxmlformats.org/officeDocument/2006/relationships" ref="E945" r:id="rId564"/>
    <hyperlink xmlns:r="http://schemas.openxmlformats.org/officeDocument/2006/relationships" ref="E947" location=":~:text=Much%20of%20the%20game%20was,similar%20gameplay%20would%20be%20like." r:id="rId565"/>
    <hyperlink xmlns:r="http://schemas.openxmlformats.org/officeDocument/2006/relationships" ref="E948" location=":~:text=A%20big%20of%20Rogue%20Legacy%2C%20Spelunky%2C%20Hades.,kinda%20got%20inspiration%20from%20all%20of%20them." r:id="rId566"/>
    <hyperlink xmlns:r="http://schemas.openxmlformats.org/officeDocument/2006/relationships" ref="E949" r:id="rId567"/>
    <hyperlink xmlns:r="http://schemas.openxmlformats.org/officeDocument/2006/relationships" ref="E955" r:id="rId568"/>
    <hyperlink xmlns:r="http://schemas.openxmlformats.org/officeDocument/2006/relationships" ref="E956" r:id="rId569"/>
    <hyperlink xmlns:r="http://schemas.openxmlformats.org/officeDocument/2006/relationships" ref="E957" r:id="rId570"/>
    <hyperlink xmlns:r="http://schemas.openxmlformats.org/officeDocument/2006/relationships" ref="E958" r:id="rId571"/>
    <hyperlink xmlns:r="http://schemas.openxmlformats.org/officeDocument/2006/relationships" ref="E959" r:id="rId572"/>
    <hyperlink xmlns:r="http://schemas.openxmlformats.org/officeDocument/2006/relationships" ref="E961" r:id="rId573"/>
    <hyperlink xmlns:r="http://schemas.openxmlformats.org/officeDocument/2006/relationships" ref="E962" location=":~:text=The%20game%20was%20developed%20by,development%2C%20including%20an%20experience%20system." r:id="rId574"/>
    <hyperlink xmlns:r="http://schemas.openxmlformats.org/officeDocument/2006/relationships" ref="E963" r:id="rId575"/>
    <hyperlink xmlns:r="http://schemas.openxmlformats.org/officeDocument/2006/relationships" ref="E966" r:id="rId576"/>
    <hyperlink xmlns:r="http://schemas.openxmlformats.org/officeDocument/2006/relationships" ref="E967" r:id="rId577"/>
    <hyperlink xmlns:r="http://schemas.openxmlformats.org/officeDocument/2006/relationships" ref="E968" location=":~:text=Lead%20designer%20Matt%20Dabrowski%20credited,inspirations%20for%20Streets%20of%20Rogue." r:id="rId578"/>
    <hyperlink xmlns:r="http://schemas.openxmlformats.org/officeDocument/2006/relationships" ref="E969" r:id="rId579"/>
    <hyperlink xmlns:r="http://schemas.openxmlformats.org/officeDocument/2006/relationships" ref="E971" r:id="rId580"/>
    <hyperlink xmlns:r="http://schemas.openxmlformats.org/officeDocument/2006/relationships" ref="E972" r:id="rId581"/>
    <hyperlink xmlns:r="http://schemas.openxmlformats.org/officeDocument/2006/relationships" ref="E975" r:id="rId582"/>
    <hyperlink xmlns:r="http://schemas.openxmlformats.org/officeDocument/2006/relationships" ref="E977" r:id="rId583"/>
    <hyperlink xmlns:r="http://schemas.openxmlformats.org/officeDocument/2006/relationships" ref="E982" r:id="rId584"/>
    <hyperlink xmlns:r="http://schemas.openxmlformats.org/officeDocument/2006/relationships" ref="E985" r:id="rId585"/>
    <hyperlink xmlns:r="http://schemas.openxmlformats.org/officeDocument/2006/relationships" ref="E990" r:id="rId586"/>
    <hyperlink xmlns:r="http://schemas.openxmlformats.org/officeDocument/2006/relationships" ref="E991" r:id="rId587"/>
    <hyperlink xmlns:r="http://schemas.openxmlformats.org/officeDocument/2006/relationships" ref="E992" r:id="rId588"/>
    <hyperlink xmlns:r="http://schemas.openxmlformats.org/officeDocument/2006/relationships" ref="E994" r:id="rId589"/>
    <hyperlink xmlns:r="http://schemas.openxmlformats.org/officeDocument/2006/relationships" ref="E997" r:id="rId590"/>
    <hyperlink xmlns:r="http://schemas.openxmlformats.org/officeDocument/2006/relationships" ref="E998" r:id="rId591"/>
    <hyperlink xmlns:r="http://schemas.openxmlformats.org/officeDocument/2006/relationships" ref="E1000" r:id="rId592"/>
    <hyperlink xmlns:r="http://schemas.openxmlformats.org/officeDocument/2006/relationships" ref="E1002" r:id="rId593"/>
    <hyperlink xmlns:r="http://schemas.openxmlformats.org/officeDocument/2006/relationships" ref="E1003" r:id="rId594"/>
    <hyperlink xmlns:r="http://schemas.openxmlformats.org/officeDocument/2006/relationships" ref="E1004" r:id="rId595"/>
    <hyperlink xmlns:r="http://schemas.openxmlformats.org/officeDocument/2006/relationships" ref="E1005" r:id="rId596"/>
    <hyperlink xmlns:r="http://schemas.openxmlformats.org/officeDocument/2006/relationships" ref="E1007" r:id="rId597"/>
    <hyperlink xmlns:r="http://schemas.openxmlformats.org/officeDocument/2006/relationships" ref="E1008" r:id="rId598"/>
    <hyperlink xmlns:r="http://schemas.openxmlformats.org/officeDocument/2006/relationships" ref="E1009" r:id="rId599"/>
    <hyperlink xmlns:r="http://schemas.openxmlformats.org/officeDocument/2006/relationships" ref="E1010" r:id="rId600"/>
    <hyperlink xmlns:r="http://schemas.openxmlformats.org/officeDocument/2006/relationships" ref="E1012" r:id="rId601"/>
    <hyperlink xmlns:r="http://schemas.openxmlformats.org/officeDocument/2006/relationships" ref="E1013" r:id="rId602"/>
    <hyperlink xmlns:r="http://schemas.openxmlformats.org/officeDocument/2006/relationships" ref="E1014" r:id="rId603"/>
    <hyperlink xmlns:r="http://schemas.openxmlformats.org/officeDocument/2006/relationships" ref="E1015" location=":~:text=I%20left%20my%20old%20job,as%20The%20Binding%20of%20Isaac." r:id="rId604"/>
    <hyperlink xmlns:r="http://schemas.openxmlformats.org/officeDocument/2006/relationships" ref="E1016" r:id="rId605"/>
    <hyperlink xmlns:r="http://schemas.openxmlformats.org/officeDocument/2006/relationships" ref="E1018" r:id="rId606"/>
    <hyperlink xmlns:r="http://schemas.openxmlformats.org/officeDocument/2006/relationships" ref="E1020" r:id="rId607"/>
    <hyperlink xmlns:r="http://schemas.openxmlformats.org/officeDocument/2006/relationships" ref="E1021" r:id="rId608"/>
    <hyperlink xmlns:r="http://schemas.openxmlformats.org/officeDocument/2006/relationships" ref="E1022" r:id="rId609"/>
    <hyperlink xmlns:r="http://schemas.openxmlformats.org/officeDocument/2006/relationships" ref="E1023" r:id="rId610"/>
    <hyperlink xmlns:r="http://schemas.openxmlformats.org/officeDocument/2006/relationships" ref="E1024" r:id="rId611"/>
    <hyperlink xmlns:r="http://schemas.openxmlformats.org/officeDocument/2006/relationships" ref="E1027" r:id="rId612"/>
    <hyperlink xmlns:r="http://schemas.openxmlformats.org/officeDocument/2006/relationships" ref="E1035" location="c846961716375428005" r:id="rId613"/>
    <hyperlink xmlns:r="http://schemas.openxmlformats.org/officeDocument/2006/relationships" ref="E1037" r:id="rId614"/>
    <hyperlink xmlns:r="http://schemas.openxmlformats.org/officeDocument/2006/relationships" ref="E1038" r:id="rId615"/>
    <hyperlink xmlns:r="http://schemas.openxmlformats.org/officeDocument/2006/relationships" ref="E1041" r:id="rId616"/>
    <hyperlink xmlns:r="http://schemas.openxmlformats.org/officeDocument/2006/relationships" ref="E1042" r:id="rId617"/>
    <hyperlink xmlns:r="http://schemas.openxmlformats.org/officeDocument/2006/relationships" ref="E1043" r:id="rId618"/>
    <hyperlink xmlns:r="http://schemas.openxmlformats.org/officeDocument/2006/relationships" ref="E1045" r:id="rId619"/>
    <hyperlink xmlns:r="http://schemas.openxmlformats.org/officeDocument/2006/relationships" ref="E1046" r:id="rId620"/>
    <hyperlink xmlns:r="http://schemas.openxmlformats.org/officeDocument/2006/relationships" ref="E1048" r:id="rId621"/>
    <hyperlink xmlns:r="http://schemas.openxmlformats.org/officeDocument/2006/relationships" ref="E1049" r:id="rId622"/>
    <hyperlink xmlns:r="http://schemas.openxmlformats.org/officeDocument/2006/relationships" ref="E1051" r:id="rId623"/>
    <hyperlink xmlns:r="http://schemas.openxmlformats.org/officeDocument/2006/relationships" ref="E1052" r:id="rId624"/>
    <hyperlink xmlns:r="http://schemas.openxmlformats.org/officeDocument/2006/relationships" ref="E1054" r:id="rId625"/>
    <hyperlink xmlns:r="http://schemas.openxmlformats.org/officeDocument/2006/relationships" ref="E1055" r:id="rId626"/>
    <hyperlink xmlns:r="http://schemas.openxmlformats.org/officeDocument/2006/relationships" ref="E1056" r:id="rId627"/>
    <hyperlink xmlns:r="http://schemas.openxmlformats.org/officeDocument/2006/relationships" ref="E1057" r:id="rId628"/>
    <hyperlink xmlns:r="http://schemas.openxmlformats.org/officeDocument/2006/relationships" ref="E1059" location=":~:text=The%20game%20was%20developed%20by,development%2C%20including%20an%20experience%20system." r:id="rId629"/>
    <hyperlink xmlns:r="http://schemas.openxmlformats.org/officeDocument/2006/relationships" ref="E1062" r:id="rId630"/>
    <hyperlink xmlns:r="http://schemas.openxmlformats.org/officeDocument/2006/relationships" ref="E1063" r:id="rId631"/>
    <hyperlink xmlns:r="http://schemas.openxmlformats.org/officeDocument/2006/relationships" ref="E1064" r:id="rId632"/>
    <hyperlink xmlns:r="http://schemas.openxmlformats.org/officeDocument/2006/relationships" ref="E1066" r:id="rId633"/>
    <hyperlink xmlns:r="http://schemas.openxmlformats.org/officeDocument/2006/relationships" ref="E1069" location="c592882772895432824" r:id="rId634"/>
    <hyperlink xmlns:r="http://schemas.openxmlformats.org/officeDocument/2006/relationships" ref="E1073" r:id="rId635"/>
    <hyperlink xmlns:r="http://schemas.openxmlformats.org/officeDocument/2006/relationships" ref="E1074" r:id="rId636"/>
    <hyperlink xmlns:r="http://schemas.openxmlformats.org/officeDocument/2006/relationships" ref="E1075" r:id="rId637"/>
    <hyperlink xmlns:r="http://schemas.openxmlformats.org/officeDocument/2006/relationships" ref="E1076" r:id="rId638"/>
    <hyperlink xmlns:r="http://schemas.openxmlformats.org/officeDocument/2006/relationships" ref="E1077" r:id="rId639"/>
    <hyperlink xmlns:r="http://schemas.openxmlformats.org/officeDocument/2006/relationships" ref="E1080" location=":~:text=Apparently%2C%20Ota%20was%20a%20well%20known%20figure,to%20connect%20Tokyo's%20three%20main%20universities%20that" r:id="rId640"/>
    <hyperlink xmlns:r="http://schemas.openxmlformats.org/officeDocument/2006/relationships" ref="E1082" r:id="rId641"/>
    <hyperlink xmlns:r="http://schemas.openxmlformats.org/officeDocument/2006/relationships" ref="E1083" r:id="rId642"/>
    <hyperlink xmlns:r="http://schemas.openxmlformats.org/officeDocument/2006/relationships" ref="E1084" r:id="rId643"/>
    <hyperlink xmlns:r="http://schemas.openxmlformats.org/officeDocument/2006/relationships" ref="E1085" r:id="rId644"/>
    <hyperlink xmlns:r="http://schemas.openxmlformats.org/officeDocument/2006/relationships" ref="E1087" location="c592882772895432824" r:id="rId645"/>
    <hyperlink xmlns:r="http://schemas.openxmlformats.org/officeDocument/2006/relationships" ref="E1088" r:id="rId646"/>
    <hyperlink xmlns:r="http://schemas.openxmlformats.org/officeDocument/2006/relationships" ref="E1090" r:id="rId647"/>
    <hyperlink xmlns:r="http://schemas.openxmlformats.org/officeDocument/2006/relationships" ref="E1093" location="cite_note-GuideInterview-40" r:id="rId648"/>
    <hyperlink xmlns:r="http://schemas.openxmlformats.org/officeDocument/2006/relationships" ref="E1094" r:id="rId649"/>
    <hyperlink xmlns:r="http://schemas.openxmlformats.org/officeDocument/2006/relationships" ref="E1095" r:id="rId650"/>
    <hyperlink xmlns:r="http://schemas.openxmlformats.org/officeDocument/2006/relationships" ref="E1101" location=":~:text=House%20of%20Necrosis%20is%20a,Linux)%20and%20the%20Steam%20Deck" r:id="rId651"/>
    <hyperlink xmlns:r="http://schemas.openxmlformats.org/officeDocument/2006/relationships" ref="E1103" r:id="rId652"/>
    <hyperlink xmlns:r="http://schemas.openxmlformats.org/officeDocument/2006/relationships" ref="E1105" r:id="rId653"/>
    <hyperlink xmlns:r="http://schemas.openxmlformats.org/officeDocument/2006/relationships" ref="E1106" r:id="rId654"/>
    <hyperlink xmlns:r="http://schemas.openxmlformats.org/officeDocument/2006/relationships" ref="E1108" r:id="rId655"/>
    <hyperlink xmlns:r="http://schemas.openxmlformats.org/officeDocument/2006/relationships" ref="E1110" r:id="rId656"/>
    <hyperlink xmlns:r="http://schemas.openxmlformats.org/officeDocument/2006/relationships" ref="E1112" r:id="rId657"/>
    <hyperlink xmlns:r="http://schemas.openxmlformats.org/officeDocument/2006/relationships" ref="E1114" r:id="rId658"/>
    <hyperlink xmlns:r="http://schemas.openxmlformats.org/officeDocument/2006/relationships" ref="E1122" r:id="rId659"/>
    <hyperlink xmlns:r="http://schemas.openxmlformats.org/officeDocument/2006/relationships" ref="E1125" location="c735910198043297427" r:id="rId660"/>
    <hyperlink xmlns:r="http://schemas.openxmlformats.org/officeDocument/2006/relationships" ref="E1129" location=":~:text=I%20was%20right%20because%20Ball,search%20of%20treasure%20and%20resources.&amp;text=If%20playback%20doesn't%20begin%20shortly%2C%20try%20restarting%20your%20device." r:id="rId661"/>
    <hyperlink xmlns:r="http://schemas.openxmlformats.org/officeDocument/2006/relationships" ref="E1130" r:id="rId662"/>
    <hyperlink xmlns:r="http://schemas.openxmlformats.org/officeDocument/2006/relationships" ref="E1132" r:id="rId663"/>
    <hyperlink xmlns:r="http://schemas.openxmlformats.org/officeDocument/2006/relationships" ref="E1138" r:id="rId664"/>
    <hyperlink xmlns:r="http://schemas.openxmlformats.org/officeDocument/2006/relationships" ref="E1141" location="c562532756309107833" r:id="rId665"/>
    <hyperlink xmlns:r="http://schemas.openxmlformats.org/officeDocument/2006/relationships" ref="E1142" r:id="rId666"/>
    <hyperlink xmlns:r="http://schemas.openxmlformats.org/officeDocument/2006/relationships" ref="E1144" r:id="rId667"/>
    <hyperlink xmlns:r="http://schemas.openxmlformats.org/officeDocument/2006/relationships" ref="E1150" r:id="rId668"/>
    <hyperlink xmlns:r="http://schemas.openxmlformats.org/officeDocument/2006/relationships" ref="E1153" r:id="rId669"/>
    <hyperlink xmlns:r="http://schemas.openxmlformats.org/officeDocument/2006/relationships" ref="E1156" r:id="rId670"/>
    <hyperlink xmlns:r="http://schemas.openxmlformats.org/officeDocument/2006/relationships" ref="E1161" r:id="rId671"/>
    <hyperlink xmlns:r="http://schemas.openxmlformats.org/officeDocument/2006/relationships" ref="E1170" r:id="rId672"/>
    <hyperlink xmlns:r="http://schemas.openxmlformats.org/officeDocument/2006/relationships" ref="E1180" r:id="rId673"/>
    <hyperlink xmlns:r="http://schemas.openxmlformats.org/officeDocument/2006/relationships" ref="E1193" r:id="rId674"/>
    <hyperlink xmlns:r="http://schemas.openxmlformats.org/officeDocument/2006/relationships" ref="E1194" r:id="rId675"/>
    <hyperlink xmlns:r="http://schemas.openxmlformats.org/officeDocument/2006/relationships" ref="E1196" r:id="rId676"/>
    <hyperlink xmlns:r="http://schemas.openxmlformats.org/officeDocument/2006/relationships" ref="E1198" r:id="rId677"/>
    <hyperlink xmlns:r="http://schemas.openxmlformats.org/officeDocument/2006/relationships" ref="E1207" location=":~:text=Runs%20in%20Whisker%20Squadron:%20Survivor,to%20engage%20the%20boost%20thrusters." r:id="rId678"/>
    <hyperlink xmlns:r="http://schemas.openxmlformats.org/officeDocument/2006/relationships" ref="E1217" r:id="rId679"/>
    <hyperlink xmlns:r="http://schemas.openxmlformats.org/officeDocument/2006/relationships" ref="E1218" r:id="rId680"/>
    <hyperlink xmlns:r="http://schemas.openxmlformats.org/officeDocument/2006/relationships" ref="E1219" r:id="rId681"/>
    <hyperlink xmlns:r="http://schemas.openxmlformats.org/officeDocument/2006/relationships" ref="E1223" r:id="rId682"/>
    <hyperlink xmlns:r="http://schemas.openxmlformats.org/officeDocument/2006/relationships" ref="E1224" r:id="rId683"/>
    <hyperlink xmlns:r="http://schemas.openxmlformats.org/officeDocument/2006/relationships" ref="E1225" r:id="rId684"/>
    <hyperlink xmlns:r="http://schemas.openxmlformats.org/officeDocument/2006/relationships" ref="E1226" location=":~:text=Vellum's%20Inspirations,chapter%20of%20the%20original%20series." r:id="rId685"/>
  </hyperlinks>
  <pageMargins left="0.7" right="0.7" top="0.75" bottom="0.75" header="0.511811023622047" footer="0.511811023622047"/>
  <pageSetup orientation="portrait" horizontalDpi="300" verticalDpi="300"/>
  <tableParts count="1">
    <tablePart xmlns:r="http://schemas.openxmlformats.org/officeDocument/2006/relationships" r:id="rId686"/>
  </tableParts>
</worksheet>
</file>

<file path=xl/worksheets/sheet3.xml><?xml version="1.0" encoding="utf-8"?>
<worksheet xmlns="http://schemas.openxmlformats.org/spreadsheetml/2006/main">
  <sheetPr>
    <outlinePr summaryBelow="1" summaryRight="1"/>
    <pageSetUpPr/>
  </sheetPr>
  <dimension ref="A1:Q12"/>
  <sheetViews>
    <sheetView workbookViewId="0">
      <selection activeCell="M18" sqref="M18"/>
    </sheetView>
  </sheetViews>
  <sheetFormatPr baseColWidth="8" defaultRowHeight="15"/>
  <cols>
    <col width="16.85546875" bestFit="1" customWidth="1" min="1" max="1"/>
    <col width="29.140625" bestFit="1" customWidth="1" min="2" max="2"/>
    <col width="7.5703125" bestFit="1" customWidth="1" min="4" max="4"/>
    <col width="7.42578125" bestFit="1" customWidth="1" min="5" max="5"/>
    <col width="7.5703125" customWidth="1" min="6" max="6"/>
    <col width="7.5703125" bestFit="1" customWidth="1" min="7" max="7"/>
    <col width="12.7109375" bestFit="1" customWidth="1" min="8" max="8"/>
    <col width="11.42578125" bestFit="1" customWidth="1" min="9" max="9"/>
    <col width="7.5703125" customWidth="1" min="10" max="10"/>
    <col width="7.42578125" bestFit="1" customWidth="1" min="11" max="11"/>
    <col width="10.5703125" bestFit="1" customWidth="1" min="12" max="12"/>
    <col width="41.5703125" bestFit="1" customWidth="1" min="13" max="13"/>
    <col width="40.140625" bestFit="1" customWidth="1" min="14" max="14"/>
    <col width="70.7109375" customWidth="1" min="15" max="15"/>
    <col width="15.7109375" bestFit="1" customWidth="1" min="16" max="16"/>
    <col width="16.42578125" bestFit="1" customWidth="1" min="17" max="17"/>
  </cols>
  <sheetData>
    <row r="1">
      <c r="A1" t="inlineStr">
        <is>
          <t>Name</t>
        </is>
      </c>
      <c r="B1" t="inlineStr">
        <is>
          <t>Game</t>
        </is>
      </c>
      <c r="C1" t="inlineStr">
        <is>
          <t>Health</t>
        </is>
      </c>
      <c r="D1" t="inlineStr">
        <is>
          <t>Gold</t>
        </is>
      </c>
      <c r="E1" t="inlineStr">
        <is>
          <t>Bash</t>
        </is>
      </c>
      <c r="F1" t="inlineStr">
        <is>
          <t>Dash</t>
        </is>
      </c>
      <c r="G1" t="inlineStr">
        <is>
          <t>Push</t>
        </is>
      </c>
      <c r="H1" t="inlineStr">
        <is>
          <t>Transmute</t>
        </is>
      </c>
      <c r="I1" t="inlineStr">
        <is>
          <t>Scramble</t>
        </is>
      </c>
      <c r="J1" t="inlineStr">
        <is>
          <t>Bombs</t>
        </is>
      </c>
      <c r="K1" t="inlineStr">
        <is>
          <t>Keys</t>
        </is>
      </c>
      <c r="L1" t="inlineStr">
        <is>
          <t>Random</t>
        </is>
      </c>
      <c r="M1" t="inlineStr">
        <is>
          <t>Level Up</t>
        </is>
      </c>
      <c r="N1" t="inlineStr">
        <is>
          <t>Reward</t>
        </is>
      </c>
      <c r="O1" t="inlineStr">
        <is>
          <t>Description</t>
        </is>
      </c>
      <c r="P1" t="inlineStr">
        <is>
          <t>Starting items</t>
        </is>
      </c>
      <c r="Q1" t="inlineStr">
        <is>
          <t>File</t>
        </is>
      </c>
    </row>
    <row r="2">
      <c r="A2" t="inlineStr">
        <is>
          <t>Antonio Belpaese</t>
        </is>
      </c>
      <c r="B2" t="inlineStr">
        <is>
          <t>Vampire Survivors</t>
        </is>
      </c>
      <c r="C2" t="n">
        <v>8</v>
      </c>
      <c r="D2" t="n">
        <v>3</v>
      </c>
      <c r="E2" t="n">
        <v>1</v>
      </c>
      <c r="F2" t="n">
        <v>0</v>
      </c>
      <c r="G2" t="n">
        <v>1</v>
      </c>
      <c r="H2" t="n">
        <v>0</v>
      </c>
      <c r="I2" t="n">
        <v>0</v>
      </c>
      <c r="J2" t="n">
        <v>0</v>
      </c>
      <c r="K2" t="n">
        <v>0</v>
      </c>
      <c r="L2" t="n">
        <v>0</v>
      </c>
      <c r="M2" t="inlineStr">
        <is>
          <t>Kill an enemy with a whip</t>
        </is>
      </c>
      <c r="N2" t="inlineStr">
        <is>
          <t>Gain +1 Random Sized Chest</t>
        </is>
      </c>
      <c r="O2" t="inlineStr">
        <is>
          <t>What a wonderful night to hunt beasts!</t>
        </is>
      </c>
      <c r="P2" t="inlineStr">
        <is>
          <t>N/A</t>
        </is>
      </c>
      <c r="Q2" t="inlineStr">
        <is>
          <t>AntonioBelpaese</t>
        </is>
      </c>
    </row>
    <row r="3">
      <c r="A3" t="inlineStr">
        <is>
          <t>Erratic Deck</t>
        </is>
      </c>
      <c r="B3" t="inlineStr">
        <is>
          <t>Balatro</t>
        </is>
      </c>
      <c r="C3" t="n">
        <v>8</v>
      </c>
      <c r="D3" t="n">
        <v>3</v>
      </c>
      <c r="E3" t="n">
        <v>0</v>
      </c>
      <c r="F3" t="n">
        <v>0</v>
      </c>
      <c r="G3" t="n">
        <v>0</v>
      </c>
      <c r="H3" t="n">
        <v>0</v>
      </c>
      <c r="I3" t="n">
        <v>0</v>
      </c>
      <c r="J3" t="n">
        <v>0</v>
      </c>
      <c r="K3" t="n">
        <v>0</v>
      </c>
      <c r="L3" t="n">
        <v>2</v>
      </c>
      <c r="M3" t="inlineStr">
        <is>
          <t>Randomly select your starting build</t>
        </is>
      </c>
      <c r="N3" t="inlineStr">
        <is>
          <t>Gain +1 Scramble</t>
        </is>
      </c>
      <c r="O3" t="inlineStr">
        <is>
          <t>All Ranks and Suits in deck are randomized</t>
        </is>
      </c>
      <c r="P3" t="inlineStr">
        <is>
          <t>N/A</t>
        </is>
      </c>
      <c r="Q3" t="inlineStr">
        <is>
          <t>ErraticDeck</t>
        </is>
      </c>
    </row>
    <row r="4">
      <c r="A4" t="inlineStr">
        <is>
          <t>Ironclad</t>
        </is>
      </c>
      <c r="B4" t="inlineStr">
        <is>
          <t>Slay the Spire</t>
        </is>
      </c>
      <c r="C4" t="n">
        <v>10</v>
      </c>
      <c r="D4" t="n">
        <v>3</v>
      </c>
      <c r="E4" t="n">
        <v>2</v>
      </c>
      <c r="F4" t="n">
        <v>0</v>
      </c>
      <c r="G4" t="n">
        <v>0</v>
      </c>
      <c r="H4" t="n">
        <v>0</v>
      </c>
      <c r="I4" t="n">
        <v>0</v>
      </c>
      <c r="J4" t="n">
        <v>0</v>
      </c>
      <c r="K4" t="n">
        <v>0</v>
      </c>
      <c r="L4" t="n">
        <v>0</v>
      </c>
      <c r="M4" t="inlineStr">
        <is>
          <t>Make a Faustian bargain</t>
        </is>
      </c>
      <c r="N4" t="inlineStr">
        <is>
          <t>Gain +1 Small Chest</t>
        </is>
      </c>
      <c r="O4" t="inlineStr">
        <is>
          <t>The remaining soldier of the Ironclads. Sold his soul to harness demonic energies.</t>
        </is>
      </c>
      <c r="P4" t="inlineStr">
        <is>
          <t>Burning Blood</t>
        </is>
      </c>
      <c r="Q4" t="inlineStr">
        <is>
          <t>Ironclad</t>
        </is>
      </c>
    </row>
    <row r="5">
      <c r="A5" t="inlineStr">
        <is>
          <t>Isaac</t>
        </is>
      </c>
      <c r="B5" t="inlineStr">
        <is>
          <t>The Binding of Isaac</t>
        </is>
      </c>
      <c r="C5" t="n">
        <v>6</v>
      </c>
      <c r="D5" t="n">
        <v>3</v>
      </c>
      <c r="E5" t="n">
        <v>0</v>
      </c>
      <c r="F5" t="n">
        <v>0</v>
      </c>
      <c r="G5" t="n">
        <v>0</v>
      </c>
      <c r="H5" t="n">
        <v>0</v>
      </c>
      <c r="I5" t="n">
        <v>0</v>
      </c>
      <c r="J5" t="n">
        <v>1</v>
      </c>
      <c r="K5" t="n">
        <v>0</v>
      </c>
      <c r="L5" t="n">
        <v>0</v>
      </c>
      <c r="M5" t="inlineStr">
        <is>
          <t>Use sorrow or self-inflicted pain as a weapon</t>
        </is>
      </c>
      <c r="N5" t="inlineStr">
        <is>
          <t>Gain +1 Small Chest and +1 Scramble</t>
        </is>
      </c>
      <c r="O5" t="inlineStr">
        <is>
          <t>Who am I?</t>
        </is>
      </c>
      <c r="P5" t="inlineStr">
        <is>
          <t>D6</t>
        </is>
      </c>
      <c r="Q5" t="inlineStr">
        <is>
          <t>Isaac</t>
        </is>
      </c>
    </row>
    <row r="6">
      <c r="A6" t="inlineStr">
        <is>
          <t>Manager</t>
        </is>
      </c>
      <c r="B6" t="inlineStr">
        <is>
          <t>Raccoin: Coin Pusher Roguelike</t>
        </is>
      </c>
      <c r="C6" t="n">
        <v>8</v>
      </c>
      <c r="D6" t="n">
        <v>3</v>
      </c>
      <c r="E6" t="n">
        <v>0</v>
      </c>
      <c r="F6" t="n">
        <v>0</v>
      </c>
      <c r="G6" t="n">
        <v>2</v>
      </c>
      <c r="H6" t="n">
        <v>0</v>
      </c>
      <c r="I6" t="n">
        <v>0</v>
      </c>
      <c r="J6" t="n">
        <v>0</v>
      </c>
      <c r="K6" t="n">
        <v>0</v>
      </c>
      <c r="L6" t="n">
        <v>0</v>
      </c>
      <c r="M6" t="inlineStr">
        <is>
          <t>Collect 3+ different types of currency</t>
        </is>
      </c>
      <c r="N6" t="inlineStr">
        <is>
          <t>Gain +1 Push and +1 Gold</t>
        </is>
      </c>
      <c r="O6" t="inlineStr">
        <is>
          <t>Master in using  Math coins and earning tickets.</t>
        </is>
      </c>
      <c r="P6" t="inlineStr">
        <is>
          <t>N/A</t>
        </is>
      </c>
      <c r="Q6" t="inlineStr">
        <is>
          <t>Manager</t>
        </is>
      </c>
    </row>
    <row r="7">
      <c r="A7" t="inlineStr">
        <is>
          <t>Minä</t>
        </is>
      </c>
      <c r="B7" t="inlineStr">
        <is>
          <t>Noita</t>
        </is>
      </c>
      <c r="C7" t="n">
        <v>8</v>
      </c>
      <c r="D7" t="n">
        <v>3</v>
      </c>
      <c r="E7" t="n">
        <v>0</v>
      </c>
      <c r="F7" t="n">
        <v>0</v>
      </c>
      <c r="G7" t="n">
        <v>0</v>
      </c>
      <c r="H7" t="n">
        <v>2</v>
      </c>
      <c r="I7" t="n">
        <v>0</v>
      </c>
      <c r="J7" t="n">
        <v>0</v>
      </c>
      <c r="K7" t="n">
        <v>0</v>
      </c>
      <c r="L7" t="n">
        <v>0</v>
      </c>
      <c r="M7" t="inlineStr">
        <is>
          <t>Craft or combine a spell or weapon</t>
        </is>
      </c>
      <c r="N7" t="inlineStr">
        <is>
          <t>Gain +1 Transmute</t>
        </is>
      </c>
      <c r="O7" t="inlineStr">
        <is>
          <t>Why must you go destroying everything? Why? For glory? For your precious god of gods. Is it really worth all this? Is it? Is it really?</t>
        </is>
      </c>
      <c r="P7" t="inlineStr">
        <is>
          <t>N/A</t>
        </is>
      </c>
      <c r="Q7" t="inlineStr">
        <is>
          <t>Minä</t>
        </is>
      </c>
    </row>
    <row r="8">
      <c r="A8" t="inlineStr">
        <is>
          <t>Poe Ratcho</t>
        </is>
      </c>
      <c r="B8" t="inlineStr">
        <is>
          <t>Vampire Survivors</t>
        </is>
      </c>
      <c r="C8" t="n">
        <v>10</v>
      </c>
      <c r="D8" t="n">
        <v>3</v>
      </c>
      <c r="E8" t="n">
        <v>0</v>
      </c>
      <c r="F8" t="n">
        <v>0</v>
      </c>
      <c r="G8" t="n">
        <v>2</v>
      </c>
      <c r="H8" t="n">
        <v>0</v>
      </c>
      <c r="I8" t="n">
        <v>0</v>
      </c>
      <c r="J8" t="n">
        <v>0</v>
      </c>
      <c r="K8" t="n">
        <v>0</v>
      </c>
      <c r="L8" t="n">
        <v>0</v>
      </c>
      <c r="M8" t="inlineStr">
        <is>
          <t>Stink</t>
        </is>
      </c>
      <c r="N8" t="inlineStr">
        <is>
          <t>Gain +1 Random Sized Chest</t>
        </is>
      </c>
      <c r="O8" t="inlineStr">
        <is>
          <t>A malodorous hero</t>
        </is>
      </c>
      <c r="P8" t="inlineStr">
        <is>
          <t>Pummarola</t>
        </is>
      </c>
      <c r="Q8" t="inlineStr">
        <is>
          <t>PoeRatcho</t>
        </is>
      </c>
    </row>
    <row r="9">
      <c r="A9" t="inlineStr">
        <is>
          <t>Rodney</t>
        </is>
      </c>
      <c r="B9" t="inlineStr">
        <is>
          <t>Rogue</t>
        </is>
      </c>
      <c r="C9" t="n">
        <v>5</v>
      </c>
      <c r="D9" t="n">
        <v>3</v>
      </c>
      <c r="E9" t="n">
        <v>0</v>
      </c>
      <c r="F9" t="n">
        <v>0</v>
      </c>
      <c r="G9" t="n">
        <v>0</v>
      </c>
      <c r="H9" t="n">
        <v>0</v>
      </c>
      <c r="I9" t="n">
        <v>0</v>
      </c>
      <c r="J9" t="n">
        <v>0</v>
      </c>
      <c r="K9" t="n">
        <v>0</v>
      </c>
      <c r="L9" t="n">
        <v>2</v>
      </c>
      <c r="M9" t="inlineStr">
        <is>
          <t>Beat a game without meta progression</t>
        </is>
      </c>
      <c r="N9" t="inlineStr">
        <is>
          <t>Gain +1 Max Health, +1 Health, and +1 Scroll</t>
        </is>
      </c>
      <c r="O9" t="inlineStr">
        <is>
          <t>Now I abide here, searching endlessly for the precious Amulet... and finding a thousand horrors.</t>
        </is>
      </c>
      <c r="P9" t="inlineStr">
        <is>
          <t>N/A</t>
        </is>
      </c>
      <c r="Q9" t="inlineStr">
        <is>
          <t>Rodney</t>
        </is>
      </c>
    </row>
    <row r="10">
      <c r="A10" t="inlineStr">
        <is>
          <t>Zagreus</t>
        </is>
      </c>
      <c r="B10" t="inlineStr">
        <is>
          <t>Hades</t>
        </is>
      </c>
      <c r="C10" t="n">
        <v>8</v>
      </c>
      <c r="D10" t="n">
        <v>3</v>
      </c>
      <c r="E10" t="n">
        <v>1</v>
      </c>
      <c r="F10" t="n">
        <v>1</v>
      </c>
      <c r="G10" t="n">
        <v>0</v>
      </c>
      <c r="H10" t="n">
        <v>0</v>
      </c>
      <c r="I10" t="n">
        <v>0</v>
      </c>
      <c r="J10" t="n">
        <v>0</v>
      </c>
      <c r="K10" t="n">
        <v>0</v>
      </c>
      <c r="L10" t="n">
        <v>0</v>
      </c>
      <c r="M10" t="inlineStr">
        <is>
          <t>Get help from a God</t>
        </is>
      </c>
      <c r="N10" t="inlineStr">
        <is>
          <t>Gain +1 Large Chest</t>
        </is>
      </c>
      <c r="O10" t="inlineStr">
        <is>
          <t>... All right, let's give it another shot.</t>
        </is>
      </c>
      <c r="P10" t="inlineStr">
        <is>
          <t>N/A</t>
        </is>
      </c>
      <c r="Q10" t="inlineStr">
        <is>
          <t>Zagreus</t>
        </is>
      </c>
    </row>
    <row r="11">
      <c r="A11" t="inlineStr">
        <is>
          <t>Zoe</t>
        </is>
      </c>
      <c r="B11" t="inlineStr">
        <is>
          <t>Haste</t>
        </is>
      </c>
      <c r="C11" t="n">
        <v>8</v>
      </c>
      <c r="D11" t="n">
        <v>3</v>
      </c>
      <c r="E11" t="n">
        <v>0</v>
      </c>
      <c r="F11" t="n">
        <v>1</v>
      </c>
      <c r="G11" t="n">
        <v>1</v>
      </c>
      <c r="H11" t="n">
        <v>0</v>
      </c>
      <c r="I11" t="n">
        <v>0</v>
      </c>
      <c r="J11" t="n">
        <v>0</v>
      </c>
      <c r="K11" t="n">
        <v>0</v>
      </c>
      <c r="L11" t="n">
        <v>0</v>
      </c>
      <c r="M11" t="inlineStr">
        <is>
          <t>Perfect a Game</t>
        </is>
      </c>
      <c r="N11" t="inlineStr">
        <is>
          <t>Gain +1 Dash</t>
        </is>
      </c>
      <c r="O11" t="inlineStr">
        <is>
          <t>Express Delivery: Arrives with haste, before the world ends.</t>
        </is>
      </c>
      <c r="P11" t="inlineStr">
        <is>
          <t>N/A</t>
        </is>
      </c>
      <c r="Q11" t="inlineStr">
        <is>
          <t>Zoe</t>
        </is>
      </c>
    </row>
    <row r="12">
      <c r="A12" t="inlineStr">
        <is>
          <t>Regent</t>
        </is>
      </c>
      <c r="B12" t="inlineStr">
        <is>
          <t>Slay the Spire 2</t>
        </is>
      </c>
      <c r="C12" t="n">
        <v>8</v>
      </c>
      <c r="D12" t="n">
        <v>3</v>
      </c>
      <c r="E12" t="n">
        <v>0</v>
      </c>
      <c r="F12" t="n">
        <v>0</v>
      </c>
      <c r="G12" t="n">
        <v>1</v>
      </c>
      <c r="H12" t="n">
        <v>1</v>
      </c>
      <c r="I12" t="n">
        <v>0</v>
      </c>
      <c r="J12" t="n">
        <v>0</v>
      </c>
      <c r="K12" t="n">
        <v>0</v>
      </c>
      <c r="L12" t="n">
        <v>0</v>
      </c>
      <c r="M12" t="inlineStr">
        <is>
          <t>Make a friend</t>
        </is>
      </c>
      <c r="N12" t="inlineStr">
        <is>
          <t>Gain +1 Small Chest</t>
        </is>
      </c>
      <c r="O12" t="inlineStr">
        <is>
          <t>Heir to the Throne of Stars. Wields cosmic powers but his minions do the work.</t>
        </is>
      </c>
      <c r="P12" t="inlineStr">
        <is>
          <t>N/A</t>
        </is>
      </c>
      <c r="Q12" t="inlineStr">
        <is>
          <t>Regent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51"/>
  <sheetViews>
    <sheetView tabSelected="1" topLeftCell="A4" workbookViewId="0">
      <selection activeCell="D40" sqref="D40"/>
    </sheetView>
  </sheetViews>
  <sheetFormatPr baseColWidth="8" defaultRowHeight="15"/>
  <cols>
    <col width="20.7109375" bestFit="1" customWidth="1" min="1" max="1"/>
    <col width="14.5703125" bestFit="1" customWidth="1" min="2" max="2"/>
    <col width="21.5703125" bestFit="1" customWidth="1" min="3" max="3"/>
    <col width="102.7109375" bestFit="1" customWidth="1" min="4" max="4"/>
    <col width="63.140625" bestFit="1" customWidth="1" min="5" max="5"/>
    <col width="27.85546875" bestFit="1" customWidth="1" min="6" max="6"/>
    <col width="22.5703125" bestFit="1" customWidth="1" min="7" max="7"/>
    <col width="11.5703125" bestFit="1" customWidth="1" min="8" max="8"/>
    <col width="20" bestFit="1" customWidth="1" min="9" max="9"/>
    <col width="12.140625" bestFit="1" customWidth="1" min="10" max="10"/>
    <col width="7.28515625" bestFit="1" customWidth="1" min="11" max="11"/>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pools</t>
        </is>
      </c>
      <c r="I1" t="inlineStr">
        <is>
          <t>File</t>
        </is>
      </c>
      <c r="J1" t="inlineStr">
        <is>
          <t>Sorting</t>
        </is>
      </c>
    </row>
    <row r="2">
      <c r="A2" t="inlineStr">
        <is>
          <t>Alien Baby</t>
        </is>
      </c>
      <c r="B2" t="inlineStr">
        <is>
          <t>Rare</t>
        </is>
      </c>
      <c r="C2" t="inlineStr">
        <is>
          <t>Pickup, Triggered</t>
        </is>
      </c>
      <c r="D2" t="inlineStr">
        <is>
          <t>Gain +6 Max Health, but all enemies gain +1 Health</t>
        </is>
      </c>
      <c r="E2" t="inlineStr">
        <is>
          <t>item_acquired: gain_max_hp 6; passive: +1 enemy_health</t>
        </is>
      </c>
      <c r="F2" t="inlineStr">
        <is>
          <t>Brotato</t>
        </is>
      </c>
      <c r="G2" t="inlineStr">
        <is>
          <t>alien</t>
        </is>
      </c>
      <c r="I2" t="inlineStr">
        <is>
          <t>AlienBaby</t>
        </is>
      </c>
      <c r="J2" t="inlineStr">
        <is>
          <t>Health</t>
        </is>
      </c>
    </row>
    <row r="3">
      <c r="A3" t="inlineStr">
        <is>
          <t>Anchor</t>
        </is>
      </c>
      <c r="B3" t="inlineStr">
        <is>
          <t>Common</t>
        </is>
      </c>
      <c r="C3" t="inlineStr">
        <is>
          <t>Triggered</t>
        </is>
      </c>
      <c r="D3" t="inlineStr">
        <is>
          <t>When a game is selected, Gain +1 Temporary Shield</t>
        </is>
      </c>
      <c r="E3" t="inlineStr">
        <is>
          <t>game_selected: gain_stat shields 1</t>
        </is>
      </c>
      <c r="F3" t="inlineStr">
        <is>
          <t>Slay the Spire</t>
        </is>
      </c>
      <c r="G3" t="inlineStr">
        <is>
          <t>sea, ship</t>
        </is>
      </c>
      <c r="I3" t="inlineStr">
        <is>
          <t>Anchor</t>
        </is>
      </c>
      <c r="J3" t="inlineStr">
        <is>
          <t>Defense</t>
        </is>
      </c>
    </row>
    <row r="4">
      <c r="A4" t="inlineStr">
        <is>
          <t>Ban Hammer</t>
        </is>
      </c>
      <c r="B4" t="inlineStr">
        <is>
          <t>Uncommon</t>
        </is>
      </c>
      <c r="C4" t="inlineStr">
        <is>
          <t>Pickup</t>
        </is>
      </c>
      <c r="D4" t="inlineStr">
        <is>
          <t>Gain +2 Bashes</t>
        </is>
      </c>
      <c r="E4" t="inlineStr">
        <is>
          <t>item_acquired: gain_stat bash 2</t>
        </is>
      </c>
      <c r="F4" t="inlineStr">
        <is>
          <t>Yet Another Zombie Survivors</t>
        </is>
      </c>
      <c r="G4" t="inlineStr">
        <is>
          <t>tool, hammer</t>
        </is>
      </c>
      <c r="I4" t="inlineStr">
        <is>
          <t>BanHammer</t>
        </is>
      </c>
      <c r="J4" t="inlineStr">
        <is>
          <t>Stats</t>
        </is>
      </c>
    </row>
    <row r="5">
      <c r="A5" t="inlineStr">
        <is>
          <t>Barricade</t>
        </is>
      </c>
      <c r="B5" t="inlineStr">
        <is>
          <t>Rare</t>
        </is>
      </c>
      <c r="C5" t="inlineStr">
        <is>
          <t>Triggered</t>
        </is>
      </c>
      <c r="D5" t="inlineStr">
        <is>
          <t>When a game resolves, unspent Temporary Shields become Shields</t>
        </is>
      </c>
      <c r="E5" t="inlineStr">
        <is>
          <t>bank_shields</t>
        </is>
      </c>
      <c r="F5" t="inlineStr">
        <is>
          <t>Slay the Spire</t>
        </is>
      </c>
      <c r="G5" t="inlineStr">
        <is>
          <t>card</t>
        </is>
      </c>
      <c r="I5" t="inlineStr">
        <is>
          <t>Barricade</t>
        </is>
      </c>
      <c r="J5" t="inlineStr">
        <is>
          <t>Stats</t>
        </is>
      </c>
    </row>
    <row r="6">
      <c r="A6" t="inlineStr">
        <is>
          <t>Bionic Face Plating</t>
        </is>
      </c>
      <c r="B6" t="inlineStr">
        <is>
          <t>Uncommon</t>
        </is>
      </c>
      <c r="C6" t="inlineStr">
        <is>
          <t>Passive</t>
        </is>
      </c>
      <c r="D6" t="inlineStr">
        <is>
          <t>Gain +3 Speed, but this is destroyed when taking damage</t>
        </is>
      </c>
      <c r="E6" t="inlineStr">
        <is>
          <t>passive_status: speed 3; destroy_on_damage</t>
        </is>
      </c>
      <c r="F6" t="inlineStr">
        <is>
          <t>Mewgenics</t>
        </is>
      </c>
      <c r="G6" t="inlineStr">
        <is>
          <t>cybernetics</t>
        </is>
      </c>
      <c r="I6" t="inlineStr">
        <is>
          <t>BionicFacePlating</t>
        </is>
      </c>
      <c r="J6" t="inlineStr">
        <is>
          <t>Stats</t>
        </is>
      </c>
    </row>
    <row r="7">
      <c r="A7" t="inlineStr">
        <is>
          <t>Blood Bag</t>
        </is>
      </c>
      <c r="B7" t="inlineStr">
        <is>
          <t>Event</t>
        </is>
      </c>
      <c r="C7" t="inlineStr">
        <is>
          <t>Pickup</t>
        </is>
      </c>
      <c r="D7" t="inlineStr">
        <is>
          <t>Gain +2 Max Health and +8 Health</t>
        </is>
      </c>
      <c r="E7" t="inlineStr">
        <is>
          <t>item_acquired: gain_max_hp 2; gain_hp 8</t>
        </is>
      </c>
      <c r="F7" t="inlineStr">
        <is>
          <t>The Binding of Isaac</t>
        </is>
      </c>
      <c r="G7" t="inlineStr">
        <is>
          <t>blood</t>
        </is>
      </c>
      <c r="I7" t="inlineStr">
        <is>
          <t>BloodBag</t>
        </is>
      </c>
      <c r="J7" t="inlineStr">
        <is>
          <t>Health</t>
        </is>
      </c>
    </row>
    <row r="8">
      <c r="A8" t="inlineStr">
        <is>
          <t>Blood Bombs</t>
        </is>
      </c>
      <c r="B8" t="inlineStr">
        <is>
          <t>Uncommon</t>
        </is>
      </c>
      <c r="C8" t="inlineStr">
        <is>
          <t>Pickup, Triggered</t>
        </is>
      </c>
      <c r="D8" t="inlineStr">
        <is>
          <t>Gain +1 Bomb. When using a Bomb, Gain +1 Health</t>
        </is>
      </c>
      <c r="E8" t="inlineStr">
        <is>
          <t>item_acquired: gain_stat bombs 1; bomb_used: gain_hp 1</t>
        </is>
      </c>
      <c r="F8" t="inlineStr">
        <is>
          <t>The Binding of Isaac: Rebirth</t>
        </is>
      </c>
      <c r="G8" t="inlineStr">
        <is>
          <t>bomb, blood</t>
        </is>
      </c>
      <c r="I8" t="inlineStr">
        <is>
          <t>BloodBombs</t>
        </is>
      </c>
      <c r="J8" t="inlineStr">
        <is>
          <t>Bomb</t>
        </is>
      </c>
    </row>
    <row r="9">
      <c r="A9" t="inlineStr">
        <is>
          <t>Brimstone Bombs</t>
        </is>
      </c>
      <c r="B9" t="inlineStr">
        <is>
          <t>Rare</t>
        </is>
      </c>
      <c r="C9" t="inlineStr">
        <is>
          <t>Pickup, Passive</t>
        </is>
      </c>
      <c r="D9" t="inlineStr">
        <is>
          <t>Gain +1 Bomb. Bombs now damage all rows in the 4 cardinal directions</t>
        </is>
      </c>
      <c r="E9" t="inlineStr">
        <is>
          <t>item_acquired: gain_stat bombs 1; bomb_cardinal</t>
        </is>
      </c>
      <c r="F9" t="inlineStr">
        <is>
          <t>The Binding of Isaac: Rebirth</t>
        </is>
      </c>
      <c r="G9" t="inlineStr">
        <is>
          <t>bomb</t>
        </is>
      </c>
      <c r="H9" t="inlineStr">
        <is>
          <t>devil_room</t>
        </is>
      </c>
      <c r="I9" t="inlineStr">
        <is>
          <t>BrimstoneBombs</t>
        </is>
      </c>
      <c r="J9" t="inlineStr">
        <is>
          <t>Bomb, Grid</t>
        </is>
      </c>
    </row>
    <row r="10">
      <c r="A10" t="inlineStr">
        <is>
          <t>Burning Blood</t>
        </is>
      </c>
      <c r="B10" t="inlineStr">
        <is>
          <t>Starter</t>
        </is>
      </c>
      <c r="C10" t="inlineStr">
        <is>
          <t>Triggered</t>
        </is>
      </c>
      <c r="D10" t="inlineStr">
        <is>
          <t>After beating a game, Gain +1 Health</t>
        </is>
      </c>
      <c r="E10" t="inlineStr">
        <is>
          <t>game_beaten: gain_hp 1</t>
        </is>
      </c>
      <c r="F10" t="inlineStr">
        <is>
          <t>Slay the Spire</t>
        </is>
      </c>
      <c r="I10" t="inlineStr">
        <is>
          <t>BurningBlood</t>
        </is>
      </c>
      <c r="J10" t="inlineStr">
        <is>
          <t>Health</t>
        </is>
      </c>
    </row>
    <row r="11">
      <c r="A11" t="inlineStr">
        <is>
          <t>Calling Bell</t>
        </is>
      </c>
      <c r="B11" t="inlineStr">
        <is>
          <t>Boss</t>
        </is>
      </c>
      <c r="C11" t="inlineStr">
        <is>
          <t>Pickup</t>
        </is>
      </c>
      <c r="D11" t="inlineStr">
        <is>
          <t>Obtain Curse of the Bell and 3 random items — one Common, one Uncommon, one Rare</t>
        </is>
      </c>
      <c r="E11" t="inlineStr">
        <is>
          <t>item_acquired: add_curse curse_of_the_bell, gain_item_per_rarity 3</t>
        </is>
      </c>
      <c r="F11" t="inlineStr">
        <is>
          <t>Slay the Spire</t>
        </is>
      </c>
      <c r="I11" t="inlineStr">
        <is>
          <t>CallingBell</t>
        </is>
      </c>
      <c r="J11" t="inlineStr">
        <is>
          <t>Special</t>
        </is>
      </c>
    </row>
    <row r="12">
      <c r="A12" t="inlineStr">
        <is>
          <t>Charm of the Vampire</t>
        </is>
      </c>
      <c r="B12" t="inlineStr">
        <is>
          <t>Uncommon</t>
        </is>
      </c>
      <c r="C12" t="inlineStr">
        <is>
          <t>Triggered, Incremental</t>
        </is>
      </c>
      <c r="D12" t="inlineStr">
        <is>
          <t>When you defeat 3 enemies, Gain +1 Health</t>
        </is>
      </c>
      <c r="E12" t="inlineStr">
        <is>
          <t>enemy_killed: counter key=enemies_defeated every=3 -&gt; gain_hp 1</t>
        </is>
      </c>
      <c r="F12" t="inlineStr">
        <is>
          <t>The Binding of Isaac</t>
        </is>
      </c>
      <c r="G12" t="inlineStr">
        <is>
          <t>bat, vampire</t>
        </is>
      </c>
      <c r="I12" t="inlineStr">
        <is>
          <t>CharmOfTheVampire</t>
        </is>
      </c>
      <c r="J12" t="inlineStr">
        <is>
          <t>Health</t>
        </is>
      </c>
    </row>
    <row r="13">
      <c r="A13" t="inlineStr">
        <is>
          <t>Clover</t>
        </is>
      </c>
      <c r="B13" t="inlineStr">
        <is>
          <t>Uncommon</t>
        </is>
      </c>
      <c r="C13" t="inlineStr">
        <is>
          <t>Passive</t>
        </is>
      </c>
      <c r="D13" t="inlineStr">
        <is>
          <t>Gain +1 Luck</t>
        </is>
      </c>
      <c r="E13" t="inlineStr">
        <is>
          <t>passive: +1 luck</t>
        </is>
      </c>
      <c r="F13" t="inlineStr">
        <is>
          <t>Vampire Survivors</t>
        </is>
      </c>
      <c r="G13" t="inlineStr">
        <is>
          <t>plant</t>
        </is>
      </c>
      <c r="I13" t="inlineStr">
        <is>
          <t>Clover</t>
        </is>
      </c>
      <c r="J13" t="inlineStr">
        <is>
          <t>Stats</t>
        </is>
      </c>
    </row>
    <row r="14">
      <c r="A14" t="inlineStr">
        <is>
          <t>Crown</t>
        </is>
      </c>
      <c r="B14" t="inlineStr">
        <is>
          <t>Uncommon</t>
        </is>
      </c>
      <c r="C14" t="inlineStr">
        <is>
          <t>Triggered</t>
        </is>
      </c>
      <c r="D14" t="inlineStr">
        <is>
          <t>When Levelling Up, 50% chance to Level Up an additional time</t>
        </is>
      </c>
      <c r="E14" t="inlineStr">
        <is>
          <t>level_up: 50%</t>
        </is>
      </c>
      <c r="F14" t="inlineStr">
        <is>
          <t>Vampire Survivors</t>
        </is>
      </c>
      <c r="G14" t="inlineStr">
        <is>
          <t>wearable, hat, crown</t>
        </is>
      </c>
      <c r="I14" t="inlineStr">
        <is>
          <t>Crown</t>
        </is>
      </c>
      <c r="J14" t="inlineStr">
        <is>
          <t>Economy</t>
        </is>
      </c>
    </row>
    <row r="15">
      <c r="A15" t="inlineStr">
        <is>
          <t>D10</t>
        </is>
      </c>
      <c r="B15" t="inlineStr">
        <is>
          <t>Common</t>
        </is>
      </c>
      <c r="C15" t="inlineStr">
        <is>
          <t>Charged, 2</t>
        </is>
      </c>
      <c r="D15" t="inlineStr">
        <is>
          <t>Reroll all non-boss enemies</t>
        </is>
      </c>
      <c r="E15" t="inlineStr">
        <is>
          <t>item_used: reroll_enemies</t>
        </is>
      </c>
      <c r="F15" t="inlineStr">
        <is>
          <t>The Binding of Isaac: Rebirth</t>
        </is>
      </c>
      <c r="G15" t="inlineStr">
        <is>
          <t>dice</t>
        </is>
      </c>
      <c r="I15" t="inlineStr">
        <is>
          <t>D10</t>
        </is>
      </c>
      <c r="J15" t="inlineStr">
        <is>
          <t>Grid</t>
        </is>
      </c>
    </row>
    <row r="16">
      <c r="A16" t="inlineStr">
        <is>
          <t>D6</t>
        </is>
      </c>
      <c r="B16" t="inlineStr">
        <is>
          <t>Uncommon</t>
        </is>
      </c>
      <c r="C16" t="inlineStr">
        <is>
          <t>Charged, 2</t>
        </is>
      </c>
      <c r="D16" t="inlineStr">
        <is>
          <t>Gain +1 Scramble</t>
        </is>
      </c>
      <c r="E16" t="inlineStr">
        <is>
          <t>item_used: gain_stat scramble 1</t>
        </is>
      </c>
      <c r="F16" t="inlineStr">
        <is>
          <t>The Binding of Isaac</t>
        </is>
      </c>
      <c r="G16" t="inlineStr">
        <is>
          <t>dice</t>
        </is>
      </c>
      <c r="I16" t="inlineStr">
        <is>
          <t>D6</t>
        </is>
      </c>
      <c r="J16" t="inlineStr">
        <is>
          <t>Stats</t>
        </is>
      </c>
    </row>
    <row r="17">
      <c r="A17" t="inlineStr">
        <is>
          <t>Fortune Necklace</t>
        </is>
      </c>
      <c r="B17" t="inlineStr">
        <is>
          <t>Common</t>
        </is>
      </c>
      <c r="C17" t="inlineStr">
        <is>
          <t>Triggered</t>
        </is>
      </c>
      <c r="D17" t="inlineStr">
        <is>
          <t>When selecting a game, Gain +1 Gold, but this is destroyed when taking damage</t>
        </is>
      </c>
      <c r="E17" t="inlineStr">
        <is>
          <t>game_selected: gain_gold 1; destroy_on_damage</t>
        </is>
      </c>
      <c r="F17" t="inlineStr">
        <is>
          <t>Mewgenics</t>
        </is>
      </c>
      <c r="G17" t="inlineStr">
        <is>
          <t>wearable, necklace</t>
        </is>
      </c>
      <c r="I17" t="inlineStr">
        <is>
          <t>FortuneNecklace</t>
        </is>
      </c>
      <c r="J17" t="inlineStr">
        <is>
          <t>Economy</t>
        </is>
      </c>
    </row>
    <row r="18">
      <c r="A18" t="inlineStr">
        <is>
          <t>Golden Idol</t>
        </is>
      </c>
      <c r="B18" t="inlineStr">
        <is>
          <t>Event</t>
        </is>
      </c>
      <c r="C18" t="inlineStr">
        <is>
          <t>Passive</t>
        </is>
      </c>
      <c r="D18" t="inlineStr">
        <is>
          <t>All enemies drop +1 Gold</t>
        </is>
      </c>
      <c r="E18" t="inlineStr">
        <is>
          <t>gold_per_enemy: 1</t>
        </is>
      </c>
      <c r="F18" t="inlineStr">
        <is>
          <t>Slay the Spire</t>
        </is>
      </c>
      <c r="G18" t="inlineStr">
        <is>
          <t>gold</t>
        </is>
      </c>
      <c r="I18" t="inlineStr">
        <is>
          <t>GoldenIdol</t>
        </is>
      </c>
      <c r="J18" t="inlineStr">
        <is>
          <t>Economy</t>
        </is>
      </c>
    </row>
    <row r="19">
      <c r="A19" t="inlineStr">
        <is>
          <t>Hollow Heart</t>
        </is>
      </c>
      <c r="B19" t="inlineStr">
        <is>
          <t>Common</t>
        </is>
      </c>
      <c r="C19" t="inlineStr">
        <is>
          <t>Pickup</t>
        </is>
      </c>
      <c r="D19" t="inlineStr">
        <is>
          <t>Gain +4 empty Max Health</t>
        </is>
      </c>
      <c r="E19" t="inlineStr">
        <is>
          <t>item_acquired: gain_empty_max_hp 4</t>
        </is>
      </c>
      <c r="F19" t="inlineStr">
        <is>
          <t>Vampire Survivors</t>
        </is>
      </c>
      <c r="G19" t="inlineStr">
        <is>
          <t>heart</t>
        </is>
      </c>
      <c r="I19" t="inlineStr">
        <is>
          <t>HollowHeart</t>
        </is>
      </c>
      <c r="J19" t="inlineStr">
        <is>
          <t>Health</t>
        </is>
      </c>
    </row>
    <row r="20">
      <c r="A20" t="inlineStr">
        <is>
          <t>IV Bag</t>
        </is>
      </c>
      <c r="B20" t="inlineStr">
        <is>
          <t>Event</t>
        </is>
      </c>
      <c r="C20" t="inlineStr">
        <is>
          <t>Usable, 0</t>
        </is>
      </c>
      <c r="D20" t="inlineStr">
        <is>
          <t>Lose 1 Health and Gain +1 Gold</t>
        </is>
      </c>
      <c r="E20" t="inlineStr">
        <is>
          <t>item_used: lose_hp 1; gain_gold 1</t>
        </is>
      </c>
      <c r="F20" t="inlineStr">
        <is>
          <t>The Binding of Isaac</t>
        </is>
      </c>
      <c r="G20" t="inlineStr">
        <is>
          <t>blood</t>
        </is>
      </c>
      <c r="I20" t="inlineStr">
        <is>
          <t>IvBag</t>
        </is>
      </c>
      <c r="J20" t="inlineStr">
        <is>
          <t>Economy</t>
        </is>
      </c>
    </row>
    <row r="21">
      <c r="A21" t="inlineStr">
        <is>
          <t>Lord's Parasol</t>
        </is>
      </c>
      <c r="B21" t="inlineStr">
        <is>
          <t>Boss</t>
        </is>
      </c>
      <c r="C21" t="inlineStr">
        <is>
          <t>Passive</t>
        </is>
      </c>
      <c r="D21" t="inlineStr">
        <is>
          <t>When encountering a shop, purchase everything in it</t>
        </is>
      </c>
      <c r="E21" t="inlineStr">
        <is>
          <t>shop_sweep</t>
        </is>
      </c>
      <c r="F21" t="inlineStr">
        <is>
          <t>Slay the Spire 2</t>
        </is>
      </c>
      <c r="G21" t="inlineStr">
        <is>
          <t>umbrella</t>
        </is>
      </c>
      <c r="I21" t="inlineStr">
        <is>
          <t>LordsParasol</t>
        </is>
      </c>
      <c r="J21" t="inlineStr">
        <is>
          <t>Special</t>
        </is>
      </c>
    </row>
    <row r="22">
      <c r="A22" t="inlineStr">
        <is>
          <t>Lucky Hat</t>
        </is>
      </c>
      <c r="B22" t="inlineStr">
        <is>
          <t>Common</t>
        </is>
      </c>
      <c r="C22" t="inlineStr">
        <is>
          <t>Passive</t>
        </is>
      </c>
      <c r="D22" t="inlineStr">
        <is>
          <t>Gain +1 Luck, but this is destroyed when taking damage</t>
        </is>
      </c>
      <c r="E22" t="inlineStr">
        <is>
          <t>passive: +1 luck; destroy_on_damage</t>
        </is>
      </c>
      <c r="F22" t="inlineStr">
        <is>
          <t>Mewgenics</t>
        </is>
      </c>
      <c r="G22" t="inlineStr">
        <is>
          <t>wearable, hat</t>
        </is>
      </c>
      <c r="I22" t="inlineStr">
        <is>
          <t>LuckyHat</t>
        </is>
      </c>
      <c r="J22" t="inlineStr">
        <is>
          <t>Stats</t>
        </is>
      </c>
    </row>
    <row r="23">
      <c r="A23" t="inlineStr">
        <is>
          <t>Lunch</t>
        </is>
      </c>
      <c r="B23" t="inlineStr">
        <is>
          <t>Common</t>
        </is>
      </c>
      <c r="C23" t="inlineStr">
        <is>
          <t>Pickup</t>
        </is>
      </c>
      <c r="D23" t="inlineStr">
        <is>
          <t>Gain +2 Max Health</t>
        </is>
      </c>
      <c r="E23" t="inlineStr">
        <is>
          <t>item_acquired: gain_max_hp 2</t>
        </is>
      </c>
      <c r="F23" t="inlineStr">
        <is>
          <t>The Binding of Isaac</t>
        </is>
      </c>
      <c r="G23" t="inlineStr">
        <is>
          <t>food</t>
        </is>
      </c>
      <c r="I23" t="inlineStr">
        <is>
          <t>Lunch</t>
        </is>
      </c>
      <c r="J23" t="inlineStr">
        <is>
          <t>Health</t>
        </is>
      </c>
    </row>
    <row r="24">
      <c r="A24" t="inlineStr">
        <is>
          <t>Mango</t>
        </is>
      </c>
      <c r="B24" t="inlineStr">
        <is>
          <t>Rare</t>
        </is>
      </c>
      <c r="C24" t="inlineStr">
        <is>
          <t>Pickup</t>
        </is>
      </c>
      <c r="D24" t="inlineStr">
        <is>
          <t>Gain +4 Max Health</t>
        </is>
      </c>
      <c r="E24" t="inlineStr">
        <is>
          <t>item_acquired: gain_max_hp 4</t>
        </is>
      </c>
      <c r="F24" t="inlineStr">
        <is>
          <t>Slay the Spire</t>
        </is>
      </c>
      <c r="G24" t="inlineStr">
        <is>
          <t>food, fruit</t>
        </is>
      </c>
      <c r="I24" t="inlineStr">
        <is>
          <t>Mango</t>
        </is>
      </c>
      <c r="J24" t="inlineStr">
        <is>
          <t>Health</t>
        </is>
      </c>
    </row>
    <row r="25">
      <c r="A25" t="inlineStr">
        <is>
          <t>Meat on the Bone</t>
        </is>
      </c>
      <c r="B25" t="inlineStr">
        <is>
          <t>Uncommon</t>
        </is>
      </c>
      <c r="C25" t="inlineStr">
        <is>
          <t>Triggered</t>
        </is>
      </c>
      <c r="D25" t="inlineStr">
        <is>
          <t>When your Health is at 50% or below Max Health after beating a game, gain +2 Health</t>
        </is>
      </c>
      <c r="E25" t="inlineStr">
        <is>
          <t>game_beaten: if_hp below 0.5 -&gt; gain_hp 2</t>
        </is>
      </c>
      <c r="F25" t="inlineStr">
        <is>
          <t>Slay the Spire</t>
        </is>
      </c>
      <c r="G25" t="inlineStr">
        <is>
          <t>food, meat</t>
        </is>
      </c>
      <c r="I25" t="inlineStr">
        <is>
          <t>MeatOnTheBone</t>
        </is>
      </c>
      <c r="J25" t="inlineStr">
        <is>
          <t>Health</t>
        </is>
      </c>
    </row>
    <row r="26">
      <c r="A26" t="inlineStr">
        <is>
          <t>Mine-r Construction</t>
        </is>
      </c>
      <c r="B26" t="inlineStr">
        <is>
          <t>Uncommon</t>
        </is>
      </c>
      <c r="C26" t="inlineStr">
        <is>
          <t>Passive</t>
        </is>
      </c>
      <c r="D26" t="inlineStr">
        <is>
          <t xml:space="preserve">Increase the Grid length and width by 1 </t>
        </is>
      </c>
      <c r="E26" t="inlineStr">
        <is>
          <t>grid_grow</t>
        </is>
      </c>
      <c r="F26" t="inlineStr">
        <is>
          <t>BroomSweeper</t>
        </is>
      </c>
      <c r="G26" t="inlineStr">
        <is>
          <t>tool</t>
        </is>
      </c>
      <c r="I26" t="inlineStr">
        <is>
          <t>MinerConstruction</t>
        </is>
      </c>
      <c r="J26" t="inlineStr">
        <is>
          <t>Grid</t>
        </is>
      </c>
    </row>
    <row r="27">
      <c r="A27" t="inlineStr">
        <is>
          <t>Oddly Smooth Stone</t>
        </is>
      </c>
      <c r="B27" t="inlineStr">
        <is>
          <t>Common</t>
        </is>
      </c>
      <c r="C27" t="inlineStr">
        <is>
          <t>Status</t>
        </is>
      </c>
      <c r="D27" t="inlineStr">
        <is>
          <t>Gain +1 Dexterity</t>
        </is>
      </c>
      <c r="E27" t="inlineStr">
        <is>
          <t>item_acquired: apply_status dexterity 1</t>
        </is>
      </c>
      <c r="F27" t="inlineStr">
        <is>
          <t>Slay the Spire</t>
        </is>
      </c>
      <c r="G27" t="inlineStr">
        <is>
          <t>stone</t>
        </is>
      </c>
      <c r="I27" t="inlineStr">
        <is>
          <t>OddlySmoothStone</t>
        </is>
      </c>
      <c r="J27" t="inlineStr">
        <is>
          <t>Stats</t>
        </is>
      </c>
    </row>
    <row r="28">
      <c r="A28" t="inlineStr">
        <is>
          <t>Philosophers Stone</t>
        </is>
      </c>
      <c r="B28" t="inlineStr">
        <is>
          <t>Boss</t>
        </is>
      </c>
      <c r="C28" t="inlineStr">
        <is>
          <t>Passive</t>
        </is>
      </c>
      <c r="D28" t="inlineStr">
        <is>
          <t>Increase the Grid length by 1, but give all spawned enemies +1 Strength</t>
        </is>
      </c>
      <c r="E28" t="inlineStr">
        <is>
          <t>grid_length; spawn_status strength 1</t>
        </is>
      </c>
      <c r="F28" t="inlineStr">
        <is>
          <t>Slay the Spire</t>
        </is>
      </c>
      <c r="G28" t="inlineStr">
        <is>
          <t>stone</t>
        </is>
      </c>
      <c r="I28" t="inlineStr">
        <is>
          <t>PhilosophersStone</t>
        </is>
      </c>
      <c r="J28" t="inlineStr">
        <is>
          <t>Grid</t>
        </is>
      </c>
    </row>
    <row r="29">
      <c r="A29" t="inlineStr">
        <is>
          <t>Piggy Bank</t>
        </is>
      </c>
      <c r="B29" t="inlineStr">
        <is>
          <t>Uncommon</t>
        </is>
      </c>
      <c r="C29" t="inlineStr">
        <is>
          <t>Passive</t>
        </is>
      </c>
      <c r="D29" t="inlineStr">
        <is>
          <t>Whenever you lose Health, Gain +1 Gold</t>
        </is>
      </c>
      <c r="E29" t="inlineStr">
        <is>
          <t>health_lost: gain_gold 1</t>
        </is>
      </c>
      <c r="F29" t="inlineStr">
        <is>
          <t>The Binding of Isaac: Rebirth</t>
        </is>
      </c>
      <c r="G29" t="inlineStr">
        <is>
          <t>pig, bank</t>
        </is>
      </c>
      <c r="H29" t="inlineStr">
        <is>
          <t>shop</t>
        </is>
      </c>
      <c r="I29" t="inlineStr">
        <is>
          <t>PiggyBank</t>
        </is>
      </c>
      <c r="J29" t="inlineStr">
        <is>
          <t>Economy</t>
        </is>
      </c>
    </row>
    <row r="30">
      <c r="A30" t="inlineStr">
        <is>
          <t>Pummarola</t>
        </is>
      </c>
      <c r="B30" t="inlineStr">
        <is>
          <t>Uncommon</t>
        </is>
      </c>
      <c r="C30" t="inlineStr">
        <is>
          <t>Triggered</t>
        </is>
      </c>
      <c r="D30" t="inlineStr">
        <is>
          <t>After beating a game, Gain +1 Health</t>
        </is>
      </c>
      <c r="E30" t="inlineStr">
        <is>
          <t>game_beaten: gain_hp 1</t>
        </is>
      </c>
      <c r="F30" t="inlineStr">
        <is>
          <t>Vampire Survivors</t>
        </is>
      </c>
      <c r="G30" t="inlineStr">
        <is>
          <t>heart</t>
        </is>
      </c>
      <c r="I30" t="inlineStr">
        <is>
          <t>Pummarola</t>
        </is>
      </c>
      <c r="J30" t="inlineStr">
        <is>
          <t>Health</t>
        </is>
      </c>
    </row>
    <row r="31">
      <c r="A31" t="inlineStr">
        <is>
          <t>Ride the Bus</t>
        </is>
      </c>
      <c r="B31" t="inlineStr">
        <is>
          <t>Uncommon</t>
        </is>
      </c>
      <c r="C31" t="inlineStr">
        <is>
          <t>Usable, 1</t>
        </is>
      </c>
      <c r="D31" t="inlineStr">
        <is>
          <t>Teleport to a random Deckbuilder Game</t>
        </is>
      </c>
      <c r="E31" t="inlineStr">
        <is>
          <t>item_used: teleport_type deckbuilder</t>
        </is>
      </c>
      <c r="F31" t="inlineStr">
        <is>
          <t>Balatro</t>
        </is>
      </c>
      <c r="G31" t="inlineStr">
        <is>
          <t>card</t>
        </is>
      </c>
      <c r="I31" t="inlineStr">
        <is>
          <t>RideTheBus</t>
        </is>
      </c>
      <c r="J31" t="inlineStr">
        <is>
          <t>Movement</t>
        </is>
      </c>
    </row>
    <row r="32">
      <c r="A32" t="inlineStr">
        <is>
          <t>Runic Dome</t>
        </is>
      </c>
      <c r="B32" t="inlineStr">
        <is>
          <t>Boss</t>
        </is>
      </c>
      <c r="C32" t="inlineStr">
        <is>
          <t>Passive</t>
        </is>
      </c>
      <c r="D32" t="inlineStr">
        <is>
          <t>Increase the Grid length by 1, but you can no longer see enemies that will spawn</t>
        </is>
      </c>
      <c r="E32" t="inlineStr">
        <is>
          <t>grid_length; hide_spawns</t>
        </is>
      </c>
      <c r="F32" t="inlineStr">
        <is>
          <t>Slay the Spire</t>
        </is>
      </c>
      <c r="I32" t="inlineStr">
        <is>
          <t>RunicDome</t>
        </is>
      </c>
      <c r="J32" t="inlineStr">
        <is>
          <t>Grid</t>
        </is>
      </c>
    </row>
    <row r="33">
      <c r="A33" t="inlineStr">
        <is>
          <t>Sacred Bark</t>
        </is>
      </c>
      <c r="B33" t="inlineStr">
        <is>
          <t>Boss</t>
        </is>
      </c>
      <c r="C33" t="inlineStr">
        <is>
          <t>Passive</t>
        </is>
      </c>
      <c r="D33" t="inlineStr">
        <is>
          <t>Double the effect of all Loot consumables (Scrolls, Potions, etc)</t>
        </is>
      </c>
      <c r="E33" t="inlineStr">
        <is>
          <t>loot_multiplier: 2</t>
        </is>
      </c>
      <c r="F33" t="inlineStr">
        <is>
          <t>Slay the Spire</t>
        </is>
      </c>
      <c r="G33" t="inlineStr">
        <is>
          <t>wood</t>
        </is>
      </c>
      <c r="I33" t="inlineStr">
        <is>
          <t>SacredBark</t>
        </is>
      </c>
      <c r="J33" t="inlineStr">
        <is>
          <t>Special</t>
        </is>
      </c>
    </row>
    <row r="34">
      <c r="A34" t="inlineStr">
        <is>
          <t>Snowball</t>
        </is>
      </c>
      <c r="B34" t="inlineStr">
        <is>
          <t>Uncommon</t>
        </is>
      </c>
      <c r="C34" t="inlineStr">
        <is>
          <t>Triggered</t>
        </is>
      </c>
      <c r="D34" t="inlineStr">
        <is>
          <t>When you would Gain +1 Transmute, Gain +1 Transmute</t>
        </is>
      </c>
      <c r="E34" t="inlineStr">
        <is>
          <t>stat_gain_bonus: {transmute: 1}</t>
        </is>
      </c>
      <c r="F34" t="inlineStr">
        <is>
          <t>Brotato</t>
        </is>
      </c>
      <c r="G34" t="inlineStr">
        <is>
          <t>snow</t>
        </is>
      </c>
      <c r="I34" t="inlineStr">
        <is>
          <t>Snowball</t>
        </is>
      </c>
      <c r="J34" t="inlineStr">
        <is>
          <t>Stats</t>
        </is>
      </c>
    </row>
    <row r="35">
      <c r="A35" t="inlineStr">
        <is>
          <t>Sticky Bombs</t>
        </is>
      </c>
      <c r="B35" t="inlineStr">
        <is>
          <t>Uncommon</t>
        </is>
      </c>
      <c r="C35" t="inlineStr">
        <is>
          <t>Pickup, Triggered</t>
        </is>
      </c>
      <c r="D35" t="inlineStr">
        <is>
          <t>Gain +1 Bomb. When using a Bomb, Stun enemies on hit</t>
        </is>
      </c>
      <c r="E35" t="inlineStr">
        <is>
          <t>item_acquired: gain_stat bombs 1; bomb_stun</t>
        </is>
      </c>
      <c r="F35" t="inlineStr">
        <is>
          <t>The Binding of Isaac: Rebirth</t>
        </is>
      </c>
      <c r="G35" t="inlineStr">
        <is>
          <t>bomb, spider</t>
        </is>
      </c>
      <c r="I35" t="inlineStr">
        <is>
          <t>StickyBombs</t>
        </is>
      </c>
      <c r="J35" t="inlineStr">
        <is>
          <t>Bomb</t>
        </is>
      </c>
    </row>
    <row r="36">
      <c r="A36" t="inlineStr">
        <is>
          <t>Stigmata</t>
        </is>
      </c>
      <c r="B36" t="inlineStr">
        <is>
          <t>Uncommon</t>
        </is>
      </c>
      <c r="C36" t="inlineStr">
        <is>
          <t>Pickup</t>
        </is>
      </c>
      <c r="D36" t="inlineStr">
        <is>
          <t>Gain +2 Max Health, Gain +2 Health, and +1 Bash</t>
        </is>
      </c>
      <c r="E36" t="inlineStr">
        <is>
          <t>item_acquired: gain_max_hp 2; gain_hp 2; gain_stat bash 1</t>
        </is>
      </c>
      <c r="F36" t="inlineStr">
        <is>
          <t>The Binding of Isaac</t>
        </is>
      </c>
      <c r="G36" t="inlineStr">
        <is>
          <t>wood</t>
        </is>
      </c>
      <c r="H36" t="inlineStr">
        <is>
          <t>angel_room</t>
        </is>
      </c>
      <c r="I36" t="inlineStr">
        <is>
          <t>Stigmata</t>
        </is>
      </c>
      <c r="J36" t="inlineStr">
        <is>
          <t>Health, Stats</t>
        </is>
      </c>
    </row>
    <row r="37">
      <c r="A37" t="inlineStr">
        <is>
          <t>The Mark</t>
        </is>
      </c>
      <c r="B37" t="inlineStr">
        <is>
          <t>Uncommon</t>
        </is>
      </c>
      <c r="C37" t="inlineStr">
        <is>
          <t>Pickup, Passive</t>
        </is>
      </c>
      <c r="D37" t="inlineStr">
        <is>
          <t>Gain +1 Bash and +1 Speed</t>
        </is>
      </c>
      <c r="E37" t="inlineStr">
        <is>
          <t>item_acquired: gain_stat bash 1; apply_status speed 1</t>
        </is>
      </c>
      <c r="F37" t="inlineStr">
        <is>
          <t>The Binding of Isaac</t>
        </is>
      </c>
      <c r="G37" t="inlineStr">
        <is>
          <t>devilish</t>
        </is>
      </c>
      <c r="H37" t="inlineStr">
        <is>
          <t>devil_room</t>
        </is>
      </c>
      <c r="I37" t="inlineStr">
        <is>
          <t>TheMark</t>
        </is>
      </c>
      <c r="J37" t="inlineStr">
        <is>
          <t>Stats</t>
        </is>
      </c>
    </row>
    <row r="38">
      <c r="A38" t="inlineStr">
        <is>
          <t>There's Options</t>
        </is>
      </c>
      <c r="B38" t="inlineStr">
        <is>
          <t>Uncommon</t>
        </is>
      </c>
      <c r="C38" t="inlineStr">
        <is>
          <t>Passive</t>
        </is>
      </c>
      <c r="D38" t="inlineStr">
        <is>
          <t>Increase the chest size dropped from bosses by 1</t>
        </is>
      </c>
      <c r="E38" t="inlineStr">
        <is>
          <t>boss_chest_bonus: 1</t>
        </is>
      </c>
      <c r="F38" t="inlineStr">
        <is>
          <t>The Binding of Isaac: Rebirth</t>
        </is>
      </c>
      <c r="H38" t="inlineStr">
        <is>
          <t>shop</t>
        </is>
      </c>
      <c r="I38" t="inlineStr">
        <is>
          <t>TheresOptions</t>
        </is>
      </c>
      <c r="J38" t="inlineStr">
        <is>
          <t>Stats</t>
        </is>
      </c>
    </row>
    <row r="39">
      <c r="A39" t="inlineStr">
        <is>
          <t>Unstable Genome</t>
        </is>
      </c>
      <c r="B39" t="inlineStr">
        <is>
          <t>Uncommon</t>
        </is>
      </c>
      <c r="C39" t="inlineStr">
        <is>
          <t>Triggered</t>
        </is>
      </c>
      <c r="D39" t="inlineStr">
        <is>
          <t>When you beat a game, there's a 33% chance for this item to be destroyed and you may gain 1 of 3 random items</t>
        </is>
      </c>
      <c r="E39" t="inlineStr">
        <is>
          <t>game_beaten: 33% chance random_item_choice 3 destroy_self</t>
        </is>
      </c>
      <c r="F39" t="inlineStr">
        <is>
          <t>Caves of Qud</t>
        </is>
      </c>
      <c r="G39" t="inlineStr">
        <is>
          <t>mutation</t>
        </is>
      </c>
      <c r="I39" t="inlineStr">
        <is>
          <t>UnstableGenome</t>
        </is>
      </c>
      <c r="J39" t="inlineStr">
        <is>
          <t>Economy</t>
        </is>
      </c>
    </row>
    <row r="40">
      <c r="A40" t="inlineStr">
        <is>
          <t>Vajra</t>
        </is>
      </c>
      <c r="B40" t="inlineStr">
        <is>
          <t>Common</t>
        </is>
      </c>
      <c r="C40" t="inlineStr">
        <is>
          <t>Status</t>
        </is>
      </c>
      <c r="D40" t="inlineStr">
        <is>
          <t>Gain +1 Strength</t>
        </is>
      </c>
      <c r="E40" t="inlineStr">
        <is>
          <t>item_acquired: apply_status strength 1</t>
        </is>
      </c>
      <c r="F40" t="inlineStr">
        <is>
          <t>Slay the Spire</t>
        </is>
      </c>
      <c r="I40" t="inlineStr">
        <is>
          <t>Vajra</t>
        </is>
      </c>
      <c r="J40" t="inlineStr">
        <is>
          <t>Stats</t>
        </is>
      </c>
    </row>
    <row r="41">
      <c r="A41" t="inlineStr">
        <is>
          <t>Wand of Wishing</t>
        </is>
      </c>
      <c r="B41" t="inlineStr">
        <is>
          <t>Legendary</t>
        </is>
      </c>
      <c r="C41" t="inlineStr">
        <is>
          <t>Usable, 1</t>
        </is>
      </c>
      <c r="D41" t="inlineStr">
        <is>
          <t>Obtain any one item in the game</t>
        </is>
      </c>
      <c r="E41" t="inlineStr">
        <is>
          <t>item_used: obtain_item any</t>
        </is>
      </c>
      <c r="F41" t="inlineStr">
        <is>
          <t>NetHack</t>
        </is>
      </c>
      <c r="G41" t="inlineStr">
        <is>
          <t>wand</t>
        </is>
      </c>
      <c r="I41" t="inlineStr">
        <is>
          <t>WandOfWishing</t>
        </is>
      </c>
      <c r="J41" t="inlineStr">
        <is>
          <t>Economy</t>
        </is>
      </c>
    </row>
    <row r="42">
      <c r="A42" t="inlineStr">
        <is>
          <t>Wooden Nickel</t>
        </is>
      </c>
      <c r="B42" t="inlineStr">
        <is>
          <t>Common</t>
        </is>
      </c>
      <c r="C42" t="inlineStr">
        <is>
          <t>Charged, 1</t>
        </is>
      </c>
      <c r="D42" t="inlineStr">
        <is>
          <t>50% chance to Gain +1 Gold</t>
        </is>
      </c>
      <c r="E42" t="inlineStr">
        <is>
          <t>item_used: 50% chance gain_gold 1</t>
        </is>
      </c>
      <c r="F42" t="inlineStr">
        <is>
          <t>The Binding of Isaac: Rebirth</t>
        </is>
      </c>
      <c r="G42" t="inlineStr">
        <is>
          <t>wood, coin</t>
        </is>
      </c>
      <c r="I42" t="inlineStr">
        <is>
          <t>WoodenNickel</t>
        </is>
      </c>
      <c r="J42" t="inlineStr">
        <is>
          <t>Economy</t>
        </is>
      </c>
    </row>
    <row r="43">
      <c r="A43" t="inlineStr">
        <is>
          <t>Staff of Flame</t>
        </is>
      </c>
      <c r="B43" t="inlineStr">
        <is>
          <t>Rare</t>
        </is>
      </c>
      <c r="C43" t="inlineStr">
        <is>
          <t>Charged, 2</t>
        </is>
      </c>
      <c r="D43" t="inlineStr">
        <is>
          <t>Apply +3 Burn to a target enemy</t>
        </is>
      </c>
      <c r="E43" t="inlineStr">
        <is>
          <t>item_used: apply_status burn 3 target=enemy</t>
        </is>
      </c>
      <c r="F43" t="inlineStr">
        <is>
          <t>Mewgenics</t>
        </is>
      </c>
      <c r="G43" t="inlineStr">
        <is>
          <t>magic, fire</t>
        </is>
      </c>
      <c r="I43" t="inlineStr">
        <is>
          <t>StaffOfFlame</t>
        </is>
      </c>
      <c r="J43" t="inlineStr">
        <is>
          <t>Grid</t>
        </is>
      </c>
    </row>
    <row r="44">
      <c r="A44" t="inlineStr">
        <is>
          <t>Red Candle</t>
        </is>
      </c>
      <c r="B44" t="inlineStr">
        <is>
          <t>Common</t>
        </is>
      </c>
      <c r="C44" t="inlineStr">
        <is>
          <t>Charged, 1</t>
        </is>
      </c>
      <c r="D44" t="inlineStr">
        <is>
          <t>Apply the Fire Tile to any tile within the columns 2 and 3</t>
        </is>
      </c>
      <c r="E44" t="inlineStr">
        <is>
          <t>item_used: apply_tile fire target=tile cols=2-3</t>
        </is>
      </c>
      <c r="F44" t="inlineStr">
        <is>
          <t>The Binding of Isaac: Rebirth</t>
        </is>
      </c>
      <c r="G44" t="inlineStr">
        <is>
          <t>fire</t>
        </is>
      </c>
      <c r="H44" t="inlineStr">
        <is>
          <t>shop</t>
        </is>
      </c>
      <c r="I44" t="inlineStr">
        <is>
          <t>RedCandle</t>
        </is>
      </c>
      <c r="J44" t="inlineStr">
        <is>
          <t>Grid</t>
        </is>
      </c>
    </row>
    <row r="45">
      <c r="A45" t="inlineStr">
        <is>
          <t>Hot Bombs</t>
        </is>
      </c>
      <c r="B45" t="inlineStr">
        <is>
          <t>Uncommon</t>
        </is>
      </c>
      <c r="C45" t="inlineStr">
        <is>
          <t>Passive</t>
        </is>
      </c>
      <c r="D45" t="inlineStr">
        <is>
          <t>Gain +1 Bomb. Bombs Apply the Fire Tile</t>
        </is>
      </c>
      <c r="E45" t="inlineStr">
        <is>
          <t>item_acquired: gain_stat bombs 1; bomb_tile fire</t>
        </is>
      </c>
      <c r="F45" t="inlineStr">
        <is>
          <t>The Binding of Isaac: Rebirth</t>
        </is>
      </c>
      <c r="G45" t="inlineStr">
        <is>
          <t>bomb, fire</t>
        </is>
      </c>
      <c r="I45" t="inlineStr">
        <is>
          <t>HotBombs</t>
        </is>
      </c>
      <c r="J45" t="inlineStr">
        <is>
          <t>Bomb, Grid</t>
        </is>
      </c>
    </row>
    <row r="46">
      <c r="A46" t="inlineStr">
        <is>
          <t>Landmines</t>
        </is>
      </c>
      <c r="B46" t="inlineStr">
        <is>
          <t>Uncommon</t>
        </is>
      </c>
      <c r="C46" t="inlineStr">
        <is>
          <t>Passive</t>
        </is>
      </c>
      <c r="D46" t="inlineStr">
        <is>
          <t>After Combat ends, Apply the Landmine Unit to a random empty Tile</t>
        </is>
      </c>
      <c r="E46" t="inlineStr">
        <is>
          <t>game_beaten: apply_unit landmine target=random_empty</t>
        </is>
      </c>
      <c r="F46" t="inlineStr">
        <is>
          <t>Brotato</t>
        </is>
      </c>
      <c r="G46" t="inlineStr">
        <is>
          <t>bomb</t>
        </is>
      </c>
      <c r="I46" t="inlineStr">
        <is>
          <t>Landmines</t>
        </is>
      </c>
      <c r="J46" t="inlineStr">
        <is>
          <t>Grid</t>
        </is>
      </c>
    </row>
    <row r="47">
      <c r="A47" t="inlineStr">
        <is>
          <t>Mom's Coin Purse</t>
        </is>
      </c>
      <c r="B47" t="inlineStr">
        <is>
          <t>Common</t>
        </is>
      </c>
      <c r="C47" t="inlineStr">
        <is>
          <t>Pickup</t>
        </is>
      </c>
      <c r="D47" t="inlineStr">
        <is>
          <t>Gain +4 Pills</t>
        </is>
      </c>
      <c r="E47" t="inlineStr">
        <is>
          <t>item_acquired: gain_pill 4</t>
        </is>
      </c>
      <c r="F47" t="inlineStr">
        <is>
          <t>The Binding of Isaac</t>
        </is>
      </c>
      <c r="G47" t="inlineStr">
        <is>
          <t>mom, purse, drugs, pills</t>
        </is>
      </c>
      <c r="I47" t="inlineStr">
        <is>
          <t>MomsCoinPurse</t>
        </is>
      </c>
      <c r="J47" t="inlineStr">
        <is>
          <t>Loot</t>
        </is>
      </c>
    </row>
    <row r="48">
      <c r="A48" t="inlineStr">
        <is>
          <t>Mom's Bottle of Pills</t>
        </is>
      </c>
      <c r="B48" t="inlineStr">
        <is>
          <t>Common</t>
        </is>
      </c>
      <c r="C48" t="inlineStr">
        <is>
          <t>Charged, 2</t>
        </is>
      </c>
      <c r="D48" t="inlineStr">
        <is>
          <t>Gain +1 Pill</t>
        </is>
      </c>
      <c r="E48" t="inlineStr">
        <is>
          <t>item_used: gain_pill 1</t>
        </is>
      </c>
      <c r="F48" t="inlineStr">
        <is>
          <t>The Binding of Isaac</t>
        </is>
      </c>
      <c r="G48" t="inlineStr">
        <is>
          <t>mom, drugs, pills</t>
        </is>
      </c>
      <c r="I48" t="inlineStr">
        <is>
          <t>MomsBottleOfPills</t>
        </is>
      </c>
      <c r="J48" t="inlineStr">
        <is>
          <t>Loot</t>
        </is>
      </c>
    </row>
    <row r="49">
      <c r="A49" t="inlineStr">
        <is>
          <t>Caffeine Pill</t>
        </is>
      </c>
      <c r="B49" t="inlineStr">
        <is>
          <t>Common</t>
        </is>
      </c>
      <c r="C49" t="inlineStr">
        <is>
          <t>Passive, Pickup</t>
        </is>
      </c>
      <c r="D49" t="inlineStr">
        <is>
          <t>Gain +1 Speed and +1 Pill</t>
        </is>
      </c>
      <c r="E49" t="inlineStr">
        <is>
          <t>passive_status: speed 1; item_acquired: gain_pill 1</t>
        </is>
      </c>
      <c r="F49" t="inlineStr">
        <is>
          <t>The Binding of Isaac: Rebirth</t>
        </is>
      </c>
      <c r="G49" t="inlineStr">
        <is>
          <t>drugs, pills</t>
        </is>
      </c>
      <c r="I49" t="inlineStr">
        <is>
          <t>CaffeinePill</t>
        </is>
      </c>
      <c r="J49" t="inlineStr">
        <is>
          <t>Loot, Stats</t>
        </is>
      </c>
    </row>
    <row r="50">
      <c r="A50" t="inlineStr">
        <is>
          <t>Echo Chamber</t>
        </is>
      </c>
      <c r="B50" t="inlineStr">
        <is>
          <t>Rare</t>
        </is>
      </c>
      <c r="C50" t="inlineStr">
        <is>
          <t>Passive</t>
        </is>
      </c>
      <c r="D50" t="inlineStr">
        <is>
          <t>Whenever you use Loot, you also use a copy of the last 3 Loot you used after picking up Echo Chamber</t>
        </is>
      </c>
      <c r="E50" t="inlineStr">
        <is>
          <t>echo_loot 3</t>
        </is>
      </c>
      <c r="F50" t="inlineStr">
        <is>
          <t>The Binding of Isaac: Rebirth</t>
        </is>
      </c>
      <c r="I50" t="inlineStr">
        <is>
          <t>EchoChamber</t>
        </is>
      </c>
      <c r="J50" t="inlineStr">
        <is>
          <t>Loot</t>
        </is>
      </c>
    </row>
    <row r="51">
      <c r="A51" t="inlineStr">
        <is>
          <t>Lucky Foot</t>
        </is>
      </c>
      <c r="B51" t="inlineStr">
        <is>
          <t>Uncommon</t>
        </is>
      </c>
      <c r="C51" t="inlineStr">
        <is>
          <t>Passive, Pickup</t>
        </is>
      </c>
      <c r="D51" t="inlineStr">
        <is>
          <t>Gain +1 Luck, +1 Pill, and all negative pills become positive</t>
        </is>
      </c>
      <c r="E51" t="inlineStr">
        <is>
          <t>passive: +1 luck; item_acquired: gain_pill 1; pills_positive</t>
        </is>
      </c>
      <c r="F51" t="inlineStr">
        <is>
          <t>The Binding of Isaac</t>
        </is>
      </c>
      <c r="G51" t="inlineStr">
        <is>
          <t>foot</t>
        </is>
      </c>
      <c r="I51" t="inlineStr">
        <is>
          <t>LuckyFoot</t>
        </is>
      </c>
      <c r="J51" t="inlineStr">
        <is>
          <t>Loot, Stats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49"/>
  <sheetViews>
    <sheetView workbookViewId="0">
      <selection activeCell="A50" sqref="A50"/>
    </sheetView>
  </sheetViews>
  <sheetFormatPr baseColWidth="8" defaultRowHeight="15"/>
  <cols>
    <col width="16.140625" bestFit="1" customWidth="1" min="1" max="1"/>
    <col width="11.7109375" bestFit="1" customWidth="1" min="2" max="2"/>
    <col width="11.42578125" bestFit="1" customWidth="1" min="3" max="3"/>
    <col width="10.42578125" bestFit="1" customWidth="1" min="4" max="4"/>
    <col width="26.5703125" bestFit="1" customWidth="1" min="5" max="5"/>
    <col width="10.42578125" bestFit="1" customWidth="1" min="7" max="7"/>
    <col width="12.140625" bestFit="1" customWidth="1" min="8" max="8"/>
    <col width="45" bestFit="1" customWidth="1" min="9" max="9"/>
    <col width="9" customWidth="1" min="10" max="10"/>
    <col width="15.7109375" bestFit="1" customWidth="1" min="11" max="11"/>
    <col width="16.5703125" bestFit="1" customWidth="1" min="12" max="12"/>
  </cols>
  <sheetData>
    <row r="1">
      <c r="A1" t="inlineStr">
        <is>
          <t>Name</t>
        </is>
      </c>
      <c r="B1" t="inlineStr">
        <is>
          <t>Type</t>
        </is>
      </c>
      <c r="C1" t="inlineStr">
        <is>
          <t>Difficulty</t>
        </is>
      </c>
      <c r="D1" t="inlineStr">
        <is>
          <t>Size</t>
        </is>
      </c>
      <c r="E1" t="inlineStr">
        <is>
          <t>Game</t>
        </is>
      </c>
      <c r="F1" t="inlineStr">
        <is>
          <t>Health</t>
        </is>
      </c>
      <c r="G1" t="inlineStr">
        <is>
          <t>Damage</t>
        </is>
      </c>
      <c r="H1" t="inlineStr">
        <is>
          <t>Goal Type</t>
        </is>
      </c>
      <c r="I1" t="inlineStr">
        <is>
          <t>Goal</t>
        </is>
      </c>
      <c r="J1" t="inlineStr">
        <is>
          <t>Ability</t>
        </is>
      </c>
      <c r="K1" t="inlineStr">
        <is>
          <t>File</t>
        </is>
      </c>
      <c r="L1" t="inlineStr">
        <is>
          <t>Tag</t>
        </is>
      </c>
    </row>
    <row r="2">
      <c r="A2" t="inlineStr">
        <is>
          <t>Attack Fly</t>
        </is>
      </c>
      <c r="B2" t="inlineStr">
        <is>
          <t>Action</t>
        </is>
      </c>
      <c r="C2" t="inlineStr">
        <is>
          <t>1-Low</t>
        </is>
      </c>
      <c r="D2" t="inlineStr">
        <is>
          <t>1x1</t>
        </is>
      </c>
      <c r="E2" t="inlineStr">
        <is>
          <t>The Binding of Isaac</t>
        </is>
      </c>
      <c r="F2" t="n">
        <v>1</v>
      </c>
      <c r="G2" t="n">
        <v>1</v>
      </c>
      <c r="H2" t="inlineStr">
        <is>
          <t>Bounty</t>
        </is>
      </c>
      <c r="I2" t="inlineStr">
        <is>
          <t>Defeat 10+ bugs</t>
        </is>
      </c>
      <c r="J2" t="inlineStr">
        <is>
          <t>N/A</t>
        </is>
      </c>
      <c r="K2" t="inlineStr">
        <is>
          <t>AttackFly</t>
        </is>
      </c>
      <c r="L2" t="inlineStr">
        <is>
          <t>bug, fly</t>
        </is>
      </c>
      <c r="M2" s="4" t="n"/>
    </row>
    <row r="3">
      <c r="A3" t="inlineStr">
        <is>
          <t>Baby Alien</t>
        </is>
      </c>
      <c r="B3" t="inlineStr">
        <is>
          <t>Action</t>
        </is>
      </c>
      <c r="C3" t="inlineStr">
        <is>
          <t>1-Low</t>
        </is>
      </c>
      <c r="D3" t="inlineStr">
        <is>
          <t>1x1</t>
        </is>
      </c>
      <c r="E3" t="inlineStr">
        <is>
          <t>Brotato</t>
        </is>
      </c>
      <c r="F3" t="n">
        <v>1</v>
      </c>
      <c r="G3" t="n">
        <v>1</v>
      </c>
      <c r="H3" t="inlineStr">
        <is>
          <t>Bounty</t>
        </is>
      </c>
      <c r="I3" t="inlineStr">
        <is>
          <t>Defeat an enemy that is an alien</t>
        </is>
      </c>
      <c r="J3" t="inlineStr">
        <is>
          <t>N/A</t>
        </is>
      </c>
      <c r="K3" t="inlineStr">
        <is>
          <t>BabyAlien</t>
        </is>
      </c>
      <c r="L3" t="inlineStr">
        <is>
          <t>alien</t>
        </is>
      </c>
      <c r="M3" s="4" t="n"/>
    </row>
    <row r="4">
      <c r="A4" t="inlineStr">
        <is>
          <t>Flaming Fatty</t>
        </is>
      </c>
      <c r="B4" t="inlineStr">
        <is>
          <t>Action</t>
        </is>
      </c>
      <c r="C4" t="inlineStr">
        <is>
          <t>1-Low</t>
        </is>
      </c>
      <c r="D4" t="inlineStr">
        <is>
          <t>1x1</t>
        </is>
      </c>
      <c r="E4" t="inlineStr">
        <is>
          <t>The Binding of Isaac: Rebirth</t>
        </is>
      </c>
      <c r="F4" t="n">
        <v>1</v>
      </c>
      <c r="G4" t="n">
        <v>1</v>
      </c>
      <c r="H4" t="inlineStr">
        <is>
          <t>Feat</t>
        </is>
      </c>
      <c r="I4" t="inlineStr">
        <is>
          <t>Push an enemy into fire</t>
        </is>
      </c>
      <c r="J4" t="inlineStr">
        <is>
          <t>N/A</t>
        </is>
      </c>
      <c r="K4" t="inlineStr">
        <is>
          <t>FlamingFatty</t>
        </is>
      </c>
      <c r="L4" t="inlineStr">
        <is>
          <t>fire</t>
        </is>
      </c>
    </row>
    <row r="5">
      <c r="A5" t="inlineStr">
        <is>
          <t>Keybullet Kin</t>
        </is>
      </c>
      <c r="B5" t="inlineStr">
        <is>
          <t>Action</t>
        </is>
      </c>
      <c r="C5" t="inlineStr">
        <is>
          <t>1-Low</t>
        </is>
      </c>
      <c r="D5" t="inlineStr">
        <is>
          <t>1x1</t>
        </is>
      </c>
      <c r="E5" t="inlineStr">
        <is>
          <t>Enter the Gungeon</t>
        </is>
      </c>
      <c r="F5" t="n">
        <v>1</v>
      </c>
      <c r="G5" t="n">
        <v>1</v>
      </c>
      <c r="H5" t="inlineStr">
        <is>
          <t>Fetch</t>
        </is>
      </c>
      <c r="I5" t="inlineStr">
        <is>
          <t>Obtain 1 key</t>
        </is>
      </c>
      <c r="J5" t="inlineStr">
        <is>
          <t>N/A</t>
        </is>
      </c>
      <c r="K5" t="inlineStr">
        <is>
          <t>KeybulletKin</t>
        </is>
      </c>
    </row>
    <row r="6">
      <c r="A6" t="inlineStr">
        <is>
          <t>Lil Dave</t>
        </is>
      </c>
      <c r="B6" t="inlineStr">
        <is>
          <t>Action</t>
        </is>
      </c>
      <c r="C6" t="inlineStr">
        <is>
          <t>1-Low</t>
        </is>
      </c>
      <c r="D6" t="inlineStr">
        <is>
          <t>1x1</t>
        </is>
      </c>
      <c r="E6" t="inlineStr">
        <is>
          <t>Muck</t>
        </is>
      </c>
      <c r="F6" t="n">
        <v>1</v>
      </c>
      <c r="G6" t="n">
        <v>1</v>
      </c>
      <c r="H6" t="inlineStr">
        <is>
          <t>Feat</t>
        </is>
      </c>
      <c r="I6" t="inlineStr">
        <is>
          <t>Destroy a wooden structure</t>
        </is>
      </c>
      <c r="J6" t="inlineStr">
        <is>
          <t>N/A</t>
        </is>
      </c>
      <c r="K6" t="inlineStr">
        <is>
          <t>LilDave</t>
        </is>
      </c>
    </row>
    <row r="7">
      <c r="A7" t="inlineStr">
        <is>
          <t>Numbskull</t>
        </is>
      </c>
      <c r="B7" t="inlineStr">
        <is>
          <t>Action</t>
        </is>
      </c>
      <c r="C7" t="inlineStr">
        <is>
          <t>1-Low</t>
        </is>
      </c>
      <c r="D7" t="inlineStr">
        <is>
          <t>1x1</t>
        </is>
      </c>
      <c r="E7" t="inlineStr">
        <is>
          <t>Hades</t>
        </is>
      </c>
      <c r="F7" t="n">
        <v>1</v>
      </c>
      <c r="G7" t="n">
        <v>1</v>
      </c>
      <c r="H7" t="inlineStr">
        <is>
          <t>Bounty</t>
        </is>
      </c>
      <c r="I7" t="inlineStr">
        <is>
          <t>Defeat an animated body part</t>
        </is>
      </c>
      <c r="J7" t="inlineStr">
        <is>
          <t>N/A</t>
        </is>
      </c>
      <c r="K7" t="inlineStr">
        <is>
          <t>Numbskull</t>
        </is>
      </c>
      <c r="L7" t="inlineStr">
        <is>
          <t>undead, skeleton</t>
        </is>
      </c>
    </row>
    <row r="8">
      <c r="A8" t="inlineStr">
        <is>
          <t>Psychic Horf</t>
        </is>
      </c>
      <c r="B8" t="inlineStr">
        <is>
          <t>Action</t>
        </is>
      </c>
      <c r="C8" t="inlineStr">
        <is>
          <t>1-Low</t>
        </is>
      </c>
      <c r="D8" t="inlineStr">
        <is>
          <t>1x1</t>
        </is>
      </c>
      <c r="E8" t="inlineStr">
        <is>
          <t>The Binding of Isaac: Rebirth</t>
        </is>
      </c>
      <c r="F8" t="n">
        <v>1</v>
      </c>
      <c r="G8" t="n">
        <v>1</v>
      </c>
      <c r="H8" t="inlineStr">
        <is>
          <t>Feat</t>
        </is>
      </c>
      <c r="I8" t="inlineStr">
        <is>
          <t>Use a homing attack</t>
        </is>
      </c>
      <c r="J8" t="inlineStr">
        <is>
          <t>N/A</t>
        </is>
      </c>
      <c r="K8" t="inlineStr">
        <is>
          <t>PsychicHorf</t>
        </is>
      </c>
    </row>
    <row r="9">
      <c r="A9" t="inlineStr">
        <is>
          <t>Skeleton Warrior</t>
        </is>
      </c>
      <c r="B9" t="inlineStr">
        <is>
          <t>Action</t>
        </is>
      </c>
      <c r="C9" t="inlineStr">
        <is>
          <t>1-Low</t>
        </is>
      </c>
      <c r="D9" t="inlineStr">
        <is>
          <t>1x1</t>
        </is>
      </c>
      <c r="E9" t="inlineStr">
        <is>
          <t>Ball x Pit</t>
        </is>
      </c>
      <c r="F9" t="n">
        <v>1</v>
      </c>
      <c r="G9" t="n">
        <v>1</v>
      </c>
      <c r="H9" t="inlineStr">
        <is>
          <t>Bounty</t>
        </is>
      </c>
      <c r="I9" t="inlineStr">
        <is>
          <t>Defeat a skeleton with a ball</t>
        </is>
      </c>
      <c r="J9" t="inlineStr">
        <is>
          <t>N/A</t>
        </is>
      </c>
      <c r="K9" t="inlineStr">
        <is>
          <t>SkeletonWarrior</t>
        </is>
      </c>
      <c r="L9" t="inlineStr">
        <is>
          <t>undead, skeleton</t>
        </is>
      </c>
    </row>
    <row r="10">
      <c r="A10" t="inlineStr">
        <is>
          <t>Spider</t>
        </is>
      </c>
      <c r="B10" t="inlineStr">
        <is>
          <t>Action</t>
        </is>
      </c>
      <c r="C10" t="inlineStr">
        <is>
          <t>1-Low</t>
        </is>
      </c>
      <c r="D10" t="inlineStr">
        <is>
          <t>1x1</t>
        </is>
      </c>
      <c r="E10" t="inlineStr">
        <is>
          <t>The Binding of Isaac</t>
        </is>
      </c>
      <c r="F10" t="n">
        <v>1</v>
      </c>
      <c r="G10" t="n">
        <v>1</v>
      </c>
      <c r="H10" t="inlineStr">
        <is>
          <t>Bounty</t>
        </is>
      </c>
      <c r="I10" t="inlineStr">
        <is>
          <t>Defeat 10+ spiders</t>
        </is>
      </c>
      <c r="J10" t="inlineStr">
        <is>
          <t>N/A</t>
        </is>
      </c>
      <c r="K10" t="inlineStr">
        <is>
          <t>Spider</t>
        </is>
      </c>
      <c r="L10" t="inlineStr">
        <is>
          <t>bug, spider</t>
        </is>
      </c>
    </row>
    <row r="11">
      <c r="A11" t="inlineStr">
        <is>
          <t>Wisp</t>
        </is>
      </c>
      <c r="B11" t="inlineStr">
        <is>
          <t>Action</t>
        </is>
      </c>
      <c r="C11" t="inlineStr">
        <is>
          <t>1-Low</t>
        </is>
      </c>
      <c r="D11" t="inlineStr">
        <is>
          <t>1x1</t>
        </is>
      </c>
      <c r="E11" t="inlineStr">
        <is>
          <t>Risk of Rain</t>
        </is>
      </c>
      <c r="F11" t="n">
        <v>1</v>
      </c>
      <c r="G11" t="n">
        <v>1</v>
      </c>
      <c r="H11" t="inlineStr">
        <is>
          <t>Bounty</t>
        </is>
      </c>
      <c r="I11" t="inlineStr">
        <is>
          <t>Defeat an enemy made of fire</t>
        </is>
      </c>
      <c r="J11" t="inlineStr">
        <is>
          <t>N/A</t>
        </is>
      </c>
      <c r="K11" t="inlineStr">
        <is>
          <t>Wisp</t>
        </is>
      </c>
      <c r="L11" t="inlineStr">
        <is>
          <t>fire</t>
        </is>
      </c>
    </row>
    <row r="12">
      <c r="A12" t="inlineStr">
        <is>
          <t>Wringer</t>
        </is>
      </c>
      <c r="B12" t="inlineStr">
        <is>
          <t>Action</t>
        </is>
      </c>
      <c r="C12" t="inlineStr">
        <is>
          <t>1-Low</t>
        </is>
      </c>
      <c r="D12" t="inlineStr">
        <is>
          <t>1x1</t>
        </is>
      </c>
      <c r="E12" t="inlineStr">
        <is>
          <t>Hades</t>
        </is>
      </c>
      <c r="F12" t="n">
        <v>1</v>
      </c>
      <c r="G12" t="n">
        <v>1</v>
      </c>
      <c r="H12" t="inlineStr">
        <is>
          <t>Feat</t>
        </is>
      </c>
      <c r="I12" t="inlineStr">
        <is>
          <t>Grab an enemy</t>
        </is>
      </c>
      <c r="J12" t="inlineStr">
        <is>
          <t>N/A</t>
        </is>
      </c>
      <c r="K12" t="inlineStr">
        <is>
          <t>Wringer</t>
        </is>
      </c>
      <c r="L12" t="inlineStr">
        <is>
          <t>undead</t>
        </is>
      </c>
    </row>
    <row r="13">
      <c r="A13" t="inlineStr">
        <is>
          <t>Bony</t>
        </is>
      </c>
      <c r="B13" t="inlineStr">
        <is>
          <t>Action</t>
        </is>
      </c>
      <c r="C13" t="inlineStr">
        <is>
          <t>2-Medium</t>
        </is>
      </c>
      <c r="D13" t="inlineStr">
        <is>
          <t>1x1</t>
        </is>
      </c>
      <c r="E13" t="inlineStr">
        <is>
          <t>The Binding of Isaac: Rebirth</t>
        </is>
      </c>
      <c r="F13" t="n">
        <v>1</v>
      </c>
      <c r="G13" t="n">
        <v>2</v>
      </c>
      <c r="H13" t="inlineStr">
        <is>
          <t>Bounty</t>
        </is>
      </c>
      <c r="I13" t="inlineStr">
        <is>
          <t>Defeat 10+ skeletons</t>
        </is>
      </c>
      <c r="J13" t="inlineStr">
        <is>
          <t>N/A</t>
        </is>
      </c>
      <c r="K13" t="inlineStr">
        <is>
          <t>Bony</t>
        </is>
      </c>
      <c r="L13" t="inlineStr">
        <is>
          <t>undead, skeleton</t>
        </is>
      </c>
    </row>
    <row r="14">
      <c r="A14" t="inlineStr">
        <is>
          <t>Child</t>
        </is>
      </c>
      <c r="B14" t="inlineStr">
        <is>
          <t>Action</t>
        </is>
      </c>
      <c r="C14" t="inlineStr">
        <is>
          <t>2-Medium</t>
        </is>
      </c>
      <c r="D14" t="inlineStr">
        <is>
          <t>1x1</t>
        </is>
      </c>
      <c r="E14" t="inlineStr">
        <is>
          <t>Risk of Rain</t>
        </is>
      </c>
      <c r="F14" t="n">
        <v>1</v>
      </c>
      <c r="G14" t="n">
        <v>2</v>
      </c>
      <c r="H14" t="inlineStr">
        <is>
          <t>Bounty</t>
        </is>
      </c>
      <c r="I14" t="inlineStr">
        <is>
          <t>Defeat a child</t>
        </is>
      </c>
      <c r="J14" t="inlineStr">
        <is>
          <t>N/A</t>
        </is>
      </c>
      <c r="K14" t="inlineStr">
        <is>
          <t>Child</t>
        </is>
      </c>
      <c r="L14" t="inlineStr">
        <is>
          <t>alien</t>
        </is>
      </c>
    </row>
    <row r="15">
      <c r="A15" t="inlineStr">
        <is>
          <t>Coal Spider</t>
        </is>
      </c>
      <c r="B15" t="inlineStr">
        <is>
          <t>Action</t>
        </is>
      </c>
      <c r="C15" t="inlineStr">
        <is>
          <t>2-Medium</t>
        </is>
      </c>
      <c r="D15" t="inlineStr">
        <is>
          <t>1x1</t>
        </is>
      </c>
      <c r="E15" t="inlineStr">
        <is>
          <t>The Binding of Isaac: Rebirth</t>
        </is>
      </c>
      <c r="F15" t="n">
        <v>1</v>
      </c>
      <c r="G15" t="n">
        <v>2</v>
      </c>
      <c r="H15" t="inlineStr">
        <is>
          <t>Feat</t>
        </is>
      </c>
      <c r="I15" t="inlineStr">
        <is>
          <t>Set a rock on fire</t>
        </is>
      </c>
      <c r="J15" t="inlineStr">
        <is>
          <t>N/A</t>
        </is>
      </c>
      <c r="K15" t="inlineStr">
        <is>
          <t>CoalSpider</t>
        </is>
      </c>
      <c r="L15" t="inlineStr">
        <is>
          <t>spider, rock, fire</t>
        </is>
      </c>
    </row>
    <row r="16">
      <c r="A16" t="inlineStr">
        <is>
          <t>Flaming Hopper</t>
        </is>
      </c>
      <c r="B16" t="inlineStr">
        <is>
          <t>Action</t>
        </is>
      </c>
      <c r="C16" t="inlineStr">
        <is>
          <t>2-Medium</t>
        </is>
      </c>
      <c r="D16" t="inlineStr">
        <is>
          <t>1x1</t>
        </is>
      </c>
      <c r="E16" t="inlineStr">
        <is>
          <t>The Binding of Isaac</t>
        </is>
      </c>
      <c r="F16" t="n">
        <v>1</v>
      </c>
      <c r="G16" t="n">
        <v>2</v>
      </c>
      <c r="H16" t="inlineStr">
        <is>
          <t>Bounty</t>
        </is>
      </c>
      <c r="I16" t="inlineStr">
        <is>
          <t>Defeat an enemy while on fire</t>
        </is>
      </c>
      <c r="J16" t="inlineStr">
        <is>
          <t>N/A</t>
        </is>
      </c>
      <c r="K16" t="inlineStr">
        <is>
          <t>FlamingHopper</t>
        </is>
      </c>
      <c r="L16" t="inlineStr">
        <is>
          <t>fire</t>
        </is>
      </c>
    </row>
    <row r="17">
      <c r="A17" t="inlineStr">
        <is>
          <t>Skeletal Brute</t>
        </is>
      </c>
      <c r="B17" t="inlineStr">
        <is>
          <t>Action</t>
        </is>
      </c>
      <c r="C17" t="inlineStr">
        <is>
          <t>2-Medium</t>
        </is>
      </c>
      <c r="D17" t="inlineStr">
        <is>
          <t>1x2</t>
        </is>
      </c>
      <c r="E17" t="inlineStr">
        <is>
          <t>Ball x Pit</t>
        </is>
      </c>
      <c r="F17" t="n">
        <v>1</v>
      </c>
      <c r="G17" t="n">
        <v>2</v>
      </c>
      <c r="H17" t="inlineStr">
        <is>
          <t>Bounty</t>
        </is>
      </c>
      <c r="I17" t="inlineStr">
        <is>
          <t>Defeat a skeleton with a ball</t>
        </is>
      </c>
      <c r="J17" t="inlineStr">
        <is>
          <t>N/A</t>
        </is>
      </c>
      <c r="K17" t="inlineStr">
        <is>
          <t>SkeletalBrute</t>
        </is>
      </c>
      <c r="L17" t="inlineStr">
        <is>
          <t>undead, skeleton</t>
        </is>
      </c>
    </row>
    <row r="18">
      <c r="A18" t="inlineStr">
        <is>
          <t>Bishop</t>
        </is>
      </c>
      <c r="B18" t="inlineStr">
        <is>
          <t>Action</t>
        </is>
      </c>
      <c r="C18" t="inlineStr">
        <is>
          <t>3-High</t>
        </is>
      </c>
      <c r="D18" t="inlineStr">
        <is>
          <t>1x1</t>
        </is>
      </c>
      <c r="E18" t="inlineStr">
        <is>
          <t>The Binding of Isaac: Rebirth</t>
        </is>
      </c>
      <c r="F18" t="n">
        <v>1</v>
      </c>
      <c r="G18" t="n">
        <v>3</v>
      </c>
      <c r="H18" t="inlineStr">
        <is>
          <t>Feat</t>
        </is>
      </c>
      <c r="I18" t="inlineStr">
        <is>
          <t>Give a shield to another unit</t>
        </is>
      </c>
      <c r="J18" t="inlineStr">
        <is>
          <t>N/A</t>
        </is>
      </c>
      <c r="K18" t="inlineStr">
        <is>
          <t>Bishop</t>
        </is>
      </c>
    </row>
    <row r="19">
      <c r="A19" t="inlineStr">
        <is>
          <t>Gigantic Vermin</t>
        </is>
      </c>
      <c r="B19" t="inlineStr">
        <is>
          <t>Action</t>
        </is>
      </c>
      <c r="C19" t="inlineStr">
        <is>
          <t>3-High</t>
        </is>
      </c>
      <c r="D19" t="inlineStr">
        <is>
          <t>2x2</t>
        </is>
      </c>
      <c r="E19" t="inlineStr">
        <is>
          <t>Hades</t>
        </is>
      </c>
      <c r="F19" t="n">
        <v>1</v>
      </c>
      <c r="G19" t="n">
        <v>3</v>
      </c>
      <c r="H19" t="inlineStr">
        <is>
          <t>Bounty</t>
        </is>
      </c>
      <c r="I19" t="inlineStr">
        <is>
          <t>Defeat a large rodent</t>
        </is>
      </c>
      <c r="J19" t="inlineStr">
        <is>
          <t>N/A</t>
        </is>
      </c>
      <c r="K19" t="inlineStr">
        <is>
          <t>GiganticVermin</t>
        </is>
      </c>
      <c r="L19" t="inlineStr">
        <is>
          <t>rodent, rat</t>
        </is>
      </c>
    </row>
    <row r="20">
      <c r="A20" t="inlineStr">
        <is>
          <t>Nemean Chariot</t>
        </is>
      </c>
      <c r="B20" t="inlineStr">
        <is>
          <t>Action</t>
        </is>
      </c>
      <c r="C20" t="inlineStr">
        <is>
          <t>3-High</t>
        </is>
      </c>
      <c r="D20" t="inlineStr">
        <is>
          <t>1x1</t>
        </is>
      </c>
      <c r="E20" t="inlineStr">
        <is>
          <t>Hades</t>
        </is>
      </c>
      <c r="F20" t="n">
        <v>1</v>
      </c>
      <c r="G20" t="n">
        <v>3</v>
      </c>
      <c r="H20" t="inlineStr">
        <is>
          <t>Feat</t>
        </is>
      </c>
      <c r="I20" t="inlineStr">
        <is>
          <t>Hit an enemy with a vehicle</t>
        </is>
      </c>
      <c r="J20" t="inlineStr">
        <is>
          <t>N/A</t>
        </is>
      </c>
      <c r="K20" t="inlineStr">
        <is>
          <t>NemeanChariot</t>
        </is>
      </c>
    </row>
    <row r="21">
      <c r="A21" t="inlineStr">
        <is>
          <t>Skeletal Bastion</t>
        </is>
      </c>
      <c r="B21" t="inlineStr">
        <is>
          <t>Action</t>
        </is>
      </c>
      <c r="C21" t="inlineStr">
        <is>
          <t>3-High</t>
        </is>
      </c>
      <c r="D21" t="inlineStr">
        <is>
          <t>2x3 L 90 CC</t>
        </is>
      </c>
      <c r="E21" t="inlineStr">
        <is>
          <t>Ball x Pit</t>
        </is>
      </c>
      <c r="F21" t="n">
        <v>1</v>
      </c>
      <c r="G21" t="n">
        <v>3</v>
      </c>
      <c r="H21" t="inlineStr">
        <is>
          <t>Bounty</t>
        </is>
      </c>
      <c r="I21" t="inlineStr">
        <is>
          <t>Defeat a skeleton with a ball</t>
        </is>
      </c>
      <c r="J21" t="inlineStr">
        <is>
          <t>N/A</t>
        </is>
      </c>
      <c r="K21" t="inlineStr">
        <is>
          <t>SkeletalBastion</t>
        </is>
      </c>
      <c r="L21" t="inlineStr">
        <is>
          <t>undead, skeleton</t>
        </is>
      </c>
    </row>
    <row r="22">
      <c r="A22" t="inlineStr">
        <is>
          <t>Cultist</t>
        </is>
      </c>
      <c r="B22" t="inlineStr">
        <is>
          <t>Deckbuilder</t>
        </is>
      </c>
      <c r="C22" t="inlineStr">
        <is>
          <t>1-Low</t>
        </is>
      </c>
      <c r="D22" t="inlineStr">
        <is>
          <t>1x1</t>
        </is>
      </c>
      <c r="E22" t="inlineStr">
        <is>
          <t>Slay the Spire</t>
        </is>
      </c>
      <c r="F22" t="n">
        <v>1</v>
      </c>
      <c r="G22" t="n">
        <v>1</v>
      </c>
      <c r="H22" t="inlineStr">
        <is>
          <t>Feat</t>
        </is>
      </c>
      <c r="I22" t="inlineStr">
        <is>
          <t>Perform a religious act</t>
        </is>
      </c>
      <c r="J22" t="inlineStr">
        <is>
          <t>N/A</t>
        </is>
      </c>
      <c r="K22" t="inlineStr">
        <is>
          <t>Cultist</t>
        </is>
      </c>
    </row>
    <row r="23">
      <c r="A23" t="inlineStr">
        <is>
          <t>Fungi Beast</t>
        </is>
      </c>
      <c r="B23" t="inlineStr">
        <is>
          <t>Deckbuilder</t>
        </is>
      </c>
      <c r="C23" t="inlineStr">
        <is>
          <t>1-Low</t>
        </is>
      </c>
      <c r="D23" t="inlineStr">
        <is>
          <t>1x1</t>
        </is>
      </c>
      <c r="E23" t="inlineStr">
        <is>
          <t>Slay the Spire</t>
        </is>
      </c>
      <c r="F23" t="n">
        <v>1</v>
      </c>
      <c r="G23" t="n">
        <v>1</v>
      </c>
      <c r="H23" t="inlineStr">
        <is>
          <t>Feat</t>
        </is>
      </c>
      <c r="I23" t="inlineStr">
        <is>
          <t>Get infected</t>
        </is>
      </c>
      <c r="J23" t="inlineStr">
        <is>
          <t>N/A</t>
        </is>
      </c>
      <c r="K23" t="inlineStr">
        <is>
          <t>FungiBeast</t>
        </is>
      </c>
      <c r="L23" t="inlineStr">
        <is>
          <t>mushroom</t>
        </is>
      </c>
    </row>
    <row r="24">
      <c r="A24" t="inlineStr">
        <is>
          <t>Ice Slime</t>
        </is>
      </c>
      <c r="B24" t="inlineStr">
        <is>
          <t>Deckbuilder</t>
        </is>
      </c>
      <c r="C24" t="inlineStr">
        <is>
          <t>1-Low</t>
        </is>
      </c>
      <c r="D24" t="inlineStr">
        <is>
          <t>1x1</t>
        </is>
      </c>
      <c r="E24" t="inlineStr">
        <is>
          <t>Dungeon Clawler</t>
        </is>
      </c>
      <c r="F24" t="n">
        <v>1</v>
      </c>
      <c r="G24" t="n">
        <v>1</v>
      </c>
      <c r="H24" t="inlineStr">
        <is>
          <t>Feat</t>
        </is>
      </c>
      <c r="I24" t="inlineStr">
        <is>
          <t>Freeze an enemy</t>
        </is>
      </c>
      <c r="J24" t="inlineStr">
        <is>
          <t>N/A</t>
        </is>
      </c>
      <c r="K24" t="inlineStr">
        <is>
          <t>IceSlime</t>
        </is>
      </c>
      <c r="L24" t="inlineStr">
        <is>
          <t>slime, ice</t>
        </is>
      </c>
    </row>
    <row r="25">
      <c r="A25" t="inlineStr">
        <is>
          <t>Lava Slime</t>
        </is>
      </c>
      <c r="B25" t="inlineStr">
        <is>
          <t>Deckbuilder</t>
        </is>
      </c>
      <c r="C25" t="inlineStr">
        <is>
          <t>1-Low</t>
        </is>
      </c>
      <c r="D25" t="inlineStr">
        <is>
          <t>1x1</t>
        </is>
      </c>
      <c r="E25" t="inlineStr">
        <is>
          <t>Dungeon Clawler</t>
        </is>
      </c>
      <c r="F25" t="n">
        <v>1</v>
      </c>
      <c r="G25" t="n">
        <v>1</v>
      </c>
      <c r="H25" t="inlineStr">
        <is>
          <t>Feat</t>
        </is>
      </c>
      <c r="I25" t="inlineStr">
        <is>
          <t>Touch lava</t>
        </is>
      </c>
      <c r="J25" t="inlineStr">
        <is>
          <t>N/A</t>
        </is>
      </c>
      <c r="K25" t="inlineStr">
        <is>
          <t>LavaSlime</t>
        </is>
      </c>
      <c r="L25" t="inlineStr">
        <is>
          <t>slime, lava</t>
        </is>
      </c>
    </row>
    <row r="26">
      <c r="A26" t="inlineStr">
        <is>
          <t>Punch Construct</t>
        </is>
      </c>
      <c r="B26" t="inlineStr">
        <is>
          <t>Deckbuilder</t>
        </is>
      </c>
      <c r="C26" t="inlineStr">
        <is>
          <t>1-Low</t>
        </is>
      </c>
      <c r="D26" t="inlineStr">
        <is>
          <t>1x1</t>
        </is>
      </c>
      <c r="E26" t="inlineStr">
        <is>
          <t>Slay the Spire 2</t>
        </is>
      </c>
      <c r="F26" t="n">
        <v>1</v>
      </c>
      <c r="G26" t="n">
        <v>1</v>
      </c>
      <c r="H26" t="inlineStr">
        <is>
          <t>Feat</t>
        </is>
      </c>
      <c r="I26" t="inlineStr">
        <is>
          <t>Punch a robot</t>
        </is>
      </c>
      <c r="J26" t="inlineStr">
        <is>
          <t>N/A</t>
        </is>
      </c>
      <c r="K26" t="inlineStr">
        <is>
          <t>PunchConstruct</t>
        </is>
      </c>
      <c r="L26" t="inlineStr">
        <is>
          <t>robot</t>
        </is>
      </c>
    </row>
    <row r="27">
      <c r="A27" t="inlineStr">
        <is>
          <t>Shrinker Beetle</t>
        </is>
      </c>
      <c r="B27" t="inlineStr">
        <is>
          <t>Deckbuilder</t>
        </is>
      </c>
      <c r="C27" t="inlineStr">
        <is>
          <t>1-Low</t>
        </is>
      </c>
      <c r="D27" t="inlineStr">
        <is>
          <t>1x1</t>
        </is>
      </c>
      <c r="E27" t="inlineStr">
        <is>
          <t>Slay the Spire 2</t>
        </is>
      </c>
      <c r="F27" t="n">
        <v>1</v>
      </c>
      <c r="G27" t="n">
        <v>1</v>
      </c>
      <c r="H27" t="inlineStr">
        <is>
          <t>Feat</t>
        </is>
      </c>
      <c r="I27" t="inlineStr">
        <is>
          <t>Shrink in size</t>
        </is>
      </c>
      <c r="J27" t="inlineStr">
        <is>
          <t>N/A</t>
        </is>
      </c>
      <c r="K27" t="inlineStr">
        <is>
          <t>ShrinkerBeetle</t>
        </is>
      </c>
      <c r="L27" t="inlineStr">
        <is>
          <t>bug, beetle</t>
        </is>
      </c>
    </row>
    <row r="28">
      <c r="A28" t="inlineStr">
        <is>
          <t>Spike Slime (L)</t>
        </is>
      </c>
      <c r="B28" t="inlineStr">
        <is>
          <t>Deckbuilder</t>
        </is>
      </c>
      <c r="C28" t="inlineStr">
        <is>
          <t>1-Low</t>
        </is>
      </c>
      <c r="D28" t="inlineStr">
        <is>
          <t>1x1</t>
        </is>
      </c>
      <c r="E28" t="inlineStr">
        <is>
          <t>Slay the Spire</t>
        </is>
      </c>
      <c r="F28" t="n">
        <v>1</v>
      </c>
      <c r="G28" t="n">
        <v>1</v>
      </c>
      <c r="H28" t="inlineStr">
        <is>
          <t>Bounty</t>
        </is>
      </c>
      <c r="I28" t="inlineStr">
        <is>
          <t>Defeat an enemy that splits into another enemy</t>
        </is>
      </c>
      <c r="J28" t="inlineStr">
        <is>
          <t>N/A</t>
        </is>
      </c>
      <c r="K28" t="inlineStr">
        <is>
          <t>SpikeSlime(L)</t>
        </is>
      </c>
      <c r="L28" t="inlineStr">
        <is>
          <t>slime</t>
        </is>
      </c>
    </row>
    <row r="29">
      <c r="A29" t="inlineStr">
        <is>
          <t>Shelled Parasite</t>
        </is>
      </c>
      <c r="B29" t="inlineStr">
        <is>
          <t>Deckbuilder</t>
        </is>
      </c>
      <c r="C29" t="inlineStr">
        <is>
          <t>2-Medium</t>
        </is>
      </c>
      <c r="D29" t="inlineStr">
        <is>
          <t>1x1</t>
        </is>
      </c>
      <c r="E29" t="inlineStr">
        <is>
          <t>Slay the Spire</t>
        </is>
      </c>
      <c r="F29" t="n">
        <v>1</v>
      </c>
      <c r="G29" t="n">
        <v>2</v>
      </c>
      <c r="H29" t="inlineStr">
        <is>
          <t>Bounty</t>
        </is>
      </c>
      <c r="I29" t="inlineStr">
        <is>
          <t>Defeat an enemy that looks edible</t>
        </is>
      </c>
      <c r="J29" t="inlineStr">
        <is>
          <t>N/A</t>
        </is>
      </c>
      <c r="K29" t="inlineStr">
        <is>
          <t>ShelledParasite</t>
        </is>
      </c>
    </row>
    <row r="30">
      <c r="A30" t="inlineStr">
        <is>
          <t>Snecko</t>
        </is>
      </c>
      <c r="B30" t="inlineStr">
        <is>
          <t>Deckbuilder</t>
        </is>
      </c>
      <c r="C30" t="inlineStr">
        <is>
          <t>2-Medium</t>
        </is>
      </c>
      <c r="D30" t="inlineStr">
        <is>
          <t>1x1</t>
        </is>
      </c>
      <c r="E30" t="inlineStr">
        <is>
          <t>Slay the Spire</t>
        </is>
      </c>
      <c r="F30" t="n">
        <v>1</v>
      </c>
      <c r="G30" t="n">
        <v>2</v>
      </c>
      <c r="H30" t="inlineStr">
        <is>
          <t>Restriction</t>
        </is>
      </c>
      <c r="I30" t="inlineStr">
        <is>
          <t>You must randomly select your starting character</t>
        </is>
      </c>
      <c r="J30" t="inlineStr">
        <is>
          <t>N/A</t>
        </is>
      </c>
      <c r="K30" t="inlineStr">
        <is>
          <t>Snecko</t>
        </is>
      </c>
    </row>
    <row r="31">
      <c r="A31" t="inlineStr">
        <is>
          <t>The Obscura</t>
        </is>
      </c>
      <c r="B31" t="inlineStr">
        <is>
          <t>Deckbuilder</t>
        </is>
      </c>
      <c r="C31" t="inlineStr">
        <is>
          <t>2-Medium</t>
        </is>
      </c>
      <c r="D31" t="inlineStr">
        <is>
          <t>1x1</t>
        </is>
      </c>
      <c r="E31" t="inlineStr">
        <is>
          <t>Slay the Spire 2</t>
        </is>
      </c>
      <c r="F31" t="n">
        <v>1</v>
      </c>
      <c r="G31" t="n">
        <v>2</v>
      </c>
      <c r="H31" t="inlineStr">
        <is>
          <t>Feat</t>
        </is>
      </c>
      <c r="I31" t="inlineStr">
        <is>
          <t>Create an illusion</t>
        </is>
      </c>
      <c r="J31" t="inlineStr">
        <is>
          <t>N/A</t>
        </is>
      </c>
      <c r="K31" t="inlineStr">
        <is>
          <t>TheObscura</t>
        </is>
      </c>
    </row>
    <row r="32">
      <c r="A32" t="inlineStr">
        <is>
          <t>Chosen</t>
        </is>
      </c>
      <c r="B32" t="inlineStr">
        <is>
          <t>Deckbuilder</t>
        </is>
      </c>
      <c r="C32" t="inlineStr">
        <is>
          <t>3-High</t>
        </is>
      </c>
      <c r="D32" t="inlineStr">
        <is>
          <t>1x1</t>
        </is>
      </c>
      <c r="E32" t="inlineStr">
        <is>
          <t>Slay the Spire</t>
        </is>
      </c>
      <c r="F32" t="n">
        <v>1</v>
      </c>
      <c r="G32" t="n">
        <v>3</v>
      </c>
      <c r="H32" t="inlineStr">
        <is>
          <t>Restriction</t>
        </is>
      </c>
      <c r="I32" t="inlineStr">
        <is>
          <t>Do not use magic</t>
        </is>
      </c>
      <c r="J32" t="inlineStr">
        <is>
          <t>N/A</t>
        </is>
      </c>
      <c r="K32" t="inlineStr">
        <is>
          <t>Chosen</t>
        </is>
      </c>
    </row>
    <row r="33">
      <c r="A33" t="inlineStr">
        <is>
          <t>Transient</t>
        </is>
      </c>
      <c r="B33" t="inlineStr">
        <is>
          <t>Deckbuilder</t>
        </is>
      </c>
      <c r="C33" t="inlineStr">
        <is>
          <t>3-High</t>
        </is>
      </c>
      <c r="D33" t="inlineStr">
        <is>
          <t>2x2</t>
        </is>
      </c>
      <c r="E33" t="inlineStr">
        <is>
          <t>Slay the Spire</t>
        </is>
      </c>
      <c r="F33" t="n">
        <v>1</v>
      </c>
      <c r="G33" t="n">
        <v>3</v>
      </c>
      <c r="H33" t="inlineStr">
        <is>
          <t>Discovery</t>
        </is>
      </c>
      <c r="I33" t="inlineStr">
        <is>
          <t>Witness an enemy kill itself</t>
        </is>
      </c>
      <c r="J33" t="inlineStr">
        <is>
          <t>N/A</t>
        </is>
      </c>
      <c r="K33" t="inlineStr">
        <is>
          <t>Transient</t>
        </is>
      </c>
    </row>
    <row r="34">
      <c r="A34" t="inlineStr">
        <is>
          <t>Carcass</t>
        </is>
      </c>
      <c r="B34" t="inlineStr">
        <is>
          <t>Strategy</t>
        </is>
      </c>
      <c r="C34" t="inlineStr">
        <is>
          <t>1-Low</t>
        </is>
      </c>
      <c r="D34" t="inlineStr">
        <is>
          <t>1x1</t>
        </is>
      </c>
      <c r="E34" t="inlineStr">
        <is>
          <t>Mewgenics</t>
        </is>
      </c>
      <c r="F34" t="n">
        <v>1</v>
      </c>
      <c r="G34" t="n">
        <v>1</v>
      </c>
      <c r="H34" t="inlineStr">
        <is>
          <t>Bounty</t>
        </is>
      </c>
      <c r="I34" t="inlineStr">
        <is>
          <t>Destroy an enemy spawner</t>
        </is>
      </c>
      <c r="J34" t="inlineStr">
        <is>
          <t>N/A</t>
        </is>
      </c>
      <c r="K34" t="inlineStr">
        <is>
          <t>Carcass</t>
        </is>
      </c>
    </row>
    <row r="35">
      <c r="A35" t="inlineStr">
        <is>
          <t>Goblin</t>
        </is>
      </c>
      <c r="B35" t="inlineStr">
        <is>
          <t>Strategy</t>
        </is>
      </c>
      <c r="C35" t="inlineStr">
        <is>
          <t>1-Low</t>
        </is>
      </c>
      <c r="D35" t="inlineStr">
        <is>
          <t>1x1</t>
        </is>
      </c>
      <c r="E35" t="inlineStr">
        <is>
          <t>Gnomes</t>
        </is>
      </c>
      <c r="F35" t="n">
        <v>1</v>
      </c>
      <c r="G35" t="n">
        <v>1</v>
      </c>
      <c r="H35" t="inlineStr">
        <is>
          <t>Bounty</t>
        </is>
      </c>
      <c r="I35" t="inlineStr">
        <is>
          <t>Defeat 10+ goblins</t>
        </is>
      </c>
      <c r="J35" t="inlineStr">
        <is>
          <t>N/A</t>
        </is>
      </c>
      <c r="K35" t="inlineStr">
        <is>
          <t>Goblin</t>
        </is>
      </c>
      <c r="L35" t="inlineStr">
        <is>
          <t>goblin</t>
        </is>
      </c>
    </row>
    <row r="36">
      <c r="A36" t="inlineStr">
        <is>
          <t>Mung</t>
        </is>
      </c>
      <c r="B36" t="inlineStr">
        <is>
          <t>Strategy</t>
        </is>
      </c>
      <c r="C36" t="inlineStr">
        <is>
          <t>1-Low</t>
        </is>
      </c>
      <c r="D36" t="inlineStr">
        <is>
          <t>1x1</t>
        </is>
      </c>
      <c r="E36" t="inlineStr">
        <is>
          <t>Brutal Orchestra</t>
        </is>
      </c>
      <c r="F36" t="n">
        <v>1</v>
      </c>
      <c r="G36" t="n">
        <v>1</v>
      </c>
      <c r="H36" t="inlineStr">
        <is>
          <t>Fetch</t>
        </is>
      </c>
      <c r="I36" t="inlineStr">
        <is>
          <t>Obtain 1 fish</t>
        </is>
      </c>
      <c r="J36" t="inlineStr">
        <is>
          <t>N/A</t>
        </is>
      </c>
      <c r="K36" t="inlineStr">
        <is>
          <t>Mung</t>
        </is>
      </c>
      <c r="L36" t="inlineStr">
        <is>
          <t>fish</t>
        </is>
      </c>
    </row>
    <row r="37">
      <c r="A37" t="inlineStr">
        <is>
          <t>Host</t>
        </is>
      </c>
      <c r="B37" t="inlineStr">
        <is>
          <t>Strategy</t>
        </is>
      </c>
      <c r="C37" t="inlineStr">
        <is>
          <t>2-Medium</t>
        </is>
      </c>
      <c r="D37" t="inlineStr">
        <is>
          <t>1x1</t>
        </is>
      </c>
      <c r="E37" t="inlineStr">
        <is>
          <t>Mewgenics</t>
        </is>
      </c>
      <c r="F37" t="n">
        <v>1</v>
      </c>
      <c r="G37" t="n">
        <v>2</v>
      </c>
      <c r="H37" t="inlineStr">
        <is>
          <t>Feat</t>
        </is>
      </c>
      <c r="I37" t="inlineStr">
        <is>
          <t>Reflect a projectile</t>
        </is>
      </c>
      <c r="J37" t="inlineStr">
        <is>
          <t>N/A</t>
        </is>
      </c>
      <c r="K37" t="inlineStr">
        <is>
          <t>Host</t>
        </is>
      </c>
    </row>
    <row r="38">
      <c r="A38" t="inlineStr">
        <is>
          <t>Love Bot</t>
        </is>
      </c>
      <c r="B38" t="inlineStr">
        <is>
          <t>Strategy</t>
        </is>
      </c>
      <c r="C38" t="inlineStr">
        <is>
          <t>2-Medium</t>
        </is>
      </c>
      <c r="D38" t="inlineStr">
        <is>
          <t>1x1</t>
        </is>
      </c>
      <c r="E38" t="inlineStr">
        <is>
          <t>Mewgenics</t>
        </is>
      </c>
      <c r="F38" t="n">
        <v>1</v>
      </c>
      <c r="G38" t="n">
        <v>2</v>
      </c>
      <c r="H38" t="inlineStr">
        <is>
          <t>Feat</t>
        </is>
      </c>
      <c r="I38" t="inlineStr">
        <is>
          <t>Use technology to heal yourself</t>
        </is>
      </c>
      <c r="J38" t="inlineStr">
        <is>
          <t>N/A</t>
        </is>
      </c>
      <c r="K38" t="inlineStr">
        <is>
          <t>LoveBot</t>
        </is>
      </c>
      <c r="L38" t="inlineStr">
        <is>
          <t>robot</t>
        </is>
      </c>
    </row>
    <row r="39">
      <c r="A39" t="inlineStr">
        <is>
          <t>Revola</t>
        </is>
      </c>
      <c r="B39" t="inlineStr">
        <is>
          <t>Strategy</t>
        </is>
      </c>
      <c r="C39" t="inlineStr">
        <is>
          <t>2-Medium</t>
        </is>
      </c>
      <c r="D39" t="inlineStr">
        <is>
          <t>1x2</t>
        </is>
      </c>
      <c r="E39" t="inlineStr">
        <is>
          <t>Brutal Orchestra</t>
        </is>
      </c>
      <c r="F39" t="n">
        <v>1</v>
      </c>
      <c r="G39" t="n">
        <v>2</v>
      </c>
      <c r="H39" t="inlineStr">
        <is>
          <t>Feat</t>
        </is>
      </c>
      <c r="I39" t="inlineStr">
        <is>
          <t>Body slam an enemy</t>
        </is>
      </c>
      <c r="J39" t="inlineStr">
        <is>
          <t>N/A</t>
        </is>
      </c>
      <c r="K39" t="inlineStr">
        <is>
          <t>Revola</t>
        </is>
      </c>
    </row>
    <row r="40">
      <c r="A40" t="inlineStr">
        <is>
          <t>Robo-Cat</t>
        </is>
      </c>
      <c r="B40" t="inlineStr">
        <is>
          <t>Strategy</t>
        </is>
      </c>
      <c r="C40" t="inlineStr">
        <is>
          <t>2-Medium</t>
        </is>
      </c>
      <c r="D40" t="inlineStr">
        <is>
          <t>1x1</t>
        </is>
      </c>
      <c r="E40" t="inlineStr">
        <is>
          <t>Mewgenics</t>
        </is>
      </c>
      <c r="F40" t="n">
        <v>1</v>
      </c>
      <c r="G40" t="n">
        <v>2</v>
      </c>
      <c r="H40" t="inlineStr">
        <is>
          <t>Bounty</t>
        </is>
      </c>
      <c r="I40" t="inlineStr">
        <is>
          <t>Defeat a robot designed to look like an animal</t>
        </is>
      </c>
      <c r="J40" t="inlineStr">
        <is>
          <t>N/A</t>
        </is>
      </c>
      <c r="K40" t="inlineStr">
        <is>
          <t>Robo-Cat</t>
        </is>
      </c>
      <c r="L40" t="inlineStr">
        <is>
          <t>cat, robot</t>
        </is>
      </c>
    </row>
    <row r="41">
      <c r="A41" t="inlineStr">
        <is>
          <t>Sharky</t>
        </is>
      </c>
      <c r="B41" t="inlineStr">
        <is>
          <t>Strategy</t>
        </is>
      </c>
      <c r="C41" t="inlineStr">
        <is>
          <t>2-Medium</t>
        </is>
      </c>
      <c r="D41" t="inlineStr">
        <is>
          <t>1x1</t>
        </is>
      </c>
      <c r="E41" t="inlineStr">
        <is>
          <t>Mewgenics</t>
        </is>
      </c>
      <c r="F41" t="n">
        <v>1</v>
      </c>
      <c r="G41" t="n">
        <v>2</v>
      </c>
      <c r="H41" t="inlineStr">
        <is>
          <t>Feat</t>
        </is>
      </c>
      <c r="I41" t="inlineStr">
        <is>
          <t>Bleed an enemy to death</t>
        </is>
      </c>
      <c r="J41" t="inlineStr">
        <is>
          <t>N/A</t>
        </is>
      </c>
      <c r="K41" t="inlineStr">
        <is>
          <t>Sharky</t>
        </is>
      </c>
      <c r="L41" t="inlineStr">
        <is>
          <t>cat, fish</t>
        </is>
      </c>
    </row>
    <row r="42">
      <c r="A42" t="inlineStr">
        <is>
          <t>Spiked Cat</t>
        </is>
      </c>
      <c r="B42" t="inlineStr">
        <is>
          <t>Strategy</t>
        </is>
      </c>
      <c r="C42" t="inlineStr">
        <is>
          <t>2-Medium</t>
        </is>
      </c>
      <c r="D42" t="inlineStr">
        <is>
          <t>1x1</t>
        </is>
      </c>
      <c r="E42" t="inlineStr">
        <is>
          <t>Mewgenics</t>
        </is>
      </c>
      <c r="F42" t="n">
        <v>1</v>
      </c>
      <c r="G42" t="n">
        <v>2</v>
      </c>
      <c r="H42" t="inlineStr">
        <is>
          <t>Feat</t>
        </is>
      </c>
      <c r="I42" t="inlineStr">
        <is>
          <t>Break glass</t>
        </is>
      </c>
      <c r="J42" t="inlineStr">
        <is>
          <t>N/A</t>
        </is>
      </c>
      <c r="K42" t="inlineStr">
        <is>
          <t>SpikedCat</t>
        </is>
      </c>
      <c r="L42" t="inlineStr">
        <is>
          <t>cat</t>
        </is>
      </c>
    </row>
    <row r="43">
      <c r="A43" t="inlineStr">
        <is>
          <t>Tornado</t>
        </is>
      </c>
      <c r="B43" t="inlineStr">
        <is>
          <t>Strategy</t>
        </is>
      </c>
      <c r="C43" t="inlineStr">
        <is>
          <t>2-Medium</t>
        </is>
      </c>
      <c r="D43" t="inlineStr">
        <is>
          <t>1x1</t>
        </is>
      </c>
      <c r="E43" t="inlineStr">
        <is>
          <t>Forward: Escape the Fold</t>
        </is>
      </c>
      <c r="F43" t="n">
        <v>1</v>
      </c>
      <c r="G43" t="n">
        <v>2</v>
      </c>
      <c r="H43" t="inlineStr">
        <is>
          <t>Discovery</t>
        </is>
      </c>
      <c r="I43" t="inlineStr">
        <is>
          <t>Find a Tornado</t>
        </is>
      </c>
      <c r="J43" t="inlineStr">
        <is>
          <t>N/A</t>
        </is>
      </c>
      <c r="K43" t="inlineStr">
        <is>
          <t>Tornado</t>
        </is>
      </c>
    </row>
    <row r="44">
      <c r="A44" t="inlineStr">
        <is>
          <t>Giggling Minister</t>
        </is>
      </c>
      <c r="B44" t="inlineStr">
        <is>
          <t>Strategy</t>
        </is>
      </c>
      <c r="C44" t="inlineStr">
        <is>
          <t>3-High</t>
        </is>
      </c>
      <c r="D44" t="inlineStr">
        <is>
          <t>1x1</t>
        </is>
      </c>
      <c r="E44" t="inlineStr">
        <is>
          <t>Brutal Orchestra</t>
        </is>
      </c>
      <c r="F44" t="n">
        <v>1</v>
      </c>
      <c r="G44" t="n">
        <v>3</v>
      </c>
      <c r="H44" t="inlineStr">
        <is>
          <t>Discovery</t>
        </is>
      </c>
      <c r="I44" t="inlineStr">
        <is>
          <t>Get something stolen from you</t>
        </is>
      </c>
      <c r="J44" t="inlineStr">
        <is>
          <t>N/A</t>
        </is>
      </c>
      <c r="K44" t="inlineStr">
        <is>
          <t>GigglingMinister</t>
        </is>
      </c>
    </row>
    <row r="45">
      <c r="A45" t="inlineStr">
        <is>
          <t>Spider Kitten</t>
        </is>
      </c>
      <c r="B45" t="inlineStr">
        <is>
          <t>Strategy</t>
        </is>
      </c>
      <c r="C45" t="inlineStr">
        <is>
          <t>3-High</t>
        </is>
      </c>
      <c r="D45" t="inlineStr">
        <is>
          <t>1x1</t>
        </is>
      </c>
      <c r="E45" t="inlineStr">
        <is>
          <t>Mewgenics</t>
        </is>
      </c>
      <c r="F45" t="n">
        <v>1</v>
      </c>
      <c r="G45" t="n">
        <v>3</v>
      </c>
      <c r="H45" t="inlineStr">
        <is>
          <t>Feat</t>
        </is>
      </c>
      <c r="I45" t="inlineStr">
        <is>
          <t>Trap an enemy in place</t>
        </is>
      </c>
      <c r="J45" t="inlineStr">
        <is>
          <t>N/A</t>
        </is>
      </c>
      <c r="K45" t="inlineStr">
        <is>
          <t>SpiderKitten</t>
        </is>
      </c>
      <c r="L45" t="inlineStr">
        <is>
          <t>cat, bug, spider</t>
        </is>
      </c>
    </row>
    <row r="46">
      <c r="A46" t="inlineStr">
        <is>
          <t>Leprechaun</t>
        </is>
      </c>
      <c r="B46" t="inlineStr">
        <is>
          <t>Traditional</t>
        </is>
      </c>
      <c r="C46" t="inlineStr">
        <is>
          <t>1-Low</t>
        </is>
      </c>
      <c r="D46" t="inlineStr">
        <is>
          <t>1x1</t>
        </is>
      </c>
      <c r="E46" t="inlineStr">
        <is>
          <t>NetHack</t>
        </is>
      </c>
      <c r="F46" t="n">
        <v>1</v>
      </c>
      <c r="G46" t="n">
        <v>1</v>
      </c>
      <c r="H46" t="inlineStr">
        <is>
          <t>Discovery</t>
        </is>
      </c>
      <c r="I46" t="inlineStr">
        <is>
          <t>Retrieve stolen currency or items</t>
        </is>
      </c>
      <c r="J46" t="inlineStr">
        <is>
          <t>N/A</t>
        </is>
      </c>
      <c r="K46" t="inlineStr">
        <is>
          <t>Leprechaun</t>
        </is>
      </c>
    </row>
    <row r="47">
      <c r="A47" t="inlineStr">
        <is>
          <t>Rust Monster</t>
        </is>
      </c>
      <c r="B47" t="inlineStr">
        <is>
          <t>Traditional</t>
        </is>
      </c>
      <c r="C47" t="inlineStr">
        <is>
          <t>2-Medium</t>
        </is>
      </c>
      <c r="D47" t="inlineStr">
        <is>
          <t>1x1</t>
        </is>
      </c>
      <c r="E47" t="inlineStr">
        <is>
          <t>NetHack</t>
        </is>
      </c>
      <c r="F47" t="n">
        <v>1</v>
      </c>
      <c r="G47" t="n">
        <v>2</v>
      </c>
      <c r="H47" t="inlineStr">
        <is>
          <t>Restriction</t>
        </is>
      </c>
      <c r="I47" t="inlineStr">
        <is>
          <t>Do not use metal armor</t>
        </is>
      </c>
      <c r="J47" t="inlineStr">
        <is>
          <t>N/A</t>
        </is>
      </c>
      <c r="K47" t="inlineStr">
        <is>
          <t>RustMonster</t>
        </is>
      </c>
    </row>
    <row r="48">
      <c r="A48" t="inlineStr">
        <is>
          <t>Stalker</t>
        </is>
      </c>
      <c r="B48" t="inlineStr">
        <is>
          <t>Traditional</t>
        </is>
      </c>
      <c r="C48" t="inlineStr">
        <is>
          <t>2-Medium</t>
        </is>
      </c>
      <c r="D48" t="inlineStr">
        <is>
          <t>1x1</t>
        </is>
      </c>
      <c r="E48" t="inlineStr">
        <is>
          <t>NetHack</t>
        </is>
      </c>
      <c r="F48" t="n">
        <v>1</v>
      </c>
      <c r="G48" t="n">
        <v>2</v>
      </c>
      <c r="H48" t="inlineStr">
        <is>
          <t>Feat</t>
        </is>
      </c>
      <c r="I48" t="inlineStr">
        <is>
          <t>Become undetectable</t>
        </is>
      </c>
      <c r="J48" t="inlineStr">
        <is>
          <t>N/A</t>
        </is>
      </c>
      <c r="K48" t="inlineStr">
        <is>
          <t>Stalker</t>
        </is>
      </c>
    </row>
    <row r="49">
      <c r="A49" t="inlineStr">
        <is>
          <t>Jabberwock</t>
        </is>
      </c>
      <c r="B49" t="inlineStr">
        <is>
          <t>Traditional</t>
        </is>
      </c>
      <c r="C49" t="inlineStr">
        <is>
          <t>3-High</t>
        </is>
      </c>
      <c r="D49" t="inlineStr">
        <is>
          <t>1x1</t>
        </is>
      </c>
      <c r="E49" t="inlineStr">
        <is>
          <t>NetHack</t>
        </is>
      </c>
      <c r="F49" t="n">
        <v>1</v>
      </c>
      <c r="G49" t="n">
        <v>3</v>
      </c>
      <c r="H49" t="inlineStr">
        <is>
          <t>Feat</t>
        </is>
      </c>
      <c r="I49" t="inlineStr">
        <is>
          <t>Behead an enemy</t>
        </is>
      </c>
      <c r="J49" t="inlineStr">
        <is>
          <t>N/A</t>
        </is>
      </c>
      <c r="K49" t="inlineStr">
        <is>
          <t>Jabberwock</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39"/>
  <sheetViews>
    <sheetView workbookViewId="0">
      <selection activeCell="H34" sqref="H34"/>
    </sheetView>
  </sheetViews>
  <sheetFormatPr baseColWidth="8" defaultRowHeight="15"/>
  <cols>
    <col width="20" bestFit="1" customWidth="1" min="1" max="1"/>
    <col width="11.7109375" bestFit="1" customWidth="1" min="2" max="2"/>
    <col width="11.28515625" customWidth="1" min="3" max="4"/>
    <col width="26.5703125" bestFit="1" customWidth="1" min="5" max="5"/>
    <col width="10.28515625" customWidth="1" min="7" max="7"/>
    <col width="12" customWidth="1" min="8" max="8"/>
    <col width="57.5703125" bestFit="1" customWidth="1" min="9" max="9"/>
    <col width="18.5703125" bestFit="1" customWidth="1" min="11" max="11"/>
    <col width="16.5703125" bestFit="1" customWidth="1" min="12" max="12"/>
  </cols>
  <sheetData>
    <row r="1">
      <c r="A1" t="inlineStr">
        <is>
          <t>Name</t>
        </is>
      </c>
      <c r="B1" t="inlineStr">
        <is>
          <t>Type</t>
        </is>
      </c>
      <c r="C1" t="inlineStr">
        <is>
          <t>Difficulty</t>
        </is>
      </c>
      <c r="D1" t="inlineStr">
        <is>
          <t>Size</t>
        </is>
      </c>
      <c r="E1" t="inlineStr">
        <is>
          <t>Game</t>
        </is>
      </c>
      <c r="F1" t="inlineStr">
        <is>
          <t>Health</t>
        </is>
      </c>
      <c r="G1" t="inlineStr">
        <is>
          <t>Damage</t>
        </is>
      </c>
      <c r="H1" t="inlineStr">
        <is>
          <t>Goal Type</t>
        </is>
      </c>
      <c r="I1" t="inlineStr">
        <is>
          <t>Goal</t>
        </is>
      </c>
      <c r="J1" t="inlineStr">
        <is>
          <t>Ability</t>
        </is>
      </c>
      <c r="K1" t="inlineStr">
        <is>
          <t>File</t>
        </is>
      </c>
      <c r="L1" t="inlineStr">
        <is>
          <t>Tag</t>
        </is>
      </c>
    </row>
    <row r="2">
      <c r="A2" t="inlineStr">
        <is>
          <t>Beholster</t>
        </is>
      </c>
      <c r="B2" t="inlineStr">
        <is>
          <t>Action</t>
        </is>
      </c>
      <c r="C2" t="inlineStr">
        <is>
          <t>1-Low</t>
        </is>
      </c>
      <c r="D2" t="inlineStr">
        <is>
          <t>2x2</t>
        </is>
      </c>
      <c r="E2" t="inlineStr">
        <is>
          <t>Enter the Gungeon</t>
        </is>
      </c>
      <c r="F2" t="n">
        <v>1</v>
      </c>
      <c r="G2" t="n">
        <v>3</v>
      </c>
      <c r="H2" t="inlineStr">
        <is>
          <t>Fetch</t>
        </is>
      </c>
      <c r="I2" t="inlineStr">
        <is>
          <t>Obtain 6+ Guns</t>
        </is>
      </c>
      <c r="J2" t="inlineStr">
        <is>
          <t>N/A</t>
        </is>
      </c>
      <c r="K2" t="inlineStr">
        <is>
          <t>Beholster</t>
        </is>
      </c>
      <c r="L2" t="inlineStr">
        <is>
          <t>gun</t>
        </is>
      </c>
    </row>
    <row r="3">
      <c r="A3" t="inlineStr">
        <is>
          <t>Big Chunk</t>
        </is>
      </c>
      <c r="B3" t="inlineStr">
        <is>
          <t>Action</t>
        </is>
      </c>
      <c r="C3" t="inlineStr">
        <is>
          <t>1-Low</t>
        </is>
      </c>
      <c r="D3" t="inlineStr">
        <is>
          <t>2x2</t>
        </is>
      </c>
      <c r="E3" t="inlineStr">
        <is>
          <t>Muck</t>
        </is>
      </c>
      <c r="F3" t="n">
        <v>1</v>
      </c>
      <c r="G3" t="n">
        <v>3</v>
      </c>
      <c r="H3" t="inlineStr">
        <is>
          <t>Bounty</t>
        </is>
      </c>
      <c r="I3" t="inlineStr">
        <is>
          <t>Defeat an enemy made of stone</t>
        </is>
      </c>
      <c r="J3" t="inlineStr">
        <is>
          <t>N/A</t>
        </is>
      </c>
      <c r="K3" t="inlineStr">
        <is>
          <t>BigChunk</t>
        </is>
      </c>
      <c r="L3" t="inlineStr">
        <is>
          <t>rock</t>
        </is>
      </c>
    </row>
    <row r="4">
      <c r="A4" t="inlineStr">
        <is>
          <t>Colossus</t>
        </is>
      </c>
      <c r="B4" t="inlineStr">
        <is>
          <t>Action</t>
        </is>
      </c>
      <c r="C4" t="inlineStr">
        <is>
          <t>1-Low</t>
        </is>
      </c>
      <c r="D4" t="inlineStr">
        <is>
          <t>2x2</t>
        </is>
      </c>
      <c r="E4" t="inlineStr">
        <is>
          <t>Risk of Rain</t>
        </is>
      </c>
      <c r="F4" t="n">
        <v>1</v>
      </c>
      <c r="G4" t="n">
        <v>3</v>
      </c>
      <c r="H4" t="inlineStr">
        <is>
          <t>Discovery</t>
        </is>
      </c>
      <c r="I4" t="inlineStr">
        <is>
          <t>Witness a living structure</t>
        </is>
      </c>
      <c r="J4" t="inlineStr">
        <is>
          <t>N/A</t>
        </is>
      </c>
      <c r="K4" t="inlineStr">
        <is>
          <t>Colossus</t>
        </is>
      </c>
    </row>
    <row r="5">
      <c r="A5" t="inlineStr">
        <is>
          <t>Famine</t>
        </is>
      </c>
      <c r="B5" t="inlineStr">
        <is>
          <t>Action</t>
        </is>
      </c>
      <c r="C5" t="inlineStr">
        <is>
          <t>1-Low</t>
        </is>
      </c>
      <c r="D5" t="inlineStr">
        <is>
          <t>1x1</t>
        </is>
      </c>
      <c r="E5" t="inlineStr">
        <is>
          <t>The Binding of Isaac</t>
        </is>
      </c>
      <c r="F5" t="n">
        <v>1</v>
      </c>
      <c r="G5" t="n">
        <v>3</v>
      </c>
      <c r="H5" t="inlineStr">
        <is>
          <t>Restriction</t>
        </is>
      </c>
      <c r="I5" t="inlineStr">
        <is>
          <t>Don't eat any food</t>
        </is>
      </c>
      <c r="J5" t="inlineStr">
        <is>
          <t>N/A</t>
        </is>
      </c>
      <c r="K5" t="inlineStr">
        <is>
          <t>Famine</t>
        </is>
      </c>
    </row>
    <row r="6">
      <c r="A6" t="inlineStr">
        <is>
          <t>Mega Fatty</t>
        </is>
      </c>
      <c r="B6" t="inlineStr">
        <is>
          <t>Action</t>
        </is>
      </c>
      <c r="C6" t="inlineStr">
        <is>
          <t>1-Low</t>
        </is>
      </c>
      <c r="D6" t="inlineStr">
        <is>
          <t>2x2</t>
        </is>
      </c>
      <c r="E6" t="inlineStr">
        <is>
          <t>The Binding of Isaac: Rebirth</t>
        </is>
      </c>
      <c r="F6" t="n">
        <v>1</v>
      </c>
      <c r="G6" t="n">
        <v>3</v>
      </c>
      <c r="H6" t="inlineStr">
        <is>
          <t>Bounty</t>
        </is>
      </c>
      <c r="I6" t="inlineStr">
        <is>
          <t>Defeat an obese enemy</t>
        </is>
      </c>
      <c r="J6" t="inlineStr">
        <is>
          <t>N/A</t>
        </is>
      </c>
      <c r="K6" t="inlineStr">
        <is>
          <t>MegaFatty</t>
        </is>
      </c>
    </row>
    <row r="7">
      <c r="A7" t="inlineStr">
        <is>
          <t>Megaera</t>
        </is>
      </c>
      <c r="B7" t="inlineStr">
        <is>
          <t>Action</t>
        </is>
      </c>
      <c r="C7" t="inlineStr">
        <is>
          <t>1-Low</t>
        </is>
      </c>
      <c r="D7" t="inlineStr">
        <is>
          <t>1x1</t>
        </is>
      </c>
      <c r="E7" t="inlineStr">
        <is>
          <t>Hades</t>
        </is>
      </c>
      <c r="F7" t="n">
        <v>1</v>
      </c>
      <c r="G7" t="n">
        <v>3</v>
      </c>
      <c r="H7" t="inlineStr">
        <is>
          <t>Fetch</t>
        </is>
      </c>
      <c r="I7" t="inlineStr">
        <is>
          <t>Date someone</t>
        </is>
      </c>
      <c r="J7" t="inlineStr">
        <is>
          <t>N/A</t>
        </is>
      </c>
      <c r="K7" t="inlineStr">
        <is>
          <t>Megaera</t>
        </is>
      </c>
    </row>
    <row r="8">
      <c r="A8" t="inlineStr">
        <is>
          <t>Steven</t>
        </is>
      </c>
      <c r="B8" t="inlineStr">
        <is>
          <t>Action</t>
        </is>
      </c>
      <c r="C8" t="inlineStr">
        <is>
          <t>1-Low</t>
        </is>
      </c>
      <c r="D8" t="inlineStr">
        <is>
          <t>1x1</t>
        </is>
      </c>
      <c r="E8" t="inlineStr">
        <is>
          <t>The Binding of Isaac</t>
        </is>
      </c>
      <c r="F8" t="n">
        <v>1</v>
      </c>
      <c r="G8" t="n">
        <v>3</v>
      </c>
      <c r="H8" t="inlineStr">
        <is>
          <t>Discovery</t>
        </is>
      </c>
      <c r="I8" t="inlineStr">
        <is>
          <t>Be in a time loop</t>
        </is>
      </c>
      <c r="J8" t="inlineStr">
        <is>
          <t>N/A</t>
        </is>
      </c>
      <c r="K8" t="inlineStr">
        <is>
          <t>Steven</t>
        </is>
      </c>
    </row>
    <row r="9">
      <c r="A9" t="inlineStr">
        <is>
          <t>Charon</t>
        </is>
      </c>
      <c r="B9" t="inlineStr">
        <is>
          <t>Action</t>
        </is>
      </c>
      <c r="C9" t="inlineStr">
        <is>
          <t>2-Medium</t>
        </is>
      </c>
      <c r="D9" t="inlineStr">
        <is>
          <t>2x1</t>
        </is>
      </c>
      <c r="E9" t="inlineStr">
        <is>
          <t>Hades</t>
        </is>
      </c>
      <c r="F9" t="n">
        <v>1</v>
      </c>
      <c r="G9" t="n">
        <v>5</v>
      </c>
      <c r="H9" t="inlineStr">
        <is>
          <t>Fetch</t>
        </is>
      </c>
      <c r="I9" t="inlineStr">
        <is>
          <t>Steal from a shop</t>
        </is>
      </c>
      <c r="J9" t="inlineStr">
        <is>
          <t>N/A</t>
        </is>
      </c>
      <c r="K9" t="inlineStr">
        <is>
          <t>Charon</t>
        </is>
      </c>
    </row>
    <row r="10">
      <c r="A10" t="inlineStr">
        <is>
          <t>Mom's Heart</t>
        </is>
      </c>
      <c r="B10" t="inlineStr">
        <is>
          <t>Action</t>
        </is>
      </c>
      <c r="C10" t="inlineStr">
        <is>
          <t>2-Medium</t>
        </is>
      </c>
      <c r="D10" t="inlineStr">
        <is>
          <t>1x1</t>
        </is>
      </c>
      <c r="E10" t="inlineStr">
        <is>
          <t>The Binding of Isaac</t>
        </is>
      </c>
      <c r="F10" t="n">
        <v>1</v>
      </c>
      <c r="G10" t="n">
        <v>5</v>
      </c>
      <c r="H10" t="inlineStr">
        <is>
          <t>Feat</t>
        </is>
      </c>
      <c r="I10" t="inlineStr">
        <is>
          <t>Break a Heart</t>
        </is>
      </c>
      <c r="J10" t="inlineStr">
        <is>
          <t>N/A</t>
        </is>
      </c>
      <c r="K10" t="inlineStr">
        <is>
          <t>MomsHeart</t>
        </is>
      </c>
    </row>
    <row r="11">
      <c r="A11" t="inlineStr">
        <is>
          <t>Royal Phalanx</t>
        </is>
      </c>
      <c r="B11" t="inlineStr">
        <is>
          <t>Action</t>
        </is>
      </c>
      <c r="C11" t="inlineStr">
        <is>
          <t>2-Medium</t>
        </is>
      </c>
      <c r="D11" t="inlineStr">
        <is>
          <t>1x1</t>
        </is>
      </c>
      <c r="E11" t="inlineStr">
        <is>
          <t>Ember Knights</t>
        </is>
      </c>
      <c r="F11" t="n">
        <v>1</v>
      </c>
      <c r="G11" t="n">
        <v>5</v>
      </c>
      <c r="H11" t="inlineStr">
        <is>
          <t>Feat</t>
        </is>
      </c>
      <c r="I11" t="inlineStr">
        <is>
          <t>Block an attack with an element</t>
        </is>
      </c>
      <c r="J11" t="inlineStr">
        <is>
          <t>N/A</t>
        </is>
      </c>
      <c r="K11" t="inlineStr">
        <is>
          <t>RoyalPhalanx</t>
        </is>
      </c>
    </row>
    <row r="12">
      <c r="A12" t="inlineStr">
        <is>
          <t>Scylla</t>
        </is>
      </c>
      <c r="B12" t="inlineStr">
        <is>
          <t>Action</t>
        </is>
      </c>
      <c r="C12" t="inlineStr">
        <is>
          <t>2-Medium</t>
        </is>
      </c>
      <c r="D12" t="inlineStr">
        <is>
          <t>1x1</t>
        </is>
      </c>
      <c r="E12" t="inlineStr">
        <is>
          <t>Hades II</t>
        </is>
      </c>
      <c r="F12" t="n">
        <v>1</v>
      </c>
      <c r="G12" t="n">
        <v>5</v>
      </c>
      <c r="H12" t="inlineStr">
        <is>
          <t>Feat</t>
        </is>
      </c>
      <c r="I12" t="inlineStr">
        <is>
          <t>Perform a song</t>
        </is>
      </c>
      <c r="J12" t="inlineStr">
        <is>
          <t>N/A</t>
        </is>
      </c>
      <c r="K12" t="inlineStr">
        <is>
          <t>Scylla</t>
        </is>
      </c>
    </row>
    <row r="13">
      <c r="A13" t="inlineStr">
        <is>
          <t>Isaac</t>
        </is>
      </c>
      <c r="B13" t="inlineStr">
        <is>
          <t>Action</t>
        </is>
      </c>
      <c r="C13" t="inlineStr">
        <is>
          <t>3-High</t>
        </is>
      </c>
      <c r="D13" t="inlineStr">
        <is>
          <t>1x1</t>
        </is>
      </c>
      <c r="E13" t="inlineStr">
        <is>
          <t>The Binding of Isaac</t>
        </is>
      </c>
      <c r="F13" t="n">
        <v>1</v>
      </c>
      <c r="G13" t="n">
        <v>7</v>
      </c>
      <c r="H13" t="inlineStr">
        <is>
          <t>Bounty</t>
        </is>
      </c>
      <c r="I13" t="inlineStr">
        <is>
          <t>Defeat yourself</t>
        </is>
      </c>
      <c r="J13" t="inlineStr">
        <is>
          <t>N/A</t>
        </is>
      </c>
      <c r="K13" t="inlineStr">
        <is>
          <t>Isaac</t>
        </is>
      </c>
    </row>
    <row r="14">
      <c r="A14" t="inlineStr">
        <is>
          <t>Lich</t>
        </is>
      </c>
      <c r="B14" t="inlineStr">
        <is>
          <t>Action</t>
        </is>
      </c>
      <c r="C14" t="inlineStr">
        <is>
          <t>4-Insane</t>
        </is>
      </c>
      <c r="D14" t="inlineStr">
        <is>
          <t>1x2</t>
        </is>
      </c>
      <c r="E14" t="inlineStr">
        <is>
          <t>Enter the Gungeon</t>
        </is>
      </c>
      <c r="F14" t="n">
        <v>1</v>
      </c>
      <c r="G14" t="n">
        <v>9</v>
      </c>
      <c r="H14" t="inlineStr">
        <is>
          <t>Bounty</t>
        </is>
      </c>
      <c r="I14" t="inlineStr">
        <is>
          <t>Defeat a magic enemy with a gun</t>
        </is>
      </c>
      <c r="J14" t="inlineStr">
        <is>
          <t>N/A</t>
        </is>
      </c>
      <c r="K14" t="inlineStr">
        <is>
          <t>Lich</t>
        </is>
      </c>
      <c r="L14" t="inlineStr">
        <is>
          <t>undead, skeleton</t>
        </is>
      </c>
    </row>
    <row r="15">
      <c r="A15" t="inlineStr">
        <is>
          <t xml:space="preserve">Lagavulin </t>
        </is>
      </c>
      <c r="B15" t="inlineStr">
        <is>
          <t>Deckbuilder</t>
        </is>
      </c>
      <c r="C15" t="inlineStr">
        <is>
          <t>1-Low</t>
        </is>
      </c>
      <c r="D15" t="inlineStr">
        <is>
          <t>2x2</t>
        </is>
      </c>
      <c r="E15" t="inlineStr">
        <is>
          <t>Slay the Spire</t>
        </is>
      </c>
      <c r="F15" t="n">
        <v>1</v>
      </c>
      <c r="G15" t="n">
        <v>3</v>
      </c>
      <c r="H15" t="inlineStr">
        <is>
          <t>Feat</t>
        </is>
      </c>
      <c r="I15" t="inlineStr">
        <is>
          <t>Go to sleep</t>
        </is>
      </c>
      <c r="J15" t="inlineStr">
        <is>
          <t>N/A</t>
        </is>
      </c>
      <c r="K15" t="inlineStr">
        <is>
          <t>Lagavulin</t>
        </is>
      </c>
    </row>
    <row r="16">
      <c r="A16" t="inlineStr">
        <is>
          <t>Vantom</t>
        </is>
      </c>
      <c r="B16" t="inlineStr">
        <is>
          <t>Deckbuilder</t>
        </is>
      </c>
      <c r="C16" t="inlineStr">
        <is>
          <t>1-Low</t>
        </is>
      </c>
      <c r="D16" t="inlineStr">
        <is>
          <t>1x1</t>
        </is>
      </c>
      <c r="E16" t="inlineStr">
        <is>
          <t>Slay the Spire 2</t>
        </is>
      </c>
      <c r="F16" t="n">
        <v>1</v>
      </c>
      <c r="G16" t="n">
        <v>3</v>
      </c>
      <c r="H16" t="inlineStr">
        <is>
          <t>Feat</t>
        </is>
      </c>
      <c r="I16" t="inlineStr">
        <is>
          <t>Use an attack that hits 4+ times</t>
        </is>
      </c>
      <c r="J16" t="inlineStr">
        <is>
          <t>N/A</t>
        </is>
      </c>
      <c r="K16" t="inlineStr">
        <is>
          <t>Vantom</t>
        </is>
      </c>
    </row>
    <row r="17">
      <c r="A17" t="inlineStr">
        <is>
          <t>The Club</t>
        </is>
      </c>
      <c r="B17" t="inlineStr">
        <is>
          <t>Deckbuilder</t>
        </is>
      </c>
      <c r="C17" t="inlineStr">
        <is>
          <t>2-Medium</t>
        </is>
      </c>
      <c r="D17" t="inlineStr">
        <is>
          <t>1x1</t>
        </is>
      </c>
      <c r="E17" t="inlineStr">
        <is>
          <t>Balatro</t>
        </is>
      </c>
      <c r="F17" t="n">
        <v>1</v>
      </c>
      <c r="G17" t="n">
        <v>5</v>
      </c>
      <c r="H17" t="inlineStr">
        <is>
          <t>Restriction</t>
        </is>
      </c>
      <c r="I17" t="inlineStr">
        <is>
          <t>Do not backtrack</t>
        </is>
      </c>
      <c r="J17" t="inlineStr">
        <is>
          <t>N/A</t>
        </is>
      </c>
      <c r="K17" t="inlineStr">
        <is>
          <t>TheClub</t>
        </is>
      </c>
    </row>
    <row r="18">
      <c r="A18" t="inlineStr">
        <is>
          <t>The Goad</t>
        </is>
      </c>
      <c r="B18" t="inlineStr">
        <is>
          <t>Deckbuilder</t>
        </is>
      </c>
      <c r="C18" t="inlineStr">
        <is>
          <t>2-Medium</t>
        </is>
      </c>
      <c r="D18" t="inlineStr">
        <is>
          <t>1x1</t>
        </is>
      </c>
      <c r="E18" t="inlineStr">
        <is>
          <t>Balatro</t>
        </is>
      </c>
      <c r="F18" t="n">
        <v>1</v>
      </c>
      <c r="G18" t="n">
        <v>5</v>
      </c>
      <c r="H18" t="inlineStr">
        <is>
          <t>Restriction</t>
        </is>
      </c>
      <c r="I18" t="inlineStr">
        <is>
          <t>Do not use a weapon</t>
        </is>
      </c>
      <c r="J18" t="inlineStr">
        <is>
          <t>N/A</t>
        </is>
      </c>
      <c r="K18" t="inlineStr">
        <is>
          <t>TheGoad</t>
        </is>
      </c>
    </row>
    <row r="19">
      <c r="A19" t="inlineStr">
        <is>
          <t>The Head</t>
        </is>
      </c>
      <c r="B19" t="inlineStr">
        <is>
          <t>Deckbuilder</t>
        </is>
      </c>
      <c r="C19" t="inlineStr">
        <is>
          <t>2-Medium</t>
        </is>
      </c>
      <c r="D19" t="inlineStr">
        <is>
          <t>1x1</t>
        </is>
      </c>
      <c r="E19" t="inlineStr">
        <is>
          <t>Balatro</t>
        </is>
      </c>
      <c r="F19" t="n">
        <v>1</v>
      </c>
      <c r="G19" t="n">
        <v>5</v>
      </c>
      <c r="H19" t="inlineStr">
        <is>
          <t>Restriction</t>
        </is>
      </c>
      <c r="I19" t="inlineStr">
        <is>
          <t>Do not purposefully heal</t>
        </is>
      </c>
      <c r="J19" t="inlineStr">
        <is>
          <t>N/A</t>
        </is>
      </c>
      <c r="K19" t="inlineStr">
        <is>
          <t>TheHead</t>
        </is>
      </c>
    </row>
    <row r="20">
      <c r="A20" t="inlineStr">
        <is>
          <t xml:space="preserve">The Insatiable </t>
        </is>
      </c>
      <c r="B20" t="inlineStr">
        <is>
          <t>Deckbuilder</t>
        </is>
      </c>
      <c r="C20" t="inlineStr">
        <is>
          <t>2-Medium</t>
        </is>
      </c>
      <c r="D20" t="inlineStr">
        <is>
          <t>2x2</t>
        </is>
      </c>
      <c r="E20" t="inlineStr">
        <is>
          <t>Slay the Spire 2</t>
        </is>
      </c>
      <c r="F20" t="n">
        <v>1</v>
      </c>
      <c r="G20" t="n">
        <v>5</v>
      </c>
      <c r="H20" t="inlineStr">
        <is>
          <t>Bounty</t>
        </is>
      </c>
      <c r="I20" t="inlineStr">
        <is>
          <t>Consume an enemy</t>
        </is>
      </c>
      <c r="J20" t="inlineStr">
        <is>
          <t>N/A</t>
        </is>
      </c>
      <c r="K20" t="inlineStr">
        <is>
          <t>TheInsatiable</t>
        </is>
      </c>
    </row>
    <row r="21">
      <c r="A21" t="inlineStr">
        <is>
          <t>The Window</t>
        </is>
      </c>
      <c r="B21" t="inlineStr">
        <is>
          <t>Deckbuilder</t>
        </is>
      </c>
      <c r="C21" t="inlineStr">
        <is>
          <t>2-Medium</t>
        </is>
      </c>
      <c r="D21" t="inlineStr">
        <is>
          <t>1x1</t>
        </is>
      </c>
      <c r="E21" t="inlineStr">
        <is>
          <t>Balatro</t>
        </is>
      </c>
      <c r="F21" t="n">
        <v>1</v>
      </c>
      <c r="G21" t="n">
        <v>5</v>
      </c>
      <c r="H21" t="inlineStr">
        <is>
          <t>Restriction</t>
        </is>
      </c>
      <c r="I21" t="inlineStr">
        <is>
          <t>Do not spend currency</t>
        </is>
      </c>
      <c r="J21" t="inlineStr">
        <is>
          <t>N/A</t>
        </is>
      </c>
      <c r="K21" t="inlineStr">
        <is>
          <t>TheWindow</t>
        </is>
      </c>
    </row>
    <row r="22">
      <c r="A22" t="inlineStr">
        <is>
          <t>Cerulean Bell</t>
        </is>
      </c>
      <c r="B22" t="inlineStr">
        <is>
          <t>Deckbuilder</t>
        </is>
      </c>
      <c r="C22" t="inlineStr">
        <is>
          <t>3-High</t>
        </is>
      </c>
      <c r="D22" t="inlineStr">
        <is>
          <t>1x1</t>
        </is>
      </c>
      <c r="E22" t="inlineStr">
        <is>
          <t>Balatro</t>
        </is>
      </c>
      <c r="F22" t="n">
        <v>1</v>
      </c>
      <c r="G22" t="n">
        <v>7</v>
      </c>
      <c r="H22" t="inlineStr">
        <is>
          <t>Restriction</t>
        </is>
      </c>
      <c r="I22" t="inlineStr">
        <is>
          <t>When taking reward options, only take the first option offered</t>
        </is>
      </c>
      <c r="J22" t="inlineStr">
        <is>
          <t>N/A</t>
        </is>
      </c>
      <c r="K22" t="inlineStr">
        <is>
          <t>CeruleanBell</t>
        </is>
      </c>
    </row>
    <row r="23">
      <c r="A23" t="inlineStr">
        <is>
          <t>Time Eater</t>
        </is>
      </c>
      <c r="B23" t="inlineStr">
        <is>
          <t>Deckbuilder</t>
        </is>
      </c>
      <c r="C23" t="inlineStr">
        <is>
          <t>3-High</t>
        </is>
      </c>
      <c r="D23" t="inlineStr">
        <is>
          <t>1x1</t>
        </is>
      </c>
      <c r="E23" t="inlineStr">
        <is>
          <t>Slay the Spire</t>
        </is>
      </c>
      <c r="F23" t="n">
        <v>1</v>
      </c>
      <c r="G23" t="n">
        <v>7</v>
      </c>
      <c r="H23" t="inlineStr">
        <is>
          <t>Restriction</t>
        </is>
      </c>
      <c r="I23" t="inlineStr">
        <is>
          <t>Beat the game in 2 hours or less</t>
        </is>
      </c>
      <c r="J23" t="inlineStr">
        <is>
          <t>N/A</t>
        </is>
      </c>
      <c r="K23" t="inlineStr">
        <is>
          <t>TimeEater</t>
        </is>
      </c>
    </row>
    <row r="24">
      <c r="A24" t="inlineStr">
        <is>
          <t>Corrupt Heart</t>
        </is>
      </c>
      <c r="B24" t="inlineStr">
        <is>
          <t>Deckbuilder</t>
        </is>
      </c>
      <c r="C24" t="inlineStr">
        <is>
          <t>4-Insane</t>
        </is>
      </c>
      <c r="D24" t="inlineStr">
        <is>
          <t>2x2</t>
        </is>
      </c>
      <c r="E24" t="inlineStr">
        <is>
          <t>Slay the Spire</t>
        </is>
      </c>
      <c r="F24" t="n">
        <v>1</v>
      </c>
      <c r="G24" t="n">
        <v>9</v>
      </c>
      <c r="H24" t="inlineStr">
        <is>
          <t>Feat</t>
        </is>
      </c>
      <c r="I24" t="inlineStr">
        <is>
          <t>Get the true ending on the hardest difficulty possible</t>
        </is>
      </c>
      <c r="J24" t="inlineStr">
        <is>
          <t>N/A</t>
        </is>
      </c>
      <c r="K24" t="inlineStr">
        <is>
          <t>CorruptHeart</t>
        </is>
      </c>
    </row>
    <row r="25">
      <c r="A25" t="inlineStr">
        <is>
          <t>Giant Spider</t>
        </is>
      </c>
      <c r="B25" t="inlineStr">
        <is>
          <t>Strategy</t>
        </is>
      </c>
      <c r="C25" t="inlineStr">
        <is>
          <t>1-Low</t>
        </is>
      </c>
      <c r="D25" t="inlineStr">
        <is>
          <t>2x2</t>
        </is>
      </c>
      <c r="E25" t="inlineStr">
        <is>
          <t>Forward: Escape the Fold</t>
        </is>
      </c>
      <c r="F25" t="n">
        <v>1</v>
      </c>
      <c r="G25" t="n">
        <v>3</v>
      </c>
      <c r="H25" t="inlineStr">
        <is>
          <t>Bounty</t>
        </is>
      </c>
      <c r="I25" t="inlineStr">
        <is>
          <t>Defeat a bug larger than you</t>
        </is>
      </c>
      <c r="J25" t="inlineStr">
        <is>
          <t>N/A</t>
        </is>
      </c>
      <c r="K25" t="inlineStr">
        <is>
          <t>GiantSpider</t>
        </is>
      </c>
      <c r="L25" t="inlineStr">
        <is>
          <t>bug, spider</t>
        </is>
      </c>
    </row>
    <row r="26">
      <c r="A26" t="inlineStr">
        <is>
          <t>Hickory</t>
        </is>
      </c>
      <c r="B26" t="inlineStr">
        <is>
          <t>Strategy</t>
        </is>
      </c>
      <c r="C26" t="inlineStr">
        <is>
          <t>1-Low</t>
        </is>
      </c>
      <c r="D26" t="inlineStr">
        <is>
          <t>1x1</t>
        </is>
      </c>
      <c r="E26" t="inlineStr">
        <is>
          <t>Brutal Orchestra</t>
        </is>
      </c>
      <c r="F26" t="n">
        <v>1</v>
      </c>
      <c r="G26" t="n">
        <v>3</v>
      </c>
      <c r="H26" t="inlineStr">
        <is>
          <t>Feat</t>
        </is>
      </c>
      <c r="I26" t="inlineStr">
        <is>
          <t>Light a liquid on fire</t>
        </is>
      </c>
      <c r="J26" t="inlineStr">
        <is>
          <t>N/A</t>
        </is>
      </c>
      <c r="K26" t="inlineStr">
        <is>
          <t>Hickory</t>
        </is>
      </c>
      <c r="L26" t="inlineStr">
        <is>
          <t>fire</t>
        </is>
      </c>
    </row>
    <row r="27">
      <c r="A27" t="inlineStr">
        <is>
          <t>Marshmallow</t>
        </is>
      </c>
      <c r="B27" t="inlineStr">
        <is>
          <t>Strategy</t>
        </is>
      </c>
      <c r="C27" t="inlineStr">
        <is>
          <t>1-Low</t>
        </is>
      </c>
      <c r="D27" t="inlineStr">
        <is>
          <t>1x1</t>
        </is>
      </c>
      <c r="E27" t="inlineStr">
        <is>
          <t>Mewgenics</t>
        </is>
      </c>
      <c r="F27" t="n">
        <v>1</v>
      </c>
      <c r="G27" t="n">
        <v>3</v>
      </c>
      <c r="H27" t="inlineStr">
        <is>
          <t>Feat</t>
        </is>
      </c>
      <c r="I27" t="inlineStr">
        <is>
          <t>Have an enemy defeat another enemy</t>
        </is>
      </c>
      <c r="J27" t="inlineStr">
        <is>
          <t>N/A</t>
        </is>
      </c>
      <c r="K27" t="inlineStr">
        <is>
          <t>Marshmallow</t>
        </is>
      </c>
      <c r="L27" t="inlineStr">
        <is>
          <t>cat</t>
        </is>
      </c>
    </row>
    <row r="28">
      <c r="A28" t="inlineStr">
        <is>
          <t>Mobius</t>
        </is>
      </c>
      <c r="B28" t="inlineStr">
        <is>
          <t>Strategy</t>
        </is>
      </c>
      <c r="C28" t="inlineStr">
        <is>
          <t>1-Low</t>
        </is>
      </c>
      <c r="D28" t="inlineStr">
        <is>
          <t>2x2</t>
        </is>
      </c>
      <c r="E28" t="inlineStr">
        <is>
          <t>Brutal Orchestra</t>
        </is>
      </c>
      <c r="F28" t="n">
        <v>1</v>
      </c>
      <c r="G28" t="n">
        <v>3</v>
      </c>
      <c r="H28" t="inlineStr">
        <is>
          <t>Fetch</t>
        </is>
      </c>
      <c r="I28" t="inlineStr">
        <is>
          <t>Obtain a large fish</t>
        </is>
      </c>
      <c r="J28" t="inlineStr">
        <is>
          <t>N/A</t>
        </is>
      </c>
      <c r="K28" t="inlineStr">
        <is>
          <t>Mobius</t>
        </is>
      </c>
      <c r="L28" t="inlineStr">
        <is>
          <t>fish</t>
        </is>
      </c>
    </row>
    <row r="29">
      <c r="A29" t="inlineStr">
        <is>
          <t>Morana</t>
        </is>
      </c>
      <c r="B29" t="inlineStr">
        <is>
          <t>Strategy</t>
        </is>
      </c>
      <c r="C29" t="inlineStr">
        <is>
          <t>1-Low</t>
        </is>
      </c>
      <c r="D29" t="inlineStr">
        <is>
          <t>1x1</t>
        </is>
      </c>
      <c r="E29" t="inlineStr">
        <is>
          <t>Mewgenics</t>
        </is>
      </c>
      <c r="F29" t="n">
        <v>1</v>
      </c>
      <c r="G29" t="n">
        <v>3</v>
      </c>
      <c r="H29" t="inlineStr">
        <is>
          <t>Feat</t>
        </is>
      </c>
      <c r="I29" t="inlineStr">
        <is>
          <t>Raise the dead</t>
        </is>
      </c>
      <c r="J29" t="inlineStr">
        <is>
          <t>N/A</t>
        </is>
      </c>
      <c r="K29" t="inlineStr">
        <is>
          <t>Morana</t>
        </is>
      </c>
      <c r="L29" t="inlineStr">
        <is>
          <t>cat</t>
        </is>
      </c>
    </row>
    <row r="30">
      <c r="A30" t="inlineStr">
        <is>
          <t>Trigger Fingers</t>
        </is>
      </c>
      <c r="B30" t="inlineStr">
        <is>
          <t>Strategy</t>
        </is>
      </c>
      <c r="C30" t="inlineStr">
        <is>
          <t>1-Low</t>
        </is>
      </c>
      <c r="D30" t="inlineStr">
        <is>
          <t>1x1</t>
        </is>
      </c>
      <c r="E30" t="inlineStr">
        <is>
          <t>Brutal Orchestra</t>
        </is>
      </c>
      <c r="F30" t="n">
        <v>1</v>
      </c>
      <c r="G30" t="n">
        <v>3</v>
      </c>
      <c r="H30" t="inlineStr">
        <is>
          <t>Bounty</t>
        </is>
      </c>
      <c r="I30" t="inlineStr">
        <is>
          <t>Defeat a fascist</t>
        </is>
      </c>
      <c r="J30" t="inlineStr">
        <is>
          <t>N/A</t>
        </is>
      </c>
      <c r="K30" t="inlineStr">
        <is>
          <t>TriggerFingers</t>
        </is>
      </c>
    </row>
    <row r="31">
      <c r="A31" t="inlineStr">
        <is>
          <t>Flushmaster</t>
        </is>
      </c>
      <c r="B31" t="inlineStr">
        <is>
          <t>Strategy</t>
        </is>
      </c>
      <c r="C31" t="inlineStr">
        <is>
          <t>2-Medium</t>
        </is>
      </c>
      <c r="D31" t="inlineStr">
        <is>
          <t>1x1</t>
        </is>
      </c>
      <c r="E31" t="inlineStr">
        <is>
          <t>Mewgenics</t>
        </is>
      </c>
      <c r="F31" t="n">
        <v>1</v>
      </c>
      <c r="G31" t="n">
        <v>5</v>
      </c>
      <c r="H31" t="inlineStr">
        <is>
          <t>Feat</t>
        </is>
      </c>
      <c r="I31" t="inlineStr">
        <is>
          <t>Flush or get flushed</t>
        </is>
      </c>
      <c r="J31" t="inlineStr">
        <is>
          <t>N/A</t>
        </is>
      </c>
      <c r="K31" t="inlineStr">
        <is>
          <t>Flushmaster</t>
        </is>
      </c>
    </row>
    <row r="32">
      <c r="A32" t="inlineStr">
        <is>
          <t>Lord Bunga</t>
        </is>
      </c>
      <c r="B32" t="inlineStr">
        <is>
          <t>Strategy</t>
        </is>
      </c>
      <c r="C32" t="inlineStr">
        <is>
          <t>2-Medium</t>
        </is>
      </c>
      <c r="D32" t="inlineStr">
        <is>
          <t>2x1</t>
        </is>
      </c>
      <c r="E32" t="inlineStr">
        <is>
          <t>Mewgenics</t>
        </is>
      </c>
      <c r="F32" t="n">
        <v>1</v>
      </c>
      <c r="G32" t="n">
        <v>5</v>
      </c>
      <c r="H32" t="inlineStr">
        <is>
          <t>Fetch</t>
        </is>
      </c>
      <c r="I32" t="inlineStr">
        <is>
          <t>Become a cannibal</t>
        </is>
      </c>
      <c r="J32" t="inlineStr">
        <is>
          <t>N/A</t>
        </is>
      </c>
      <c r="K32" t="inlineStr">
        <is>
          <t>LordBunga</t>
        </is>
      </c>
    </row>
    <row r="33">
      <c r="A33" t="inlineStr">
        <is>
          <t>Trampy</t>
        </is>
      </c>
      <c r="B33" t="inlineStr">
        <is>
          <t>Strategy</t>
        </is>
      </c>
      <c r="C33" t="inlineStr">
        <is>
          <t>2-Medium</t>
        </is>
      </c>
      <c r="D33" t="inlineStr">
        <is>
          <t>1x1</t>
        </is>
      </c>
      <c r="E33" t="inlineStr">
        <is>
          <t>Mewgenics</t>
        </is>
      </c>
      <c r="F33" t="n">
        <v>1</v>
      </c>
      <c r="G33" t="n">
        <v>5</v>
      </c>
      <c r="H33" t="inlineStr">
        <is>
          <t>Feat</t>
        </is>
      </c>
      <c r="I33" t="inlineStr">
        <is>
          <t>Get drunk</t>
        </is>
      </c>
      <c r="J33" t="inlineStr">
        <is>
          <t>N/A</t>
        </is>
      </c>
      <c r="K33" t="inlineStr">
        <is>
          <t>Trampy</t>
        </is>
      </c>
      <c r="L33" t="inlineStr">
        <is>
          <t>cat</t>
        </is>
      </c>
    </row>
    <row r="34">
      <c r="A34" t="inlineStr">
        <is>
          <t>The Man in the Moon</t>
        </is>
      </c>
      <c r="B34" t="inlineStr">
        <is>
          <t>Strategy</t>
        </is>
      </c>
      <c r="C34" t="inlineStr">
        <is>
          <t>3-High</t>
        </is>
      </c>
      <c r="D34" t="inlineStr">
        <is>
          <t>3x3</t>
        </is>
      </c>
      <c r="E34" t="inlineStr">
        <is>
          <t>Mewgenics</t>
        </is>
      </c>
      <c r="F34" t="n">
        <v>1</v>
      </c>
      <c r="G34" t="n">
        <v>7</v>
      </c>
      <c r="H34" t="inlineStr">
        <is>
          <t>Discovery</t>
        </is>
      </c>
      <c r="I34" t="inlineStr">
        <is>
          <t>Go to a Moon</t>
        </is>
      </c>
      <c r="J34" t="inlineStr">
        <is>
          <t>N/A</t>
        </is>
      </c>
      <c r="K34" t="inlineStr">
        <is>
          <t>TheManInTheMoon</t>
        </is>
      </c>
    </row>
    <row r="35">
      <c r="A35" t="inlineStr">
        <is>
          <t>Throbbing King</t>
        </is>
      </c>
      <c r="B35" t="inlineStr">
        <is>
          <t>Strategy</t>
        </is>
      </c>
      <c r="C35" t="inlineStr">
        <is>
          <t>3-High</t>
        </is>
      </c>
      <c r="D35" t="inlineStr">
        <is>
          <t>2x2</t>
        </is>
      </c>
      <c r="E35" t="inlineStr">
        <is>
          <t>Mewgenics</t>
        </is>
      </c>
      <c r="F35" t="n">
        <v>1</v>
      </c>
      <c r="G35" t="n">
        <v>7</v>
      </c>
      <c r="H35" t="inlineStr">
        <is>
          <t>Fetch</t>
        </is>
      </c>
      <c r="I35" t="inlineStr">
        <is>
          <t>Steal a body part</t>
        </is>
      </c>
      <c r="J35" t="inlineStr">
        <is>
          <t>N/A</t>
        </is>
      </c>
      <c r="K35" t="inlineStr">
        <is>
          <t>ThrobbingKing</t>
        </is>
      </c>
    </row>
    <row r="36">
      <c r="A36" t="inlineStr">
        <is>
          <t>The Creator</t>
        </is>
      </c>
      <c r="B36" t="inlineStr">
        <is>
          <t>Strategy</t>
        </is>
      </c>
      <c r="C36" t="inlineStr">
        <is>
          <t>4-Insane</t>
        </is>
      </c>
      <c r="D36" t="inlineStr">
        <is>
          <t>2x2</t>
        </is>
      </c>
      <c r="E36" t="inlineStr">
        <is>
          <t>Mewgenics</t>
        </is>
      </c>
      <c r="F36" t="n">
        <v>1</v>
      </c>
      <c r="G36" t="n">
        <v>9</v>
      </c>
      <c r="H36" t="inlineStr">
        <is>
          <t>Bounty</t>
        </is>
      </c>
      <c r="I36" t="inlineStr">
        <is>
          <t>Kill God</t>
        </is>
      </c>
      <c r="J36" t="inlineStr">
        <is>
          <t>N/A</t>
        </is>
      </c>
      <c r="K36" t="inlineStr">
        <is>
          <t>TheCreator</t>
        </is>
      </c>
      <c r="L36" t="inlineStr">
        <is>
          <t>god</t>
        </is>
      </c>
    </row>
    <row r="37">
      <c r="A37" t="inlineStr">
        <is>
          <t>Banshee</t>
        </is>
      </c>
      <c r="B37" t="inlineStr">
        <is>
          <t>Traditional</t>
        </is>
      </c>
      <c r="C37" t="inlineStr">
        <is>
          <t>1-Low</t>
        </is>
      </c>
      <c r="D37" t="inlineStr">
        <is>
          <t>1x1</t>
        </is>
      </c>
      <c r="E37" t="inlineStr">
        <is>
          <t>Crypt of the NecroDancer</t>
        </is>
      </c>
      <c r="F37" t="n">
        <v>1</v>
      </c>
      <c r="G37" t="n">
        <v>3</v>
      </c>
      <c r="H37" t="inlineStr">
        <is>
          <t>Restriction</t>
        </is>
      </c>
      <c r="I37" t="inlineStr">
        <is>
          <t>Mute the game</t>
        </is>
      </c>
      <c r="J37" t="inlineStr">
        <is>
          <t>N/A</t>
        </is>
      </c>
      <c r="K37" t="inlineStr">
        <is>
          <t>Banshee</t>
        </is>
      </c>
    </row>
    <row r="38">
      <c r="A38" t="inlineStr">
        <is>
          <t>Green Banshee</t>
        </is>
      </c>
      <c r="B38" t="inlineStr">
        <is>
          <t>Traditional</t>
        </is>
      </c>
      <c r="C38" t="inlineStr">
        <is>
          <t>2-Medium</t>
        </is>
      </c>
      <c r="D38" t="inlineStr">
        <is>
          <t>1x1</t>
        </is>
      </c>
      <c r="E38" t="inlineStr">
        <is>
          <t>Crypt of the NecroDancer</t>
        </is>
      </c>
      <c r="F38" t="n">
        <v>1</v>
      </c>
      <c r="G38" t="n">
        <v>5</v>
      </c>
      <c r="H38" t="inlineStr">
        <is>
          <t>Restriction</t>
        </is>
      </c>
      <c r="I38" t="inlineStr">
        <is>
          <t>Mute the game</t>
        </is>
      </c>
      <c r="J38" t="inlineStr">
        <is>
          <t>N/A</t>
        </is>
      </c>
      <c r="K38" t="inlineStr">
        <is>
          <t>GreenBanshee</t>
        </is>
      </c>
    </row>
    <row r="39">
      <c r="A39" t="inlineStr">
        <is>
          <t>Dragon</t>
        </is>
      </c>
      <c r="B39" t="inlineStr">
        <is>
          <t>Traditional</t>
        </is>
      </c>
      <c r="C39" t="inlineStr">
        <is>
          <t>3-High</t>
        </is>
      </c>
      <c r="D39" t="inlineStr">
        <is>
          <t>1x2</t>
        </is>
      </c>
      <c r="E39" t="inlineStr">
        <is>
          <t>Rogue</t>
        </is>
      </c>
      <c r="F39" t="n">
        <v>1</v>
      </c>
      <c r="G39" t="n">
        <v>7</v>
      </c>
      <c r="H39" t="inlineStr">
        <is>
          <t>Bounty</t>
        </is>
      </c>
      <c r="I39" t="inlineStr">
        <is>
          <t>Slay a dragon boss</t>
        </is>
      </c>
      <c r="J39" t="inlineStr">
        <is>
          <t>N/A</t>
        </is>
      </c>
      <c r="K39" t="inlineStr">
        <is>
          <t>Dragon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6"/>
  <sheetViews>
    <sheetView workbookViewId="0">
      <selection activeCell="D7" sqref="D7"/>
    </sheetView>
  </sheetViews>
  <sheetFormatPr baseColWidth="8" defaultRowHeight="15"/>
  <cols>
    <col width="9.28515625" bestFit="1" customWidth="1" min="1" max="1"/>
    <col width="7.42578125" customWidth="1" min="2" max="2"/>
    <col width="15.42578125" bestFit="1" customWidth="1" min="3" max="3"/>
    <col width="73.28515625" bestFit="1" customWidth="1" min="4" max="4"/>
    <col width="18.7109375" customWidth="1" min="5" max="5"/>
    <col width="69.28515625" customWidth="1" min="6" max="6"/>
    <col width="18.140625" customWidth="1" min="7" max="7"/>
    <col width="43.5703125" bestFit="1" customWidth="1" min="8" max="8"/>
    <col width="15" bestFit="1" customWidth="1" min="9" max="9"/>
    <col width="13.42578125" bestFit="1" customWidth="1" min="10" max="10"/>
    <col width="22.42578125" bestFit="1" customWidth="1" min="11" max="11"/>
    <col width="11.7109375" bestFit="1" customWidth="1" min="12" max="12"/>
    <col width="9.28515625" bestFit="1" customWidth="1" min="13" max="13"/>
  </cols>
  <sheetData>
    <row r="1">
      <c r="A1" t="inlineStr">
        <is>
          <t>Name</t>
        </is>
      </c>
      <c r="B1" t="inlineStr">
        <is>
          <t>Type</t>
        </is>
      </c>
      <c r="C1" t="inlineStr">
        <is>
          <t>Game</t>
        </is>
      </c>
      <c r="D1" t="inlineStr">
        <is>
          <t>On Player</t>
        </is>
      </c>
      <c r="E1" t="inlineStr">
        <is>
          <t>On Player Effect</t>
        </is>
      </c>
      <c r="F1" t="inlineStr">
        <is>
          <t>On Enemy</t>
        </is>
      </c>
      <c r="G1" t="inlineStr">
        <is>
          <t>On Enemy Effect</t>
        </is>
      </c>
      <c r="H1" t="inlineStr">
        <is>
          <t>Combat</t>
        </is>
      </c>
      <c r="I1" t="inlineStr">
        <is>
          <t>Decrease</t>
        </is>
      </c>
      <c r="J1" t="inlineStr">
        <is>
          <t>EnemyOnly</t>
        </is>
      </c>
      <c r="K1" t="inlineStr">
        <is>
          <t>Enemy Combat Effect</t>
        </is>
      </c>
      <c r="L1" t="inlineStr">
        <is>
          <t>Stackable</t>
        </is>
      </c>
      <c r="M1" t="inlineStr">
        <is>
          <t>Image</t>
        </is>
      </c>
    </row>
    <row r="2">
      <c r="A2" t="inlineStr">
        <is>
          <t>Strength</t>
        </is>
      </c>
      <c r="B2" t="inlineStr">
        <is>
          <t>Buff</t>
        </is>
      </c>
      <c r="C2" t="inlineStr">
        <is>
          <t>Slay the Spire</t>
        </is>
      </c>
      <c r="D2" t="inlineStr">
        <is>
          <t>Gain "If the difficuly is increased X times, Gain a [chest reward] and 1 Bash"</t>
        </is>
      </c>
      <c r="E2" t="inlineStr">
        <is>
          <t>goal "the difficulty is increased {X} [time|times]" -&gt; gain_chest reward {X}; gain_stat bash 1</t>
        </is>
      </c>
      <c r="F2" t="inlineStr">
        <is>
          <t>Gains "and the difficulty must be increased X times"</t>
        </is>
      </c>
      <c r="G2" t="inlineStr">
        <is>
          <t>clause "the difficulty must be increased {X} [time|times]"</t>
        </is>
      </c>
      <c r="H2" t="inlineStr">
        <is>
          <t>Increase Damage Dealt by X</t>
        </is>
      </c>
      <c r="I2" t="inlineStr">
        <is>
          <t>N/A</t>
        </is>
      </c>
      <c r="J2" t="inlineStr">
        <is>
          <t>Yes</t>
        </is>
      </c>
      <c r="K2" t="inlineStr">
        <is>
          <t>damage_dealt +{X}</t>
        </is>
      </c>
      <c r="L2" t="inlineStr">
        <is>
          <t>Intensity</t>
        </is>
      </c>
      <c r="M2" t="inlineStr">
        <is>
          <t>Strength</t>
        </is>
      </c>
    </row>
    <row r="3">
      <c r="A3" t="inlineStr">
        <is>
          <t>Speed</t>
        </is>
      </c>
      <c r="B3" t="inlineStr">
        <is>
          <t>Buff</t>
        </is>
      </c>
      <c r="C3" t="inlineStr">
        <is>
          <t>Mewgenics</t>
        </is>
      </c>
      <c r="D3" t="inlineStr">
        <is>
          <t>Gain "If beaten in (1+(1/2)^X-2)) hours or less, Gain a [chest reward] and 1 Dash"</t>
        </is>
      </c>
      <c r="E3" t="inlineStr">
        <is>
          <t>goal "beaten in {1+(1/2)^(X-2):hours} or less" -&gt; gain_chest reward {X}; gain_stat dash 1</t>
        </is>
      </c>
      <c r="F3" t="inlineStr">
        <is>
          <t>Gains "and must be beaten in (1+(1/2)^X-2)) hours or less"</t>
        </is>
      </c>
      <c r="G3" t="inlineStr">
        <is>
          <t>clause "must be beaten in {1+(1/2)^(X-2):hours} or less"</t>
        </is>
      </c>
      <c r="H3" t="inlineStr">
        <is>
          <t>Increase tile movement by X</t>
        </is>
      </c>
      <c r="I3" t="inlineStr">
        <is>
          <t>N/A</t>
        </is>
      </c>
      <c r="J3" t="inlineStr">
        <is>
          <t>Yes</t>
        </is>
      </c>
      <c r="K3" t="inlineStr">
        <is>
          <t>tile_move +{X}</t>
        </is>
      </c>
      <c r="L3" t="inlineStr">
        <is>
          <t>Intensity</t>
        </is>
      </c>
      <c r="M3" t="inlineStr">
        <is>
          <t>Speed</t>
        </is>
      </c>
    </row>
    <row r="4">
      <c r="A4" t="inlineStr">
        <is>
          <t>Marked</t>
        </is>
      </c>
      <c r="B4" t="inlineStr">
        <is>
          <t>Debuff</t>
        </is>
      </c>
      <c r="C4" t="inlineStr">
        <is>
          <t>Mewgenics</t>
        </is>
      </c>
      <c r="D4" t="inlineStr">
        <is>
          <t>Gain "You must get X achivements or take 3 Damage."</t>
        </is>
      </c>
      <c r="E4" t="inlineStr">
        <is>
          <t>demand "get {X} [achievement|achievements]" else -&gt; take_damage 3</t>
        </is>
      </c>
      <c r="F4" t="inlineStr">
        <is>
          <t>Gains "and if you get X achivements, Gain a [chest reward]"</t>
        </is>
      </c>
      <c r="G4" t="inlineStr">
        <is>
          <t>bonus "you get {X} [achievement|achievements]" decay -&gt; gain_chest reward {X}</t>
        </is>
      </c>
      <c r="H4" t="inlineStr">
        <is>
          <t>Damage taken increased by x2. Ignores shields.</t>
        </is>
      </c>
      <c r="I4" t="inlineStr">
        <is>
          <t xml:space="preserve">On Completion </t>
        </is>
      </c>
      <c r="J4" t="inlineStr">
        <is>
          <t>No</t>
        </is>
      </c>
      <c r="K4" t="inlineStr">
        <is>
          <t>damage_taken x2; pierce_shields</t>
        </is>
      </c>
      <c r="L4" t="inlineStr">
        <is>
          <t>Intensity</t>
        </is>
      </c>
      <c r="M4" t="inlineStr">
        <is>
          <t>Marked</t>
        </is>
      </c>
    </row>
    <row r="5">
      <c r="A5" t="inlineStr">
        <is>
          <t>Dexterity</t>
        </is>
      </c>
      <c r="B5" t="inlineStr">
        <is>
          <t>Buff</t>
        </is>
      </c>
      <c r="C5" t="inlineStr">
        <is>
          <t>Slay the Spire</t>
        </is>
      </c>
      <c r="D5" t="inlineStr">
        <is>
          <t>Gain "if X bosses were beaten without getting hit, Gain a [chest reward]"</t>
        </is>
      </c>
      <c r="E5" t="inlineStr">
        <is>
          <t>goal "{X} [boss was|bosses were] beaten without getting hit" -&gt; gain_chest reward {X}</t>
        </is>
      </c>
      <c r="F5" t="inlineStr">
        <is>
          <t>Gains "and you must beat X bosses without getting hit"</t>
        </is>
      </c>
      <c r="G5" t="inlineStr">
        <is>
          <t>clause "you must beat {X} [boss|bosses] without getting hit"</t>
        </is>
      </c>
      <c r="H5" t="inlineStr">
        <is>
          <t>Gain +X Shields</t>
        </is>
      </c>
      <c r="I5" t="inlineStr">
        <is>
          <t>N/A</t>
        </is>
      </c>
      <c r="J5" t="inlineStr">
        <is>
          <t>Yes</t>
        </is>
      </c>
      <c r="K5" t="inlineStr">
        <is>
          <t>shield +{X}</t>
        </is>
      </c>
      <c r="L5" t="inlineStr">
        <is>
          <t>Intensity</t>
        </is>
      </c>
      <c r="M5" t="inlineStr">
        <is>
          <t>Dexterity</t>
        </is>
      </c>
    </row>
    <row r="6">
      <c r="A6" t="inlineStr">
        <is>
          <t>Burn</t>
        </is>
      </c>
      <c r="B6" t="inlineStr">
        <is>
          <t>Debuff</t>
        </is>
      </c>
      <c r="C6" t="inlineStr">
        <is>
          <t>Brutal Orchestra</t>
        </is>
      </c>
      <c r="D6" t="inlineStr">
        <is>
          <t>Gain "You must skip or trash X items/upgrades or take 3 Damage."</t>
        </is>
      </c>
      <c r="E6" t="inlineStr">
        <is>
          <t>demand "skip or trash {X} [item/upgrade|items/upgrades]" else -&gt; take_damage 3</t>
        </is>
      </c>
      <c r="F6" t="inlineStr">
        <is>
          <t>Gains "or instead skip or trash 4-X items/upgrades"</t>
        </is>
      </c>
      <c r="G6" t="inlineStr">
        <is>
          <t>instead "skip or trash {4-X} [item/upgrade|items/upgrades]"</t>
        </is>
      </c>
      <c r="H6" t="inlineStr">
        <is>
          <t>Half Damage dealt</t>
        </is>
      </c>
      <c r="I6" t="inlineStr">
        <is>
          <t xml:space="preserve">On Completion </t>
        </is>
      </c>
      <c r="J6" t="inlineStr">
        <is>
          <t>Yes</t>
        </is>
      </c>
      <c r="K6" t="inlineStr">
        <is>
          <t>damage_dealt x0.5</t>
        </is>
      </c>
      <c r="L6" t="inlineStr">
        <is>
          <t>Max: 3</t>
        </is>
      </c>
      <c r="M6" t="inlineStr">
        <is>
          <t>Burn</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AK12"/>
  <sheetViews>
    <sheetView workbookViewId="0">
      <selection activeCell="B21" sqref="B21"/>
    </sheetView>
  </sheetViews>
  <sheetFormatPr baseColWidth="8" defaultRowHeight="15"/>
  <cols>
    <col width="23.140625" bestFit="1" customWidth="1" min="1" max="1"/>
    <col width="18.7109375" bestFit="1" customWidth="1" min="2" max="2"/>
    <col width="6.7109375" bestFit="1" customWidth="1" min="3" max="3"/>
    <col width="9.42578125" bestFit="1" customWidth="1" min="4" max="4"/>
    <col width="15" bestFit="1" customWidth="1" min="5" max="5"/>
    <col width="9.42578125" customWidth="1" min="6" max="6"/>
    <col width="11.85546875" customWidth="1" min="7" max="7"/>
    <col width="7.7109375" customWidth="1" min="8" max="8"/>
    <col width="10.7109375" customWidth="1" min="9" max="9"/>
    <col width="9.85546875" customWidth="1" min="10" max="10"/>
    <col width="11.28515625" customWidth="1" min="11" max="11"/>
    <col width="14.140625" customWidth="1" min="12" max="12"/>
    <col width="14.42578125" customWidth="1" min="13" max="13"/>
    <col width="14.7109375" customWidth="1" min="14" max="14"/>
    <col width="11.42578125" customWidth="1" min="15" max="15"/>
    <col width="11" bestFit="1" customWidth="1" min="16" max="16"/>
    <col width="10.5703125" customWidth="1" min="17" max="17"/>
    <col width="10.85546875" customWidth="1" min="18" max="18"/>
    <col width="15.42578125" bestFit="1" customWidth="1" min="19" max="19"/>
    <col width="9.7109375" customWidth="1" min="20" max="20"/>
    <col width="10.5703125" customWidth="1" min="21" max="21"/>
    <col width="10.85546875" customWidth="1" min="22" max="23"/>
    <col width="9.7109375" customWidth="1" min="24" max="24"/>
    <col width="10.5703125" customWidth="1" min="25" max="25"/>
    <col width="10.85546875" customWidth="1" min="26" max="26"/>
    <col width="11.7109375" customWidth="1" min="27" max="27"/>
    <col width="11" bestFit="1" customWidth="1" min="28" max="28"/>
    <col width="10.85546875" customWidth="1" min="29" max="29"/>
    <col width="11" customWidth="1" min="30" max="30"/>
  </cols>
  <sheetData>
    <row r="1">
      <c r="A1" t="inlineStr">
        <is>
          <t>Event</t>
        </is>
      </c>
      <c r="B1" t="inlineStr">
        <is>
          <t>Game</t>
        </is>
      </c>
      <c r="C1" t="inlineStr">
        <is>
          <t>Tier</t>
        </is>
      </c>
      <c r="D1" t="inlineStr">
        <is>
          <t>Where</t>
        </is>
      </c>
      <c r="E1" t="inlineStr">
        <is>
          <t>Requirement</t>
        </is>
      </c>
      <c r="F1" t="inlineStr">
        <is>
          <t>Trigger</t>
        </is>
      </c>
      <c r="G1" t="inlineStr">
        <is>
          <t>Rarity</t>
        </is>
      </c>
      <c r="H1" t="inlineStr">
        <is>
          <t>Image</t>
        </is>
      </c>
      <c r="I1" t="inlineStr">
        <is>
          <t>Prompt</t>
        </is>
      </c>
      <c r="J1" t="inlineStr">
        <is>
          <t>Goal Met</t>
        </is>
      </c>
      <c r="K1" t="inlineStr">
        <is>
          <t>Goal Missed</t>
        </is>
      </c>
      <c r="L1" t="inlineStr">
        <is>
          <t>Chance Won</t>
        </is>
      </c>
      <c r="M1" t="inlineStr">
        <is>
          <t>Chance Lost</t>
        </is>
      </c>
      <c r="N1" t="inlineStr">
        <is>
          <t>Choice 1</t>
        </is>
      </c>
      <c r="O1" t="inlineStr">
        <is>
          <t>Repeat 1</t>
        </is>
      </c>
      <c r="P1" t="inlineStr">
        <is>
          <t>Result 1</t>
        </is>
      </c>
      <c r="Q1" t="inlineStr">
        <is>
          <t>Effect 1</t>
        </is>
      </c>
      <c r="R1" t="inlineStr">
        <is>
          <t>Choice 2</t>
        </is>
      </c>
      <c r="S1" t="inlineStr">
        <is>
          <t>Repeat 2</t>
        </is>
      </c>
      <c r="T1" t="inlineStr">
        <is>
          <t>Result 2</t>
        </is>
      </c>
      <c r="U1" t="inlineStr">
        <is>
          <t>Effect 2</t>
        </is>
      </c>
      <c r="V1" t="inlineStr">
        <is>
          <t>Choice 3</t>
        </is>
      </c>
      <c r="W1" t="inlineStr">
        <is>
          <t>Repeat 3</t>
        </is>
      </c>
      <c r="X1" t="inlineStr">
        <is>
          <t>Result 3</t>
        </is>
      </c>
      <c r="Y1" t="inlineStr">
        <is>
          <t>Effect 3</t>
        </is>
      </c>
      <c r="Z1" t="inlineStr">
        <is>
          <t>Choice 4</t>
        </is>
      </c>
      <c r="AA1" t="inlineStr">
        <is>
          <t>Repeat 4</t>
        </is>
      </c>
      <c r="AB1" t="inlineStr">
        <is>
          <t>Result 4</t>
        </is>
      </c>
      <c r="AC1" t="inlineStr">
        <is>
          <t>Effect 4</t>
        </is>
      </c>
      <c r="AD1" t="inlineStr">
        <is>
          <t>Choice 5</t>
        </is>
      </c>
      <c r="AE1" t="inlineStr">
        <is>
          <t>Repeat 5</t>
        </is>
      </c>
      <c r="AF1" t="inlineStr">
        <is>
          <t>Result 5</t>
        </is>
      </c>
      <c r="AG1" t="inlineStr">
        <is>
          <t>Effect 5</t>
        </is>
      </c>
      <c r="AH1" t="inlineStr">
        <is>
          <t>Choice 6</t>
        </is>
      </c>
      <c r="AI1" t="inlineStr">
        <is>
          <t>Repeat 6</t>
        </is>
      </c>
      <c r="AJ1" t="inlineStr">
        <is>
          <t>Result 6</t>
        </is>
      </c>
      <c r="AK1" t="inlineStr">
        <is>
          <t>Effect 6</t>
        </is>
      </c>
    </row>
    <row r="2">
      <c r="A2" t="inlineStr">
        <is>
          <t>Abyssal Baths</t>
        </is>
      </c>
      <c r="B2" t="inlineStr">
        <is>
          <t>Slay the Spire 2</t>
        </is>
      </c>
      <c r="C2" t="inlineStr">
        <is>
          <t>All</t>
        </is>
      </c>
      <c r="F2" t="inlineStr">
        <is>
          <t>After</t>
        </is>
      </c>
      <c r="G2" t="inlineStr">
        <is>
          <t>Common</t>
        </is>
      </c>
      <c r="H2" t="inlineStr">
        <is>
          <t>AbyssalBaths</t>
        </is>
      </c>
      <c r="I2" t="inlineStr">
        <is>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N2" t="inlineStr">
        <is>
          <t>Immerse</t>
        </is>
      </c>
      <c r="O2" t="inlineStr">
        <is>
          <t>Stay</t>
        </is>
      </c>
      <c r="P2" t="inlineStr">
        <is>
          <t>The liquid burns against your skin, simultaneously freezing and scalding. Beneath the surface, something brushes against your legs—tendrils? Currents with purpose? But when the pain subsides, you feel... denser somehow. More substantial.</t>
        </is>
      </c>
      <c r="Q2" t="inlineStr">
        <is>
          <t>gain_max_hp 1; lose_hp 3</t>
        </is>
      </c>
      <c r="R2" t="inlineStr">
        <is>
          <t>Linger</t>
        </is>
      </c>
      <c r="S2" t="inlineStr">
        <is>
          <t>Again</t>
        </is>
      </c>
      <c r="T2" t="inlineStr">
        <is>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is>
      </c>
      <c r="U2" t="inlineStr">
        <is>
          <t>needs Immerse &gt; 0; gain_max_hp 1; lose_hp {4+X}</t>
        </is>
      </c>
      <c r="V2" t="inlineStr">
        <is>
          <t>Abstain</t>
        </is>
      </c>
      <c r="X2" t="inlineStr">
        <is>
          <t>You decline the temptation of the waters, instead gathering crystalline salts that have formed along the edges. As you apply them to your skin, the pools churn and froth agitatedly.</t>
        </is>
      </c>
      <c r="Y2" t="inlineStr">
        <is>
          <t>needs Immerse = 0; gain_hp 3</t>
        </is>
      </c>
      <c r="Z2" t="inlineStr">
        <is>
          <t>Exit Baths</t>
        </is>
      </c>
      <c r="AB2" t="inlineStr">
        <is>
          <t>The heat finally gets to you, and you hop out of the bath.</t>
        </is>
      </c>
      <c r="AC2" t="inlineStr">
        <is>
          <t>needs Immerse &gt; 0; nothing</t>
        </is>
      </c>
    </row>
    <row r="3">
      <c r="A3" t="inlineStr">
        <is>
          <t>Battleworn Dummy</t>
        </is>
      </c>
      <c r="B3" t="inlineStr">
        <is>
          <t>Slay the Spire 2</t>
        </is>
      </c>
      <c r="C3" t="inlineStr">
        <is>
          <t>All</t>
        </is>
      </c>
      <c r="F3" t="inlineStr">
        <is>
          <t>After</t>
        </is>
      </c>
      <c r="G3" t="inlineStr">
        <is>
          <t>Common</t>
        </is>
      </c>
      <c r="H3" t="inlineStr">
        <is>
          <t>BattlewornDummy</t>
        </is>
      </c>
      <c r="I3" t="inlineStr">
        <is>
          <t>As you approach, it begins to rumble and fizzle and lights up brilliantly! "BZZZT! TIME TO TRAIN!!! YOU HAVE 3 TURNS TO DEFEAT ME! CHOOSE A SETTING OR FACE LETHAL HUMILIATION."</t>
        </is>
      </c>
      <c r="J3" t="inlineStr">
        <is>
          <t>"YOU PASS THE TRAINING! YOU ARE NOW EQUIPPED TO DEFEND THIS FACTORY AGAINST INTRUDERS!! BE SURE TO HYDRATE AFTER TRAINING SESSIONS!"</t>
        </is>
      </c>
      <c r="K3" t="inlineStr">
        <is>
          <t>"YOU ARE WEAK!! HUMILIATION HAS BEEN ADMINISTERED!" The dummy is silent for a moment and— "Choose a lower setting next time."</t>
        </is>
      </c>
      <c r="N3" t="inlineStr">
        <is>
          <t>Setting 1</t>
        </is>
      </c>
      <c r="Q3" t="inlineStr">
        <is>
          <t>add_goal "beat a game in 5 attempts or fewer" for 3 games -&gt; gain_scroll 1</t>
        </is>
      </c>
      <c r="R3" t="inlineStr">
        <is>
          <t>Setting 2</t>
        </is>
      </c>
      <c r="U3" t="inlineStr">
        <is>
          <t>add_goal "beat a game in 3 attempts or fewer" for 3 games -&gt; gain_chest small 1</t>
        </is>
      </c>
      <c r="V3" t="inlineStr">
        <is>
          <t>Setting 3</t>
        </is>
      </c>
      <c r="Y3" t="inlineStr">
        <is>
          <t>add_goal "beat a game in 1 attempt" for 3 games -&gt; gain_chest large 1</t>
        </is>
      </c>
    </row>
    <row r="4">
      <c r="A4" t="inlineStr">
        <is>
          <t>Unrest Site</t>
        </is>
      </c>
      <c r="B4" t="inlineStr">
        <is>
          <t>Slay the Spire 2</t>
        </is>
      </c>
      <c r="C4" t="inlineStr">
        <is>
          <t>All</t>
        </is>
      </c>
      <c r="E4" t="inlineStr">
        <is>
          <t>hp &lt;= 70%</t>
        </is>
      </c>
      <c r="F4" t="inlineStr">
        <is>
          <t>After</t>
        </is>
      </c>
      <c r="G4" t="inlineStr">
        <is>
          <t>Common</t>
        </is>
      </c>
      <c r="H4" t="inlineStr">
        <is>
          <t>UnrestSite</t>
        </is>
      </c>
      <c r="I4" t="inlineStr">
        <is>
          <t>You find a secluded Rest Site and start a fire to get some rest. Once the fire is started, it begins to swell, reaching not upwards but sideways towards a grove of oil-seeping trees.</t>
        </is>
      </c>
      <c r="N4" t="inlineStr">
        <is>
          <t>Rest Anyways</t>
        </is>
      </c>
      <c r="P4" t="inlineStr">
        <is>
          <t>All this adventuring has left you exhausted, and despite the oddities, you decide to sleep. You toss and turn as the fire roars and crackles through the night. The disgusting trees give off a wretched scent from their pitch-black sap.</t>
        </is>
      </c>
      <c r="Q4" t="inlineStr">
        <is>
          <t>heal_full; add_curse poor_sleep</t>
        </is>
      </c>
      <c r="R4" t="inlineStr">
        <is>
          <t>Kill the Trees</t>
        </is>
      </c>
      <c r="T4" t="inlineStr">
        <is>
          <t>These trees are clearly malicious so you decide to get rid of them. Days later, you're covered in ash and oily goop. A massive flock of little byrd spirits rise from the slain trees and drop a small box at your feet. "Thank you for freeing us from those trees... cheep cheep!"</t>
        </is>
      </c>
      <c r="U4" t="inlineStr">
        <is>
          <t>lose_max_hp 2; gain_chest small 1</t>
        </is>
      </c>
    </row>
    <row r="5">
      <c r="A5" t="inlineStr">
        <is>
          <t>Punch Off</t>
        </is>
      </c>
      <c r="B5" t="inlineStr">
        <is>
          <t>Slay the Spire 2</t>
        </is>
      </c>
      <c r="C5" t="inlineStr">
        <is>
          <t>All</t>
        </is>
      </c>
      <c r="E5" t="inlineStr">
        <is>
          <t>games &gt;= 6</t>
        </is>
      </c>
      <c r="F5" t="inlineStr">
        <is>
          <t>After</t>
        </is>
      </c>
      <c r="G5" t="inlineStr">
        <is>
          <t>Common</t>
        </is>
      </c>
      <c r="H5" t="inlineStr">
        <is>
          <t>PunchOff</t>
        </is>
      </c>
      <c r="I5" t="inlineStr">
        <is>
          <t>Two Punch Constructs are duking it out and you see some treasure in between them... Should you try to nab it?</t>
        </is>
      </c>
      <c r="N5" t="inlineStr">
        <is>
          <t>Nab</t>
        </is>
      </c>
      <c r="P5" t="inlineStr">
        <is>
          <t>You successfully nab the relic! ...or so you thought. A right-hook clocks you in the face.</t>
        </is>
      </c>
      <c r="Q5" t="inlineStr">
        <is>
          <t>add_curse injury; gain_chest small 1</t>
        </is>
      </c>
      <c r="R5" t="inlineStr">
        <is>
          <t>I Can Take Them</t>
        </is>
      </c>
      <c r="T5" t="inlineStr">
        <is>
          <t>The Constructs turn to you menacingly!</t>
        </is>
      </c>
      <c r="U5" t="inlineStr">
        <is>
          <t>spawn_enemy tag=robot 1; play_game tag=mecha -&gt; gain_loot 1; gain_chest small 2</t>
        </is>
      </c>
    </row>
    <row r="6">
      <c r="A6" t="inlineStr">
        <is>
          <t>Scrap Ooze</t>
        </is>
      </c>
      <c r="B6" t="inlineStr">
        <is>
          <t>Slay the Spire</t>
        </is>
      </c>
      <c r="C6" t="inlineStr">
        <is>
          <t>All</t>
        </is>
      </c>
      <c r="F6" t="inlineStr">
        <is>
          <t>After</t>
        </is>
      </c>
      <c r="G6" t="inlineStr">
        <is>
          <t>Common</t>
        </is>
      </c>
      <c r="H6" t="inlineStr">
        <is>
          <t>ScrapOoze</t>
        </is>
      </c>
      <c r="I6" t="inlineStr">
        <is>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L6" t="inlineStr">
        <is>
          <t>Success! After rummaging through the metal and burning acid, you finally grab hold of a relic and yank it out. You pull your way out of the ooze damaged but rewarded.</t>
        </is>
      </c>
      <c r="M6" t="inlineStr">
        <is>
          <t>Ouch! All you find is corroded metal and a bit of burning pain. However, you're still convinced there's a relic...</t>
        </is>
      </c>
      <c r="N6" t="inlineStr">
        <is>
          <t>Reach Inside</t>
        </is>
      </c>
      <c r="O6" t="inlineStr">
        <is>
          <t>Stay</t>
        </is>
      </c>
      <c r="Q6" t="inlineStr">
        <is>
          <t>lose_hp 1; chance 25% -&gt; gain_chest small 1</t>
        </is>
      </c>
      <c r="R6" t="inlineStr">
        <is>
          <t>Deeper</t>
        </is>
      </c>
      <c r="S6" t="inlineStr">
        <is>
          <t>Again</t>
        </is>
      </c>
      <c r="U6" t="inlineStr">
        <is>
          <t>needs Reach Inside &gt; 0; lose_hp {2+X}; chance {35+10*X}% -&gt; gain_chest small 1</t>
        </is>
      </c>
      <c r="V6" t="inlineStr">
        <is>
          <t>Leave</t>
        </is>
      </c>
      <c r="X6" t="inlineStr">
        <is>
          <t>You decide to leave the area. The slime pays no attention, content with its meal.</t>
        </is>
      </c>
      <c r="Y6" t="inlineStr">
        <is>
          <t>nothing</t>
        </is>
      </c>
    </row>
    <row r="7">
      <c r="A7" t="inlineStr">
        <is>
          <t>Jungle Maze Adventure</t>
        </is>
      </c>
      <c r="B7" t="inlineStr">
        <is>
          <t>Slay the Spire 2</t>
        </is>
      </c>
      <c r="C7" t="inlineStr">
        <is>
          <t>All</t>
        </is>
      </c>
      <c r="F7" t="inlineStr">
        <is>
          <t>After</t>
        </is>
      </c>
      <c r="G7" t="inlineStr">
        <is>
          <t>Common</t>
        </is>
      </c>
      <c r="H7" t="inlineStr">
        <is>
          <t>JungleMazeAdventure</t>
        </is>
      </c>
      <c r="I7" t="inlineStr">
        <is>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is>
      </c>
      <c r="N7" t="inlineStr">
        <is>
          <t>Solo Quest</t>
        </is>
      </c>
      <c r="P7" t="inlineStr">
        <is>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is>
      </c>
      <c r="Q7" t="inlineStr">
        <is>
          <t>gain_gold 3; lose_hp 2</t>
        </is>
      </c>
      <c r="R7" t="inlineStr">
        <is>
          <t>Join Forces</t>
        </is>
      </c>
      <c r="T7" t="inlineStr">
        <is>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is>
      </c>
      <c r="U7" t="inlineStr">
        <is>
          <t>gain_gold 1</t>
        </is>
      </c>
    </row>
    <row r="8">
      <c r="A8" t="inlineStr">
        <is>
          <t>Morphic Grove</t>
        </is>
      </c>
      <c r="B8" t="inlineStr">
        <is>
          <t>Slay the Spire 2</t>
        </is>
      </c>
      <c r="C8" t="inlineStr">
        <is>
          <t>All</t>
        </is>
      </c>
      <c r="E8" t="inlineStr">
        <is>
          <t>gold &gt;=3</t>
        </is>
      </c>
      <c r="F8" t="inlineStr">
        <is>
          <t>After</t>
        </is>
      </c>
      <c r="G8" t="inlineStr">
        <is>
          <t>Common</t>
        </is>
      </c>
      <c r="H8" t="inlineStr">
        <is>
          <t>MorphicGrove</t>
        </is>
      </c>
      <c r="I8" t="inlineStr">
        <is>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is>
      </c>
      <c r="N8" t="inlineStr">
        <is>
          <t>Group</t>
        </is>
      </c>
      <c r="P8" t="inlineStr">
        <is>
          <t>You greet the chittering Morphics and they embrace you into their crystally arms. They share their combined knowledge and inject you with Morphic Magic, changing your nature... Such lovely creatures, these Morphics. One of them stole your gold.</t>
        </is>
      </c>
      <c r="Q8" t="inlineStr">
        <is>
          <t>gain_stat transmute 2; lose_gold all</t>
        </is>
      </c>
      <c r="R8" t="inlineStr">
        <is>
          <t>Loner</t>
        </is>
      </c>
      <c r="T8" t="inlineStr">
        <is>
          <t>You reach out a hand to the lone Morphic, sympathizing with its nature. It gifts you a tiny crystal fruit, and you consume it, as is custom. The fruit clarifies your mind and purpose. You give thanks, then make your way onwards.</t>
        </is>
      </c>
      <c r="U8" t="inlineStr">
        <is>
          <t>gain_max_hp 1</t>
        </is>
      </c>
    </row>
    <row r="9">
      <c r="A9" t="inlineStr">
        <is>
          <t>Whispering Hollow</t>
        </is>
      </c>
      <c r="B9" t="inlineStr">
        <is>
          <t>Slay the Spire 2</t>
        </is>
      </c>
      <c r="C9" t="inlineStr">
        <is>
          <t>All</t>
        </is>
      </c>
      <c r="E9" t="inlineStr">
        <is>
          <t>gold &gt;=1</t>
        </is>
      </c>
      <c r="F9" t="inlineStr">
        <is>
          <t>After</t>
        </is>
      </c>
      <c r="G9" t="inlineStr">
        <is>
          <t>Common</t>
        </is>
      </c>
      <c r="H9" t="inlineStr">
        <is>
          <t>WhisperingHollow</t>
        </is>
      </c>
      <c r="I9" t="inlineStr">
        <is>
          <t>Making your way through a hollow of dead trees you happen upon a single bone-white tree. Clay baubles hang off its branches, which curve inward like protective ribs. Such a creepy tree. It whispers. ...make exchange.....</t>
        </is>
      </c>
      <c r="N9" t="inlineStr">
        <is>
          <t>Exchange Gold</t>
        </is>
      </c>
      <c r="P9" t="inlineStr">
        <is>
          <t>You scatter some gold at the base of the tree and two of the clay vessels drop to the floor soundlessly. They break open, and contain perfectly intact potions within. You nab the potions and flee.</t>
        </is>
      </c>
      <c r="Q9" t="inlineStr">
        <is>
          <t>lose_gold 1; gain_loot 2</t>
        </is>
      </c>
      <c r="R9" t="inlineStr">
        <is>
          <t>Hug the Tree</t>
        </is>
      </c>
      <c r="T9" t="inlineStr">
        <is>
          <t>The whispering compels you to give it gold but you resist and give the tree a big hug instead! It thrashes about, scratching you with its branches, but eventually calms down. The tree-hugging experience transforms you. ...make hug.....?</t>
        </is>
      </c>
      <c r="U9" t="inlineStr">
        <is>
          <t>lose_hp 1; gain_stat transmute 1</t>
        </is>
      </c>
    </row>
    <row r="10">
      <c r="A10" t="inlineStr">
        <is>
          <t>Golden Idol</t>
        </is>
      </c>
      <c r="B10" t="inlineStr">
        <is>
          <t>Slay the Spire</t>
        </is>
      </c>
      <c r="C10" t="inlineStr">
        <is>
          <t>All</t>
        </is>
      </c>
      <c r="F10" t="inlineStr">
        <is>
          <t>After</t>
        </is>
      </c>
      <c r="G10" t="inlineStr">
        <is>
          <t>Common</t>
        </is>
      </c>
      <c r="H10" t="inlineStr">
        <is>
          <t>GoldenIdol</t>
        </is>
      </c>
      <c r="I10" t="inlineStr">
        <is>
          <t>You come across an inconspicuous pedestal with a shining gold idol sitting peacefully atop. It looks incredibly valuable. You sure don't see any traps nearby.</t>
        </is>
      </c>
      <c r="N10" t="inlineStr">
        <is>
          <t>Take</t>
        </is>
      </c>
      <c r="O10" t="inlineStr">
        <is>
          <t>Stay</t>
        </is>
      </c>
      <c r="P10" t="inlineStr">
        <is>
          <t>As you grab the Idol and stow it away, a giant boulder smashes through the ceiling into the ground next to you. You realize that the floor is slanted downwards as the boulder starts to roll towards you.</t>
        </is>
      </c>
      <c r="Q10" t="inlineStr">
        <is>
          <t>gain_item golden_idol</t>
        </is>
      </c>
      <c r="R10" t="inlineStr">
        <is>
          <t>Leave</t>
        </is>
      </c>
      <c r="T10" t="inlineStr">
        <is>
          <t>If there was ever an obvious trap, this would be it. You decide not to interfere with objects placed upon pedestals.</t>
        </is>
      </c>
      <c r="U10" t="inlineStr">
        <is>
          <t>needs Take = 0; nothing</t>
        </is>
      </c>
      <c r="V10" t="inlineStr">
        <is>
          <t>Outrun</t>
        </is>
      </c>
      <c r="X10" t="inlineStr">
        <is>
          <t>RUUUUUUUUUUN! You barely leap into a side passageway as the boulder rushes by. Unfortunately it feels like you sprained something however.</t>
        </is>
      </c>
      <c r="Y10" t="inlineStr">
        <is>
          <t>needs Take &gt; 0; lose_hp {max(1,round(0.25*MAX_HP))}</t>
        </is>
      </c>
      <c r="Z10" t="inlineStr">
        <is>
          <t>Smash</t>
        </is>
      </c>
      <c r="AB10" t="inlineStr">
        <is>
          <t>You throw yourself at the boulder with everything you have. When the dust clears, you can make a safe way out.</t>
        </is>
      </c>
      <c r="AC10" t="inlineStr">
        <is>
          <t>needs Take &gt; 0; add_curse injury</t>
        </is>
      </c>
      <c r="AD10" t="inlineStr">
        <is>
          <t>Hide</t>
        </is>
      </c>
      <c r="AF10" t="inlineStr">
        <is>
          <t>SQUISH! The boulder flattens you a little as it passes by, but otherwise you can get out of here.</t>
        </is>
      </c>
      <c r="AG10" t="inlineStr">
        <is>
          <t>needs Take &gt; 0; lose_max_hp {max(1,round(0.08*MAX_HP))}</t>
        </is>
      </c>
    </row>
    <row r="11">
      <c r="A11" t="inlineStr">
        <is>
          <t>Relic Trader</t>
        </is>
      </c>
      <c r="B11" t="inlineStr">
        <is>
          <t>Slay the Spire 2</t>
        </is>
      </c>
      <c r="C11" t="inlineStr">
        <is>
          <t>All</t>
        </is>
      </c>
      <c r="E11" t="inlineStr">
        <is>
          <t>relics &gt;= 5</t>
        </is>
      </c>
      <c r="F11" t="inlineStr">
        <is>
          <t>After</t>
        </is>
      </c>
      <c r="G11" t="inlineStr">
        <is>
          <t>Common</t>
        </is>
      </c>
      <c r="H11" t="inlineStr">
        <is>
          <t>RelicTrader</t>
        </is>
      </c>
      <c r="I11" t="inlineStr">
        <is>
          <t>You turn a corner and suddenly, a shadowy figure is just standing there. He pivots to face you. “Welcome! What're ya trading?” The figure inquires as he flares open his cloak to reveal a slew of suspicious wares.</t>
        </is>
      </c>
      <c r="N11" t="inlineStr">
        <is>
          <t>Take the Top One</t>
        </is>
      </c>
      <c r="P11" t="inlineStr">
        <is>
          <t>“Hehehe Heh... Thank you!”</t>
        </is>
      </c>
      <c r="Q11" t="inlineStr">
        <is>
          <t>trade_relic 1</t>
        </is>
      </c>
      <c r="R11" t="inlineStr">
        <is>
          <t>Take the Middle One</t>
        </is>
      </c>
      <c r="T11" t="inlineStr">
        <is>
          <t>“Hehehe Heh... Thank you!”</t>
        </is>
      </c>
      <c r="U11" t="inlineStr">
        <is>
          <t>trade_relic 2</t>
        </is>
      </c>
      <c r="V11" t="inlineStr">
        <is>
          <t>Take the Bottom One</t>
        </is>
      </c>
      <c r="X11" t="inlineStr">
        <is>
          <t>“Hehehe Heh... Thank you!”</t>
        </is>
      </c>
      <c r="Y11" t="inlineStr">
        <is>
          <t>trade_relic 3</t>
        </is>
      </c>
    </row>
    <row r="12">
      <c r="A12" t="inlineStr">
        <is>
          <t>Arcade Room</t>
        </is>
      </c>
      <c r="B12" t="inlineStr">
        <is>
          <t>The Binding of Isaac</t>
        </is>
      </c>
      <c r="C12" t="inlineStr">
        <is>
          <t>All</t>
        </is>
      </c>
      <c r="E12" t="inlineStr">
        <is>
          <t>gold&gt;=1</t>
        </is>
      </c>
      <c r="F12" t="inlineStr">
        <is>
          <t>After</t>
        </is>
      </c>
      <c r="G12" t="inlineStr">
        <is>
          <t>Common</t>
        </is>
      </c>
      <c r="H12" t="inlineStr">
        <is>
          <t>ArcadeRoom</t>
        </is>
      </c>
      <c r="N12" t="inlineStr">
        <is>
          <t>Enter</t>
        </is>
      </c>
      <c r="O12" t="inlineStr">
        <is>
          <t>Stay</t>
        </is>
      </c>
      <c r="Q12" t="inlineStr">
        <is>
          <t>lose_gold 1; spawn_object tag=arcade 2-3</t>
        </is>
      </c>
      <c r="R12" t="inlineStr">
        <is>
          <t>Leave</t>
        </is>
      </c>
      <c r="U12" t="inlineStr">
        <is>
          <t>nothing</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8"/>
  <sheetViews>
    <sheetView workbookViewId="0">
      <selection activeCell="D11" sqref="D11"/>
    </sheetView>
  </sheetViews>
  <sheetFormatPr baseColWidth="8" defaultRowHeight="15"/>
  <cols>
    <col width="26.7109375" bestFit="1" customWidth="1" min="1" max="1"/>
    <col width="8.5703125" bestFit="1" customWidth="1" min="2" max="2"/>
    <col width="13.140625" bestFit="1" customWidth="1" min="3" max="3"/>
    <col width="104.5703125" bestFit="1" customWidth="1" min="4" max="4"/>
    <col width="48.7109375" customWidth="1" min="5" max="5"/>
    <col width="13.28515625" bestFit="1" customWidth="1" min="6" max="6"/>
  </cols>
  <sheetData>
    <row r="1">
      <c r="A1" t="inlineStr">
        <is>
          <t>Scrolls</t>
        </is>
      </c>
      <c r="B1" t="inlineStr">
        <is>
          <t>Game</t>
        </is>
      </c>
      <c r="C1" t="inlineStr">
        <is>
          <t>Preference</t>
        </is>
      </c>
      <c r="D1" t="inlineStr">
        <is>
          <t>Description</t>
        </is>
      </c>
      <c r="E1" t="inlineStr">
        <is>
          <t>Effect</t>
        </is>
      </c>
      <c r="F1" t="inlineStr">
        <is>
          <t>File</t>
        </is>
      </c>
    </row>
    <row r="2">
      <c r="A2" t="inlineStr">
        <is>
          <t>Scroll of Aggravate Monsters</t>
        </is>
      </c>
      <c r="B2" t="inlineStr">
        <is>
          <t>Rogue</t>
        </is>
      </c>
      <c r="C2" t="inlineStr">
        <is>
          <t>Negative</t>
        </is>
      </c>
      <c r="D2" t="inlineStr">
        <is>
          <t>All current enemies Gain +1 Strength</t>
        </is>
      </c>
      <c r="E2" t="inlineStr">
        <is>
          <t>apply_status strength 1 all</t>
        </is>
      </c>
    </row>
    <row r="3">
      <c r="A3" t="inlineStr">
        <is>
          <t>Scroll of Amnesia</t>
        </is>
      </c>
      <c r="B3" t="inlineStr">
        <is>
          <t>Hack</t>
        </is>
      </c>
      <c r="C3" t="inlineStr">
        <is>
          <t>Negative</t>
        </is>
      </c>
      <c r="D3" t="inlineStr">
        <is>
          <t>Forget 1 random Identified Loot.</t>
        </is>
      </c>
      <c r="E3" t="inlineStr">
        <is>
          <t>forget scroll 1</t>
        </is>
      </c>
      <c r="F3" t="inlineStr">
        <is>
          <t>Amnesia</t>
        </is>
      </c>
    </row>
    <row r="4">
      <c r="A4" t="inlineStr">
        <is>
          <t>Scroll of Create Monster</t>
        </is>
      </c>
      <c r="B4" t="inlineStr">
        <is>
          <t>Rogue</t>
        </is>
      </c>
      <c r="C4" t="inlineStr">
        <is>
          <t>Negative</t>
        </is>
      </c>
      <c r="D4" t="inlineStr">
        <is>
          <t>Spawn a Random Enemy with the current Difficulty</t>
        </is>
      </c>
      <c r="E4" t="inlineStr">
        <is>
          <t>spawn_enemy current</t>
        </is>
      </c>
    </row>
    <row r="5">
      <c r="A5" t="inlineStr">
        <is>
          <t>Scroll of Identify</t>
        </is>
      </c>
      <c r="B5" t="inlineStr">
        <is>
          <t>Rogue</t>
        </is>
      </c>
      <c r="C5" t="inlineStr">
        <is>
          <t>Positive</t>
        </is>
      </c>
      <c r="D5" t="inlineStr">
        <is>
          <t>Choose 1 Scroll to Identify.</t>
        </is>
      </c>
      <c r="E5" t="inlineStr">
        <is>
          <t>identify_scrolls choose 1</t>
        </is>
      </c>
      <c r="F5" t="inlineStr">
        <is>
          <t>Identify</t>
        </is>
      </c>
    </row>
    <row r="6">
      <c r="A6" t="inlineStr">
        <is>
          <t>Scroll of Scare Monster</t>
        </is>
      </c>
      <c r="B6" t="inlineStr">
        <is>
          <t>Rogue</t>
        </is>
      </c>
      <c r="C6" t="inlineStr">
        <is>
          <t>Positive</t>
        </is>
      </c>
      <c r="D6" t="inlineStr">
        <is>
          <t>Choose 1 Enemy to Stun.</t>
        </is>
      </c>
      <c r="E6" t="inlineStr">
        <is>
          <t>stun_enemies choose 1</t>
        </is>
      </c>
    </row>
    <row r="7">
      <c r="A7" t="inlineStr">
        <is>
          <t>Scroll of Teleportation</t>
        </is>
      </c>
      <c r="B7" t="inlineStr">
        <is>
          <t>Rogue</t>
        </is>
      </c>
      <c r="C7" t="inlineStr">
        <is>
          <t>Neutral</t>
        </is>
      </c>
      <c r="D7" t="inlineStr">
        <is>
          <t>Teleport to a Random Space with roughly the same distance from the Amulet Game. (+ or - 2)</t>
        </is>
      </c>
      <c r="E7" t="inlineStr">
        <is>
          <t>teleport same 2</t>
        </is>
      </c>
      <c r="F7" t="inlineStr">
        <is>
          <t>Teleportation</t>
        </is>
      </c>
    </row>
    <row r="8">
      <c r="A8" t="inlineStr">
        <is>
          <t>Scroll of Fire</t>
        </is>
      </c>
      <c r="B8" t="inlineStr">
        <is>
          <t>Hack</t>
        </is>
      </c>
      <c r="C8" t="inlineStr">
        <is>
          <t>Negative</t>
        </is>
      </c>
      <c r="D8" t="inlineStr">
        <is>
          <t>Gain +3 Burn, Apply the Fire Tile to all tiles in the first column, and Apply +3 Burn to all enemies in the first column</t>
        </is>
      </c>
      <c r="E8" t="inlineStr">
        <is>
          <t>apply_status burn 3 player; apply_tile fire front; apply_status burn 3 front</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G11"/>
  <sheetViews>
    <sheetView workbookViewId="0">
      <selection activeCell="E15" sqref="E15"/>
    </sheetView>
  </sheetViews>
  <sheetFormatPr baseColWidth="8" defaultRowHeight="15"/>
  <cols>
    <col width="14.28515625" bestFit="1" customWidth="1" min="1" max="1"/>
    <col width="13.140625" bestFit="1" customWidth="1" min="2" max="2"/>
    <col width="85.140625" bestFit="1" customWidth="1" min="3" max="3"/>
    <col width="15" bestFit="1" customWidth="1" min="4" max="4"/>
    <col width="65" bestFit="1" customWidth="1" min="5" max="5"/>
    <col width="14" bestFit="1" customWidth="1" min="6" max="6"/>
    <col width="61" bestFit="1" customWidth="1" min="7" max="7"/>
  </cols>
  <sheetData>
    <row r="1">
      <c r="A1" t="inlineStr">
        <is>
          <t>Name</t>
        </is>
      </c>
      <c r="B1" t="inlineStr">
        <is>
          <t>Preference</t>
        </is>
      </c>
      <c r="C1" t="inlineStr">
        <is>
          <t>Description</t>
        </is>
      </c>
      <c r="D1" t="inlineStr">
        <is>
          <t>Effect</t>
        </is>
      </c>
      <c r="E1" t="inlineStr">
        <is>
          <t>Horse Description</t>
        </is>
      </c>
      <c r="F1" t="inlineStr">
        <is>
          <t>Horse Effect</t>
        </is>
      </c>
      <c r="G1" t="inlineStr">
        <is>
          <t>Notes</t>
        </is>
      </c>
    </row>
    <row r="2">
      <c r="A2" t="inlineStr">
        <is>
          <t>Luck Up</t>
        </is>
      </c>
      <c r="B2" t="inlineStr">
        <is>
          <t>Positive</t>
        </is>
      </c>
      <c r="C2" t="inlineStr">
        <is>
          <t>Gain +1 Luck</t>
        </is>
      </c>
      <c r="D2" t="inlineStr">
        <is>
          <t>gain_stat luck 1</t>
        </is>
      </c>
      <c r="E2" t="inlineStr">
        <is>
          <t>Gain +2 Luck</t>
        </is>
      </c>
      <c r="F2" t="inlineStr">
        <is>
          <t>gain_stat luck 2</t>
        </is>
      </c>
    </row>
    <row r="3">
      <c r="A3" t="inlineStr">
        <is>
          <t>Luck Down</t>
        </is>
      </c>
      <c r="B3" t="inlineStr">
        <is>
          <t>Negative</t>
        </is>
      </c>
      <c r="C3" t="inlineStr">
        <is>
          <t>Lose -1 Luck</t>
        </is>
      </c>
      <c r="D3" t="inlineStr">
        <is>
          <t>lose_stat luck 1</t>
        </is>
      </c>
      <c r="E3" t="inlineStr">
        <is>
          <t>Lose -2 Luck</t>
        </is>
      </c>
      <c r="F3" t="inlineStr">
        <is>
          <t>lose_stat luck 2</t>
        </is>
      </c>
    </row>
    <row r="4">
      <c r="A4" t="inlineStr">
        <is>
          <t>Telepills</t>
        </is>
      </c>
      <c r="B4" t="inlineStr">
        <is>
          <t>Neutral</t>
        </is>
      </c>
      <c r="C4" t="inlineStr">
        <is>
          <t>Teleport to a Random Space with roughly the same distance from the Amulet Game. (+ or - 2)</t>
        </is>
      </c>
      <c r="D4" t="inlineStr">
        <is>
          <t>teleport same 2</t>
        </is>
      </c>
      <c r="E4" t="inlineStr">
        <is>
          <t>Teleport to a Random Space with a 1-3 distance from the Amulet Game</t>
        </is>
      </c>
      <c r="F4" t="inlineStr">
        <is>
          <t>teleport amulet 1 3</t>
        </is>
      </c>
    </row>
    <row r="5">
      <c r="A5" t="inlineStr">
        <is>
          <t>48 Hour Energy</t>
        </is>
      </c>
      <c r="B5" t="inlineStr">
        <is>
          <t>Positive</t>
        </is>
      </c>
      <c r="C5" t="inlineStr">
        <is>
          <t>Gain +3 Charges for random Chargeable items</t>
        </is>
      </c>
      <c r="D5" t="inlineStr">
        <is>
          <t>charge random 3</t>
        </is>
      </c>
      <c r="E5" t="inlineStr">
        <is>
          <t>Fully Charge 3 Random Chargeable Items</t>
        </is>
      </c>
      <c r="F5" t="inlineStr">
        <is>
          <t>charge random 3 full</t>
        </is>
      </c>
    </row>
    <row r="6">
      <c r="A6" t="inlineStr">
        <is>
          <t>Health Up</t>
        </is>
      </c>
      <c r="B6" t="inlineStr">
        <is>
          <t>Positive</t>
        </is>
      </c>
      <c r="C6" t="inlineStr">
        <is>
          <t>Gain +2 Max Health</t>
        </is>
      </c>
      <c r="D6" t="inlineStr">
        <is>
          <t>gain_max_hp 2</t>
        </is>
      </c>
      <c r="E6" t="inlineStr">
        <is>
          <t>Gain +4 Max Health</t>
        </is>
      </c>
      <c r="F6" t="inlineStr">
        <is>
          <t>gain_max_hp 4</t>
        </is>
      </c>
    </row>
    <row r="7">
      <c r="A7" t="inlineStr">
        <is>
          <t>Health Down</t>
        </is>
      </c>
      <c r="B7" t="inlineStr">
        <is>
          <t>Negative</t>
        </is>
      </c>
      <c r="C7" t="inlineStr">
        <is>
          <t>Lose -2 Max Health</t>
        </is>
      </c>
      <c r="D7" t="inlineStr">
        <is>
          <t>lose_max_hp 2</t>
        </is>
      </c>
      <c r="E7" t="inlineStr">
        <is>
          <t>Lose -4 Max Health</t>
        </is>
      </c>
      <c r="F7" t="inlineStr">
        <is>
          <t>lose_max_hp 4</t>
        </is>
      </c>
    </row>
    <row r="8">
      <c r="A8" t="inlineStr">
        <is>
          <t>Bad Trip</t>
        </is>
      </c>
      <c r="B8" t="inlineStr">
        <is>
          <t>Negative</t>
        </is>
      </c>
      <c r="C8" t="inlineStr">
        <is>
          <t>Lose -2 Health</t>
        </is>
      </c>
      <c r="D8" t="inlineStr">
        <is>
          <t>lose_hp 2 lethal=heal_full</t>
        </is>
      </c>
      <c r="E8" t="inlineStr">
        <is>
          <t>Lose -4 Health</t>
        </is>
      </c>
      <c r="F8" t="inlineStr">
        <is>
          <t>lose_hp 4 lethal=heal_full</t>
        </is>
      </c>
      <c r="G8" t="inlineStr">
        <is>
          <t>When a Bad Trip pill when it would kill you, it becomes Full Health</t>
        </is>
      </c>
    </row>
    <row r="9">
      <c r="A9" t="inlineStr">
        <is>
          <t>Full Health</t>
        </is>
      </c>
      <c r="B9" t="inlineStr">
        <is>
          <t>Positive</t>
        </is>
      </c>
      <c r="C9" t="inlineStr">
        <is>
          <t>Heal to full health</t>
        </is>
      </c>
      <c r="D9" t="inlineStr">
        <is>
          <t>heal_full</t>
        </is>
      </c>
      <c r="E9" t="inlineStr">
        <is>
          <t>Heal to full health and Gain +3 Shields</t>
        </is>
      </c>
      <c r="F9" t="inlineStr">
        <is>
          <t>heal_full; gain_stat bonus_shields 3</t>
        </is>
      </c>
    </row>
    <row r="10">
      <c r="A10" t="inlineStr">
        <is>
          <t>Balls of Steel</t>
        </is>
      </c>
      <c r="B10" t="inlineStr">
        <is>
          <t>Positive</t>
        </is>
      </c>
      <c r="C10" t="inlineStr">
        <is>
          <t>Gain +2 Shields</t>
        </is>
      </c>
      <c r="D10" t="inlineStr">
        <is>
          <t>gain_stat bonus_shields 2</t>
        </is>
      </c>
      <c r="E10" t="inlineStr">
        <is>
          <t>Gain +4 Shields</t>
        </is>
      </c>
      <c r="F10" t="inlineStr">
        <is>
          <t>gain_stat bonus_shields 4</t>
        </is>
      </c>
    </row>
    <row r="11">
      <c r="A11" t="inlineStr">
        <is>
          <t>Amnesia</t>
        </is>
      </c>
      <c r="B11" t="inlineStr">
        <is>
          <t>Negative</t>
        </is>
      </c>
      <c r="C11" t="inlineStr">
        <is>
          <t>Gain a Random Curse</t>
        </is>
      </c>
      <c r="D11" t="inlineStr">
        <is>
          <t>add_curse random</t>
        </is>
      </c>
      <c r="E11" t="inlineStr">
        <is>
          <t>Gain a Random Curse and Forget all Identified loot</t>
        </is>
      </c>
      <c r="F11" t="inlineStr">
        <is>
          <t>add_curse random; forget loot all</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K3"/>
  <sheetViews>
    <sheetView workbookViewId="0">
      <selection activeCell="B8" sqref="B8"/>
    </sheetView>
  </sheetViews>
  <sheetFormatPr baseColWidth="8" defaultRowHeight="15"/>
  <cols>
    <col width="23.140625" bestFit="1" customWidth="1" min="1" max="1"/>
    <col width="26.5703125" bestFit="1" customWidth="1" min="2" max="2"/>
    <col width="6.85546875" bestFit="1" customWidth="1" min="3" max="3"/>
    <col width="22.28515625" bestFit="1" customWidth="1" min="4" max="4"/>
    <col width="7.7109375" bestFit="1" customWidth="1" min="6" max="6"/>
    <col width="9.85546875" bestFit="1" customWidth="1" min="7" max="7"/>
    <col width="9.42578125" bestFit="1" customWidth="1" min="8" max="8"/>
    <col width="15" bestFit="1" customWidth="1" min="9" max="9"/>
    <col width="9.28515625" customWidth="1" min="10" max="10"/>
    <col width="9.85546875" bestFit="1" customWidth="1" min="11" max="11"/>
    <col width="21" customWidth="1" min="12" max="12"/>
    <col width="13.7109375" bestFit="1" customWidth="1" min="13" max="13"/>
    <col width="10.7109375" bestFit="1" customWidth="1" min="14" max="14"/>
    <col width="10.85546875" customWidth="1" min="15" max="15"/>
    <col width="10.140625" customWidth="1" min="16" max="16"/>
    <col width="9.7109375" customWidth="1" min="17" max="17"/>
    <col width="10.5703125" customWidth="1" min="18" max="18"/>
    <col width="10.85546875" customWidth="1" min="19" max="19"/>
    <col width="10.140625" customWidth="1" min="20" max="20"/>
    <col width="9.7109375" customWidth="1" min="21" max="21"/>
    <col width="10.5703125" customWidth="1" min="22" max="22"/>
    <col width="10.85546875" customWidth="1" min="23" max="23"/>
    <col width="10.140625" customWidth="1" min="24" max="24"/>
    <col width="9.7109375" customWidth="1" min="25" max="25"/>
    <col width="10.5703125" customWidth="1" min="26" max="26"/>
    <col width="10.85546875" customWidth="1" min="27" max="27"/>
    <col width="10.140625" customWidth="1" min="28" max="28"/>
    <col width="9.7109375" customWidth="1" min="29" max="29"/>
    <col width="10.5703125" customWidth="1" min="30" max="30"/>
    <col width="10.85546875" customWidth="1" min="31" max="31"/>
    <col width="10.140625" customWidth="1" min="32" max="32"/>
    <col width="9.7109375" customWidth="1" min="33" max="33"/>
    <col width="10.5703125" customWidth="1" min="34" max="34"/>
    <col width="10.85546875" customWidth="1" min="35" max="35"/>
    <col width="10.140625" customWidth="1" min="36" max="36"/>
    <col width="9.7109375" customWidth="1" min="37" max="37"/>
  </cols>
  <sheetData>
    <row r="1">
      <c r="A1" t="inlineStr">
        <is>
          <t>Name</t>
        </is>
      </c>
      <c r="B1" t="inlineStr">
        <is>
          <t>Game</t>
        </is>
      </c>
      <c r="C1" t="inlineStr">
        <is>
          <t>Tag</t>
        </is>
      </c>
      <c r="D1" t="inlineStr">
        <is>
          <t>Image</t>
        </is>
      </c>
      <c r="E1" t="inlineStr">
        <is>
          <t>Rarity</t>
        </is>
      </c>
      <c r="F1" t="inlineStr">
        <is>
          <t>Limit</t>
        </is>
      </c>
      <c r="G1" t="inlineStr">
        <is>
          <t>Unique</t>
        </is>
      </c>
      <c r="H1" t="inlineStr">
        <is>
          <t>Where</t>
        </is>
      </c>
      <c r="I1" t="inlineStr">
        <is>
          <t>Requirement</t>
        </is>
      </c>
      <c r="J1" t="inlineStr">
        <is>
          <t>Trigger</t>
        </is>
      </c>
      <c r="K1" t="inlineStr">
        <is>
          <t>Prompt</t>
        </is>
      </c>
      <c r="L1" t="inlineStr">
        <is>
          <t>Chance Won</t>
        </is>
      </c>
      <c r="M1" t="inlineStr">
        <is>
          <t>Chance Lost</t>
        </is>
      </c>
      <c r="N1" t="inlineStr">
        <is>
          <t>Choice 1</t>
        </is>
      </c>
      <c r="O1" t="inlineStr">
        <is>
          <t>Repeat 1</t>
        </is>
      </c>
      <c r="P1" t="inlineStr">
        <is>
          <t>Result 1</t>
        </is>
      </c>
      <c r="Q1" t="inlineStr">
        <is>
          <t>Effect 1</t>
        </is>
      </c>
      <c r="R1" t="inlineStr">
        <is>
          <t>Choice 2</t>
        </is>
      </c>
      <c r="S1" t="inlineStr">
        <is>
          <t>Repeat 2</t>
        </is>
      </c>
      <c r="T1" t="inlineStr">
        <is>
          <t>Result 2</t>
        </is>
      </c>
      <c r="U1" t="inlineStr">
        <is>
          <t>Effect 2</t>
        </is>
      </c>
      <c r="V1" t="inlineStr">
        <is>
          <t>Choice 3</t>
        </is>
      </c>
      <c r="W1" t="inlineStr">
        <is>
          <t>Repeat 3</t>
        </is>
      </c>
      <c r="X1" t="inlineStr">
        <is>
          <t>Result 3</t>
        </is>
      </c>
      <c r="Y1" t="inlineStr">
        <is>
          <t>Effect 3</t>
        </is>
      </c>
      <c r="Z1" t="inlineStr">
        <is>
          <t>Choice 4</t>
        </is>
      </c>
      <c r="AA1" t="inlineStr">
        <is>
          <t>Repeat 4</t>
        </is>
      </c>
      <c r="AB1" t="inlineStr">
        <is>
          <t>Result 4</t>
        </is>
      </c>
      <c r="AC1" t="inlineStr">
        <is>
          <t>Effect 4</t>
        </is>
      </c>
      <c r="AD1" t="inlineStr">
        <is>
          <t>Choice 5</t>
        </is>
      </c>
      <c r="AE1" t="inlineStr">
        <is>
          <t>Repeat 5</t>
        </is>
      </c>
      <c r="AF1" t="inlineStr">
        <is>
          <t>Result 5</t>
        </is>
      </c>
      <c r="AG1" t="inlineStr">
        <is>
          <t>Effect 5</t>
        </is>
      </c>
      <c r="AH1" t="inlineStr">
        <is>
          <t>Choice 6</t>
        </is>
      </c>
      <c r="AI1" t="inlineStr">
        <is>
          <t>Repeat 6</t>
        </is>
      </c>
      <c r="AJ1" t="inlineStr">
        <is>
          <t>Result 6</t>
        </is>
      </c>
      <c r="AK1" t="inlineStr">
        <is>
          <t>Effect 6</t>
        </is>
      </c>
    </row>
    <row r="2">
      <c r="A2" t="inlineStr">
        <is>
          <t>Blood Donation Machine</t>
        </is>
      </c>
      <c r="B2" t="inlineStr">
        <is>
          <t>The Binding of Isaac</t>
        </is>
      </c>
      <c r="C2" t="inlineStr">
        <is>
          <t>arcade</t>
        </is>
      </c>
      <c r="D2" t="inlineStr">
        <is>
          <t>BloodDonationMachine</t>
        </is>
      </c>
      <c r="E2" t="inlineStr">
        <is>
          <t>Common</t>
        </is>
      </c>
      <c r="L2" t="inlineStr">
        <is>
          <t>The machine exploded, and {ITEM} appeared.</t>
        </is>
      </c>
      <c r="N2" t="inlineStr">
        <is>
          <t>Give Blood</t>
        </is>
      </c>
      <c r="O2" t="inlineStr">
        <is>
          <t>Again</t>
        </is>
      </c>
      <c r="Q2" t="inlineStr">
        <is>
          <t>lose_hp 1; chance 6.7% -&gt; gain_item_of blood_bag|iv_bag; destroy_object else gain_gold 1</t>
        </is>
      </c>
      <c r="R2" t="inlineStr">
        <is>
          <t>Bomb</t>
        </is>
      </c>
      <c r="U2" t="inlineStr">
        <is>
          <t>needs bombs 1; spend_bomb 1; gain_pickups 2-4 hp|gold; destroy_object</t>
        </is>
      </c>
    </row>
    <row r="3">
      <c r="A3" t="inlineStr">
        <is>
          <t>Donation Machine</t>
        </is>
      </c>
      <c r="B3" t="inlineStr">
        <is>
          <t>The Binding of Isaac: Rebirth</t>
        </is>
      </c>
      <c r="C3" t="inlineStr">
        <is>
          <t>arcade</t>
        </is>
      </c>
      <c r="D3" t="inlineStr">
        <is>
          <t>DonationMachine</t>
        </is>
      </c>
      <c r="E3" t="inlineStr">
        <is>
          <t>Common</t>
        </is>
      </c>
      <c r="G3" t="inlineStr">
        <is>
          <t>Yes</t>
        </is>
      </c>
      <c r="N3" t="inlineStr">
        <is>
          <t>Give Gold</t>
        </is>
      </c>
      <c r="O3" t="inlineStr">
        <is>
          <t>Again</t>
        </is>
      </c>
      <c r="Q3" t="inlineStr">
        <is>
          <t>needs gold 1; needs not_jammed; needs bank_space; donate_gold 1; roll 5% gain_stat luck 1; roll {1+X}% jam_object</t>
        </is>
      </c>
      <c r="R3" t="inlineStr">
        <is>
          <t>Bomb</t>
        </is>
      </c>
      <c r="U3" t="inlineStr">
        <is>
          <t>needs bombs 1; spend_bomb 1; bank_payout 2-5; destroy_object run</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4"/>
  <sheetViews>
    <sheetView workbookViewId="0">
      <selection activeCell="E6" sqref="E6"/>
    </sheetView>
  </sheetViews>
  <sheetFormatPr baseColWidth="8" defaultRowHeight="15"/>
  <cols>
    <col width="15.7109375" bestFit="1" customWidth="1" min="1" max="1"/>
    <col width="14.5703125" bestFit="1" customWidth="1" min="2" max="2"/>
    <col width="35" bestFit="1" customWidth="1" min="3" max="3"/>
    <col width="14" bestFit="1" customWidth="1" min="4" max="4"/>
    <col width="15" bestFit="1" customWidth="1" min="6" max="6"/>
  </cols>
  <sheetData>
    <row r="1">
      <c r="A1" t="inlineStr">
        <is>
          <t>Curse</t>
        </is>
      </c>
      <c r="B1" t="inlineStr">
        <is>
          <t>Game</t>
        </is>
      </c>
      <c r="C1" t="inlineStr">
        <is>
          <t>Condition</t>
        </is>
      </c>
      <c r="D1" t="inlineStr">
        <is>
          <t>Penalty</t>
        </is>
      </c>
      <c r="E1" t="inlineStr">
        <is>
          <t>Timer</t>
        </is>
      </c>
      <c r="F1" t="inlineStr">
        <is>
          <t>Image</t>
        </is>
      </c>
    </row>
    <row r="2">
      <c r="A2" t="inlineStr">
        <is>
          <t>Poor Sleep</t>
        </is>
      </c>
      <c r="B2" t="inlineStr">
        <is>
          <t>Slay the Spire 2</t>
        </is>
      </c>
      <c r="C2" t="inlineStr">
        <is>
          <t>you use a rest site to replenish health</t>
        </is>
      </c>
      <c r="D2" t="inlineStr">
        <is>
          <t>spawn_enemy</t>
        </is>
      </c>
      <c r="E2" t="n">
        <v>3</v>
      </c>
      <c r="F2" t="inlineStr">
        <is>
          <t>PoorSleep</t>
        </is>
      </c>
    </row>
    <row r="3">
      <c r="A3" t="inlineStr">
        <is>
          <t>Injury</t>
        </is>
      </c>
      <c r="B3" t="inlineStr">
        <is>
          <t>Slay the Spire 2</t>
        </is>
      </c>
      <c r="C3" t="inlineStr">
        <is>
          <t>you go below half health</t>
        </is>
      </c>
      <c r="D3" t="inlineStr">
        <is>
          <t>spawn_enemy</t>
        </is>
      </c>
      <c r="E3" t="n">
        <v>3</v>
      </c>
      <c r="F3" t="inlineStr">
        <is>
          <t>Injury</t>
        </is>
      </c>
    </row>
    <row r="4">
      <c r="A4" t="inlineStr">
        <is>
          <t>Curse of the Bell</t>
        </is>
      </c>
      <c r="B4" t="inlineStr">
        <is>
          <t>Slay the Spire</t>
        </is>
      </c>
      <c r="C4" t="inlineStr">
        <is>
          <t>you don't ring a bell</t>
        </is>
      </c>
      <c r="D4" t="inlineStr">
        <is>
          <t>spawn_enemy</t>
        </is>
      </c>
      <c r="E4" t="inlineStr">
        <is>
          <t>N/A</t>
        </is>
      </c>
      <c r="F4" t="inlineStr">
        <is>
          <t>CurseOfTheBell</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2"/>
  <sheetViews>
    <sheetView workbookViewId="0">
      <selection activeCell="D11" sqref="D11"/>
    </sheetView>
  </sheetViews>
  <sheetFormatPr baseColWidth="8" defaultRowHeight="15"/>
  <cols>
    <col width="9.7109375" bestFit="1" customWidth="1" min="1" max="1"/>
    <col width="60.28515625" bestFit="1" customWidth="1" min="2" max="2"/>
    <col width="69" bestFit="1" customWidth="1" min="3" max="3"/>
    <col width="40" bestFit="1" customWidth="1" min="4" max="4"/>
    <col width="10.7109375" bestFit="1" customWidth="1" min="5" max="5"/>
    <col width="9.7109375" bestFit="1" customWidth="1" min="6" max="6"/>
  </cols>
  <sheetData>
    <row r="1">
      <c r="A1" t="inlineStr">
        <is>
          <t>Name</t>
        </is>
      </c>
      <c r="B1" t="inlineStr">
        <is>
          <t>Description</t>
        </is>
      </c>
      <c r="C1" t="inlineStr">
        <is>
          <t>Effect</t>
        </is>
      </c>
      <c r="D1" t="inlineStr">
        <is>
          <t>Interactions</t>
        </is>
      </c>
      <c r="E1" t="inlineStr">
        <is>
          <t>Decay</t>
        </is>
      </c>
      <c r="F1" t="inlineStr">
        <is>
          <t>Img</t>
        </is>
      </c>
    </row>
    <row r="2">
      <c r="A2" t="inlineStr">
        <is>
          <t>Fire</t>
        </is>
      </c>
      <c r="B2" t="inlineStr">
        <is>
          <t>Apply +1 Burn to enemies who enter or start their turn on this tile</t>
        </is>
      </c>
      <c r="C2" t="inlineStr">
        <is>
          <t>enemy_enters: apply_status burn 1; enemy_turn_start: apply_status burn 1</t>
        </is>
      </c>
      <c r="D2" t="inlineStr">
        <is>
          <t>unit landmine: detonate_unit; remove_tile</t>
        </is>
      </c>
      <c r="E2" t="inlineStr">
        <is>
          <t>3 Games</t>
        </is>
      </c>
      <c r="F2" t="inlineStr">
        <is>
          <t>Fire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G2"/>
  <sheetViews>
    <sheetView workbookViewId="0">
      <selection activeCell="C14" sqref="C14"/>
    </sheetView>
  </sheetViews>
  <sheetFormatPr baseColWidth="8" defaultRowHeight="15"/>
  <cols>
    <col width="9.7109375" bestFit="1" customWidth="1" min="1" max="1"/>
    <col width="10" bestFit="1" customWidth="1" min="2" max="2"/>
    <col width="74.28515625" bestFit="1" customWidth="1" min="3" max="3"/>
    <col width="23.42578125" bestFit="1" customWidth="1" min="4" max="4"/>
    <col width="34" bestFit="1" customWidth="1" min="5" max="5"/>
    <col width="9.140625" bestFit="1" customWidth="1" min="6" max="6"/>
    <col width="9.7109375" bestFit="1" customWidth="1" min="7" max="7"/>
  </cols>
  <sheetData>
    <row r="1">
      <c r="A1" t="inlineStr">
        <is>
          <t>Name</t>
        </is>
      </c>
      <c r="B1" t="inlineStr">
        <is>
          <t>Type</t>
        </is>
      </c>
      <c r="C1" t="inlineStr">
        <is>
          <t>Description</t>
        </is>
      </c>
      <c r="D1" t="inlineStr">
        <is>
          <t>Effect</t>
        </is>
      </c>
      <c r="E1" t="inlineStr">
        <is>
          <t>Interactions</t>
        </is>
      </c>
      <c r="F1" t="inlineStr">
        <is>
          <t>Health</t>
        </is>
      </c>
      <c r="G1" t="inlineStr">
        <is>
          <t>Img</t>
        </is>
      </c>
    </row>
    <row r="2">
      <c r="A2" t="inlineStr">
        <is>
          <t>Landmine</t>
        </is>
      </c>
      <c r="B2" t="inlineStr">
        <is>
          <t>Inanimate</t>
        </is>
      </c>
      <c r="C2" t="inlineStr">
        <is>
          <t>On contact with an enemy, destroy itself, explode, and trigger your bomb effects</t>
        </is>
      </c>
      <c r="D2" t="inlineStr">
        <is>
          <t>enemy_enters: detonate</t>
        </is>
      </c>
      <c r="E2" t="inlineStr">
        <is>
          <t>tile fire: detonate_unit; remove_tile</t>
        </is>
      </c>
      <c r="F2" t="n">
        <v>1</v>
      </c>
      <c r="G2" t="inlineStr">
        <is>
          <t>Landmine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H11"/>
  <sheetViews>
    <sheetView workbookViewId="0">
      <selection activeCell="L20" sqref="L20"/>
    </sheetView>
  </sheetViews>
  <sheetFormatPr baseColWidth="8" defaultRowHeight="15"/>
  <cols>
    <col width="10.7109375" bestFit="1" customWidth="1" min="2" max="2"/>
    <col width="10.140625" bestFit="1" customWidth="1" min="3" max="3"/>
    <col width="9" bestFit="1" customWidth="1" min="4" max="4"/>
    <col width="39.28515625" bestFit="1" customWidth="1" min="5" max="5"/>
    <col width="23.7109375" bestFit="1" customWidth="1" min="7" max="7"/>
  </cols>
  <sheetData>
    <row r="1">
      <c r="A1" t="inlineStr">
        <is>
          <t>Name</t>
        </is>
      </c>
      <c r="B1" t="inlineStr">
        <is>
          <t>Type</t>
        </is>
      </c>
      <c r="C1" t="inlineStr">
        <is>
          <t>Tier</t>
        </is>
      </c>
      <c r="D1" t="inlineStr">
        <is>
          <t>Rarity</t>
        </is>
      </c>
      <c r="E1" t="inlineStr">
        <is>
          <t>Obtain Goals</t>
        </is>
      </c>
      <c r="F1" t="inlineStr">
        <is>
          <t>Effect</t>
        </is>
      </c>
      <c r="G1" t="inlineStr">
        <is>
          <t>Visuals</t>
        </is>
      </c>
      <c r="H1" t="inlineStr">
        <is>
          <t>Image</t>
        </is>
      </c>
    </row>
    <row r="2">
      <c r="B2" t="inlineStr">
        <is>
          <t>Body</t>
        </is>
      </c>
      <c r="C2" t="inlineStr">
        <is>
          <t>1-Low</t>
        </is>
      </c>
      <c r="D2" t="inlineStr">
        <is>
          <t>Common</t>
        </is>
      </c>
      <c r="E2" t="inlineStr">
        <is>
          <t>Get damaged by enemies a lot</t>
        </is>
      </c>
      <c r="F2" t="inlineStr">
        <is>
          <t>N/A</t>
        </is>
      </c>
      <c r="G2" t="inlineStr">
        <is>
          <t>battered</t>
        </is>
      </c>
    </row>
    <row r="3">
      <c r="B3" t="inlineStr">
        <is>
          <t>Body</t>
        </is>
      </c>
      <c r="C3" t="inlineStr">
        <is>
          <t>2-Medium</t>
        </is>
      </c>
      <c r="D3" t="inlineStr">
        <is>
          <t>Common</t>
        </is>
      </c>
      <c r="E3" t="inlineStr">
        <is>
          <t>Only take 10 or less damage from enemies</t>
        </is>
      </c>
      <c r="G3" t="inlineStr">
        <is>
          <t>slightly damaged</t>
        </is>
      </c>
    </row>
    <row r="4">
      <c r="B4" t="inlineStr">
        <is>
          <t>Body</t>
        </is>
      </c>
      <c r="C4" t="inlineStr">
        <is>
          <t>3-High</t>
        </is>
      </c>
      <c r="D4" t="inlineStr">
        <is>
          <t>Common</t>
        </is>
      </c>
      <c r="E4" t="inlineStr">
        <is>
          <t>Take no damage from enemies</t>
        </is>
      </c>
      <c r="G4" t="inlineStr">
        <is>
          <t>completely pristine</t>
        </is>
      </c>
    </row>
    <row r="5">
      <c r="B5" t="inlineStr">
        <is>
          <t>Cord</t>
        </is>
      </c>
      <c r="C5" t="inlineStr">
        <is>
          <t>1-Low</t>
        </is>
      </c>
      <c r="D5" t="inlineStr">
        <is>
          <t>Common</t>
        </is>
      </c>
      <c r="E5" t="inlineStr">
        <is>
          <t>End a run with 10 or less items</t>
        </is>
      </c>
      <c r="F5" t="inlineStr">
        <is>
          <t>N/A</t>
        </is>
      </c>
      <c r="G5" t="inlineStr">
        <is>
          <t>bare</t>
        </is>
      </c>
    </row>
    <row r="6">
      <c r="B6" t="inlineStr">
        <is>
          <t>Cord</t>
        </is>
      </c>
      <c r="C6" t="inlineStr">
        <is>
          <t>2-Medium</t>
        </is>
      </c>
      <c r="D6" t="inlineStr">
        <is>
          <t>Common</t>
        </is>
      </c>
      <c r="E6" t="inlineStr">
        <is>
          <t>End a run with 11 - 20 items</t>
        </is>
      </c>
      <c r="G6" t="inlineStr">
        <is>
          <t>has some stuff on it</t>
        </is>
      </c>
    </row>
    <row r="7">
      <c r="B7" t="inlineStr">
        <is>
          <t>Cord</t>
        </is>
      </c>
      <c r="C7" t="inlineStr">
        <is>
          <t>3-High</t>
        </is>
      </c>
      <c r="D7" t="inlineStr">
        <is>
          <t>Common</t>
        </is>
      </c>
      <c r="E7" t="inlineStr">
        <is>
          <t>End a run with over 20 items</t>
        </is>
      </c>
      <c r="G7" t="inlineStr">
        <is>
          <t>ornaments and stuff on it</t>
        </is>
      </c>
    </row>
    <row r="8">
      <c r="B8" t="inlineStr">
        <is>
          <t>Decoration</t>
        </is>
      </c>
      <c r="C8" t="inlineStr">
        <is>
          <t>1-Low</t>
        </is>
      </c>
      <c r="D8" t="inlineStr">
        <is>
          <t>Common</t>
        </is>
      </c>
      <c r="E8" t="inlineStr">
        <is>
          <t>Beat a low tier boss</t>
        </is>
      </c>
      <c r="F8" t="inlineStr">
        <is>
          <t>N/A</t>
        </is>
      </c>
    </row>
    <row r="9">
      <c r="B9" t="inlineStr">
        <is>
          <t>Decoration</t>
        </is>
      </c>
      <c r="C9" t="inlineStr">
        <is>
          <t>2-Medium</t>
        </is>
      </c>
      <c r="D9" t="inlineStr">
        <is>
          <t>Common</t>
        </is>
      </c>
      <c r="E9" t="inlineStr">
        <is>
          <t>Beat a medium tier boss</t>
        </is>
      </c>
    </row>
    <row r="10">
      <c r="B10" t="inlineStr">
        <is>
          <t>Decoration</t>
        </is>
      </c>
      <c r="C10" t="inlineStr">
        <is>
          <t>3-High</t>
        </is>
      </c>
      <c r="D10" t="inlineStr">
        <is>
          <t>Common</t>
        </is>
      </c>
      <c r="E10" t="inlineStr">
        <is>
          <t>Beat a high tier boss</t>
        </is>
      </c>
    </row>
    <row r="11">
      <c r="B11" t="inlineStr">
        <is>
          <t>Decoration</t>
        </is>
      </c>
      <c r="C11" t="inlineStr">
        <is>
          <t>4-Insane</t>
        </is>
      </c>
      <c r="D11" t="inlineStr">
        <is>
          <t>Common</t>
        </is>
      </c>
      <c r="E11" t="inlineStr">
        <is>
          <t>Beat an insane tier boss</t>
        </is>
      </c>
      <c r="G11" t="inlineStr">
        <is>
          <t>up to you to decide how these look, but I think they should be a gem that gets bigger and the 4th tier one should be magical</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I3"/>
  <sheetViews>
    <sheetView workbookViewId="0">
      <selection activeCell="H3" sqref="H3"/>
    </sheetView>
  </sheetViews>
  <sheetFormatPr baseColWidth="8" defaultRowHeight="15"/>
  <cols>
    <col width="17.42578125" bestFit="1" customWidth="1" min="1" max="1"/>
    <col width="26.5703125" bestFit="1" customWidth="1" min="2" max="2"/>
    <col width="17.42578125" customWidth="1" min="3" max="3"/>
    <col width="12" customWidth="1" min="4" max="4"/>
    <col width="22.140625" bestFit="1" customWidth="1" min="5" max="5"/>
    <col width="18.42578125" bestFit="1" customWidth="1" min="6" max="6"/>
    <col width="7.7109375" bestFit="1" customWidth="1" min="7" max="7"/>
    <col width="54" bestFit="1" customWidth="1" min="8" max="8"/>
  </cols>
  <sheetData>
    <row r="1">
      <c r="A1" t="inlineStr">
        <is>
          <t>Name</t>
        </is>
      </c>
      <c r="B1" t="inlineStr">
        <is>
          <t>Game</t>
        </is>
      </c>
      <c r="C1" t="inlineStr">
        <is>
          <t>Difficulty</t>
        </is>
      </c>
      <c r="D1" t="inlineStr">
        <is>
          <t>Goal Type</t>
        </is>
      </c>
      <c r="E1" t="inlineStr">
        <is>
          <t>Goal</t>
        </is>
      </c>
      <c r="F1" t="inlineStr">
        <is>
          <t>Goal Effect</t>
        </is>
      </c>
      <c r="G1" t="inlineStr">
        <is>
          <t>Limit</t>
        </is>
      </c>
      <c r="H1" t="inlineStr">
        <is>
          <t>Extra Effect</t>
        </is>
      </c>
      <c r="I1" t="inlineStr">
        <is>
          <t>Enemy Type</t>
        </is>
      </c>
    </row>
    <row r="2">
      <c r="A2" t="inlineStr">
        <is>
          <t>Burning Basement</t>
        </is>
      </c>
      <c r="B2" t="inlineStr">
        <is>
          <t>The Binding of Isaac: Rebirth</t>
        </is>
      </c>
      <c r="C2" t="inlineStr">
        <is>
          <t>1-Low</t>
        </is>
      </c>
      <c r="D2" t="inlineStr">
        <is>
          <t>Feat</t>
        </is>
      </c>
      <c r="E2" t="inlineStr">
        <is>
          <t>Set 10+ enemies on fire</t>
        </is>
      </c>
      <c r="F2" t="inlineStr">
        <is>
          <t>Gain +1 Small Chest</t>
        </is>
      </c>
      <c r="G2" t="inlineStr">
        <is>
          <t>None</t>
        </is>
      </c>
      <c r="H2" t="inlineStr">
        <is>
          <t>When entered, spawn 1 random enemy with the fire tag</t>
        </is>
      </c>
      <c r="I2" t="inlineStr">
        <is>
          <t>fire</t>
        </is>
      </c>
    </row>
    <row r="3">
      <c r="A3" t="inlineStr">
        <is>
          <t>Dross</t>
        </is>
      </c>
      <c r="B3" t="inlineStr">
        <is>
          <t>The Binding of Isaac: Rebirth</t>
        </is>
      </c>
      <c r="C3" t="inlineStr">
        <is>
          <t>1-Low</t>
        </is>
      </c>
      <c r="D3" t="inlineStr">
        <is>
          <t>Bounty</t>
        </is>
      </c>
      <c r="E3" t="inlineStr">
        <is>
          <t>Defeat a stinky enemy</t>
        </is>
      </c>
      <c r="F3" t="inlineStr">
        <is>
          <t>Gain +1 Small Chest</t>
        </is>
      </c>
      <c r="G3" t="inlineStr">
        <is>
          <t>None</t>
        </is>
      </c>
      <c r="I3" t="inlineStr">
        <is>
          <t>stinky</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AB53"/>
  <sheetViews>
    <sheetView zoomScale="85" zoomScaleNormal="85" workbookViewId="0">
      <selection activeCell="F20" sqref="F20"/>
    </sheetView>
  </sheetViews>
  <sheetFormatPr baseColWidth="8" defaultRowHeight="15"/>
  <cols>
    <col width="24" customWidth="1" min="1" max="1"/>
    <col width="12" customWidth="1" min="2" max="2"/>
    <col width="54" customWidth="1" min="3" max="3"/>
    <col width="10" customWidth="1" min="5" max="5"/>
    <col width="9" customWidth="1" min="6" max="7"/>
    <col width="14" customWidth="1" min="9" max="9"/>
    <col width="9" customWidth="1" min="10" max="12"/>
    <col width="7" customWidth="1" min="14" max="14"/>
    <col width="32" customWidth="1" min="15" max="15"/>
    <col width="9" customWidth="1" min="16" max="16"/>
    <col width="7" customWidth="1" min="18" max="18"/>
    <col width="32" customWidth="1" min="19" max="19"/>
    <col width="9" customWidth="1" min="20" max="20"/>
    <col width="8" customWidth="1" min="22" max="22"/>
    <col width="9" customWidth="1" min="23" max="24"/>
    <col width="13" customWidth="1" min="25" max="25"/>
    <col width="11" customWidth="1" min="27" max="27"/>
    <col width="13" customWidth="1" min="28" max="28"/>
  </cols>
  <sheetData>
    <row r="1" ht="20.25" customHeight="1">
      <c r="A1" s="14" t="inlineStr">
        <is>
          <t>Influence Graph — live analysis</t>
        </is>
      </c>
    </row>
    <row r="2">
      <c r="A2" s="15" t="inlineStr">
        <is>
          <t>Every figure is a formula over the games and connections sheets. Add a row to either and these update on open.</t>
        </is>
      </c>
    </row>
    <row r="4" ht="25.5" customHeight="1">
      <c r="A4" s="16" t="inlineStr">
        <is>
          <t>Measure</t>
        </is>
      </c>
      <c r="B4" s="16" t="inlineStr">
        <is>
          <t>Value</t>
        </is>
      </c>
      <c r="C4" s="16" t="inlineStr">
        <is>
          <t>What it means</t>
        </is>
      </c>
      <c r="E4" s="16" t="inlineStr">
        <is>
          <t>Degree</t>
        </is>
      </c>
      <c r="F4" s="16" t="inlineStr">
        <is>
          <t>Games</t>
        </is>
      </c>
      <c r="G4" s="16" t="inlineStr">
        <is>
          <t>Owned</t>
        </is>
      </c>
      <c r="I4" s="16" t="inlineStr">
        <is>
          <t>Genre</t>
        </is>
      </c>
      <c r="J4" s="16" t="inlineStr">
        <is>
          <t>Games</t>
        </is>
      </c>
      <c r="K4" s="16" t="inlineStr">
        <is>
          <t>Owned</t>
        </is>
      </c>
      <c r="L4" s="16" t="inlineStr">
        <is>
          <t>Owned %</t>
        </is>
      </c>
      <c r="N4" s="16" t="inlineStr">
        <is>
          <t>Rank</t>
        </is>
      </c>
      <c r="O4" s="16" t="inlineStr">
        <is>
          <t>Game</t>
        </is>
      </c>
      <c r="P4" s="16" t="inlineStr">
        <is>
          <t>Degree</t>
        </is>
      </c>
      <c r="R4" s="16" t="inlineStr">
        <is>
          <t>Rank</t>
        </is>
      </c>
      <c r="S4" s="16" t="inlineStr">
        <is>
          <t>Game you own</t>
        </is>
      </c>
      <c r="T4" s="16" t="inlineStr">
        <is>
          <t>Degree</t>
        </is>
      </c>
      <c r="V4" s="16" t="inlineStr">
        <is>
          <t>Year</t>
        </is>
      </c>
      <c r="W4" s="16" t="inlineStr">
        <is>
          <t>Games</t>
        </is>
      </c>
      <c r="X4" s="16" t="inlineStr">
        <is>
          <t>Owned</t>
        </is>
      </c>
      <c r="Y4" s="16" t="inlineStr">
        <is>
          <t>Connections</t>
        </is>
      </c>
      <c r="AA4" s="16" t="inlineStr">
        <is>
          <t>Edge span</t>
        </is>
      </c>
      <c r="AB4" s="16" t="inlineStr">
        <is>
          <t>Connections</t>
        </is>
      </c>
    </row>
    <row r="5">
      <c r="A5" s="17" t="inlineStr">
        <is>
          <t>Games</t>
        </is>
      </c>
      <c r="B5" s="18">
        <f>COUNTA(games!$A$2:$A$950)</f>
        <v/>
      </c>
      <c r="C5" s="19" t="inlineStr">
        <is>
          <t>Nodes in the graph</t>
        </is>
      </c>
      <c r="E5" t="inlineStr">
        <is>
          <t>0</t>
        </is>
      </c>
      <c r="F5">
        <f>COUNTIF('Map Calc'!$D$2:$D$950,0)</f>
        <v/>
      </c>
      <c r="G5">
        <f>COUNTIFS('Map Calc'!$D$2:$D$950,0,'Map Calc'!$P$2:$P$950,"Yes")</f>
        <v/>
      </c>
      <c r="I5" t="inlineStr">
        <is>
          <t>Action</t>
        </is>
      </c>
      <c r="J5">
        <f>COUNTIF(games!$C$2:$C$950,$I5)</f>
        <v/>
      </c>
      <c r="K5">
        <f>COUNTIFS(games!$C$2:$C$950,$I5,games!$H$2:$H$950,"Yes")</f>
        <v/>
      </c>
      <c r="L5" s="20">
        <f>IF($J5=0,0,$K5/$J5)</f>
        <v/>
      </c>
      <c r="N5" t="n">
        <v>1</v>
      </c>
      <c r="O5">
        <f>IFERROR(INDEX('Map Calc'!$A$2:$A$950,MATCH(LARGE('Map Calc'!$O$2:$O$950,1),'Map Calc'!$O$2:$O$950,0)),"")</f>
        <v/>
      </c>
      <c r="P5">
        <f>IFERROR(INDEX('Map Calc'!$D$2:$D$950,MATCH(LARGE('Map Calc'!$O$2:$O$950,1),'Map Calc'!$O$2:$O$950,0)),"")</f>
        <v/>
      </c>
      <c r="R5" t="n">
        <v>1</v>
      </c>
      <c r="S5">
        <f>IFERROR(INDEX('Map Calc'!$A$2:$A$950,MATCH(LARGE('Map Calc'!$Q$2:$Q$950,1),'Map Calc'!$Q$2:$Q$950,0)),"")</f>
        <v/>
      </c>
      <c r="T5">
        <f>IFERROR(INDEX('Map Calc'!$D$2:$D$950,MATCH(LARGE('Map Calc'!$Q$2:$Q$950,1),'Map Calc'!$Q$2:$Q$950,0)),"")</f>
        <v/>
      </c>
      <c r="V5" t="n">
        <v>1978</v>
      </c>
      <c r="W5">
        <f>COUNTIF(games!$B$2:$B$950,$V5)</f>
        <v/>
      </c>
      <c r="X5">
        <f>COUNTIFS(games!$B$2:$B$950,$V5,games!$H$2:$H$950,"Yes")</f>
        <v/>
      </c>
      <c r="Y5">
        <f>COUNTIF('Map Calc'!$T$2:$T$1400,$V5)</f>
        <v/>
      </c>
      <c r="AA5" t="n">
        <v>0</v>
      </c>
      <c r="AB5">
        <f>COUNTIF('Map Calc'!$V$2:$V$1400,$AA5)</f>
        <v/>
      </c>
    </row>
    <row r="6">
      <c r="A6" s="17" t="inlineStr">
        <is>
          <t>Games owned</t>
        </is>
      </c>
      <c r="B6" s="18">
        <f>COUNTIF(games!$H$2:$H$950,"Yes")</f>
        <v/>
      </c>
      <c r="C6" s="19" t="inlineStr">
        <is>
          <t>Marked Owned — the catalog a default run draws from</t>
        </is>
      </c>
      <c r="E6" t="inlineStr">
        <is>
          <t>1</t>
        </is>
      </c>
      <c r="F6">
        <f>COUNTIF('Map Calc'!$D$2:$D$950,1)</f>
        <v/>
      </c>
      <c r="G6">
        <f>COUNTIFS('Map Calc'!$D$2:$D$950,1,'Map Calc'!$P$2:$P$950,"Yes")</f>
        <v/>
      </c>
      <c r="I6" t="inlineStr">
        <is>
          <t>Strategy</t>
        </is>
      </c>
      <c r="J6">
        <f>COUNTIF(games!$C$2:$C$950,$I6)</f>
        <v/>
      </c>
      <c r="K6">
        <f>COUNTIFS(games!$C$2:$C$950,$I6,games!$H$2:$H$950,"Yes")</f>
        <v/>
      </c>
      <c r="L6" s="20">
        <f>IF($J6=0,0,$K6/$J6)</f>
        <v/>
      </c>
      <c r="N6" t="n">
        <v>2</v>
      </c>
      <c r="O6">
        <f>IFERROR(INDEX('Map Calc'!$A$2:$A$950,MATCH(LARGE('Map Calc'!$O$2:$O$950,2),'Map Calc'!$O$2:$O$950,0)),"")</f>
        <v/>
      </c>
      <c r="P6">
        <f>IFERROR(INDEX('Map Calc'!$D$2:$D$950,MATCH(LARGE('Map Calc'!$O$2:$O$950,2),'Map Calc'!$O$2:$O$950,0)),"")</f>
        <v/>
      </c>
      <c r="R6" t="n">
        <v>2</v>
      </c>
      <c r="S6">
        <f>IFERROR(INDEX('Map Calc'!$A$2:$A$950,MATCH(LARGE('Map Calc'!$Q$2:$Q$950,2),'Map Calc'!$Q$2:$Q$950,0)),"")</f>
        <v/>
      </c>
      <c r="T6">
        <f>IFERROR(INDEX('Map Calc'!$D$2:$D$950,MATCH(LARGE('Map Calc'!$Q$2:$Q$950,2),'Map Calc'!$Q$2:$Q$950,0)),"")</f>
        <v/>
      </c>
      <c r="V6" t="n">
        <v>1979</v>
      </c>
      <c r="W6">
        <f>COUNTIF(games!$B$2:$B$950,$V6)</f>
        <v/>
      </c>
      <c r="X6">
        <f>COUNTIFS(games!$B$2:$B$950,$V6,games!$H$2:$H$950,"Yes")</f>
        <v/>
      </c>
      <c r="Y6">
        <f>COUNTIF('Map Calc'!$T$2:$T$1400,$V6)</f>
        <v/>
      </c>
      <c r="AA6" t="n">
        <v>1</v>
      </c>
      <c r="AB6">
        <f>COUNTIF('Map Calc'!$V$2:$V$1400,$AA6)</f>
        <v/>
      </c>
    </row>
    <row r="7">
      <c r="A7" s="17" t="inlineStr">
        <is>
          <t>Owned share</t>
        </is>
      </c>
      <c r="B7" s="21">
        <f>IF(B5=0,0,B6/B5)</f>
        <v/>
      </c>
      <c r="C7" s="19" t="inlineStr">
        <is>
          <t>How much of the sheet a run can actually be sent to</t>
        </is>
      </c>
      <c r="E7" t="inlineStr">
        <is>
          <t>2</t>
        </is>
      </c>
      <c r="F7">
        <f>COUNTIF('Map Calc'!$D$2:$D$950,2)</f>
        <v/>
      </c>
      <c r="G7">
        <f>COUNTIFS('Map Calc'!$D$2:$D$950,2,'Map Calc'!$P$2:$P$950,"Yes")</f>
        <v/>
      </c>
      <c r="I7" t="inlineStr">
        <is>
          <t>Deckbuilder</t>
        </is>
      </c>
      <c r="J7">
        <f>COUNTIF(games!$C$2:$C$950,$I7)</f>
        <v/>
      </c>
      <c r="K7">
        <f>COUNTIFS(games!$C$2:$C$950,$I7,games!$H$2:$H$950,"Yes")</f>
        <v/>
      </c>
      <c r="L7" s="20">
        <f>IF($J7=0,0,$K7/$J7)</f>
        <v/>
      </c>
      <c r="N7" t="n">
        <v>3</v>
      </c>
      <c r="O7">
        <f>IFERROR(INDEX('Map Calc'!$A$2:$A$950,MATCH(LARGE('Map Calc'!$O$2:$O$950,3),'Map Calc'!$O$2:$O$950,0)),"")</f>
        <v/>
      </c>
      <c r="P7">
        <f>IFERROR(INDEX('Map Calc'!$D$2:$D$950,MATCH(LARGE('Map Calc'!$O$2:$O$950,3),'Map Calc'!$O$2:$O$950,0)),"")</f>
        <v/>
      </c>
      <c r="R7" t="n">
        <v>3</v>
      </c>
      <c r="S7">
        <f>IFERROR(INDEX('Map Calc'!$A$2:$A$950,MATCH(LARGE('Map Calc'!$Q$2:$Q$950,3),'Map Calc'!$Q$2:$Q$950,0)),"")</f>
        <v/>
      </c>
      <c r="T7">
        <f>IFERROR(INDEX('Map Calc'!$D$2:$D$950,MATCH(LARGE('Map Calc'!$Q$2:$Q$950,3),'Map Calc'!$Q$2:$Q$950,0)),"")</f>
        <v/>
      </c>
      <c r="V7" t="n">
        <v>1980</v>
      </c>
      <c r="W7">
        <f>COUNTIF(games!$B$2:$B$950,$V7)</f>
        <v/>
      </c>
      <c r="X7">
        <f>COUNTIFS(games!$B$2:$B$950,$V7,games!$H$2:$H$950,"Yes")</f>
        <v/>
      </c>
      <c r="Y7">
        <f>COUNTIF('Map Calc'!$T$2:$T$1400,$V7)</f>
        <v/>
      </c>
      <c r="AA7" t="n">
        <v>2</v>
      </c>
      <c r="AB7">
        <f>COUNTIF('Map Calc'!$V$2:$V$1400,$AA7)</f>
        <v/>
      </c>
    </row>
    <row r="8">
      <c r="A8" s="17" t="inlineStr">
        <is>
          <t>Connections</t>
        </is>
      </c>
      <c r="B8" s="18">
        <f>COUNTA(connections!$A$2:$A$1400)</f>
        <v/>
      </c>
      <c r="C8" s="19" t="inlineStr">
        <is>
          <t>Authored influence edges</t>
        </is>
      </c>
      <c r="E8" t="inlineStr">
        <is>
          <t>3</t>
        </is>
      </c>
      <c r="F8">
        <f>COUNTIF('Map Calc'!$D$2:$D$950,3)</f>
        <v/>
      </c>
      <c r="G8">
        <f>COUNTIFS('Map Calc'!$D$2:$D$950,3,'Map Calc'!$P$2:$P$950,"Yes")</f>
        <v/>
      </c>
      <c r="I8" t="inlineStr">
        <is>
          <t>Traditional</t>
        </is>
      </c>
      <c r="J8">
        <f>COUNTIF(games!$C$2:$C$950,$I8)</f>
        <v/>
      </c>
      <c r="K8">
        <f>COUNTIFS(games!$C$2:$C$950,$I8,games!$H$2:$H$950,"Yes")</f>
        <v/>
      </c>
      <c r="L8" s="20">
        <f>IF($J8=0,0,$K8/$J8)</f>
        <v/>
      </c>
      <c r="N8" t="n">
        <v>4</v>
      </c>
      <c r="O8">
        <f>IFERROR(INDEX('Map Calc'!$A$2:$A$950,MATCH(LARGE('Map Calc'!$O$2:$O$950,4),'Map Calc'!$O$2:$O$950,0)),"")</f>
        <v/>
      </c>
      <c r="P8">
        <f>IFERROR(INDEX('Map Calc'!$D$2:$D$950,MATCH(LARGE('Map Calc'!$O$2:$O$950,4),'Map Calc'!$O$2:$O$950,0)),"")</f>
        <v/>
      </c>
      <c r="R8" t="n">
        <v>4</v>
      </c>
      <c r="S8">
        <f>IFERROR(INDEX('Map Calc'!$A$2:$A$950,MATCH(LARGE('Map Calc'!$Q$2:$Q$950,4),'Map Calc'!$Q$2:$Q$950,0)),"")</f>
        <v/>
      </c>
      <c r="T8">
        <f>IFERROR(INDEX('Map Calc'!$D$2:$D$950,MATCH(LARGE('Map Calc'!$Q$2:$Q$950,4),'Map Calc'!$Q$2:$Q$950,0)),"")</f>
        <v/>
      </c>
      <c r="V8" t="n">
        <v>1981</v>
      </c>
      <c r="W8">
        <f>COUNTIF(games!$B$2:$B$950,$V8)</f>
        <v/>
      </c>
      <c r="X8">
        <f>COUNTIFS(games!$B$2:$B$950,$V8,games!$H$2:$H$950,"Yes")</f>
        <v/>
      </c>
      <c r="Y8">
        <f>COUNTIF('Map Calc'!$T$2:$T$1400,$V8)</f>
        <v/>
      </c>
      <c r="AA8" t="n">
        <v>3</v>
      </c>
      <c r="AB8">
        <f>COUNTIF('Map Calc'!$V$2:$V$1400,$AA8)</f>
        <v/>
      </c>
    </row>
    <row r="9">
      <c r="A9" s="17" t="inlineStr">
        <is>
          <t>Average degree</t>
        </is>
      </c>
      <c r="B9" s="22">
        <f>IF(B5=0,0,2*B8/B5)</f>
        <v/>
      </c>
      <c r="C9" s="19" t="inlineStr">
        <is>
          <t>Connections per game — under 3 means a sparse graph</t>
        </is>
      </c>
      <c r="E9" t="inlineStr">
        <is>
          <t>4</t>
        </is>
      </c>
      <c r="F9">
        <f>COUNTIF('Map Calc'!$D$2:$D$950,4)</f>
        <v/>
      </c>
      <c r="G9">
        <f>COUNTIFS('Map Calc'!$D$2:$D$950,4,'Map Calc'!$P$2:$P$950,"Yes")</f>
        <v/>
      </c>
      <c r="I9" s="23" t="inlineStr">
        <is>
          <t>All</t>
        </is>
      </c>
      <c r="J9" s="23">
        <f>SUM(J5:J8)</f>
        <v/>
      </c>
      <c r="K9" s="23">
        <f>SUM(K5:K8)</f>
        <v/>
      </c>
      <c r="L9" s="24">
        <f>IF($J9=0,0,$K9/$J9)</f>
        <v/>
      </c>
      <c r="N9" t="n">
        <v>5</v>
      </c>
      <c r="O9">
        <f>IFERROR(INDEX('Map Calc'!$A$2:$A$950,MATCH(LARGE('Map Calc'!$O$2:$O$950,5),'Map Calc'!$O$2:$O$950,0)),"")</f>
        <v/>
      </c>
      <c r="P9">
        <f>IFERROR(INDEX('Map Calc'!$D$2:$D$950,MATCH(LARGE('Map Calc'!$O$2:$O$950,5),'Map Calc'!$O$2:$O$950,0)),"")</f>
        <v/>
      </c>
      <c r="R9" t="n">
        <v>5</v>
      </c>
      <c r="S9">
        <f>IFERROR(INDEX('Map Calc'!$A$2:$A$950,MATCH(LARGE('Map Calc'!$Q$2:$Q$950,5),'Map Calc'!$Q$2:$Q$950,0)),"")</f>
        <v/>
      </c>
      <c r="T9">
        <f>IFERROR(INDEX('Map Calc'!$D$2:$D$950,MATCH(LARGE('Map Calc'!$Q$2:$Q$950,5),'Map Calc'!$Q$2:$Q$950,0)),"")</f>
        <v/>
      </c>
      <c r="V9" t="n">
        <v>1982</v>
      </c>
      <c r="W9">
        <f>COUNTIF(games!$B$2:$B$950,$V9)</f>
        <v/>
      </c>
      <c r="X9">
        <f>COUNTIFS(games!$B$2:$B$950,$V9,games!$H$2:$H$950,"Yes")</f>
        <v/>
      </c>
      <c r="Y9">
        <f>COUNTIF('Map Calc'!$T$2:$T$1400,$V9)</f>
        <v/>
      </c>
      <c r="AA9" t="n">
        <v>4</v>
      </c>
      <c r="AB9">
        <f>COUNTIF('Map Calc'!$V$2:$V$1400,$AA9)</f>
        <v/>
      </c>
    </row>
    <row r="10">
      <c r="A10" s="17" t="inlineStr">
        <is>
          <t>Average degree (owned)</t>
        </is>
      </c>
      <c r="B10" s="22">
        <f>IFERROR(SUMIFS('Map Calc'!$D$2:$D$950,games!$H$2:$H$950,"Yes")/B6,0)</f>
        <v/>
      </c>
      <c r="C10" s="19" t="inlineStr">
        <is>
          <t>The same figure over the owned catalog — the graph a run walks</t>
        </is>
      </c>
      <c r="E10" t="inlineStr">
        <is>
          <t>5</t>
        </is>
      </c>
      <c r="F10">
        <f>COUNTIF('Map Calc'!$D$2:$D$950,5)</f>
        <v/>
      </c>
      <c r="G10">
        <f>COUNTIFS('Map Calc'!$D$2:$D$950,5,'Map Calc'!$P$2:$P$950,"Yes")</f>
        <v/>
      </c>
      <c r="N10" t="n">
        <v>6</v>
      </c>
      <c r="O10">
        <f>IFERROR(INDEX('Map Calc'!$A$2:$A$950,MATCH(LARGE('Map Calc'!$O$2:$O$950,6),'Map Calc'!$O$2:$O$950,0)),"")</f>
        <v/>
      </c>
      <c r="P10">
        <f>IFERROR(INDEX('Map Calc'!$D$2:$D$950,MATCH(LARGE('Map Calc'!$O$2:$O$950,6),'Map Calc'!$O$2:$O$950,0)),"")</f>
        <v/>
      </c>
      <c r="R10" t="n">
        <v>6</v>
      </c>
      <c r="S10">
        <f>IFERROR(INDEX('Map Calc'!$A$2:$A$950,MATCH(LARGE('Map Calc'!$Q$2:$Q$950,6),'Map Calc'!$Q$2:$Q$950,0)),"")</f>
        <v/>
      </c>
      <c r="T10">
        <f>IFERROR(INDEX('Map Calc'!$D$2:$D$950,MATCH(LARGE('Map Calc'!$Q$2:$Q$950,6),'Map Calc'!$Q$2:$Q$950,0)),"")</f>
        <v/>
      </c>
      <c r="V10" t="n">
        <v>1983</v>
      </c>
      <c r="W10">
        <f>COUNTIF(games!$B$2:$B$950,$V10)</f>
        <v/>
      </c>
      <c r="X10">
        <f>COUNTIFS(games!$B$2:$B$950,$V10,games!$H$2:$H$950,"Yes")</f>
        <v/>
      </c>
      <c r="Y10">
        <f>COUNTIF('Map Calc'!$T$2:$T$1400,$V10)</f>
        <v/>
      </c>
      <c r="AA10" t="n">
        <v>5</v>
      </c>
      <c r="AB10">
        <f>COUNTIF('Map Calc'!$V$2:$V$1400,$AA10)</f>
        <v/>
      </c>
    </row>
    <row r="11">
      <c r="A11" s="17" t="inlineStr">
        <is>
          <t>Median degree</t>
        </is>
      </c>
      <c r="B11" s="18">
        <f>MEDIAN('Map Calc'!$D$2:$D$950)</f>
        <v/>
      </c>
      <c r="C11" s="19" t="inlineStr">
        <is>
          <t>Half of all games sit at or below this</t>
        </is>
      </c>
      <c r="E11" t="inlineStr">
        <is>
          <t>6-9</t>
        </is>
      </c>
      <c r="F11">
        <f>COUNTIFS('Map Calc'!$D$2:$D$950,"&gt;=6",'Map Calc'!$D$2:$D$950,"&lt;=9")</f>
        <v/>
      </c>
      <c r="G11">
        <f>COUNTIFS('Map Calc'!$D$2:$D$950,"&gt;=6",'Map Calc'!$D$2:$D$950,"&lt;=9",'Map Calc'!$P$2:$P$950,"Yes")</f>
        <v/>
      </c>
      <c r="N11" t="n">
        <v>7</v>
      </c>
      <c r="O11">
        <f>IFERROR(INDEX('Map Calc'!$A$2:$A$950,MATCH(LARGE('Map Calc'!$O$2:$O$950,7),'Map Calc'!$O$2:$O$950,0)),"")</f>
        <v/>
      </c>
      <c r="P11">
        <f>IFERROR(INDEX('Map Calc'!$D$2:$D$950,MATCH(LARGE('Map Calc'!$O$2:$O$950,7),'Map Calc'!$O$2:$O$950,0)),"")</f>
        <v/>
      </c>
      <c r="R11" t="n">
        <v>7</v>
      </c>
      <c r="S11">
        <f>IFERROR(INDEX('Map Calc'!$A$2:$A$950,MATCH(LARGE('Map Calc'!$Q$2:$Q$950,7),'Map Calc'!$Q$2:$Q$950,0)),"")</f>
        <v/>
      </c>
      <c r="T11">
        <f>IFERROR(INDEX('Map Calc'!$D$2:$D$950,MATCH(LARGE('Map Calc'!$Q$2:$Q$950,7),'Map Calc'!$Q$2:$Q$950,0)),"")</f>
        <v/>
      </c>
      <c r="V11" t="n">
        <v>1984</v>
      </c>
      <c r="W11">
        <f>COUNTIF(games!$B$2:$B$950,$V11)</f>
        <v/>
      </c>
      <c r="X11">
        <f>COUNTIFS(games!$B$2:$B$950,$V11,games!$H$2:$H$950,"Yes")</f>
        <v/>
      </c>
      <c r="Y11">
        <f>COUNTIF('Map Calc'!$T$2:$T$1400,$V11)</f>
        <v/>
      </c>
      <c r="AA11" t="n">
        <v>6</v>
      </c>
      <c r="AB11">
        <f>COUNTIF('Map Calc'!$V$2:$V$1400,$AA11)</f>
        <v/>
      </c>
    </row>
    <row r="12">
      <c r="A12" s="17" t="inlineStr">
        <is>
          <t>Largest hub</t>
        </is>
      </c>
      <c r="B12" s="18">
        <f>MAX('Map Calc'!$D$2:$D$950)</f>
        <v/>
      </c>
      <c r="C12" s="19" t="inlineStr">
        <is>
          <t>Degree of the single most connected game</t>
        </is>
      </c>
      <c r="E12" t="inlineStr">
        <is>
          <t>10-24</t>
        </is>
      </c>
      <c r="F12">
        <f>COUNTIFS('Map Calc'!$D$2:$D$950,"&gt;=10",'Map Calc'!$D$2:$D$950,"&lt;=24")</f>
        <v/>
      </c>
      <c r="G12">
        <f>COUNTIFS('Map Calc'!$D$2:$D$950,"&gt;=10",'Map Calc'!$D$2:$D$950,"&lt;=24",'Map Calc'!$P$2:$P$950,"Yes")</f>
        <v/>
      </c>
      <c r="N12" t="n">
        <v>8</v>
      </c>
      <c r="O12">
        <f>IFERROR(INDEX('Map Calc'!$A$2:$A$950,MATCH(LARGE('Map Calc'!$O$2:$O$950,8),'Map Calc'!$O$2:$O$950,0)),"")</f>
        <v/>
      </c>
      <c r="P12">
        <f>IFERROR(INDEX('Map Calc'!$D$2:$D$950,MATCH(LARGE('Map Calc'!$O$2:$O$950,8),'Map Calc'!$O$2:$O$950,0)),"")</f>
        <v/>
      </c>
      <c r="R12" t="n">
        <v>8</v>
      </c>
      <c r="S12">
        <f>IFERROR(INDEX('Map Calc'!$A$2:$A$950,MATCH(LARGE('Map Calc'!$Q$2:$Q$950,8),'Map Calc'!$Q$2:$Q$950,0)),"")</f>
        <v/>
      </c>
      <c r="T12">
        <f>IFERROR(INDEX('Map Calc'!$D$2:$D$950,MATCH(LARGE('Map Calc'!$Q$2:$Q$950,8),'Map Calc'!$Q$2:$Q$950,0)),"")</f>
        <v/>
      </c>
      <c r="V12" t="n">
        <v>1985</v>
      </c>
      <c r="W12">
        <f>COUNTIF(games!$B$2:$B$950,$V12)</f>
        <v/>
      </c>
      <c r="X12">
        <f>COUNTIFS(games!$B$2:$B$950,$V12,games!$H$2:$H$950,"Yes")</f>
        <v/>
      </c>
      <c r="Y12">
        <f>COUNTIF('Map Calc'!$T$2:$T$1400,$V12)</f>
        <v/>
      </c>
      <c r="AA12" t="n">
        <v>7</v>
      </c>
      <c r="AB12">
        <f>COUNTIF('Map Calc'!$V$2:$V$1400,$AA12)</f>
        <v/>
      </c>
    </row>
    <row r="13">
      <c r="A13" s="17" t="inlineStr">
        <is>
          <t>Leaves (degree 1)</t>
        </is>
      </c>
      <c r="B13" s="18">
        <f>COUNTIF('Map Calc'!$D$2:$D$950,1)</f>
        <v/>
      </c>
      <c r="C13" s="19" t="inlineStr">
        <is>
          <t>Dead ends — one way in, the same way out</t>
        </is>
      </c>
      <c r="E13" t="inlineStr">
        <is>
          <t>25+</t>
        </is>
      </c>
      <c r="F13">
        <f>COUNTIF('Map Calc'!$D$2:$D$950,"&gt;=25")</f>
        <v/>
      </c>
      <c r="G13">
        <f>COUNTIFS('Map Calc'!$D$2:$D$950,"&gt;=25",'Map Calc'!$P$2:$P$950,"Yes")</f>
        <v/>
      </c>
      <c r="N13" t="n">
        <v>9</v>
      </c>
      <c r="O13">
        <f>IFERROR(INDEX('Map Calc'!$A$2:$A$950,MATCH(LARGE('Map Calc'!$O$2:$O$950,9),'Map Calc'!$O$2:$O$950,0)),"")</f>
        <v/>
      </c>
      <c r="P13">
        <f>IFERROR(INDEX('Map Calc'!$D$2:$D$950,MATCH(LARGE('Map Calc'!$O$2:$O$950,9),'Map Calc'!$O$2:$O$950,0)),"")</f>
        <v/>
      </c>
      <c r="R13" t="n">
        <v>9</v>
      </c>
      <c r="S13">
        <f>IFERROR(INDEX('Map Calc'!$A$2:$A$950,MATCH(LARGE('Map Calc'!$Q$2:$Q$950,9),'Map Calc'!$Q$2:$Q$950,0)),"")</f>
        <v/>
      </c>
      <c r="T13">
        <f>IFERROR(INDEX('Map Calc'!$D$2:$D$950,MATCH(LARGE('Map Calc'!$Q$2:$Q$950,9),'Map Calc'!$Q$2:$Q$950,0)),"")</f>
        <v/>
      </c>
      <c r="V13" t="n">
        <v>1986</v>
      </c>
      <c r="W13">
        <f>COUNTIF(games!$B$2:$B$950,$V13)</f>
        <v/>
      </c>
      <c r="X13">
        <f>COUNTIFS(games!$B$2:$B$950,$V13,games!$H$2:$H$950,"Yes")</f>
        <v/>
      </c>
      <c r="Y13">
        <f>COUNTIF('Map Calc'!$T$2:$T$1400,$V13)</f>
        <v/>
      </c>
      <c r="AA13" t="n">
        <v>8</v>
      </c>
      <c r="AB13">
        <f>COUNTIF('Map Calc'!$V$2:$V$1400,$AA13)</f>
        <v/>
      </c>
    </row>
    <row r="14">
      <c r="A14" s="17" t="inlineStr">
        <is>
          <t>Isolated (degree 0)</t>
        </is>
      </c>
      <c r="B14" s="18">
        <f>COUNTIF('Map Calc'!$D$2:$D$950,0)</f>
        <v/>
      </c>
      <c r="C14" s="19" t="inlineStr">
        <is>
          <t>Unreachable; can never appear on a route</t>
        </is>
      </c>
      <c r="N14" t="n">
        <v>10</v>
      </c>
      <c r="O14">
        <f>IFERROR(INDEX('Map Calc'!$A$2:$A$950,MATCH(LARGE('Map Calc'!$O$2:$O$950,10),'Map Calc'!$O$2:$O$950,0)),"")</f>
        <v/>
      </c>
      <c r="P14">
        <f>IFERROR(INDEX('Map Calc'!$D$2:$D$950,MATCH(LARGE('Map Calc'!$O$2:$O$950,10),'Map Calc'!$O$2:$O$950,0)),"")</f>
        <v/>
      </c>
      <c r="R14" t="n">
        <v>10</v>
      </c>
      <c r="S14">
        <f>IFERROR(INDEX('Map Calc'!$A$2:$A$950,MATCH(LARGE('Map Calc'!$Q$2:$Q$950,10),'Map Calc'!$Q$2:$Q$950,0)),"")</f>
        <v/>
      </c>
      <c r="T14">
        <f>IFERROR(INDEX('Map Calc'!$D$2:$D$950,MATCH(LARGE('Map Calc'!$Q$2:$Q$950,10),'Map Calc'!$Q$2:$Q$950,0)),"")</f>
        <v/>
      </c>
      <c r="V14" t="n">
        <v>1987</v>
      </c>
      <c r="W14">
        <f>COUNTIF(games!$B$2:$B$950,$V14)</f>
        <v/>
      </c>
      <c r="X14">
        <f>COUNTIFS(games!$B$2:$B$950,$V14,games!$H$2:$H$950,"Yes")</f>
        <v/>
      </c>
      <c r="Y14">
        <f>COUNTIF('Map Calc'!$T$2:$T$1400,$V14)</f>
        <v/>
      </c>
      <c r="AA14" t="n">
        <v>9</v>
      </c>
      <c r="AB14">
        <f>COUNTIF('Map Calc'!$V$2:$V$1400,$AA14)</f>
        <v/>
      </c>
    </row>
    <row r="15">
      <c r="A15" s="17" t="inlineStr">
        <is>
          <t>Leaves + isolated</t>
        </is>
      </c>
      <c r="B15" s="18">
        <f>B13+B14</f>
        <v/>
      </c>
      <c r="C15" s="19" t="inlineStr">
        <is>
          <t>Share of the map that carries no routing information</t>
        </is>
      </c>
      <c r="N15" t="n">
        <v>11</v>
      </c>
      <c r="O15">
        <f>IFERROR(INDEX('Map Calc'!$A$2:$A$950,MATCH(LARGE('Map Calc'!$O$2:$O$950,11),'Map Calc'!$O$2:$O$950,0)),"")</f>
        <v/>
      </c>
      <c r="P15">
        <f>IFERROR(INDEX('Map Calc'!$D$2:$D$950,MATCH(LARGE('Map Calc'!$O$2:$O$950,11),'Map Calc'!$O$2:$O$950,0)),"")</f>
        <v/>
      </c>
      <c r="R15" t="n">
        <v>11</v>
      </c>
      <c r="S15">
        <f>IFERROR(INDEX('Map Calc'!$A$2:$A$950,MATCH(LARGE('Map Calc'!$Q$2:$Q$950,11),'Map Calc'!$Q$2:$Q$950,0)),"")</f>
        <v/>
      </c>
      <c r="T15">
        <f>IFERROR(INDEX('Map Calc'!$D$2:$D$950,MATCH(LARGE('Map Calc'!$Q$2:$Q$950,11),'Map Calc'!$Q$2:$Q$950,0)),"")</f>
        <v/>
      </c>
      <c r="V15" t="n">
        <v>1988</v>
      </c>
      <c r="W15">
        <f>COUNTIF(games!$B$2:$B$950,$V15)</f>
        <v/>
      </c>
      <c r="X15">
        <f>COUNTIFS(games!$B$2:$B$950,$V15,games!$H$2:$H$950,"Yes")</f>
        <v/>
      </c>
      <c r="Y15">
        <f>COUNTIF('Map Calc'!$T$2:$T$1400,$V15)</f>
        <v/>
      </c>
      <c r="AA15" t="n">
        <v>10</v>
      </c>
      <c r="AB15">
        <f>COUNTIF('Map Calc'!$V$2:$V$1400,$AA15)</f>
        <v/>
      </c>
    </row>
    <row r="16">
      <c r="A16" s="17" t="inlineStr">
        <is>
          <t>Owned &amp; routable</t>
        </is>
      </c>
      <c r="B16" s="18">
        <f>COUNTIFS(games!$H$2:$H$950,"Yes",'Map Calc'!$D$2:$D$950,"&gt;1")</f>
        <v/>
      </c>
      <c r="C16" s="19" t="inlineStr">
        <is>
          <t>Owned games with more than one way out — real junctions on a route</t>
        </is>
      </c>
      <c r="N16" t="n">
        <v>12</v>
      </c>
      <c r="O16">
        <f>IFERROR(INDEX('Map Calc'!$A$2:$A$950,MATCH(LARGE('Map Calc'!$O$2:$O$950,12),'Map Calc'!$O$2:$O$950,0)),"")</f>
        <v/>
      </c>
      <c r="P16">
        <f>IFERROR(INDEX('Map Calc'!$D$2:$D$950,MATCH(LARGE('Map Calc'!$O$2:$O$950,12),'Map Calc'!$O$2:$O$950,0)),"")</f>
        <v/>
      </c>
      <c r="R16" t="n">
        <v>12</v>
      </c>
      <c r="S16">
        <f>IFERROR(INDEX('Map Calc'!$A$2:$A$950,MATCH(LARGE('Map Calc'!$Q$2:$Q$950,12),'Map Calc'!$Q$2:$Q$950,0)),"")</f>
        <v/>
      </c>
      <c r="T16">
        <f>IFERROR(INDEX('Map Calc'!$D$2:$D$950,MATCH(LARGE('Map Calc'!$Q$2:$Q$950,12),'Map Calc'!$Q$2:$Q$950,0)),"")</f>
        <v/>
      </c>
      <c r="V16" t="n">
        <v>1989</v>
      </c>
      <c r="W16">
        <f>COUNTIF(games!$B$2:$B$950,$V16)</f>
        <v/>
      </c>
      <c r="X16">
        <f>COUNTIFS(games!$B$2:$B$950,$V16,games!$H$2:$H$950,"Yes")</f>
        <v/>
      </c>
      <c r="Y16">
        <f>COUNTIF('Map Calc'!$T$2:$T$1400,$V16)</f>
        <v/>
      </c>
      <c r="AA16" t="inlineStr">
        <is>
          <t>11-20</t>
        </is>
      </c>
      <c r="AB16">
        <f>COUNTIFS('Map Calc'!$V$2:$V$1400,"&gt;=11",'Map Calc'!$V$2:$V$1400,"&lt;=20")</f>
        <v/>
      </c>
    </row>
    <row r="17">
      <c r="A17" s="17" t="inlineStr">
        <is>
          <t>Owned dead ends</t>
        </is>
      </c>
      <c r="B17" s="18">
        <f>COUNTIFS(games!$H$2:$H$950,"Yes",'Map Calc'!$D$2:$D$950,"&lt;=1")</f>
        <v/>
      </c>
      <c r="C17" s="19" t="inlineStr">
        <is>
          <t>Owned games the run can only reach and turn around in</t>
        </is>
      </c>
      <c r="N17" t="n">
        <v>13</v>
      </c>
      <c r="O17">
        <f>IFERROR(INDEX('Map Calc'!$A$2:$A$950,MATCH(LARGE('Map Calc'!$O$2:$O$950,13),'Map Calc'!$O$2:$O$950,0)),"")</f>
        <v/>
      </c>
      <c r="P17">
        <f>IFERROR(INDEX('Map Calc'!$D$2:$D$950,MATCH(LARGE('Map Calc'!$O$2:$O$950,13),'Map Calc'!$O$2:$O$950,0)),"")</f>
        <v/>
      </c>
      <c r="R17" t="n">
        <v>13</v>
      </c>
      <c r="S17">
        <f>IFERROR(INDEX('Map Calc'!$A$2:$A$950,MATCH(LARGE('Map Calc'!$Q$2:$Q$950,13),'Map Calc'!$Q$2:$Q$950,0)),"")</f>
        <v/>
      </c>
      <c r="T17">
        <f>IFERROR(INDEX('Map Calc'!$D$2:$D$950,MATCH(LARGE('Map Calc'!$Q$2:$Q$950,13),'Map Calc'!$Q$2:$Q$950,0)),"")</f>
        <v/>
      </c>
      <c r="V17" t="n">
        <v>1990</v>
      </c>
      <c r="W17">
        <f>COUNTIF(games!$B$2:$B$950,$V17)</f>
        <v/>
      </c>
      <c r="X17">
        <f>COUNTIFS(games!$B$2:$B$950,$V17,games!$H$2:$H$950,"Yes")</f>
        <v/>
      </c>
      <c r="Y17">
        <f>COUNTIF('Map Calc'!$T$2:$T$1400,$V17)</f>
        <v/>
      </c>
      <c r="AA17" t="inlineStr">
        <is>
          <t>21+</t>
        </is>
      </c>
      <c r="AB17">
        <f>COUNTIF('Map Calc'!$V$2:$V$1400,"&gt;=21")</f>
        <v/>
      </c>
    </row>
    <row r="18">
      <c r="A18" s="17" t="inlineStr">
        <is>
          <t>Backward in time</t>
        </is>
      </c>
      <c r="B18" s="25">
        <f>SUMPRODUCT(('Map Calc'!$V$2:$V$1400&lt;&gt;"")*('Map Calc'!$V$2:$V$1400&lt;0))</f>
        <v/>
      </c>
      <c r="C18" s="19" t="inlineStr">
        <is>
          <t>MUST BE 0 — an influence cannot point at an older game</t>
        </is>
      </c>
      <c r="N18" t="n">
        <v>14</v>
      </c>
      <c r="O18">
        <f>IFERROR(INDEX('Map Calc'!$A$2:$A$950,MATCH(LARGE('Map Calc'!$O$2:$O$950,14),'Map Calc'!$O$2:$O$950,0)),"")</f>
        <v/>
      </c>
      <c r="P18">
        <f>IFERROR(INDEX('Map Calc'!$D$2:$D$950,MATCH(LARGE('Map Calc'!$O$2:$O$950,14),'Map Calc'!$O$2:$O$950,0)),"")</f>
        <v/>
      </c>
      <c r="R18" t="n">
        <v>14</v>
      </c>
      <c r="S18">
        <f>IFERROR(INDEX('Map Calc'!$A$2:$A$950,MATCH(LARGE('Map Calc'!$Q$2:$Q$950,14),'Map Calc'!$Q$2:$Q$950,0)),"")</f>
        <v/>
      </c>
      <c r="T18">
        <f>IFERROR(INDEX('Map Calc'!$D$2:$D$950,MATCH(LARGE('Map Calc'!$Q$2:$Q$950,14),'Map Calc'!$Q$2:$Q$950,0)),"")</f>
        <v/>
      </c>
      <c r="V18" t="n">
        <v>1991</v>
      </c>
      <c r="W18">
        <f>COUNTIF(games!$B$2:$B$950,$V18)</f>
        <v/>
      </c>
      <c r="X18">
        <f>COUNTIFS(games!$B$2:$B$950,$V18,games!$H$2:$H$950,"Yes")</f>
        <v/>
      </c>
      <c r="Y18">
        <f>COUNTIF('Map Calc'!$T$2:$T$1400,$V18)</f>
        <v/>
      </c>
    </row>
    <row r="19">
      <c r="A19" s="17" t="inlineStr">
        <is>
          <t>Same year</t>
        </is>
      </c>
      <c r="B19" s="18">
        <f>SUMPRODUCT(('Map Calc'!$V$2:$V$1400&lt;&gt;"")*('Map Calc'!$V$2:$V$1400=0))</f>
        <v/>
      </c>
      <c r="C19" s="19" t="inlineStr">
        <is>
          <t>Legal: a demo influencing something shipped the same year</t>
        </is>
      </c>
      <c r="N19" t="n">
        <v>15</v>
      </c>
      <c r="O19">
        <f>IFERROR(INDEX('Map Calc'!$A$2:$A$950,MATCH(LARGE('Map Calc'!$O$2:$O$950,15),'Map Calc'!$O$2:$O$950,0)),"")</f>
        <v/>
      </c>
      <c r="P19">
        <f>IFERROR(INDEX('Map Calc'!$D$2:$D$950,MATCH(LARGE('Map Calc'!$O$2:$O$950,15),'Map Calc'!$O$2:$O$950,0)),"")</f>
        <v/>
      </c>
      <c r="R19" t="n">
        <v>15</v>
      </c>
      <c r="S19">
        <f>IFERROR(INDEX('Map Calc'!$A$2:$A$950,MATCH(LARGE('Map Calc'!$Q$2:$Q$950,15),'Map Calc'!$Q$2:$Q$950,0)),"")</f>
        <v/>
      </c>
      <c r="T19">
        <f>IFERROR(INDEX('Map Calc'!$D$2:$D$950,MATCH(LARGE('Map Calc'!$Q$2:$Q$950,15),'Map Calc'!$Q$2:$Q$950,0)),"")</f>
        <v/>
      </c>
      <c r="V19" t="n">
        <v>1992</v>
      </c>
      <c r="W19">
        <f>COUNTIF(games!$B$2:$B$950,$V19)</f>
        <v/>
      </c>
      <c r="X19">
        <f>COUNTIFS(games!$B$2:$B$950,$V19,games!$H$2:$H$950,"Yes")</f>
        <v/>
      </c>
      <c r="Y19">
        <f>COUNTIF('Map Calc'!$T$2:$T$1400,$V19)</f>
        <v/>
      </c>
    </row>
    <row r="20">
      <c r="A20" s="17" t="inlineStr">
        <is>
          <t>Median edge span</t>
        </is>
      </c>
      <c r="B20" s="26">
        <f>MEDIAN('Map Calc'!$V$2:$V$1400)</f>
        <v/>
      </c>
      <c r="C20" s="19" t="inlineStr">
        <is>
          <t>Years between an influencer and what it influenced</t>
        </is>
      </c>
      <c r="V20" t="n">
        <v>1993</v>
      </c>
      <c r="W20">
        <f>COUNTIF(games!$B$2:$B$950,$V20)</f>
        <v/>
      </c>
      <c r="X20">
        <f>COUNTIFS(games!$B$2:$B$950,$V20,games!$H$2:$H$950,"Yes")</f>
        <v/>
      </c>
      <c r="Y20">
        <f>COUNTIF('Map Calc'!$T$2:$T$1400,$V20)</f>
        <v/>
      </c>
    </row>
    <row r="21">
      <c r="A21" s="17" t="inlineStr">
        <is>
          <t>Dev/Series flagged</t>
        </is>
      </c>
      <c r="B21" s="18">
        <f>COUNTIF(connections!$D$2:$D$1400,"Yes")</f>
        <v/>
      </c>
      <c r="C21" s="19" t="inlineStr">
        <is>
          <t>Sequel / same-devs links, distinct from plain influence</t>
        </is>
      </c>
      <c r="V21" t="n">
        <v>1994</v>
      </c>
      <c r="W21">
        <f>COUNTIF(games!$B$2:$B$950,$V21)</f>
        <v/>
      </c>
      <c r="X21">
        <f>COUNTIFS(games!$B$2:$B$950,$V21,games!$H$2:$H$950,"Yes")</f>
        <v/>
      </c>
      <c r="Y21">
        <f>COUNTIF('Map Calc'!$T$2:$T$1400,$V21)</f>
        <v/>
      </c>
    </row>
    <row r="22">
      <c r="A22" s="17" t="inlineStr">
        <is>
          <t>With a source</t>
        </is>
      </c>
      <c r="B22" s="18">
        <f>COUNTA(connections!$E$2:$E$1400)</f>
        <v/>
      </c>
      <c r="C22" s="19" t="inlineStr">
        <is>
          <t>Connections carrying a URL or note as evidence</t>
        </is>
      </c>
      <c r="V22" t="n">
        <v>1995</v>
      </c>
      <c r="W22">
        <f>COUNTIF(games!$B$2:$B$950,$V22)</f>
        <v/>
      </c>
      <c r="X22">
        <f>COUNTIFS(games!$B$2:$B$950,$V22,games!$H$2:$H$950,"Yes")</f>
        <v/>
      </c>
      <c r="Y22">
        <f>COUNTIF('Map Calc'!$T$2:$T$1400,$V22)</f>
        <v/>
      </c>
    </row>
    <row r="23">
      <c r="A23" s="17" t="inlineStr">
        <is>
          <t>Owned, no Steam page</t>
        </is>
      </c>
      <c r="B23" s="18">
        <f>COUNTIFS(games!$H$2:$H$950,"Yes",games!$J$2:$J$950,"")</f>
        <v/>
      </c>
      <c r="C23" s="19" t="inlineStr">
        <is>
          <t>Owned rows with nothing to link to — a gap in the sheet, not the graph</t>
        </is>
      </c>
      <c r="V23" t="n">
        <v>1996</v>
      </c>
      <c r="W23">
        <f>COUNTIF(games!$B$2:$B$950,$V23)</f>
        <v/>
      </c>
      <c r="X23">
        <f>COUNTIFS(games!$B$2:$B$950,$V23,games!$H$2:$H$950,"Yes")</f>
        <v/>
      </c>
      <c r="Y23">
        <f>COUNTIF('Map Calc'!$T$2:$T$1400,$V23)</f>
        <v/>
      </c>
    </row>
    <row r="24">
      <c r="V24" t="n">
        <v>1997</v>
      </c>
      <c r="W24">
        <f>COUNTIF(games!$B$2:$B$950,$V24)</f>
        <v/>
      </c>
      <c r="X24">
        <f>COUNTIFS(games!$B$2:$B$950,$V24,games!$H$2:$H$950,"Yes")</f>
        <v/>
      </c>
      <c r="Y24">
        <f>COUNTIF('Map Calc'!$T$2:$T$1400,$V24)</f>
        <v/>
      </c>
    </row>
    <row r="25">
      <c r="V25" t="n">
        <v>1998</v>
      </c>
      <c r="W25">
        <f>COUNTIF(games!$B$2:$B$950,$V25)</f>
        <v/>
      </c>
      <c r="X25">
        <f>COUNTIFS(games!$B$2:$B$950,$V25,games!$H$2:$H$950,"Yes")</f>
        <v/>
      </c>
      <c r="Y25">
        <f>COUNTIF('Map Calc'!$T$2:$T$1400,$V25)</f>
        <v/>
      </c>
    </row>
    <row r="26">
      <c r="V26" t="n">
        <v>1999</v>
      </c>
      <c r="W26">
        <f>COUNTIF(games!$B$2:$B$950,$V26)</f>
        <v/>
      </c>
      <c r="X26">
        <f>COUNTIFS(games!$B$2:$B$950,$V26,games!$H$2:$H$950,"Yes")</f>
        <v/>
      </c>
      <c r="Y26">
        <f>COUNTIF('Map Calc'!$T$2:$T$1400,$V26)</f>
        <v/>
      </c>
    </row>
    <row r="27">
      <c r="V27" t="n">
        <v>2000</v>
      </c>
      <c r="W27">
        <f>COUNTIF(games!$B$2:$B$950,$V27)</f>
        <v/>
      </c>
      <c r="X27">
        <f>COUNTIFS(games!$B$2:$B$950,$V27,games!$H$2:$H$950,"Yes")</f>
        <v/>
      </c>
      <c r="Y27">
        <f>COUNTIF('Map Calc'!$T$2:$T$1400,$V27)</f>
        <v/>
      </c>
    </row>
    <row r="28">
      <c r="V28" t="n">
        <v>2001</v>
      </c>
      <c r="W28">
        <f>COUNTIF(games!$B$2:$B$950,$V28)</f>
        <v/>
      </c>
      <c r="X28">
        <f>COUNTIFS(games!$B$2:$B$950,$V28,games!$H$2:$H$950,"Yes")</f>
        <v/>
      </c>
      <c r="Y28">
        <f>COUNTIF('Map Calc'!$T$2:$T$1400,$V28)</f>
        <v/>
      </c>
    </row>
    <row r="29">
      <c r="V29" t="n">
        <v>2002</v>
      </c>
      <c r="W29">
        <f>COUNTIF(games!$B$2:$B$950,$V29)</f>
        <v/>
      </c>
      <c r="X29">
        <f>COUNTIFS(games!$B$2:$B$950,$V29,games!$H$2:$H$950,"Yes")</f>
        <v/>
      </c>
      <c r="Y29">
        <f>COUNTIF('Map Calc'!$T$2:$T$1400,$V29)</f>
        <v/>
      </c>
    </row>
    <row r="30">
      <c r="V30" t="n">
        <v>2003</v>
      </c>
      <c r="W30">
        <f>COUNTIF(games!$B$2:$B$950,$V30)</f>
        <v/>
      </c>
      <c r="X30">
        <f>COUNTIFS(games!$B$2:$B$950,$V30,games!$H$2:$H$950,"Yes")</f>
        <v/>
      </c>
      <c r="Y30">
        <f>COUNTIF('Map Calc'!$T$2:$T$1400,$V30)</f>
        <v/>
      </c>
    </row>
    <row r="31">
      <c r="V31" t="n">
        <v>2004</v>
      </c>
      <c r="W31">
        <f>COUNTIF(games!$B$2:$B$950,$V31)</f>
        <v/>
      </c>
      <c r="X31">
        <f>COUNTIFS(games!$B$2:$B$950,$V31,games!$H$2:$H$950,"Yes")</f>
        <v/>
      </c>
      <c r="Y31">
        <f>COUNTIF('Map Calc'!$T$2:$T$1400,$V31)</f>
        <v/>
      </c>
    </row>
    <row r="32">
      <c r="V32" t="n">
        <v>2005</v>
      </c>
      <c r="W32">
        <f>COUNTIF(games!$B$2:$B$950,$V32)</f>
        <v/>
      </c>
      <c r="X32">
        <f>COUNTIFS(games!$B$2:$B$950,$V32,games!$H$2:$H$950,"Yes")</f>
        <v/>
      </c>
      <c r="Y32">
        <f>COUNTIF('Map Calc'!$T$2:$T$1400,$V32)</f>
        <v/>
      </c>
    </row>
    <row r="33">
      <c r="V33" t="n">
        <v>2006</v>
      </c>
      <c r="W33">
        <f>COUNTIF(games!$B$2:$B$950,$V33)</f>
        <v/>
      </c>
      <c r="X33">
        <f>COUNTIFS(games!$B$2:$B$950,$V33,games!$H$2:$H$950,"Yes")</f>
        <v/>
      </c>
      <c r="Y33">
        <f>COUNTIF('Map Calc'!$T$2:$T$1400,$V33)</f>
        <v/>
      </c>
    </row>
    <row r="34">
      <c r="V34" t="n">
        <v>2007</v>
      </c>
      <c r="W34">
        <f>COUNTIF(games!$B$2:$B$950,$V34)</f>
        <v/>
      </c>
      <c r="X34">
        <f>COUNTIFS(games!$B$2:$B$950,$V34,games!$H$2:$H$950,"Yes")</f>
        <v/>
      </c>
      <c r="Y34">
        <f>COUNTIF('Map Calc'!$T$2:$T$1400,$V34)</f>
        <v/>
      </c>
    </row>
    <row r="35">
      <c r="V35" t="n">
        <v>2008</v>
      </c>
      <c r="W35">
        <f>COUNTIF(games!$B$2:$B$950,$V35)</f>
        <v/>
      </c>
      <c r="X35">
        <f>COUNTIFS(games!$B$2:$B$950,$V35,games!$H$2:$H$950,"Yes")</f>
        <v/>
      </c>
      <c r="Y35">
        <f>COUNTIF('Map Calc'!$T$2:$T$1400,$V35)</f>
        <v/>
      </c>
    </row>
    <row r="36">
      <c r="V36" t="n">
        <v>2009</v>
      </c>
      <c r="W36">
        <f>COUNTIF(games!$B$2:$B$950,$V36)</f>
        <v/>
      </c>
      <c r="X36">
        <f>COUNTIFS(games!$B$2:$B$950,$V36,games!$H$2:$H$950,"Yes")</f>
        <v/>
      </c>
      <c r="Y36">
        <f>COUNTIF('Map Calc'!$T$2:$T$1400,$V36)</f>
        <v/>
      </c>
    </row>
    <row r="37">
      <c r="V37" t="n">
        <v>2010</v>
      </c>
      <c r="W37">
        <f>COUNTIF(games!$B$2:$B$950,$V37)</f>
        <v/>
      </c>
      <c r="X37">
        <f>COUNTIFS(games!$B$2:$B$950,$V37,games!$H$2:$H$950,"Yes")</f>
        <v/>
      </c>
      <c r="Y37">
        <f>COUNTIF('Map Calc'!$T$2:$T$1400,$V37)</f>
        <v/>
      </c>
    </row>
    <row r="38">
      <c r="V38" t="n">
        <v>2011</v>
      </c>
      <c r="W38">
        <f>COUNTIF(games!$B$2:$B$950,$V38)</f>
        <v/>
      </c>
      <c r="X38">
        <f>COUNTIFS(games!$B$2:$B$950,$V38,games!$H$2:$H$950,"Yes")</f>
        <v/>
      </c>
      <c r="Y38">
        <f>COUNTIF('Map Calc'!$T$2:$T$1400,$V38)</f>
        <v/>
      </c>
    </row>
    <row r="39">
      <c r="V39" t="n">
        <v>2012</v>
      </c>
      <c r="W39">
        <f>COUNTIF(games!$B$2:$B$950,$V39)</f>
        <v/>
      </c>
      <c r="X39">
        <f>COUNTIFS(games!$B$2:$B$950,$V39,games!$H$2:$H$950,"Yes")</f>
        <v/>
      </c>
      <c r="Y39">
        <f>COUNTIF('Map Calc'!$T$2:$T$1400,$V39)</f>
        <v/>
      </c>
    </row>
    <row r="40">
      <c r="V40" t="n">
        <v>2013</v>
      </c>
      <c r="W40">
        <f>COUNTIF(games!$B$2:$B$950,$V40)</f>
        <v/>
      </c>
      <c r="X40">
        <f>COUNTIFS(games!$B$2:$B$950,$V40,games!$H$2:$H$950,"Yes")</f>
        <v/>
      </c>
      <c r="Y40">
        <f>COUNTIF('Map Calc'!$T$2:$T$1400,$V40)</f>
        <v/>
      </c>
    </row>
    <row r="41">
      <c r="V41" t="n">
        <v>2014</v>
      </c>
      <c r="W41">
        <f>COUNTIF(games!$B$2:$B$950,$V41)</f>
        <v/>
      </c>
      <c r="X41">
        <f>COUNTIFS(games!$B$2:$B$950,$V41,games!$H$2:$H$950,"Yes")</f>
        <v/>
      </c>
      <c r="Y41">
        <f>COUNTIF('Map Calc'!$T$2:$T$1400,$V41)</f>
        <v/>
      </c>
    </row>
    <row r="42">
      <c r="V42" t="n">
        <v>2015</v>
      </c>
      <c r="W42">
        <f>COUNTIF(games!$B$2:$B$950,$V42)</f>
        <v/>
      </c>
      <c r="X42">
        <f>COUNTIFS(games!$B$2:$B$950,$V42,games!$H$2:$H$950,"Yes")</f>
        <v/>
      </c>
      <c r="Y42">
        <f>COUNTIF('Map Calc'!$T$2:$T$1400,$V42)</f>
        <v/>
      </c>
    </row>
    <row r="43">
      <c r="V43" t="n">
        <v>2016</v>
      </c>
      <c r="W43">
        <f>COUNTIF(games!$B$2:$B$950,$V43)</f>
        <v/>
      </c>
      <c r="X43">
        <f>COUNTIFS(games!$B$2:$B$950,$V43,games!$H$2:$H$950,"Yes")</f>
        <v/>
      </c>
      <c r="Y43">
        <f>COUNTIF('Map Calc'!$T$2:$T$1400,$V43)</f>
        <v/>
      </c>
    </row>
    <row r="44">
      <c r="V44" t="n">
        <v>2017</v>
      </c>
      <c r="W44">
        <f>COUNTIF(games!$B$2:$B$950,$V44)</f>
        <v/>
      </c>
      <c r="X44">
        <f>COUNTIFS(games!$B$2:$B$950,$V44,games!$H$2:$H$950,"Yes")</f>
        <v/>
      </c>
      <c r="Y44">
        <f>COUNTIF('Map Calc'!$T$2:$T$1400,$V44)</f>
        <v/>
      </c>
    </row>
    <row r="45">
      <c r="V45" t="n">
        <v>2018</v>
      </c>
      <c r="W45">
        <f>COUNTIF(games!$B$2:$B$950,$V45)</f>
        <v/>
      </c>
      <c r="X45">
        <f>COUNTIFS(games!$B$2:$B$950,$V45,games!$H$2:$H$950,"Yes")</f>
        <v/>
      </c>
      <c r="Y45">
        <f>COUNTIF('Map Calc'!$T$2:$T$1400,$V45)</f>
        <v/>
      </c>
    </row>
    <row r="46">
      <c r="V46" t="n">
        <v>2019</v>
      </c>
      <c r="W46">
        <f>COUNTIF(games!$B$2:$B$950,$V46)</f>
        <v/>
      </c>
      <c r="X46">
        <f>COUNTIFS(games!$B$2:$B$950,$V46,games!$H$2:$H$950,"Yes")</f>
        <v/>
      </c>
      <c r="Y46">
        <f>COUNTIF('Map Calc'!$T$2:$T$1400,$V46)</f>
        <v/>
      </c>
    </row>
    <row r="47">
      <c r="V47" t="n">
        <v>2020</v>
      </c>
      <c r="W47">
        <f>COUNTIF(games!$B$2:$B$950,$V47)</f>
        <v/>
      </c>
      <c r="X47">
        <f>COUNTIFS(games!$B$2:$B$950,$V47,games!$H$2:$H$950,"Yes")</f>
        <v/>
      </c>
      <c r="Y47">
        <f>COUNTIF('Map Calc'!$T$2:$T$1400,$V47)</f>
        <v/>
      </c>
    </row>
    <row r="48">
      <c r="V48" t="n">
        <v>2021</v>
      </c>
      <c r="W48">
        <f>COUNTIF(games!$B$2:$B$950,$V48)</f>
        <v/>
      </c>
      <c r="X48">
        <f>COUNTIFS(games!$B$2:$B$950,$V48,games!$H$2:$H$950,"Yes")</f>
        <v/>
      </c>
      <c r="Y48">
        <f>COUNTIF('Map Calc'!$T$2:$T$1400,$V48)</f>
        <v/>
      </c>
    </row>
    <row r="49">
      <c r="V49" t="n">
        <v>2022</v>
      </c>
      <c r="W49">
        <f>COUNTIF(games!$B$2:$B$950,$V49)</f>
        <v/>
      </c>
      <c r="X49">
        <f>COUNTIFS(games!$B$2:$B$950,$V49,games!$H$2:$H$950,"Yes")</f>
        <v/>
      </c>
      <c r="Y49">
        <f>COUNTIF('Map Calc'!$T$2:$T$1400,$V49)</f>
        <v/>
      </c>
    </row>
    <row r="50">
      <c r="V50" t="n">
        <v>2023</v>
      </c>
      <c r="W50">
        <f>COUNTIF(games!$B$2:$B$950,$V50)</f>
        <v/>
      </c>
      <c r="X50">
        <f>COUNTIFS(games!$B$2:$B$950,$V50,games!$H$2:$H$950,"Yes")</f>
        <v/>
      </c>
      <c r="Y50">
        <f>COUNTIF('Map Calc'!$T$2:$T$1400,$V50)</f>
        <v/>
      </c>
    </row>
    <row r="51">
      <c r="V51" t="n">
        <v>2024</v>
      </c>
      <c r="W51">
        <f>COUNTIF(games!$B$2:$B$950,$V51)</f>
        <v/>
      </c>
      <c r="X51">
        <f>COUNTIFS(games!$B$2:$B$950,$V51,games!$H$2:$H$950,"Yes")</f>
        <v/>
      </c>
      <c r="Y51">
        <f>COUNTIF('Map Calc'!$T$2:$T$1400,$V51)</f>
        <v/>
      </c>
    </row>
    <row r="52">
      <c r="V52" t="n">
        <v>2025</v>
      </c>
      <c r="W52">
        <f>COUNTIF(games!$B$2:$B$950,$V52)</f>
        <v/>
      </c>
      <c r="X52">
        <f>COUNTIFS(games!$B$2:$B$950,$V52,games!$H$2:$H$950,"Yes")</f>
        <v/>
      </c>
      <c r="Y52">
        <f>COUNTIF('Map Calc'!$T$2:$T$1400,$V52)</f>
        <v/>
      </c>
    </row>
    <row r="53">
      <c r="V53" t="n">
        <v>2026</v>
      </c>
      <c r="W53">
        <f>COUNTIF(games!$B$2:$B$950,$V53)</f>
        <v/>
      </c>
      <c r="X53">
        <f>COUNTIFS(games!$B$2:$B$950,$V53,games!$H$2:$H$950,"Yes")</f>
        <v/>
      </c>
      <c r="Y53">
        <f>COUNTIF('Map Calc'!$T$2:$T$1400,$V53)</f>
        <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E39"/>
  <sheetViews>
    <sheetView zoomScale="85" zoomScaleNormal="85" workbookViewId="0">
      <selection activeCell="A9" sqref="A9"/>
    </sheetView>
  </sheetViews>
  <sheetFormatPr baseColWidth="8" defaultColWidth="8.7109375" defaultRowHeight="15"/>
  <cols>
    <col width="20.42578125" customWidth="1" min="1" max="1"/>
    <col width="11.42578125" customWidth="1" min="2" max="2"/>
    <col width="18.7109375" customWidth="1" min="3" max="3"/>
    <col width="12.7109375" customWidth="1" min="4" max="4"/>
    <col width="156.28515625" customWidth="1" min="5" max="5"/>
  </cols>
  <sheetData>
    <row r="1" ht="15" customHeight="1">
      <c r="A1" t="inlineStr">
        <is>
          <t>Name</t>
        </is>
      </c>
      <c r="B1" t="inlineStr">
        <is>
          <t>Difficulty</t>
        </is>
      </c>
      <c r="C1" t="inlineStr">
        <is>
          <t>Game</t>
        </is>
      </c>
      <c r="D1" t="inlineStr">
        <is>
          <t>Type</t>
        </is>
      </c>
      <c r="E1" t="inlineStr">
        <is>
          <t>Effect</t>
        </is>
      </c>
    </row>
    <row r="2" ht="15" customHeight="1">
      <c r="A2" t="inlineStr">
        <is>
          <t>Keep of the Lead Lord</t>
        </is>
      </c>
      <c r="B2" t="inlineStr">
        <is>
          <t>Low</t>
        </is>
      </c>
      <c r="C2" t="inlineStr">
        <is>
          <t>Enter the Gungeon</t>
        </is>
      </c>
      <c r="D2" t="inlineStr">
        <is>
          <t>Building</t>
        </is>
      </c>
      <c r="E2" t="inlineStr">
        <is>
          <t>Guns are 20% more likely to show up</t>
        </is>
      </c>
    </row>
    <row r="3" ht="15" customHeight="1">
      <c r="A3" t="inlineStr">
        <is>
          <t>Black Powder Mine</t>
        </is>
      </c>
      <c r="B3" t="inlineStr">
        <is>
          <t>Medium</t>
        </is>
      </c>
      <c r="C3" t="inlineStr">
        <is>
          <t>Enter the Gungeon</t>
        </is>
      </c>
      <c r="D3" t="inlineStr">
        <is>
          <t>Underground</t>
        </is>
      </c>
      <c r="E3" t="inlineStr">
        <is>
          <t>Guns are 20% more likely to show up</t>
        </is>
      </c>
    </row>
    <row r="4" ht="15" customHeight="1">
      <c r="A4" t="inlineStr">
        <is>
          <t>Hollow</t>
        </is>
      </c>
      <c r="B4" t="inlineStr">
        <is>
          <t>Medium</t>
        </is>
      </c>
      <c r="C4" t="inlineStr">
        <is>
          <t>Enter the Gungeon</t>
        </is>
      </c>
      <c r="D4" t="inlineStr">
        <is>
          <t>Icy</t>
        </is>
      </c>
      <c r="E4" t="inlineStr">
        <is>
          <t>Guns are 20% more likely to show up</t>
        </is>
      </c>
    </row>
    <row r="5" ht="15" customHeight="1">
      <c r="A5" t="inlineStr">
        <is>
          <t>Forge</t>
        </is>
      </c>
      <c r="B5" t="inlineStr">
        <is>
          <t>Hard</t>
        </is>
      </c>
      <c r="C5" t="inlineStr">
        <is>
          <t>Enter the Gungeon</t>
        </is>
      </c>
      <c r="D5" t="inlineStr">
        <is>
          <t>Firey</t>
        </is>
      </c>
      <c r="E5" t="inlineStr">
        <is>
          <t>Guns are 20% more likely to show up</t>
        </is>
      </c>
    </row>
    <row r="6" ht="15" customHeight="1">
      <c r="A6" t="inlineStr">
        <is>
          <t>Bullet Hell</t>
        </is>
      </c>
      <c r="B6" t="inlineStr">
        <is>
          <t>Hard</t>
        </is>
      </c>
      <c r="C6" t="inlineStr">
        <is>
          <t>Enter the Gungeon</t>
        </is>
      </c>
      <c r="D6" t="inlineStr">
        <is>
          <t>Undead</t>
        </is>
      </c>
      <c r="E6" t="inlineStr">
        <is>
          <t>Guns are 20% more likely to show up</t>
        </is>
      </c>
    </row>
    <row r="7" ht="15" customHeight="1">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ht="15" customHeight="1">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ht="15" customHeight="1">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ht="15" customHeight="1">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ht="15" customHeight="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ht="15" customHeight="1">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ht="15" customHeight="1">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ht="15" customHeight="1">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ht="15" customHeight="1">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ht="15" customHeight="1">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ht="15" customHeight="1">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ht="15" customHeight="1">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ht="15" customHeight="1">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ht="15" customHeight="1">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ht="15" customHeight="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ht="15" customHeight="1">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ht="15" customHeight="1">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ht="15" customHeight="1">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ht="15" customHeight="1">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ht="15" customHeight="1">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ht="15" customHeight="1">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ht="15" customHeight="1">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ht="15" customHeight="1">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ht="15" customHeight="1">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ht="15" customHeight="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ht="15" customHeight="1">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ht="15" customHeight="1">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ht="15" customHeight="1">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ht="15" customHeight="1">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ht="15" customHeight="1">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ht="15" customHeight="1">
      <c r="A37" t="inlineStr">
        <is>
          <t>The Far Shore</t>
        </is>
      </c>
      <c r="B37" t="inlineStr">
        <is>
          <t>Low</t>
        </is>
      </c>
      <c r="C37" t="inlineStr">
        <is>
          <t>Brutal Orchestra</t>
        </is>
      </c>
      <c r="D37" t="inlineStr">
        <is>
          <t>Desert</t>
        </is>
      </c>
      <c r="E37" t="inlineStr">
        <is>
          <t>All Enemies Gain Pigment Rich at the start of combat.</t>
        </is>
      </c>
    </row>
    <row r="38" ht="15" customHeight="1">
      <c r="A38" t="inlineStr">
        <is>
          <t>The Orpheum</t>
        </is>
      </c>
      <c r="B38" t="inlineStr">
        <is>
          <t>Medium</t>
        </is>
      </c>
      <c r="C38" t="inlineStr">
        <is>
          <t>Brutal Orchestra</t>
        </is>
      </c>
      <c r="D38" t="inlineStr">
        <is>
          <t>Watery</t>
        </is>
      </c>
      <c r="E38" t="inlineStr">
        <is>
          <t>All Enemies Gain Pigment Rich at the start of combat.</t>
        </is>
      </c>
    </row>
    <row r="39" ht="15" customHeight="1">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J127"/>
  <sheetViews>
    <sheetView topLeftCell="A79" zoomScale="85" zoomScaleNormal="85" workbookViewId="0">
      <selection activeCell="C100" sqref="C100"/>
    </sheetView>
  </sheetViews>
  <sheetFormatPr baseColWidth="8" defaultColWidth="8.7109375" defaultRowHeight="15"/>
  <cols>
    <col width="32" customWidth="1" min="1" max="1"/>
    <col width="11.140625" customWidth="1" min="2" max="2"/>
    <col width="14.5703125" customWidth="1" min="3" max="3"/>
    <col width="125.85546875" customWidth="1" min="4" max="4"/>
    <col width="80.28515625" customWidth="1" min="5" max="5"/>
    <col width="23.42578125" customWidth="1" min="6" max="6"/>
    <col width="24.28515625" customWidth="1" min="7" max="7"/>
    <col width="20.42578125" customWidth="1" min="8" max="8"/>
    <col width="7" customWidth="1" min="9" max="9"/>
    <col width="17.42578125" customWidth="1" min="10" max="10"/>
  </cols>
  <sheetData>
    <row r="1" ht="15" customHeight="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ht="15" customHeight="1">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ht="15" customHeight="1">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ht="15" customHeight="1">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ht="15" customHeight="1">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ht="15" customHeight="1">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ht="15" customHeight="1">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ht="15" customHeight="1">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ht="15" customHeight="1">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ht="15" customHeight="1">
      <c r="A10" t="inlineStr">
        <is>
          <t>Bird-Faced Urn</t>
        </is>
      </c>
      <c r="B10" t="inlineStr">
        <is>
          <t>Rare</t>
        </is>
      </c>
      <c r="C10" t="inlineStr">
        <is>
          <t>Triggered</t>
        </is>
      </c>
      <c r="D10" t="inlineStr">
        <is>
          <t>When you play a power, gain +2 Health</t>
        </is>
      </c>
      <c r="E10" t="inlineStr">
        <is>
          <t>card_played if_type=power: +2 hp</t>
        </is>
      </c>
      <c r="F10" t="inlineStr">
        <is>
          <t>Slay the Spire</t>
        </is>
      </c>
      <c r="G10" t="inlineStr">
        <is>
          <t>bird</t>
        </is>
      </c>
      <c r="H10" t="inlineStr">
        <is>
          <t>BirdFacedUrn</t>
        </is>
      </c>
      <c r="I10" t="inlineStr">
        <is>
          <t>N/A</t>
        </is>
      </c>
      <c r="J10" t="inlineStr">
        <is>
          <t>Health</t>
        </is>
      </c>
    </row>
    <row r="11" ht="15" customHeight="1">
      <c r="A11" t="inlineStr">
        <is>
          <t>Blasma Pistol</t>
        </is>
      </c>
      <c r="B11" t="inlineStr">
        <is>
          <t>Common</t>
        </is>
      </c>
      <c r="C11" t="inlineStr">
        <is>
          <t>Weapon</t>
        </is>
      </c>
      <c r="D11" t="inlineStr">
        <is>
          <t>Add the Card "Blasma Pistol" into your Deck. If you open more than 10 chests, Gain (10/20) Gold</t>
        </is>
      </c>
      <c r="E11" t="inlineStr">
        <is>
          <t>weapon: blasma_pistol; verify: Did you open more than 10 chests? =&gt; gain_gold 10/20</t>
        </is>
      </c>
      <c r="F11" t="inlineStr">
        <is>
          <t>Flinthook</t>
        </is>
      </c>
      <c r="G11" t="inlineStr">
        <is>
          <t>gun</t>
        </is>
      </c>
      <c r="H11" t="inlineStr">
        <is>
          <t>BlasmaPistol</t>
        </is>
      </c>
      <c r="I11" t="inlineStr">
        <is>
          <t>N/A</t>
        </is>
      </c>
      <c r="J11" t="inlineStr">
        <is>
          <t>Offense, Economy</t>
        </is>
      </c>
    </row>
    <row r="12" ht="15" customHeight="1">
      <c r="A12" t="inlineStr">
        <is>
          <t>Blood Magic</t>
        </is>
      </c>
      <c r="B12" t="inlineStr">
        <is>
          <t>Rare</t>
        </is>
      </c>
      <c r="C12" t="inlineStr">
        <is>
          <t>Weapon</t>
        </is>
      </c>
      <c r="D12" t="inlineStr">
        <is>
          <t>Add the Card "Blood Magic" into your Deck. If you create or use a magic circle, "Blood Magic" Gains  (+1/+2/) Infuse</t>
        </is>
      </c>
      <c r="E12" t="inlineStr">
        <is>
          <t>weapon: blood_magic; verify: Did you create or use a magic circle? =&gt; bump effect#0.infuse +1/+2</t>
        </is>
      </c>
      <c r="F12" t="inlineStr">
        <is>
          <t>Megabonk</t>
        </is>
      </c>
      <c r="H12" t="inlineStr">
        <is>
          <t>BloodMagic</t>
        </is>
      </c>
      <c r="I12" t="inlineStr">
        <is>
          <t>N/A</t>
        </is>
      </c>
      <c r="J12" t="inlineStr">
        <is>
          <t>Offense, Health</t>
        </is>
      </c>
    </row>
    <row r="13" ht="15" customHeight="1">
      <c r="A13" t="inlineStr">
        <is>
          <t>Blood Vial</t>
        </is>
      </c>
      <c r="B13" t="inlineStr">
        <is>
          <t>Common</t>
        </is>
      </c>
      <c r="C13" t="inlineStr">
        <is>
          <t>Triggered</t>
        </is>
      </c>
      <c r="D13" t="inlineStr">
        <is>
          <t>At the start of combat, gain +2 Health</t>
        </is>
      </c>
      <c r="E13" t="inlineStr">
        <is>
          <t>combat_start: +2 hp</t>
        </is>
      </c>
      <c r="F13" t="inlineStr">
        <is>
          <t>Slay the Spire</t>
        </is>
      </c>
      <c r="G13" t="inlineStr">
        <is>
          <t>blood</t>
        </is>
      </c>
      <c r="H13" t="inlineStr">
        <is>
          <t>BloodVial</t>
        </is>
      </c>
      <c r="I13" t="inlineStr">
        <is>
          <t>N/A</t>
        </is>
      </c>
      <c r="J13" t="inlineStr">
        <is>
          <t>Health</t>
        </is>
      </c>
    </row>
    <row r="14" ht="15" customHeight="1">
      <c r="A14" t="inlineStr">
        <is>
          <t>Boiling Water</t>
        </is>
      </c>
      <c r="B14" t="inlineStr">
        <is>
          <t>Common</t>
        </is>
      </c>
      <c r="C14" t="inlineStr">
        <is>
          <t>Pickup, Passive</t>
        </is>
      </c>
      <c r="D14" t="inlineStr">
        <is>
          <t>Gain +4 Intelligence and -3 Max Health</t>
        </is>
      </c>
      <c r="E14" t="inlineStr">
        <is>
          <t>passive: +4 intelligence; item_acquired: gain_max_hp -3</t>
        </is>
      </c>
      <c r="F14" t="inlineStr">
        <is>
          <t>Brotato</t>
        </is>
      </c>
      <c r="G14" t="inlineStr">
        <is>
          <t>drink, water</t>
        </is>
      </c>
      <c r="H14" t="inlineStr">
        <is>
          <t>BoilingWater</t>
        </is>
      </c>
      <c r="I14" t="inlineStr">
        <is>
          <t>N/A</t>
        </is>
      </c>
      <c r="J14" t="inlineStr">
        <is>
          <t>Stats</t>
        </is>
      </c>
    </row>
    <row r="15" ht="15" customHeight="1">
      <c r="A15" t="inlineStr">
        <is>
          <t>Boon of Aphrodite</t>
        </is>
      </c>
      <c r="B15" t="inlineStr">
        <is>
          <t>N/A</t>
        </is>
      </c>
      <c r="C15" t="inlineStr">
        <is>
          <t>Boon</t>
        </is>
      </c>
      <c r="D15" t="inlineStr">
        <is>
          <t>If the player charms an enemy gain +1 to all combat roll bonus stats, but 1 of the game choices will be Charmed</t>
        </is>
      </c>
      <c r="F15" t="inlineStr">
        <is>
          <t>Hades</t>
        </is>
      </c>
      <c r="H15" t="inlineStr">
        <is>
          <t>BoonOfAphrodite</t>
        </is>
      </c>
      <c r="I15" t="inlineStr">
        <is>
          <t>N/A</t>
        </is>
      </c>
      <c r="J15" t="inlineStr">
        <is>
          <t>Boon</t>
        </is>
      </c>
    </row>
    <row r="16" ht="15" customHeight="1">
      <c r="A16" t="inlineStr">
        <is>
          <t>Boon of Artemis</t>
        </is>
      </c>
      <c r="B16" t="inlineStr">
        <is>
          <t>N/A</t>
        </is>
      </c>
      <c r="C16" t="inlineStr">
        <is>
          <t>Boon</t>
        </is>
      </c>
      <c r="D16" t="inlineStr">
        <is>
          <t>If the player uses ranged strategies primarlity to win the run gain +1 to all combat roll bonus stats, but 1 of the game choices will be Marked</t>
        </is>
      </c>
      <c r="F16" t="inlineStr">
        <is>
          <t>Hades</t>
        </is>
      </c>
      <c r="H16" t="inlineStr">
        <is>
          <t>BoonOfArtemis</t>
        </is>
      </c>
      <c r="I16" t="inlineStr">
        <is>
          <t>N/A</t>
        </is>
      </c>
      <c r="J16" t="inlineStr">
        <is>
          <t>Boon</t>
        </is>
      </c>
    </row>
    <row r="17" ht="15" customHeight="1">
      <c r="A17" t="inlineStr">
        <is>
          <t>Boon of Athena</t>
        </is>
      </c>
      <c r="B17" t="inlineStr">
        <is>
          <t>N/A</t>
        </is>
      </c>
      <c r="C17" t="inlineStr">
        <is>
          <t>Boon</t>
        </is>
      </c>
      <c r="D17" t="inlineStr">
        <is>
          <t>If the player negates damage with a shield 5+ times gain +1 to all combat roll bonus stats, but 1 of the game choices will be Shielded</t>
        </is>
      </c>
      <c r="F17" t="inlineStr">
        <is>
          <t>Hades</t>
        </is>
      </c>
      <c r="H17" t="inlineStr">
        <is>
          <t>BoonOfAthena</t>
        </is>
      </c>
      <c r="I17" t="inlineStr">
        <is>
          <t>N/A</t>
        </is>
      </c>
      <c r="J17" t="inlineStr">
        <is>
          <t>Boon</t>
        </is>
      </c>
    </row>
    <row r="18" ht="15" customHeight="1">
      <c r="A18" t="inlineStr">
        <is>
          <t>Boon of Hermes</t>
        </is>
      </c>
      <c r="B18" t="inlineStr">
        <is>
          <t>N/A</t>
        </is>
      </c>
      <c r="C18" t="inlineStr">
        <is>
          <t>Boon</t>
        </is>
      </c>
      <c r="D18" t="inlineStr">
        <is>
          <t>If the player beats a game within an hour gain +1 to all combat roll bonus stats, but 1 of the game choices will be Timed</t>
        </is>
      </c>
      <c r="F18" t="inlineStr">
        <is>
          <t>Hades</t>
        </is>
      </c>
      <c r="H18" t="inlineStr">
        <is>
          <t>BoonOfHermes</t>
        </is>
      </c>
      <c r="I18" t="inlineStr">
        <is>
          <t>N/A</t>
        </is>
      </c>
      <c r="J18" t="inlineStr">
        <is>
          <t>Boon</t>
        </is>
      </c>
    </row>
    <row r="19" ht="15" customHeight="1">
      <c r="A19" t="inlineStr">
        <is>
          <t>Boon of Poseidon</t>
        </is>
      </c>
      <c r="B19" t="inlineStr">
        <is>
          <t>N/A</t>
        </is>
      </c>
      <c r="C19" t="inlineStr">
        <is>
          <t>Boon</t>
        </is>
      </c>
      <c r="D19" t="inlineStr">
        <is>
          <t>If the player defeats an enemy underwater gain +1 to all combat roll bonus stats, but 1 of the game choices will be Soaked</t>
        </is>
      </c>
      <c r="F19" t="inlineStr">
        <is>
          <t>Hades</t>
        </is>
      </c>
      <c r="H19" t="inlineStr">
        <is>
          <t>BoonOfPoseidon</t>
        </is>
      </c>
      <c r="I19" t="inlineStr">
        <is>
          <t>N/A</t>
        </is>
      </c>
      <c r="J19" t="inlineStr">
        <is>
          <t>Boon</t>
        </is>
      </c>
    </row>
    <row r="20" ht="15" customHeight="1">
      <c r="A20" t="inlineStr">
        <is>
          <t>Boon of Zeus</t>
        </is>
      </c>
      <c r="B20" t="inlineStr">
        <is>
          <t>N/A</t>
        </is>
      </c>
      <c r="C20" t="inlineStr">
        <is>
          <t>Boon</t>
        </is>
      </c>
      <c r="D20" t="inlineStr">
        <is>
          <t>If the player defeats an enemy with lightning in their run gain +1 to all combat roll bonus stats, but 1 of the game choices will be Shocked</t>
        </is>
      </c>
      <c r="F20" t="inlineStr">
        <is>
          <t>Hades</t>
        </is>
      </c>
      <c r="H20" t="inlineStr">
        <is>
          <t>BoonOfZeus</t>
        </is>
      </c>
      <c r="I20" t="inlineStr">
        <is>
          <t>N/A</t>
        </is>
      </c>
      <c r="J20" t="inlineStr">
        <is>
          <t>Boon</t>
        </is>
      </c>
    </row>
    <row r="21" ht="15" customHeight="1">
      <c r="A21" t="inlineStr">
        <is>
          <t>Bowler Hat</t>
        </is>
      </c>
      <c r="B21" t="inlineStr">
        <is>
          <t>Uncommon</t>
        </is>
      </c>
      <c r="C21" t="inlineStr">
        <is>
          <t>Passive</t>
        </is>
      </c>
      <c r="D21" t="inlineStr">
        <is>
          <t>Gain +3 Luck and 18 Harvesting, but -3% Crit Chance</t>
        </is>
      </c>
      <c r="E21" t="inlineStr">
        <is>
          <t>passive: +3 luck, +18 harvesting, -3 crit_chance</t>
        </is>
      </c>
      <c r="F21" t="inlineStr">
        <is>
          <t>Brotato</t>
        </is>
      </c>
      <c r="G21" t="inlineStr">
        <is>
          <t>wearable, hat</t>
        </is>
      </c>
      <c r="H21" t="inlineStr">
        <is>
          <t>BowlerHat</t>
        </is>
      </c>
      <c r="I21" t="inlineStr">
        <is>
          <t>N/A</t>
        </is>
      </c>
      <c r="J21" t="inlineStr">
        <is>
          <t>Stats, Economy</t>
        </is>
      </c>
    </row>
    <row r="22" ht="15" customHeight="1">
      <c r="A22" t="inlineStr">
        <is>
          <t>Brain Candy</t>
        </is>
      </c>
      <c r="B22" t="inlineStr">
        <is>
          <t>Common</t>
        </is>
      </c>
      <c r="C22" t="inlineStr">
        <is>
          <t>Usable</t>
        </is>
      </c>
      <c r="D22" t="inlineStr">
        <is>
          <t>Gain +5 Intelligence this combat/event</t>
        </is>
      </c>
      <c r="E22" t="inlineStr">
        <is>
          <t>item_used: temp_stat intelligence +5</t>
        </is>
      </c>
      <c r="F22" t="inlineStr">
        <is>
          <t>Mewgenics</t>
        </is>
      </c>
      <c r="G22" t="inlineStr">
        <is>
          <t>drug, pill, consumable</t>
        </is>
      </c>
      <c r="H22" t="inlineStr">
        <is>
          <t>BrainCandy</t>
        </is>
      </c>
      <c r="I22" t="inlineStr">
        <is>
          <t>N/A</t>
        </is>
      </c>
      <c r="J22" t="inlineStr">
        <is>
          <t>Stats</t>
        </is>
      </c>
    </row>
    <row r="23" ht="15" customHeight="1">
      <c r="A23" t="inlineStr">
        <is>
          <t>Brass Knuckles</t>
        </is>
      </c>
      <c r="B23" t="inlineStr">
        <is>
          <t>Rare</t>
        </is>
      </c>
      <c r="C23" t="inlineStr">
        <is>
          <t>Triggered</t>
        </is>
      </c>
      <c r="D23" t="inlineStr">
        <is>
          <t>Your Strikes inflict Bruise</t>
        </is>
      </c>
      <c r="E23" t="inlineStr">
        <is>
          <t>card_grant if_tag=strike: +1 bruise (enemy)</t>
        </is>
      </c>
      <c r="F23" t="inlineStr">
        <is>
          <t>Mewgenics</t>
        </is>
      </c>
      <c r="H23" t="inlineStr">
        <is>
          <t>BrassKnuckles</t>
        </is>
      </c>
      <c r="I23" t="inlineStr">
        <is>
          <t>N/A</t>
        </is>
      </c>
      <c r="J23" t="inlineStr">
        <is>
          <t>Offense</t>
        </is>
      </c>
    </row>
    <row r="24" ht="15" customHeight="1">
      <c r="A24" t="inlineStr">
        <is>
          <t>Broken Window</t>
        </is>
      </c>
      <c r="B24" t="inlineStr">
        <is>
          <t>Rare</t>
        </is>
      </c>
      <c r="C24" t="inlineStr">
        <is>
          <t>Triggered</t>
        </is>
      </c>
      <c r="D24" t="inlineStr">
        <is>
          <t>At the start of combat, Gain +3 Bleed Thorns and +1 Bleed</t>
        </is>
      </c>
      <c r="E24" t="inlineStr">
        <is>
          <t>combat_start: +3 bleed_thorns, +1 bleed</t>
        </is>
      </c>
      <c r="F24" t="inlineStr">
        <is>
          <t>Mewgenics</t>
        </is>
      </c>
      <c r="G24" t="inlineStr">
        <is>
          <t>glass, wood</t>
        </is>
      </c>
      <c r="H24" t="inlineStr">
        <is>
          <t>BrokenWindow</t>
        </is>
      </c>
      <c r="I24" t="inlineStr">
        <is>
          <t>N/A</t>
        </is>
      </c>
      <c r="J24" t="inlineStr">
        <is>
          <t>Defense</t>
        </is>
      </c>
    </row>
    <row r="25" ht="15" customHeight="1">
      <c r="A25" t="inlineStr">
        <is>
          <t>Bronze Scales</t>
        </is>
      </c>
      <c r="B25" t="inlineStr">
        <is>
          <t>Uncommon</t>
        </is>
      </c>
      <c r="C25" t="inlineStr">
        <is>
          <t>Triggered</t>
        </is>
      </c>
      <c r="D25" t="inlineStr">
        <is>
          <t>At the start of combat, Gain +3 Thorns</t>
        </is>
      </c>
      <c r="E25" t="inlineStr">
        <is>
          <t>combat_start: +3 thorns</t>
        </is>
      </c>
      <c r="F25" t="inlineStr">
        <is>
          <t>Slay the Spire</t>
        </is>
      </c>
      <c r="G25" t="inlineStr">
        <is>
          <t>metal</t>
        </is>
      </c>
      <c r="H25" t="inlineStr">
        <is>
          <t>BronzeScales</t>
        </is>
      </c>
      <c r="I25" t="inlineStr">
        <is>
          <t>N/A</t>
        </is>
      </c>
      <c r="J25" t="inlineStr">
        <is>
          <t>Offense</t>
        </is>
      </c>
    </row>
    <row r="26" ht="15" customHeight="1">
      <c r="A26" t="inlineStr">
        <is>
          <t>Burning Blood</t>
        </is>
      </c>
      <c r="B26" t="inlineStr">
        <is>
          <t>Starter</t>
        </is>
      </c>
      <c r="C26" t="inlineStr">
        <is>
          <t>Triggered</t>
        </is>
      </c>
      <c r="D26" t="inlineStr">
        <is>
          <t>At the end of combat, Gain +6 Health</t>
        </is>
      </c>
      <c r="E26" t="inlineStr">
        <is>
          <t>combat_end: +6 hp</t>
        </is>
      </c>
      <c r="F26" t="inlineStr">
        <is>
          <t>Slay the Spire</t>
        </is>
      </c>
      <c r="H26" t="inlineStr">
        <is>
          <t>BurningBlood</t>
        </is>
      </c>
      <c r="I26" t="inlineStr">
        <is>
          <t>N/A</t>
        </is>
      </c>
      <c r="J26" t="inlineStr">
        <is>
          <t>Health</t>
        </is>
      </c>
    </row>
    <row r="27" ht="15" customHeight="1">
      <c r="A27" t="inlineStr">
        <is>
          <t>Busted Crown</t>
        </is>
      </c>
      <c r="B27" t="inlineStr">
        <is>
          <t>Rare</t>
        </is>
      </c>
      <c r="C27" t="inlineStr">
        <is>
          <t>Passive</t>
        </is>
      </c>
      <c r="D27" t="inlineStr">
        <is>
          <t>Gain +1 Max Energy, but -2 Discovery</t>
        </is>
      </c>
      <c r="E27" t="inlineStr">
        <is>
          <t>passive: +1 max_energy, -2 discovery</t>
        </is>
      </c>
      <c r="F27" t="inlineStr">
        <is>
          <t>Slay the Spire</t>
        </is>
      </c>
      <c r="G27" t="inlineStr">
        <is>
          <t>wearable, hat, crown</t>
        </is>
      </c>
      <c r="H27" t="inlineStr">
        <is>
          <t>BustedCrown</t>
        </is>
      </c>
      <c r="I27" t="inlineStr">
        <is>
          <t>N/A</t>
        </is>
      </c>
      <c r="J27" t="inlineStr">
        <is>
          <t>Energy</t>
        </is>
      </c>
    </row>
    <row r="28" ht="15" customHeight="1">
      <c r="A28" t="inlineStr">
        <is>
          <t>Campfire</t>
        </is>
      </c>
      <c r="B28" t="inlineStr">
        <is>
          <t>Uncommon</t>
        </is>
      </c>
      <c r="C28" t="inlineStr">
        <is>
          <t>Passive</t>
        </is>
      </c>
      <c r="D28" t="inlineStr">
        <is>
          <t>Gain +3 Intelligence and +1 Regeneration, but -1 Speed</t>
        </is>
      </c>
      <c r="E28" t="inlineStr">
        <is>
          <t>passive: +3 intelligence, +1 regeneration, -1 speed</t>
        </is>
      </c>
      <c r="F28" t="inlineStr">
        <is>
          <t>Brotato</t>
        </is>
      </c>
      <c r="H28" t="inlineStr">
        <is>
          <t>Campfire</t>
        </is>
      </c>
      <c r="I28" t="inlineStr">
        <is>
          <t>N/A</t>
        </is>
      </c>
      <c r="J28" t="inlineStr">
        <is>
          <t>Stats</t>
        </is>
      </c>
    </row>
    <row r="29" ht="15" customHeight="1">
      <c r="A29" t="inlineStr">
        <is>
          <t>Captain's Wheel</t>
        </is>
      </c>
      <c r="B29" t="inlineStr">
        <is>
          <t>Rare</t>
        </is>
      </c>
      <c r="C29" t="inlineStr">
        <is>
          <t>Triggered</t>
        </is>
      </c>
      <c r="D29" t="inlineStr">
        <is>
          <t>Start the 3rd turn of combat with +18 Block</t>
        </is>
      </c>
      <c r="E29" t="inlineStr">
        <is>
          <t>turn_started if_turn=3: +18 block (self)</t>
        </is>
      </c>
      <c r="F29" t="inlineStr">
        <is>
          <t>Slay the Spire</t>
        </is>
      </c>
      <c r="G29" t="inlineStr">
        <is>
          <t>sea, ship</t>
        </is>
      </c>
      <c r="H29" t="inlineStr">
        <is>
          <t>Captain'sWheel</t>
        </is>
      </c>
      <c r="I29" t="inlineStr">
        <is>
          <t>N/A</t>
        </is>
      </c>
      <c r="J29" t="inlineStr">
        <is>
          <t>Defense</t>
        </is>
      </c>
    </row>
    <row r="30" ht="15" customHeight="1">
      <c r="A30" t="inlineStr">
        <is>
          <t>Charm of the Vampire</t>
        </is>
      </c>
      <c r="B30" t="inlineStr">
        <is>
          <t>Uncommon</t>
        </is>
      </c>
      <c r="C30" t="inlineStr">
        <is>
          <t>Triggered</t>
        </is>
      </c>
      <c r="D30" t="inlineStr">
        <is>
          <t>When you defeat an enemy, 50% chance to Heal +2 Health</t>
        </is>
      </c>
      <c r="E30" t="inlineStr">
        <is>
          <t>enemy_killed: 50% chance +2 hp</t>
        </is>
      </c>
      <c r="F30" t="inlineStr">
        <is>
          <t>The Binding of Isaac</t>
        </is>
      </c>
      <c r="H30" t="inlineStr">
        <is>
          <t>CharmOfTheVampire</t>
        </is>
      </c>
      <c r="I30" t="inlineStr">
        <is>
          <t>N/A</t>
        </is>
      </c>
      <c r="J30" t="inlineStr">
        <is>
          <t>Health</t>
        </is>
      </c>
    </row>
    <row r="31" ht="15" customHeight="1">
      <c r="A31" t="inlineStr">
        <is>
          <t>Clover</t>
        </is>
      </c>
      <c r="B31" t="inlineStr">
        <is>
          <t>Common</t>
        </is>
      </c>
      <c r="C31" t="inlineStr">
        <is>
          <t>Usable</t>
        </is>
      </c>
      <c r="D31" t="inlineStr">
        <is>
          <t>Gain +5 Luck this combat/event</t>
        </is>
      </c>
      <c r="E31" t="inlineStr">
        <is>
          <t>item_used: temp_stat luck +5</t>
        </is>
      </c>
      <c r="F31" t="inlineStr">
        <is>
          <t>Mewgenics</t>
        </is>
      </c>
      <c r="G31" t="inlineStr">
        <is>
          <t>drug, pill, consumable</t>
        </is>
      </c>
      <c r="H31" t="inlineStr">
        <is>
          <t>Clover</t>
        </is>
      </c>
      <c r="I31" t="inlineStr">
        <is>
          <t>N/A</t>
        </is>
      </c>
      <c r="J31" t="inlineStr">
        <is>
          <t>Stats</t>
        </is>
      </c>
    </row>
    <row r="32" ht="15" customHeight="1">
      <c r="A32" t="inlineStr">
        <is>
          <t>Clown Shoes</t>
        </is>
      </c>
      <c r="B32" t="inlineStr">
        <is>
          <t>Uncommon</t>
        </is>
      </c>
      <c r="C32" t="inlineStr">
        <is>
          <t>Triggered</t>
        </is>
      </c>
      <c r="D32" t="inlineStr">
        <is>
          <t>Whenever you don't Perfect a game, (beat a game/combat without losing a run) 50% chance to treat it like you did</t>
        </is>
      </c>
      <c r="E32" t="inlineStr">
        <is>
          <t>perfect: verify Did you Perfect this game? =&gt; 50% to treat a non-perfect game as perfected</t>
        </is>
      </c>
      <c r="F32" t="inlineStr">
        <is>
          <t>Haste</t>
        </is>
      </c>
      <c r="G32" t="inlineStr">
        <is>
          <t>wearable, shoes, clown</t>
        </is>
      </c>
      <c r="H32" t="inlineStr">
        <is>
          <t>ClownShoes</t>
        </is>
      </c>
      <c r="I32" t="inlineStr">
        <is>
          <t>N/A</t>
        </is>
      </c>
      <c r="J32" t="inlineStr">
        <is>
          <t>Perfect</t>
        </is>
      </c>
    </row>
    <row r="33" ht="15" customHeight="1">
      <c r="A33" t="inlineStr">
        <is>
          <t>Cricket's Head</t>
        </is>
      </c>
      <c r="B33" t="inlineStr">
        <is>
          <t>Rare</t>
        </is>
      </c>
      <c r="C33" t="inlineStr">
        <is>
          <t>Passive</t>
        </is>
      </c>
      <c r="D33" t="inlineStr">
        <is>
          <t>Gain +1 Strength. Multiply all Strength by 1.5</t>
        </is>
      </c>
      <c r="E33" t="inlineStr">
        <is>
          <t>passive: +1 strength; stat_multiply: strength 1.5</t>
        </is>
      </c>
      <c r="F33" t="inlineStr">
        <is>
          <t>The Binding of Isaac</t>
        </is>
      </c>
      <c r="G33" t="inlineStr">
        <is>
          <t>dog, animal corpse</t>
        </is>
      </c>
      <c r="H33" t="inlineStr">
        <is>
          <t>CricketsHead</t>
        </is>
      </c>
      <c r="I33" t="inlineStr">
        <is>
          <t>N/A</t>
        </is>
      </c>
      <c r="J33" t="inlineStr">
        <is>
          <t>Stats</t>
        </is>
      </c>
    </row>
    <row r="34" ht="15" customHeight="1">
      <c r="A34" t="inlineStr">
        <is>
          <t>Crown</t>
        </is>
      </c>
      <c r="B34" t="inlineStr">
        <is>
          <t>Uncommon</t>
        </is>
      </c>
      <c r="C34" t="inlineStr">
        <is>
          <t>Triggered</t>
        </is>
      </c>
      <c r="D34" t="inlineStr">
        <is>
          <t>When Levelling Up, 50% chance to Level Up an additional time</t>
        </is>
      </c>
      <c r="E34" t="inlineStr">
        <is>
          <t>level_up: 50% chance to Level Up an additional time</t>
        </is>
      </c>
      <c r="F34" t="inlineStr">
        <is>
          <t>Vampire Survivors</t>
        </is>
      </c>
      <c r="G34" t="inlineStr">
        <is>
          <t>wearable, hat, crown</t>
        </is>
      </c>
      <c r="H34" t="inlineStr">
        <is>
          <t>Crown</t>
        </is>
      </c>
      <c r="I34" t="inlineStr">
        <is>
          <t>N/A</t>
        </is>
      </c>
      <c r="J34" t="inlineStr">
        <is>
          <t>Economy</t>
        </is>
      </c>
    </row>
    <row r="35" ht="15" customHeight="1">
      <c r="A35" t="inlineStr">
        <is>
          <t>D6</t>
        </is>
      </c>
      <c r="B35" t="inlineStr">
        <is>
          <t>Uncommon</t>
        </is>
      </c>
      <c r="C35" t="inlineStr">
        <is>
          <t>Charged, 4</t>
        </is>
      </c>
      <c r="D35" t="inlineStr">
        <is>
          <t>Gain +1 Reroll</t>
        </is>
      </c>
      <c r="E35" t="inlineStr">
        <is>
          <t>charged (charge_cost 4); item_used: gain_stat reroll +1 (adds a Reroll charge, spendable on any reward/shop reroll)</t>
        </is>
      </c>
      <c r="F35" t="inlineStr">
        <is>
          <t>The Binding of Isaac</t>
        </is>
      </c>
      <c r="G35" t="inlineStr">
        <is>
          <t>dice</t>
        </is>
      </c>
      <c r="H35" t="inlineStr">
        <is>
          <t>D6</t>
        </is>
      </c>
      <c r="I35" t="inlineStr">
        <is>
          <t>N/A</t>
        </is>
      </c>
      <c r="J35" t="inlineStr">
        <is>
          <t>Stats</t>
        </is>
      </c>
    </row>
    <row r="36" ht="15" customHeight="1">
      <c r="A36" t="inlineStr">
        <is>
          <t>Darkstone Periapt</t>
        </is>
      </c>
      <c r="B36" t="inlineStr">
        <is>
          <t>Uncommon</t>
        </is>
      </c>
      <c r="C36" t="inlineStr">
        <is>
          <t>Triggered</t>
        </is>
      </c>
      <c r="D36" t="inlineStr">
        <is>
          <t>Gain +6 Max Health whenever you obtain a Curse</t>
        </is>
      </c>
      <c r="E36" t="inlineStr">
        <is>
          <t>curse_applied: gain_max_hp 6</t>
        </is>
      </c>
      <c r="F36" t="inlineStr">
        <is>
          <t>Slay the Spire</t>
        </is>
      </c>
      <c r="G36" t="inlineStr">
        <is>
          <t>stone, necklace, wearable</t>
        </is>
      </c>
      <c r="H36" t="inlineStr">
        <is>
          <t>DarkstonePeriapt</t>
        </is>
      </c>
      <c r="I36" t="inlineStr">
        <is>
          <t>N/A</t>
        </is>
      </c>
      <c r="J36" t="inlineStr">
        <is>
          <t>Health, Curse</t>
        </is>
      </c>
    </row>
    <row r="37" ht="15" customHeight="1">
      <c r="A37" t="inlineStr">
        <is>
          <t>Dead Eye</t>
        </is>
      </c>
      <c r="B37" t="inlineStr">
        <is>
          <t>Rare</t>
        </is>
      </c>
      <c r="C37" t="inlineStr">
        <is>
          <t>Incremental</t>
        </is>
      </c>
      <c r="D37" t="inlineStr">
        <is>
          <t>Every time you hit with an Attack on the same target, every Attack Gains +1 Dmg. Bonus goes away when you miss or change targets.</t>
        </is>
      </c>
      <c r="E37" t="inlineStr">
        <is>
          <t>attack_landed: +1 dead_eye streak (same target); attack_missed: reset dead_eye</t>
        </is>
      </c>
      <c r="F37" t="inlineStr">
        <is>
          <t>The Binding of Isaac</t>
        </is>
      </c>
      <c r="G37" t="inlineStr">
        <is>
          <t>eye</t>
        </is>
      </c>
      <c r="H37" t="inlineStr">
        <is>
          <t>DeadEye</t>
        </is>
      </c>
      <c r="I37" t="inlineStr">
        <is>
          <t>N/A</t>
        </is>
      </c>
      <c r="J37" t="inlineStr">
        <is>
          <t>Offense</t>
        </is>
      </c>
    </row>
    <row r="38" ht="15" customHeight="1">
      <c r="A38" t="inlineStr">
        <is>
          <t>Dead Sea Scrolls</t>
        </is>
      </c>
      <c r="B38" t="inlineStr">
        <is>
          <t>Uncommon</t>
        </is>
      </c>
      <c r="C38" t="inlineStr">
        <is>
          <t>Charged, 2</t>
        </is>
      </c>
      <c r="D38" t="inlineStr">
        <is>
          <t>Trigger the effect of a Random Scroll / Outside of Combat</t>
        </is>
      </c>
      <c r="F38" t="inlineStr">
        <is>
          <t>The Binding of Isaac</t>
        </is>
      </c>
      <c r="G38" t="inlineStr">
        <is>
          <t>historical</t>
        </is>
      </c>
      <c r="H38" t="inlineStr">
        <is>
          <t>DeadSeaScrolls</t>
        </is>
      </c>
      <c r="I38" t="inlineStr">
        <is>
          <t>N/A</t>
        </is>
      </c>
      <c r="J38" t="inlineStr">
        <is>
          <t>Random</t>
        </is>
      </c>
    </row>
    <row r="39" ht="15" customHeight="1">
      <c r="A39" t="inlineStr">
        <is>
          <t>Death Orb</t>
        </is>
      </c>
      <c r="B39" t="inlineStr">
        <is>
          <t>Uncommon</t>
        </is>
      </c>
      <c r="C39" t="inlineStr">
        <is>
          <t>Triggered</t>
        </is>
      </c>
      <c r="D39" t="inlineStr">
        <is>
          <t>When you play a power, deal Xx2 damage to each enemy where X is the number of Curses you have</t>
        </is>
      </c>
      <c r="E39" t="inlineStr">
        <is>
          <t>card_played if_type=power: dmg all_enemies value_from=curses x2 type=true (X = curse COUNT, not curse cards; true damage)</t>
        </is>
      </c>
      <c r="F39" t="inlineStr">
        <is>
          <t>Forward: Escape the Fold</t>
        </is>
      </c>
      <c r="G39" t="inlineStr">
        <is>
          <t>orb, evil</t>
        </is>
      </c>
      <c r="H39" t="inlineStr">
        <is>
          <t>DeathOrb</t>
        </is>
      </c>
      <c r="I39" t="inlineStr">
        <is>
          <t>N/A</t>
        </is>
      </c>
      <c r="J39" t="inlineStr">
        <is>
          <t>Power, Curse</t>
        </is>
      </c>
    </row>
    <row r="40" ht="15" customHeight="1">
      <c r="A40" t="inlineStr">
        <is>
          <t>Dexecutioner</t>
        </is>
      </c>
      <c r="B40" t="inlineStr">
        <is>
          <t>Uncommon</t>
        </is>
      </c>
      <c r="C40" t="inlineStr">
        <is>
          <t>Weapon</t>
        </is>
      </c>
      <c r="D40" t="inlineStr">
        <is>
          <t>Add the Card "Dexecutioner" into your Deck. If you kill an enemy with a piercing attack at least one time, "Dexecutioner" Gains (+1/+2) Dmg</t>
        </is>
      </c>
      <c r="E40" t="inlineStr">
        <is>
          <t>weapon: dexecutioner; verify: Did you kill an enemy with a piercing attack? =&gt; 1/2 dmg</t>
        </is>
      </c>
      <c r="F40" t="inlineStr">
        <is>
          <t>Megabonk</t>
        </is>
      </c>
      <c r="H40" t="inlineStr">
        <is>
          <t>Dexecutioner</t>
        </is>
      </c>
      <c r="I40" t="inlineStr">
        <is>
          <t>N/A</t>
        </is>
      </c>
      <c r="J40" t="inlineStr">
        <is>
          <t>Offense</t>
        </is>
      </c>
    </row>
    <row r="41" ht="15" customHeight="1">
      <c r="A41" t="inlineStr">
        <is>
          <t>Disco Biscuit</t>
        </is>
      </c>
      <c r="B41" t="inlineStr">
        <is>
          <t>Common</t>
        </is>
      </c>
      <c r="C41" t="inlineStr">
        <is>
          <t>Usable</t>
        </is>
      </c>
      <c r="D41" t="inlineStr">
        <is>
          <t>Gain +5 Charisma this combat/event</t>
        </is>
      </c>
      <c r="E41" t="inlineStr">
        <is>
          <t>item_used: temp_stat charisma +5</t>
        </is>
      </c>
      <c r="F41" t="inlineStr">
        <is>
          <t>Mewgenics</t>
        </is>
      </c>
      <c r="G41" t="inlineStr">
        <is>
          <t>drug, pill, consumable</t>
        </is>
      </c>
      <c r="H41" t="inlineStr">
        <is>
          <t>DiscoBiscuit</t>
        </is>
      </c>
      <c r="I41" t="inlineStr">
        <is>
          <t>N/A</t>
        </is>
      </c>
      <c r="J41" t="inlineStr">
        <is>
          <t>Stats</t>
        </is>
      </c>
    </row>
    <row r="42" ht="15" customHeight="1">
      <c r="A42" t="inlineStr">
        <is>
          <t>Duplicator</t>
        </is>
      </c>
      <c r="B42" t="inlineStr">
        <is>
          <t>Rare</t>
        </is>
      </c>
      <c r="C42" t="inlineStr">
        <is>
          <t>Triggered</t>
        </is>
      </c>
      <c r="D42" t="inlineStr">
        <is>
          <t>Your Weapon Attack Cards gain Replay 1</t>
        </is>
      </c>
      <c r="E42" t="inlineStr">
        <is>
          <t>card_grant if_tag=weapon if_type=attack: +Replay 1 (re-resolves the card 1 extra time)</t>
        </is>
      </c>
      <c r="F42" t="inlineStr">
        <is>
          <t>Vampire Survivors</t>
        </is>
      </c>
      <c r="G42" t="inlineStr">
        <is>
          <t>wearable, ring</t>
        </is>
      </c>
      <c r="H42" t="inlineStr">
        <is>
          <t>Duplicator</t>
        </is>
      </c>
      <c r="I42" t="inlineStr">
        <is>
          <t>N/A</t>
        </is>
      </c>
      <c r="J42" t="inlineStr">
        <is>
          <t>Offense</t>
        </is>
      </c>
    </row>
    <row r="43" ht="15" customHeight="1">
      <c r="A43" t="inlineStr">
        <is>
          <t>Du-Vu Doll</t>
        </is>
      </c>
      <c r="B43" t="inlineStr">
        <is>
          <t>Rare</t>
        </is>
      </c>
      <c r="C43" t="inlineStr">
        <is>
          <t>Triggered</t>
        </is>
      </c>
      <c r="D43" t="inlineStr">
        <is>
          <t>At the start of each combat, Gain X Power where X is the number of curses you have</t>
        </is>
      </c>
      <c r="E43" t="inlineStr">
        <is>
          <t>combat_started: +X power (self) stacks_from=curses (X = curse COUNT, not curse cards)</t>
        </is>
      </c>
      <c r="F43" t="inlineStr">
        <is>
          <t>Slay the Spire</t>
        </is>
      </c>
      <c r="G43" t="inlineStr">
        <is>
          <t>doll</t>
        </is>
      </c>
      <c r="H43" t="inlineStr">
        <is>
          <t>Du-VuDoll</t>
        </is>
      </c>
      <c r="I43" t="inlineStr">
        <is>
          <t>N/A</t>
        </is>
      </c>
      <c r="J43" t="inlineStr">
        <is>
          <t>Power</t>
        </is>
      </c>
    </row>
    <row r="44" ht="15" customHeight="1">
      <c r="A44" t="inlineStr">
        <is>
          <t>Empty Syringe</t>
        </is>
      </c>
      <c r="B44" t="inlineStr">
        <is>
          <t>Rare</t>
        </is>
      </c>
      <c r="C44" t="inlineStr">
        <is>
          <t>Triggered</t>
        </is>
      </c>
      <c r="D44" t="inlineStr">
        <is>
          <t>When Inflicting Bleed or Poison, Inflict +1 Bleed or Poison</t>
        </is>
      </c>
      <c r="E44" t="inlineStr">
        <is>
          <t>status_amplify: +1 bleed, +1 poison (when inflicted on an enemy)</t>
        </is>
      </c>
      <c r="F44" t="inlineStr">
        <is>
          <t>Mewgenics</t>
        </is>
      </c>
      <c r="G44" t="inlineStr">
        <is>
          <t>syringe</t>
        </is>
      </c>
      <c r="H44" t="inlineStr">
        <is>
          <t>EmptySyringe</t>
        </is>
      </c>
      <c r="I44" t="inlineStr">
        <is>
          <t>N/A</t>
        </is>
      </c>
      <c r="J44" t="inlineStr">
        <is>
          <t>Offense</t>
        </is>
      </c>
    </row>
    <row r="45" ht="15" customHeight="1">
      <c r="A45" t="inlineStr">
        <is>
          <t>Empty Tome</t>
        </is>
      </c>
      <c r="B45" t="inlineStr">
        <is>
          <t>Uncommon</t>
        </is>
      </c>
      <c r="C45" t="inlineStr">
        <is>
          <t>Triggered</t>
        </is>
      </c>
      <c r="D45" t="inlineStr">
        <is>
          <t>At the start of combat, a random Weapon Attack card in your deck costs 1 less for the rest of the combat.</t>
        </is>
      </c>
      <c r="E45" t="inlineStr">
        <is>
          <t>combat_started: reduce_card_cost 1 tag=weapon type=attack</t>
        </is>
      </c>
      <c r="F45" t="inlineStr">
        <is>
          <t>Vampire Survivors</t>
        </is>
      </c>
      <c r="G45" t="inlineStr">
        <is>
          <t>book</t>
        </is>
      </c>
      <c r="H45" t="inlineStr">
        <is>
          <t>EmptyTome</t>
        </is>
      </c>
      <c r="I45" t="inlineStr">
        <is>
          <t>N/A</t>
        </is>
      </c>
      <c r="J45" t="inlineStr">
        <is>
          <t>Stats</t>
        </is>
      </c>
    </row>
    <row r="46" ht="15" customHeight="1">
      <c r="A46" t="inlineStr">
        <is>
          <t>Focus Crystal</t>
        </is>
      </c>
      <c r="B46" t="inlineStr">
        <is>
          <t>Common</t>
        </is>
      </c>
      <c r="C46" t="inlineStr">
        <is>
          <t>Passive</t>
        </is>
      </c>
      <c r="D46" t="inlineStr">
        <is>
          <t>Melee Attacks deal +1 Dmg</t>
        </is>
      </c>
      <c r="E46" t="inlineStr">
        <is>
          <t>attack_damage_bonus: {melee: 1} (player melee attacks deal +1)</t>
        </is>
      </c>
      <c r="F46" t="inlineStr">
        <is>
          <t>Risk of Rain 2</t>
        </is>
      </c>
      <c r="G46" t="inlineStr">
        <is>
          <t>crystal</t>
        </is>
      </c>
      <c r="H46" t="inlineStr">
        <is>
          <t>FocusCrystal</t>
        </is>
      </c>
      <c r="I46" t="inlineStr">
        <is>
          <t>N/A</t>
        </is>
      </c>
      <c r="J46" t="inlineStr">
        <is>
          <t>Stats</t>
        </is>
      </c>
    </row>
    <row r="47" ht="15" customHeight="1">
      <c r="A47" t="inlineStr">
        <is>
          <t>Frozen Egg</t>
        </is>
      </c>
      <c r="B47" t="inlineStr">
        <is>
          <t>Uncommon</t>
        </is>
      </c>
      <c r="C47" t="inlineStr">
        <is>
          <t>Triggered</t>
        </is>
      </c>
      <c r="D47" t="inlineStr">
        <is>
          <t>Whenever you add a Power card to your deck, Upgrade it</t>
        </is>
      </c>
      <c r="E47" t="inlineStr">
        <is>
          <t>upgrade_card_types: power (auto-upgrade Power cards added to deck)</t>
        </is>
      </c>
      <c r="F47" t="inlineStr">
        <is>
          <t>Slay the Spire</t>
        </is>
      </c>
      <c r="G47" t="inlineStr">
        <is>
          <t>egg</t>
        </is>
      </c>
      <c r="H47" t="inlineStr">
        <is>
          <t>FrozenEgg</t>
        </is>
      </c>
      <c r="I47" t="inlineStr">
        <is>
          <t>N/A</t>
        </is>
      </c>
      <c r="J47" t="inlineStr">
        <is>
          <t>Economy</t>
        </is>
      </c>
    </row>
    <row r="48" ht="15" customHeight="1">
      <c r="A48" t="inlineStr">
        <is>
          <t>Garlic</t>
        </is>
      </c>
      <c r="B48" t="inlineStr">
        <is>
          <t>Uncommon</t>
        </is>
      </c>
      <c r="C48" t="inlineStr">
        <is>
          <t>Triggered</t>
        </is>
      </c>
      <c r="D48" t="inlineStr">
        <is>
          <t>At the start of combat, gain +1 Brace</t>
        </is>
      </c>
      <c r="E48" t="inlineStr">
        <is>
          <t>combat_started: +1 brace (self)</t>
        </is>
      </c>
      <c r="F48" t="inlineStr">
        <is>
          <t>Super Auto Pets</t>
        </is>
      </c>
      <c r="G48" t="inlineStr">
        <is>
          <t>food, vegetable</t>
        </is>
      </c>
      <c r="H48" t="inlineStr">
        <is>
          <t>Garlic</t>
        </is>
      </c>
      <c r="I48" t="inlineStr">
        <is>
          <t>N/A</t>
        </is>
      </c>
      <c r="J48" t="inlineStr">
        <is>
          <t>Defense</t>
        </is>
      </c>
    </row>
    <row r="49" ht="15" customHeight="1">
      <c r="A49" t="inlineStr">
        <is>
          <t>Ginger</t>
        </is>
      </c>
      <c r="B49" t="inlineStr">
        <is>
          <t>Rare</t>
        </is>
      </c>
      <c r="C49" t="inlineStr">
        <is>
          <t>Triggered</t>
        </is>
      </c>
      <c r="D49" t="inlineStr">
        <is>
          <t>You can no longer Gain Weak</t>
        </is>
      </c>
      <c r="E49" t="inlineStr">
        <is>
          <t>status_immunity: weak</t>
        </is>
      </c>
      <c r="F49" t="inlineStr">
        <is>
          <t>Slay the Spire</t>
        </is>
      </c>
      <c r="G49" t="inlineStr">
        <is>
          <t>food</t>
        </is>
      </c>
      <c r="H49" t="inlineStr">
        <is>
          <t>Ginger</t>
        </is>
      </c>
      <c r="I49" t="inlineStr">
        <is>
          <t>N/A</t>
        </is>
      </c>
      <c r="J49" t="inlineStr">
        <is>
          <t>Defense</t>
        </is>
      </c>
    </row>
    <row r="50" ht="15" customHeight="1">
      <c r="A50" t="inlineStr">
        <is>
          <t>Glass Eye</t>
        </is>
      </c>
      <c r="B50" t="inlineStr">
        <is>
          <t>Common</t>
        </is>
      </c>
      <c r="C50" t="inlineStr">
        <is>
          <t>Passive</t>
        </is>
      </c>
      <c r="D50" t="inlineStr">
        <is>
          <t>Gain +2 Strength and +1 Luck</t>
        </is>
      </c>
      <c r="E50" t="inlineStr">
        <is>
          <t>passive: +2 strength, +1 luck</t>
        </is>
      </c>
      <c r="F50" t="inlineStr">
        <is>
          <t>The Binding of Isaac</t>
        </is>
      </c>
      <c r="G50" t="inlineStr">
        <is>
          <t>eye, glass</t>
        </is>
      </c>
      <c r="H50" t="inlineStr">
        <is>
          <t>GlassEye</t>
        </is>
      </c>
      <c r="I50" t="inlineStr">
        <is>
          <t>N/A</t>
        </is>
      </c>
      <c r="J50" t="inlineStr">
        <is>
          <t>Stats</t>
        </is>
      </c>
    </row>
    <row r="51" ht="15" customHeight="1">
      <c r="A51" t="inlineStr">
        <is>
          <t>Golden Beetle</t>
        </is>
      </c>
      <c r="B51" t="inlineStr">
        <is>
          <t>Rare</t>
        </is>
      </c>
      <c r="C51" t="inlineStr">
        <is>
          <t>Triggered</t>
        </is>
      </c>
      <c r="D51" t="inlineStr">
        <is>
          <t>Whenever you get rid of a Curse or Curse Card, gain one Chest</t>
        </is>
      </c>
      <c r="E51" t="inlineStr">
        <is>
          <t>curse_removed: gain_chest 1; curse_card_removed: gain_chest 1 (a chest = an item reward; counts both curses AND curse cards)</t>
        </is>
      </c>
      <c r="F51" t="inlineStr">
        <is>
          <t>Forward: Escape the Fold</t>
        </is>
      </c>
      <c r="G51" t="inlineStr">
        <is>
          <t>bug</t>
        </is>
      </c>
      <c r="H51" t="inlineStr">
        <is>
          <t>GoldenBeetle</t>
        </is>
      </c>
      <c r="I51" t="inlineStr">
        <is>
          <t>N/A</t>
        </is>
      </c>
      <c r="J51" t="inlineStr">
        <is>
          <t>Curse, Economy</t>
        </is>
      </c>
    </row>
    <row r="52" ht="15" customHeight="1">
      <c r="A52" t="inlineStr">
        <is>
          <t>Gremlin Horn</t>
        </is>
      </c>
      <c r="B52" t="inlineStr">
        <is>
          <t>Uncommon</t>
        </is>
      </c>
      <c r="C52" t="inlineStr">
        <is>
          <t>Triggered</t>
        </is>
      </c>
      <c r="D52" t="inlineStr">
        <is>
          <t>When an enemy dies, Gain +1 Energy and Draw 1 card</t>
        </is>
      </c>
      <c r="E52" t="inlineStr">
        <is>
          <t>enemy_killed: gain_energy 1, draw 1</t>
        </is>
      </c>
      <c r="F52" t="inlineStr">
        <is>
          <t>Slay the Spire</t>
        </is>
      </c>
      <c r="H52" t="inlineStr">
        <is>
          <t>GremlinHorn</t>
        </is>
      </c>
      <c r="I52" t="inlineStr">
        <is>
          <t>N/A</t>
        </is>
      </c>
      <c r="J52" t="inlineStr">
        <is>
          <t>Energy, Draw</t>
        </is>
      </c>
    </row>
    <row r="53" ht="15" customHeight="1">
      <c r="A53" t="inlineStr">
        <is>
          <t>Handcuffs</t>
        </is>
      </c>
      <c r="B53" t="inlineStr">
        <is>
          <t>Rare</t>
        </is>
      </c>
      <c r="C53" t="inlineStr">
        <is>
          <t>Passive</t>
        </is>
      </c>
      <c r="D53" t="inlineStr">
        <is>
          <t>Gain +3 Strength, +3 Dexterity, and +3 Intelligence. Your Max Health is capped at its current value</t>
        </is>
      </c>
      <c r="E53" t="inlineStr">
        <is>
          <t>passive: +3 strength, +3 dexterity, +3 intelligence; caps_max_hp: locks max_hp at its current value while owned (held via GameState.max_hp_cap; cleared when the item leaves)</t>
        </is>
      </c>
      <c r="F53" t="inlineStr">
        <is>
          <t>Brotato</t>
        </is>
      </c>
      <c r="G53" t="inlineStr">
        <is>
          <t>military</t>
        </is>
      </c>
      <c r="H53" t="inlineStr">
        <is>
          <t>Handcuffs</t>
        </is>
      </c>
      <c r="I53" t="inlineStr">
        <is>
          <t>N/A</t>
        </is>
      </c>
      <c r="J53" t="inlineStr">
        <is>
          <t>Stats</t>
        </is>
      </c>
    </row>
    <row r="54" ht="15" customHeight="1">
      <c r="A54" t="inlineStr">
        <is>
          <t>Happy Flower</t>
        </is>
      </c>
      <c r="B54" t="inlineStr">
        <is>
          <t>Common</t>
        </is>
      </c>
      <c r="C54" t="inlineStr">
        <is>
          <t>Incremental</t>
        </is>
      </c>
      <c r="D54" t="inlineStr">
        <is>
          <t>Every 3 turns, Gain +1 energy</t>
        </is>
      </c>
      <c r="E54" t="inlineStr">
        <is>
          <t>turn_tick: counter key=turns every=3 -&gt; gain_energy 1</t>
        </is>
      </c>
      <c r="F54" t="inlineStr">
        <is>
          <t>Slay the Spire</t>
        </is>
      </c>
      <c r="G54" t="inlineStr">
        <is>
          <t>flower</t>
        </is>
      </c>
      <c r="H54" t="inlineStr">
        <is>
          <t>HappyFlower</t>
        </is>
      </c>
      <c r="I54" t="inlineStr">
        <is>
          <t>N/A</t>
        </is>
      </c>
      <c r="J54" t="inlineStr">
        <is>
          <t>Energy</t>
        </is>
      </c>
    </row>
    <row r="55" ht="15" customHeight="1">
      <c r="A55" t="inlineStr">
        <is>
          <t>Head of the Keeper</t>
        </is>
      </c>
      <c r="B55" t="inlineStr">
        <is>
          <t>Uncommon</t>
        </is>
      </c>
      <c r="C55" t="inlineStr">
        <is>
          <t>Triggered</t>
        </is>
      </c>
      <c r="D55" t="inlineStr">
        <is>
          <t>When you deal Dmg to an Enemy, 5% to Gain 1 Gold</t>
        </is>
      </c>
      <c r="E55" t="inlineStr">
        <is>
          <t>attack_landed: 5% chance gain_gold 1</t>
        </is>
      </c>
      <c r="F55" t="inlineStr">
        <is>
          <t>The Binding of Isaac</t>
        </is>
      </c>
      <c r="G55" t="inlineStr">
        <is>
          <t>coin</t>
        </is>
      </c>
      <c r="H55" t="inlineStr">
        <is>
          <t>HeadOfTheKeeper</t>
        </is>
      </c>
      <c r="I55" t="inlineStr">
        <is>
          <t>N/A</t>
        </is>
      </c>
      <c r="J55" t="inlineStr">
        <is>
          <t>Economy</t>
        </is>
      </c>
    </row>
    <row r="56" ht="15" customHeight="1">
      <c r="A56" t="inlineStr">
        <is>
          <t>Hollow Heart</t>
        </is>
      </c>
      <c r="B56" t="inlineStr">
        <is>
          <t>Common</t>
        </is>
      </c>
      <c r="C56" t="inlineStr">
        <is>
          <t>Pickup</t>
        </is>
      </c>
      <c r="D56" t="inlineStr">
        <is>
          <t>Gain +12 Max Health</t>
        </is>
      </c>
      <c r="E56" t="inlineStr">
        <is>
          <t>item_acquired: gain_max_hp 6</t>
        </is>
      </c>
      <c r="F56" t="inlineStr">
        <is>
          <t>Vampire Survivors</t>
        </is>
      </c>
      <c r="G56" t="inlineStr">
        <is>
          <t>heart</t>
        </is>
      </c>
      <c r="H56" t="inlineStr">
        <is>
          <t>HollowHeart</t>
        </is>
      </c>
      <c r="I56" t="inlineStr">
        <is>
          <t>N/A</t>
        </is>
      </c>
      <c r="J56" t="inlineStr">
        <is>
          <t>Health</t>
        </is>
      </c>
    </row>
    <row r="57" ht="15" customHeight="1">
      <c r="A57" t="inlineStr">
        <is>
          <t>Holy Mantle</t>
        </is>
      </c>
      <c r="B57" t="inlineStr">
        <is>
          <t>Legendary</t>
        </is>
      </c>
      <c r="C57" t="inlineStr">
        <is>
          <t>Triggered</t>
        </is>
      </c>
      <c r="D57" t="inlineStr">
        <is>
          <t>At the start of combat, Gain +1 Buffer</t>
        </is>
      </c>
      <c r="E57" t="inlineStr">
        <is>
          <t>combat_start: +1 buffer (self)</t>
        </is>
      </c>
      <c r="F57" t="inlineStr">
        <is>
          <t>The Binding of Isaac</t>
        </is>
      </c>
      <c r="G57" t="inlineStr">
        <is>
          <t>holy</t>
        </is>
      </c>
      <c r="H57" t="inlineStr">
        <is>
          <t>HolyMantle</t>
        </is>
      </c>
      <c r="I57" t="inlineStr">
        <is>
          <t>N/A</t>
        </is>
      </c>
      <c r="J57" t="inlineStr">
        <is>
          <t>Defense</t>
        </is>
      </c>
    </row>
    <row r="58" ht="15" customHeight="1">
      <c r="A58" t="inlineStr">
        <is>
          <t>Horn Cleat</t>
        </is>
      </c>
      <c r="B58" t="inlineStr">
        <is>
          <t>Uncommon</t>
        </is>
      </c>
      <c r="C58" t="inlineStr">
        <is>
          <t>Triggered</t>
        </is>
      </c>
      <c r="D58" t="inlineStr">
        <is>
          <t>Start the 2nd turn of combat with +14 Block</t>
        </is>
      </c>
      <c r="E58" t="inlineStr">
        <is>
          <t>turn_started if_turn=2: +14 block (self)</t>
        </is>
      </c>
      <c r="F58" t="inlineStr">
        <is>
          <t>Slay the Spire</t>
        </is>
      </c>
      <c r="G58" t="inlineStr">
        <is>
          <t>sea, ship</t>
        </is>
      </c>
      <c r="H58" t="inlineStr">
        <is>
          <t>HornCleat</t>
        </is>
      </c>
      <c r="I58" t="inlineStr">
        <is>
          <t>N/A</t>
        </is>
      </c>
      <c r="J58" t="inlineStr">
        <is>
          <t>Defense</t>
        </is>
      </c>
    </row>
    <row r="59" ht="15" customHeight="1">
      <c r="A59" t="inlineStr">
        <is>
          <t>Ice Cream</t>
        </is>
      </c>
      <c r="B59" t="inlineStr">
        <is>
          <t>Rare</t>
        </is>
      </c>
      <c r="C59" t="inlineStr">
        <is>
          <t>Triggered</t>
        </is>
      </c>
      <c r="D59" t="inlineStr">
        <is>
          <t>When you end your turn with energy, gain that much energy on your next energy</t>
        </is>
      </c>
      <c r="E59" t="inlineStr">
        <is>
          <t>carries_leftover_energy: true (deckbuilder carries leftover energy to next turn; strategy banks an empower charge on a turn the ability is skipped; action n/a)</t>
        </is>
      </c>
      <c r="F59" t="inlineStr">
        <is>
          <t>Slay the Spire</t>
        </is>
      </c>
      <c r="G59" t="inlineStr">
        <is>
          <t>food</t>
        </is>
      </c>
      <c r="H59" t="inlineStr">
        <is>
          <t>IceCream</t>
        </is>
      </c>
      <c r="I59" t="inlineStr">
        <is>
          <t>N/A</t>
        </is>
      </c>
      <c r="J59" t="inlineStr">
        <is>
          <t>Energy</t>
        </is>
      </c>
    </row>
    <row r="60" ht="15" customHeight="1">
      <c r="A60" t="inlineStr">
        <is>
          <t>Jar of Leeches</t>
        </is>
      </c>
      <c r="B60" t="inlineStr">
        <is>
          <t>Rare</t>
        </is>
      </c>
      <c r="C60" t="inlineStr">
        <is>
          <t>Triggered</t>
        </is>
      </c>
      <c r="D60" t="inlineStr">
        <is>
          <t>Your Strikes inflict Leeches</t>
        </is>
      </c>
      <c r="E60" t="inlineStr">
        <is>
          <t>card_grant if_tag=strike: +1 leeches (enemy). Leeches drains the enemy each turn and heals you</t>
        </is>
      </c>
      <c r="F60" t="inlineStr">
        <is>
          <t>Mewgenics</t>
        </is>
      </c>
      <c r="G60" t="inlineStr">
        <is>
          <t>leech, jar</t>
        </is>
      </c>
      <c r="H60" t="inlineStr">
        <is>
          <t>JarOfLeeches</t>
        </is>
      </c>
      <c r="I60" t="inlineStr">
        <is>
          <t>N/A</t>
        </is>
      </c>
      <c r="J60" t="inlineStr">
        <is>
          <t>Offense, Health</t>
        </is>
      </c>
    </row>
    <row r="61" ht="15" customHeight="1">
      <c r="A61" t="inlineStr">
        <is>
          <t>Jelly</t>
        </is>
      </c>
      <c r="B61" t="inlineStr">
        <is>
          <t>Common</t>
        </is>
      </c>
      <c r="C61" t="inlineStr">
        <is>
          <t>Scaling</t>
        </is>
      </c>
      <c r="D61" t="inlineStr">
        <is>
          <t>Gain +2 Max Health per Weapon Card in your Deck</t>
        </is>
      </c>
      <c r="E61" t="inlineStr">
        <is>
          <t>scaling: +2 max_hp per weapon card in deck (of: deck_tag:weapon)</t>
        </is>
      </c>
      <c r="F61" t="inlineStr">
        <is>
          <t>Brotato</t>
        </is>
      </c>
      <c r="G61" t="inlineStr">
        <is>
          <t>food</t>
        </is>
      </c>
      <c r="H61" t="inlineStr">
        <is>
          <t>Jelly</t>
        </is>
      </c>
      <c r="I61" t="inlineStr">
        <is>
          <t>N/A</t>
        </is>
      </c>
      <c r="J61" t="inlineStr">
        <is>
          <t>Health</t>
        </is>
      </c>
    </row>
    <row r="62" ht="15" customHeight="1">
      <c r="A62" t="inlineStr">
        <is>
          <t>Keeper's Sack</t>
        </is>
      </c>
      <c r="B62" t="inlineStr">
        <is>
          <t>Rare</t>
        </is>
      </c>
      <c r="C62" t="inlineStr">
        <is>
          <t>Triggered</t>
        </is>
      </c>
      <c r="D62" t="inlineStr">
        <is>
          <t>Gain 5 Gold. Whenever you spend 10 Gold, Gain +1 to a Random Stat</t>
        </is>
      </c>
      <c r="E62" t="inlineStr">
        <is>
          <t>item_acquired: gain_gold 5; gold_spend_stat_per=10 (+1 random core stat per 10 gold spent)</t>
        </is>
      </c>
      <c r="F62" t="inlineStr">
        <is>
          <t>The Binding of Isaac</t>
        </is>
      </c>
      <c r="H62" t="inlineStr">
        <is>
          <t>Keeper'sSack</t>
        </is>
      </c>
      <c r="I62" t="inlineStr">
        <is>
          <t>N/A</t>
        </is>
      </c>
      <c r="J62" t="inlineStr">
        <is>
          <t>Economy, Stats</t>
        </is>
      </c>
    </row>
    <row r="63" ht="15" customHeight="1">
      <c r="A63" t="inlineStr">
        <is>
          <t>Leech Brood</t>
        </is>
      </c>
      <c r="B63" t="inlineStr">
        <is>
          <t>Rare</t>
        </is>
      </c>
      <c r="C63" t="inlineStr">
        <is>
          <t>Triggered</t>
        </is>
      </c>
      <c r="D63" t="inlineStr">
        <is>
          <t>At the start of combat, inflict +1 Leeches to all enemies. If you start combat above 50% health, lose 10 health</t>
        </is>
      </c>
      <c r="E63" t="inlineStr">
        <is>
          <t>combat_started: +1 leeches (all_enemies); if_hp above 0.5 -&gt; lose_hp 10 (non_lethal, self)</t>
        </is>
      </c>
      <c r="F63" t="inlineStr">
        <is>
          <t>Mewgenics</t>
        </is>
      </c>
      <c r="G63" t="inlineStr">
        <is>
          <t>leech</t>
        </is>
      </c>
      <c r="H63" t="inlineStr">
        <is>
          <t>LeechBrood</t>
        </is>
      </c>
      <c r="I63" t="inlineStr">
        <is>
          <t>N/A</t>
        </is>
      </c>
      <c r="J63" t="inlineStr">
        <is>
          <t>Offense, Health</t>
        </is>
      </c>
    </row>
    <row r="64" ht="15" customHeight="1">
      <c r="A64" t="inlineStr">
        <is>
          <t>Leeching Seed</t>
        </is>
      </c>
      <c r="B64" t="inlineStr">
        <is>
          <t>Uncommon</t>
        </is>
      </c>
      <c r="C64" t="inlineStr">
        <is>
          <t>Passive</t>
        </is>
      </c>
      <c r="D64" t="inlineStr">
        <is>
          <t>Your Strikes Gain Heal 1</t>
        </is>
      </c>
      <c r="E64" t="inlineStr">
        <is>
          <t>card_grant if_tag=strike: heal 1 (self)</t>
        </is>
      </c>
      <c r="F64" t="inlineStr">
        <is>
          <t>Risk of Rain 2</t>
        </is>
      </c>
      <c r="G64" t="inlineStr">
        <is>
          <t>seed</t>
        </is>
      </c>
      <c r="H64" t="inlineStr">
        <is>
          <t>LeechingSeed</t>
        </is>
      </c>
      <c r="I64" t="inlineStr">
        <is>
          <t>N/A</t>
        </is>
      </c>
      <c r="J64" t="inlineStr">
        <is>
          <t>Health</t>
        </is>
      </c>
    </row>
    <row r="65" ht="15" customHeight="1">
      <c r="A65" t="inlineStr">
        <is>
          <t>Lil' Bomber</t>
        </is>
      </c>
      <c r="B65" t="inlineStr">
        <is>
          <t>Common</t>
        </is>
      </c>
      <c r="C65" t="inlineStr">
        <is>
          <t>Weapon</t>
        </is>
      </c>
      <c r="D65" t="inlineStr">
        <is>
          <t>Add the Card "Lil' Bomber" into your Deck. If you kill an enemy with a bomb at least one time, "Lil' Bomber" Gains (+1/+2) Dmg</t>
        </is>
      </c>
      <c r="E65" t="inlineStr">
        <is>
          <t>weapon: lil_bomber; verify: Did you kill an enemy with a bomb? =&gt; 1/2 dmg</t>
        </is>
      </c>
      <c r="F65" t="inlineStr">
        <is>
          <t>Enter the Gungeon</t>
        </is>
      </c>
      <c r="G65" t="inlineStr">
        <is>
          <t>gun</t>
        </is>
      </c>
      <c r="H65" t="inlineStr">
        <is>
          <t>LilBomber</t>
        </is>
      </c>
      <c r="I65" t="inlineStr">
        <is>
          <t>N/A</t>
        </is>
      </c>
      <c r="J65" t="inlineStr">
        <is>
          <t>Offense</t>
        </is>
      </c>
    </row>
    <row r="66" ht="15" customHeight="1">
      <c r="A66" t="inlineStr">
        <is>
          <t>Little Knife</t>
        </is>
      </c>
      <c r="B66" t="inlineStr">
        <is>
          <t>Uncommon</t>
        </is>
      </c>
      <c r="C66" t="inlineStr">
        <is>
          <t>Scaling</t>
        </is>
      </c>
      <c r="D66" t="inlineStr">
        <is>
          <t>Attacks deal 25% more Dmg to targets with lower Health</t>
        </is>
      </c>
      <c r="E66" t="inlineStr">
        <is>
          <t>lower_hp_damage_mult: 1.25 (player attacks deal x1.25 Dmg, ceil, to targets below player HP)</t>
        </is>
      </c>
      <c r="F66" t="inlineStr">
        <is>
          <t>Brutal Orchestra</t>
        </is>
      </c>
      <c r="G66" t="inlineStr">
        <is>
          <t>knife</t>
        </is>
      </c>
      <c r="H66" t="inlineStr">
        <is>
          <t>LittleKnife</t>
        </is>
      </c>
      <c r="I66" t="inlineStr">
        <is>
          <t>N/A</t>
        </is>
      </c>
      <c r="J66" t="inlineStr">
        <is>
          <t>Offense</t>
        </is>
      </c>
    </row>
    <row r="67" ht="15" customHeight="1">
      <c r="A67" t="inlineStr">
        <is>
          <t>Lower Case r</t>
        </is>
      </c>
      <c r="B67" t="inlineStr">
        <is>
          <t>Common</t>
        </is>
      </c>
      <c r="C67" t="inlineStr">
        <is>
          <t>Weapon</t>
        </is>
      </c>
      <c r="D67" t="inlineStr">
        <is>
          <t>Add the Card "Lower Case r" into your Deck. If you beat a game with the letter "R" in the title, "Lower Case r" Gains (+1/+2) Dmg</t>
        </is>
      </c>
      <c r="E67" t="inlineStr">
        <is>
          <t>weapon: lower_case_r; verify: Did you beat a game with the letter R in the title? =&gt; 1/2 dmg</t>
        </is>
      </c>
      <c r="F67" t="inlineStr">
        <is>
          <t>Enter the Gungeon</t>
        </is>
      </c>
      <c r="G67" t="inlineStr">
        <is>
          <t>gun</t>
        </is>
      </c>
      <c r="H67" t="inlineStr">
        <is>
          <t>LowerCaseR</t>
        </is>
      </c>
      <c r="I67" t="inlineStr">
        <is>
          <t>N/A</t>
        </is>
      </c>
      <c r="J67" t="inlineStr">
        <is>
          <t>Offense</t>
        </is>
      </c>
    </row>
    <row r="68" ht="15" customHeight="1">
      <c r="A68" t="inlineStr">
        <is>
          <t>Lucky Toe</t>
        </is>
      </c>
      <c r="B68" t="inlineStr">
        <is>
          <t>Common</t>
        </is>
      </c>
      <c r="C68" t="inlineStr">
        <is>
          <t>Passive</t>
        </is>
      </c>
      <c r="D68" t="inlineStr">
        <is>
          <t>Gain +2 Luck</t>
        </is>
      </c>
      <c r="E68" t="inlineStr">
        <is>
          <t>passive: +2 luck</t>
        </is>
      </c>
      <c r="F68" t="inlineStr">
        <is>
          <t>The Binding of Isaac</t>
        </is>
      </c>
      <c r="H68" t="inlineStr">
        <is>
          <t>LuckyToe</t>
        </is>
      </c>
      <c r="I68" t="inlineStr">
        <is>
          <t>N/A</t>
        </is>
      </c>
      <c r="J68" t="inlineStr">
        <is>
          <t>Stats</t>
        </is>
      </c>
    </row>
    <row r="69" ht="15" customHeight="1">
      <c r="A69" t="inlineStr">
        <is>
          <t>Lunch</t>
        </is>
      </c>
      <c r="B69" t="inlineStr">
        <is>
          <t>Common</t>
        </is>
      </c>
      <c r="C69" t="inlineStr">
        <is>
          <t>Pickup</t>
        </is>
      </c>
      <c r="D69" t="inlineStr">
        <is>
          <t>Gain +8 Max Health and +8 Health</t>
        </is>
      </c>
      <c r="E69" t="inlineStr">
        <is>
          <t>item_acquired: gain_max_hp 6, gain_hp 6</t>
        </is>
      </c>
      <c r="F69" t="inlineStr">
        <is>
          <t>The Binding of Isaac</t>
        </is>
      </c>
      <c r="G69" t="inlineStr">
        <is>
          <t>food</t>
        </is>
      </c>
      <c r="H69" t="inlineStr">
        <is>
          <t>Lunch</t>
        </is>
      </c>
      <c r="I69" t="inlineStr">
        <is>
          <t>N/A</t>
        </is>
      </c>
      <c r="J69" t="inlineStr">
        <is>
          <t>Health</t>
        </is>
      </c>
    </row>
    <row r="70" ht="15" customHeight="1">
      <c r="A70" t="inlineStr">
        <is>
          <t>Mango</t>
        </is>
      </c>
      <c r="B70" t="inlineStr">
        <is>
          <t>Rare</t>
        </is>
      </c>
      <c r="C70" t="inlineStr">
        <is>
          <t>Pickup</t>
        </is>
      </c>
      <c r="D70" t="inlineStr">
        <is>
          <t>Gain + 14 Max Health and +14 Health</t>
        </is>
      </c>
      <c r="E70" t="inlineStr">
        <is>
          <t>item_acquired: gain_max_hp 14, gain_hp 14</t>
        </is>
      </c>
      <c r="F70" t="inlineStr">
        <is>
          <t>Slay the Spire</t>
        </is>
      </c>
      <c r="G70" t="inlineStr">
        <is>
          <t>food, fruit</t>
        </is>
      </c>
      <c r="H70" t="inlineStr">
        <is>
          <t>Mango</t>
        </is>
      </c>
      <c r="I70" t="inlineStr">
        <is>
          <t>N/A</t>
        </is>
      </c>
      <c r="J70" t="inlineStr">
        <is>
          <t>Health</t>
        </is>
      </c>
    </row>
    <row r="71" ht="15" customHeight="1">
      <c r="A71" t="inlineStr">
        <is>
          <t>Meat on the Bone</t>
        </is>
      </c>
      <c r="B71" t="inlineStr">
        <is>
          <t>Uncommon</t>
        </is>
      </c>
      <c r="C71" t="inlineStr">
        <is>
          <t>Triggered</t>
        </is>
      </c>
      <c r="D71" t="inlineStr">
        <is>
          <t>Whenever your Health is at 50% or below Max Health at the end of combat, gain +12 Health</t>
        </is>
      </c>
      <c r="E71" t="inlineStr">
        <is>
          <t>combat_ended: if_hp below 0.5 -&gt; gain_hp 12 (heal when at/below 50% HP)</t>
        </is>
      </c>
      <c r="F71" t="inlineStr">
        <is>
          <t>Slay the Spire</t>
        </is>
      </c>
      <c r="G71" t="inlineStr">
        <is>
          <t>food, meat</t>
        </is>
      </c>
      <c r="H71" t="inlineStr">
        <is>
          <t>MeatOnTheBone</t>
        </is>
      </c>
      <c r="I71" t="inlineStr">
        <is>
          <t>N/A</t>
        </is>
      </c>
      <c r="J71" t="inlineStr">
        <is>
          <t>Health</t>
        </is>
      </c>
    </row>
    <row r="72" ht="15" customHeight="1">
      <c r="A72" t="inlineStr">
        <is>
          <t>Mercury Hourglass</t>
        </is>
      </c>
      <c r="B72" t="inlineStr">
        <is>
          <t>Uncommon</t>
        </is>
      </c>
      <c r="C72" t="inlineStr">
        <is>
          <t>Triggered</t>
        </is>
      </c>
      <c r="D72" t="inlineStr">
        <is>
          <t>At the start of your turn, Deal 3 Dmg to all enemies</t>
        </is>
      </c>
      <c r="E72" t="inlineStr">
        <is>
          <t>turn_started: dmg 3 (all_enemies)</t>
        </is>
      </c>
      <c r="F72" t="inlineStr">
        <is>
          <t>Slay the Spire</t>
        </is>
      </c>
      <c r="H72" t="inlineStr">
        <is>
          <t>MercuryHourglass</t>
        </is>
      </c>
      <c r="I72" t="inlineStr">
        <is>
          <t>N/A</t>
        </is>
      </c>
      <c r="J72" t="inlineStr">
        <is>
          <t>Offense</t>
        </is>
      </c>
    </row>
    <row r="73" ht="15" customHeight="1">
      <c r="A73" t="inlineStr">
        <is>
          <t>Metal Plate</t>
        </is>
      </c>
      <c r="B73" t="inlineStr">
        <is>
          <t>Uncommon</t>
        </is>
      </c>
      <c r="C73" t="inlineStr">
        <is>
          <t>Triggered</t>
        </is>
      </c>
      <c r="D73" t="inlineStr">
        <is>
          <t>When you kill an enemy, Gain +1 Brace</t>
        </is>
      </c>
      <c r="E73" t="inlineStr">
        <is>
          <t>enemy_killed: +1 brace (self)</t>
        </is>
      </c>
      <c r="F73" t="inlineStr">
        <is>
          <t>Mewgenics</t>
        </is>
      </c>
      <c r="G73" t="inlineStr">
        <is>
          <t>scrap, metal</t>
        </is>
      </c>
      <c r="H73" t="inlineStr">
        <is>
          <t>MetalPlate</t>
        </is>
      </c>
      <c r="I73" t="inlineStr">
        <is>
          <t>N/A</t>
        </is>
      </c>
      <c r="J73" t="inlineStr">
        <is>
          <t>Defense</t>
        </is>
      </c>
    </row>
    <row r="74" ht="15" customHeight="1">
      <c r="A74" t="inlineStr">
        <is>
          <t>Molten Egg</t>
        </is>
      </c>
      <c r="B74" t="inlineStr">
        <is>
          <t>Uncommon</t>
        </is>
      </c>
      <c r="C74" t="inlineStr">
        <is>
          <t>Triggered</t>
        </is>
      </c>
      <c r="D74" t="inlineStr">
        <is>
          <t>Whenever you add an Attack card to your deck, Upgrade it</t>
        </is>
      </c>
      <c r="E74" t="inlineStr">
        <is>
          <t>upgrade_card_types: attack (auto-upgrade Attack cards added to deck)</t>
        </is>
      </c>
      <c r="F74" t="inlineStr">
        <is>
          <t>Slay the Spire</t>
        </is>
      </c>
      <c r="G74" t="inlineStr">
        <is>
          <t>egg</t>
        </is>
      </c>
      <c r="H74" t="inlineStr">
        <is>
          <t>MoltenEgg</t>
        </is>
      </c>
      <c r="I74" t="inlineStr">
        <is>
          <t>N/A</t>
        </is>
      </c>
      <c r="J74" t="inlineStr">
        <is>
          <t>Economy</t>
        </is>
      </c>
    </row>
    <row r="75" ht="15" customHeight="1">
      <c r="A75" t="inlineStr">
        <is>
          <t>More Options</t>
        </is>
      </c>
      <c r="B75" t="inlineStr">
        <is>
          <t>Uncommon</t>
        </is>
      </c>
      <c r="C75" t="inlineStr">
        <is>
          <t>Passive</t>
        </is>
      </c>
      <c r="D75" t="inlineStr">
        <is>
          <t>Gain +1 Field of View, get an extra option in the space choice</t>
        </is>
      </c>
      <c r="E75" t="inlineStr">
        <is>
          <t>passive: +1 fov_bonus (an extra overworld portal option)</t>
        </is>
      </c>
      <c r="F75" t="inlineStr">
        <is>
          <t>The Binding of Isaac</t>
        </is>
      </c>
      <c r="H75" t="inlineStr">
        <is>
          <t>MoreOptions</t>
        </is>
      </c>
      <c r="I75" t="inlineStr">
        <is>
          <t>N/A</t>
        </is>
      </c>
      <c r="J75" t="inlineStr">
        <is>
          <t>Stats</t>
        </is>
      </c>
    </row>
    <row r="76" ht="15" customHeight="1">
      <c r="A76" t="inlineStr">
        <is>
          <t>Mummified Hand</t>
        </is>
      </c>
      <c r="B76" t="inlineStr">
        <is>
          <t>Rare</t>
        </is>
      </c>
      <c r="C76" t="inlineStr">
        <is>
          <t>Triggered</t>
        </is>
      </c>
      <c r="D76" t="inlineStr">
        <is>
          <t>When you play a power, a random card in your hand becomes free to play this turn</t>
        </is>
      </c>
      <c r="E76" t="inlineStr">
        <is>
          <t>card_played if_type=power: free_random_hand_card (deckbuilder: random hand card costs 0 this turn; strategy: a random other ability needs no play this turn, still spends a use; action: slashes attack cooldowns)</t>
        </is>
      </c>
      <c r="F76" t="inlineStr">
        <is>
          <t>Slay the Spire</t>
        </is>
      </c>
      <c r="G76" t="inlineStr">
        <is>
          <t>mummy</t>
        </is>
      </c>
      <c r="H76" t="inlineStr">
        <is>
          <t>MummifiedHand</t>
        </is>
      </c>
      <c r="I76" t="inlineStr">
        <is>
          <t>N/A</t>
        </is>
      </c>
      <c r="J76" t="inlineStr">
        <is>
          <t>Power, Energy</t>
        </is>
      </c>
    </row>
    <row r="77" ht="15" customHeight="1">
      <c r="A77" t="inlineStr">
        <is>
          <t>Nunchaku</t>
        </is>
      </c>
      <c r="B77" t="inlineStr">
        <is>
          <t>Common</t>
        </is>
      </c>
      <c r="C77" t="inlineStr">
        <is>
          <t>Incremental</t>
        </is>
      </c>
      <c r="D77" t="inlineStr">
        <is>
          <t>Every time you play 10 attacks, gain +1 Energy</t>
        </is>
      </c>
      <c r="E77" t="inlineStr">
        <is>
          <t>card_played if_type=attack: counter key=attacks_total every=10 -&gt; gain_energy 1</t>
        </is>
      </c>
      <c r="F77" t="inlineStr">
        <is>
          <t>Slay the Spire</t>
        </is>
      </c>
      <c r="G77" t="inlineStr">
        <is>
          <t>ninja</t>
        </is>
      </c>
      <c r="H77" t="inlineStr">
        <is>
          <t>Nunchaku</t>
        </is>
      </c>
      <c r="I77" t="inlineStr">
        <is>
          <t>N/A</t>
        </is>
      </c>
      <c r="J77" t="inlineStr">
        <is>
          <t>Offense, Energy</t>
        </is>
      </c>
    </row>
    <row r="78" ht="15" customHeight="1">
      <c r="A78" t="inlineStr">
        <is>
          <t>Oddly Smooth Stone</t>
        </is>
      </c>
      <c r="B78" t="inlineStr">
        <is>
          <t>Common</t>
        </is>
      </c>
      <c r="C78" t="inlineStr">
        <is>
          <t>Passive</t>
        </is>
      </c>
      <c r="D78" t="inlineStr">
        <is>
          <t>Gain +3 Dexterity</t>
        </is>
      </c>
      <c r="E78" t="inlineStr">
        <is>
          <t>passive: +3 dexterity</t>
        </is>
      </c>
      <c r="F78" t="inlineStr">
        <is>
          <t>Slay the Spire</t>
        </is>
      </c>
      <c r="G78" t="inlineStr">
        <is>
          <t>stone</t>
        </is>
      </c>
      <c r="H78" t="inlineStr">
        <is>
          <t>OddlySmoothStone</t>
        </is>
      </c>
      <c r="I78" t="inlineStr">
        <is>
          <t>N/A</t>
        </is>
      </c>
      <c r="J78" t="inlineStr">
        <is>
          <t>Stats</t>
        </is>
      </c>
    </row>
    <row r="79" ht="15" customHeight="1">
      <c r="A79" t="inlineStr">
        <is>
          <t>Old Coin</t>
        </is>
      </c>
      <c r="B79" t="inlineStr">
        <is>
          <t>Rare</t>
        </is>
      </c>
      <c r="C79" t="inlineStr">
        <is>
          <t>Pickup</t>
        </is>
      </c>
      <c r="D79" t="inlineStr">
        <is>
          <t>Gain 100 Gold</t>
        </is>
      </c>
      <c r="E79" t="inlineStr">
        <is>
          <t>item_acquired: gain_gold 100</t>
        </is>
      </c>
      <c r="F79" t="inlineStr">
        <is>
          <t>Slay the Spire</t>
        </is>
      </c>
      <c r="G79" t="inlineStr">
        <is>
          <t>coin</t>
        </is>
      </c>
      <c r="H79" t="inlineStr">
        <is>
          <t>OldCoin</t>
        </is>
      </c>
      <c r="I79" t="inlineStr">
        <is>
          <t>N/A</t>
        </is>
      </c>
      <c r="J79" t="inlineStr">
        <is>
          <t>Economy</t>
        </is>
      </c>
    </row>
    <row r="80" ht="15" customHeight="1">
      <c r="A80" t="inlineStr">
        <is>
          <t>Ornamental Fan</t>
        </is>
      </c>
      <c r="B80" t="inlineStr">
        <is>
          <t>Uncommon</t>
        </is>
      </c>
      <c r="C80" t="inlineStr">
        <is>
          <t>Incremental</t>
        </is>
      </c>
      <c r="D80" t="inlineStr">
        <is>
          <t>Every time you play 4 attacks in a single turn, Gain +4 Block</t>
        </is>
      </c>
      <c r="E80" t="inlineStr">
        <is>
          <t>card_played if_type=attack: counter key=attacks_this_turn every=4 -&gt; +4 block (self)</t>
        </is>
      </c>
      <c r="F80" t="inlineStr">
        <is>
          <t>Slay the Spire</t>
        </is>
      </c>
      <c r="G80" t="inlineStr">
        <is>
          <t>japan</t>
        </is>
      </c>
      <c r="H80" t="inlineStr">
        <is>
          <t>OrnamentalFan</t>
        </is>
      </c>
      <c r="I80" t="inlineStr">
        <is>
          <t>N/A</t>
        </is>
      </c>
      <c r="J80" t="inlineStr">
        <is>
          <t>Defense</t>
        </is>
      </c>
    </row>
    <row r="81" ht="15" customHeight="1">
      <c r="A81" t="inlineStr">
        <is>
          <t>Panda</t>
        </is>
      </c>
      <c r="B81" t="inlineStr">
        <is>
          <t>Rare</t>
        </is>
      </c>
      <c r="C81" t="inlineStr">
        <is>
          <t>Pickup, Passive</t>
        </is>
      </c>
      <c r="D81" t="inlineStr">
        <is>
          <t>Gain +20 Max Health and +2 Luck, but -2 Strength</t>
        </is>
      </c>
      <c r="E81" t="inlineStr">
        <is>
          <t>item_acquired: gain_max_hp 20; passive: +2 luck, -2 strength</t>
        </is>
      </c>
      <c r="F81" t="inlineStr">
        <is>
          <t>Brotato</t>
        </is>
      </c>
      <c r="H81" t="inlineStr">
        <is>
          <t>Panda</t>
        </is>
      </c>
      <c r="I81" t="inlineStr">
        <is>
          <t>N/A</t>
        </is>
      </c>
      <c r="J81" t="inlineStr">
        <is>
          <t>Health, Stats</t>
        </is>
      </c>
    </row>
    <row r="82" ht="15" customHeight="1">
      <c r="A82" t="inlineStr">
        <is>
          <t>Paper Bag</t>
        </is>
      </c>
      <c r="B82" t="inlineStr">
        <is>
          <t>Rare</t>
        </is>
      </c>
      <c r="C82" t="inlineStr">
        <is>
          <t>Scaling</t>
        </is>
      </c>
      <c r="D82" t="inlineStr">
        <is>
          <t>Your Charisma is equal to your highest stat</t>
        </is>
      </c>
      <c r="E82" t="inlineStr">
        <is>
          <t>stat_mirror: {charisma: [strength, dexterity, intelligence, charisma]}</t>
        </is>
      </c>
      <c r="F82" t="inlineStr">
        <is>
          <t>Mewgenics</t>
        </is>
      </c>
      <c r="G82" t="inlineStr">
        <is>
          <t>wearable, paper</t>
        </is>
      </c>
      <c r="H82" t="inlineStr">
        <is>
          <t>PaperBag</t>
        </is>
      </c>
      <c r="I82" t="inlineStr">
        <is>
          <t>N/A</t>
        </is>
      </c>
      <c r="J82" t="inlineStr">
        <is>
          <t>Stats</t>
        </is>
      </c>
    </row>
    <row r="83" ht="15" customHeight="1">
      <c r="A83" t="inlineStr">
        <is>
          <t>Pen Nib</t>
        </is>
      </c>
      <c r="B83" t="inlineStr">
        <is>
          <t>Common</t>
        </is>
      </c>
      <c r="C83" t="inlineStr">
        <is>
          <t>Incremental</t>
        </is>
      </c>
      <c r="D83" t="inlineStr">
        <is>
          <t>Every 10th attack you play deals double damage</t>
        </is>
      </c>
      <c r="E83" t="inlineStr">
        <is>
          <t>card_played if_type=attack: counter key=attacks_total every=10 -&gt; attack_double</t>
        </is>
      </c>
      <c r="F83" t="inlineStr">
        <is>
          <t>Slay the Spire</t>
        </is>
      </c>
      <c r="H83" t="inlineStr">
        <is>
          <t>PenNib</t>
        </is>
      </c>
      <c r="I83" t="inlineStr">
        <is>
          <t>N/A</t>
        </is>
      </c>
      <c r="J83" t="inlineStr">
        <is>
          <t>Offense</t>
        </is>
      </c>
    </row>
    <row r="84" ht="15" customHeight="1">
      <c r="A84" t="inlineStr">
        <is>
          <t>Percs</t>
        </is>
      </c>
      <c r="B84" t="inlineStr">
        <is>
          <t>Common</t>
        </is>
      </c>
      <c r="C84" t="inlineStr">
        <is>
          <t>Usable</t>
        </is>
      </c>
      <c r="D84" t="inlineStr">
        <is>
          <t>Gain +10 Block</t>
        </is>
      </c>
      <c r="E84" t="inlineStr">
        <is>
          <t>item_used: block 10 (self)</t>
        </is>
      </c>
      <c r="F84" t="inlineStr">
        <is>
          <t>Mewgenics</t>
        </is>
      </c>
      <c r="G84" t="inlineStr">
        <is>
          <t>drug, pill, consumable</t>
        </is>
      </c>
      <c r="H84" t="inlineStr">
        <is>
          <t>Percs</t>
        </is>
      </c>
      <c r="I84" t="inlineStr">
        <is>
          <t>N/A</t>
        </is>
      </c>
      <c r="J84" t="inlineStr">
        <is>
          <t>Defense</t>
        </is>
      </c>
    </row>
    <row r="85" ht="15" customHeight="1">
      <c r="A85" t="inlineStr">
        <is>
          <t>Performance Based Health Insurance</t>
        </is>
      </c>
      <c r="B85" t="inlineStr">
        <is>
          <t>Common</t>
        </is>
      </c>
      <c r="C85" t="inlineStr">
        <is>
          <t>Triggered</t>
        </is>
      </c>
      <c r="D85" t="inlineStr">
        <is>
          <t>Whenever you perfect a game (beat a game/combat without losing a run), Gain +5 Health</t>
        </is>
      </c>
      <c r="E85" t="inlineStr">
        <is>
          <t>perfect: gain_hp 5</t>
        </is>
      </c>
      <c r="F85" t="inlineStr">
        <is>
          <t>Haste</t>
        </is>
      </c>
      <c r="H85" t="inlineStr">
        <is>
          <t>PerformanceBasedHealthInsurance</t>
        </is>
      </c>
      <c r="I85" t="inlineStr">
        <is>
          <t>N/A</t>
        </is>
      </c>
      <c r="J85" t="inlineStr">
        <is>
          <t>Perfect, Health</t>
        </is>
      </c>
    </row>
    <row r="86" ht="15" customHeight="1">
      <c r="A86" t="inlineStr">
        <is>
          <t>Philosopher's Stone</t>
        </is>
      </c>
      <c r="B86" t="inlineStr">
        <is>
          <t>Rare</t>
        </is>
      </c>
      <c r="C86" t="inlineStr">
        <is>
          <t>Passive</t>
        </is>
      </c>
      <c r="D86" t="inlineStr">
        <is>
          <t>Gain +1 Max Energy, but all enemies start with 1 Power</t>
        </is>
      </c>
      <c r="E86" t="inlineStr">
        <is>
          <t>passive: +1 max_energy; enemy_spawned: +1 power (enemy)</t>
        </is>
      </c>
      <c r="F86" t="inlineStr">
        <is>
          <t>Slay the Spire</t>
        </is>
      </c>
      <c r="G86" t="inlineStr">
        <is>
          <t>stone</t>
        </is>
      </c>
      <c r="H86" t="inlineStr">
        <is>
          <t>PhilosophersStone</t>
        </is>
      </c>
      <c r="I86" t="inlineStr">
        <is>
          <t>N/A</t>
        </is>
      </c>
      <c r="J86" t="inlineStr">
        <is>
          <t>Energy</t>
        </is>
      </c>
    </row>
    <row r="87" ht="15" customHeight="1">
      <c r="A87" t="inlineStr">
        <is>
          <t>Prayer Beads</t>
        </is>
      </c>
      <c r="B87" t="inlineStr">
        <is>
          <t>Rare</t>
        </is>
      </c>
      <c r="C87" t="inlineStr">
        <is>
          <t>Triggered</t>
        </is>
      </c>
      <c r="D87" t="inlineStr">
        <is>
          <t>Whenever you take damage, Gain Temporary +3 Brace until end of this turn</t>
        </is>
      </c>
      <c r="E87" t="inlineStr">
        <is>
          <t>damage_taken: +3 brace temp until end of turn (self)</t>
        </is>
      </c>
      <c r="F87" t="inlineStr">
        <is>
          <t>Mewgenics</t>
        </is>
      </c>
      <c r="G87" t="inlineStr">
        <is>
          <t>monk, wearable, necklace</t>
        </is>
      </c>
      <c r="H87" t="inlineStr">
        <is>
          <t>PrayerBeads</t>
        </is>
      </c>
      <c r="I87" t="inlineStr">
        <is>
          <t>N/A</t>
        </is>
      </c>
      <c r="J87" t="inlineStr">
        <is>
          <t>Defense</t>
        </is>
      </c>
    </row>
    <row r="88" ht="15" customHeight="1">
      <c r="A88" t="inlineStr">
        <is>
          <t>Prayer Card</t>
        </is>
      </c>
      <c r="B88" t="inlineStr">
        <is>
          <t>Rare</t>
        </is>
      </c>
      <c r="C88" t="inlineStr">
        <is>
          <t>Triggered</t>
        </is>
      </c>
      <c r="D88" s="4" t="inlineStr">
        <is>
          <t>33% chance to gain +1 Buffer each time you take damage</t>
        </is>
      </c>
      <c r="E88" s="4" t="inlineStr">
        <is>
          <t>damage_taken: 33% chance +1 buffer (self)</t>
        </is>
      </c>
      <c r="F88" t="inlineStr">
        <is>
          <t>Mewgenics</t>
        </is>
      </c>
      <c r="G88" t="inlineStr">
        <is>
          <t>card, paper, holy, cardboard</t>
        </is>
      </c>
      <c r="H88" t="inlineStr">
        <is>
          <t>PrayerCard</t>
        </is>
      </c>
      <c r="I88" t="inlineStr">
        <is>
          <t>N/A</t>
        </is>
      </c>
      <c r="J88" t="inlineStr">
        <is>
          <t>Defense</t>
        </is>
      </c>
    </row>
    <row r="89" ht="15" customHeight="1">
      <c r="A89" t="inlineStr">
        <is>
          <t>Propeller Hat</t>
        </is>
      </c>
      <c r="B89" t="inlineStr">
        <is>
          <t>Common</t>
        </is>
      </c>
      <c r="C89" t="inlineStr">
        <is>
          <t>Passive</t>
        </is>
      </c>
      <c r="D89" t="inlineStr">
        <is>
          <t>Gain +3 Luck, but -1 Strength</t>
        </is>
      </c>
      <c r="E89" t="inlineStr">
        <is>
          <t>passive: +3 luck, -1 strength</t>
        </is>
      </c>
      <c r="F89" t="inlineStr">
        <is>
          <t>Brotato</t>
        </is>
      </c>
      <c r="G89" t="inlineStr">
        <is>
          <t>wearable, hat</t>
        </is>
      </c>
      <c r="H89" t="inlineStr">
        <is>
          <t>PropellerHat</t>
        </is>
      </c>
      <c r="I89" t="inlineStr">
        <is>
          <t>N/A</t>
        </is>
      </c>
      <c r="J89" t="inlineStr">
        <is>
          <t>Stats</t>
        </is>
      </c>
    </row>
    <row r="90" ht="15" customHeight="1">
      <c r="A90" t="inlineStr">
        <is>
          <t>Pummarola</t>
        </is>
      </c>
      <c r="B90" t="inlineStr">
        <is>
          <t>Common</t>
        </is>
      </c>
      <c r="C90" t="inlineStr">
        <is>
          <t>Triggered</t>
        </is>
      </c>
      <c r="D90" t="inlineStr">
        <is>
          <t>At the start of combat, Gain +1 Regeneration</t>
        </is>
      </c>
      <c r="E90" t="inlineStr">
        <is>
          <t>combat_started: +1 regeneration (self)</t>
        </is>
      </c>
      <c r="F90" t="inlineStr">
        <is>
          <t>Vampire Survivors</t>
        </is>
      </c>
      <c r="G90" t="inlineStr">
        <is>
          <t>heart</t>
        </is>
      </c>
      <c r="H90" t="inlineStr">
        <is>
          <t>Pummarola</t>
        </is>
      </c>
      <c r="I90" t="inlineStr">
        <is>
          <t>N/A</t>
        </is>
      </c>
      <c r="J90" t="inlineStr">
        <is>
          <t>Health</t>
        </is>
      </c>
    </row>
    <row r="91" ht="15" customHeight="1">
      <c r="A91" t="inlineStr">
        <is>
          <t>Raven Feather</t>
        </is>
      </c>
      <c r="B91" t="inlineStr">
        <is>
          <t>Rare</t>
        </is>
      </c>
      <c r="C91" t="inlineStr">
        <is>
          <t>Triggered</t>
        </is>
      </c>
      <c r="D91" t="inlineStr">
        <is>
          <t>At the start of combat, inflict Soul Link on 2 random enemies</t>
        </is>
      </c>
      <c r="E91" t="inlineStr">
        <is>
          <t>combat_started: +1 soul_link (random_enemies count=2)</t>
        </is>
      </c>
      <c r="F91" t="inlineStr">
        <is>
          <t>Mewgenics</t>
        </is>
      </c>
      <c r="G91" t="inlineStr">
        <is>
          <t>bird</t>
        </is>
      </c>
      <c r="H91" t="inlineStr">
        <is>
          <t>RavenFeather</t>
        </is>
      </c>
      <c r="I91" t="inlineStr">
        <is>
          <t>N/A</t>
        </is>
      </c>
      <c r="J91" t="inlineStr">
        <is>
          <t>Offense</t>
        </is>
      </c>
    </row>
    <row r="92" ht="15" customHeight="1">
      <c r="A92" t="inlineStr">
        <is>
          <t>Reactive Trauma Plate</t>
        </is>
      </c>
      <c r="B92" t="inlineStr">
        <is>
          <t>Rare</t>
        </is>
      </c>
      <c r="C92" t="inlineStr">
        <is>
          <t>Triggered</t>
        </is>
      </c>
      <c r="D92" t="inlineStr">
        <is>
          <t>If the player would take lethal damage, negate that damage and destroy this item</t>
        </is>
      </c>
      <c r="E92" t="inlineStr">
        <is>
          <t>negate_lethal: negate a lethal hit, then destroy this item</t>
        </is>
      </c>
      <c r="F92" t="inlineStr">
        <is>
          <t>Caves of Qud</t>
        </is>
      </c>
      <c r="G92" t="inlineStr">
        <is>
          <t>cybernetics</t>
        </is>
      </c>
      <c r="H92" t="inlineStr">
        <is>
          <t>ReactiveTraumaPlate</t>
        </is>
      </c>
      <c r="I92" t="inlineStr">
        <is>
          <t>N/A</t>
        </is>
      </c>
      <c r="J92" t="inlineStr">
        <is>
          <t>Health</t>
        </is>
      </c>
    </row>
    <row r="93" ht="15" customHeight="1">
      <c r="A93" t="inlineStr">
        <is>
          <t>Ride the Bus</t>
        </is>
      </c>
      <c r="B93" t="inlineStr">
        <is>
          <t>Uncommon</t>
        </is>
      </c>
      <c r="C93" t="inlineStr">
        <is>
          <t>Usable</t>
        </is>
      </c>
      <c r="D93" t="inlineStr">
        <is>
          <t>Teleport to a random Deckbuilder space</t>
        </is>
      </c>
      <c r="F93" t="inlineStr">
        <is>
          <t>Balatro</t>
        </is>
      </c>
      <c r="H93" t="inlineStr">
        <is>
          <t>RideTheBus</t>
        </is>
      </c>
      <c r="I93" t="inlineStr">
        <is>
          <t>N/A</t>
        </is>
      </c>
      <c r="J93" t="inlineStr">
        <is>
          <t>Movement</t>
        </is>
      </c>
    </row>
    <row r="94" ht="15" customHeight="1">
      <c r="A94" t="inlineStr">
        <is>
          <t>Ring of the Snake</t>
        </is>
      </c>
      <c r="B94" t="inlineStr">
        <is>
          <t>Starter</t>
        </is>
      </c>
      <c r="C94" t="inlineStr">
        <is>
          <t>Triggered</t>
        </is>
      </c>
      <c r="D94" t="inlineStr">
        <is>
          <t>At the start of combat, Draw 2 Cards</t>
        </is>
      </c>
      <c r="E94" t="inlineStr">
        <is>
          <t>combat_started: draw 2 (self)</t>
        </is>
      </c>
      <c r="F94" t="inlineStr">
        <is>
          <t>Slay the Spire</t>
        </is>
      </c>
      <c r="G94" t="inlineStr">
        <is>
          <t>ring</t>
        </is>
      </c>
      <c r="H94" t="inlineStr">
        <is>
          <t>RingOfTheSnake</t>
        </is>
      </c>
      <c r="I94" t="inlineStr">
        <is>
          <t>N/A</t>
        </is>
      </c>
      <c r="J94" t="inlineStr">
        <is>
          <t>Draw</t>
        </is>
      </c>
    </row>
    <row r="95" ht="15" customHeight="1">
      <c r="A95" t="inlineStr">
        <is>
          <t>Rock Bottom</t>
        </is>
      </c>
      <c r="B95" t="inlineStr">
        <is>
          <t>Rare</t>
        </is>
      </c>
      <c r="C95" t="inlineStr">
        <is>
          <t>Scaling</t>
        </is>
      </c>
      <c r="D95" t="inlineStr">
        <is>
          <t>Prevents your Strength, Dexterity, Intelligence, Charisma, FoV, Discovery, and Luck from falling below their highest values reached.</t>
        </is>
      </c>
      <c r="E95" t="inlineStr">
        <is>
          <t>stat_floor: [strength, dexterity, intelligence, charisma, fov_bonus, discovery, luck] (held at highest effective value reached)</t>
        </is>
      </c>
      <c r="F95" t="inlineStr">
        <is>
          <t>The Binding of Isaac</t>
        </is>
      </c>
      <c r="G95" t="inlineStr">
        <is>
          <t>stone</t>
        </is>
      </c>
      <c r="H95" t="inlineStr">
        <is>
          <t>RockBottom</t>
        </is>
      </c>
      <c r="I95" t="inlineStr">
        <is>
          <t>N/A</t>
        </is>
      </c>
      <c r="J95" t="inlineStr">
        <is>
          <t>Stats</t>
        </is>
      </c>
    </row>
    <row r="96" ht="15" customHeight="1">
      <c r="A96" t="inlineStr">
        <is>
          <t>Roid Rage</t>
        </is>
      </c>
      <c r="B96" t="inlineStr">
        <is>
          <t>Common</t>
        </is>
      </c>
      <c r="C96" t="inlineStr">
        <is>
          <t>Usable</t>
        </is>
      </c>
      <c r="D96" t="inlineStr">
        <is>
          <t>Gain +5 Strength this combat/event</t>
        </is>
      </c>
      <c r="E96" t="inlineStr">
        <is>
          <t>item_used: temp_stat strength +5</t>
        </is>
      </c>
      <c r="F96" t="inlineStr">
        <is>
          <t>Mewgenics</t>
        </is>
      </c>
      <c r="G96" t="inlineStr">
        <is>
          <t>drug, pill, consumable</t>
        </is>
      </c>
      <c r="H96" t="inlineStr">
        <is>
          <t>RoidRage</t>
        </is>
      </c>
      <c r="I96" t="inlineStr">
        <is>
          <t>N/A</t>
        </is>
      </c>
      <c r="J96" t="inlineStr">
        <is>
          <t>Stats</t>
        </is>
      </c>
    </row>
    <row r="97" ht="15" customHeight="1">
      <c r="A97" t="inlineStr">
        <is>
          <t>Rusty Razor</t>
        </is>
      </c>
      <c r="B97" t="inlineStr">
        <is>
          <t>Uncommon</t>
        </is>
      </c>
      <c r="C97" t="inlineStr">
        <is>
          <t>Weapon</t>
        </is>
      </c>
      <c r="D97" t="inlineStr">
        <is>
          <t>Add the Card "Rusty Razor" into your Deck. If you kill an enemy with a status affliction at least one time, "Rusty Razor" Gains (+1/+2) Bleed and Poison</t>
        </is>
      </c>
      <c r="E97" t="inlineStr">
        <is>
          <t>weapon: rusty_razor; verify: Did you kill an enemy with a status affliction? =&gt; +1/+2 Bleed and Poison</t>
        </is>
      </c>
      <c r="F97" t="inlineStr">
        <is>
          <t>Mewgenics</t>
        </is>
      </c>
      <c r="H97" t="inlineStr">
        <is>
          <t>RustyRazor</t>
        </is>
      </c>
      <c r="I97" t="inlineStr">
        <is>
          <t>N/A</t>
        </is>
      </c>
      <c r="J97" t="inlineStr">
        <is>
          <t>Offense</t>
        </is>
      </c>
    </row>
    <row r="98" ht="15" customHeight="1">
      <c r="A98" t="inlineStr">
        <is>
          <t>Sacred Orb</t>
        </is>
      </c>
      <c r="B98" t="inlineStr">
        <is>
          <t>Legendary</t>
        </is>
      </c>
      <c r="C98" t="inlineStr">
        <is>
          <t>Triggered</t>
        </is>
      </c>
      <c r="D98" t="inlineStr">
        <is>
          <t>Whenever an item spawns, if it was Common, reroll it. If it was an Uncommon, there is a 25% chance to reroll it.</t>
        </is>
      </c>
      <c r="E98" t="inlineStr">
        <is>
          <t>reroll_low_rarity: item rewards reroll Common picks (always) and Uncommon picks (25%)</t>
        </is>
      </c>
      <c r="F98" t="inlineStr">
        <is>
          <t>The Binding of Isaac</t>
        </is>
      </c>
      <c r="G98" t="inlineStr">
        <is>
          <t>holy</t>
        </is>
      </c>
      <c r="H98" t="inlineStr">
        <is>
          <t>SacredOrb</t>
        </is>
      </c>
      <c r="I98" t="inlineStr">
        <is>
          <t>N/A</t>
        </is>
      </c>
      <c r="J98" t="inlineStr">
        <is>
          <t>Economy</t>
        </is>
      </c>
    </row>
    <row r="99" ht="15" customHeight="1">
      <c r="A99" t="inlineStr">
        <is>
          <t>Secret Technique Instructions</t>
        </is>
      </c>
      <c r="B99" t="inlineStr">
        <is>
          <t>Rare</t>
        </is>
      </c>
      <c r="C99" t="inlineStr">
        <is>
          <t>Triggered</t>
        </is>
      </c>
      <c r="D99" t="inlineStr">
        <is>
          <t>Whenever you perfect a game (beat a game/combat without losing a run), gain +1 Dash</t>
        </is>
      </c>
      <c r="E99" t="inlineStr">
        <is>
          <t>perfect: gain_stat dash 1</t>
        </is>
      </c>
      <c r="F99" t="inlineStr">
        <is>
          <t>Haste</t>
        </is>
      </c>
      <c r="G99" t="inlineStr">
        <is>
          <t>book</t>
        </is>
      </c>
      <c r="H99" t="inlineStr">
        <is>
          <t>SecretTechniqueInstructions</t>
        </is>
      </c>
      <c r="I99" t="inlineStr">
        <is>
          <t>N/A</t>
        </is>
      </c>
      <c r="J99" t="inlineStr">
        <is>
          <t>Perfect, Stats</t>
        </is>
      </c>
    </row>
    <row r="100" ht="15" customHeight="1">
      <c r="A100" t="inlineStr">
        <is>
          <t>Shuriken</t>
        </is>
      </c>
      <c r="B100" t="inlineStr">
        <is>
          <t>Uncommon</t>
        </is>
      </c>
      <c r="C100" t="inlineStr">
        <is>
          <t>Incremental</t>
        </is>
      </c>
      <c r="D100" t="inlineStr">
        <is>
          <t>Every time you play 3 attacks in a single turn, Gain +1 Power</t>
        </is>
      </c>
      <c r="E100" t="inlineStr">
        <is>
          <t>card_played if_type=attack: counter key=attacks_this_turn every=3 -&gt; +1 power (self)</t>
        </is>
      </c>
      <c r="F100" t="inlineStr">
        <is>
          <t>Slay the Spire</t>
        </is>
      </c>
      <c r="G100" t="inlineStr">
        <is>
          <t>ninja</t>
        </is>
      </c>
      <c r="H100" t="inlineStr">
        <is>
          <t>Shuriken</t>
        </is>
      </c>
      <c r="I100" t="inlineStr">
        <is>
          <t>N/A</t>
        </is>
      </c>
      <c r="J100" t="inlineStr">
        <is>
          <t>Offense</t>
        </is>
      </c>
    </row>
    <row r="101" ht="15" customHeight="1">
      <c r="A101" t="inlineStr">
        <is>
          <t>Snowball</t>
        </is>
      </c>
      <c r="B101" t="inlineStr">
        <is>
          <t>Uncommon</t>
        </is>
      </c>
      <c r="C101" t="inlineStr">
        <is>
          <t>Triggered</t>
        </is>
      </c>
      <c r="D101" t="inlineStr">
        <is>
          <t>Whenever you would Gain permanent Intelligence, Gain +1 Intelligence</t>
        </is>
      </c>
      <c r="E101" t="inlineStr">
        <is>
          <t>stat_gain_bonus: {intelligence: 1} (each permanent Intelligence gain grants +1 more)</t>
        </is>
      </c>
      <c r="F101" t="inlineStr">
        <is>
          <t>Brotato</t>
        </is>
      </c>
      <c r="G101" t="inlineStr">
        <is>
          <t>snow</t>
        </is>
      </c>
      <c r="H101" t="inlineStr">
        <is>
          <t>Snowball</t>
        </is>
      </c>
      <c r="I101" t="inlineStr">
        <is>
          <t>N/A</t>
        </is>
      </c>
      <c r="J101" t="inlineStr">
        <is>
          <t>Stats</t>
        </is>
      </c>
    </row>
    <row r="102" ht="15" customHeight="1">
      <c r="A102" t="inlineStr">
        <is>
          <t>Speedball</t>
        </is>
      </c>
      <c r="B102" t="inlineStr">
        <is>
          <t>Common</t>
        </is>
      </c>
      <c r="C102" t="inlineStr">
        <is>
          <t>Usable</t>
        </is>
      </c>
      <c r="D102" t="inlineStr">
        <is>
          <t>Gain +5 Dexterity this combat/event</t>
        </is>
      </c>
      <c r="E102" t="inlineStr">
        <is>
          <t>item_used: temp_stat dexterity +5</t>
        </is>
      </c>
      <c r="F102" t="inlineStr">
        <is>
          <t>Mewgenics</t>
        </is>
      </c>
      <c r="G102" t="inlineStr">
        <is>
          <t>drug, pill, consumable</t>
        </is>
      </c>
      <c r="H102" t="inlineStr">
        <is>
          <t>Speedball</t>
        </is>
      </c>
      <c r="I102" t="inlineStr">
        <is>
          <t>N/A</t>
        </is>
      </c>
      <c r="J102" t="inlineStr">
        <is>
          <t>Stats</t>
        </is>
      </c>
    </row>
    <row r="103" ht="15" customHeight="1">
      <c r="A103" t="inlineStr">
        <is>
          <t>Stabilizer Arm Locks</t>
        </is>
      </c>
      <c r="B103" t="inlineStr">
        <is>
          <t>Rare</t>
        </is>
      </c>
      <c r="C103" t="inlineStr">
        <is>
          <t>Passive</t>
        </is>
      </c>
      <c r="D103" t="inlineStr">
        <is>
          <t>Gain +6 Dexterity</t>
        </is>
      </c>
      <c r="E103" t="inlineStr">
        <is>
          <t>passive: +6 dexterity</t>
        </is>
      </c>
      <c r="F103" t="inlineStr">
        <is>
          <t>Caves of Qud</t>
        </is>
      </c>
      <c r="G103" t="inlineStr">
        <is>
          <t>cybernetics</t>
        </is>
      </c>
      <c r="H103" t="inlineStr">
        <is>
          <t>StabilizerArmLocks</t>
        </is>
      </c>
      <c r="I103" t="inlineStr">
        <is>
          <t>N/A</t>
        </is>
      </c>
      <c r="J103" t="inlineStr">
        <is>
          <t>Stats</t>
        </is>
      </c>
    </row>
    <row r="104" ht="15" customHeight="1">
      <c r="A104" t="inlineStr">
        <is>
          <t>Steady Investment</t>
        </is>
      </c>
      <c r="B104" t="inlineStr">
        <is>
          <t>Common</t>
        </is>
      </c>
      <c r="C104" t="inlineStr">
        <is>
          <t>Triggered</t>
        </is>
      </c>
      <c r="D104" t="inlineStr">
        <is>
          <t>Whenever you perfect a game (beat a game/combat without losing a run), Gain +10 Gold</t>
        </is>
      </c>
      <c r="E104" t="inlineStr">
        <is>
          <t>perfect: gain_gold 10</t>
        </is>
      </c>
      <c r="F104" t="inlineStr">
        <is>
          <t>Haste</t>
        </is>
      </c>
      <c r="H104" t="inlineStr">
        <is>
          <t>SteadyInvestment</t>
        </is>
      </c>
      <c r="I104" t="inlineStr">
        <is>
          <t>N/A</t>
        </is>
      </c>
      <c r="J104" t="inlineStr">
        <is>
          <t>Perfect, Economy</t>
        </is>
      </c>
    </row>
    <row r="105" ht="15" customHeight="1">
      <c r="A105" t="inlineStr">
        <is>
          <t>Stem Cells</t>
        </is>
      </c>
      <c r="B105" t="inlineStr">
        <is>
          <t>Uncommon</t>
        </is>
      </c>
      <c r="C105" t="inlineStr">
        <is>
          <t>Usable</t>
        </is>
      </c>
      <c r="D105" t="inlineStr">
        <is>
          <t>Gain +3 Regeneration</t>
        </is>
      </c>
      <c r="F105" t="inlineStr">
        <is>
          <t>Mewgenics</t>
        </is>
      </c>
      <c r="G105" t="inlineStr">
        <is>
          <t>consumable</t>
        </is>
      </c>
      <c r="H105" t="inlineStr">
        <is>
          <t>StemCells</t>
        </is>
      </c>
      <c r="I105" t="inlineStr">
        <is>
          <t>N/A</t>
        </is>
      </c>
      <c r="J105" t="inlineStr">
        <is>
          <t>Health</t>
        </is>
      </c>
    </row>
    <row r="106" ht="15" customHeight="1">
      <c r="A106" t="inlineStr">
        <is>
          <t>Stone Calendar</t>
        </is>
      </c>
      <c r="B106" t="inlineStr">
        <is>
          <t>Rare</t>
        </is>
      </c>
      <c r="C106" t="inlineStr">
        <is>
          <t>Triggered</t>
        </is>
      </c>
      <c r="D106" t="inlineStr">
        <is>
          <t>At the end of turn 7, Deal 52 Damage to all enemies</t>
        </is>
      </c>
      <c r="E106" t="inlineStr">
        <is>
          <t>turn_ended if_turn=7: dmg 52 (all_enemies)</t>
        </is>
      </c>
      <c r="F106" t="inlineStr">
        <is>
          <t>Slay the Spire</t>
        </is>
      </c>
      <c r="G106" t="inlineStr">
        <is>
          <t>stone</t>
        </is>
      </c>
      <c r="H106" t="inlineStr">
        <is>
          <t>StoneCalendar</t>
        </is>
      </c>
      <c r="I106" t="inlineStr">
        <is>
          <t>N/A</t>
        </is>
      </c>
      <c r="J106" t="inlineStr">
        <is>
          <t>Defense</t>
        </is>
      </c>
    </row>
    <row r="107" ht="15" customHeight="1">
      <c r="A107" t="inlineStr">
        <is>
          <t>Strike Dummy</t>
        </is>
      </c>
      <c r="B107" t="inlineStr">
        <is>
          <t>Common</t>
        </is>
      </c>
      <c r="C107" t="inlineStr">
        <is>
          <t>Triggered</t>
        </is>
      </c>
      <c r="D107" t="inlineStr">
        <is>
          <t>Your Strikes Gain +3 Dmg</t>
        </is>
      </c>
      <c r="E107" t="inlineStr">
        <is>
          <t>card_grant if_tag=strike: dmg 3 (enemy)</t>
        </is>
      </c>
      <c r="F107" t="inlineStr">
        <is>
          <t>Slay the Spire</t>
        </is>
      </c>
      <c r="G107" t="inlineStr">
        <is>
          <t>wood</t>
        </is>
      </c>
      <c r="H107" t="inlineStr">
        <is>
          <t>StrikeDummy</t>
        </is>
      </c>
      <c r="I107" t="inlineStr">
        <is>
          <t>N/A</t>
        </is>
      </c>
      <c r="J107" t="inlineStr">
        <is>
          <t>Offense</t>
        </is>
      </c>
    </row>
    <row r="108" ht="15" customHeight="1">
      <c r="A108" t="inlineStr">
        <is>
          <t>Sulfa Powder</t>
        </is>
      </c>
      <c r="B108" t="inlineStr">
        <is>
          <t>Uncommon</t>
        </is>
      </c>
      <c r="C108" t="inlineStr">
        <is>
          <t>Triggered</t>
        </is>
      </c>
      <c r="D108" t="inlineStr">
        <is>
          <t>At the start of your turn, Gain +D12 Block</t>
        </is>
      </c>
      <c r="E108" t="inlineStr">
        <is>
          <t>turn_started: roll_block sides=12 (self, Luck-weighted)</t>
        </is>
      </c>
      <c r="F108" t="inlineStr">
        <is>
          <t>Brutal Orchestra</t>
        </is>
      </c>
      <c r="G108" t="inlineStr">
        <is>
          <t>military</t>
        </is>
      </c>
      <c r="H108" t="inlineStr">
        <is>
          <t>SulfaPowder</t>
        </is>
      </c>
      <c r="I108" t="inlineStr">
        <is>
          <t>N/A</t>
        </is>
      </c>
      <c r="J108" t="inlineStr">
        <is>
          <t>Defense</t>
        </is>
      </c>
    </row>
    <row r="109" ht="15" customHeight="1">
      <c r="A109" t="inlineStr">
        <is>
          <t>Sunglasses</t>
        </is>
      </c>
      <c r="B109" t="inlineStr">
        <is>
          <t>Common</t>
        </is>
      </c>
      <c r="C109" t="inlineStr">
        <is>
          <t>Passive</t>
        </is>
      </c>
      <c r="D109" t="inlineStr">
        <is>
          <t>Gain +3 Charisma</t>
        </is>
      </c>
      <c r="E109" t="inlineStr">
        <is>
          <t>passive: +3 charisma</t>
        </is>
      </c>
      <c r="F109" t="inlineStr">
        <is>
          <t>Enter the Gungeon</t>
        </is>
      </c>
      <c r="G109" t="inlineStr">
        <is>
          <t>wearable, glasses</t>
        </is>
      </c>
      <c r="H109" t="inlineStr">
        <is>
          <t>Sunglasses</t>
        </is>
      </c>
      <c r="I109" t="inlineStr">
        <is>
          <t>N/A</t>
        </is>
      </c>
      <c r="J109" t="inlineStr">
        <is>
          <t>Stats</t>
        </is>
      </c>
    </row>
    <row r="110" ht="15" customHeight="1">
      <c r="A110" t="inlineStr">
        <is>
          <t>The Necronomicon</t>
        </is>
      </c>
      <c r="B110" t="inlineStr">
        <is>
          <t>Uncommon</t>
        </is>
      </c>
      <c r="C110" t="inlineStr">
        <is>
          <t>Charged, 4</t>
        </is>
      </c>
      <c r="D110" t="inlineStr">
        <is>
          <t>Deal 20 Magic Dmg Dark Cleave / Inside of Combat</t>
        </is>
      </c>
      <c r="F110" t="inlineStr">
        <is>
          <t>The Binding of Isaac</t>
        </is>
      </c>
      <c r="G110" t="inlineStr">
        <is>
          <t>book, evil</t>
        </is>
      </c>
      <c r="H110" t="inlineStr">
        <is>
          <t>TheNecronomicon</t>
        </is>
      </c>
      <c r="I110" t="inlineStr">
        <is>
          <t>N/A</t>
        </is>
      </c>
      <c r="J110" t="inlineStr">
        <is>
          <t>Offense</t>
        </is>
      </c>
    </row>
    <row r="111" ht="15" customHeight="1">
      <c r="A111" t="inlineStr">
        <is>
          <t>The Poop</t>
        </is>
      </c>
      <c r="B111" t="inlineStr">
        <is>
          <t>Common</t>
        </is>
      </c>
      <c r="C111" t="inlineStr">
        <is>
          <t>Charged, 1</t>
        </is>
      </c>
      <c r="D111" t="inlineStr">
        <is>
          <t>Poop on the current space, this space will not show up on the space choice in the future unless it's the only option (very stinky) / Outside of Combat</t>
        </is>
      </c>
      <c r="F111" t="inlineStr">
        <is>
          <t>The Binding of Isaac</t>
        </is>
      </c>
      <c r="G111" t="inlineStr">
        <is>
          <t>poop</t>
        </is>
      </c>
      <c r="H111" t="inlineStr">
        <is>
          <t>ThePoop</t>
        </is>
      </c>
      <c r="I111" t="inlineStr">
        <is>
          <t>N/A</t>
        </is>
      </c>
      <c r="J111" t="inlineStr">
        <is>
          <t>Movement</t>
        </is>
      </c>
    </row>
    <row r="112" ht="15" customHeight="1">
      <c r="A112" t="inlineStr">
        <is>
          <t>Thread and Needle</t>
        </is>
      </c>
      <c r="B112" t="inlineStr">
        <is>
          <t>Rare</t>
        </is>
      </c>
      <c r="C112" t="inlineStr">
        <is>
          <t>Triggered</t>
        </is>
      </c>
      <c r="D112" t="inlineStr">
        <is>
          <t>At the start of combat, Gain +4 Plated Armor</t>
        </is>
      </c>
      <c r="E112" t="inlineStr">
        <is>
          <t>combat_started: +4 plated_armor</t>
        </is>
      </c>
      <c r="F112" t="inlineStr">
        <is>
          <t>Slay the Spire</t>
        </is>
      </c>
      <c r="H112" t="inlineStr">
        <is>
          <t>ThreadAndNeedle</t>
        </is>
      </c>
      <c r="I112" t="inlineStr">
        <is>
          <t>N/A</t>
        </is>
      </c>
      <c r="J112" t="inlineStr">
        <is>
          <t>Defense</t>
        </is>
      </c>
    </row>
    <row r="113" ht="15" customHeight="1">
      <c r="A113" t="inlineStr">
        <is>
          <t>Toxic Egg</t>
        </is>
      </c>
      <c r="B113" t="inlineStr">
        <is>
          <t>Uncommon</t>
        </is>
      </c>
      <c r="C113" t="inlineStr">
        <is>
          <t>Triggered</t>
        </is>
      </c>
      <c r="D113" t="inlineStr">
        <is>
          <t>Whenever you add a Skill card to your deck, Upgrade it</t>
        </is>
      </c>
      <c r="E113" t="inlineStr">
        <is>
          <t>upgrade_card_types: skill (auto-upgrade Skill cards added to deck)</t>
        </is>
      </c>
      <c r="F113" t="inlineStr">
        <is>
          <t>Slay the Spire</t>
        </is>
      </c>
      <c r="G113" t="inlineStr">
        <is>
          <t>egg</t>
        </is>
      </c>
      <c r="H113" t="inlineStr">
        <is>
          <t>ToxicEgg</t>
        </is>
      </c>
      <c r="I113" t="inlineStr">
        <is>
          <t>N/A</t>
        </is>
      </c>
      <c r="J113" t="inlineStr">
        <is>
          <t>Economy</t>
        </is>
      </c>
    </row>
    <row r="114" ht="15" customHeight="1">
      <c r="A114" t="inlineStr">
        <is>
          <t>Toy Ornithopter</t>
        </is>
      </c>
      <c r="B114" t="inlineStr">
        <is>
          <t>Common</t>
        </is>
      </c>
      <c r="C114" t="inlineStr">
        <is>
          <t>Triggered</t>
        </is>
      </c>
      <c r="D114" t="inlineStr">
        <is>
          <t>Whenever you use a Potion, Gain + 5 Health</t>
        </is>
      </c>
      <c r="E114" t="inlineStr">
        <is>
          <t>potion_used: gain_hp 5</t>
        </is>
      </c>
      <c r="F114" t="inlineStr">
        <is>
          <t>Slay the Spire</t>
        </is>
      </c>
      <c r="G114" t="inlineStr">
        <is>
          <t>toy, wood</t>
        </is>
      </c>
      <c r="H114" t="inlineStr">
        <is>
          <t>ToyOrnithopter</t>
        </is>
      </c>
      <c r="I114" t="inlineStr">
        <is>
          <t>N/A</t>
        </is>
      </c>
      <c r="J114" t="inlineStr">
        <is>
          <t>Health</t>
        </is>
      </c>
    </row>
    <row r="115" ht="15" customHeight="1">
      <c r="A115" t="inlineStr">
        <is>
          <t>Turnip</t>
        </is>
      </c>
      <c r="B115" t="inlineStr">
        <is>
          <t>Rare</t>
        </is>
      </c>
      <c r="C115" t="inlineStr">
        <is>
          <t>Triggered</t>
        </is>
      </c>
      <c r="D115" t="inlineStr">
        <is>
          <t>You can no longer Gain Frail</t>
        </is>
      </c>
      <c r="E115" t="inlineStr">
        <is>
          <t>status_immunity: frail</t>
        </is>
      </c>
      <c r="F115" t="inlineStr">
        <is>
          <t>Slay the Spire</t>
        </is>
      </c>
      <c r="G115" t="inlineStr">
        <is>
          <t>food, vegetable</t>
        </is>
      </c>
      <c r="H115" t="inlineStr">
        <is>
          <t>Turnip</t>
        </is>
      </c>
      <c r="I115" t="inlineStr">
        <is>
          <t>N/A</t>
        </is>
      </c>
      <c r="J115" t="inlineStr">
        <is>
          <t>Defense</t>
        </is>
      </c>
    </row>
    <row r="116" ht="15" customHeight="1">
      <c r="A116" t="inlineStr">
        <is>
          <t>Unstable Genome</t>
        </is>
      </c>
      <c r="B116" t="inlineStr">
        <is>
          <t>Uncommon</t>
        </is>
      </c>
      <c r="C116" t="inlineStr">
        <is>
          <t>Triggered</t>
        </is>
      </c>
      <c r="D116" t="inlineStr">
        <is>
          <t>When you beat a game, there's a 33% chance for this item to be destroyed and you may gain 1 of 3 random items</t>
        </is>
      </c>
      <c r="F116" t="inlineStr">
        <is>
          <t>Caves of Qud</t>
        </is>
      </c>
      <c r="G116" t="inlineStr">
        <is>
          <t>mutation</t>
        </is>
      </c>
      <c r="H116" t="inlineStr">
        <is>
          <t>UnstableGenome</t>
        </is>
      </c>
      <c r="I116" t="inlineStr">
        <is>
          <t>N/A</t>
        </is>
      </c>
      <c r="J116" t="inlineStr">
        <is>
          <t>Economy</t>
        </is>
      </c>
    </row>
    <row r="117" ht="15" customHeight="1">
      <c r="A117" t="inlineStr">
        <is>
          <t>Upper</t>
        </is>
      </c>
      <c r="B117" t="inlineStr">
        <is>
          <t>Common</t>
        </is>
      </c>
      <c r="C117" t="inlineStr">
        <is>
          <t>Usable</t>
        </is>
      </c>
      <c r="D117" t="inlineStr">
        <is>
          <t>Gain +5 Speed this combat/event</t>
        </is>
      </c>
      <c r="E117" t="inlineStr">
        <is>
          <t>item_used: temp_stat speed +5</t>
        </is>
      </c>
      <c r="F117" t="inlineStr">
        <is>
          <t>Mewgenics</t>
        </is>
      </c>
      <c r="G117" t="inlineStr">
        <is>
          <t>drug, pill, consumable</t>
        </is>
      </c>
      <c r="H117" t="inlineStr">
        <is>
          <t>Upper</t>
        </is>
      </c>
      <c r="I117" t="inlineStr">
        <is>
          <t>N/A</t>
        </is>
      </c>
      <c r="J117" t="inlineStr">
        <is>
          <t>Stats</t>
        </is>
      </c>
    </row>
    <row r="118" ht="15" customHeight="1">
      <c r="A118" t="inlineStr">
        <is>
          <t>Vajra</t>
        </is>
      </c>
      <c r="B118" t="inlineStr">
        <is>
          <t>Common</t>
        </is>
      </c>
      <c r="C118" t="inlineStr">
        <is>
          <t>Passive</t>
        </is>
      </c>
      <c r="D118" t="inlineStr">
        <is>
          <t>Gain +3 Strength</t>
        </is>
      </c>
      <c r="E118" t="inlineStr">
        <is>
          <t>passive: +3 strength</t>
        </is>
      </c>
      <c r="F118" t="inlineStr">
        <is>
          <t>Slay the Spire</t>
        </is>
      </c>
      <c r="H118" t="inlineStr">
        <is>
          <t>Vajra</t>
        </is>
      </c>
      <c r="I118" t="inlineStr">
        <is>
          <t>N/A</t>
        </is>
      </c>
      <c r="J118" t="inlineStr">
        <is>
          <t>Stats</t>
        </is>
      </c>
    </row>
    <row r="119" ht="15" customHeight="1">
      <c r="A119" t="inlineStr">
        <is>
          <t>Ventricle Razor</t>
        </is>
      </c>
      <c r="B119" t="inlineStr">
        <is>
          <t>Rare</t>
        </is>
      </c>
      <c r="C119" t="inlineStr">
        <is>
          <t>Charged, 2</t>
        </is>
      </c>
      <c r="D119" t="inlineStr">
        <is>
          <t>On the first use, create a portal. On second use, return to the space you created the portal on / Outside of Combat</t>
        </is>
      </c>
      <c r="F119" t="inlineStr">
        <is>
          <t>The Binding of Isaac</t>
        </is>
      </c>
      <c r="H119" t="inlineStr">
        <is>
          <t>VentricleRazor</t>
        </is>
      </c>
      <c r="I119" t="inlineStr">
        <is>
          <t>N/A</t>
        </is>
      </c>
      <c r="J119" t="inlineStr">
        <is>
          <t>Movement</t>
        </is>
      </c>
    </row>
    <row r="120" ht="15" customHeight="1">
      <c r="A120" t="inlineStr">
        <is>
          <t>Vitality Orb</t>
        </is>
      </c>
      <c r="B120" t="inlineStr">
        <is>
          <t>Rare</t>
        </is>
      </c>
      <c r="C120" t="inlineStr">
        <is>
          <t>Triggered</t>
        </is>
      </c>
      <c r="D120" t="inlineStr">
        <is>
          <t>Gain +10 Max Health whenever you obtain a Curse</t>
        </is>
      </c>
      <c r="E120" t="inlineStr">
        <is>
          <t>curse_applied: gain_max_hp 10</t>
        </is>
      </c>
      <c r="F120" t="inlineStr">
        <is>
          <t>Forward: Escape the Fold</t>
        </is>
      </c>
      <c r="G120" t="inlineStr">
        <is>
          <t>orb</t>
        </is>
      </c>
      <c r="H120" t="inlineStr">
        <is>
          <t>VitalityOrb</t>
        </is>
      </c>
      <c r="I120" t="inlineStr">
        <is>
          <t>N/A</t>
        </is>
      </c>
      <c r="J120" t="inlineStr">
        <is>
          <t>Health, Curse</t>
        </is>
      </c>
    </row>
    <row r="121" ht="15" customHeight="1">
      <c r="A121" t="inlineStr">
        <is>
          <t>Wand of Wishing</t>
        </is>
      </c>
      <c r="B121" t="inlineStr">
        <is>
          <t>Legendary</t>
        </is>
      </c>
      <c r="C121" t="inlineStr">
        <is>
          <t>Charged, 10</t>
        </is>
      </c>
      <c r="D121" t="inlineStr">
        <is>
          <t>Obtain any one item in the game / Inside or Outside of Combat</t>
        </is>
      </c>
      <c r="F121" t="inlineStr">
        <is>
          <t>NetHack</t>
        </is>
      </c>
      <c r="G121" t="inlineStr">
        <is>
          <t>wand</t>
        </is>
      </c>
      <c r="H121" t="inlineStr">
        <is>
          <t>WandOfWishing</t>
        </is>
      </c>
      <c r="I121" t="inlineStr">
        <is>
          <t>N/A</t>
        </is>
      </c>
      <c r="J121" t="inlineStr">
        <is>
          <t>Economy</t>
        </is>
      </c>
    </row>
    <row r="122" ht="15" customHeight="1">
      <c r="A122" t="inlineStr">
        <is>
          <t>War Paint</t>
        </is>
      </c>
      <c r="B122" t="inlineStr">
        <is>
          <t>Common</t>
        </is>
      </c>
      <c r="C122" t="inlineStr">
        <is>
          <t>Pickup</t>
        </is>
      </c>
      <c r="D122" t="inlineStr">
        <is>
          <t>Upgrade 2 random Skills</t>
        </is>
      </c>
      <c r="E122" t="inlineStr">
        <is>
          <t>item_acquired: upgrade_random_cards card_type=skill count=2</t>
        </is>
      </c>
      <c r="F122" t="inlineStr">
        <is>
          <t>Slay the Spire</t>
        </is>
      </c>
      <c r="H122" t="inlineStr">
        <is>
          <t>WarPaint</t>
        </is>
      </c>
      <c r="I122" t="inlineStr">
        <is>
          <t>N/A</t>
        </is>
      </c>
      <c r="J122" t="inlineStr">
        <is>
          <t>Defense</t>
        </is>
      </c>
    </row>
    <row r="123" ht="15" customHeight="1">
      <c r="A123" t="inlineStr">
        <is>
          <t>Wheat</t>
        </is>
      </c>
      <c r="B123" t="inlineStr">
        <is>
          <t>Uncommon</t>
        </is>
      </c>
      <c r="C123" t="inlineStr">
        <is>
          <t>Passive</t>
        </is>
      </c>
      <c r="D123" t="inlineStr">
        <is>
          <t>Gain +6 Strength, but -2 Intelligence</t>
        </is>
      </c>
      <c r="E123" t="inlineStr">
        <is>
          <t>passive: +3 strength, +2 dexterity, +10 harvesting, -3 intelligence</t>
        </is>
      </c>
      <c r="F123" t="inlineStr">
        <is>
          <t>Brotato</t>
        </is>
      </c>
      <c r="G123" t="inlineStr">
        <is>
          <t>food</t>
        </is>
      </c>
      <c r="H123" t="inlineStr">
        <is>
          <t>Wheat</t>
        </is>
      </c>
      <c r="I123" t="inlineStr">
        <is>
          <t>N/A</t>
        </is>
      </c>
      <c r="J123" t="inlineStr">
        <is>
          <t>Stats</t>
        </is>
      </c>
    </row>
    <row r="124" ht="15" customHeight="1">
      <c r="A124" t="inlineStr">
        <is>
          <t>Whetstone</t>
        </is>
      </c>
      <c r="B124" t="inlineStr">
        <is>
          <t>Common</t>
        </is>
      </c>
      <c r="C124" t="inlineStr">
        <is>
          <t>Pickup</t>
        </is>
      </c>
      <c r="D124" t="inlineStr">
        <is>
          <t>Upgrade 2 random Attacks</t>
        </is>
      </c>
      <c r="E124" t="inlineStr">
        <is>
          <t>item_acquired: upgrade_random_cards card_type=attack count=2</t>
        </is>
      </c>
      <c r="F124" t="inlineStr">
        <is>
          <t>Slay the Spire</t>
        </is>
      </c>
      <c r="G124" t="inlineStr">
        <is>
          <t>stone</t>
        </is>
      </c>
      <c r="H124" t="inlineStr">
        <is>
          <t>Whetstone</t>
        </is>
      </c>
      <c r="I124" t="inlineStr">
        <is>
          <t>N/A</t>
        </is>
      </c>
      <c r="J124" t="inlineStr">
        <is>
          <t>Offense</t>
        </is>
      </c>
    </row>
    <row r="125" ht="15" customHeight="1">
      <c r="A125" t="inlineStr">
        <is>
          <t>Winged Boots</t>
        </is>
      </c>
      <c r="B125" t="inlineStr">
        <is>
          <t>Rare</t>
        </is>
      </c>
      <c r="C125" t="inlineStr">
        <is>
          <t>Usable, 3</t>
        </is>
      </c>
      <c r="D125" t="inlineStr">
        <is>
          <t>Move to a one of three games that share the year of the game you're currently on</t>
        </is>
      </c>
      <c r="E125" t="inlineStr">
        <is>
          <t>item_used: overworld_jump same_year count=3</t>
        </is>
      </c>
      <c r="F125" t="inlineStr">
        <is>
          <t>Slay the Spire</t>
        </is>
      </c>
      <c r="G125" t="inlineStr">
        <is>
          <t>wearable, shoes</t>
        </is>
      </c>
      <c r="H125" t="inlineStr">
        <is>
          <t>WingedBoots</t>
        </is>
      </c>
      <c r="I125" t="inlineStr">
        <is>
          <t>N/A</t>
        </is>
      </c>
      <c r="J125" t="inlineStr">
        <is>
          <t>Movement</t>
        </is>
      </c>
    </row>
    <row r="126" ht="15" customHeight="1">
      <c r="A126" t="inlineStr">
        <is>
          <t>Wings</t>
        </is>
      </c>
      <c r="B126" t="inlineStr">
        <is>
          <t>Uncommon</t>
        </is>
      </c>
      <c r="C126" t="inlineStr">
        <is>
          <t>Passive</t>
        </is>
      </c>
      <c r="D126" t="inlineStr">
        <is>
          <t>Gain +6 Dexterity, but -2  Intelligence</t>
        </is>
      </c>
      <c r="E126" t="inlineStr">
        <is>
          <t>passive: +2 speed, +3 range, -2 intelligence</t>
        </is>
      </c>
      <c r="F126" t="inlineStr">
        <is>
          <t>Brotato</t>
        </is>
      </c>
      <c r="G126" t="inlineStr">
        <is>
          <t>mutation</t>
        </is>
      </c>
      <c r="H126" t="inlineStr">
        <is>
          <t>Wings</t>
        </is>
      </c>
      <c r="I126" t="inlineStr">
        <is>
          <t>N/A</t>
        </is>
      </c>
      <c r="J126" t="inlineStr">
        <is>
          <t>Stats</t>
        </is>
      </c>
    </row>
    <row r="127" ht="15" customHeight="1">
      <c r="A127" t="inlineStr">
        <is>
          <t>Wooden Nickel</t>
        </is>
      </c>
      <c r="B127" t="inlineStr">
        <is>
          <t>Common</t>
        </is>
      </c>
      <c r="C127" t="inlineStr">
        <is>
          <t>Charged, 1</t>
        </is>
      </c>
      <c r="D127" t="inlineStr">
        <is>
          <t>50% Chance to Gain 1, 5, or 10 Gold</t>
        </is>
      </c>
      <c r="E127" t="inlineStr">
        <is>
          <t>charged (charge_cost 1); item_used: 50% chance =&gt; roll_gold [1,5,10] (luck-weighted: 1 common / 5 uncommon / 10 rare)</t>
        </is>
      </c>
      <c r="F127" t="inlineStr">
        <is>
          <t>The Binding of Isaac</t>
        </is>
      </c>
      <c r="G127" t="inlineStr">
        <is>
          <t>coin, wood</t>
        </is>
      </c>
      <c r="H127" t="inlineStr">
        <is>
          <t>WoodenNickel</t>
        </is>
      </c>
      <c r="I127" t="inlineStr">
        <is>
          <t>N/A</t>
        </is>
      </c>
      <c r="J127" t="inlineStr">
        <is>
          <t>Economy</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M14"/>
  <sheetViews>
    <sheetView zoomScale="85" zoomScaleNormal="85" workbookViewId="0">
      <selection activeCell="B17" sqref="B17"/>
    </sheetView>
  </sheetViews>
  <sheetFormatPr baseColWidth="8" defaultColWidth="8.7109375" defaultRowHeight="15"/>
  <cols>
    <col width="26.5703125" customWidth="1" min="1" max="1"/>
    <col width="15.140625" customWidth="1" min="2" max="2"/>
    <col width="13.28515625" customWidth="1" min="3" max="4"/>
    <col width="16" customWidth="1" min="5" max="5"/>
    <col width="13" customWidth="1" min="6" max="6"/>
    <col width="35.5703125" customWidth="1" min="7" max="7"/>
    <col width="48.28515625" customWidth="1" min="8" max="8"/>
    <col width="12.42578125" customWidth="1" min="9" max="9"/>
    <col width="17.5703125" customWidth="1" min="10" max="10"/>
    <col width="11.5703125" customWidth="1" min="11" max="11"/>
    <col width="12.7109375" customWidth="1" min="12" max="12"/>
    <col width="12.28515625" customWidth="1" min="13" max="13"/>
  </cols>
  <sheetData>
    <row r="1" ht="15" customHeight="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ht="15" customHeight="1">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ht="15" customHeight="1">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ht="15" customHeight="1">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ht="15" customHeight="1">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ht="15" customHeight="1">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ht="15" customHeight="1">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ht="15" customHeight="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ht="15" customHeight="1">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ht="15" customHeight="1">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ht="15" customHeight="1">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K8"/>
  <sheetViews>
    <sheetView zoomScale="85" zoomScaleNormal="85" workbookViewId="0">
      <selection activeCell="A3" sqref="A3"/>
    </sheetView>
  </sheetViews>
  <sheetFormatPr baseColWidth="8" defaultColWidth="8.7109375" defaultRowHeight="15"/>
  <cols>
    <col width="18.140625" customWidth="1" min="1" max="1"/>
    <col width="10.7109375" customWidth="1" min="2" max="2"/>
    <col width="11.140625" customWidth="1" min="3" max="3"/>
    <col width="143.85546875" customWidth="1" min="4" max="4"/>
    <col width="51.140625" customWidth="1" min="5" max="5"/>
    <col width="6.28515625" customWidth="1" min="6" max="6"/>
    <col width="18.7109375" customWidth="1" min="7" max="7"/>
    <col width="44.28515625" customWidth="1" min="8" max="8"/>
    <col width="20.85546875" customWidth="1" min="9" max="9"/>
    <col width="18.7109375" customWidth="1" min="10" max="10"/>
    <col width="7.140625" customWidth="1" min="11" max="11"/>
  </cols>
  <sheetData>
    <row r="1" ht="15" customHeight="1">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ht="15" customHeight="1">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ht="15" customHeight="1">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ht="15" customHeight="1">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ht="15" customHeight="1">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ht="15" customHeight="1">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ht="15" customHeight="1">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ht="15" customHeight="1">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M13"/>
  <sheetViews>
    <sheetView zoomScale="85" zoomScaleNormal="85" workbookViewId="0">
      <pane ySplit="1" topLeftCell="A2" activePane="bottomLeft" state="frozen"/>
      <selection pane="bottomLeft" activeCell="A4" sqref="A4"/>
    </sheetView>
  </sheetViews>
  <sheetFormatPr baseColWidth="8" defaultColWidth="8.7109375"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customWidth="1" min="10" max="10"/>
    <col width="16" customWidth="1" min="11" max="11"/>
    <col width="11" customWidth="1" min="12" max="13"/>
  </cols>
  <sheetData>
    <row r="1" ht="15" customHeight="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ht="27.75" customHeight="1">
      <c r="A2" t="inlineStr">
        <is>
          <t>Cultist</t>
        </is>
      </c>
      <c r="B2" t="inlineStr">
        <is>
          <t>Charisma</t>
        </is>
      </c>
      <c r="C2" t="inlineStr">
        <is>
          <t>Low</t>
        </is>
      </c>
      <c r="D2" t="n">
        <v>2</v>
      </c>
      <c r="E2" t="n">
        <v>48</v>
      </c>
      <c r="F2" t="n">
        <v>54</v>
      </c>
      <c r="G2" t="inlineStr">
        <is>
          <t>N/A</t>
        </is>
      </c>
      <c r="H2" t="inlineStr">
        <is>
          <t>Slay the Spire</t>
        </is>
      </c>
      <c r="I2" t="inlineStr">
        <is>
          <t>General</t>
        </is>
      </c>
      <c r="J2" s="4" t="inlineStr">
        <is>
          <t>t1 @ 0 | Ritualize (+3 Ritual) | gain:ritual:3;;
any @ 100 | Dark Strike (6) | dmg:6</t>
        </is>
      </c>
      <c r="K2" t="inlineStr">
        <is>
          <t>Cultist</t>
        </is>
      </c>
      <c r="L2" t="inlineStr">
        <is>
          <t>N/A</t>
        </is>
      </c>
    </row>
    <row r="3" ht="41.25" customHeight="1">
      <c r="A3" t="inlineStr">
        <is>
          <t>Snecko</t>
        </is>
      </c>
      <c r="B3" t="inlineStr">
        <is>
          <t>Charisma</t>
        </is>
      </c>
      <c r="C3" t="inlineStr">
        <is>
          <t>Medium</t>
        </is>
      </c>
      <c r="D3" t="n">
        <v>6</v>
      </c>
      <c r="E3" t="n">
        <v>114</v>
      </c>
      <c r="F3" t="n">
        <v>120</v>
      </c>
      <c r="G3" t="inlineStr">
        <is>
          <t>N/A</t>
        </is>
      </c>
      <c r="H3" t="inlineStr">
        <is>
          <t>Slay the Spire</t>
        </is>
      </c>
      <c r="I3" t="inlineStr">
        <is>
          <t>General</t>
        </is>
      </c>
      <c r="J3" s="4" t="inlineStr">
        <is>
          <t>t1 @ 0 | Perplexing Glare (6 Confused) | inflict:confused:6;;
any @ 60 | Tail Whip (8 dmg, 2 Vulnerable) | dmg:8; inflict:vulnerable:2;;
any @ 40 | Bite (15) | dmg:15</t>
        </is>
      </c>
      <c r="K3" t="inlineStr">
        <is>
          <t>Snecko</t>
        </is>
      </c>
      <c r="L3" t="inlineStr">
        <is>
          <t>N/A</t>
        </is>
      </c>
    </row>
    <row r="4" ht="15" customHeight="1">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ht="54.75" customHeight="1">
      <c r="A5" t="inlineStr">
        <is>
          <t>Jaw Worm</t>
        </is>
      </c>
      <c r="B5" t="inlineStr">
        <is>
          <t>Charisma</t>
        </is>
      </c>
      <c r="C5" t="inlineStr">
        <is>
          <t>Low</t>
        </is>
      </c>
      <c r="D5" t="n">
        <v>3</v>
      </c>
      <c r="E5" t="n">
        <v>40</v>
      </c>
      <c r="F5" t="n">
        <v>44</v>
      </c>
      <c r="G5" t="inlineStr">
        <is>
          <t>N/A</t>
        </is>
      </c>
      <c r="H5" t="inlineStr">
        <is>
          <t>Slay the Spire</t>
        </is>
      </c>
      <c r="I5" t="inlineStr">
        <is>
          <t>General</t>
        </is>
      </c>
      <c r="J5" s="4" t="inlineStr">
        <is>
          <t>t1 @ 0 | Chomp (11) | dmg:11;;
any @ 45 | Bellow (+3 Power, +6 Block) | gain:power:3; block:6;;
any @ 30 | Thrash (7 dmg, 6 Block) | dmg:7; block:6;;
any @ 25 | Chomp (11) | dmg:11</t>
        </is>
      </c>
      <c r="K5" t="inlineStr">
        <is>
          <t>JawWorm</t>
        </is>
      </c>
      <c r="L5" t="inlineStr">
        <is>
          <t>N/A</t>
        </is>
      </c>
    </row>
    <row r="6" ht="27.75" customHeight="1">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4" t="inlineStr">
        <is>
          <t>any @ 75 | Bite (5-7) | dmg:determined(5,7);;
any @ 25 | Grow (+3 Power) | gain:power:3</t>
        </is>
      </c>
      <c r="K6" t="inlineStr">
        <is>
          <t>RedLouse</t>
        </is>
      </c>
      <c r="L6" t="inlineStr">
        <is>
          <t>N/A</t>
        </is>
      </c>
      <c r="M6" t="inlineStr">
        <is>
          <t>bug</t>
        </is>
      </c>
    </row>
    <row r="7" ht="27.75" customHeight="1">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4" t="inlineStr">
        <is>
          <t>any @ 75 | Bite (5-7) | dmg:determined(5,7);;
any @ 25 | Spit Web (2 Weak) | inflict:weak:2</t>
        </is>
      </c>
      <c r="K7" t="inlineStr">
        <is>
          <t>GreenLouse</t>
        </is>
      </c>
      <c r="L7" t="inlineStr">
        <is>
          <t>N/A</t>
        </is>
      </c>
      <c r="M7" t="inlineStr">
        <is>
          <t>bug</t>
        </is>
      </c>
    </row>
    <row r="8" ht="41.25" customHeight="1">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4" t="inlineStr">
        <is>
          <t>any @ 30 | Corrosive Spit (11, +2 Slimed) | dmg:11:ranged; add_card:slimed:2:discard;;
any @ 40 | Tackle (16) | dmg:16;;
any @ 30 | Lick (2 Weak) | inflict:weak:2</t>
        </is>
      </c>
      <c r="K8" t="inlineStr">
        <is>
          <t>AcidSlime(L)</t>
        </is>
      </c>
      <c r="L8" t="inlineStr">
        <is>
          <t>N/A</t>
        </is>
      </c>
      <c r="M8" t="inlineStr">
        <is>
          <t>slime</t>
        </is>
      </c>
    </row>
    <row r="9" ht="41.25" customHeight="1">
      <c r="A9" t="inlineStr">
        <is>
          <t>Acid Slime (M)</t>
        </is>
      </c>
      <c r="B9" t="inlineStr">
        <is>
          <t>Charisma</t>
        </is>
      </c>
      <c r="C9" t="inlineStr">
        <is>
          <t>Low</t>
        </is>
      </c>
      <c r="D9" t="n">
        <v>2</v>
      </c>
      <c r="E9" t="n">
        <v>28</v>
      </c>
      <c r="F9" t="n">
        <v>32</v>
      </c>
      <c r="G9" t="inlineStr">
        <is>
          <t>N/A</t>
        </is>
      </c>
      <c r="H9" t="inlineStr">
        <is>
          <t>Slay the Spire</t>
        </is>
      </c>
      <c r="I9" t="inlineStr">
        <is>
          <t>General</t>
        </is>
      </c>
      <c r="J9" s="4" t="inlineStr">
        <is>
          <t>any @ 30 | Corrosive Spit (7, +1 Slimed) | dmg:7:ranged; add_card:slimed:1:discard;;
any @ 40 | Tackle (10) | dmg:10;;
any @ 30 | Lick (1 Weak) | inflict:weak:1</t>
        </is>
      </c>
      <c r="K9" t="inlineStr">
        <is>
          <t>AcidSlime(M)</t>
        </is>
      </c>
      <c r="L9" t="inlineStr">
        <is>
          <t>N/A</t>
        </is>
      </c>
      <c r="M9" t="inlineStr">
        <is>
          <t>slime</t>
        </is>
      </c>
    </row>
    <row r="10" ht="27.75" customHeight="1">
      <c r="A10" t="inlineStr">
        <is>
          <t>Acid Slime (S)</t>
        </is>
      </c>
      <c r="B10" t="inlineStr">
        <is>
          <t>Charisma</t>
        </is>
      </c>
      <c r="C10" t="inlineStr">
        <is>
          <t>Low</t>
        </is>
      </c>
      <c r="D10" t="n">
        <v>1</v>
      </c>
      <c r="E10" t="n">
        <v>8</v>
      </c>
      <c r="F10" t="n">
        <v>12</v>
      </c>
      <c r="G10" t="inlineStr">
        <is>
          <t>N/A</t>
        </is>
      </c>
      <c r="H10" t="inlineStr">
        <is>
          <t>Slay the Spire</t>
        </is>
      </c>
      <c r="I10" t="inlineStr">
        <is>
          <t>General</t>
        </is>
      </c>
      <c r="J10" s="4" t="inlineStr">
        <is>
          <t>any @ 50 | Tackle (3) | dmg:3;;
any @ 50 | Lick (1 Weak) | inflict:weak:1</t>
        </is>
      </c>
      <c r="K10" t="inlineStr">
        <is>
          <t>AcidSlime(S)</t>
        </is>
      </c>
      <c r="L10" t="inlineStr">
        <is>
          <t>N/A</t>
        </is>
      </c>
      <c r="M10" t="inlineStr">
        <is>
          <t>slime</t>
        </is>
      </c>
    </row>
    <row r="11" ht="27.75" customHeight="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4" t="inlineStr">
        <is>
          <t>any @ 30 | Flame Tackle (16, +2 Slimed) | dmg:16; add_card:slimed:2:discard;;
any @ 70 | Lick (2 Frail) | inflict:frail:2</t>
        </is>
      </c>
      <c r="K11" t="inlineStr">
        <is>
          <t>SpikeSlime(L)</t>
        </is>
      </c>
      <c r="L11" t="inlineStr">
        <is>
          <t>N/A</t>
        </is>
      </c>
      <c r="M11" t="inlineStr">
        <is>
          <t>slime</t>
        </is>
      </c>
    </row>
    <row r="12" ht="27.75" customHeight="1">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4" t="inlineStr">
        <is>
          <t>any @ 30 | Flame Tackle (8, +1 Slimed) | dmg:8; add_card:slimed:1:discard;;
any @ 70 | Lick (1 Frail) | inflict:frail:1</t>
        </is>
      </c>
      <c r="K12" t="inlineStr">
        <is>
          <t>SpikeSlime(M)</t>
        </is>
      </c>
      <c r="L12" t="inlineStr">
        <is>
          <t>N/A</t>
        </is>
      </c>
      <c r="M12" t="inlineStr">
        <is>
          <t>slime</t>
        </is>
      </c>
    </row>
    <row r="13" ht="15" customHeight="1">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Q2" sqref="Q2"/>
    </sheetView>
  </sheetViews>
  <sheetFormatPr baseColWidth="8" defaultColWidth="8.7109375" defaultRowHeight="15"/>
  <cols>
    <col width="10.28515625" customWidth="1" min="1" max="1"/>
    <col width="10.7109375" customWidth="1" min="2" max="2"/>
    <col width="11.42578125" customWidth="1" min="3" max="3"/>
    <col width="11" customWidth="1" min="4" max="4"/>
    <col width="20.140625" customWidth="1" min="5" max="5"/>
    <col width="11" customWidth="1" min="6" max="6"/>
    <col width="9.7109375" customWidth="1" min="7" max="7"/>
    <col width="10" customWidth="1" min="8" max="8"/>
    <col width="8.85546875" customWidth="1" min="9" max="9"/>
    <col width="11.28515625" customWidth="1" min="10" max="10"/>
    <col width="11.140625" customWidth="1" min="11" max="11"/>
    <col width="78.28515625" customWidth="1" min="12" max="12"/>
    <col width="12.85546875" customWidth="1" min="13" max="13"/>
    <col width="13" customWidth="1" min="14" max="14"/>
    <col width="9.85546875" customWidth="1" min="15" max="15"/>
    <col width="13.85546875" customWidth="1" min="16" max="16"/>
    <col width="54.85546875" customWidth="1" min="17" max="17"/>
    <col width="24.140625" customWidth="1" min="18" max="18"/>
    <col width="59.140625" customWidth="1" min="19" max="19"/>
    <col width="6.85546875" customWidth="1" min="20" max="20"/>
  </cols>
  <sheetData>
    <row r="1" ht="15" customHeight="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ht="15" customHeight="1">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ht="15" customHeight="1">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ht="15" customHeight="1">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ht="15" customHeight="1">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ht="15" customHeight="1">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E17"/>
  <sheetViews>
    <sheetView zoomScale="85" zoomScaleNormal="85" workbookViewId="0">
      <selection activeCell="D57" sqref="D57"/>
    </sheetView>
  </sheetViews>
  <sheetFormatPr baseColWidth="8" defaultColWidth="8.7109375" defaultRowHeight="15"/>
  <cols>
    <col width="21.85546875" customWidth="1" min="1" max="1"/>
    <col width="10.5703125" customWidth="1" min="2" max="2"/>
    <col width="118.28515625" customWidth="1" min="3" max="3"/>
    <col width="14.28515625" customWidth="1" min="4" max="4"/>
    <col width="24.7109375" customWidth="1" min="5" max="5"/>
  </cols>
  <sheetData>
    <row r="1" ht="15" customHeight="1">
      <c r="A1" t="inlineStr">
        <is>
          <t>Name</t>
        </is>
      </c>
      <c r="B1" t="inlineStr">
        <is>
          <t>Type</t>
        </is>
      </c>
      <c r="C1" t="inlineStr">
        <is>
          <t>Challenge</t>
        </is>
      </c>
      <c r="D1" t="inlineStr">
        <is>
          <t>Penalty Card</t>
        </is>
      </c>
      <c r="E1" t="inlineStr">
        <is>
          <t>Effect</t>
        </is>
      </c>
    </row>
    <row r="2" ht="15" customHeight="1">
      <c r="A2" t="inlineStr">
        <is>
          <t>Curse of Devotion</t>
        </is>
      </c>
      <c r="B2" t="inlineStr">
        <is>
          <t>Restriction</t>
        </is>
      </c>
      <c r="C2" t="inlineStr">
        <is>
          <t>Never reset a run</t>
        </is>
      </c>
      <c r="D2" t="inlineStr">
        <is>
          <t>Random</t>
        </is>
      </c>
    </row>
    <row r="3" ht="15" customHeight="1">
      <c r="A3" t="inlineStr">
        <is>
          <t>Curse of Compulsion</t>
        </is>
      </c>
      <c r="B3" t="inlineStr">
        <is>
          <t>Restriction</t>
        </is>
      </c>
      <c r="C3" t="inlineStr">
        <is>
          <t>Never skip an offered reward (item, card, upgrade, etc.) when skipping is possible</t>
        </is>
      </c>
      <c r="D3" t="inlineStr">
        <is>
          <t>Random</t>
        </is>
      </c>
    </row>
    <row r="4" ht="15" customHeight="1">
      <c r="A4" t="inlineStr">
        <is>
          <t>Curse of Impulse</t>
        </is>
      </c>
      <c r="B4" t="inlineStr">
        <is>
          <t>Restriction</t>
        </is>
      </c>
      <c r="C4" t="inlineStr">
        <is>
          <t>When taking reward options, only take the first option offered</t>
        </is>
      </c>
      <c r="D4" t="inlineStr">
        <is>
          <t>Regret</t>
        </is>
      </c>
    </row>
    <row r="5" ht="15" customHeight="1">
      <c r="A5" t="inlineStr">
        <is>
          <t>Curse of Haste</t>
        </is>
      </c>
      <c r="B5" t="inlineStr">
        <is>
          <t>Restriction</t>
        </is>
      </c>
      <c r="C5" t="inlineStr">
        <is>
          <t>If you aren't playing a Traditional Roguelike, Complete the run in 3 hours or less</t>
        </is>
      </c>
      <c r="D5" t="inlineStr">
        <is>
          <t>Random</t>
        </is>
      </c>
    </row>
    <row r="6" ht="15" customHeight="1">
      <c r="A6" t="inlineStr">
        <is>
          <t>Curse of Blindness</t>
        </is>
      </c>
      <c r="B6" t="inlineStr">
        <is>
          <t>Restriction</t>
        </is>
      </c>
      <c r="C6" t="inlineStr">
        <is>
          <t>You must randomly choose your starting Character/Loadout if possible</t>
        </is>
      </c>
      <c r="D6" t="inlineStr">
        <is>
          <t>Random</t>
        </is>
      </c>
    </row>
    <row r="7" ht="15" customHeight="1">
      <c r="A7" t="inlineStr">
        <is>
          <t>Curse of Frugality</t>
        </is>
      </c>
      <c r="B7" t="inlineStr">
        <is>
          <t>Restriction</t>
        </is>
      </c>
      <c r="C7" t="inlineStr">
        <is>
          <t>Never purchase more than 2 rewards for sale in a single shop</t>
        </is>
      </c>
      <c r="D7" t="inlineStr">
        <is>
          <t>Greed</t>
        </is>
      </c>
    </row>
    <row r="8" ht="15" customHeight="1">
      <c r="A8" t="inlineStr">
        <is>
          <t>Curse of Hubris</t>
        </is>
      </c>
      <c r="B8" t="inlineStr">
        <is>
          <t>Restriction</t>
        </is>
      </c>
      <c r="C8" t="inlineStr">
        <is>
          <t>Always Choose the highest difficulty available</t>
        </is>
      </c>
      <c r="D8" t="inlineStr">
        <is>
          <t>Pride</t>
        </is>
      </c>
    </row>
    <row r="9" ht="15" customHeight="1">
      <c r="A9" t="inlineStr">
        <is>
          <t>Curse of Vulnerability</t>
        </is>
      </c>
      <c r="B9" t="inlineStr">
        <is>
          <t>Affliction</t>
        </is>
      </c>
      <c r="C9" t="inlineStr">
        <is>
          <t>If you were to get a Curse, Get another of the same exact Curse</t>
        </is>
      </c>
      <c r="D9" t="inlineStr">
        <is>
          <t>N/A</t>
        </is>
      </c>
      <c r="E9" t="inlineStr">
        <is>
          <t>duplicate_curse</t>
        </is>
      </c>
    </row>
    <row r="10" ht="15" customHeight="1">
      <c r="A10" t="inlineStr">
        <is>
          <t>Curse of Shroud</t>
        </is>
      </c>
      <c r="B10" t="inlineStr">
        <is>
          <t>Affliction</t>
        </is>
      </c>
      <c r="C10" t="inlineStr">
        <is>
          <t>Space Choices contain one less option</t>
        </is>
      </c>
      <c r="D10" t="inlineStr">
        <is>
          <t>N/A</t>
        </is>
      </c>
      <c r="E10" t="inlineStr">
        <is>
          <t>reduce_choices:1</t>
        </is>
      </c>
    </row>
    <row r="11" ht="15" customHeight="1">
      <c r="A11" t="inlineStr">
        <is>
          <t>Curse of Misfortune</t>
        </is>
      </c>
      <c r="B11" t="inlineStr">
        <is>
          <t>Affliction</t>
        </is>
      </c>
      <c r="C11" t="inlineStr">
        <is>
          <t>When rolling a die, roll it with disadvantage</t>
        </is>
      </c>
      <c r="D11" t="inlineStr">
        <is>
          <t>N/A</t>
        </is>
      </c>
      <c r="E11" t="inlineStr">
        <is>
          <t>dice_disadvantage</t>
        </is>
      </c>
    </row>
    <row r="12" ht="15" customHeight="1">
      <c r="A12" t="inlineStr">
        <is>
          <t>Curse of Guilt</t>
        </is>
      </c>
      <c r="B12" t="inlineStr">
        <is>
          <t>Restriction</t>
        </is>
      </c>
      <c r="C12" t="inlineStr">
        <is>
          <t>Do not kill any innocents</t>
        </is>
      </c>
      <c r="D12" t="inlineStr">
        <is>
          <t>Guilty</t>
        </is>
      </c>
    </row>
    <row r="13" ht="15" customHeight="1">
      <c r="A13" t="inlineStr">
        <is>
          <t>Curse of Affection</t>
        </is>
      </c>
      <c r="B13" t="inlineStr">
        <is>
          <t>Restriction</t>
        </is>
      </c>
      <c r="C13" t="inlineStr">
        <is>
          <t>Every game you beat must be one you rate 7+/10.</t>
        </is>
      </c>
      <c r="D13" t="inlineStr">
        <is>
          <t>Random</t>
        </is>
      </c>
    </row>
    <row r="14" ht="15" customHeight="1">
      <c r="A14" t="inlineStr">
        <is>
          <t>Curse of the Hunter</t>
        </is>
      </c>
      <c r="B14" t="inlineStr">
        <is>
          <t>Restriction</t>
        </is>
      </c>
      <c r="C14" t="inlineStr">
        <is>
          <t>You must obtain a new Achievement if possible</t>
        </is>
      </c>
      <c r="D14" t="inlineStr">
        <is>
          <t>Injury</t>
        </is>
      </c>
    </row>
    <row r="15" ht="15" customHeight="1">
      <c r="A15" t="inlineStr">
        <is>
          <t>Curse of the Damp</t>
        </is>
      </c>
      <c r="B15" t="inlineStr">
        <is>
          <t>Restriction</t>
        </is>
      </c>
      <c r="C15" t="inlineStr">
        <is>
          <t>You must touch water at least once</t>
        </is>
      </c>
      <c r="D15" t="inlineStr">
        <is>
          <t>Random</t>
        </is>
      </c>
    </row>
    <row r="16" ht="15" customHeight="1">
      <c r="A16" t="inlineStr">
        <is>
          <t>Curse of Decay</t>
        </is>
      </c>
      <c r="B16" t="inlineStr">
        <is>
          <t>Affliction</t>
        </is>
      </c>
      <c r="C16" t="inlineStr">
        <is>
          <t>When obtaining a passive item, there is a 50% chance that it gets downgraded</t>
        </is>
      </c>
      <c r="D16" t="inlineStr">
        <is>
          <t>N/A</t>
        </is>
      </c>
      <c r="E16" t="inlineStr">
        <is>
          <t>item_downgrade_chance:50</t>
        </is>
      </c>
    </row>
    <row r="17" ht="15" customHeight="1">
      <c r="A17" t="inlineStr">
        <is>
          <t>Curse of Ocular Trauma</t>
        </is>
      </c>
      <c r="B17" t="inlineStr">
        <is>
          <t>Restriction</t>
        </is>
      </c>
      <c r="C17" t="inlineStr">
        <is>
          <t>Do not equip headgear if possible</t>
        </is>
      </c>
      <c r="D17" t="inlineStr">
        <is>
          <t>Punctured Eye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K61"/>
  <sheetViews>
    <sheetView topLeftCell="A10" zoomScale="85" zoomScaleNormal="85" workbookViewId="0">
      <selection activeCell="A45" sqref="A45"/>
    </sheetView>
  </sheetViews>
  <sheetFormatPr baseColWidth="8" defaultColWidth="8.7109375" defaultRowHeight="15"/>
  <cols>
    <col width="16.28515625" customWidth="1" min="1" max="1"/>
    <col width="132.7109375" customWidth="1" min="2" max="2"/>
    <col width="7.5703125" customWidth="1" min="3" max="3"/>
    <col width="11.7109375" customWidth="1" min="4" max="4"/>
    <col width="12.140625" customWidth="1" min="5" max="5"/>
    <col width="40.28515625" customWidth="1" min="6" max="6"/>
    <col width="7.5703125" customWidth="1" min="7" max="7"/>
    <col width="13.140625" customWidth="1" min="8" max="8"/>
    <col width="15.85546875" customWidth="1" min="9" max="9"/>
    <col width="11.140625" customWidth="1" min="10" max="10"/>
  </cols>
  <sheetData>
    <row r="1" ht="15" customHeight="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ht="15" customHeight="1">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ht="15" customHeight="1">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ht="15" customHeight="1">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ht="15" customHeight="1">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ht="15" customHeight="1">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ht="15" customHeight="1">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ht="15" customHeight="1">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ht="15" customHeight="1">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ht="15" customHeight="1">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ht="15" customHeight="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ht="15" customHeight="1">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ht="15" customHeight="1">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ht="15" customHeight="1">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ht="15" customHeight="1">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ht="15" customHeight="1">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ht="15" customHeight="1">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ht="15" customHeight="1">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ht="15" customHeight="1">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ht="15" customHeight="1">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ht="15" customHeight="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ht="15" customHeight="1">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ht="15" customHeight="1">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ht="15" customHeight="1">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ht="15" customHeight="1">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ht="15" customHeight="1">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ht="15" customHeight="1">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ht="15" customHeight="1">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ht="15" customHeight="1">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ht="15" customHeight="1">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ht="15" customHeight="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ht="15" customHeight="1">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ht="15" customHeight="1">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ht="15" customHeight="1">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ht="15" customHeight="1">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ht="15" customHeight="1">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ht="15" customHeight="1">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ht="15" customHeight="1">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ht="15" customHeight="1">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ht="15" customHeight="1">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ht="15" customHeight="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ht="15" customHeight="1">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ht="15" customHeight="1">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ht="15" customHeight="1">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ht="15" customHeight="1">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ht="15" customHeight="1">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ht="15" customHeight="1">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ht="15" customHeight="1">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ht="15" customHeight="1">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ht="15" customHeight="1">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ht="15" customHeight="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ht="15" customHeight="1">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ht="15" customHeight="1">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ht="15" customHeight="1">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ht="15" customHeight="1">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ht="15" customHeight="1">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ht="15" customHeight="1">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ht="15" customHeight="1">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ht="15" customHeight="1">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ht="15" customHeight="1">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ht="15" customHeight="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M43"/>
  <sheetViews>
    <sheetView zoomScale="85" zoomScaleNormal="85" workbookViewId="0">
      <selection activeCell="B5" sqref="B5"/>
    </sheetView>
  </sheetViews>
  <sheetFormatPr baseColWidth="8" defaultColWidth="8.7109375" defaultRowHeight="15"/>
  <cols>
    <col width="17" bestFit="1" customWidth="1" min="1" max="1"/>
    <col width="112.85546875" customWidth="1" min="2" max="2"/>
    <col width="61" customWidth="1" min="3" max="3"/>
    <col width="7.5703125" customWidth="1" min="4" max="4"/>
    <col width="11.7109375" customWidth="1" min="5" max="5"/>
    <col width="12.140625" customWidth="1" min="6" max="6"/>
    <col width="40.28515625" customWidth="1" min="7" max="7"/>
    <col width="7.5703125" customWidth="1" min="8" max="8"/>
    <col width="13.140625" customWidth="1" min="9" max="10"/>
    <col width="11.140625" customWidth="1" min="11" max="11"/>
    <col width="12.28515625" customWidth="1" min="12" max="12"/>
    <col width="83.42578125" customWidth="1" min="13" max="13"/>
  </cols>
  <sheetData>
    <row r="1" ht="15" customHeight="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ht="15" customHeight="1">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ht="15" customHeight="1">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ht="15" customHeight="1">
      <c r="A5" s="5" t="inlineStr">
        <is>
          <t>Blind</t>
        </is>
      </c>
      <c r="B5" s="5" t="inlineStr">
        <is>
          <t>Each hit from an Attack have a 30% Miss Chance</t>
        </is>
      </c>
      <c r="C5" s="5" t="inlineStr">
        <is>
          <t>on_damage_dealt:roll_miss:30:type=attack</t>
        </is>
      </c>
      <c r="D5" s="5" t="inlineStr">
        <is>
          <t>Debuff</t>
        </is>
      </c>
      <c r="E5" s="5" t="inlineStr">
        <is>
          <t>Yes</t>
        </is>
      </c>
      <c r="F5" s="5" t="inlineStr">
        <is>
          <t>N/A</t>
        </is>
      </c>
      <c r="G5" s="5" t="inlineStr">
        <is>
          <t>Down by 1 at end of turn</t>
        </is>
      </c>
      <c r="H5" s="5" t="inlineStr">
        <is>
          <t>All</t>
        </is>
      </c>
      <c r="I5" s="5" t="inlineStr">
        <is>
          <t>Negative</t>
        </is>
      </c>
      <c r="J5" s="5" t="inlineStr">
        <is>
          <t>Blind</t>
        </is>
      </c>
      <c r="K5" s="5" t="inlineStr">
        <is>
          <t>Common</t>
        </is>
      </c>
      <c r="L5" t="inlineStr">
        <is>
          <t>Yes</t>
        </is>
      </c>
      <c r="M5" t="inlineStr">
        <is>
          <t>N/A</t>
        </is>
      </c>
    </row>
    <row r="6" ht="15" customHeight="1">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ht="15" customHeight="1">
      <c r="A7" s="6" t="inlineStr">
        <is>
          <t>Buffer</t>
        </is>
      </c>
      <c r="B7" s="7" t="inlineStr">
        <is>
          <t>Prevent the next X times the target would lose Health</t>
        </is>
      </c>
      <c r="C7" s="7" t="inlineStr">
        <is>
          <t>on_damage_taken:skip_and_consume</t>
        </is>
      </c>
      <c r="D7" s="7" t="inlineStr">
        <is>
          <t>Buff</t>
        </is>
      </c>
      <c r="E7" s="7" t="inlineStr">
        <is>
          <t>Yes</t>
        </is>
      </c>
      <c r="F7" s="7" t="inlineStr">
        <is>
          <t>N/A</t>
        </is>
      </c>
      <c r="G7" s="8" t="inlineStr">
        <is>
          <t>Down when player was going to lose health</t>
        </is>
      </c>
      <c r="H7" s="7" t="inlineStr">
        <is>
          <t>All</t>
        </is>
      </c>
      <c r="I7" s="7" t="inlineStr">
        <is>
          <t>Positive</t>
        </is>
      </c>
      <c r="J7" s="7" t="inlineStr">
        <is>
          <t>Buffer</t>
        </is>
      </c>
      <c r="K7" s="7" t="inlineStr">
        <is>
          <t>Rare</t>
        </is>
      </c>
      <c r="L7" t="inlineStr">
        <is>
          <t>Yes</t>
        </is>
      </c>
      <c r="M7" t="inlineStr">
        <is>
          <t>N/A</t>
        </is>
      </c>
    </row>
    <row r="8" ht="15" customHeight="1">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ht="15" customHeight="1">
      <c r="A9" t="inlineStr">
        <is>
          <t>Confused</t>
        </is>
      </c>
      <c r="B9" s="9" t="inlineStr">
        <is>
          <t>Each card's energy cost is randomized between 0 and your max energy each turn</t>
        </is>
      </c>
      <c r="C9" s="9"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ht="15" customHeight="1">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ht="15" customHeight="1">
      <c r="A11" t="inlineStr">
        <is>
          <t>Curl Up</t>
        </is>
      </c>
      <c r="B11" s="9" t="inlineStr">
        <is>
          <t>Gains X Block the first time it takes attack damage each turn</t>
        </is>
      </c>
      <c r="C11" s="9"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ht="15" customHeight="1">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ht="15" customHeight="1">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ht="15" customHeight="1">
      <c r="A14" t="inlineStr">
        <is>
          <t>Fading</t>
        </is>
      </c>
      <c r="B14" s="9" t="inlineStr">
        <is>
          <t>Dies in X turns</t>
        </is>
      </c>
      <c r="C14" s="9"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ht="15" customHeight="1">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ht="15" customHeight="1">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ht="15" customHeight="1">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ht="15" customHeight="1">
      <c r="A18" t="inlineStr">
        <is>
          <t>Plated Armor</t>
        </is>
      </c>
      <c r="B18" t="inlineStr">
        <is>
          <t>At the end of your turn, Gain X Block</t>
        </is>
      </c>
      <c r="C18" t="inlineStr">
        <is>
          <t>on_turn_end:gain_block:per_stack</t>
        </is>
      </c>
      <c r="D18" t="inlineStr">
        <is>
          <t>Buff</t>
        </is>
      </c>
      <c r="E18" t="inlineStr">
        <is>
          <t>Yes</t>
        </is>
      </c>
      <c r="F18" t="inlineStr">
        <is>
          <t>N/A</t>
        </is>
      </c>
      <c r="G18" s="3"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ht="15" customHeight="1">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ht="15" customHeight="1">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ht="15" customHeight="1">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c r="A22" t="inlineStr">
        <is>
          <t>Ritual</t>
        </is>
      </c>
      <c r="B22" s="9" t="inlineStr">
        <is>
          <t>At the end of its turn, gains X Power</t>
        </is>
      </c>
      <c r="C22" s="9"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c r="A23" t="inlineStr">
        <is>
          <t>Shackled</t>
        </is>
      </c>
      <c r="B23" s="9" t="inlineStr">
        <is>
          <t>Regains X Power at the end of the target's turn, then all Shackled is removed</t>
        </is>
      </c>
      <c r="C23" s="9"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ht="15" customHeight="1">
      <c r="A24" t="inlineStr">
        <is>
          <t>Shifting</t>
        </is>
      </c>
      <c r="B24" s="9" t="inlineStr">
        <is>
          <t>At the end of the target's turn, it loses Power equal to the damage it took this turn and gains that much Shackled</t>
        </is>
      </c>
      <c r="C24" s="9"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ht="15" customHeight="1">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ht="15" customHeight="1">
      <c r="A26" t="inlineStr">
        <is>
          <t>Split</t>
        </is>
      </c>
      <c r="B26" s="9" t="inlineStr">
        <is>
          <t>When target's HP is at or below 50%, its intent becomes Splitting and it spawns its split targets at its current HP on its turn</t>
        </is>
      </c>
      <c r="C26" s="9"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ht="15" customHeight="1">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ht="15" customHeight="1">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ht="15" customHeight="1">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ht="15" customHeight="1">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row r="31" ht="60" customHeight="1">
      <c r="A31" t="inlineStr">
        <is>
          <t>Next Turn Energy</t>
        </is>
      </c>
      <c r="B31" s="9" t="inlineStr">
        <is>
          <t>Gain X Energy at the start of your next turn, where X is the stack</t>
        </is>
      </c>
      <c r="C31" s="9" t="inlineStr">
        <is>
          <t>on_turn_start: gain N energy, then all stacks removed</t>
        </is>
      </c>
      <c r="D31" t="inlineStr">
        <is>
          <t>Buff</t>
        </is>
      </c>
      <c r="E31" t="inlineStr">
        <is>
          <t>Yes</t>
        </is>
      </c>
      <c r="F31" t="inlineStr">
        <is>
          <t>N/A</t>
        </is>
      </c>
      <c r="G31" t="inlineStr">
        <is>
          <t>Lose all when triggered</t>
        </is>
      </c>
      <c r="H31" t="inlineStr">
        <is>
          <t>Player</t>
        </is>
      </c>
      <c r="I31" t="inlineStr">
        <is>
          <t>Positive</t>
        </is>
      </c>
      <c r="J31" t="inlineStr">
        <is>
          <t>NextTurnEnergy</t>
        </is>
      </c>
      <c r="K31" t="inlineStr">
        <is>
          <t>Uncommon</t>
        </is>
      </c>
      <c r="L31" t="inlineStr">
        <is>
          <t>No</t>
        </is>
      </c>
      <c r="M31" s="9"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ht="45" customHeight="1">
      <c r="A32" t="inlineStr">
        <is>
          <t>Next Turn Draw</t>
        </is>
      </c>
      <c r="B32" s="9" t="inlineStr">
        <is>
          <t>Draw X additional Cards at the start of your next turn, where X is the stack</t>
        </is>
      </c>
      <c r="C32" s="9" t="inlineStr">
        <is>
          <t>on_turn_start: draw N cards, then all stacks removed</t>
        </is>
      </c>
      <c r="D32" t="inlineStr">
        <is>
          <t>Buff</t>
        </is>
      </c>
      <c r="E32" t="inlineStr">
        <is>
          <t>Yes</t>
        </is>
      </c>
      <c r="F32" t="inlineStr">
        <is>
          <t>N/A</t>
        </is>
      </c>
      <c r="G32" t="inlineStr">
        <is>
          <t>Lose all when triggered</t>
        </is>
      </c>
      <c r="H32" t="inlineStr">
        <is>
          <t>Player</t>
        </is>
      </c>
      <c r="I32" t="inlineStr">
        <is>
          <t>Positive</t>
        </is>
      </c>
      <c r="J32" t="inlineStr">
        <is>
          <t>NextTurnDraw</t>
        </is>
      </c>
      <c r="K32" t="inlineStr">
        <is>
          <t>Uncommon</t>
        </is>
      </c>
      <c r="L32" t="inlineStr">
        <is>
          <t>No</t>
        </is>
      </c>
      <c r="M32" s="9" t="inlineStr">
        <is>
          <t>db.player: +stacks cards with the turn-start hand, then cleared | strategy.player: +stacks cards with the turn-start hand, then cleared | action.player: at the next turn tick (in combat) opens stacks temporary auto-cast slots (the draw analog), then cleared</t>
        </is>
      </c>
    </row>
    <row r="33" ht="60" customHeight="1">
      <c r="A33" t="inlineStr">
        <is>
          <t>No Draw</t>
        </is>
      </c>
      <c r="B33" s="9" t="inlineStr">
        <is>
          <t>You cannot Draw Cards this turn</t>
        </is>
      </c>
      <c r="C33" s="9" t="inlineStr">
        <is>
          <t>on_draw: suppress</t>
        </is>
      </c>
      <c r="D33" t="inlineStr">
        <is>
          <t>Debuff</t>
        </is>
      </c>
      <c r="E33" t="inlineStr">
        <is>
          <t>Yes</t>
        </is>
      </c>
      <c r="F33" t="inlineStr">
        <is>
          <t>N/A</t>
        </is>
      </c>
      <c r="G33" t="inlineStr">
        <is>
          <t>Down by 1 at end of turn</t>
        </is>
      </c>
      <c r="H33" t="inlineStr">
        <is>
          <t>Player</t>
        </is>
      </c>
      <c r="I33" t="inlineStr">
        <is>
          <t>Negative</t>
        </is>
      </c>
      <c r="J33" t="inlineStr">
        <is>
          <t>NoDraw</t>
        </is>
      </c>
      <c r="K33" t="inlineStr">
        <is>
          <t>N/A</t>
        </is>
      </c>
      <c r="L33" t="inlineStr">
        <is>
          <t>No</t>
        </is>
      </c>
      <c r="M33" s="9"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ht="45" customHeight="1">
      <c r="A34" t="inlineStr">
        <is>
          <t>Intangible</t>
        </is>
      </c>
      <c r="B34" s="9" t="inlineStr">
        <is>
          <t>Reduce each instance of Dmg and Health loss to 1</t>
        </is>
      </c>
      <c r="C34" s="9" t="inlineStr">
        <is>
          <t>on_damage: clamp each instance to 1 (pre-block)</t>
        </is>
      </c>
      <c r="D34" t="inlineStr">
        <is>
          <t>Buff</t>
        </is>
      </c>
      <c r="E34" t="inlineStr">
        <is>
          <t>Yes</t>
        </is>
      </c>
      <c r="F34" t="inlineStr">
        <is>
          <t>N/A</t>
        </is>
      </c>
      <c r="G34" t="inlineStr">
        <is>
          <t>Down by 1 at end of turn</t>
        </is>
      </c>
      <c r="H34" t="inlineStr">
        <is>
          <t>All</t>
        </is>
      </c>
      <c r="I34" t="inlineStr">
        <is>
          <t>Positive</t>
        </is>
      </c>
      <c r="J34" t="inlineStr">
        <is>
          <t>Intangible</t>
        </is>
      </c>
      <c r="K34" t="inlineStr">
        <is>
          <t>Rare</t>
        </is>
      </c>
      <c r="L34" t="inlineStr">
        <is>
          <t>Yes</t>
        </is>
      </c>
      <c r="M34" s="9"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ht="45" customHeight="1">
      <c r="A35" t="inlineStr">
        <is>
          <t>Choked</t>
        </is>
      </c>
      <c r="B35" s="9" t="inlineStr">
        <is>
          <t>Whenever you play a Card, this target loses X Health where X is the stack. All Choked is lost at the end of your turn.</t>
        </is>
      </c>
      <c r="C35" s="9" t="inlineStr">
        <is>
          <t>on_card_played: lose stacks as raw HP (apply_dot, like Bleed's bite)</t>
        </is>
      </c>
      <c r="D35" t="inlineStr">
        <is>
          <t>Debuff</t>
        </is>
      </c>
      <c r="E35" t="inlineStr">
        <is>
          <t>Yes</t>
        </is>
      </c>
      <c r="F35" t="inlineStr">
        <is>
          <t>N/A</t>
        </is>
      </c>
      <c r="G35" t="inlineStr">
        <is>
          <t>All lost at end of your turn</t>
        </is>
      </c>
      <c r="H35" t="inlineStr">
        <is>
          <t>Enemy</t>
        </is>
      </c>
      <c r="I35" t="inlineStr">
        <is>
          <t>Negative</t>
        </is>
      </c>
      <c r="J35" t="inlineStr">
        <is>
          <t>Choked</t>
        </is>
      </c>
      <c r="K35" t="inlineStr">
        <is>
          <t>N/A</t>
        </is>
      </c>
      <c r="L35" t="inlineStr">
        <is>
          <t>Yes</t>
        </is>
      </c>
      <c r="M35" s="9" t="inlineStr">
        <is>
          <t>db/strategy: every card play AFTER the choking play bites via apply_dot (the play that inflicts Choked doesn't proc itself); wiped alongside Bleed at the player's end of turn | action: every click/auto card use bites; wiped at each turn tick</t>
        </is>
      </c>
    </row>
    <row r="36">
      <c r="A36" t="inlineStr">
        <is>
          <t>Flame Barrier</t>
        </is>
      </c>
      <c r="B36" s="9" t="inlineStr">
        <is>
          <t>Until your next turn, enemies that hit you take X Magic Dmg Fire and gain 1 Burn per contact.</t>
        </is>
      </c>
      <c r="C36" s="9" t="inlineStr">
        <is>
          <t>N/A — behavior lives on the card's Effects DSL</t>
        </is>
      </c>
      <c r="D36" t="inlineStr">
        <is>
          <t>Skill</t>
        </is>
      </c>
      <c r="E36" t="inlineStr">
        <is>
          <t>Yes</t>
        </is>
      </c>
      <c r="F36" t="inlineStr">
        <is>
          <t>N/A</t>
        </is>
      </c>
      <c r="G36" t="inlineStr">
        <is>
          <t>All stacks lost at the start of your next turn</t>
        </is>
      </c>
      <c r="H36" t="inlineStr">
        <is>
          <t>Player</t>
        </is>
      </c>
      <c r="I36" t="inlineStr">
        <is>
          <t>Positive</t>
        </is>
      </c>
      <c r="J36" t="inlineStr">
        <is>
          <t>FlameBarrier</t>
        </is>
      </c>
      <c r="K36" t="inlineStr">
        <is>
          <t>Uncommon</t>
        </is>
      </c>
      <c r="L36" t="inlineStr">
        <is>
          <t>No</t>
        </is>
      </c>
      <c r="M36" t="inlineStr">
        <is>
          <t>N/A</t>
        </is>
      </c>
    </row>
    <row r="37">
      <c r="A37" t="inlineStr">
        <is>
          <t>Rage</t>
        </is>
      </c>
      <c r="B37" s="9" t="inlineStr">
        <is>
          <t>Until the end of your turn, whenever you play an Attack, Gain +X Block.</t>
        </is>
      </c>
      <c r="C37" s="9" t="inlineStr">
        <is>
          <t>N/A — behavior lives on the card's Effects DSL</t>
        </is>
      </c>
      <c r="D37" t="inlineStr">
        <is>
          <t>Skill</t>
        </is>
      </c>
      <c r="E37" t="inlineStr">
        <is>
          <t>Yes</t>
        </is>
      </c>
      <c r="F37" t="inlineStr">
        <is>
          <t>N/A</t>
        </is>
      </c>
      <c r="G37" t="inlineStr">
        <is>
          <t>All stacks lost at the start of your next turn</t>
        </is>
      </c>
      <c r="H37" t="inlineStr">
        <is>
          <t>Player</t>
        </is>
      </c>
      <c r="I37" t="inlineStr">
        <is>
          <t>Positive</t>
        </is>
      </c>
      <c r="J37" t="inlineStr">
        <is>
          <t>Rage</t>
        </is>
      </c>
      <c r="K37" t="inlineStr">
        <is>
          <t>Uncommon</t>
        </is>
      </c>
      <c r="L37" t="inlineStr">
        <is>
          <t>No</t>
        </is>
      </c>
      <c r="M37" t="inlineStr">
        <is>
          <t>N/A</t>
        </is>
      </c>
    </row>
    <row r="38">
      <c r="A38" t="inlineStr">
        <is>
          <t>Double Tap</t>
        </is>
      </c>
      <c r="B38" s="9" t="inlineStr">
        <is>
          <t>This turn, your next X Attacks are played twice.</t>
        </is>
      </c>
      <c r="C38" s="9" t="inlineStr">
        <is>
          <t>N/A — behavior lives on the card's Effects DSL</t>
        </is>
      </c>
      <c r="D38" t="inlineStr">
        <is>
          <t>Skill</t>
        </is>
      </c>
      <c r="E38" t="inlineStr">
        <is>
          <t>Yes</t>
        </is>
      </c>
      <c r="F38" t="inlineStr">
        <is>
          <t>N/A</t>
        </is>
      </c>
      <c r="G38" t="inlineStr">
        <is>
          <t>All stacks lost at the start of your next turn</t>
        </is>
      </c>
      <c r="H38" t="inlineStr">
        <is>
          <t>Player</t>
        </is>
      </c>
      <c r="I38" t="inlineStr">
        <is>
          <t>Positive</t>
        </is>
      </c>
      <c r="J38" t="inlineStr">
        <is>
          <t>DoubleTap</t>
        </is>
      </c>
      <c r="K38" t="inlineStr">
        <is>
          <t>Rare</t>
        </is>
      </c>
      <c r="L38" t="inlineStr">
        <is>
          <t>No</t>
        </is>
      </c>
      <c r="M38" t="inlineStr">
        <is>
          <t>N/A</t>
        </is>
      </c>
    </row>
    <row r="39">
      <c r="A39" t="inlineStr">
        <is>
          <t>Blur</t>
        </is>
      </c>
      <c r="B39" s="9" t="inlineStr">
        <is>
          <t>Your Block is not removed at the start of your next turn. Down by 1 each turn it preserves your Block.</t>
        </is>
      </c>
      <c r="C39" s="9" t="inlineStr">
        <is>
          <t>on_turn_start: keep block, then stack -1</t>
        </is>
      </c>
      <c r="D39" t="inlineStr">
        <is>
          <t>Buff</t>
        </is>
      </c>
      <c r="E39" t="inlineStr">
        <is>
          <t>Yes</t>
        </is>
      </c>
      <c r="F39" t="inlineStr">
        <is>
          <t>N/A</t>
        </is>
      </c>
      <c r="G39" t="inlineStr">
        <is>
          <t>Down by 1 when it preserves your Block at turn start</t>
        </is>
      </c>
      <c r="H39" t="inlineStr">
        <is>
          <t>Player</t>
        </is>
      </c>
      <c r="I39" t="inlineStr">
        <is>
          <t>Positive</t>
        </is>
      </c>
      <c r="J39" t="inlineStr">
        <is>
          <t>Blur</t>
        </is>
      </c>
      <c r="K39" t="inlineStr">
        <is>
          <t>Uncommon</t>
        </is>
      </c>
      <c r="L39" t="inlineStr">
        <is>
          <t>No</t>
        </is>
      </c>
      <c r="M39"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t="inlineStr">
        <is>
          <t>Burst</t>
        </is>
      </c>
      <c r="B40" s="9" t="inlineStr">
        <is>
          <t>This turn, your next X Skills are played twice.</t>
        </is>
      </c>
      <c r="C40" s="9" t="inlineStr">
        <is>
          <t>N/A — behavior lives on the card's Effects DSL</t>
        </is>
      </c>
      <c r="D40" t="inlineStr">
        <is>
          <t>Skill</t>
        </is>
      </c>
      <c r="E40" t="inlineStr">
        <is>
          <t>Yes</t>
        </is>
      </c>
      <c r="F40" t="inlineStr">
        <is>
          <t>N/A</t>
        </is>
      </c>
      <c r="G40" t="inlineStr">
        <is>
          <t>All stacks lost at the start of your next turn</t>
        </is>
      </c>
      <c r="H40" t="inlineStr">
        <is>
          <t>Player</t>
        </is>
      </c>
      <c r="I40" t="inlineStr">
        <is>
          <t>Positive</t>
        </is>
      </c>
      <c r="J40" t="inlineStr">
        <is>
          <t>Burst</t>
        </is>
      </c>
      <c r="K40" t="inlineStr">
        <is>
          <t>Rare</t>
        </is>
      </c>
      <c r="L40" t="inlineStr">
        <is>
          <t>No</t>
        </is>
      </c>
      <c r="M40" t="inlineStr">
        <is>
          <t>N/A</t>
        </is>
      </c>
    </row>
    <row r="41">
      <c r="A41" t="inlineStr">
        <is>
          <t>Next Turn Block</t>
        </is>
      </c>
      <c r="B41" s="9" t="inlineStr">
        <is>
          <t>Gain X Block at the start of your next turn, where X is the stack</t>
        </is>
      </c>
      <c r="C41" s="9" t="inlineStr">
        <is>
          <t>on_turn_start: gain N block, then all stacks removed</t>
        </is>
      </c>
      <c r="D41" t="inlineStr">
        <is>
          <t>Buff</t>
        </is>
      </c>
      <c r="E41" t="inlineStr">
        <is>
          <t>Yes</t>
        </is>
      </c>
      <c r="F41" t="inlineStr">
        <is>
          <t>N/A</t>
        </is>
      </c>
      <c r="G41" t="inlineStr">
        <is>
          <t>Lose all when triggered</t>
        </is>
      </c>
      <c r="H41" t="inlineStr">
        <is>
          <t>Player</t>
        </is>
      </c>
      <c r="I41" t="inlineStr">
        <is>
          <t>Positive</t>
        </is>
      </c>
      <c r="J41" t="inlineStr">
        <is>
          <t>NextTurnBlock</t>
        </is>
      </c>
      <c r="K41" t="inlineStr">
        <is>
          <t>Uncommon</t>
        </is>
      </c>
      <c r="L41" t="inlineStr">
        <is>
          <t>No</t>
        </is>
      </c>
      <c r="M41" t="inlineStr">
        <is>
          <t>db.player: +stacks Block (through gain_block, so Frail/Defense apply) at turn start, then cleared | strategy.player: same at the unit's turn start | action.player: at the next turn tick the stacks pour into the decaying block pool, then cleared</t>
        </is>
      </c>
    </row>
    <row r="42">
      <c r="A42" t="inlineStr">
        <is>
          <t>Double Damage</t>
        </is>
      </c>
      <c r="B42" s="9" t="inlineStr">
        <is>
          <t>Your Attacks deal double damage. X is the number of turns it lasts.</t>
        </is>
      </c>
      <c r="C42" s="9" t="inlineStr">
        <is>
          <t>on_damage_dealt:multiplier:2:type=attack</t>
        </is>
      </c>
      <c r="D42" t="inlineStr">
        <is>
          <t>Buff</t>
        </is>
      </c>
      <c r="E42" t="inlineStr">
        <is>
          <t>Yes</t>
        </is>
      </c>
      <c r="F42" t="inlineStr">
        <is>
          <t>N/A</t>
        </is>
      </c>
      <c r="G42" t="inlineStr">
        <is>
          <t>Down by 1 at end of turn</t>
        </is>
      </c>
      <c r="H42" t="inlineStr">
        <is>
          <t>All</t>
        </is>
      </c>
      <c r="I42" t="inlineStr">
        <is>
          <t>Positive</t>
        </is>
      </c>
      <c r="J42" t="inlineStr">
        <is>
          <t>DoubleDamage</t>
        </is>
      </c>
      <c r="K42" t="inlineStr">
        <is>
          <t>Rare</t>
        </is>
      </c>
      <c r="L42" t="inlineStr">
        <is>
          <t>Yes</t>
        </is>
      </c>
      <c r="M42" t="inlineStr">
        <is>
          <t>N/A</t>
        </is>
      </c>
    </row>
    <row r="43">
      <c r="A43" t="inlineStr">
        <is>
          <t>Corpse Explosion</t>
        </is>
      </c>
      <c r="B43" s="9" t="inlineStr">
        <is>
          <t>When this target dies, it deals damage equal to its Max Health to all other enemies.</t>
        </is>
      </c>
      <c r="C43" s="9" t="inlineStr">
        <is>
          <t>on_death: dmg max_hp to all other enemies</t>
        </is>
      </c>
      <c r="D43" t="inlineStr">
        <is>
          <t>Debuff</t>
        </is>
      </c>
      <c r="E43" t="inlineStr">
        <is>
          <t>No</t>
        </is>
      </c>
      <c r="F43" t="inlineStr">
        <is>
          <t>N/A</t>
        </is>
      </c>
      <c r="G43" t="inlineStr">
        <is>
          <t>None</t>
        </is>
      </c>
      <c r="H43" t="inlineStr">
        <is>
          <t>Enemy</t>
        </is>
      </c>
      <c r="I43" t="inlineStr">
        <is>
          <t>Negative</t>
        </is>
      </c>
      <c r="J43" t="inlineStr">
        <is>
          <t>CorpseExplosion</t>
        </is>
      </c>
      <c r="K43" t="inlineStr">
        <is>
          <t>Rare</t>
        </is>
      </c>
      <c r="L43" t="inlineStr">
        <is>
          <t>No</t>
        </is>
      </c>
      <c r="M43" t="inlineStr">
        <is>
          <t>db.enemy: the corpse detonates for its Max HP against every other living enemy | strategy.enemy: same room-wide blast | action.enemy: the corpse bursts like Lil' Bomber — a Medium blast disc at the body; only enemies caught in the radius take the Max HP hit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E8"/>
  <sheetViews>
    <sheetView zoomScale="85" zoomScaleNormal="85" workbookViewId="0">
      <selection activeCell="B10" sqref="B10"/>
    </sheetView>
  </sheetViews>
  <sheetFormatPr baseColWidth="8" defaultColWidth="8.7109375" defaultRowHeight="15"/>
  <cols>
    <col width="79.42578125" customWidth="1" min="2" max="2"/>
    <col width="23.85546875" customWidth="1" min="3" max="3"/>
    <col width="59" customWidth="1" min="4" max="4"/>
    <col width="11.140625" customWidth="1" min="5" max="5"/>
  </cols>
  <sheetData>
    <row r="1" ht="15" customHeight="1">
      <c r="A1" t="inlineStr">
        <is>
          <t>Name</t>
        </is>
      </c>
      <c r="B1" t="inlineStr">
        <is>
          <t>Effect on Attack</t>
        </is>
      </c>
      <c r="C1" t="inlineStr">
        <is>
          <t xml:space="preserve">Extra Effects </t>
        </is>
      </c>
      <c r="D1" t="inlineStr">
        <is>
          <t>Extra Effects 2</t>
        </is>
      </c>
      <c r="E1" t="inlineStr">
        <is>
          <t>Color</t>
        </is>
      </c>
    </row>
    <row r="2" ht="15" customHeight="1">
      <c r="A2" t="inlineStr">
        <is>
          <t>Blood</t>
        </is>
      </c>
      <c r="B2" t="inlineStr">
        <is>
          <t>Inflict 1 Bleed</t>
        </is>
      </c>
      <c r="E2" t="inlineStr">
        <is>
          <t>Red</t>
        </is>
      </c>
    </row>
    <row r="3" ht="15" customHeight="1">
      <c r="A3" t="inlineStr">
        <is>
          <t>Dark</t>
        </is>
      </c>
      <c r="B3" t="inlineStr">
        <is>
          <t>Inflict 1 Blind</t>
        </is>
      </c>
      <c r="E3" t="inlineStr">
        <is>
          <t>Purple</t>
        </is>
      </c>
    </row>
    <row r="4" ht="15" customHeight="1">
      <c r="A4" t="inlineStr">
        <is>
          <t>Earth</t>
        </is>
      </c>
      <c r="B4" t="inlineStr">
        <is>
          <t>N/A</t>
        </is>
      </c>
      <c r="E4" t="inlineStr">
        <is>
          <t>Brown</t>
        </is>
      </c>
    </row>
    <row r="5" ht="15" customHeight="1">
      <c r="A5" t="inlineStr">
        <is>
          <t>Electric</t>
        </is>
      </c>
      <c r="B5" t="inlineStr">
        <is>
          <t>Any Electric Dmg dealt to a Wet target will also target adjacent Wet targets</t>
        </is>
      </c>
      <c r="E5" t="inlineStr">
        <is>
          <t>Yellow</t>
        </is>
      </c>
    </row>
    <row r="6" ht="15" customHeight="1">
      <c r="A6" t="inlineStr">
        <is>
          <t>Fire</t>
        </is>
      </c>
      <c r="B6" t="inlineStr">
        <is>
          <t>Inflict 1 Burn</t>
        </is>
      </c>
      <c r="E6" t="inlineStr">
        <is>
          <t>Orange</t>
        </is>
      </c>
    </row>
    <row r="7" ht="15" customHeight="1">
      <c r="A7" t="inlineStr">
        <is>
          <t>Poison</t>
        </is>
      </c>
      <c r="B7" t="inlineStr">
        <is>
          <t>Inflict 1 Poison if target isn't gaining Poison already</t>
        </is>
      </c>
      <c r="E7" t="inlineStr">
        <is>
          <t>Light Green</t>
        </is>
      </c>
    </row>
    <row r="8" ht="15" customHeight="1">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D30"/>
  <sheetViews>
    <sheetView zoomScale="85" zoomScaleNormal="85" workbookViewId="0">
      <selection activeCell="B33" sqref="B33"/>
    </sheetView>
  </sheetViews>
  <sheetFormatPr baseColWidth="8" defaultColWidth="8.7109375" defaultRowHeight="15"/>
  <cols>
    <col width="18.7109375" customWidth="1" min="1" max="1"/>
    <col width="169.7109375" customWidth="1" min="2" max="2"/>
    <col width="21.85546875" customWidth="1" min="3" max="3"/>
    <col width="39" customWidth="1" min="4" max="4"/>
  </cols>
  <sheetData>
    <row r="1" ht="15" customHeight="1">
      <c r="A1" t="inlineStr">
        <is>
          <t>Name</t>
        </is>
      </c>
      <c r="B1" t="inlineStr">
        <is>
          <t>Description</t>
        </is>
      </c>
      <c r="C1" t="inlineStr">
        <is>
          <t>Can Be Attached To</t>
        </is>
      </c>
      <c r="D1" t="inlineStr">
        <is>
          <t>Forms</t>
        </is>
      </c>
    </row>
    <row r="2" ht="15" customHeight="1">
      <c r="A2" t="inlineStr">
        <is>
          <t>Cantrip</t>
        </is>
      </c>
      <c r="B2" t="inlineStr">
        <is>
          <t>Whenever this side is rolled, trigger its effect immediately (to a random preferred target)</t>
        </is>
      </c>
      <c r="C2" t="inlineStr">
        <is>
          <t>All</t>
        </is>
      </c>
      <c r="D2" t="inlineStr">
        <is>
          <t>N/A</t>
        </is>
      </c>
    </row>
    <row r="3" ht="15" customHeight="1">
      <c r="A3" t="inlineStr">
        <is>
          <t>Channel</t>
        </is>
      </c>
      <c r="B3" t="inlineStr">
        <is>
          <t>Costs 1 less mana each time it's cast (minimum 1)</t>
        </is>
      </c>
      <c r="C3" t="inlineStr">
        <is>
          <t>Spell</t>
        </is>
      </c>
      <c r="D3" t="inlineStr">
        <is>
          <t>N/A</t>
        </is>
      </c>
    </row>
    <row r="4" ht="15" customHeight="1">
      <c r="A4" t="inlineStr">
        <is>
          <t>Cleave</t>
        </is>
      </c>
      <c r="B4" t="inlineStr">
        <is>
          <t>Applies this to target and every target on it's side (Allies or Enemies)</t>
        </is>
      </c>
      <c r="C4" t="inlineStr">
        <is>
          <t>All</t>
        </is>
      </c>
      <c r="D4" t="inlineStr">
        <is>
          <t>N/A</t>
        </is>
      </c>
    </row>
    <row r="5" ht="15" customHeight="1">
      <c r="A5" t="inlineStr">
        <is>
          <t>Cooldown</t>
        </is>
      </c>
      <c r="B5" t="inlineStr">
        <is>
          <t>Only usable once per turn</t>
        </is>
      </c>
      <c r="C5" t="inlineStr">
        <is>
          <t>Spell</t>
        </is>
      </c>
      <c r="D5" t="inlineStr">
        <is>
          <t>N/A</t>
        </is>
      </c>
    </row>
    <row r="6" ht="15" customHeight="1">
      <c r="A6" t="inlineStr">
        <is>
          <t>Deplete</t>
        </is>
      </c>
      <c r="B6" t="inlineStr">
        <is>
          <t>Costs 1 more mana each time it's cast</t>
        </is>
      </c>
      <c r="C6" t="inlineStr">
        <is>
          <t>Spell</t>
        </is>
      </c>
      <c r="D6" t="inlineStr">
        <is>
          <t>N/A</t>
        </is>
      </c>
    </row>
    <row r="7" ht="15" customHeight="1">
      <c r="A7" t="inlineStr">
        <is>
          <t>Destroy</t>
        </is>
      </c>
      <c r="B7" t="inlineStr">
        <is>
          <t>Remove this from your deck permanently</t>
        </is>
      </c>
      <c r="C7" t="inlineStr">
        <is>
          <t>All</t>
        </is>
      </c>
      <c r="D7" t="inlineStr">
        <is>
          <t>N/A</t>
        </is>
      </c>
    </row>
    <row r="8" ht="15" customHeight="1">
      <c r="A8" t="inlineStr">
        <is>
          <t>Determined(X-Y)</t>
        </is>
      </c>
      <c r="B8" t="inlineStr">
        <is>
          <t>Counts as a number that is determined before combat to be a random number from X to Y</t>
        </is>
      </c>
      <c r="C8" t="inlineStr">
        <is>
          <t>All</t>
        </is>
      </c>
      <c r="D8" t="inlineStr">
        <is>
          <t>N/A</t>
        </is>
      </c>
    </row>
    <row r="9" ht="15" customHeight="1">
      <c r="A9" t="inlineStr">
        <is>
          <t>Engage</t>
        </is>
      </c>
      <c r="B9" t="inlineStr">
        <is>
          <t>x2 on targets with full health</t>
        </is>
      </c>
      <c r="C9" t="inlineStr">
        <is>
          <t>All</t>
        </is>
      </c>
      <c r="D9" t="inlineStr">
        <is>
          <t>N/A</t>
        </is>
      </c>
    </row>
    <row r="10" ht="15" customHeight="1">
      <c r="A10" t="inlineStr">
        <is>
          <t>Ethereal</t>
        </is>
      </c>
      <c r="B10" t="inlineStr">
        <is>
          <t>If an Ethereal card is in your hand at the end of your turn, it is Exhausted.</t>
        </is>
      </c>
      <c r="C10" t="inlineStr">
        <is>
          <t>Cards</t>
        </is>
      </c>
      <c r="D10" t="inlineStr">
        <is>
          <t>N/A</t>
        </is>
      </c>
    </row>
    <row r="11" ht="15" customHeight="1">
      <c r="A11" t="inlineStr">
        <is>
          <t>Finesse</t>
        </is>
      </c>
      <c r="B11" t="inlineStr">
        <is>
          <t>This weapon scales damage with Dexterity instead of Strength</t>
        </is>
      </c>
      <c r="C11" t="inlineStr">
        <is>
          <t>Weapon</t>
        </is>
      </c>
      <c r="D11" t="inlineStr">
        <is>
          <t>N/A</t>
        </is>
      </c>
    </row>
    <row r="12" ht="15" customHeight="1">
      <c r="A12" t="inlineStr">
        <is>
          <t>Fishing Weight</t>
        </is>
      </c>
      <c r="B12" t="inlineStr">
        <is>
          <t>Gain +1 Dmg for every 3 Common, 2 Uncommon, or 1 Rare fish in your loot inventory</t>
        </is>
      </c>
      <c r="C12" t="inlineStr">
        <is>
          <t>Weapon</t>
        </is>
      </c>
      <c r="D12" t="inlineStr">
        <is>
          <t>N/A</t>
        </is>
      </c>
    </row>
    <row r="13" ht="15" customHeight="1">
      <c r="A13" t="inlineStr">
        <is>
          <t>Future</t>
        </is>
      </c>
      <c r="B13" t="inlineStr">
        <is>
          <t>Effect is delayed until the start of the next turn</t>
        </is>
      </c>
      <c r="C13" t="inlineStr">
        <is>
          <t>Spell</t>
        </is>
      </c>
      <c r="D13" t="inlineStr">
        <is>
          <t>N/A</t>
        </is>
      </c>
    </row>
    <row r="14" ht="15" customHeight="1">
      <c r="A14" t="inlineStr">
        <is>
          <t>Indiscriminate</t>
        </is>
      </c>
      <c r="B14" t="inlineStr">
        <is>
          <t>Will use random applicable targets</t>
        </is>
      </c>
      <c r="C14" t="inlineStr">
        <is>
          <t>All</t>
        </is>
      </c>
      <c r="D14" t="inlineStr">
        <is>
          <t>N/A</t>
        </is>
      </c>
    </row>
    <row r="15" ht="15" customHeight="1">
      <c r="A15" t="inlineStr">
        <is>
          <t>Infuse X</t>
        </is>
      </c>
      <c r="B15" t="inlineStr">
        <is>
          <t>If this kills an enemy, gain X Max Health</t>
        </is>
      </c>
      <c r="C15" t="inlineStr">
        <is>
          <t>All</t>
        </is>
      </c>
      <c r="D15" t="inlineStr">
        <is>
          <t>N/A</t>
        </is>
      </c>
    </row>
    <row r="16" ht="15" customHeight="1">
      <c r="A16" t="inlineStr">
        <is>
          <t>Innate</t>
        </is>
      </c>
      <c r="B16" t="inlineStr">
        <is>
          <t>Place this card on the top of your deck at the start of combat</t>
        </is>
      </c>
      <c r="C16" t="inlineStr">
        <is>
          <t>Cards</t>
        </is>
      </c>
      <c r="D16" t="inlineStr">
        <is>
          <t>N/A</t>
        </is>
      </c>
    </row>
    <row r="17" ht="15" customHeight="1">
      <c r="A17" t="inlineStr">
        <is>
          <t>Lifesteal</t>
        </is>
      </c>
      <c r="B17" t="inlineStr">
        <is>
          <t>Heals the target equal to the amount of unblocked Dmg dealt</t>
        </is>
      </c>
      <c r="C17" t="inlineStr">
        <is>
          <t>All</t>
        </is>
      </c>
      <c r="D17" t="inlineStr">
        <is>
          <t>N/A</t>
        </is>
      </c>
    </row>
    <row r="18" ht="15" customHeight="1">
      <c r="A18" t="inlineStr">
        <is>
          <t>Mandatory</t>
        </is>
      </c>
      <c r="B18" t="inlineStr">
        <is>
          <t>This Side must be played before ending your turn</t>
        </is>
      </c>
      <c r="C18" t="inlineStr">
        <is>
          <t>Dice</t>
        </is>
      </c>
      <c r="D18" t="inlineStr">
        <is>
          <t>N/A</t>
        </is>
      </c>
    </row>
    <row r="19" ht="15" customHeight="1">
      <c r="A19" t="inlineStr">
        <is>
          <t>Melee</t>
        </is>
      </c>
      <c r="B19" t="inlineStr">
        <is>
          <t>Triggers effects from contact (Thorns, etc.)</t>
        </is>
      </c>
      <c r="C19" t="inlineStr">
        <is>
          <t>All</t>
        </is>
      </c>
      <c r="D19" t="inlineStr">
        <is>
          <t>N/A</t>
        </is>
      </c>
    </row>
    <row r="20" ht="15" customHeight="1">
      <c r="A20" t="inlineStr">
        <is>
          <t>Multiply X</t>
        </is>
      </c>
      <c r="B20" t="inlineStr">
        <is>
          <t>Multiplies this side by X (Example: 2 Damage Multi 2)</t>
        </is>
      </c>
      <c r="C20" t="inlineStr">
        <is>
          <t>All</t>
        </is>
      </c>
      <c r="D20" t="inlineStr">
        <is>
          <t>N/A</t>
        </is>
      </c>
    </row>
    <row r="21" ht="15" customHeight="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ht="15" customHeight="1">
      <c r="A22" t="inlineStr">
        <is>
          <t>Ranged</t>
        </is>
      </c>
      <c r="B22" t="inlineStr">
        <is>
          <t>Ignores effects come from contact</t>
        </is>
      </c>
      <c r="C22" t="inlineStr">
        <is>
          <t>Attack, Status</t>
        </is>
      </c>
      <c r="D22" t="inlineStr">
        <is>
          <t>N/A</t>
        </is>
      </c>
    </row>
    <row r="23" ht="15" customHeight="1">
      <c r="A23" t="inlineStr">
        <is>
          <t>Retain</t>
        </is>
      </c>
      <c r="B23" t="inlineStr">
        <is>
          <t>This card is not discarded at the end of the turn</t>
        </is>
      </c>
      <c r="C23" t="inlineStr">
        <is>
          <t>Cards</t>
        </is>
      </c>
      <c r="D23" t="inlineStr">
        <is>
          <t>N/A</t>
        </is>
      </c>
    </row>
    <row r="24" ht="15" customHeight="1">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ht="15" customHeight="1">
      <c r="A25" t="inlineStr">
        <is>
          <t>Single Use</t>
        </is>
      </c>
      <c r="B25" t="inlineStr">
        <is>
          <t>After this Side is used, replace it with a blank this fight</t>
        </is>
      </c>
      <c r="C25" t="inlineStr">
        <is>
          <t>Dice</t>
        </is>
      </c>
      <c r="D25" t="inlineStr">
        <is>
          <t>N/A</t>
        </is>
      </c>
    </row>
    <row r="26" ht="15" customHeight="1">
      <c r="A26" t="inlineStr">
        <is>
          <t>SingleCast</t>
        </is>
      </c>
      <c r="B26" t="inlineStr">
        <is>
          <t>Only usable once per combat</t>
        </is>
      </c>
      <c r="C26" t="inlineStr">
        <is>
          <t>Spell</t>
        </is>
      </c>
      <c r="D26" t="inlineStr">
        <is>
          <t>N/A</t>
        </is>
      </c>
    </row>
    <row r="27" ht="15" customHeight="1">
      <c r="A27" t="inlineStr">
        <is>
          <t>Sly</t>
        </is>
      </c>
      <c r="B27" t="inlineStr">
        <is>
          <t>This Card is Unplayable, but gets played when it's discarded</t>
        </is>
      </c>
      <c r="C27" t="inlineStr">
        <is>
          <t>Cards</t>
        </is>
      </c>
      <c r="D27" t="inlineStr">
        <is>
          <t>N/A</t>
        </is>
      </c>
    </row>
    <row r="28" ht="15" customHeight="1">
      <c r="A28" t="inlineStr">
        <is>
          <t>Unplayable</t>
        </is>
      </c>
      <c r="B28" t="inlineStr">
        <is>
          <t>This card cannot be played and has no mana cost</t>
        </is>
      </c>
      <c r="C28" t="inlineStr">
        <is>
          <t>Cards</t>
        </is>
      </c>
      <c r="D28" t="inlineStr">
        <is>
          <t>N/A</t>
        </is>
      </c>
    </row>
    <row r="29" ht="15" customHeight="1">
      <c r="A29" t="inlineStr">
        <is>
          <t>Vorpal</t>
        </is>
      </c>
      <c r="B29" t="inlineStr">
        <is>
          <t>A random Enemy Type and Weight are chosen. This Weapon Deals +10 Dmg to Enemies that fit that Type and Weight</t>
        </is>
      </c>
      <c r="C29" t="inlineStr">
        <is>
          <t>Weapon (Attack)</t>
        </is>
      </c>
      <c r="D29" t="inlineStr">
        <is>
          <t>N/A</t>
        </is>
      </c>
    </row>
    <row r="30" ht="15" customHeight="1">
      <c r="A30" t="inlineStr">
        <is>
          <t>Wealth</t>
        </is>
      </c>
      <c r="B30" t="inlineStr">
        <is>
          <t>Add +1 for every 10 Gold the player has</t>
        </is>
      </c>
      <c r="C30" t="inlineStr">
        <is>
          <t>All</t>
        </is>
      </c>
      <c r="D30"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ColWidth="8.7109375" defaultRowHeight="15"/>
  <cols>
    <col width="14.28515625" customWidth="1" min="1" max="1"/>
    <col width="78" customWidth="1" min="2" max="2"/>
    <col width="77" customWidth="1" min="3" max="3"/>
    <col width="94" customWidth="1" min="4" max="4"/>
    <col width="12" customWidth="1" min="5" max="5"/>
    <col width="8.85546875" customWidth="1" min="6" max="6"/>
    <col width="14.28515625" customWidth="1" min="8" max="8"/>
    <col width="17.85546875" customWidth="1" min="9" max="9"/>
    <col width="20" customWidth="1" min="10" max="10"/>
    <col width="29.5703125" customWidth="1" min="11" max="11"/>
    <col width="20" customWidth="1" min="12" max="13"/>
  </cols>
  <sheetData>
    <row r="1" ht="15" customHeight="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ht="15" customHeight="1">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ht="15" customHeight="1">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ht="15" customHeight="1">
      <c r="A4" t="inlineStr">
        <is>
          <t>Determined</t>
        </is>
      </c>
      <c r="B4" s="9" t="inlineStr">
        <is>
          <t>Counts as a number determined before combat to be a random number from X to Y</t>
        </is>
      </c>
      <c r="C4" s="9" t="inlineStr">
        <is>
          <t>Counts as a number determined before combat to be a random number from X to Y</t>
        </is>
      </c>
      <c r="D4" s="9"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ht="15" customHeight="1">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ht="15" customHeight="1">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ht="15" customHeight="1">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ht="15" customHeight="1">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ht="15" customHeight="1">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ht="15" customHeight="1">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ht="15" customHeight="1">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ht="15" customHeight="1">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ht="15" customHeight="1">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ht="15" customHeight="1">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ht="15" customHeight="1">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ht="15" customHeight="1">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ht="15" customHeight="1">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ht="15" customHeight="1">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ht="15" customHeight="1">
      <c r="A19" t="inlineStr">
        <is>
          <t>Retain</t>
        </is>
      </c>
      <c r="B19" t="inlineStr">
        <is>
          <t>This card is not discarded at the end of the turn</t>
        </is>
      </c>
      <c r="C19" t="inlineStr">
        <is>
          <t>As this Card's cooldown completes and it fires,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ht="15" customHeight="1">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ht="15" customHeight="1">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ht="15" customHeight="1">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ht="15" customHeight="1">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M13"/>
  <sheetViews>
    <sheetView zoomScale="85" zoomScaleNormal="85" workbookViewId="0">
      <selection activeCell="A8" sqref="A8"/>
    </sheetView>
  </sheetViews>
  <sheetFormatPr baseColWidth="8" defaultColWidth="8.7109375" defaultRowHeight="15"/>
  <cols>
    <col width="26.7109375" customWidth="1" min="1" max="1"/>
    <col width="11.140625" customWidth="1" min="2" max="2"/>
    <col width="63.5703125" customWidth="1" min="3" max="3"/>
    <col width="43.140625" customWidth="1" min="4" max="4"/>
    <col width="63.7109375" customWidth="1" min="5" max="5"/>
    <col width="34.140625" customWidth="1" min="6" max="6"/>
    <col width="70.28515625" customWidth="1" min="7" max="7"/>
    <col width="42.28515625" customWidth="1" min="8" max="8"/>
    <col width="62" customWidth="1" min="9" max="9"/>
    <col width="40.5703125" customWidth="1" min="10" max="10"/>
    <col width="16.85546875" customWidth="1" min="11" max="11"/>
    <col width="17.7109375" customWidth="1" min="12" max="12"/>
    <col width="16.28515625" customWidth="1" min="13" max="13"/>
  </cols>
  <sheetData>
    <row r="1" ht="15" customHeight="1">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ht="15" customHeight="1">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ht="15" customHeight="1">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ht="15" customHeight="1">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ht="15" customHeight="1">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ht="15" customHeight="1">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ht="15" customHeight="1">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ht="15" customHeight="1">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ht="15" customHeight="1">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ht="15" customHeight="1">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ht="15" customHeight="1">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ht="15" customHeight="1">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ht="15" customHeight="1">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13"/>
  <sheetViews>
    <sheetView zoomScale="85" zoomScaleNormal="85" workbookViewId="0">
      <selection activeCell="E16" sqref="E16"/>
    </sheetView>
  </sheetViews>
  <sheetFormatPr baseColWidth="8" defaultColWidth="8.7109375" defaultRowHeight="15"/>
  <cols>
    <col width="18.28515625" customWidth="1" min="1" max="1"/>
    <col width="11.140625" customWidth="1" min="2" max="2"/>
    <col width="28.42578125" customWidth="1" min="3" max="3"/>
    <col width="13.140625" customWidth="1" min="4" max="4"/>
    <col width="17.85546875" customWidth="1" min="5" max="5"/>
    <col width="10.28515625" customWidth="1" min="7" max="7"/>
  </cols>
  <sheetData>
    <row r="1" ht="15" customHeight="1">
      <c r="A1" t="inlineStr">
        <is>
          <t>Name</t>
        </is>
      </c>
      <c r="B1" t="inlineStr">
        <is>
          <t>Rarity</t>
        </is>
      </c>
      <c r="C1" t="inlineStr">
        <is>
          <t>Effect</t>
        </is>
      </c>
      <c r="D1" t="inlineStr">
        <is>
          <t>Reference</t>
        </is>
      </c>
      <c r="E1" t="inlineStr">
        <is>
          <t>File</t>
        </is>
      </c>
    </row>
    <row r="2" ht="15" customHeight="1">
      <c r="A2" t="inlineStr">
        <is>
          <t>Fire Potion</t>
        </is>
      </c>
      <c r="B2" t="inlineStr">
        <is>
          <t>Common</t>
        </is>
      </c>
      <c r="C2" t="inlineStr">
        <is>
          <t>Deal 20 Magic Dmg Fire</t>
        </is>
      </c>
      <c r="D2" t="inlineStr">
        <is>
          <t>Slay the Spire</t>
        </is>
      </c>
      <c r="E2" t="inlineStr">
        <is>
          <t>FirePotion</t>
        </is>
      </c>
    </row>
    <row r="3" ht="15" customHeight="1">
      <c r="A3" t="inlineStr">
        <is>
          <t>Block Potion</t>
        </is>
      </c>
      <c r="B3" t="inlineStr">
        <is>
          <t>Common</t>
        </is>
      </c>
      <c r="C3" t="inlineStr">
        <is>
          <t>Gain +12 Block</t>
        </is>
      </c>
      <c r="D3" t="inlineStr">
        <is>
          <t>Slay the Spire</t>
        </is>
      </c>
      <c r="E3" t="inlineStr">
        <is>
          <t>BlockPotion</t>
        </is>
      </c>
    </row>
    <row r="4" ht="15" customHeight="1">
      <c r="A4" t="inlineStr">
        <is>
          <t>Energy Potion</t>
        </is>
      </c>
      <c r="B4" t="inlineStr">
        <is>
          <t>Common</t>
        </is>
      </c>
      <c r="C4" t="inlineStr">
        <is>
          <t>Gain +2 Energy</t>
        </is>
      </c>
      <c r="D4" t="inlineStr">
        <is>
          <t>Slay the Spire</t>
        </is>
      </c>
      <c r="E4" t="inlineStr">
        <is>
          <t>EnergyPotion</t>
        </is>
      </c>
    </row>
    <row r="5" ht="15" customHeight="1">
      <c r="A5" t="inlineStr">
        <is>
          <t>Weak Potion</t>
        </is>
      </c>
      <c r="B5" t="inlineStr">
        <is>
          <t>Common</t>
        </is>
      </c>
      <c r="C5" t="inlineStr">
        <is>
          <t>Inflict 3 Weak</t>
        </is>
      </c>
      <c r="D5" t="inlineStr">
        <is>
          <t>Slay the Spire</t>
        </is>
      </c>
      <c r="E5" t="inlineStr">
        <is>
          <t>WeakPotion</t>
        </is>
      </c>
    </row>
    <row r="6" ht="15" customHeight="1">
      <c r="A6" t="inlineStr">
        <is>
          <t>Vulnerable Potion</t>
        </is>
      </c>
      <c r="B6" t="inlineStr">
        <is>
          <t>Common</t>
        </is>
      </c>
      <c r="C6" t="inlineStr">
        <is>
          <t>Inflict 3 Vulnerable</t>
        </is>
      </c>
      <c r="D6" t="inlineStr">
        <is>
          <t>Slay the Spire</t>
        </is>
      </c>
      <c r="E6" t="inlineStr">
        <is>
          <t>VulnerablePotion</t>
        </is>
      </c>
    </row>
    <row r="7" ht="15" customHeight="1">
      <c r="A7" t="inlineStr">
        <is>
          <t>Speed Potion</t>
        </is>
      </c>
      <c r="B7" t="inlineStr">
        <is>
          <t>Common</t>
        </is>
      </c>
      <c r="C7" t="inlineStr">
        <is>
          <t>Gain +5 Defense for 1 turn</t>
        </is>
      </c>
      <c r="D7" t="inlineStr">
        <is>
          <t>Slay the Spire</t>
        </is>
      </c>
      <c r="E7" t="inlineStr">
        <is>
          <t>SpeedPotion</t>
        </is>
      </c>
    </row>
    <row r="8" ht="15" customHeight="1">
      <c r="A8" t="inlineStr">
        <is>
          <t>Flex Potion</t>
        </is>
      </c>
      <c r="B8" t="inlineStr">
        <is>
          <t>Common</t>
        </is>
      </c>
      <c r="C8" t="inlineStr">
        <is>
          <t>Gain +5 Power for 1 turn</t>
        </is>
      </c>
      <c r="D8" t="inlineStr">
        <is>
          <t>Slay the Spire</t>
        </is>
      </c>
      <c r="E8" t="inlineStr">
        <is>
          <t>FlexPotion</t>
        </is>
      </c>
    </row>
    <row r="9" ht="15" customHeight="1">
      <c r="A9" t="inlineStr">
        <is>
          <t>Fruit Juice</t>
        </is>
      </c>
      <c r="B9" t="inlineStr">
        <is>
          <t>Rare</t>
        </is>
      </c>
      <c r="C9" t="inlineStr">
        <is>
          <t>Gain +5 Max Health and Health</t>
        </is>
      </c>
      <c r="D9" t="inlineStr">
        <is>
          <t>Slay the Spire</t>
        </is>
      </c>
      <c r="E9" t="inlineStr">
        <is>
          <t>FruitJuice</t>
        </is>
      </c>
    </row>
    <row r="10" ht="15" customHeight="1">
      <c r="A10" t="inlineStr">
        <is>
          <t>Dexterity Potion</t>
        </is>
      </c>
      <c r="B10" t="inlineStr">
        <is>
          <t>Common</t>
        </is>
      </c>
      <c r="C10" t="inlineStr">
        <is>
          <t>Gain +2 Defense</t>
        </is>
      </c>
      <c r="D10" t="inlineStr">
        <is>
          <t>Slay the Spire</t>
        </is>
      </c>
      <c r="E10" t="inlineStr">
        <is>
          <t>DexterityPotion</t>
        </is>
      </c>
    </row>
    <row r="11" ht="15" customHeight="1">
      <c r="A11" t="inlineStr">
        <is>
          <t>Strength Potion</t>
        </is>
      </c>
      <c r="B11" t="inlineStr">
        <is>
          <t>Common</t>
        </is>
      </c>
      <c r="C11" t="inlineStr">
        <is>
          <t>Gain +2 Power</t>
        </is>
      </c>
      <c r="D11" t="inlineStr">
        <is>
          <t>Slay the Spire</t>
        </is>
      </c>
      <c r="E11" t="inlineStr">
        <is>
          <t>StrengthPotion</t>
        </is>
      </c>
    </row>
    <row r="12" ht="15" customHeight="1">
      <c r="A12" t="inlineStr">
        <is>
          <t>Explosive Ampoule</t>
        </is>
      </c>
      <c r="B12" t="inlineStr">
        <is>
          <t>Common</t>
        </is>
      </c>
      <c r="C12" t="inlineStr">
        <is>
          <t>Deal 10 Magic Dmg Fire Cleave</t>
        </is>
      </c>
      <c r="D12" t="inlineStr">
        <is>
          <t>Slay the Spire</t>
        </is>
      </c>
      <c r="E12" t="inlineStr">
        <is>
          <t>ExplosiveAmpoule</t>
        </is>
      </c>
    </row>
    <row r="13" ht="15" customHeight="1">
      <c r="A13" t="inlineStr">
        <is>
          <t>Liquid Bronze</t>
        </is>
      </c>
      <c r="B13" t="inlineStr">
        <is>
          <t>Uncommon</t>
        </is>
      </c>
      <c r="C13" t="inlineStr">
        <is>
          <t>Gain +3 Thorns</t>
        </is>
      </c>
      <c r="D13" t="inlineStr">
        <is>
          <t>Slay the Spire</t>
        </is>
      </c>
      <c r="E13" t="inlineStr">
        <is>
          <t>LiquidBronze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X7"/>
  <sheetViews>
    <sheetView zoomScale="85" zoomScaleNormal="85" workbookViewId="0">
      <selection activeCell="H59" sqref="H59"/>
    </sheetView>
  </sheetViews>
  <sheetFormatPr baseColWidth="8" defaultColWidth="8.7109375" defaultRowHeight="15"/>
  <cols>
    <col width="8.5703125" customWidth="1" min="1" max="1"/>
    <col width="18.7109375" customWidth="1" min="2" max="2"/>
    <col width="9.140625" customWidth="1" min="3" max="3"/>
    <col width="9.28515625" customWidth="1" min="4" max="4"/>
    <col width="5.7109375" customWidth="1" min="5" max="5"/>
    <col width="6.5703125" customWidth="1" min="6" max="6"/>
    <col width="5.7109375" customWidth="1" min="7" max="7"/>
    <col width="6.5703125" customWidth="1" min="8" max="8"/>
    <col width="10.5703125" customWidth="1" min="9" max="9"/>
    <col width="8.5703125" customWidth="1" min="10" max="10"/>
    <col width="7.5703125" customWidth="1" min="11" max="11"/>
    <col width="7" customWidth="1" min="12" max="12"/>
    <col width="11.85546875" customWidth="1" min="13" max="13"/>
    <col width="7.140625" customWidth="1" min="14" max="14"/>
    <col width="10.5703125" customWidth="1" min="15" max="15"/>
    <col width="35.85546875" customWidth="1" min="16" max="16"/>
    <col width="21.5703125" customWidth="1" min="17" max="17"/>
    <col width="82.85546875" customWidth="1" min="18" max="18"/>
    <col width="15" customWidth="1" min="19" max="19"/>
    <col width="9.28515625" customWidth="1" min="20" max="20"/>
    <col width="10.7109375" customWidth="1" min="21" max="21"/>
    <col width="11.28515625" customWidth="1" min="22" max="23"/>
    <col width="16.42578125" customWidth="1" min="24" max="24"/>
    <col width="15.28515625" customWidth="1" min="25" max="25"/>
  </cols>
  <sheetData>
    <row r="1" ht="15" customHeight="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ht="15" customHeight="1">
      <c r="A2" t="inlineStr">
        <is>
          <t>Rodney</t>
        </is>
      </c>
      <c r="B2" t="inlineStr">
        <is>
          <t>Rogue</t>
        </is>
      </c>
      <c r="C2" t="n">
        <v>75</v>
      </c>
      <c r="D2" t="n">
        <v>3</v>
      </c>
      <c r="E2" t="n">
        <v>0</v>
      </c>
      <c r="F2" t="n">
        <v>0</v>
      </c>
      <c r="G2" t="n">
        <v>0</v>
      </c>
      <c r="H2" t="n">
        <v>0</v>
      </c>
      <c r="I2" t="n">
        <v>2</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ht="15" customHeight="1">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ht="15" customHeight="1">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ht="15" customHeight="1">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ht="15" customHeight="1">
      <c r="A6" t="inlineStr">
        <is>
          <t>Ironclad</t>
        </is>
      </c>
      <c r="B6" t="inlineStr">
        <is>
          <t>Slay the Spire</t>
        </is>
      </c>
      <c r="C6" t="n">
        <v>80</v>
      </c>
      <c r="D6" t="n">
        <v>3</v>
      </c>
      <c r="E6" t="n">
        <v>2</v>
      </c>
      <c r="F6" t="n">
        <v>0</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ht="15" customHeight="1">
      <c r="A7" t="inlineStr">
        <is>
          <t>Silent</t>
        </is>
      </c>
      <c r="B7" t="inlineStr">
        <is>
          <t>Slay the Spire</t>
        </is>
      </c>
      <c r="C7" t="n">
        <v>70</v>
      </c>
      <c r="D7" t="n">
        <v>3</v>
      </c>
      <c r="E7" t="n">
        <v>0</v>
      </c>
      <c r="F7" t="n">
        <v>2</v>
      </c>
      <c r="G7" t="n">
        <v>0</v>
      </c>
      <c r="H7" t="n">
        <v>0</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J209"/>
  <sheetViews>
    <sheetView topLeftCell="J126" zoomScale="85" zoomScaleNormal="85" workbookViewId="0">
      <selection activeCell="A136" sqref="A136"/>
    </sheetView>
  </sheetViews>
  <sheetFormatPr baseColWidth="8" defaultColWidth="8.7109375" defaultRowHeight="15"/>
  <cols>
    <col width="17.85546875" customWidth="1" min="1" max="1"/>
    <col width="11.140625" customWidth="1" min="2" max="2"/>
    <col width="8.140625" customWidth="1" min="3" max="3"/>
    <col width="7.140625" customWidth="1" min="4" max="4"/>
    <col width="97.28515625" customWidth="1" min="5" max="5"/>
    <col width="104.5703125" customWidth="1" min="6" max="6"/>
    <col width="16.42578125" customWidth="1" min="7" max="7"/>
    <col width="17.42578125" customWidth="1" min="8" max="8"/>
    <col width="18.7109375" customWidth="1" min="9" max="9"/>
    <col width="31.42578125" customWidth="1" min="10" max="10"/>
    <col width="5.28515625" customWidth="1" min="11" max="11"/>
    <col width="5.42578125" customWidth="1" min="12" max="12"/>
    <col width="7.7109375" customWidth="1" min="13" max="13"/>
    <col width="4.28515625" customWidth="1" min="14" max="14"/>
  </cols>
  <sheetData>
    <row r="1" ht="15" customHeight="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t="15" customHeight="1">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t="15" customHeight="1">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t="15" customHeight="1">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t="15" customHeight="1">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t="15" customHeight="1">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t="15" customHeight="1">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t="15" customHeight="1">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t="15" customHeight="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t="15" customHeight="1">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t="15" customHeight="1">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t="15" customHeight="1">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t="15" customHeight="1">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t="15" customHeight="1">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t="15" customHeight="1">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t="15" customHeight="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t="15" customHeight="1">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t="15" customHeight="1">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t="15" customHeight="1">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t="15" customHeight="1">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t="15" customHeight="1">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t="15" customHeight="1">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t="15" customHeight="1">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t="15" customHeight="1">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t="15" customHeight="1">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t="15" customHeight="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t="15" customHeight="1">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t="15" customHeight="1">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t="15" customHeight="1">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t="15" customHeight="1">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t="15" customHeight="1">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t="15" customHeight="1">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t="15" customHeight="1">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t="15" customHeight="1">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t="15" customHeight="1">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t="15" customHeight="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t="15" customHeight="1">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t="15" customHeight="1">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t="15" customHeight="1">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t="15" customHeight="1">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t="15" customHeight="1">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t="15" customHeight="1">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t="15" customHeight="1">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ht="15" customHeight="1">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t="15" customHeight="1">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t="15" customHeight="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t="15" customHeight="1">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t="15" customHeight="1">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t="15" customHeight="1">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t="15" customHeight="1">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t="15" customHeight="1">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t="15" customHeight="1">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t="15" customHeight="1">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t="15" customHeight="1">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t="15" customHeight="1">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t="15" customHeight="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t="15" customHeight="1">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ht="15" customHeight="1">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t="15" customHeight="1">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t="15" customHeight="1">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t="15" customHeight="1">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t="15" customHeight="1">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t="15" customHeight="1">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t="15" customHeight="1">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t="15" customHeight="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t="15" customHeight="1">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t="15" customHeight="1">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ht="15" customHeight="1">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t="15" customHeight="1">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t="15" customHeight="1">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t="15" customHeight="1">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t="15" customHeight="1">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t="15" customHeight="1">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t="15" customHeight="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t="15" customHeight="1">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t="15" customHeight="1">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t="15" customHeight="1">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t="15" customHeight="1">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t="15" customHeight="1">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t="15" customHeight="1">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t="15" customHeight="1">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t="15" customHeight="1">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t="15" customHeight="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t="15" customHeight="1">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t="15" customHeight="1">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t="15" customHeight="1">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t="15" customHeight="1">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t="15" customHeight="1">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t="15" customHeight="1">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t="15" customHeight="1">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t="15" customHeight="1">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t="15" customHeight="1">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t="15" customHeight="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t="15" customHeight="1">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t="15" customHeight="1">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ht="15" customHeight="1">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t="15" customHeight="1">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t="15" customHeight="1">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t="15" customHeight="1">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t="15" customHeight="1">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t="15" customHeight="1">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t="15" customHeight="1">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t="15" customHeight="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t="15" customHeight="1">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t="15" customHeight="1">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t="15" customHeight="1">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t="15" customHeight="1">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t="15" customHeight="1">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ht="15" customHeight="1">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t="15" customHeight="1">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t="15" customHeight="1">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t="15" customHeight="1">
      <c r="A120" t="inlineStr">
        <is>
          <t>Isaac's D6</t>
        </is>
      </c>
      <c r="B120" t="inlineStr">
        <is>
          <t>Starter</t>
        </is>
      </c>
      <c r="C120" t="inlineStr">
        <is>
          <t>Dice</t>
        </is>
      </c>
      <c r="D120" t="n">
        <v>1</v>
      </c>
      <c r="E120" s="4" t="inlineStr">
        <is>
          <t>Roll this die. Choose a Card in your Hand, it transforms into a random Card of the rolled type.</t>
        </is>
      </c>
      <c r="F120" s="4" t="inlineStr">
        <is>
          <t>Roll this die. Choose a Card in your Hand, it transforms into a random Card of the rolled type.</t>
        </is>
      </c>
      <c r="G120" s="4" t="n">
        <v>0</v>
      </c>
      <c r="H120" t="inlineStr">
        <is>
          <t>N/A</t>
        </is>
      </c>
      <c r="I120" t="inlineStr">
        <is>
          <t>The Binding of Isaac</t>
        </is>
      </c>
    </row>
    <row r="121" ht="15" customHeight="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t="15" customHeight="1">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t="15" customHeight="1">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t="15" customHeight="1">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t="15" customHeight="1">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t="15" customHeight="1">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t="15" customHeight="1">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t="15" customHeight="1">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t="15" customHeight="1">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t="15" customHeight="1">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t="15" customHeight="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t="15" customHeight="1">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t="15" customHeight="1">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t="15" customHeight="1">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t="15" customHeight="1">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t="15" customHeight="1">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t="15" customHeight="1">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t="15" customHeight="1">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t="15" customHeight="1">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t="15" customHeight="1">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ht="15" customHeight="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t="15" customHeight="1">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t="15" customHeight="1">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t="15" customHeight="1">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t="15" customHeight="1">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t="15" customHeight="1">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t="15" customHeight="1">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t="15" customHeight="1">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t="15" customHeight="1">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t="15" customHeight="1">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ht="15" customHeight="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t="15" customHeight="1">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t="15" customHeight="1">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t="15" customHeight="1">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t="15" customHeight="1">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t="15" customHeight="1">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t="15" customHeight="1">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t="15" customHeight="1">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t="15" customHeight="1">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t="15" customHeight="1">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ht="15" customHeight="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t="15" customHeight="1">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t="15" customHeight="1">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t="15" customHeight="1">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t="15" customHeight="1">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t="15" customHeight="1">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t="15" customHeight="1">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t="15" customHeight="1">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t="15" customHeight="1">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t="15" customHeight="1">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t="15" customHeight="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t="15" customHeight="1">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ht="15" customHeight="1">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t="15" customHeight="1">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t="15" customHeight="1">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t="15" customHeight="1">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t="15" customHeight="1">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t="15" customHeight="1">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t="15" customHeight="1">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t="15" customHeight="1">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t="15" customHeight="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t="15" customHeight="1">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t="15" customHeight="1">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t="15" customHeight="1">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t="15" customHeight="1">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t="15" customHeight="1">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t="15" customHeight="1">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t="15" customHeight="1">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t="15" customHeight="1">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t="15" customHeight="1">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t="15" customHeight="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t="15" customHeight="1">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t="15" customHeight="1">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t="15" customHeight="1">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t="15" customHeight="1">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t="15" customHeight="1">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t="15" customHeight="1">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t="15" customHeight="1">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t="15" customHeight="1">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t="15" customHeight="1">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t="15" customHeight="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t="15" customHeight="1">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t="15" customHeight="1">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t="15" customHeight="1">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t="15" customHeight="1">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t="15" customHeight="1">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ht="15" customHeight="1">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t="15" customHeight="1">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t="15" customHeight="1">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O171"/>
  <sheetViews>
    <sheetView topLeftCell="A111" zoomScale="70" zoomScaleNormal="70" workbookViewId="0">
      <selection activeCell="E126" sqref="E126"/>
    </sheetView>
  </sheetViews>
  <sheetFormatPr baseColWidth="8" defaultColWidth="8.7109375" defaultRowHeight="15"/>
  <cols>
    <col width="17.85546875" bestFit="1" customWidth="1" min="1" max="1"/>
    <col width="11.140625" customWidth="1" min="2" max="2"/>
    <col width="7.5703125" customWidth="1" min="3" max="3"/>
    <col width="8.140625" bestFit="1" customWidth="1" min="4" max="4"/>
    <col width="103.85546875" customWidth="1" min="5" max="5"/>
    <col width="63.7109375" customWidth="1" min="6" max="6"/>
    <col width="100.28515625" bestFit="1" customWidth="1" min="7" max="7"/>
    <col width="61.28515625" customWidth="1" min="8" max="8"/>
    <col width="9.5703125" customWidth="1" min="9" max="9"/>
    <col width="30" customWidth="1" min="10" max="10"/>
    <col width="16.28515625" customWidth="1" min="11" max="11"/>
    <col width="17.85546875" bestFit="1" customWidth="1" min="12" max="12"/>
    <col width="19.85546875" customWidth="1" min="13" max="13"/>
    <col width="10.7109375" customWidth="1" min="14" max="14"/>
    <col width="27.5703125" customWidth="1" min="15" max="15"/>
  </cols>
  <sheetData>
    <row r="1" ht="15" customHeight="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ht="15" customHeight="1">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ht="15" customHeight="1">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ht="15" customHeight="1">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ht="15" customHeight="1">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ht="15" customHeight="1">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ht="15" customHeight="1">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ht="15" customHeight="1">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 Small</t>
        </is>
      </c>
      <c r="K8" t="inlineStr">
        <is>
          <t>All-OutAttack</t>
        </is>
      </c>
      <c r="L8" t="inlineStr">
        <is>
          <t>Slay the Spire</t>
        </is>
      </c>
      <c r="M8" t="inlineStr">
        <is>
          <t>N/A</t>
        </is>
      </c>
      <c r="N8" t="inlineStr">
        <is>
          <t>N/A</t>
        </is>
      </c>
      <c r="O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Small</t>
        </is>
      </c>
      <c r="K9" t="inlineStr">
        <is>
          <t>Anger</t>
        </is>
      </c>
      <c r="L9" t="inlineStr">
        <is>
          <t>Slay the Spire</t>
        </is>
      </c>
      <c r="M9" t="inlineStr">
        <is>
          <t>N/A</t>
        </is>
      </c>
      <c r="N9" t="inlineStr">
        <is>
          <t>N/A</t>
        </is>
      </c>
      <c r="O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ht="15" customHeight="1">
      <c r="A11" t="inlineStr">
        <is>
          <t>Backflip</t>
        </is>
      </c>
      <c r="B11" t="inlineStr">
        <is>
          <t>Common</t>
        </is>
      </c>
      <c r="C11" t="inlineStr">
        <is>
          <t>Skill</t>
        </is>
      </c>
      <c r="D11" t="n">
        <v>1</v>
      </c>
      <c r="E11" t="inlineStr">
        <is>
          <t>Gain +5 Block. Draw 2 Cards.</t>
        </is>
      </c>
      <c r="F11" t="inlineStr">
        <is>
          <t>gain:block:5; draw:2</t>
        </is>
      </c>
      <c r="G11" t="inlineStr">
        <is>
          <t>Gain 8 Block. Draw 2 Cards.</t>
        </is>
      </c>
      <c r="H11" t="inlineStr">
        <is>
          <t>gain:block:8; draw:2</t>
        </is>
      </c>
      <c r="I11" t="n">
        <v>1</v>
      </c>
      <c r="J11" t="inlineStr">
        <is>
          <t>N/A</t>
        </is>
      </c>
      <c r="K11" t="inlineStr">
        <is>
          <t>Backflip</t>
        </is>
      </c>
      <c r="L11" t="inlineStr">
        <is>
          <t>Slay the Spire</t>
        </is>
      </c>
      <c r="M11" t="inlineStr">
        <is>
          <t>N/A</t>
        </is>
      </c>
      <c r="N11" t="inlineStr">
        <is>
          <t>N/A</t>
        </is>
      </c>
      <c r="O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dmg:11:melee</t>
        </is>
      </c>
      <c r="G12" t="inlineStr">
        <is>
          <t>Innate. Deal 15 Dmg Melee. Exhaust.</t>
        </is>
      </c>
      <c r="H12" t="inlineStr">
        <is>
          <t>dmg:15:melee</t>
        </is>
      </c>
      <c r="I12" t="n">
        <v>0</v>
      </c>
      <c r="J12" t="inlineStr">
        <is>
          <t>Poke, Medium</t>
        </is>
      </c>
      <c r="K12" t="inlineStr">
        <is>
          <t>Backstab</t>
        </is>
      </c>
      <c r="L12" t="inlineStr">
        <is>
          <t>Slay the Spire</t>
        </is>
      </c>
      <c r="M12" t="inlineStr">
        <is>
          <t>Innate, Exhaust</t>
        </is>
      </c>
      <c r="N12" t="inlineStr">
        <is>
          <t>N/A</t>
        </is>
      </c>
      <c r="O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inflict:blind:2; chance:10:exhaust_self</t>
        </is>
      </c>
      <c r="G13" t="inlineStr">
        <is>
          <t>Inflict 2 Blind. 10% chance to Exhaust.</t>
        </is>
      </c>
      <c r="H13" t="inlineStr">
        <is>
          <t>inflict:blind:2; chance:10:exhaust_self</t>
        </is>
      </c>
      <c r="I13" t="n">
        <v>1</v>
      </c>
      <c r="J13" t="inlineStr">
        <is>
          <t>Swing, Medium</t>
        </is>
      </c>
      <c r="K13" t="inlineStr">
        <is>
          <t>BagO'Glitter</t>
        </is>
      </c>
      <c r="L13" t="inlineStr">
        <is>
          <t>Mewgenics</t>
        </is>
      </c>
      <c r="M13" t="inlineStr">
        <is>
          <t>N/A</t>
        </is>
      </c>
      <c r="N13" t="inlineStr">
        <is>
          <t>N/A</t>
        </is>
      </c>
      <c r="O13" t="inlineStr">
        <is>
          <t>weapon, debuff, exhaust, blind</t>
        </is>
      </c>
    </row>
    <row r="14" ht="15" customHeight="1">
      <c r="A14" t="inlineStr">
        <is>
          <t>Bane</t>
        </is>
      </c>
      <c r="B14" t="inlineStr">
        <is>
          <t>Common</t>
        </is>
      </c>
      <c r="C14" t="inlineStr">
        <is>
          <t>Attack</t>
        </is>
      </c>
      <c r="D14" t="n">
        <v>1</v>
      </c>
      <c r="E14" t="inlineStr">
        <is>
          <t>Deal 7 Dmg Melee. If the target is Poisoned, deal 7 Dmg Melee again.</t>
        </is>
      </c>
      <c r="F14" t="inlineStr">
        <is>
          <t>dmg:7:melee; dmg:7:melee:if_status=poison</t>
        </is>
      </c>
      <c r="G14" t="inlineStr">
        <is>
          <t>Deal 10 Dmg Melee. If the target is Poisoned, deal 10 Dmg Melee again.</t>
        </is>
      </c>
      <c r="H14" t="inlineStr">
        <is>
          <t>dmg:10:melee; dmg:10:melee:if_status=poison</t>
        </is>
      </c>
      <c r="I14" t="n">
        <v>1</v>
      </c>
      <c r="J14" t="inlineStr">
        <is>
          <t>Swing, Medium</t>
        </is>
      </c>
      <c r="K14" t="inlineStr">
        <is>
          <t>Bane</t>
        </is>
      </c>
      <c r="L14" t="inlineStr">
        <is>
          <t>Slay the Spire</t>
        </is>
      </c>
      <c r="M14" t="inlineStr">
        <is>
          <t>N/A</t>
        </is>
      </c>
      <c r="N14" t="inlineStr">
        <is>
          <t>N/A</t>
        </is>
      </c>
      <c r="O14" t="inlineStr">
        <is>
          <t>silent, offense, poison, debuff</t>
        </is>
      </c>
    </row>
    <row r="15" ht="15" customHeight="1">
      <c r="A15" t="inlineStr">
        <is>
          <t>Barrel</t>
        </is>
      </c>
      <c r="B15" t="inlineStr">
        <is>
          <t>Uncommon</t>
        </is>
      </c>
      <c r="C15" t="inlineStr">
        <is>
          <t>Attack</t>
        </is>
      </c>
      <c r="D15" t="n">
        <v>1</v>
      </c>
      <c r="E15" t="inlineStr">
        <is>
          <t>Deal 6 Dmg Ranged. Fishing Weight.</t>
        </is>
      </c>
      <c r="F15" t="inlineStr">
        <is>
          <t>dmg:6:ranged</t>
        </is>
      </c>
      <c r="G15" t="inlineStr">
        <is>
          <t>Deal 6 Dmg Ranged. Fishing Weight.</t>
        </is>
      </c>
      <c r="H15" t="inlineStr">
        <is>
          <t>dmg:6:ranged</t>
        </is>
      </c>
      <c r="I15" t="n">
        <v>1</v>
      </c>
      <c r="J15" t="inlineStr">
        <is>
          <t>Projectile, Medium</t>
        </is>
      </c>
      <c r="K15" t="inlineStr">
        <is>
          <t>Barrel</t>
        </is>
      </c>
      <c r="L15" t="inlineStr">
        <is>
          <t>Enter the Gungeon</t>
        </is>
      </c>
      <c r="M15" t="inlineStr">
        <is>
          <t>Fishing Weight</t>
        </is>
      </c>
      <c r="N15" t="inlineStr">
        <is>
          <t>N/A</t>
        </is>
      </c>
      <c r="O15" t="inlineStr">
        <is>
          <t>weapon</t>
        </is>
      </c>
    </row>
    <row r="16" ht="15" customHeight="1">
      <c r="A16" t="inlineStr">
        <is>
          <t>Barricade</t>
        </is>
      </c>
      <c r="B16" t="inlineStr">
        <is>
          <t>Rare</t>
        </is>
      </c>
      <c r="C16" t="inlineStr">
        <is>
          <t>Power</t>
        </is>
      </c>
      <c r="D16" t="n">
        <v>3</v>
      </c>
      <c r="E16" s="9" t="inlineStr">
        <is>
          <t>Block is not removed at the start of your turn.</t>
        </is>
      </c>
      <c r="F16" t="inlineStr">
        <is>
          <t>keep_block</t>
        </is>
      </c>
      <c r="G16" s="9" t="inlineStr">
        <is>
          <t>Block is not removed at the start of your turn.</t>
        </is>
      </c>
      <c r="H16" t="inlineStr">
        <is>
          <t>keep_block</t>
        </is>
      </c>
      <c r="I16" t="n">
        <v>2</v>
      </c>
      <c r="J16" t="inlineStr">
        <is>
          <t>N/A</t>
        </is>
      </c>
      <c r="K16" t="inlineStr">
        <is>
          <t>Barricade</t>
        </is>
      </c>
      <c r="L16" t="inlineStr">
        <is>
          <t>Slay the Spire</t>
        </is>
      </c>
      <c r="M16" t="inlineStr">
        <is>
          <t>N/A</t>
        </is>
      </c>
      <c r="N16" t="inlineStr">
        <is>
          <t>N/A</t>
        </is>
      </c>
      <c r="O16" t="inlineStr">
        <is>
          <t>ironclad, defense, block</t>
        </is>
      </c>
    </row>
    <row r="17" ht="15" customHeight="1">
      <c r="A17" t="inlineStr">
        <is>
          <t>Bash</t>
        </is>
      </c>
      <c r="B17" t="inlineStr">
        <is>
          <t>Starter</t>
        </is>
      </c>
      <c r="C17" t="inlineStr">
        <is>
          <t>Attack</t>
        </is>
      </c>
      <c r="D17" t="n">
        <v>2</v>
      </c>
      <c r="E17" t="inlineStr">
        <is>
          <t>Deal 8 Dmg Melee. Inflict 2 Vulnerable.</t>
        </is>
      </c>
      <c r="F17" t="inlineStr">
        <is>
          <t>dmg:8:melee; inflict:vulnerable:2</t>
        </is>
      </c>
      <c r="G17" t="inlineStr">
        <is>
          <t>Deal 10 Dmg Melee. Apply 3 Vulnerable.</t>
        </is>
      </c>
      <c r="H17" t="inlineStr">
        <is>
          <t>dmg:10:melee; inflict:vulnerable:3</t>
        </is>
      </c>
      <c r="I17" t="n">
        <v>2</v>
      </c>
      <c r="J17" t="inlineStr">
        <is>
          <t>Smash, Medium</t>
        </is>
      </c>
      <c r="K17" t="inlineStr">
        <is>
          <t>Bash</t>
        </is>
      </c>
      <c r="L17" t="inlineStr">
        <is>
          <t>Slay the Spire</t>
        </is>
      </c>
      <c r="M17" t="inlineStr">
        <is>
          <t>N/A</t>
        </is>
      </c>
      <c r="N17" t="inlineStr">
        <is>
          <t>N/A</t>
        </is>
      </c>
      <c r="O17" t="inlineStr">
        <is>
          <t>ironclad, offense</t>
        </is>
      </c>
    </row>
    <row r="18" ht="15" customHeight="1">
      <c r="A18" t="inlineStr">
        <is>
          <t>Battle Trance</t>
        </is>
      </c>
      <c r="B18" t="inlineStr">
        <is>
          <t>Uncommon</t>
        </is>
      </c>
      <c r="C18" t="inlineStr">
        <is>
          <t>Skill</t>
        </is>
      </c>
      <c r="D18" t="n">
        <v>0</v>
      </c>
      <c r="E18" s="9" t="inlineStr">
        <is>
          <t>Draw 3 Cards. Gain 1 No Draw.</t>
        </is>
      </c>
      <c r="F18" t="inlineStr">
        <is>
          <t>draw:3; gain:no_draw:1</t>
        </is>
      </c>
      <c r="G18" s="9" t="inlineStr">
        <is>
          <t>Draw 4 Cards. Gain 1 No Draw.</t>
        </is>
      </c>
      <c r="H18" t="inlineStr">
        <is>
          <t>draw:4; gain:no_draw:1</t>
        </is>
      </c>
      <c r="I18" t="inlineStr">
        <is>
          <t>N/A</t>
        </is>
      </c>
      <c r="J18" t="inlineStr">
        <is>
          <t>N/A</t>
        </is>
      </c>
      <c r="K18" t="inlineStr">
        <is>
          <t>BattleTrance</t>
        </is>
      </c>
      <c r="L18" t="inlineStr">
        <is>
          <t>Slay the Spire</t>
        </is>
      </c>
      <c r="M18" t="inlineStr">
        <is>
          <t>N/A</t>
        </is>
      </c>
      <c r="N18" t="inlineStr">
        <is>
          <t>N/A</t>
        </is>
      </c>
      <c r="O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dmg:3:ranged; inflict:vulnerable:1</t>
        </is>
      </c>
      <c r="G19" t="inlineStr">
        <is>
          <t>Deal 4 Dmg Ranged. Inflict 2 Vulnerable.</t>
        </is>
      </c>
      <c r="H19" t="inlineStr">
        <is>
          <t>dmg:4:ranged; inflict:vulnerable:2</t>
        </is>
      </c>
      <c r="I19" t="n">
        <v>0</v>
      </c>
      <c r="J19" t="inlineStr">
        <is>
          <t>Beam</t>
        </is>
      </c>
      <c r="K19" t="inlineStr">
        <is>
          <t>BeamCell</t>
        </is>
      </c>
      <c r="L19" t="inlineStr">
        <is>
          <t>Slay the Spire</t>
        </is>
      </c>
      <c r="M19" t="inlineStr">
        <is>
          <t>N/A</t>
        </is>
      </c>
      <c r="N19" t="inlineStr">
        <is>
          <t>N/A</t>
        </is>
      </c>
      <c r="O19" t="inlineStr">
        <is>
          <t>defect, offense, debuff</t>
        </is>
      </c>
    </row>
    <row r="20" ht="15" customHeight="1">
      <c r="A20" t="inlineStr">
        <is>
          <t>Blade Dance</t>
        </is>
      </c>
      <c r="B20" t="inlineStr">
        <is>
          <t>Common</t>
        </is>
      </c>
      <c r="C20" t="inlineStr">
        <is>
          <t>Skill</t>
        </is>
      </c>
      <c r="D20" t="n">
        <v>1</v>
      </c>
      <c r="E20" t="inlineStr">
        <is>
          <t>Conjure 3 Shivs to Hand.</t>
        </is>
      </c>
      <c r="F20" t="inlineStr">
        <is>
          <t>conjure:shiv:hand:3</t>
        </is>
      </c>
      <c r="G20" t="inlineStr">
        <is>
          <t>Conjure 4 Shivs to Hand.</t>
        </is>
      </c>
      <c r="H20" t="inlineStr">
        <is>
          <t>conjure:shiv:hand:4</t>
        </is>
      </c>
      <c r="I20" t="n">
        <v>1</v>
      </c>
      <c r="J20" t="inlineStr">
        <is>
          <t>N/A</t>
        </is>
      </c>
      <c r="K20" t="inlineStr">
        <is>
          <t>BladeDance</t>
        </is>
      </c>
      <c r="L20" t="inlineStr">
        <is>
          <t>Slay the Spire</t>
        </is>
      </c>
      <c r="M20" t="inlineStr">
        <is>
          <t>N/A</t>
        </is>
      </c>
      <c r="N20" t="inlineStr">
        <is>
          <t>N/A</t>
        </is>
      </c>
      <c r="O20" t="inlineStr">
        <is>
          <t>silent, offense</t>
        </is>
      </c>
    </row>
    <row r="21" ht="15" customHeight="1">
      <c r="A21" t="inlineStr">
        <is>
          <t>Blasma Pistol</t>
        </is>
      </c>
      <c r="B21" t="inlineStr">
        <is>
          <t>Common</t>
        </is>
      </c>
      <c r="C21" t="inlineStr">
        <is>
          <t>Attack</t>
        </is>
      </c>
      <c r="D21" t="n">
        <v>1</v>
      </c>
      <c r="E21" t="inlineStr">
        <is>
          <t>Deal 3 Dmg Ranged. Wealth.</t>
        </is>
      </c>
      <c r="F21" t="inlineStr">
        <is>
          <t>dmg:3:ranged</t>
        </is>
      </c>
      <c r="G21" t="inlineStr">
        <is>
          <t>Deal 3 Dmg Ranged. Wealth.</t>
        </is>
      </c>
      <c r="H21" t="inlineStr">
        <is>
          <t>dmg:3:ranged</t>
        </is>
      </c>
      <c r="I21" t="n">
        <v>1</v>
      </c>
      <c r="J21" t="inlineStr">
        <is>
          <t>Projectile, Medium</t>
        </is>
      </c>
      <c r="K21" t="inlineStr">
        <is>
          <t>BlasmaPistol</t>
        </is>
      </c>
      <c r="L21" t="inlineStr">
        <is>
          <t>Flinthook</t>
        </is>
      </c>
      <c r="M21" t="inlineStr">
        <is>
          <t>Wealth</t>
        </is>
      </c>
      <c r="N21" t="inlineStr">
        <is>
          <t>N/A</t>
        </is>
      </c>
      <c r="O21" t="inlineStr">
        <is>
          <t>weapon</t>
        </is>
      </c>
    </row>
    <row r="22" ht="15" customHeight="1">
      <c r="A22" t="inlineStr">
        <is>
          <t>Blood for Blood</t>
        </is>
      </c>
      <c r="B22" t="inlineStr">
        <is>
          <t>Uncommon</t>
        </is>
      </c>
      <c r="C22" t="inlineStr">
        <is>
          <t>Attack</t>
        </is>
      </c>
      <c r="D22" t="n">
        <v>4</v>
      </c>
      <c r="E22" s="9" t="inlineStr">
        <is>
          <t>Costs 1 less Energy for each time you lost Health this combat. Deal 18 Dmg Melee.</t>
        </is>
      </c>
      <c r="F22" t="inlineStr">
        <is>
          <t>cost_reduce:per=hp_losses; dmg:18:melee</t>
        </is>
      </c>
      <c r="G22" s="9" t="inlineStr">
        <is>
          <t>Costs 1 less Energy for each time you lost Health this combat. Deal 22 Dmg Melee.</t>
        </is>
      </c>
      <c r="H22" t="inlineStr">
        <is>
          <t>cost_reduce:per=hp_losses; dmg:22:melee</t>
        </is>
      </c>
      <c r="I22" t="n">
        <v>3</v>
      </c>
      <c r="J22" t="inlineStr">
        <is>
          <t>Poke, Small</t>
        </is>
      </c>
      <c r="K22" t="inlineStr">
        <is>
          <t>BloodForBlood</t>
        </is>
      </c>
      <c r="L22" t="inlineStr">
        <is>
          <t>Slay the Spire</t>
        </is>
      </c>
      <c r="M22" t="inlineStr">
        <is>
          <t>N/A</t>
        </is>
      </c>
      <c r="N22" t="inlineStr">
        <is>
          <t>N/A</t>
        </is>
      </c>
      <c r="O22" t="inlineStr">
        <is>
          <t>ironclad, draw</t>
        </is>
      </c>
    </row>
    <row r="23" ht="15" customHeight="1">
      <c r="A23" t="inlineStr">
        <is>
          <t>Blood Magic</t>
        </is>
      </c>
      <c r="B23" t="inlineStr">
        <is>
          <t>Rare</t>
        </is>
      </c>
      <c r="C23" t="inlineStr">
        <is>
          <t>Attack</t>
        </is>
      </c>
      <c r="D23" t="n">
        <v>1</v>
      </c>
      <c r="E23" t="inlineStr">
        <is>
          <t>Deal 2x3 Magic Dmg Ranged. Indiscriminate. 2 Infuse.</t>
        </is>
      </c>
      <c r="F23" t="inlineStr">
        <is>
          <t>dmg:2x3:ranged:infuse=2</t>
        </is>
      </c>
      <c r="G23" t="inlineStr">
        <is>
          <t>Deal 2x3 Magic Dmg Ranged. Indiscriminate. 2 Infuse.</t>
        </is>
      </c>
      <c r="H23" t="inlineStr">
        <is>
          <t>dmg:2x3:ranged:infuse=2</t>
        </is>
      </c>
      <c r="I23" t="n">
        <v>1</v>
      </c>
      <c r="J23" t="inlineStr">
        <is>
          <t>Auto_aoe, target=random, Small</t>
        </is>
      </c>
      <c r="K23" t="inlineStr">
        <is>
          <t>BloodMagic</t>
        </is>
      </c>
      <c r="L23" t="inlineStr">
        <is>
          <t>Megabonk</t>
        </is>
      </c>
      <c r="M23" t="inlineStr">
        <is>
          <t>Indiscriminate</t>
        </is>
      </c>
      <c r="N23" t="inlineStr">
        <is>
          <t>Blood</t>
        </is>
      </c>
      <c r="O23" t="inlineStr">
        <is>
          <t>weapon</t>
        </is>
      </c>
    </row>
    <row r="24" ht="15" customHeight="1">
      <c r="A24" t="inlineStr">
        <is>
          <t>Bloodletting</t>
        </is>
      </c>
      <c r="B24" t="inlineStr">
        <is>
          <t>Common</t>
        </is>
      </c>
      <c r="C24" t="inlineStr">
        <is>
          <t>Skill</t>
        </is>
      </c>
      <c r="D24" t="n">
        <v>0</v>
      </c>
      <c r="E24" t="inlineStr">
        <is>
          <t>Lose 3 Health. Gain 2 Energy.</t>
        </is>
      </c>
      <c r="F24" t="inlineStr">
        <is>
          <t>lose_hp:3; gain_energy:2</t>
        </is>
      </c>
      <c r="G24" t="inlineStr">
        <is>
          <t>Lose 3 Health. Gain 3 Energy.</t>
        </is>
      </c>
      <c r="H24" t="inlineStr">
        <is>
          <t>lose_hp:3; gain_energy:3</t>
        </is>
      </c>
      <c r="I24" t="n">
        <v>0</v>
      </c>
      <c r="J24" t="inlineStr">
        <is>
          <t>N/A</t>
        </is>
      </c>
      <c r="K24" t="inlineStr">
        <is>
          <t>Bloodletting</t>
        </is>
      </c>
      <c r="L24" t="inlineStr">
        <is>
          <t>Slay the Spire</t>
        </is>
      </c>
      <c r="M24" t="inlineStr">
        <is>
          <t>N/A</t>
        </is>
      </c>
      <c r="N24" t="inlineStr">
        <is>
          <t>N/A</t>
        </is>
      </c>
      <c r="O24" t="inlineStr">
        <is>
          <t>ironclad, energy</t>
        </is>
      </c>
    </row>
    <row r="25" ht="15" customHeight="1">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Smash, Large</t>
        </is>
      </c>
      <c r="K25" t="inlineStr">
        <is>
          <t>Bludgeon</t>
        </is>
      </c>
      <c r="L25" t="inlineStr">
        <is>
          <t>Slay the Spire</t>
        </is>
      </c>
      <c r="M25" t="inlineStr">
        <is>
          <t>N/A</t>
        </is>
      </c>
      <c r="N25" t="inlineStr">
        <is>
          <t>N/A</t>
        </is>
      </c>
      <c r="O25" t="inlineStr">
        <is>
          <t>ironclad, offense</t>
        </is>
      </c>
    </row>
    <row r="26" ht="15" customHeight="1">
      <c r="A26" t="inlineStr">
        <is>
          <t>Blur</t>
        </is>
      </c>
      <c r="B26" t="inlineStr">
        <is>
          <t>Uncommon</t>
        </is>
      </c>
      <c r="C26" t="inlineStr">
        <is>
          <t>Skill</t>
        </is>
      </c>
      <c r="D26" t="n">
        <v>1</v>
      </c>
      <c r="E26" s="9" t="inlineStr">
        <is>
          <t>Gain +5 Block. Gain 1 Blur.</t>
        </is>
      </c>
      <c r="F26" t="inlineStr">
        <is>
          <t>gain:block:5; gain:blur:1</t>
        </is>
      </c>
      <c r="G26" s="9" t="inlineStr">
        <is>
          <t>Gain +8 Block. Gain 1 Blur.</t>
        </is>
      </c>
      <c r="H26" t="inlineStr">
        <is>
          <t>gain:block:8; gain:blur:1</t>
        </is>
      </c>
      <c r="I26" t="n">
        <v>1</v>
      </c>
      <c r="J26" t="inlineStr">
        <is>
          <t>N/A</t>
        </is>
      </c>
      <c r="K26" t="inlineStr">
        <is>
          <t>Blur</t>
        </is>
      </c>
      <c r="L26" t="inlineStr">
        <is>
          <t>Slay the Spire</t>
        </is>
      </c>
      <c r="M26" t="inlineStr">
        <is>
          <t>N/A</t>
        </is>
      </c>
      <c r="N26" t="inlineStr">
        <is>
          <t>N/A</t>
        </is>
      </c>
      <c r="O26" t="inlineStr">
        <is>
          <t>silent, defense</t>
        </is>
      </c>
    </row>
    <row r="27" ht="15" customHeight="1">
      <c r="A27" t="inlineStr">
        <is>
          <t>Body Slam</t>
        </is>
      </c>
      <c r="B27" t="inlineStr">
        <is>
          <t>Common</t>
        </is>
      </c>
      <c r="C27" t="inlineStr">
        <is>
          <t>Attack</t>
        </is>
      </c>
      <c r="D27" t="n">
        <v>1</v>
      </c>
      <c r="E27" t="inlineStr">
        <is>
          <t>Deal Melee Dmg equal to your Block.</t>
        </is>
      </c>
      <c r="F27" t="inlineStr">
        <is>
          <t>dmg:block:melee</t>
        </is>
      </c>
      <c r="G27" t="inlineStr">
        <is>
          <t>Deal Melee Dmg equal to your Block.</t>
        </is>
      </c>
      <c r="H27" t="inlineStr">
        <is>
          <t>dmg:block:melee</t>
        </is>
      </c>
      <c r="I27" t="n">
        <v>0</v>
      </c>
      <c r="J27" t="inlineStr">
        <is>
          <t>Smash, Small</t>
        </is>
      </c>
      <c r="K27" t="inlineStr">
        <is>
          <t>BodySlam</t>
        </is>
      </c>
      <c r="L27" t="inlineStr">
        <is>
          <t>Slay the Spire</t>
        </is>
      </c>
      <c r="M27" t="inlineStr">
        <is>
          <t>N/A</t>
        </is>
      </c>
      <c r="N27" t="inlineStr">
        <is>
          <t>N/A</t>
        </is>
      </c>
      <c r="O27" t="inlineStr">
        <is>
          <t>ironclad, offense</t>
        </is>
      </c>
    </row>
    <row r="28" ht="15" customHeight="1">
      <c r="A28" t="inlineStr">
        <is>
          <t>Boot Sequence</t>
        </is>
      </c>
      <c r="B28" t="inlineStr">
        <is>
          <t>Uncommon</t>
        </is>
      </c>
      <c r="C28" t="inlineStr">
        <is>
          <t>Skill</t>
        </is>
      </c>
      <c r="D28" t="n">
        <v>0</v>
      </c>
      <c r="E28" t="inlineStr">
        <is>
          <t>Innate. Gain 10 Block. Exhaust</t>
        </is>
      </c>
      <c r="F28" t="inlineStr">
        <is>
          <t>gain:block:10</t>
        </is>
      </c>
      <c r="G28" t="inlineStr">
        <is>
          <t>Innate. Gain 13 Block. Exhaust</t>
        </is>
      </c>
      <c r="H28" t="inlineStr">
        <is>
          <t>gain:block:13</t>
        </is>
      </c>
      <c r="I28" t="n">
        <v>0</v>
      </c>
      <c r="J28" t="inlineStr">
        <is>
          <t>N/A</t>
        </is>
      </c>
      <c r="K28" t="inlineStr">
        <is>
          <t>BootSequence</t>
        </is>
      </c>
      <c r="L28" t="inlineStr">
        <is>
          <t>Slay the Spire</t>
        </is>
      </c>
      <c r="M28" t="inlineStr">
        <is>
          <t>Innate, Exhaust</t>
        </is>
      </c>
      <c r="N28" t="inlineStr">
        <is>
          <t>N/A</t>
        </is>
      </c>
      <c r="O28" t="inlineStr">
        <is>
          <t>defect, defense, exhaust</t>
        </is>
      </c>
    </row>
    <row r="29" ht="15" customHeight="1">
      <c r="A29" t="inlineStr">
        <is>
          <t>Bouncing Flask</t>
        </is>
      </c>
      <c r="B29" t="inlineStr">
        <is>
          <t>Uncommon</t>
        </is>
      </c>
      <c r="C29" t="inlineStr">
        <is>
          <t>Skill</t>
        </is>
      </c>
      <c r="D29" t="n">
        <v>2</v>
      </c>
      <c r="E29" t="inlineStr">
        <is>
          <t>Inflict 3 Poison to a Random target. Repeat 2 times.</t>
        </is>
      </c>
      <c r="F29" t="inlineStr">
        <is>
          <t>inflict:poison:3:times=3</t>
        </is>
      </c>
      <c r="G29" t="inlineStr">
        <is>
          <t>Inflict 3 Poison on Random target. Repeat 3 times.</t>
        </is>
      </c>
      <c r="H29" t="inlineStr">
        <is>
          <t>inflict:poison:3:times=4</t>
        </is>
      </c>
      <c r="I29" t="n">
        <v>2</v>
      </c>
      <c r="J29" t="inlineStr">
        <is>
          <t>Bounce</t>
        </is>
      </c>
      <c r="K29" t="inlineStr">
        <is>
          <t>BouncingFlask</t>
        </is>
      </c>
      <c r="L29" t="inlineStr">
        <is>
          <t>Slay the Spire</t>
        </is>
      </c>
      <c r="M29" t="inlineStr">
        <is>
          <t>Indiscriminate</t>
        </is>
      </c>
      <c r="N29" t="inlineStr">
        <is>
          <t>Poison</t>
        </is>
      </c>
      <c r="O29" t="inlineStr">
        <is>
          <t>silent, debuff, poison</t>
        </is>
      </c>
    </row>
    <row r="30" ht="15" customHeight="1">
      <c r="A30" t="inlineStr">
        <is>
          <t>Bullet Time</t>
        </is>
      </c>
      <c r="B30" t="inlineStr">
        <is>
          <t>Rare</t>
        </is>
      </c>
      <c r="C30" t="inlineStr">
        <is>
          <t>Skill</t>
        </is>
      </c>
      <c r="D30" t="n">
        <v>3</v>
      </c>
      <c r="E30" s="9" t="inlineStr">
        <is>
          <t>Gain +1 No Draw. All Cards in your Hand are free to play this turn.</t>
        </is>
      </c>
      <c r="F30" t="inlineStr">
        <is>
          <t>gain:no_draw:1; free_hand</t>
        </is>
      </c>
      <c r="G30" s="9" t="inlineStr">
        <is>
          <t>Gain +1 No Draw. All Cards in your Hand are free to play this turn.</t>
        </is>
      </c>
      <c r="H30" t="inlineStr">
        <is>
          <t>gain:no_draw:1; free_hand</t>
        </is>
      </c>
      <c r="I30" t="n">
        <v>2</v>
      </c>
      <c r="J30" t="inlineStr">
        <is>
          <t>N/A</t>
        </is>
      </c>
      <c r="K30" t="inlineStr">
        <is>
          <t>BulletTime</t>
        </is>
      </c>
      <c r="L30" t="inlineStr">
        <is>
          <t>Slay the Spire</t>
        </is>
      </c>
      <c r="M30" t="inlineStr">
        <is>
          <t>N/A</t>
        </is>
      </c>
      <c r="N30" t="inlineStr">
        <is>
          <t>N/A</t>
        </is>
      </c>
      <c r="O30" t="inlineStr">
        <is>
          <t>silent, energy</t>
        </is>
      </c>
    </row>
    <row r="31" ht="15" customHeight="1">
      <c r="A31" t="inlineStr">
        <is>
          <t>Burn</t>
        </is>
      </c>
      <c r="B31" t="inlineStr">
        <is>
          <t>None</t>
        </is>
      </c>
      <c r="C31" t="inlineStr">
        <is>
          <t>Status</t>
        </is>
      </c>
      <c r="D31" t="inlineStr">
        <is>
          <t>No</t>
        </is>
      </c>
      <c r="E31" s="9" t="inlineStr">
        <is>
          <t>Unplayable. At the end of your turn, take 2 Dmg.</t>
        </is>
      </c>
      <c r="F31" t="inlineStr">
        <is>
          <t>eot: dmg:2:self</t>
        </is>
      </c>
      <c r="G31" s="9" t="inlineStr">
        <is>
          <t>N/A</t>
        </is>
      </c>
      <c r="H31" t="inlineStr">
        <is>
          <t>N/A</t>
        </is>
      </c>
      <c r="I31" t="inlineStr">
        <is>
          <t>N/A</t>
        </is>
      </c>
      <c r="J31" t="inlineStr">
        <is>
          <t>N/A</t>
        </is>
      </c>
      <c r="K31" t="inlineStr">
        <is>
          <t>Burn</t>
        </is>
      </c>
      <c r="L31" t="inlineStr">
        <is>
          <t>Slay the Spire</t>
        </is>
      </c>
      <c r="M31" t="inlineStr">
        <is>
          <t>Unplayable</t>
        </is>
      </c>
      <c r="N31" t="inlineStr">
        <is>
          <t>N/A</t>
        </is>
      </c>
      <c r="O31" t="inlineStr">
        <is>
          <t>status</t>
        </is>
      </c>
    </row>
    <row r="32" ht="15" customHeight="1">
      <c r="A32" t="inlineStr">
        <is>
          <t>Burning Pact</t>
        </is>
      </c>
      <c r="B32" t="inlineStr">
        <is>
          <t>Uncommon</t>
        </is>
      </c>
      <c r="C32" t="inlineStr">
        <is>
          <t>Skill</t>
        </is>
      </c>
      <c r="D32" t="n">
        <v>1</v>
      </c>
      <c r="E32" t="inlineStr">
        <is>
          <t>Exhaust 1 Card. Draw 2 Cards.</t>
        </is>
      </c>
      <c r="F32" t="inlineStr">
        <is>
          <t>exhaust:1; draw:2</t>
        </is>
      </c>
      <c r="G32" t="inlineStr">
        <is>
          <t>Exhaust 1 Card. Draw 3 Cards.</t>
        </is>
      </c>
      <c r="H32" t="inlineStr">
        <is>
          <t>exhaust:1; draw:3</t>
        </is>
      </c>
      <c r="I32" t="n">
        <v>1</v>
      </c>
      <c r="J32" t="inlineStr">
        <is>
          <t>N/A</t>
        </is>
      </c>
      <c r="K32" t="inlineStr">
        <is>
          <t>BurningPact</t>
        </is>
      </c>
      <c r="L32" t="inlineStr">
        <is>
          <t>Slay the Spire</t>
        </is>
      </c>
      <c r="M32" t="inlineStr">
        <is>
          <t>Exhaust</t>
        </is>
      </c>
      <c r="N32" t="inlineStr">
        <is>
          <t>N/A</t>
        </is>
      </c>
      <c r="O32" t="inlineStr">
        <is>
          <t>ironclad, draw, exhaust</t>
        </is>
      </c>
    </row>
    <row r="33" ht="15" customHeight="1">
      <c r="A33" t="inlineStr">
        <is>
          <t>Burst</t>
        </is>
      </c>
      <c r="B33" t="inlineStr">
        <is>
          <t>Rare</t>
        </is>
      </c>
      <c r="C33" t="inlineStr">
        <is>
          <t>Skill</t>
        </is>
      </c>
      <c r="D33" t="n">
        <v>1</v>
      </c>
      <c r="E33" s="9" t="inlineStr">
        <is>
          <t>This turn, your next Skill is played twice.</t>
        </is>
      </c>
      <c r="F33" t="inlineStr">
        <is>
          <t>gain:burst:1</t>
        </is>
      </c>
      <c r="G33" s="9" t="inlineStr">
        <is>
          <t>This turn, your next 2 Skills are played twice.</t>
        </is>
      </c>
      <c r="H33" t="inlineStr">
        <is>
          <t>gain:burst:2</t>
        </is>
      </c>
      <c r="I33" t="n">
        <v>1</v>
      </c>
      <c r="J33" t="inlineStr">
        <is>
          <t>N/A</t>
        </is>
      </c>
      <c r="K33" t="inlineStr">
        <is>
          <t>Burst</t>
        </is>
      </c>
      <c r="L33" t="inlineStr">
        <is>
          <t>Slay the Spire</t>
        </is>
      </c>
      <c r="M33" t="inlineStr">
        <is>
          <t>N/A</t>
        </is>
      </c>
      <c r="N33" t="inlineStr">
        <is>
          <t>N/A</t>
        </is>
      </c>
      <c r="O33" t="inlineStr">
        <is>
          <t>silent, energy</t>
        </is>
      </c>
    </row>
    <row r="34" ht="15" customHeight="1">
      <c r="A34" t="inlineStr">
        <is>
          <t>Calculated Gamble</t>
        </is>
      </c>
      <c r="B34" t="inlineStr">
        <is>
          <t>Uncommon</t>
        </is>
      </c>
      <c r="C34" t="inlineStr">
        <is>
          <t>Skill</t>
        </is>
      </c>
      <c r="D34" t="n">
        <v>0</v>
      </c>
      <c r="E34" s="9" t="inlineStr">
        <is>
          <t>Discard your Hand, then Draw X Cards where X was the amount of cards that were Discarded. Exhaust.</t>
        </is>
      </c>
      <c r="F34" t="inlineStr">
        <is>
          <t>discard:all; draw:count=discarded; exhaust_self</t>
        </is>
      </c>
      <c r="G34" s="9" t="inlineStr">
        <is>
          <t>Discard your Hand, then Draw X Cards where X was the amount of cards that were Discarded.</t>
        </is>
      </c>
      <c r="H34" t="inlineStr">
        <is>
          <t>discard:all; draw:count=discarded</t>
        </is>
      </c>
      <c r="I34" t="n">
        <v>0</v>
      </c>
      <c r="J34" t="inlineStr">
        <is>
          <t>N/A</t>
        </is>
      </c>
      <c r="K34" t="inlineStr">
        <is>
          <t>CalculatedGamble</t>
        </is>
      </c>
      <c r="L34" t="inlineStr">
        <is>
          <t>Slay the Spire</t>
        </is>
      </c>
      <c r="M34" t="inlineStr">
        <is>
          <t>N/A</t>
        </is>
      </c>
      <c r="N34" t="inlineStr">
        <is>
          <t>N/A</t>
        </is>
      </c>
      <c r="O34" t="inlineStr">
        <is>
          <t>silent, discard, draw</t>
        </is>
      </c>
    </row>
    <row r="35" ht="15" customHeight="1">
      <c r="A35" t="inlineStr">
        <is>
          <t>Carnage</t>
        </is>
      </c>
      <c r="B35" t="inlineStr">
        <is>
          <t>Uncommon</t>
        </is>
      </c>
      <c r="C35" t="inlineStr">
        <is>
          <t>Attack</t>
        </is>
      </c>
      <c r="D35" t="n">
        <v>2</v>
      </c>
      <c r="E35" t="inlineStr">
        <is>
          <t>Ethereal. Deal 20 Dmg Melee.</t>
        </is>
      </c>
      <c r="F35" t="inlineStr">
        <is>
          <t>dmg:20:melee</t>
        </is>
      </c>
      <c r="G35" t="inlineStr">
        <is>
          <t>Ethereal. Deal 28 Dmg Melee.</t>
        </is>
      </c>
      <c r="H35" t="inlineStr">
        <is>
          <t>dmg:28:melee</t>
        </is>
      </c>
      <c r="I35" t="n">
        <v>2</v>
      </c>
      <c r="J35" t="inlineStr">
        <is>
          <t>Smash, Medium</t>
        </is>
      </c>
      <c r="K35" t="inlineStr">
        <is>
          <t>Carnage</t>
        </is>
      </c>
      <c r="L35" t="inlineStr">
        <is>
          <t>Slay the Spire</t>
        </is>
      </c>
      <c r="M35" t="inlineStr">
        <is>
          <t>Ethereal</t>
        </is>
      </c>
      <c r="N35" t="inlineStr">
        <is>
          <t>N/A</t>
        </is>
      </c>
      <c r="O35" t="inlineStr">
        <is>
          <t>ironclad, offense</t>
        </is>
      </c>
    </row>
    <row r="36" ht="15" customHeight="1">
      <c r="A36" t="inlineStr">
        <is>
          <t>Catalyst</t>
        </is>
      </c>
      <c r="B36" t="inlineStr">
        <is>
          <t>Uncommon</t>
        </is>
      </c>
      <c r="C36" t="inlineStr">
        <is>
          <t>Skill</t>
        </is>
      </c>
      <c r="D36" t="n">
        <v>1</v>
      </c>
      <c r="E36" s="9" t="inlineStr">
        <is>
          <t>Double the target's Poison. Exhaust.</t>
        </is>
      </c>
      <c r="F36" t="inlineStr">
        <is>
          <t>multiply:poison:2</t>
        </is>
      </c>
      <c r="G36" s="9" t="inlineStr">
        <is>
          <t>Triple the target's Poison. Exhaust.</t>
        </is>
      </c>
      <c r="H36" t="inlineStr">
        <is>
          <t>multiply:poison:3</t>
        </is>
      </c>
      <c r="I36" t="n">
        <v>1</v>
      </c>
      <c r="J36" t="inlineStr">
        <is>
          <t>N/A</t>
        </is>
      </c>
      <c r="K36" t="inlineStr">
        <is>
          <t>Catalyst</t>
        </is>
      </c>
      <c r="L36" t="inlineStr">
        <is>
          <t>Slay the Spire</t>
        </is>
      </c>
      <c r="M36" t="inlineStr">
        <is>
          <t>Exhaust</t>
        </is>
      </c>
      <c r="N36" t="inlineStr">
        <is>
          <t>N/A</t>
        </is>
      </c>
      <c r="O36" t="inlineStr">
        <is>
          <t>silent, debuff, poison, exhaust</t>
        </is>
      </c>
    </row>
    <row r="37" ht="15" customHeight="1">
      <c r="A37" t="inlineStr">
        <is>
          <t>Choke</t>
        </is>
      </c>
      <c r="B37" t="inlineStr">
        <is>
          <t>Uncommon</t>
        </is>
      </c>
      <c r="C37" t="inlineStr">
        <is>
          <t>Attack</t>
        </is>
      </c>
      <c r="D37" t="n">
        <v>2</v>
      </c>
      <c r="E37" s="9" t="inlineStr">
        <is>
          <t>Deal 12 Dmg Melee. Inflict 3 Choked.</t>
        </is>
      </c>
      <c r="F37" t="inlineStr">
        <is>
          <t>dmg:12:melee; inflict:choked:3</t>
        </is>
      </c>
      <c r="G37" s="9" t="inlineStr">
        <is>
          <t>Deal 12 Dmg Melee. Inflict 5 Choked.</t>
        </is>
      </c>
      <c r="H37" t="inlineStr">
        <is>
          <t>dmg:12:melee; inflict:choked:5</t>
        </is>
      </c>
      <c r="I37" t="n">
        <v>2</v>
      </c>
      <c r="J37" t="inlineStr">
        <is>
          <t>Poke, Small</t>
        </is>
      </c>
      <c r="K37" t="inlineStr">
        <is>
          <t>Choke</t>
        </is>
      </c>
      <c r="L37" t="inlineStr">
        <is>
          <t>Slay the Spire</t>
        </is>
      </c>
      <c r="M37" t="inlineStr">
        <is>
          <t>N/A</t>
        </is>
      </c>
      <c r="N37" t="inlineStr">
        <is>
          <t>N/A</t>
        </is>
      </c>
      <c r="O37" t="inlineStr">
        <is>
          <t>silent, debuff, offense</t>
        </is>
      </c>
    </row>
    <row r="38" ht="15" customHeight="1">
      <c r="A38" t="inlineStr">
        <is>
          <t>Clash</t>
        </is>
      </c>
      <c r="B38" t="inlineStr">
        <is>
          <t>Common</t>
        </is>
      </c>
      <c r="C38" t="inlineStr">
        <is>
          <t>Attack</t>
        </is>
      </c>
      <c r="D38" t="n">
        <v>0</v>
      </c>
      <c r="E38" s="9" t="inlineStr">
        <is>
          <t>Deal 14 Dmg Melee. Does nothing if you have any non-Attack Cards in Hand.</t>
        </is>
      </c>
      <c r="F38" t="inlineStr">
        <is>
          <t>dmg:14:melee:if_hand=all_attacks</t>
        </is>
      </c>
      <c r="G38" s="9" t="inlineStr">
        <is>
          <t>Deal 18 Dmg Melee. Does nothing if you have any non-Attack Cards in Hand.</t>
        </is>
      </c>
      <c r="H38" t="inlineStr">
        <is>
          <t>dmg:18:melee:if_hand=all_attacks</t>
        </is>
      </c>
      <c r="I38" t="n">
        <v>0</v>
      </c>
      <c r="J38" t="inlineStr">
        <is>
          <t>Swing, Small</t>
        </is>
      </c>
      <c r="K38" t="inlineStr">
        <is>
          <t>Clash</t>
        </is>
      </c>
      <c r="L38" t="inlineStr">
        <is>
          <t>Slay the Spire</t>
        </is>
      </c>
      <c r="M38" t="inlineStr">
        <is>
          <t>N/A</t>
        </is>
      </c>
      <c r="N38" t="inlineStr">
        <is>
          <t>N/A</t>
        </is>
      </c>
      <c r="O38" t="inlineStr">
        <is>
          <t>ironclad, offense</t>
        </is>
      </c>
    </row>
    <row r="39" ht="15" customHeight="1">
      <c r="A39" t="inlineStr">
        <is>
          <t>Claw</t>
        </is>
      </c>
      <c r="B39" t="inlineStr">
        <is>
          <t>Common</t>
        </is>
      </c>
      <c r="C39" t="inlineStr">
        <is>
          <t>Attack</t>
        </is>
      </c>
      <c r="D39" t="n">
        <v>0</v>
      </c>
      <c r="E39" t="inlineStr">
        <is>
          <t>Deal 3 Dmg Melee. Increase the Dmg of ALL Claw Cards by 2 this combat.</t>
        </is>
      </c>
      <c r="F39" t="inlineStr">
        <is>
          <t>dmg:3:melee; boost_cards:id=claw:dmg:2</t>
        </is>
      </c>
      <c r="G39" t="inlineStr">
        <is>
          <t>Deal 4 Dmg Melee. Increase the damage of ALL Claw cards by 3 this combat.</t>
        </is>
      </c>
      <c r="H39" t="inlineStr">
        <is>
          <t>dmg:4:melee; boost_cards:id=claw:dmg:3</t>
        </is>
      </c>
      <c r="I39" t="n">
        <v>0</v>
      </c>
      <c r="J39" t="inlineStr">
        <is>
          <t>Swing, Small</t>
        </is>
      </c>
      <c r="K39" t="inlineStr">
        <is>
          <t>Claw</t>
        </is>
      </c>
      <c r="L39" t="inlineStr">
        <is>
          <t>Slay the Spire</t>
        </is>
      </c>
      <c r="M39" t="inlineStr">
        <is>
          <t>N/A</t>
        </is>
      </c>
      <c r="N39" t="inlineStr">
        <is>
          <t>N/A</t>
        </is>
      </c>
      <c r="O39" t="inlineStr">
        <is>
          <t>defect, offense, scaling</t>
        </is>
      </c>
    </row>
    <row r="40" ht="15" customHeight="1">
      <c r="A40" t="inlineStr">
        <is>
          <t>Cleave</t>
        </is>
      </c>
      <c r="B40" t="inlineStr">
        <is>
          <t>Common</t>
        </is>
      </c>
      <c r="C40" t="inlineStr">
        <is>
          <t>Attack</t>
        </is>
      </c>
      <c r="D40" t="n">
        <v>1</v>
      </c>
      <c r="E40" t="inlineStr">
        <is>
          <t>Deal 8 Dmg Melee Cleave.</t>
        </is>
      </c>
      <c r="F40" t="inlineStr">
        <is>
          <t>dmg:8:melee:cleave</t>
        </is>
      </c>
      <c r="G40" t="inlineStr">
        <is>
          <t>Deal 11 Dmg Melee Cleave.</t>
        </is>
      </c>
      <c r="H40" t="inlineStr">
        <is>
          <t>dmg:11:melee:cleave</t>
        </is>
      </c>
      <c r="I40" t="n">
        <v>1</v>
      </c>
      <c r="J40" t="inlineStr">
        <is>
          <t>Swing, Large</t>
        </is>
      </c>
      <c r="K40" t="inlineStr">
        <is>
          <t>Cleave</t>
        </is>
      </c>
      <c r="L40" t="inlineStr">
        <is>
          <t>Slay the Spire</t>
        </is>
      </c>
      <c r="M40" t="inlineStr">
        <is>
          <t>N/A</t>
        </is>
      </c>
      <c r="N40" t="inlineStr">
        <is>
          <t>N/A</t>
        </is>
      </c>
      <c r="O40" t="inlineStr">
        <is>
          <t>ironclad, aoe, cleave, offense</t>
        </is>
      </c>
    </row>
    <row r="41" ht="15" customHeight="1">
      <c r="A41" t="inlineStr">
        <is>
          <t>Cloak and Dagger</t>
        </is>
      </c>
      <c r="B41" t="inlineStr">
        <is>
          <t>Common</t>
        </is>
      </c>
      <c r="C41" t="inlineStr">
        <is>
          <t>Skill</t>
        </is>
      </c>
      <c r="D41" t="n">
        <v>1</v>
      </c>
      <c r="E41" t="inlineStr">
        <is>
          <t>Gain 6 Block. Conjure 1 Shiv to Hand.</t>
        </is>
      </c>
      <c r="F41" t="inlineStr">
        <is>
          <t>gain:block:6; conjure:shiv:hand</t>
        </is>
      </c>
      <c r="G41" t="inlineStr">
        <is>
          <t>Gain 6 Block. Conjure 2 Shivs to Hand.</t>
        </is>
      </c>
      <c r="H41" t="inlineStr">
        <is>
          <t>gain:block:6; conjure:shiv:hand:2</t>
        </is>
      </c>
      <c r="I41" t="n">
        <v>1</v>
      </c>
      <c r="J41" t="inlineStr">
        <is>
          <t>N/A</t>
        </is>
      </c>
      <c r="K41" t="inlineStr">
        <is>
          <t>CloakAndDagger</t>
        </is>
      </c>
      <c r="L41" t="inlineStr">
        <is>
          <t>Slay the Spire</t>
        </is>
      </c>
      <c r="M41" t="inlineStr">
        <is>
          <t>N/A</t>
        </is>
      </c>
      <c r="N41" t="inlineStr">
        <is>
          <t>N/A</t>
        </is>
      </c>
      <c r="O41" t="inlineStr">
        <is>
          <t>silent, defense</t>
        </is>
      </c>
    </row>
    <row r="42" ht="15" customHeight="1">
      <c r="A42" t="inlineStr">
        <is>
          <t>Clothesline</t>
        </is>
      </c>
      <c r="B42" t="inlineStr">
        <is>
          <t>Common</t>
        </is>
      </c>
      <c r="C42" t="inlineStr">
        <is>
          <t>Attack</t>
        </is>
      </c>
      <c r="D42" t="n">
        <v>2</v>
      </c>
      <c r="E42" s="9" t="inlineStr">
        <is>
          <t>Deal 12 Dmg Melee. Apply 2 Weak.</t>
        </is>
      </c>
      <c r="F42" t="inlineStr">
        <is>
          <t>dmg:12:melee; inflict:weak:2</t>
        </is>
      </c>
      <c r="G42" s="9" t="inlineStr">
        <is>
          <t>Deal 14 Dmg Melee. Apply 3 Weak.</t>
        </is>
      </c>
      <c r="H42" t="inlineStr">
        <is>
          <t>dmg:14:melee; inflict:weak:3</t>
        </is>
      </c>
      <c r="I42" t="inlineStr">
        <is>
          <t>N/A</t>
        </is>
      </c>
      <c r="J42" t="inlineStr">
        <is>
          <t>Swing, Medium</t>
        </is>
      </c>
      <c r="K42" t="inlineStr">
        <is>
          <t>Clothesline</t>
        </is>
      </c>
      <c r="L42" t="inlineStr">
        <is>
          <t>Slay the Spire</t>
        </is>
      </c>
      <c r="M42" t="inlineStr">
        <is>
          <t>N/A</t>
        </is>
      </c>
      <c r="N42" t="inlineStr">
        <is>
          <t>N/A</t>
        </is>
      </c>
      <c r="O42" t="inlineStr">
        <is>
          <t>ironclad, offense, debuff</t>
        </is>
      </c>
    </row>
    <row r="43" ht="15" customHeight="1">
      <c r="A43" t="inlineStr">
        <is>
          <t>Clumsy</t>
        </is>
      </c>
      <c r="B43" t="inlineStr">
        <is>
          <t>None</t>
        </is>
      </c>
      <c r="C43" t="inlineStr">
        <is>
          <t>Curse</t>
        </is>
      </c>
      <c r="D43" t="inlineStr">
        <is>
          <t>No</t>
        </is>
      </c>
      <c r="E43" t="inlineStr">
        <is>
          <t>Unplayable. Ethereal.</t>
        </is>
      </c>
      <c r="F43" t="inlineStr">
        <is>
          <t>none</t>
        </is>
      </c>
      <c r="G43" t="inlineStr">
        <is>
          <t>N/A</t>
        </is>
      </c>
      <c r="H43" t="inlineStr">
        <is>
          <t>N/A</t>
        </is>
      </c>
      <c r="I43" t="inlineStr">
        <is>
          <t>N/A</t>
        </is>
      </c>
      <c r="J43" t="inlineStr">
        <is>
          <t>N/A</t>
        </is>
      </c>
      <c r="K43" t="inlineStr">
        <is>
          <t>Clumsy</t>
        </is>
      </c>
      <c r="L43" t="inlineStr">
        <is>
          <t>Slay the Spire</t>
        </is>
      </c>
      <c r="M43" t="inlineStr">
        <is>
          <t>Unplayable, Ethereal</t>
        </is>
      </c>
      <c r="N43" t="inlineStr">
        <is>
          <t>N/A</t>
        </is>
      </c>
      <c r="O43" t="inlineStr">
        <is>
          <t>randomcurse</t>
        </is>
      </c>
    </row>
    <row r="44" ht="15" customHeight="1">
      <c r="A44" t="inlineStr">
        <is>
          <t>Concentrate</t>
        </is>
      </c>
      <c r="B44" t="inlineStr">
        <is>
          <t>Uncommon</t>
        </is>
      </c>
      <c r="C44" t="inlineStr">
        <is>
          <t>Skill</t>
        </is>
      </c>
      <c r="D44" t="n">
        <v>0</v>
      </c>
      <c r="E44" s="9" t="inlineStr">
        <is>
          <t>Discard 3 Cards. Gain 2 Energy.</t>
        </is>
      </c>
      <c r="F44" t="inlineStr">
        <is>
          <t>discard:3; gain_energy:2</t>
        </is>
      </c>
      <c r="G44" s="9" t="inlineStr">
        <is>
          <t>Discard 2 Cards. Gain 2 Energy.</t>
        </is>
      </c>
      <c r="H44" t="inlineStr">
        <is>
          <t>discard:2; gain_energy:2</t>
        </is>
      </c>
      <c r="I44" t="inlineStr">
        <is>
          <t>N/A</t>
        </is>
      </c>
      <c r="J44" t="inlineStr">
        <is>
          <t>N/A</t>
        </is>
      </c>
      <c r="K44" t="inlineStr">
        <is>
          <t>Concentrate</t>
        </is>
      </c>
      <c r="L44" t="inlineStr">
        <is>
          <t>Slay the Spire</t>
        </is>
      </c>
      <c r="M44" t="inlineStr">
        <is>
          <t>N/A</t>
        </is>
      </c>
      <c r="N44" t="inlineStr">
        <is>
          <t>N/A</t>
        </is>
      </c>
      <c r="O44" t="inlineStr">
        <is>
          <t>silent, resource</t>
        </is>
      </c>
    </row>
    <row r="45" ht="15" customHeight="1">
      <c r="A45" t="inlineStr">
        <is>
          <t>Corpse Explosion</t>
        </is>
      </c>
      <c r="B45" t="inlineStr">
        <is>
          <t>Rare</t>
        </is>
      </c>
      <c r="C45" t="inlineStr">
        <is>
          <t>Skill</t>
        </is>
      </c>
      <c r="D45" t="n">
        <v>2</v>
      </c>
      <c r="E45" s="9" t="inlineStr">
        <is>
          <t>Inflict 6 Poison. Inflict 1 Corpse Explosion.</t>
        </is>
      </c>
      <c r="F45" t="inlineStr">
        <is>
          <t>inflict:poison:6; inflict:corpse_explosion:1</t>
        </is>
      </c>
      <c r="G45" s="9" t="inlineStr">
        <is>
          <t>Inflict 9 Poison. Inflict 1 Corpse Explosion.</t>
        </is>
      </c>
      <c r="H45" t="inlineStr">
        <is>
          <t>inflict:poison:9; inflict:corpse_explosion:1</t>
        </is>
      </c>
      <c r="I45" t="n">
        <v>2</v>
      </c>
      <c r="J45" t="inlineStr">
        <is>
          <t>Homing, Medium, explosive</t>
        </is>
      </c>
      <c r="K45" t="inlineStr">
        <is>
          <t>CorpseExplosion</t>
        </is>
      </c>
      <c r="L45" t="inlineStr">
        <is>
          <t>Slay the Spire</t>
        </is>
      </c>
      <c r="M45" t="inlineStr">
        <is>
          <t>N/A</t>
        </is>
      </c>
      <c r="N45" t="inlineStr">
        <is>
          <t>N/A</t>
        </is>
      </c>
      <c r="O45" t="inlineStr">
        <is>
          <t>silent, debuff, poison, aoe</t>
        </is>
      </c>
    </row>
    <row r="46" ht="15" customHeight="1">
      <c r="A46" t="inlineStr">
        <is>
          <t>Crippling Cloud</t>
        </is>
      </c>
      <c r="B46" t="inlineStr">
        <is>
          <t>Uncommon</t>
        </is>
      </c>
      <c r="C46" t="inlineStr">
        <is>
          <t>Skill</t>
        </is>
      </c>
      <c r="D46" t="n">
        <v>0</v>
      </c>
      <c r="E46" s="9" t="inlineStr">
        <is>
          <t>Apply 4 Poison and 2 Weak to ALL Enemies. Exhaust.</t>
        </is>
      </c>
      <c r="F46" t="inlineStr">
        <is>
          <t>inflict:poison:4:cleave; inflict:weak:2:cleave</t>
        </is>
      </c>
      <c r="G46" s="9" t="inlineStr">
        <is>
          <t>Apply 7 Poison and 3 Weak to ALL Enemies. Exhaust.</t>
        </is>
      </c>
      <c r="H46" t="inlineStr">
        <is>
          <t>inflict:poison:7:cleave; inflict:weak:3:cleave</t>
        </is>
      </c>
      <c r="I46" t="inlineStr">
        <is>
          <t>N/A</t>
        </is>
      </c>
      <c r="J46" t="inlineStr">
        <is>
          <t>Nova, Medium</t>
        </is>
      </c>
      <c r="K46" t="inlineStr">
        <is>
          <t>CripplingCloud</t>
        </is>
      </c>
      <c r="L46" t="inlineStr">
        <is>
          <t>Slay the Spire</t>
        </is>
      </c>
      <c r="M46" t="inlineStr">
        <is>
          <t>Exhaust</t>
        </is>
      </c>
      <c r="N46" t="inlineStr">
        <is>
          <t>N/A</t>
        </is>
      </c>
      <c r="O46" t="inlineStr">
        <is>
          <t>silent, poison, debuff, aoe</t>
        </is>
      </c>
    </row>
    <row r="47" ht="15" customHeight="1">
      <c r="A47" t="inlineStr">
        <is>
          <t>Dagger Spray</t>
        </is>
      </c>
      <c r="B47" t="inlineStr">
        <is>
          <t>Common</t>
        </is>
      </c>
      <c r="C47" t="inlineStr">
        <is>
          <t>Attack</t>
        </is>
      </c>
      <c r="D47" t="n">
        <v>1</v>
      </c>
      <c r="E47" t="inlineStr">
        <is>
          <t>Deal 4x2 Dmg Ranged Cleave.</t>
        </is>
      </c>
      <c r="F47" t="inlineStr">
        <is>
          <t>dmg:4x2:ranged:cleave</t>
        </is>
      </c>
      <c r="G47" t="inlineStr">
        <is>
          <t>Deal 6x2 Dmg Ranged Cleave.</t>
        </is>
      </c>
      <c r="H47" t="inlineStr">
        <is>
          <t>dmg:6x2:ranged:cleave</t>
        </is>
      </c>
      <c r="I47" t="n">
        <v>1</v>
      </c>
      <c r="J47" t="inlineStr">
        <is>
          <t>Projectile, Medium, spread=4</t>
        </is>
      </c>
      <c r="K47" t="inlineStr">
        <is>
          <t>DaggerSpray</t>
        </is>
      </c>
      <c r="L47" t="inlineStr">
        <is>
          <t>Slay the Spire</t>
        </is>
      </c>
      <c r="M47" t="inlineStr">
        <is>
          <t>N/A</t>
        </is>
      </c>
      <c r="N47" t="inlineStr">
        <is>
          <t>N/A</t>
        </is>
      </c>
      <c r="O47" t="inlineStr">
        <is>
          <t>silent, offense, aoe</t>
        </is>
      </c>
    </row>
    <row r="48" ht="15" customHeight="1">
      <c r="A48" t="inlineStr">
        <is>
          <t>Dagger Throw</t>
        </is>
      </c>
      <c r="B48" t="inlineStr">
        <is>
          <t>Common</t>
        </is>
      </c>
      <c r="C48" t="inlineStr">
        <is>
          <t>Attack</t>
        </is>
      </c>
      <c r="D48" t="n">
        <v>1</v>
      </c>
      <c r="E48" t="inlineStr">
        <is>
          <t>Deal 9 Dmg Ranged. Draw 1 Card. Discard 1 Card.</t>
        </is>
      </c>
      <c r="F48" t="inlineStr">
        <is>
          <t>dmg:9:ranged;draw:1;discard:1</t>
        </is>
      </c>
      <c r="G48" t="inlineStr">
        <is>
          <t>Deal 12 Dmg Ranged. Draw 1 Card. Discard 1 Card.</t>
        </is>
      </c>
      <c r="H48" t="inlineStr">
        <is>
          <t>dmg:12:ranged;draw:1;discard:1</t>
        </is>
      </c>
      <c r="I48" t="n">
        <v>1</v>
      </c>
      <c r="J48" t="inlineStr">
        <is>
          <t>Projectile, Medium</t>
        </is>
      </c>
      <c r="K48" t="inlineStr">
        <is>
          <t>DaggerThrow</t>
        </is>
      </c>
      <c r="L48" t="inlineStr">
        <is>
          <t>Slay the Spire</t>
        </is>
      </c>
      <c r="M48" t="inlineStr">
        <is>
          <t>N/A</t>
        </is>
      </c>
      <c r="N48" t="inlineStr">
        <is>
          <t>N/A</t>
        </is>
      </c>
      <c r="O48" t="inlineStr">
        <is>
          <t>silent, offense, discard, draw</t>
        </is>
      </c>
    </row>
    <row r="49" ht="15" customHeight="1">
      <c r="A49" t="inlineStr">
        <is>
          <t>Dash</t>
        </is>
      </c>
      <c r="B49" t="inlineStr">
        <is>
          <t>Uncommon</t>
        </is>
      </c>
      <c r="C49" t="inlineStr">
        <is>
          <t>Attack</t>
        </is>
      </c>
      <c r="D49" t="n">
        <v>2</v>
      </c>
      <c r="E49" s="9" t="inlineStr">
        <is>
          <t>Gain +10 Block. Deal 10 Dmg Melee.</t>
        </is>
      </c>
      <c r="F49" t="inlineStr">
        <is>
          <t>gain:block:10; dmg:10:melee</t>
        </is>
      </c>
      <c r="G49" s="9" t="inlineStr">
        <is>
          <t>Gain +13 Block. Deal 13 Dmg Melee.</t>
        </is>
      </c>
      <c r="H49" t="inlineStr">
        <is>
          <t>gain:block:13; dmg:13:melee</t>
        </is>
      </c>
      <c r="I49" t="n">
        <v>2</v>
      </c>
      <c r="J49" t="inlineStr">
        <is>
          <t>Poke, Medium</t>
        </is>
      </c>
      <c r="K49" t="inlineStr">
        <is>
          <t>Dash</t>
        </is>
      </c>
      <c r="L49" t="inlineStr">
        <is>
          <t>Slay the Spire</t>
        </is>
      </c>
      <c r="M49" t="inlineStr">
        <is>
          <t>N/A</t>
        </is>
      </c>
      <c r="N49" t="inlineStr">
        <is>
          <t>N/A</t>
        </is>
      </c>
      <c r="O49" t="inlineStr">
        <is>
          <t>silent, offense, defense</t>
        </is>
      </c>
    </row>
    <row r="50" ht="15" customHeight="1">
      <c r="A50" t="inlineStr">
        <is>
          <t>Dazed</t>
        </is>
      </c>
      <c r="B50" t="inlineStr">
        <is>
          <t>None</t>
        </is>
      </c>
      <c r="C50" t="inlineStr">
        <is>
          <t>Status</t>
        </is>
      </c>
      <c r="D50" t="inlineStr">
        <is>
          <t>No</t>
        </is>
      </c>
      <c r="E50" s="9" t="inlineStr">
        <is>
          <t>Ethereal. Unplayable.</t>
        </is>
      </c>
      <c r="F50" t="inlineStr">
        <is>
          <t>none</t>
        </is>
      </c>
      <c r="G50" s="9" t="inlineStr">
        <is>
          <t>N/A</t>
        </is>
      </c>
      <c r="H50" t="inlineStr">
        <is>
          <t>N/A</t>
        </is>
      </c>
      <c r="I50" t="inlineStr">
        <is>
          <t>N/A</t>
        </is>
      </c>
      <c r="J50" t="inlineStr">
        <is>
          <t>N/A</t>
        </is>
      </c>
      <c r="K50" t="inlineStr">
        <is>
          <t>Dazed</t>
        </is>
      </c>
      <c r="L50" t="inlineStr">
        <is>
          <t>Slay the Spire</t>
        </is>
      </c>
      <c r="M50" t="inlineStr">
        <is>
          <t>Ethereal</t>
        </is>
      </c>
      <c r="N50" t="inlineStr">
        <is>
          <t>N/A</t>
        </is>
      </c>
      <c r="O50" t="inlineStr">
        <is>
          <t>status</t>
        </is>
      </c>
    </row>
    <row r="51" ht="15" customHeight="1">
      <c r="A51" t="inlineStr">
        <is>
          <t>Deadly Poison</t>
        </is>
      </c>
      <c r="B51" t="inlineStr">
        <is>
          <t>Common</t>
        </is>
      </c>
      <c r="C51" t="inlineStr">
        <is>
          <t>Skill</t>
        </is>
      </c>
      <c r="D51" t="n">
        <v>1</v>
      </c>
      <c r="E51" s="9" t="inlineStr">
        <is>
          <t>Inflict 5 Poison.</t>
        </is>
      </c>
      <c r="F51" t="inlineStr">
        <is>
          <t>inflict:poison:5</t>
        </is>
      </c>
      <c r="G51" s="9" t="inlineStr">
        <is>
          <t>Inflict 7 Poison.</t>
        </is>
      </c>
      <c r="H51" t="inlineStr">
        <is>
          <t>inflict:poison:7</t>
        </is>
      </c>
      <c r="I51" t="n">
        <v>1</v>
      </c>
      <c r="J51" t="inlineStr">
        <is>
          <t>N/A</t>
        </is>
      </c>
      <c r="K51" t="inlineStr">
        <is>
          <t>DeadlyPoison</t>
        </is>
      </c>
      <c r="L51" t="inlineStr">
        <is>
          <t>Slay the Spire</t>
        </is>
      </c>
      <c r="M51" t="inlineStr">
        <is>
          <t>N/A</t>
        </is>
      </c>
      <c r="N51" t="inlineStr">
        <is>
          <t>N/A</t>
        </is>
      </c>
      <c r="O51" t="inlineStr">
        <is>
          <t>silent, debuff, poison</t>
        </is>
      </c>
    </row>
    <row r="52" ht="15" customHeight="1">
      <c r="A52" t="inlineStr">
        <is>
          <t>Decay</t>
        </is>
      </c>
      <c r="B52" t="inlineStr">
        <is>
          <t>None</t>
        </is>
      </c>
      <c r="C52" t="inlineStr">
        <is>
          <t>Curse</t>
        </is>
      </c>
      <c r="D52" t="inlineStr">
        <is>
          <t>No</t>
        </is>
      </c>
      <c r="E52" t="inlineStr">
        <is>
          <t>Unplayable. At the end of your turn, if this is in your Hand, it deals 2 Dmg to you.</t>
        </is>
      </c>
      <c r="F52" t="inlineStr">
        <is>
          <t>eot: dmg:2:self</t>
        </is>
      </c>
      <c r="G52" t="inlineStr">
        <is>
          <t>N/A</t>
        </is>
      </c>
      <c r="H52" t="inlineStr">
        <is>
          <t>N/A</t>
        </is>
      </c>
      <c r="I52" t="inlineStr">
        <is>
          <t>N/A</t>
        </is>
      </c>
      <c r="J52" t="inlineStr">
        <is>
          <t>N/A</t>
        </is>
      </c>
      <c r="K52" t="inlineStr">
        <is>
          <t>Decay</t>
        </is>
      </c>
      <c r="L52" t="inlineStr">
        <is>
          <t>Slay the Spire</t>
        </is>
      </c>
      <c r="M52" t="inlineStr">
        <is>
          <t>Unplayable</t>
        </is>
      </c>
      <c r="N52" t="inlineStr">
        <is>
          <t>N/A</t>
        </is>
      </c>
      <c r="O52" t="inlineStr">
        <is>
          <t>randomcurse</t>
        </is>
      </c>
    </row>
    <row r="53" ht="15" customHeight="1">
      <c r="A53" t="inlineStr">
        <is>
          <t>Defend (Ironclad)</t>
        </is>
      </c>
      <c r="B53" t="inlineStr">
        <is>
          <t>Starter</t>
        </is>
      </c>
      <c r="C53" t="inlineStr">
        <is>
          <t>Skill</t>
        </is>
      </c>
      <c r="D53" t="n">
        <v>1</v>
      </c>
      <c r="E53" t="inlineStr">
        <is>
          <t>Gain 5 Block.</t>
        </is>
      </c>
      <c r="F53" t="inlineStr">
        <is>
          <t>gain:block:5</t>
        </is>
      </c>
      <c r="G53" t="inlineStr">
        <is>
          <t>Gain 8 Block.</t>
        </is>
      </c>
      <c r="H53" t="inlineStr">
        <is>
          <t>gain:block:8</t>
        </is>
      </c>
      <c r="I53" t="n">
        <v>1</v>
      </c>
      <c r="J53" t="inlineStr">
        <is>
          <t>N/A</t>
        </is>
      </c>
      <c r="K53" t="inlineStr">
        <is>
          <t>DefendIronclad</t>
        </is>
      </c>
      <c r="L53" t="inlineStr">
        <is>
          <t>Slay the Spire</t>
        </is>
      </c>
      <c r="M53" t="inlineStr">
        <is>
          <t>N/A</t>
        </is>
      </c>
      <c r="N53" t="inlineStr">
        <is>
          <t>N/A</t>
        </is>
      </c>
      <c r="O53" t="inlineStr">
        <is>
          <t>defend</t>
        </is>
      </c>
    </row>
    <row r="54" ht="15" customHeight="1">
      <c r="A54" t="inlineStr">
        <is>
          <t>Defend (Silent)</t>
        </is>
      </c>
      <c r="B54" t="inlineStr">
        <is>
          <t>Starter</t>
        </is>
      </c>
      <c r="C54" t="inlineStr">
        <is>
          <t>Skill</t>
        </is>
      </c>
      <c r="D54" t="n">
        <v>1</v>
      </c>
      <c r="E54" t="inlineStr">
        <is>
          <t>Gain 5 Block.</t>
        </is>
      </c>
      <c r="F54" t="inlineStr">
        <is>
          <t>gain:block:5</t>
        </is>
      </c>
      <c r="G54" t="inlineStr">
        <is>
          <t>Gain 8 Block.</t>
        </is>
      </c>
      <c r="H54" t="inlineStr">
        <is>
          <t>gain:block:8</t>
        </is>
      </c>
      <c r="I54" t="n">
        <v>1</v>
      </c>
      <c r="J54" t="inlineStr">
        <is>
          <t>N/A</t>
        </is>
      </c>
      <c r="K54" t="inlineStr">
        <is>
          <t>DefendSilent</t>
        </is>
      </c>
      <c r="L54" t="inlineStr">
        <is>
          <t>Slay the Spire</t>
        </is>
      </c>
      <c r="M54" t="inlineStr">
        <is>
          <t>N/A</t>
        </is>
      </c>
      <c r="N54" t="inlineStr">
        <is>
          <t>N/A</t>
        </is>
      </c>
      <c r="O54" t="inlineStr">
        <is>
          <t>defend</t>
        </is>
      </c>
    </row>
    <row r="55" ht="15" customHeight="1">
      <c r="A55" t="inlineStr">
        <is>
          <t>Deflect</t>
        </is>
      </c>
      <c r="B55" t="inlineStr">
        <is>
          <t>Common</t>
        </is>
      </c>
      <c r="C55" t="inlineStr">
        <is>
          <t>Skill</t>
        </is>
      </c>
      <c r="D55" t="n">
        <v>0</v>
      </c>
      <c r="E55" s="9" t="inlineStr">
        <is>
          <t>Gain +4 Block.</t>
        </is>
      </c>
      <c r="F55" t="inlineStr">
        <is>
          <t>gain:block:4</t>
        </is>
      </c>
      <c r="G55" s="9" t="inlineStr">
        <is>
          <t>Gain +7 Block.</t>
        </is>
      </c>
      <c r="H55" t="inlineStr">
        <is>
          <t>gain:block:7</t>
        </is>
      </c>
      <c r="I55" t="n">
        <v>0</v>
      </c>
      <c r="J55" t="inlineStr">
        <is>
          <t>N/A</t>
        </is>
      </c>
      <c r="K55" t="inlineStr">
        <is>
          <t>Deflect</t>
        </is>
      </c>
      <c r="L55" t="inlineStr">
        <is>
          <t>Slay the Spire</t>
        </is>
      </c>
      <c r="M55" t="inlineStr">
        <is>
          <t>N/A</t>
        </is>
      </c>
      <c r="N55" t="inlineStr">
        <is>
          <t>N/A</t>
        </is>
      </c>
      <c r="O55" t="inlineStr">
        <is>
          <t>silent, defense</t>
        </is>
      </c>
    </row>
    <row r="56" ht="15" customHeight="1">
      <c r="A56" t="inlineStr">
        <is>
          <t>Dexecutioner</t>
        </is>
      </c>
      <c r="B56" t="inlineStr">
        <is>
          <t>Uncommon</t>
        </is>
      </c>
      <c r="C56" t="inlineStr">
        <is>
          <t>Attack</t>
        </is>
      </c>
      <c r="D56" t="n">
        <v>1</v>
      </c>
      <c r="E56" t="inlineStr">
        <is>
          <t>Deal 5 Dmg. Finesse.</t>
        </is>
      </c>
      <c r="F56" t="inlineStr">
        <is>
          <t>dmg:5:melee</t>
        </is>
      </c>
      <c r="G56" t="inlineStr">
        <is>
          <t>Deal 5 Dmg. Finesse.</t>
        </is>
      </c>
      <c r="H56" t="inlineStr">
        <is>
          <t>dmg:5:melee</t>
        </is>
      </c>
      <c r="I56" t="n">
        <v>1</v>
      </c>
      <c r="J56" t="inlineStr">
        <is>
          <t>Poke, Medium</t>
        </is>
      </c>
      <c r="K56" t="inlineStr">
        <is>
          <t>Dexecutioner</t>
        </is>
      </c>
      <c r="L56" t="inlineStr">
        <is>
          <t>Megabonk</t>
        </is>
      </c>
      <c r="M56" t="inlineStr">
        <is>
          <t>Finesse</t>
        </is>
      </c>
      <c r="N56" t="inlineStr">
        <is>
          <t>N/A</t>
        </is>
      </c>
      <c r="O56" t="inlineStr">
        <is>
          <t>weapon</t>
        </is>
      </c>
    </row>
    <row r="57" ht="15" customHeight="1">
      <c r="A57" t="inlineStr">
        <is>
          <t>Die Die Die</t>
        </is>
      </c>
      <c r="B57" t="inlineStr">
        <is>
          <t>Rare</t>
        </is>
      </c>
      <c r="C57" t="inlineStr">
        <is>
          <t>Attack</t>
        </is>
      </c>
      <c r="D57" t="n">
        <v>1</v>
      </c>
      <c r="E57" t="inlineStr">
        <is>
          <t>Deal 13 Dmg Ranged Cleave. Exhaust.</t>
        </is>
      </c>
      <c r="F57" t="inlineStr">
        <is>
          <t>dmg:13:ranged:cleave</t>
        </is>
      </c>
      <c r="G57" t="inlineStr">
        <is>
          <t>Deal 17 Dmg Ranged Cleave. Exhaust.</t>
        </is>
      </c>
      <c r="H57" t="inlineStr">
        <is>
          <t>dmg:17:ranged:cleave</t>
        </is>
      </c>
      <c r="I57" t="n">
        <v>1</v>
      </c>
      <c r="J57" t="inlineStr">
        <is>
          <t>Projectile, Medium, spread=8</t>
        </is>
      </c>
      <c r="K57" t="inlineStr">
        <is>
          <t>DieDieDie</t>
        </is>
      </c>
      <c r="L57" t="inlineStr">
        <is>
          <t>Slay the Spire</t>
        </is>
      </c>
      <c r="M57" t="inlineStr">
        <is>
          <t>Exhaust</t>
        </is>
      </c>
      <c r="N57" t="inlineStr">
        <is>
          <t>N/A</t>
        </is>
      </c>
      <c r="O57" t="inlineStr">
        <is>
          <t>silent, offense, aoe, exhaust</t>
        </is>
      </c>
    </row>
    <row r="58" ht="15" customHeight="1">
      <c r="A58" t="inlineStr">
        <is>
          <t>Disarm</t>
        </is>
      </c>
      <c r="B58" t="inlineStr">
        <is>
          <t>Uncommon</t>
        </is>
      </c>
      <c r="C58" t="inlineStr">
        <is>
          <t>Skill</t>
        </is>
      </c>
      <c r="D58" t="n">
        <v>1</v>
      </c>
      <c r="E58" s="9" t="inlineStr">
        <is>
          <t>Inflict -2 Power. Exhaust.</t>
        </is>
      </c>
      <c r="F58" t="inlineStr">
        <is>
          <t>inflict:power:-2</t>
        </is>
      </c>
      <c r="G58" s="9" t="inlineStr">
        <is>
          <t>Inflict -3 Power. Exhaust.</t>
        </is>
      </c>
      <c r="H58" t="inlineStr">
        <is>
          <t>inflict:power:-3</t>
        </is>
      </c>
      <c r="I58" t="n">
        <v>1</v>
      </c>
      <c r="J58" t="inlineStr">
        <is>
          <t>N/A</t>
        </is>
      </c>
      <c r="K58" t="inlineStr">
        <is>
          <t>Disarm</t>
        </is>
      </c>
      <c r="L58" t="inlineStr">
        <is>
          <t>Slay the Spire</t>
        </is>
      </c>
      <c r="M58" t="inlineStr">
        <is>
          <t>Exhaust</t>
        </is>
      </c>
      <c r="N58" t="inlineStr">
        <is>
          <t>N/A</t>
        </is>
      </c>
      <c r="O58" t="inlineStr">
        <is>
          <t>ironclad, debuff, exhaust</t>
        </is>
      </c>
    </row>
    <row r="59" ht="15" customHeight="1">
      <c r="A59" t="inlineStr">
        <is>
          <t>Distraction</t>
        </is>
      </c>
      <c r="B59" t="inlineStr">
        <is>
          <t>Uncommon</t>
        </is>
      </c>
      <c r="C59" t="inlineStr">
        <is>
          <t>Skill</t>
        </is>
      </c>
      <c r="D59" t="n">
        <v>1</v>
      </c>
      <c r="E59" s="9" t="inlineStr">
        <is>
          <t>Conjure 1 Random Skill in Hand. You can play it for free this turn. Exhaust.</t>
        </is>
      </c>
      <c r="F59" t="inlineStr">
        <is>
          <t>conjure_random:skill:hand:free</t>
        </is>
      </c>
      <c r="G59" s="9" t="inlineStr">
        <is>
          <t>Conjure 1 Random Skill in Hand. You can play it for free this turn. Exhaust.</t>
        </is>
      </c>
      <c r="H59" t="inlineStr">
        <is>
          <t>conjure_random:skill:hand:free</t>
        </is>
      </c>
      <c r="I59" t="n">
        <v>0</v>
      </c>
      <c r="J59" t="inlineStr">
        <is>
          <t>N/A</t>
        </is>
      </c>
      <c r="K59" t="inlineStr">
        <is>
          <t>Distraction</t>
        </is>
      </c>
      <c r="L59" t="inlineStr">
        <is>
          <t>Slay the Spire</t>
        </is>
      </c>
      <c r="M59" t="inlineStr">
        <is>
          <t>Exhaust</t>
        </is>
      </c>
      <c r="N59" t="inlineStr">
        <is>
          <t>N/A</t>
        </is>
      </c>
      <c r="O59" t="inlineStr">
        <is>
          <t>silent, draw, random</t>
        </is>
      </c>
    </row>
    <row r="60" ht="15" customHeight="1">
      <c r="A60" t="inlineStr">
        <is>
          <t>Dodge and Roll</t>
        </is>
      </c>
      <c r="B60" t="inlineStr">
        <is>
          <t>Common</t>
        </is>
      </c>
      <c r="C60" t="inlineStr">
        <is>
          <t>Skill</t>
        </is>
      </c>
      <c r="D60" t="n">
        <v>1</v>
      </c>
      <c r="E60" s="9" t="inlineStr">
        <is>
          <t>Gain +4 Block. Gain +4 Next Turn Block.</t>
        </is>
      </c>
      <c r="F60" t="inlineStr">
        <is>
          <t>gain:block:4; gain:next_turn_block:4</t>
        </is>
      </c>
      <c r="G60" s="9" t="inlineStr">
        <is>
          <t>Gain +6 Block. Gain +6 Next Turn Block.</t>
        </is>
      </c>
      <c r="H60" t="inlineStr">
        <is>
          <t>gain:block:6; gain:next_turn_block:6</t>
        </is>
      </c>
      <c r="I60" t="n">
        <v>1</v>
      </c>
      <c r="J60" t="inlineStr">
        <is>
          <t>N/A</t>
        </is>
      </c>
      <c r="K60" t="inlineStr">
        <is>
          <t>DodgeAndRoll</t>
        </is>
      </c>
      <c r="L60" t="inlineStr">
        <is>
          <t>Slay the Spire</t>
        </is>
      </c>
      <c r="M60" t="inlineStr">
        <is>
          <t>N/A</t>
        </is>
      </c>
      <c r="N60" t="inlineStr">
        <is>
          <t>N/A</t>
        </is>
      </c>
      <c r="O60" t="inlineStr">
        <is>
          <t>silent, defense</t>
        </is>
      </c>
    </row>
    <row r="61" ht="15" customHeight="1">
      <c r="A61" t="inlineStr">
        <is>
          <t>Doppelganger</t>
        </is>
      </c>
      <c r="B61" t="inlineStr">
        <is>
          <t>Rare</t>
        </is>
      </c>
      <c r="C61" t="inlineStr">
        <is>
          <t>Skill</t>
        </is>
      </c>
      <c r="D61" t="inlineStr">
        <is>
          <t>X</t>
        </is>
      </c>
      <c r="E61" s="9" t="inlineStr">
        <is>
          <t>Gain X Next Turn Draw and X Next Turn Energy. Exhaust.</t>
        </is>
      </c>
      <c r="F61" t="inlineStr">
        <is>
          <t>gain:next_turn_draw:X; gain:next_turn_energy:X</t>
        </is>
      </c>
      <c r="G61" s="9" t="inlineStr">
        <is>
          <t>Gain X+1 Next Turn Draw and X+1 Next Turn Energy. Exhaust.</t>
        </is>
      </c>
      <c r="H61" t="inlineStr">
        <is>
          <t>gain:next_turn_draw:X+1; gain:next_turn_energy:X+1</t>
        </is>
      </c>
      <c r="I61" t="inlineStr">
        <is>
          <t>N/A</t>
        </is>
      </c>
      <c r="J61" t="inlineStr">
        <is>
          <t>N/A</t>
        </is>
      </c>
      <c r="K61" t="inlineStr">
        <is>
          <t>Doppelganger</t>
        </is>
      </c>
      <c r="L61" t="inlineStr">
        <is>
          <t>Slay the Spire</t>
        </is>
      </c>
      <c r="M61" t="inlineStr">
        <is>
          <t>Exhaust</t>
        </is>
      </c>
      <c r="N61" t="inlineStr">
        <is>
          <t>N/A</t>
        </is>
      </c>
      <c r="O61" t="inlineStr">
        <is>
          <t>silent, draw, energy</t>
        </is>
      </c>
    </row>
    <row r="62" ht="15" customHeight="1">
      <c r="A62" t="inlineStr">
        <is>
          <t>Double Tap</t>
        </is>
      </c>
      <c r="B62" t="inlineStr">
        <is>
          <t>Rare</t>
        </is>
      </c>
      <c r="C62" t="inlineStr">
        <is>
          <t>Skill</t>
        </is>
      </c>
      <c r="D62" t="n">
        <v>1</v>
      </c>
      <c r="E62" s="9" t="inlineStr">
        <is>
          <t>This turn, your next Attack is played twice.</t>
        </is>
      </c>
      <c r="F62" t="inlineStr">
        <is>
          <t>gain:double_tap:1</t>
        </is>
      </c>
      <c r="G62" s="9" t="inlineStr">
        <is>
          <t>This turn, your next 2 Attacks are played twice.</t>
        </is>
      </c>
      <c r="H62" t="inlineStr">
        <is>
          <t>gain:double_tap:2</t>
        </is>
      </c>
      <c r="I62" t="n">
        <v>1</v>
      </c>
      <c r="J62" t="inlineStr">
        <is>
          <t>N/A</t>
        </is>
      </c>
      <c r="K62" t="inlineStr">
        <is>
          <t>DoubleTap</t>
        </is>
      </c>
      <c r="L62" t="inlineStr">
        <is>
          <t>Slay the Spire</t>
        </is>
      </c>
      <c r="M62" t="inlineStr">
        <is>
          <t>N/A</t>
        </is>
      </c>
      <c r="N62" t="inlineStr">
        <is>
          <t>N/A</t>
        </is>
      </c>
      <c r="O62" t="inlineStr">
        <is>
          <t>ironclad, offense</t>
        </is>
      </c>
    </row>
    <row r="63" ht="15" customHeight="1">
      <c r="A63" t="inlineStr">
        <is>
          <t>Doubt</t>
        </is>
      </c>
      <c r="B63" t="inlineStr">
        <is>
          <t>None</t>
        </is>
      </c>
      <c r="C63" t="inlineStr">
        <is>
          <t>Curse</t>
        </is>
      </c>
      <c r="D63" t="inlineStr">
        <is>
          <t>No</t>
        </is>
      </c>
      <c r="E63" t="inlineStr">
        <is>
          <t>Unplayable. At the end of your turn, Gain 1 Weak.</t>
        </is>
      </c>
      <c r="F63" t="inlineStr">
        <is>
          <t>eot: inflict:weak:1:self</t>
        </is>
      </c>
      <c r="G63" t="inlineStr">
        <is>
          <t>N/A</t>
        </is>
      </c>
      <c r="H63" t="inlineStr">
        <is>
          <t>N/A</t>
        </is>
      </c>
      <c r="I63" t="inlineStr">
        <is>
          <t>N/A</t>
        </is>
      </c>
      <c r="J63" t="inlineStr">
        <is>
          <t>N/A</t>
        </is>
      </c>
      <c r="K63" t="inlineStr">
        <is>
          <t>Doubt</t>
        </is>
      </c>
      <c r="L63" t="inlineStr">
        <is>
          <t>Slay the Spire</t>
        </is>
      </c>
      <c r="M63" t="inlineStr">
        <is>
          <t>Unplayable</t>
        </is>
      </c>
      <c r="N63" t="inlineStr">
        <is>
          <t>N/A</t>
        </is>
      </c>
      <c r="O63" t="inlineStr">
        <is>
          <t>randomcurse</t>
        </is>
      </c>
    </row>
    <row r="64" ht="15" customHeight="1">
      <c r="A64" t="inlineStr">
        <is>
          <t>Dropkick</t>
        </is>
      </c>
      <c r="B64" t="inlineStr">
        <is>
          <t>Uncommon</t>
        </is>
      </c>
      <c r="C64" t="inlineStr">
        <is>
          <t>Attack</t>
        </is>
      </c>
      <c r="D64" t="n">
        <v>1</v>
      </c>
      <c r="E64" s="9" t="inlineStr">
        <is>
          <t>Deal 5 Dmg Melee. If the target has Vulnerable, Gain +1 Energy and Draw 1 Card.</t>
        </is>
      </c>
      <c r="F64" t="inlineStr">
        <is>
          <t>dmg:5:melee; if_target:vulnerable:gain_energy:1; if_target:vulnerable:draw:1</t>
        </is>
      </c>
      <c r="G64" s="9" t="inlineStr">
        <is>
          <t>Deal 8 Dmg Melee. If the target has Vulnerable, Gain +1 Energy and Draw 1 Card.</t>
        </is>
      </c>
      <c r="H64" t="inlineStr">
        <is>
          <t>dmg:8:melee; if_target:vulnerable:gain_energy:1; if_target:vulnerable:draw:1</t>
        </is>
      </c>
      <c r="I64" t="n">
        <v>1</v>
      </c>
      <c r="J64" t="inlineStr">
        <is>
          <t>Poke, Medium</t>
        </is>
      </c>
      <c r="K64" t="inlineStr">
        <is>
          <t>Dropkick</t>
        </is>
      </c>
      <c r="L64" t="inlineStr">
        <is>
          <t>Slay the Spire</t>
        </is>
      </c>
      <c r="M64" t="inlineStr">
        <is>
          <t>N/A</t>
        </is>
      </c>
      <c r="N64" t="inlineStr">
        <is>
          <t>N/A</t>
        </is>
      </c>
      <c r="O64" t="inlineStr">
        <is>
          <t>ironclad, offense, draw, energy</t>
        </is>
      </c>
    </row>
    <row r="65" ht="15" customHeight="1">
      <c r="A65" t="inlineStr">
        <is>
          <t>Dual Weild</t>
        </is>
      </c>
      <c r="B65" t="inlineStr">
        <is>
          <t>Uncommon</t>
        </is>
      </c>
      <c r="C65" t="inlineStr">
        <is>
          <t>Skill</t>
        </is>
      </c>
      <c r="D65" t="n">
        <v>1</v>
      </c>
      <c r="E65" s="9" t="inlineStr">
        <is>
          <t>Choose an Attack or Power Card. Conjure 1 Copy of that Card to Hand.</t>
        </is>
      </c>
      <c r="F65" t="inlineStr">
        <is>
          <t>copy_from_hand:1:attack_or_power</t>
        </is>
      </c>
      <c r="G65" s="9" t="inlineStr">
        <is>
          <t>Choose an Attack or Power Card. Conjure 2 Copies of that Card to Hand.</t>
        </is>
      </c>
      <c r="H65" t="inlineStr">
        <is>
          <t>copy_from_hand:2:attack_or_power</t>
        </is>
      </c>
      <c r="I65" t="n">
        <v>1</v>
      </c>
      <c r="J65" t="inlineStr">
        <is>
          <t>N/A</t>
        </is>
      </c>
      <c r="K65" t="inlineStr">
        <is>
          <t>DualWield</t>
        </is>
      </c>
      <c r="L65" t="inlineStr">
        <is>
          <t>Slay the Spire</t>
        </is>
      </c>
      <c r="M65" t="inlineStr">
        <is>
          <t>N/A</t>
        </is>
      </c>
      <c r="N65" t="inlineStr">
        <is>
          <t>N/A</t>
        </is>
      </c>
      <c r="O65" t="inlineStr">
        <is>
          <t>ironclad, draw</t>
        </is>
      </c>
    </row>
    <row r="66" ht="15" customHeight="1">
      <c r="A66" t="inlineStr">
        <is>
          <t>Endless Agony</t>
        </is>
      </c>
      <c r="B66" t="inlineStr">
        <is>
          <t>Uncommon</t>
        </is>
      </c>
      <c r="C66" t="inlineStr">
        <is>
          <t>Attack</t>
        </is>
      </c>
      <c r="D66" t="n">
        <v>0</v>
      </c>
      <c r="E66" s="9" t="inlineStr">
        <is>
          <t>Whenever you draw this card, Conjure 1 copy of this card to Hand. Deal 4 Dmg Ranged. Exhaust.</t>
        </is>
      </c>
      <c r="F66" t="inlineStr">
        <is>
          <t>dmg:4:ranged; drawn: conjure:self:hand</t>
        </is>
      </c>
      <c r="G66" s="9" t="inlineStr">
        <is>
          <t>Whenever you draw this card, Conjure 1 copy of this card to Hand. Deal 6 Dmg Ranged. Exhaust.</t>
        </is>
      </c>
      <c r="H66" t="inlineStr">
        <is>
          <t>dmg:6:ranged; drawn: conjure:self:hand</t>
        </is>
      </c>
      <c r="I66" t="n">
        <v>0</v>
      </c>
      <c r="J66" t="inlineStr">
        <is>
          <t>Smash, Small</t>
        </is>
      </c>
      <c r="K66" t="inlineStr">
        <is>
          <t>EndlessAgony</t>
        </is>
      </c>
      <c r="L66" t="inlineStr">
        <is>
          <t>Slay the Spire</t>
        </is>
      </c>
      <c r="M66" t="inlineStr">
        <is>
          <t>Exhaust</t>
        </is>
      </c>
      <c r="N66" t="inlineStr">
        <is>
          <t>N/A</t>
        </is>
      </c>
      <c r="O66" t="inlineStr">
        <is>
          <t>silent, offense</t>
        </is>
      </c>
    </row>
    <row r="67">
      <c r="A67" t="inlineStr">
        <is>
          <t>Entrench</t>
        </is>
      </c>
      <c r="B67" t="inlineStr">
        <is>
          <t>Uncommon</t>
        </is>
      </c>
      <c r="C67" t="inlineStr">
        <is>
          <t>Skill</t>
        </is>
      </c>
      <c r="D67" t="n">
        <v>2</v>
      </c>
      <c r="E67" s="9" t="inlineStr">
        <is>
          <t>Gain Double Block.</t>
        </is>
      </c>
      <c r="F67" t="inlineStr">
        <is>
          <t>double:block</t>
        </is>
      </c>
      <c r="G67" s="9" t="inlineStr">
        <is>
          <t>Gain Double Block.</t>
        </is>
      </c>
      <c r="H67" t="inlineStr">
        <is>
          <t>double:block</t>
        </is>
      </c>
      <c r="I67" t="n">
        <v>1</v>
      </c>
      <c r="J67" t="inlineStr">
        <is>
          <t>N/A</t>
        </is>
      </c>
      <c r="K67" t="inlineStr">
        <is>
          <t>Entrench</t>
        </is>
      </c>
      <c r="L67" t="inlineStr">
        <is>
          <t>Slay the Spire</t>
        </is>
      </c>
      <c r="M67" t="inlineStr">
        <is>
          <t>N/A</t>
        </is>
      </c>
      <c r="N67" t="inlineStr">
        <is>
          <t>N/A</t>
        </is>
      </c>
      <c r="O67" t="inlineStr">
        <is>
          <t>ironclad, defense</t>
        </is>
      </c>
    </row>
    <row r="68">
      <c r="A68" t="inlineStr">
        <is>
          <t>Envenom</t>
        </is>
      </c>
      <c r="B68" t="inlineStr">
        <is>
          <t>Rare</t>
        </is>
      </c>
      <c r="C68" t="inlineStr">
        <is>
          <t>Power</t>
        </is>
      </c>
      <c r="D68" t="n">
        <v>2</v>
      </c>
      <c r="E68" s="9" t="inlineStr">
        <is>
          <t>Whenever you deal unblocked Attack Dmg, Inflict 1 Poison.</t>
        </is>
      </c>
      <c r="F68" t="inlineStr">
        <is>
          <t>on_unblocked_attack:inflict:poison:1</t>
        </is>
      </c>
      <c r="G68" s="9" t="inlineStr">
        <is>
          <t>Whenever you deal unblocked Attack Dmg, Inflict 1 Poison.</t>
        </is>
      </c>
      <c r="H68" t="inlineStr">
        <is>
          <t>on_unblocked_attack:inflict:poison:1</t>
        </is>
      </c>
      <c r="I68" t="n">
        <v>1</v>
      </c>
      <c r="J68" t="inlineStr">
        <is>
          <t>N/A</t>
        </is>
      </c>
      <c r="K68" t="inlineStr">
        <is>
          <t>Envenom</t>
        </is>
      </c>
      <c r="L68" t="inlineStr">
        <is>
          <t>Slay the Spire</t>
        </is>
      </c>
      <c r="M68" t="inlineStr">
        <is>
          <t>N/A</t>
        </is>
      </c>
      <c r="N68" t="inlineStr">
        <is>
          <t>N/A</t>
        </is>
      </c>
      <c r="O68" t="inlineStr">
        <is>
          <t>silent, poison, offense</t>
        </is>
      </c>
    </row>
    <row r="69">
      <c r="A69" t="inlineStr">
        <is>
          <t>Escape Plan</t>
        </is>
      </c>
      <c r="B69" t="inlineStr">
        <is>
          <t>Uncommon</t>
        </is>
      </c>
      <c r="C69" t="inlineStr">
        <is>
          <t>Skill</t>
        </is>
      </c>
      <c r="D69" t="n">
        <v>0</v>
      </c>
      <c r="E69" s="9" t="inlineStr">
        <is>
          <t>Draw 1 Card. If it was a Skill, Gain +3 Block.</t>
        </is>
      </c>
      <c r="F69" t="inlineStr">
        <is>
          <t>draw:1:skill_block=3</t>
        </is>
      </c>
      <c r="G69" s="9" t="inlineStr">
        <is>
          <t>Draw 1 Card. If it was a Skill, Gain +5 Block.</t>
        </is>
      </c>
      <c r="H69" t="inlineStr">
        <is>
          <t>draw:1:skill_block=5</t>
        </is>
      </c>
      <c r="I69" t="n">
        <v>0</v>
      </c>
      <c r="J69" t="inlineStr">
        <is>
          <t>N/A</t>
        </is>
      </c>
      <c r="K69" t="inlineStr">
        <is>
          <t>EscapePlan</t>
        </is>
      </c>
      <c r="L69" t="inlineStr">
        <is>
          <t>Slay the Spire</t>
        </is>
      </c>
      <c r="M69" t="inlineStr">
        <is>
          <t>N/A</t>
        </is>
      </c>
      <c r="N69" t="inlineStr">
        <is>
          <t>N/A</t>
        </is>
      </c>
      <c r="O69" t="inlineStr">
        <is>
          <t>silent, draw, defense</t>
        </is>
      </c>
    </row>
    <row r="70">
      <c r="A70" t="inlineStr">
        <is>
          <t>Eviscerate</t>
        </is>
      </c>
      <c r="B70" t="inlineStr">
        <is>
          <t>Uncommon</t>
        </is>
      </c>
      <c r="C70" t="inlineStr">
        <is>
          <t>Attack</t>
        </is>
      </c>
      <c r="D70" t="n">
        <v>3</v>
      </c>
      <c r="E70" s="9" t="inlineStr">
        <is>
          <t>Costs 1 less Energy for each Card you Discarded this turn. Deal 7x3 Dmg Melee.</t>
        </is>
      </c>
      <c r="F70" t="inlineStr">
        <is>
          <t>cost_reduce:per=discards_this_turn; dmg:7x3:melee</t>
        </is>
      </c>
      <c r="G70" s="9" t="inlineStr">
        <is>
          <t>Costs 1 less Energy for each Card you Discarded this turn. Deal 9x3 Dmg Melee.</t>
        </is>
      </c>
      <c r="H70" t="inlineStr">
        <is>
          <t>cost_reduce:per=discards_this_turn; dmg:9x3:melee</t>
        </is>
      </c>
      <c r="I70" t="n">
        <v>3</v>
      </c>
      <c r="J70" t="inlineStr">
        <is>
          <t>Poke, Small</t>
        </is>
      </c>
      <c r="K70" t="inlineStr">
        <is>
          <t>Eviscerate</t>
        </is>
      </c>
      <c r="L70" t="inlineStr">
        <is>
          <t>Slay the Spire</t>
        </is>
      </c>
      <c r="M70" t="inlineStr">
        <is>
          <t>N/A</t>
        </is>
      </c>
      <c r="N70" t="inlineStr">
        <is>
          <t>N/A</t>
        </is>
      </c>
      <c r="O70" t="inlineStr">
        <is>
          <t>silent, offense, discard</t>
        </is>
      </c>
    </row>
    <row r="71">
      <c r="A71" t="inlineStr">
        <is>
          <t>Evolve</t>
        </is>
      </c>
      <c r="B71" t="inlineStr">
        <is>
          <t>Uncommon</t>
        </is>
      </c>
      <c r="C71" t="inlineStr">
        <is>
          <t>Power</t>
        </is>
      </c>
      <c r="D71" t="n">
        <v>1</v>
      </c>
      <c r="E71" s="9" t="inlineStr">
        <is>
          <t>Whenever you Draw a Status Card, Draw 1 Card.</t>
        </is>
      </c>
      <c r="F71" t="inlineStr">
        <is>
          <t>on_status_drawn:draw:1</t>
        </is>
      </c>
      <c r="G71" s="9" t="inlineStr">
        <is>
          <t>Whenever you Draw a Status Card, Draw 2 Cards.</t>
        </is>
      </c>
      <c r="H71" t="inlineStr">
        <is>
          <t>on_status_drawn:draw:2</t>
        </is>
      </c>
      <c r="I71" t="n">
        <v>1</v>
      </c>
      <c r="J71" t="inlineStr">
        <is>
          <t>N/A</t>
        </is>
      </c>
      <c r="K71" t="inlineStr">
        <is>
          <t>Evolve</t>
        </is>
      </c>
      <c r="L71" t="inlineStr">
        <is>
          <t>Slay the Spire</t>
        </is>
      </c>
      <c r="M71" t="inlineStr">
        <is>
          <t>N/A</t>
        </is>
      </c>
      <c r="N71" t="inlineStr">
        <is>
          <t>N/A</t>
        </is>
      </c>
      <c r="O71" t="inlineStr">
        <is>
          <t>ironclad, draw, status</t>
        </is>
      </c>
    </row>
    <row r="72">
      <c r="A72" t="inlineStr">
        <is>
          <t>Exhume</t>
        </is>
      </c>
      <c r="B72" t="inlineStr">
        <is>
          <t>Rare</t>
        </is>
      </c>
      <c r="C72" t="inlineStr">
        <is>
          <t>Skill</t>
        </is>
      </c>
      <c r="D72" t="n">
        <v>1</v>
      </c>
      <c r="E72" s="9" t="inlineStr">
        <is>
          <t>Put 1 Card from your Exhaust to your Hand. Exhaust.</t>
        </is>
      </c>
      <c r="F72" t="inlineStr">
        <is>
          <t>exhume:1</t>
        </is>
      </c>
      <c r="G72" s="9" t="inlineStr">
        <is>
          <t>Put 1 Card from your Exhaust to your Hand. Exhaust.</t>
        </is>
      </c>
      <c r="H72" t="inlineStr">
        <is>
          <t>exhume:1</t>
        </is>
      </c>
      <c r="I72" t="n">
        <v>0</v>
      </c>
      <c r="J72" t="inlineStr">
        <is>
          <t>N/A</t>
        </is>
      </c>
      <c r="K72" t="inlineStr">
        <is>
          <t>Exhume</t>
        </is>
      </c>
      <c r="L72" t="inlineStr">
        <is>
          <t>Slay the Spire</t>
        </is>
      </c>
      <c r="M72" t="inlineStr">
        <is>
          <t>Exhaust</t>
        </is>
      </c>
      <c r="N72" t="inlineStr">
        <is>
          <t>N/A</t>
        </is>
      </c>
      <c r="O72" t="inlineStr">
        <is>
          <t>ironclad, exhaust</t>
        </is>
      </c>
    </row>
    <row r="73">
      <c r="A73" t="inlineStr">
        <is>
          <t>Expertise</t>
        </is>
      </c>
      <c r="B73" t="inlineStr">
        <is>
          <t>Uncommon</t>
        </is>
      </c>
      <c r="C73" t="inlineStr">
        <is>
          <t>Skill</t>
        </is>
      </c>
      <c r="D73" t="n">
        <v>1</v>
      </c>
      <c r="E73" s="9" t="inlineStr">
        <is>
          <t>Draw Cards until you have 6 Cards in your Hand.</t>
        </is>
      </c>
      <c r="F73" t="inlineStr">
        <is>
          <t>draw:to=6</t>
        </is>
      </c>
      <c r="G73" s="9" t="inlineStr">
        <is>
          <t>Draw Cards until you have 7 Cards in your Hand.</t>
        </is>
      </c>
      <c r="H73" t="inlineStr">
        <is>
          <t>draw:to=7</t>
        </is>
      </c>
      <c r="I73" t="n">
        <v>1</v>
      </c>
      <c r="J73" t="inlineStr">
        <is>
          <t>N/A</t>
        </is>
      </c>
      <c r="K73" t="inlineStr">
        <is>
          <t>Expertise</t>
        </is>
      </c>
      <c r="L73" t="inlineStr">
        <is>
          <t>Slay the Spire</t>
        </is>
      </c>
      <c r="M73" t="inlineStr">
        <is>
          <t>N/A</t>
        </is>
      </c>
      <c r="N73" t="inlineStr">
        <is>
          <t>N/A</t>
        </is>
      </c>
      <c r="O73" t="inlineStr">
        <is>
          <t>silent, draw</t>
        </is>
      </c>
    </row>
    <row r="74">
      <c r="A74" t="inlineStr">
        <is>
          <t>Feed</t>
        </is>
      </c>
      <c r="B74" t="inlineStr">
        <is>
          <t>Rare</t>
        </is>
      </c>
      <c r="C74" t="inlineStr">
        <is>
          <t>Attack</t>
        </is>
      </c>
      <c r="D74" t="n">
        <v>1</v>
      </c>
      <c r="E74" s="9" t="inlineStr">
        <is>
          <t>Deal 10 Dmg Melee. If Fatal, raise your Max HP by 3. Exhaust.</t>
        </is>
      </c>
      <c r="F74" t="inlineStr">
        <is>
          <t>dmg:10:melee:infuse=3</t>
        </is>
      </c>
      <c r="G74" s="9" t="inlineStr">
        <is>
          <t>Deal 12 Dmg Melee. If Fatal, raise your Max HP by 4. Exhaust.</t>
        </is>
      </c>
      <c r="H74" t="inlineStr">
        <is>
          <t>dmg:12:melee:infuse=4</t>
        </is>
      </c>
      <c r="I74" t="inlineStr">
        <is>
          <t>N/A</t>
        </is>
      </c>
      <c r="J74" t="inlineStr">
        <is>
          <t>Poke, Small</t>
        </is>
      </c>
      <c r="K74" t="inlineStr">
        <is>
          <t>Feed</t>
        </is>
      </c>
      <c r="L74" t="inlineStr">
        <is>
          <t>Slay the Spire</t>
        </is>
      </c>
      <c r="M74" t="inlineStr">
        <is>
          <t>Exhaust</t>
        </is>
      </c>
      <c r="N74" t="inlineStr">
        <is>
          <t>N/A</t>
        </is>
      </c>
      <c r="O74" t="inlineStr">
        <is>
          <t>ironclad, offense, health, exhaust</t>
        </is>
      </c>
    </row>
    <row r="75">
      <c r="A75" t="inlineStr">
        <is>
          <t>Feel No Pain</t>
        </is>
      </c>
      <c r="B75" t="inlineStr">
        <is>
          <t>Uncommon</t>
        </is>
      </c>
      <c r="C75" t="inlineStr">
        <is>
          <t>Power</t>
        </is>
      </c>
      <c r="D75" t="n">
        <v>1</v>
      </c>
      <c r="E75" s="9" t="inlineStr">
        <is>
          <t>Whenever a Card is Exhausted, Gain 3 Block.</t>
        </is>
      </c>
      <c r="F75" t="inlineStr">
        <is>
          <t>on_card_exhausted:gain:block:3</t>
        </is>
      </c>
      <c r="G75" s="9" t="inlineStr">
        <is>
          <t>Whenever a Card is Exhausted, Gain 4 Block.</t>
        </is>
      </c>
      <c r="H75" t="inlineStr">
        <is>
          <t>on_card_exhausted:gain:block:4</t>
        </is>
      </c>
      <c r="I75" t="n">
        <v>1</v>
      </c>
      <c r="J75" t="inlineStr">
        <is>
          <t>N/A</t>
        </is>
      </c>
      <c r="K75" t="inlineStr">
        <is>
          <t>FeelNoPain</t>
        </is>
      </c>
      <c r="L75" t="inlineStr">
        <is>
          <t>Slay the Spire</t>
        </is>
      </c>
      <c r="M75" t="inlineStr">
        <is>
          <t>N/A</t>
        </is>
      </c>
      <c r="N75" t="inlineStr">
        <is>
          <t>N/A</t>
        </is>
      </c>
      <c r="O75" t="inlineStr">
        <is>
          <t>ironclad, defense, exhaust</t>
        </is>
      </c>
    </row>
    <row r="76">
      <c r="A76" t="inlineStr">
        <is>
          <t>Fiend Fire</t>
        </is>
      </c>
      <c r="B76" t="inlineStr">
        <is>
          <t>Rare</t>
        </is>
      </c>
      <c r="C76" t="inlineStr">
        <is>
          <t>Attack</t>
        </is>
      </c>
      <c r="D76" t="n">
        <v>2</v>
      </c>
      <c r="E76" s="9" t="inlineStr">
        <is>
          <t>Exhaust all other Cards in your Hand. Deal 7 Dmg Ranged for each Card Exhausted. Exhaust.</t>
        </is>
      </c>
      <c r="F76" t="inlineStr">
        <is>
          <t>exhaust:all; dmg:7:ranged:hits=exhausted</t>
        </is>
      </c>
      <c r="G76" s="9" t="inlineStr">
        <is>
          <t>Exhaust all other Cards in your Hand. Deal 10 Dmg Ranged for each Card Exhausted. Exhaust.</t>
        </is>
      </c>
      <c r="H76" t="inlineStr">
        <is>
          <t>exhaust:all; dmg:10:ranged:hits=exhausted</t>
        </is>
      </c>
      <c r="I76" t="n">
        <v>2</v>
      </c>
      <c r="J76" t="inlineStr">
        <is>
          <t>Projectile, Medium</t>
        </is>
      </c>
      <c r="K76" t="inlineStr">
        <is>
          <t>FiendFire</t>
        </is>
      </c>
      <c r="L76" t="inlineStr">
        <is>
          <t>Slay the Spire</t>
        </is>
      </c>
      <c r="M76" t="inlineStr">
        <is>
          <t>Exhaust</t>
        </is>
      </c>
      <c r="N76" t="inlineStr">
        <is>
          <t>Fire</t>
        </is>
      </c>
      <c r="O76" t="inlineStr">
        <is>
          <t>ironclad, offense, exhaust</t>
        </is>
      </c>
    </row>
    <row r="77">
      <c r="A77" t="inlineStr">
        <is>
          <t>Finisher</t>
        </is>
      </c>
      <c r="B77" t="inlineStr">
        <is>
          <t>Uncommon</t>
        </is>
      </c>
      <c r="C77" t="inlineStr">
        <is>
          <t>Attack</t>
        </is>
      </c>
      <c r="D77" t="n">
        <v>1</v>
      </c>
      <c r="E77" s="9" t="inlineStr">
        <is>
          <t>Deal 6 Dmg Melee for each Attack played this turn.</t>
        </is>
      </c>
      <c r="F77" t="inlineStr">
        <is>
          <t>dmg:6:melee:per=attacks_this_turn</t>
        </is>
      </c>
      <c r="G77" s="9" t="inlineStr">
        <is>
          <t>Deal 8 Dmg Melee for each Attack played this turn.</t>
        </is>
      </c>
      <c r="H77" t="inlineStr">
        <is>
          <t>dmg:8:melee:per=attacks_this_turn</t>
        </is>
      </c>
      <c r="I77" t="inlineStr">
        <is>
          <t>N/A</t>
        </is>
      </c>
      <c r="J77" t="inlineStr">
        <is>
          <t>Poke, Medium</t>
        </is>
      </c>
      <c r="K77" t="inlineStr">
        <is>
          <t>Finisher</t>
        </is>
      </c>
      <c r="L77" t="inlineStr">
        <is>
          <t>Slay the Spire</t>
        </is>
      </c>
      <c r="M77" t="inlineStr">
        <is>
          <t>N/A</t>
        </is>
      </c>
      <c r="N77" t="inlineStr">
        <is>
          <t>N/A</t>
        </is>
      </c>
      <c r="O77" t="inlineStr">
        <is>
          <t>silent, offense, scaling</t>
        </is>
      </c>
    </row>
    <row r="78">
      <c r="A78" t="inlineStr">
        <is>
          <t>Fire Breathing</t>
        </is>
      </c>
      <c r="B78" t="inlineStr">
        <is>
          <t>Uncommon</t>
        </is>
      </c>
      <c r="C78" t="inlineStr">
        <is>
          <t>Power</t>
        </is>
      </c>
      <c r="D78" t="n">
        <v>1</v>
      </c>
      <c r="E78" s="9" t="inlineStr">
        <is>
          <t>Whenever you Draw a Status or Curse Card, Deal 6 Magic Dmg to ALL Enemies.</t>
        </is>
      </c>
      <c r="F78" t="inlineStr">
        <is>
          <t>on_status_or_curse_drawn:dmg:6:magic:cleave</t>
        </is>
      </c>
      <c r="G78" s="9" t="inlineStr">
        <is>
          <t>Whenever you Draw a Status or Curse Card, Deal 10 Magic Dmg to ALL Enemies.</t>
        </is>
      </c>
      <c r="H78" t="inlineStr">
        <is>
          <t>on_status_or_curse_drawn:dmg:10:magic:cleave</t>
        </is>
      </c>
      <c r="I78" t="n">
        <v>1</v>
      </c>
      <c r="J78" t="inlineStr">
        <is>
          <t>N/A</t>
        </is>
      </c>
      <c r="K78" t="inlineStr">
        <is>
          <t>FireBreathing</t>
        </is>
      </c>
      <c r="L78" t="inlineStr">
        <is>
          <t>Slay the Spire</t>
        </is>
      </c>
      <c r="M78" t="inlineStr">
        <is>
          <t>N/A</t>
        </is>
      </c>
      <c r="N78" t="inlineStr">
        <is>
          <t>N/A</t>
        </is>
      </c>
      <c r="O78" t="inlineStr">
        <is>
          <t>ironclad, offense, aoe, status</t>
        </is>
      </c>
    </row>
    <row r="79">
      <c r="A79" t="inlineStr">
        <is>
          <t>Flame Barrier</t>
        </is>
      </c>
      <c r="B79" t="inlineStr">
        <is>
          <t>Uncommon</t>
        </is>
      </c>
      <c r="C79" t="inlineStr">
        <is>
          <t>Skill</t>
        </is>
      </c>
      <c r="D79" t="n">
        <v>2</v>
      </c>
      <c r="E79" s="9" t="inlineStr">
        <is>
          <t>Gain +12 Block. Until your next turn, enemies that hit you take 4 Magic Dmg Fire and gain 1 Burn per contact.</t>
        </is>
      </c>
      <c r="F79" t="inlineStr">
        <is>
          <t>gain:block:12; gain:flame_barrier:4; on_hit_by_attack:dmg:4:magic:until=turn_end</t>
        </is>
      </c>
      <c r="G79" s="9" t="inlineStr">
        <is>
          <t>Gain +16 Block. Until your next turn, enemies that hit you take 6 Magic Dmg Fire and gain 1 Burn per contact.</t>
        </is>
      </c>
      <c r="H79" t="inlineStr">
        <is>
          <t>gain:block:16; gain:flame_barrier:6; on_hit_by_attack:dmg:6:magic:until=turn_end</t>
        </is>
      </c>
      <c r="I79" t="n">
        <v>2</v>
      </c>
      <c r="J79" t="inlineStr">
        <is>
          <t>N/A</t>
        </is>
      </c>
      <c r="K79" t="inlineStr">
        <is>
          <t>FlameBarrier</t>
        </is>
      </c>
      <c r="L79" t="inlineStr">
        <is>
          <t>Slay the Spire</t>
        </is>
      </c>
      <c r="M79" t="inlineStr">
        <is>
          <t>N/A</t>
        </is>
      </c>
      <c r="N79" t="inlineStr">
        <is>
          <t>Fire</t>
        </is>
      </c>
      <c r="O79" t="inlineStr">
        <is>
          <t>ironclad, defense</t>
        </is>
      </c>
    </row>
    <row r="80">
      <c r="A80" t="inlineStr">
        <is>
          <t>Flechettes</t>
        </is>
      </c>
      <c r="B80" t="inlineStr">
        <is>
          <t>Uncommon</t>
        </is>
      </c>
      <c r="C80" t="inlineStr">
        <is>
          <t>Attack</t>
        </is>
      </c>
      <c r="D80" t="n">
        <v>1</v>
      </c>
      <c r="E80" s="9" t="inlineStr">
        <is>
          <t>Deal 4 Dmg Ranged for each Skill in your Hand.</t>
        </is>
      </c>
      <c r="F80" t="inlineStr">
        <is>
          <t>dmg:4:ranged:hits=skills_in_hand</t>
        </is>
      </c>
      <c r="G80" s="9" t="inlineStr">
        <is>
          <t>Deal 6 Dmg Ranged for each Skill in your Hand.</t>
        </is>
      </c>
      <c r="H80" t="inlineStr">
        <is>
          <t>dmg:6:ranged:hits=skills_in_hand</t>
        </is>
      </c>
      <c r="I80" t="n">
        <v>1</v>
      </c>
      <c r="J80" t="inlineStr">
        <is>
          <t>Projectile, Medium</t>
        </is>
      </c>
      <c r="K80" t="inlineStr">
        <is>
          <t>Flechettes</t>
        </is>
      </c>
      <c r="L80" t="inlineStr">
        <is>
          <t>Slay the Spire</t>
        </is>
      </c>
      <c r="M80" t="inlineStr">
        <is>
          <t>N/A</t>
        </is>
      </c>
      <c r="N80" t="inlineStr">
        <is>
          <t>N/A</t>
        </is>
      </c>
      <c r="O80" t="inlineStr">
        <is>
          <t>silent, offense, scaling</t>
        </is>
      </c>
    </row>
    <row r="81">
      <c r="A81" t="inlineStr">
        <is>
          <t>Flex</t>
        </is>
      </c>
      <c r="B81" t="inlineStr">
        <is>
          <t>Common</t>
        </is>
      </c>
      <c r="C81" t="inlineStr">
        <is>
          <t>Skill</t>
        </is>
      </c>
      <c r="D81" t="n">
        <v>0</v>
      </c>
      <c r="E81" s="9" t="inlineStr">
        <is>
          <t>Gain 2 Power. At the end of your turn, lose 2 Power.</t>
        </is>
      </c>
      <c r="F81" t="inlineStr">
        <is>
          <t>gain:power:2:temp</t>
        </is>
      </c>
      <c r="G81" s="9" t="inlineStr">
        <is>
          <t>Gain 4 Power. At the end of your turn, lose 4 Power.</t>
        </is>
      </c>
      <c r="H81" t="inlineStr">
        <is>
          <t>gain:power:4:temp</t>
        </is>
      </c>
      <c r="I81" t="inlineStr">
        <is>
          <t>N/A</t>
        </is>
      </c>
      <c r="J81" t="inlineStr">
        <is>
          <t>N/A</t>
        </is>
      </c>
      <c r="K81" t="inlineStr">
        <is>
          <t>Flex</t>
        </is>
      </c>
      <c r="L81" t="inlineStr">
        <is>
          <t>Slay the Spire</t>
        </is>
      </c>
      <c r="M81" t="inlineStr">
        <is>
          <t>N/A</t>
        </is>
      </c>
      <c r="N81" t="inlineStr">
        <is>
          <t>N/A</t>
        </is>
      </c>
      <c r="O81" t="inlineStr">
        <is>
          <t>ironclad, offense, scaling</t>
        </is>
      </c>
    </row>
    <row r="82">
      <c r="A82" t="inlineStr">
        <is>
          <t>Flying Knee</t>
        </is>
      </c>
      <c r="B82" t="inlineStr">
        <is>
          <t>Common</t>
        </is>
      </c>
      <c r="C82" t="inlineStr">
        <is>
          <t>Attack</t>
        </is>
      </c>
      <c r="D82" t="n">
        <v>1</v>
      </c>
      <c r="E82" s="9" t="inlineStr">
        <is>
          <t>Deal 8 Dmg Melee. Gain 1 Next Turn Energy.</t>
        </is>
      </c>
      <c r="F82" t="inlineStr">
        <is>
          <t>dmg:8:melee; gain:next_turn_energy:1</t>
        </is>
      </c>
      <c r="G82" s="9" t="inlineStr">
        <is>
          <t>Deal 11 Dmg Melee. Gain 1 Next Turn Energy.</t>
        </is>
      </c>
      <c r="H82" t="inlineStr">
        <is>
          <t>dmg:11:melee; gain:next_turn_energy:1</t>
        </is>
      </c>
      <c r="I82" t="inlineStr">
        <is>
          <t>N/A</t>
        </is>
      </c>
      <c r="J82" t="inlineStr">
        <is>
          <t>Poke, Medium</t>
        </is>
      </c>
      <c r="K82" t="inlineStr">
        <is>
          <t>FlyingKnee</t>
        </is>
      </c>
      <c r="L82" t="inlineStr">
        <is>
          <t>Slay the Spire</t>
        </is>
      </c>
      <c r="M82" t="inlineStr">
        <is>
          <t>N/A</t>
        </is>
      </c>
      <c r="N82" t="inlineStr">
        <is>
          <t>N/A</t>
        </is>
      </c>
      <c r="O82" t="inlineStr">
        <is>
          <t>silent, offense, energy</t>
        </is>
      </c>
    </row>
    <row r="83">
      <c r="A83" t="inlineStr">
        <is>
          <t>Ghostly Armor</t>
        </is>
      </c>
      <c r="B83" t="inlineStr">
        <is>
          <t>Uncommon</t>
        </is>
      </c>
      <c r="C83" t="inlineStr">
        <is>
          <t>Skill</t>
        </is>
      </c>
      <c r="D83" t="n">
        <v>1</v>
      </c>
      <c r="E83" s="9" t="inlineStr">
        <is>
          <t>Ethereal. Gain 10 Block.</t>
        </is>
      </c>
      <c r="F83" t="inlineStr">
        <is>
          <t>gain:block:10</t>
        </is>
      </c>
      <c r="G83" s="9" t="inlineStr">
        <is>
          <t>Ethereal. Gain 13 Block.</t>
        </is>
      </c>
      <c r="H83" t="inlineStr">
        <is>
          <t>gain:block:13</t>
        </is>
      </c>
      <c r="I83" t="inlineStr">
        <is>
          <t>N/A</t>
        </is>
      </c>
      <c r="J83" t="inlineStr">
        <is>
          <t>N/A</t>
        </is>
      </c>
      <c r="K83" t="inlineStr">
        <is>
          <t>GhostlyArmor</t>
        </is>
      </c>
      <c r="L83" t="inlineStr">
        <is>
          <t>Slay the Spire</t>
        </is>
      </c>
      <c r="M83" t="inlineStr">
        <is>
          <t>Ethereal</t>
        </is>
      </c>
      <c r="N83" t="inlineStr">
        <is>
          <t>N/A</t>
        </is>
      </c>
      <c r="O83" t="inlineStr">
        <is>
          <t>ironclad, defense</t>
        </is>
      </c>
    </row>
    <row r="84">
      <c r="A84" t="inlineStr">
        <is>
          <t>Glass Knife</t>
        </is>
      </c>
      <c r="B84" t="inlineStr">
        <is>
          <t>Rare</t>
        </is>
      </c>
      <c r="C84" t="inlineStr">
        <is>
          <t>Attack</t>
        </is>
      </c>
      <c r="D84" t="n">
        <v>1</v>
      </c>
      <c r="E84" s="9" t="inlineStr">
        <is>
          <t>Deal 8x2 Dmg Ranged. Decrease the Dmg of this Card by 2 this combat.</t>
        </is>
      </c>
      <c r="F84" t="inlineStr">
        <is>
          <t>dmg:8x2:ranged; boost_cards:id=glass_knife:dmg:-2</t>
        </is>
      </c>
      <c r="G84" s="9" t="inlineStr">
        <is>
          <t>Deal 12x2 Dmg Ranged. Decrease the Dmg of this Card by 2 this combat.</t>
        </is>
      </c>
      <c r="H84" t="inlineStr">
        <is>
          <t>dmg:12x2:ranged; boost_cards:id=glass_knife:dmg:-2</t>
        </is>
      </c>
      <c r="I84" t="inlineStr">
        <is>
          <t>N/A</t>
        </is>
      </c>
      <c r="J84" t="inlineStr">
        <is>
          <t>Projectile, Medium</t>
        </is>
      </c>
      <c r="K84" t="inlineStr">
        <is>
          <t>GlassKnife</t>
        </is>
      </c>
      <c r="L84" t="inlineStr">
        <is>
          <t>Slay the Spire</t>
        </is>
      </c>
      <c r="M84" t="inlineStr">
        <is>
          <t>N/A</t>
        </is>
      </c>
      <c r="N84" t="inlineStr">
        <is>
          <t>N/A</t>
        </is>
      </c>
      <c r="O84" t="inlineStr">
        <is>
          <t>silent, offense</t>
        </is>
      </c>
    </row>
    <row r="85">
      <c r="A85" t="inlineStr">
        <is>
          <t>Go for the Eyes</t>
        </is>
      </c>
      <c r="B85" t="inlineStr">
        <is>
          <t>Common</t>
        </is>
      </c>
      <c r="C85" t="inlineStr">
        <is>
          <t>Attack</t>
        </is>
      </c>
      <c r="D85" t="n">
        <v>0</v>
      </c>
      <c r="E85" s="9" t="inlineStr">
        <is>
          <t>Deal 3 Dmg Melee. If the target intends to Attack, Inflict 1 Weak.</t>
        </is>
      </c>
      <c r="F85" t="inlineStr">
        <is>
          <t>dmg:3:melee; inflict:weak:1:if_intent=attack</t>
        </is>
      </c>
      <c r="G85" s="9" t="inlineStr">
        <is>
          <t>Deal 4 Dmg Melee. If the target intends to Attack, Inflict 2 Weak.</t>
        </is>
      </c>
      <c r="H85" t="inlineStr">
        <is>
          <t>dmg:4:melee; inflict:weak:2:if_intent=attack</t>
        </is>
      </c>
      <c r="I85" t="n">
        <v>0</v>
      </c>
      <c r="J85" t="inlineStr">
        <is>
          <t>Swing, Small</t>
        </is>
      </c>
      <c r="K85" t="inlineStr">
        <is>
          <t>GoForTheEyes</t>
        </is>
      </c>
      <c r="L85" t="inlineStr">
        <is>
          <t>Slay the Spire</t>
        </is>
      </c>
      <c r="M85" t="inlineStr">
        <is>
          <t>N/A</t>
        </is>
      </c>
      <c r="N85" t="inlineStr">
        <is>
          <t>N/A</t>
        </is>
      </c>
      <c r="O85" t="inlineStr">
        <is>
          <t>defect, offense, debuff</t>
        </is>
      </c>
    </row>
    <row r="86">
      <c r="A86" t="inlineStr">
        <is>
          <t>Grand Finale</t>
        </is>
      </c>
      <c r="B86" t="inlineStr">
        <is>
          <t>Rare</t>
        </is>
      </c>
      <c r="C86" t="inlineStr">
        <is>
          <t>Attack</t>
        </is>
      </c>
      <c r="D86" t="n">
        <v>0</v>
      </c>
      <c r="E86" s="9" t="inlineStr">
        <is>
          <t>Deal 50 Dmg Ranged Cleave. Does nothing if there are any Cards in your Draw Pile.</t>
        </is>
      </c>
      <c r="F86" t="inlineStr">
        <is>
          <t>dmg:50:ranged:cleave:if_draw=empty</t>
        </is>
      </c>
      <c r="G86" s="9" t="inlineStr">
        <is>
          <t>Deal 60 Dmg Ranged Cleave. Does nothing if there are any Cards in your Draw Pile.</t>
        </is>
      </c>
      <c r="H86" t="inlineStr">
        <is>
          <t>dmg:60:ranged:cleave:if_draw=empty</t>
        </is>
      </c>
      <c r="I86" t="n">
        <v>0</v>
      </c>
      <c r="J86" t="inlineStr">
        <is>
          <t>Nova, Large</t>
        </is>
      </c>
      <c r="K86" t="inlineStr">
        <is>
          <t>GrandFinale</t>
        </is>
      </c>
      <c r="L86" t="inlineStr">
        <is>
          <t>Slay the Spire</t>
        </is>
      </c>
      <c r="M86" t="inlineStr">
        <is>
          <t>N/A</t>
        </is>
      </c>
      <c r="N86" t="inlineStr">
        <is>
          <t>N/A</t>
        </is>
      </c>
      <c r="O86" t="inlineStr">
        <is>
          <t>silent, offense, aoe</t>
        </is>
      </c>
    </row>
    <row r="87">
      <c r="A87" t="inlineStr">
        <is>
          <t>Greed</t>
        </is>
      </c>
      <c r="B87" t="inlineStr">
        <is>
          <t>None</t>
        </is>
      </c>
      <c r="C87" t="inlineStr">
        <is>
          <t>Curse</t>
        </is>
      </c>
      <c r="D87" t="inlineStr">
        <is>
          <t>No</t>
        </is>
      </c>
      <c r="E87" t="inlineStr">
        <is>
          <t>Unplayable. Eternal.</t>
        </is>
      </c>
      <c r="F87" t="inlineStr">
        <is>
          <t>none</t>
        </is>
      </c>
      <c r="G87" t="inlineStr">
        <is>
          <t>N/A</t>
        </is>
      </c>
      <c r="H87" t="inlineStr">
        <is>
          <t>N/A</t>
        </is>
      </c>
      <c r="I87" t="inlineStr">
        <is>
          <t>N/A</t>
        </is>
      </c>
      <c r="J87" t="inlineStr">
        <is>
          <t>N/A</t>
        </is>
      </c>
      <c r="K87" t="inlineStr">
        <is>
          <t>Greed</t>
        </is>
      </c>
      <c r="L87" t="inlineStr">
        <is>
          <t>Slay the Spire 2</t>
        </is>
      </c>
      <c r="M87" t="inlineStr">
        <is>
          <t>Unplayable, Eternal</t>
        </is>
      </c>
      <c r="N87" t="inlineStr">
        <is>
          <t>N/A</t>
        </is>
      </c>
    </row>
    <row r="88">
      <c r="A88" t="inlineStr">
        <is>
          <t>Guilty</t>
        </is>
      </c>
      <c r="B88" t="inlineStr">
        <is>
          <t>None</t>
        </is>
      </c>
      <c r="C88" t="inlineStr">
        <is>
          <t>Curse</t>
        </is>
      </c>
      <c r="D88" t="inlineStr">
        <is>
          <t>No</t>
        </is>
      </c>
      <c r="E88" t="inlineStr">
        <is>
          <t>Unplayable. Destroy after completing 3 Games beaten.</t>
        </is>
      </c>
      <c r="F88" t="inlineStr">
        <is>
          <t>lifecycle: destroy_after:3:games_beaten</t>
        </is>
      </c>
      <c r="G88" t="inlineStr">
        <is>
          <t>N/A</t>
        </is>
      </c>
      <c r="H88" t="inlineStr">
        <is>
          <t>N/A</t>
        </is>
      </c>
      <c r="I88" t="inlineStr">
        <is>
          <t>N/A</t>
        </is>
      </c>
      <c r="J88" t="inlineStr">
        <is>
          <t>N/A</t>
        </is>
      </c>
      <c r="K88" t="inlineStr">
        <is>
          <t>Guilty</t>
        </is>
      </c>
      <c r="L88" t="inlineStr">
        <is>
          <t>Slay the Spire 2</t>
        </is>
      </c>
      <c r="M88" t="inlineStr">
        <is>
          <t>Unplayable</t>
        </is>
      </c>
      <c r="N88" t="inlineStr">
        <is>
          <t>N/A</t>
        </is>
      </c>
      <c r="O88" t="inlineStr">
        <is>
          <t>randomcurse</t>
        </is>
      </c>
    </row>
    <row r="89">
      <c r="A89" t="inlineStr">
        <is>
          <t>Havoc</t>
        </is>
      </c>
      <c r="B89" t="inlineStr">
        <is>
          <t>Common</t>
        </is>
      </c>
      <c r="C89" t="inlineStr">
        <is>
          <t>Skill</t>
        </is>
      </c>
      <c r="D89" t="n">
        <v>1</v>
      </c>
      <c r="E89" s="9" t="inlineStr">
        <is>
          <t>Play the top card of your Draw Pile and Exhaust it.</t>
        </is>
      </c>
      <c r="F89" t="inlineStr">
        <is>
          <t>autoplay_top:exhaust</t>
        </is>
      </c>
      <c r="G89" s="9" t="inlineStr">
        <is>
          <t>Play the top card of your Draw Pile and Exhaust it.</t>
        </is>
      </c>
      <c r="H89" t="inlineStr">
        <is>
          <t>autoplay_top:exhaust</t>
        </is>
      </c>
      <c r="I89" t="n">
        <v>0</v>
      </c>
      <c r="J89" t="inlineStr">
        <is>
          <t>N/A</t>
        </is>
      </c>
      <c r="K89" t="inlineStr">
        <is>
          <t>Havoc</t>
        </is>
      </c>
      <c r="L89" t="inlineStr">
        <is>
          <t>Slay the Spire</t>
        </is>
      </c>
      <c r="M89" t="inlineStr">
        <is>
          <t>N/A</t>
        </is>
      </c>
      <c r="N89" t="inlineStr">
        <is>
          <t>N/A</t>
        </is>
      </c>
      <c r="O89" t="inlineStr">
        <is>
          <t>ironclad, offense, exhaust</t>
        </is>
      </c>
    </row>
    <row r="90">
      <c r="A90" t="inlineStr">
        <is>
          <t>Headbutt</t>
        </is>
      </c>
      <c r="B90" t="inlineStr">
        <is>
          <t>Common</t>
        </is>
      </c>
      <c r="C90" t="inlineStr">
        <is>
          <t>Attack</t>
        </is>
      </c>
      <c r="D90" t="n">
        <v>1</v>
      </c>
      <c r="E90" s="9" t="inlineStr">
        <is>
          <t>Deal 9 Dmg Melee. Put a Card from your Discard on the top of the Draw Pile.</t>
        </is>
      </c>
      <c r="F90" t="inlineStr">
        <is>
          <t>dmg:9:melee; topdeck:1:from=discard</t>
        </is>
      </c>
      <c r="G90" s="9" t="inlineStr">
        <is>
          <t>Deal 12 Dmg Melee. Put a Card from your Discard on the top of the Draw Pile.</t>
        </is>
      </c>
      <c r="H90" t="inlineStr">
        <is>
          <t>dmg:12:melee; topdeck:1:from=discard</t>
        </is>
      </c>
      <c r="I90" t="n">
        <v>1</v>
      </c>
      <c r="J90" t="inlineStr">
        <is>
          <t>Poke, Small</t>
        </is>
      </c>
      <c r="K90" t="inlineStr">
        <is>
          <t>Headbutt</t>
        </is>
      </c>
      <c r="L90" t="inlineStr">
        <is>
          <t>Slay the Spire</t>
        </is>
      </c>
      <c r="M90" t="inlineStr">
        <is>
          <t>N/A</t>
        </is>
      </c>
      <c r="N90" t="inlineStr">
        <is>
          <t>N/A</t>
        </is>
      </c>
      <c r="O90" t="inlineStr">
        <is>
          <t>ironclad, offense</t>
        </is>
      </c>
    </row>
    <row r="91">
      <c r="A91" t="inlineStr">
        <is>
          <t>Heavy Blade</t>
        </is>
      </c>
      <c r="B91" t="inlineStr">
        <is>
          <t>Common</t>
        </is>
      </c>
      <c r="C91" t="inlineStr">
        <is>
          <t>Attack</t>
        </is>
      </c>
      <c r="D91" t="n">
        <v>2</v>
      </c>
      <c r="E91" t="inlineStr">
        <is>
          <t>Deal 14 Dmg Melee. Power affects this card x3 times.</t>
        </is>
      </c>
      <c r="F91" t="inlineStr">
        <is>
          <t>dmg:14:melee; power_multiplier:3</t>
        </is>
      </c>
      <c r="G91" t="inlineStr">
        <is>
          <t>Deal 14 Dmg Melee. Power affects this card x5 times.</t>
        </is>
      </c>
      <c r="H91" t="inlineStr">
        <is>
          <t>dmg:14:melee; power_multiplier:5</t>
        </is>
      </c>
      <c r="I91" t="n">
        <v>2</v>
      </c>
      <c r="J91" t="inlineStr">
        <is>
          <t>Smash, Medium</t>
        </is>
      </c>
      <c r="K91" t="inlineStr">
        <is>
          <t>HeavyBlade</t>
        </is>
      </c>
      <c r="L91" t="inlineStr">
        <is>
          <t>Slay the Spire</t>
        </is>
      </c>
      <c r="M91" t="inlineStr">
        <is>
          <t>N/A</t>
        </is>
      </c>
      <c r="N91" t="inlineStr">
        <is>
          <t>N/A</t>
        </is>
      </c>
      <c r="O91" t="inlineStr">
        <is>
          <t>ironclad, offense, scaling</t>
        </is>
      </c>
    </row>
    <row r="92">
      <c r="A92" t="inlineStr">
        <is>
          <t>Heel Hook</t>
        </is>
      </c>
      <c r="B92" t="inlineStr">
        <is>
          <t>Uncommon</t>
        </is>
      </c>
      <c r="C92" t="inlineStr">
        <is>
          <t>Attack</t>
        </is>
      </c>
      <c r="D92" t="n">
        <v>1</v>
      </c>
      <c r="E92" s="9" t="inlineStr">
        <is>
          <t>Deal 5 Dmg Melee. If the target has Weak, Gain +1 Energy and Draw 1 Card.</t>
        </is>
      </c>
      <c r="F92" t="inlineStr">
        <is>
          <t>dmg:5:melee; if_target:weak:gain_energy:1; if_target:weak:draw:1</t>
        </is>
      </c>
      <c r="G92" s="9" t="inlineStr">
        <is>
          <t>Deal 8 Dmg Melee. If the target has Weak, Gain +1 Energy and Draw 1 Card.</t>
        </is>
      </c>
      <c r="H92" t="inlineStr">
        <is>
          <t>dmg:8:melee; if_target:weak:gain_energy:1; if_target:weak:draw:1</t>
        </is>
      </c>
      <c r="I92" t="n">
        <v>1</v>
      </c>
      <c r="J92" t="inlineStr">
        <is>
          <t>Poke, Small</t>
        </is>
      </c>
      <c r="K92" t="inlineStr">
        <is>
          <t>HeelHook</t>
        </is>
      </c>
      <c r="L92" t="inlineStr">
        <is>
          <t>Slay the Spire</t>
        </is>
      </c>
      <c r="M92" t="inlineStr">
        <is>
          <t>N/A</t>
        </is>
      </c>
      <c r="N92" t="inlineStr">
        <is>
          <t>N/A</t>
        </is>
      </c>
      <c r="O92" t="inlineStr">
        <is>
          <t>silent, offense, draw, energy</t>
        </is>
      </c>
    </row>
    <row r="93">
      <c r="A93" t="inlineStr">
        <is>
          <t>Hemokinesis</t>
        </is>
      </c>
      <c r="B93" t="inlineStr">
        <is>
          <t>Uncommon</t>
        </is>
      </c>
      <c r="C93" t="inlineStr">
        <is>
          <t>Attack</t>
        </is>
      </c>
      <c r="D93" t="n">
        <v>1</v>
      </c>
      <c r="E93" s="9" t="inlineStr">
        <is>
          <t>Lose 2 Health. Deal 15 Dmg Ranged.</t>
        </is>
      </c>
      <c r="F93" t="inlineStr">
        <is>
          <t>lose_hp:2; dmg:15:ranged</t>
        </is>
      </c>
      <c r="G93" s="9" t="inlineStr">
        <is>
          <t>Lose 2 Health. Deal 20 Dmg Ranged.</t>
        </is>
      </c>
      <c r="H93" t="inlineStr">
        <is>
          <t>lose_hp:2; dmg:20:ranged</t>
        </is>
      </c>
      <c r="I93" t="n">
        <v>1</v>
      </c>
      <c r="J93" t="inlineStr">
        <is>
          <t>Projectile, Medium</t>
        </is>
      </c>
      <c r="K93" t="inlineStr">
        <is>
          <t>Hemokinesis</t>
        </is>
      </c>
      <c r="L93" t="inlineStr">
        <is>
          <t>Slay the Spire</t>
        </is>
      </c>
      <c r="M93" t="inlineStr">
        <is>
          <t>N/A</t>
        </is>
      </c>
      <c r="N93" t="inlineStr">
        <is>
          <t>Blood</t>
        </is>
      </c>
      <c r="O93" t="inlineStr">
        <is>
          <t>ironclad, offense, health</t>
        </is>
      </c>
    </row>
    <row r="94">
      <c r="A94" t="inlineStr">
        <is>
          <t>Hologram</t>
        </is>
      </c>
      <c r="B94" t="inlineStr">
        <is>
          <t>Common</t>
        </is>
      </c>
      <c r="C94" t="inlineStr">
        <is>
          <t>Skill</t>
        </is>
      </c>
      <c r="D94" t="n">
        <v>1</v>
      </c>
      <c r="E94" s="9" t="inlineStr">
        <is>
          <t>Gain +3 Block. Put a Card from your Discard Pile to your Hand. Exhaust.</t>
        </is>
      </c>
      <c r="F94" t="inlineStr">
        <is>
          <t>gain:block:3; retrieve:1:from=discard; exhaust_self</t>
        </is>
      </c>
      <c r="G94" s="9" t="inlineStr">
        <is>
          <t>Gain +5 Block. Put a Card from your Discard Pile to your Hand.</t>
        </is>
      </c>
      <c r="H94" t="inlineStr">
        <is>
          <t>gain:block:5; retrieve:1:from=discard</t>
        </is>
      </c>
      <c r="I94" t="n">
        <v>1</v>
      </c>
      <c r="J94" t="inlineStr">
        <is>
          <t>N/A</t>
        </is>
      </c>
      <c r="K94" t="inlineStr">
        <is>
          <t>Hologram</t>
        </is>
      </c>
      <c r="L94" t="inlineStr">
        <is>
          <t>Slay the Spire</t>
        </is>
      </c>
      <c r="M94" t="inlineStr">
        <is>
          <t>N/A</t>
        </is>
      </c>
      <c r="N94" t="inlineStr">
        <is>
          <t>N/A</t>
        </is>
      </c>
      <c r="O94" t="inlineStr">
        <is>
          <t>defect, defense, draw, exhaust</t>
        </is>
      </c>
    </row>
    <row r="95">
      <c r="A95" t="inlineStr">
        <is>
          <t>Immolate</t>
        </is>
      </c>
      <c r="B95" t="inlineStr">
        <is>
          <t>Rare</t>
        </is>
      </c>
      <c r="C95" t="inlineStr">
        <is>
          <t>Attack</t>
        </is>
      </c>
      <c r="D95" t="n">
        <v>2</v>
      </c>
      <c r="E95" s="9" t="inlineStr">
        <is>
          <t>Deal 21 Magic Dmg Fire Cleave. Conjure 1 Burn to Discard.</t>
        </is>
      </c>
      <c r="F95" t="inlineStr">
        <is>
          <t>dmg:21:magic:cleave; conjure:burn:discard</t>
        </is>
      </c>
      <c r="G95" s="9" t="inlineStr">
        <is>
          <t>Deal 28 Magic Dmg Fire Cleave. Conjure 1 Burn to Discard.</t>
        </is>
      </c>
      <c r="H95" t="inlineStr">
        <is>
          <t>dmg:28:magic:cleave; conjure:burn:discard</t>
        </is>
      </c>
      <c r="I95" t="n">
        <v>2</v>
      </c>
      <c r="J95" t="inlineStr">
        <is>
          <t>Auto_aoe, target=nearest, Large</t>
        </is>
      </c>
      <c r="K95" t="inlineStr">
        <is>
          <t>Immolate</t>
        </is>
      </c>
      <c r="L95" t="inlineStr">
        <is>
          <t>Slay the Spire</t>
        </is>
      </c>
      <c r="M95" t="inlineStr">
        <is>
          <t>N/A</t>
        </is>
      </c>
      <c r="N95" t="inlineStr">
        <is>
          <t>Fire</t>
        </is>
      </c>
      <c r="O95" t="inlineStr">
        <is>
          <t>ironclad, offense, aoe</t>
        </is>
      </c>
    </row>
    <row r="96">
      <c r="A96" t="inlineStr">
        <is>
          <t>Impervious</t>
        </is>
      </c>
      <c r="B96" t="inlineStr">
        <is>
          <t>Rare</t>
        </is>
      </c>
      <c r="C96" t="inlineStr">
        <is>
          <t>Skill</t>
        </is>
      </c>
      <c r="D96" t="n">
        <v>2</v>
      </c>
      <c r="E96" s="9" t="inlineStr">
        <is>
          <t>Gain +30 Block. Exhaust.</t>
        </is>
      </c>
      <c r="F96" t="inlineStr">
        <is>
          <t>gain:block:30</t>
        </is>
      </c>
      <c r="G96" s="9" t="inlineStr">
        <is>
          <t>Gain +40 Block. Exhaust.</t>
        </is>
      </c>
      <c r="H96" t="inlineStr">
        <is>
          <t>gain:block:40</t>
        </is>
      </c>
      <c r="I96" t="n">
        <v>2</v>
      </c>
      <c r="J96" t="inlineStr">
        <is>
          <t>N/A</t>
        </is>
      </c>
      <c r="K96" t="inlineStr">
        <is>
          <t>Impervious</t>
        </is>
      </c>
      <c r="L96" t="inlineStr">
        <is>
          <t>Slay the Spire</t>
        </is>
      </c>
      <c r="M96" t="inlineStr">
        <is>
          <t>Exhaust</t>
        </is>
      </c>
      <c r="N96" t="inlineStr">
        <is>
          <t>N/A</t>
        </is>
      </c>
      <c r="O96" t="inlineStr">
        <is>
          <t>ironclad, defense, exhaust</t>
        </is>
      </c>
    </row>
    <row r="97">
      <c r="A97" t="inlineStr">
        <is>
          <t>Infernal Blade</t>
        </is>
      </c>
      <c r="B97" t="inlineStr">
        <is>
          <t>Uncommon</t>
        </is>
      </c>
      <c r="C97" t="inlineStr">
        <is>
          <t>Skill</t>
        </is>
      </c>
      <c r="D97" t="n">
        <v>1</v>
      </c>
      <c r="E97" s="9" t="inlineStr">
        <is>
          <t>Conjure 1 Random Attack in Hand. You can play it for free this turn. Exhaust.</t>
        </is>
      </c>
      <c r="F97" t="inlineStr">
        <is>
          <t>conjure_random:attack:hand:free</t>
        </is>
      </c>
      <c r="G97" s="9" t="inlineStr">
        <is>
          <t>Conjure 1 Random Attack in Hand. You can play it for free this turn. Exhaust.</t>
        </is>
      </c>
      <c r="H97" t="inlineStr">
        <is>
          <t>conjure_random:attack:hand:free</t>
        </is>
      </c>
      <c r="I97" t="n">
        <v>0</v>
      </c>
      <c r="J97" t="inlineStr">
        <is>
          <t>N/A</t>
        </is>
      </c>
      <c r="K97" t="inlineStr">
        <is>
          <t>InfernalBlade</t>
        </is>
      </c>
      <c r="L97" t="inlineStr">
        <is>
          <t>Slay the Spire</t>
        </is>
      </c>
      <c r="M97" t="inlineStr">
        <is>
          <t>Exhaust</t>
        </is>
      </c>
      <c r="N97" t="inlineStr">
        <is>
          <t>N/A</t>
        </is>
      </c>
      <c r="O97" t="inlineStr">
        <is>
          <t>ironclad, draw, random</t>
        </is>
      </c>
    </row>
    <row r="98">
      <c r="A98" t="inlineStr">
        <is>
          <t>Inflame</t>
        </is>
      </c>
      <c r="B98" t="inlineStr">
        <is>
          <t>Uncommon</t>
        </is>
      </c>
      <c r="C98" t="inlineStr">
        <is>
          <t>Power</t>
        </is>
      </c>
      <c r="D98" t="n">
        <v>1</v>
      </c>
      <c r="E98" t="inlineStr">
        <is>
          <t>Gain 2 Power.</t>
        </is>
      </c>
      <c r="F98" t="inlineStr">
        <is>
          <t>gain:power:2</t>
        </is>
      </c>
      <c r="G98" t="inlineStr">
        <is>
          <t>Gain 3 Power.</t>
        </is>
      </c>
      <c r="H98" t="inlineStr">
        <is>
          <t>gain:power:3</t>
        </is>
      </c>
      <c r="I98" t="n">
        <v>1</v>
      </c>
      <c r="J98" t="inlineStr">
        <is>
          <t>N/A</t>
        </is>
      </c>
      <c r="K98" t="inlineStr">
        <is>
          <t>Inflame</t>
        </is>
      </c>
      <c r="L98" t="inlineStr">
        <is>
          <t>Slay the Spire</t>
        </is>
      </c>
      <c r="M98" t="inlineStr">
        <is>
          <t>N/A</t>
        </is>
      </c>
      <c r="N98" t="inlineStr">
        <is>
          <t>N/A</t>
        </is>
      </c>
      <c r="O98" t="inlineStr">
        <is>
          <t>ironclad, scaling</t>
        </is>
      </c>
    </row>
    <row r="99">
      <c r="A99" t="inlineStr">
        <is>
          <t>Injury</t>
        </is>
      </c>
      <c r="B99" t="inlineStr">
        <is>
          <t>None</t>
        </is>
      </c>
      <c r="C99" t="inlineStr">
        <is>
          <t>Curse</t>
        </is>
      </c>
      <c r="D99" t="inlineStr">
        <is>
          <t>No</t>
        </is>
      </c>
      <c r="E99" t="inlineStr">
        <is>
          <t>Unplayable.</t>
        </is>
      </c>
      <c r="F99" t="inlineStr">
        <is>
          <t>none</t>
        </is>
      </c>
      <c r="G99" t="inlineStr">
        <is>
          <t>N/A</t>
        </is>
      </c>
      <c r="H99" t="inlineStr">
        <is>
          <t>N/A</t>
        </is>
      </c>
      <c r="I99" t="inlineStr">
        <is>
          <t>N/A</t>
        </is>
      </c>
      <c r="J99" t="inlineStr">
        <is>
          <t>N/A</t>
        </is>
      </c>
      <c r="K99" t="inlineStr">
        <is>
          <t>Injury</t>
        </is>
      </c>
      <c r="L99" t="inlineStr">
        <is>
          <t>Slay the Spire</t>
        </is>
      </c>
      <c r="M99" t="inlineStr">
        <is>
          <t>Unplayable</t>
        </is>
      </c>
      <c r="N99" t="inlineStr">
        <is>
          <t>N/A</t>
        </is>
      </c>
      <c r="O99" t="inlineStr">
        <is>
          <t>randomcurse</t>
        </is>
      </c>
    </row>
    <row r="100">
      <c r="A100" t="inlineStr">
        <is>
          <t>Intimidate</t>
        </is>
      </c>
      <c r="B100" t="inlineStr">
        <is>
          <t>Uncommon</t>
        </is>
      </c>
      <c r="C100" t="inlineStr">
        <is>
          <t>Skill</t>
        </is>
      </c>
      <c r="D100" t="n">
        <v>0</v>
      </c>
      <c r="E100" s="9" t="inlineStr">
        <is>
          <t>Inflict 1 Weak Cleave. Exhaust.</t>
        </is>
      </c>
      <c r="F100" t="inlineStr">
        <is>
          <t>inflict:weak:1:cleave</t>
        </is>
      </c>
      <c r="G100" s="9" t="inlineStr">
        <is>
          <t>Inflict 2 Weak Cleave. Exhaust.</t>
        </is>
      </c>
      <c r="H100" t="inlineStr">
        <is>
          <t>inflict:weak:2:cleave</t>
        </is>
      </c>
      <c r="I100" t="n">
        <v>0</v>
      </c>
      <c r="J100" t="inlineStr">
        <is>
          <t>N/A</t>
        </is>
      </c>
      <c r="K100" t="inlineStr">
        <is>
          <t>Intimidate</t>
        </is>
      </c>
      <c r="L100" t="inlineStr">
        <is>
          <t>Slay the Spire</t>
        </is>
      </c>
      <c r="M100" t="inlineStr">
        <is>
          <t>Exhaust</t>
        </is>
      </c>
      <c r="N100" t="inlineStr">
        <is>
          <t>N/A</t>
        </is>
      </c>
      <c r="O100" t="inlineStr">
        <is>
          <t>ironclad, debuff, exhaust</t>
        </is>
      </c>
    </row>
    <row r="101">
      <c r="A101" t="inlineStr">
        <is>
          <t>Iron Wave</t>
        </is>
      </c>
      <c r="B101" t="inlineStr">
        <is>
          <t>Common</t>
        </is>
      </c>
      <c r="C101" t="inlineStr">
        <is>
          <t>Attack</t>
        </is>
      </c>
      <c r="D101" t="n">
        <v>1</v>
      </c>
      <c r="E101" t="inlineStr">
        <is>
          <t>Gain +5 Block. Deal 5 Dmg Ranged.</t>
        </is>
      </c>
      <c r="F101" t="inlineStr">
        <is>
          <t>gain:block:5; dmg:5:ranged</t>
        </is>
      </c>
      <c r="G101" t="inlineStr">
        <is>
          <t>Gain +7 Block. Deal 7 Dmg Ranged.</t>
        </is>
      </c>
      <c r="H101" t="inlineStr">
        <is>
          <t>gain:block:7; dmg:7:ranged</t>
        </is>
      </c>
      <c r="I101" t="n">
        <v>1</v>
      </c>
      <c r="J101" t="inlineStr">
        <is>
          <t>Projectile, Medium, crescent, pierce</t>
        </is>
      </c>
      <c r="K101" t="inlineStr">
        <is>
          <t>IronWave</t>
        </is>
      </c>
      <c r="L101" t="inlineStr">
        <is>
          <t>Slay the Spire</t>
        </is>
      </c>
      <c r="M101" t="inlineStr">
        <is>
          <t>N/A</t>
        </is>
      </c>
      <c r="N101" t="inlineStr">
        <is>
          <t>N/A</t>
        </is>
      </c>
      <c r="O101" t="inlineStr">
        <is>
          <t>ironclad, offense, defense</t>
        </is>
      </c>
    </row>
    <row r="102">
      <c r="A102" t="inlineStr">
        <is>
          <t>Leap</t>
        </is>
      </c>
      <c r="B102" t="inlineStr">
        <is>
          <t>Common</t>
        </is>
      </c>
      <c r="C102" t="inlineStr">
        <is>
          <t>Skill</t>
        </is>
      </c>
      <c r="D102" t="n">
        <v>1</v>
      </c>
      <c r="E102" t="inlineStr">
        <is>
          <t>Gain +9 Block.</t>
        </is>
      </c>
      <c r="F102" t="inlineStr">
        <is>
          <t>gain:block:9</t>
        </is>
      </c>
      <c r="G102" t="inlineStr">
        <is>
          <t>Gain +12 Block.</t>
        </is>
      </c>
      <c r="H102" t="inlineStr">
        <is>
          <t>gain:block:12</t>
        </is>
      </c>
      <c r="I102" t="n">
        <v>1</v>
      </c>
      <c r="J102" t="inlineStr">
        <is>
          <t>N/A</t>
        </is>
      </c>
      <c r="K102" t="inlineStr">
        <is>
          <t>Leap</t>
        </is>
      </c>
      <c r="L102" t="inlineStr">
        <is>
          <t>Slay the Spire</t>
        </is>
      </c>
      <c r="M102" t="inlineStr">
        <is>
          <t>N/A</t>
        </is>
      </c>
      <c r="N102" t="inlineStr">
        <is>
          <t>N/A</t>
        </is>
      </c>
      <c r="O102" t="inlineStr">
        <is>
          <t>defect, defense</t>
        </is>
      </c>
    </row>
    <row r="103">
      <c r="A103" t="inlineStr">
        <is>
          <t>Leg Sweep</t>
        </is>
      </c>
      <c r="B103" t="inlineStr">
        <is>
          <t>Uncommon</t>
        </is>
      </c>
      <c r="C103" t="inlineStr">
        <is>
          <t>Skill</t>
        </is>
      </c>
      <c r="D103" t="n">
        <v>2</v>
      </c>
      <c r="E103" s="9" t="inlineStr">
        <is>
          <t>Inflict 2 Weak. Gain +11 Block.</t>
        </is>
      </c>
      <c r="F103" t="inlineStr">
        <is>
          <t>inflict:weak:2; gain:block:11</t>
        </is>
      </c>
      <c r="G103" s="9" t="inlineStr">
        <is>
          <t>Inflict 3 Weak. Gain +14 Block.</t>
        </is>
      </c>
      <c r="H103" t="inlineStr">
        <is>
          <t>inflict:weak:3; gain:block:14</t>
        </is>
      </c>
      <c r="I103" t="n">
        <v>2</v>
      </c>
      <c r="J103" t="inlineStr">
        <is>
          <t>N/A</t>
        </is>
      </c>
      <c r="K103" t="inlineStr">
        <is>
          <t>LegSweep</t>
        </is>
      </c>
      <c r="L103" t="inlineStr">
        <is>
          <t>Slay the Spire</t>
        </is>
      </c>
      <c r="M103" t="inlineStr">
        <is>
          <t>N/A</t>
        </is>
      </c>
      <c r="N103" t="inlineStr">
        <is>
          <t>N/A</t>
        </is>
      </c>
      <c r="O103" t="inlineStr">
        <is>
          <t>silent, debuff, defense</t>
        </is>
      </c>
    </row>
    <row r="104">
      <c r="A104" t="inlineStr">
        <is>
          <t>Lil' Bomber</t>
        </is>
      </c>
      <c r="B104" t="inlineStr">
        <is>
          <t>Common</t>
        </is>
      </c>
      <c r="C104" t="inlineStr">
        <is>
          <t>Attack</t>
        </is>
      </c>
      <c r="D104" t="n">
        <v>2</v>
      </c>
      <c r="E104" t="inlineStr">
        <is>
          <t>Deal 12 Dmg Ranged.</t>
        </is>
      </c>
      <c r="F104" t="inlineStr">
        <is>
          <t>dmg:12:ranged</t>
        </is>
      </c>
      <c r="G104" t="inlineStr">
        <is>
          <t>Deal 12 Dmg Ranged.</t>
        </is>
      </c>
      <c r="H104" t="inlineStr">
        <is>
          <t>dmg:12:ranged</t>
        </is>
      </c>
      <c r="I104" t="n">
        <v>2</v>
      </c>
      <c r="J104" t="inlineStr">
        <is>
          <t>Projectile, Medium, Explosive</t>
        </is>
      </c>
      <c r="K104" t="inlineStr">
        <is>
          <t>LilBomber</t>
        </is>
      </c>
      <c r="L104" t="inlineStr">
        <is>
          <t>Enter the Gungeon</t>
        </is>
      </c>
      <c r="M104" t="inlineStr">
        <is>
          <t>N/A</t>
        </is>
      </c>
      <c r="N104" t="inlineStr">
        <is>
          <t>Fire</t>
        </is>
      </c>
      <c r="O104" t="inlineStr">
        <is>
          <t>weapon</t>
        </is>
      </c>
    </row>
    <row r="105">
      <c r="A105" t="inlineStr">
        <is>
          <t>Limit Break</t>
        </is>
      </c>
      <c r="B105" t="inlineStr">
        <is>
          <t>Rare</t>
        </is>
      </c>
      <c r="C105" t="inlineStr">
        <is>
          <t>Skill</t>
        </is>
      </c>
      <c r="D105" t="n">
        <v>1</v>
      </c>
      <c r="E105" s="9" t="inlineStr">
        <is>
          <t>Gain Double Power. Exhaust.</t>
        </is>
      </c>
      <c r="F105" t="inlineStr">
        <is>
          <t>double:power; exhaust_self</t>
        </is>
      </c>
      <c r="G105" s="9" t="inlineStr">
        <is>
          <t>Gain Double Power.</t>
        </is>
      </c>
      <c r="H105" t="inlineStr">
        <is>
          <t>double:power</t>
        </is>
      </c>
      <c r="I105" t="n">
        <v>1</v>
      </c>
      <c r="J105" t="inlineStr">
        <is>
          <t>N/A</t>
        </is>
      </c>
      <c r="K105" t="inlineStr">
        <is>
          <t>LimitBreak</t>
        </is>
      </c>
      <c r="L105" t="inlineStr">
        <is>
          <t>Slay the Spire</t>
        </is>
      </c>
      <c r="M105" t="inlineStr">
        <is>
          <t>N/A</t>
        </is>
      </c>
      <c r="N105" t="inlineStr">
        <is>
          <t>N/A</t>
        </is>
      </c>
      <c r="O105" t="inlineStr">
        <is>
          <t>ironclad, scaling</t>
        </is>
      </c>
    </row>
    <row r="106">
      <c r="A106" t="inlineStr">
        <is>
          <t>Lower Case r</t>
        </is>
      </c>
      <c r="B106" t="inlineStr">
        <is>
          <t>Common</t>
        </is>
      </c>
      <c r="C106" t="inlineStr">
        <is>
          <t>Attack</t>
        </is>
      </c>
      <c r="D106" t="n">
        <v>1</v>
      </c>
      <c r="E106" s="9" t="inlineStr">
        <is>
          <t>Deal 1x3 Dmg Ranged.</t>
        </is>
      </c>
      <c r="F106" t="inlineStr">
        <is>
          <t>dmg:1x3:ranged</t>
        </is>
      </c>
      <c r="G106" s="9" t="inlineStr">
        <is>
          <t>Deal 1x3 Dmg Ranged.</t>
        </is>
      </c>
      <c r="H106" t="inlineStr">
        <is>
          <t>dmg:1x3:ranged</t>
        </is>
      </c>
      <c r="I106" t="n">
        <v>1</v>
      </c>
      <c r="J106" t="inlineStr">
        <is>
          <t>Projectile, Medium</t>
        </is>
      </c>
      <c r="K106" t="inlineStr">
        <is>
          <t>LowerCaseR</t>
        </is>
      </c>
      <c r="L106" t="inlineStr">
        <is>
          <t>Enter the Gungeon</t>
        </is>
      </c>
      <c r="M106" t="inlineStr">
        <is>
          <t>N/A</t>
        </is>
      </c>
      <c r="N106" t="inlineStr">
        <is>
          <t>N/A</t>
        </is>
      </c>
      <c r="O106" t="inlineStr">
        <is>
          <t>weapon</t>
        </is>
      </c>
    </row>
    <row r="107">
      <c r="A107" t="inlineStr">
        <is>
          <t>Malaise</t>
        </is>
      </c>
      <c r="B107" t="inlineStr">
        <is>
          <t>Rare</t>
        </is>
      </c>
      <c r="C107" t="inlineStr">
        <is>
          <t>Skill</t>
        </is>
      </c>
      <c r="D107" t="inlineStr">
        <is>
          <t>X</t>
        </is>
      </c>
      <c r="E107" s="9" t="inlineStr">
        <is>
          <t>Inflict -X Power and X Weak. Exhaust.</t>
        </is>
      </c>
      <c r="F107" t="inlineStr">
        <is>
          <t>inflict:power:-X; inflict:weak:X</t>
        </is>
      </c>
      <c r="G107" s="9" t="inlineStr">
        <is>
          <t>Inflict -X-1 Power and X+1 Weak. Exhaust.</t>
        </is>
      </c>
      <c r="H107" t="inlineStr">
        <is>
          <t>inflict:power:-X-1; inflict:weak:X+1</t>
        </is>
      </c>
      <c r="I107" t="inlineStr">
        <is>
          <t>X</t>
        </is>
      </c>
      <c r="J107" t="inlineStr">
        <is>
          <t>N/A</t>
        </is>
      </c>
      <c r="K107" t="inlineStr">
        <is>
          <t>Malaise</t>
        </is>
      </c>
      <c r="L107" t="inlineStr">
        <is>
          <t>Slay the Spire</t>
        </is>
      </c>
      <c r="M107" t="inlineStr">
        <is>
          <t>Exhaust</t>
        </is>
      </c>
      <c r="N107" t="inlineStr">
        <is>
          <t>N/A</t>
        </is>
      </c>
      <c r="O107" t="inlineStr">
        <is>
          <t>silent, debuff, exhaust</t>
        </is>
      </c>
    </row>
    <row r="108">
      <c r="A108" t="inlineStr">
        <is>
          <t>Masterful Stab</t>
        </is>
      </c>
      <c r="B108" t="inlineStr">
        <is>
          <t>Uncommon</t>
        </is>
      </c>
      <c r="C108" t="inlineStr">
        <is>
          <t>Attack</t>
        </is>
      </c>
      <c r="D108" t="n">
        <v>0</v>
      </c>
      <c r="E108" s="9" t="inlineStr">
        <is>
          <t>Costs 1 more Energy for each time you've lost Health this combat. Deal 12 Dmg Melee.</t>
        </is>
      </c>
      <c r="F108" t="inlineStr">
        <is>
          <t>dmg:12:melee; cost_increase:per=hp_losses</t>
        </is>
      </c>
      <c r="G108" s="9" t="inlineStr">
        <is>
          <t>Costs 1 more Energy for each time you've lost Health this combat. Deal 16 Dmg Melee.</t>
        </is>
      </c>
      <c r="H108" t="inlineStr">
        <is>
          <t>dmg:16:melee; cost_increase:per=hp_losses</t>
        </is>
      </c>
      <c r="I108" t="n">
        <v>0</v>
      </c>
      <c r="J108" t="inlineStr">
        <is>
          <t>Poke, Medium</t>
        </is>
      </c>
      <c r="K108" t="inlineStr">
        <is>
          <t>MasterfulStab</t>
        </is>
      </c>
      <c r="L108" t="inlineStr">
        <is>
          <t>Slay the Spire</t>
        </is>
      </c>
      <c r="M108" t="inlineStr">
        <is>
          <t>N/A</t>
        </is>
      </c>
      <c r="N108" t="inlineStr">
        <is>
          <t>N/A</t>
        </is>
      </c>
      <c r="O108" t="inlineStr">
        <is>
          <t>silent, offense</t>
        </is>
      </c>
    </row>
    <row r="109">
      <c r="A109" t="inlineStr">
        <is>
          <t>Neutralize</t>
        </is>
      </c>
      <c r="B109" t="inlineStr">
        <is>
          <t>Starter</t>
        </is>
      </c>
      <c r="C109" t="inlineStr">
        <is>
          <t>Attack</t>
        </is>
      </c>
      <c r="D109" t="n">
        <v>0</v>
      </c>
      <c r="E109" t="inlineStr">
        <is>
          <t>Deal 3 Dmg Melee. Inflict 1 Weak.</t>
        </is>
      </c>
      <c r="F109" t="inlineStr">
        <is>
          <t>dmg:3:melee; inflict:weak:1</t>
        </is>
      </c>
      <c r="G109" t="inlineStr">
        <is>
          <t>Deal 4 Dmg Melee. Inflict 2 Weak.</t>
        </is>
      </c>
      <c r="H109" t="inlineStr">
        <is>
          <t>dmg:4:melee; inflict:weak:2</t>
        </is>
      </c>
      <c r="I109" t="n">
        <v>0</v>
      </c>
      <c r="J109" t="inlineStr">
        <is>
          <t>Poke, Small</t>
        </is>
      </c>
      <c r="K109" t="inlineStr">
        <is>
          <t>Neutralize</t>
        </is>
      </c>
      <c r="L109" t="inlineStr">
        <is>
          <t>Slay the Spire</t>
        </is>
      </c>
      <c r="M109" t="inlineStr">
        <is>
          <t>N/A</t>
        </is>
      </c>
      <c r="N109" t="inlineStr">
        <is>
          <t>N/A</t>
        </is>
      </c>
      <c r="O109" t="inlineStr">
        <is>
          <t>silent, offense, debuff</t>
        </is>
      </c>
    </row>
    <row r="110">
      <c r="A110" t="inlineStr">
        <is>
          <t>Nightmare</t>
        </is>
      </c>
      <c r="B110" t="inlineStr">
        <is>
          <t>Rare</t>
        </is>
      </c>
      <c r="C110" t="inlineStr">
        <is>
          <t>Skill</t>
        </is>
      </c>
      <c r="D110" t="n">
        <v>3</v>
      </c>
      <c r="E110" s="9" t="inlineStr">
        <is>
          <t>Choose a Card in your Hand. Next turn, Conjure 3 copies of that Card to your Hand.</t>
        </is>
      </c>
      <c r="F110" t="inlineStr">
        <is>
          <t>nightmare:3</t>
        </is>
      </c>
      <c r="G110" s="9" t="inlineStr">
        <is>
          <t>Choose a Card in your Hand. Next turn, Conjure 3 copies of that Card to your Hand.</t>
        </is>
      </c>
      <c r="H110" t="inlineStr">
        <is>
          <t>nightmare:3</t>
        </is>
      </c>
      <c r="I110" t="n">
        <v>2</v>
      </c>
      <c r="J110" t="inlineStr">
        <is>
          <t>N/A</t>
        </is>
      </c>
      <c r="K110" t="inlineStr">
        <is>
          <t>Nightmare</t>
        </is>
      </c>
      <c r="L110" t="inlineStr">
        <is>
          <t>Slay the Spire</t>
        </is>
      </c>
      <c r="M110" t="inlineStr">
        <is>
          <t>N/A</t>
        </is>
      </c>
      <c r="N110" t="inlineStr">
        <is>
          <t>N/A</t>
        </is>
      </c>
      <c r="O110" t="inlineStr">
        <is>
          <t>silent, draw</t>
        </is>
      </c>
    </row>
    <row r="111">
      <c r="A111" t="inlineStr">
        <is>
          <t>Offering</t>
        </is>
      </c>
      <c r="B111" t="inlineStr">
        <is>
          <t>Rare</t>
        </is>
      </c>
      <c r="C111" t="inlineStr">
        <is>
          <t>Skill</t>
        </is>
      </c>
      <c r="D111" t="n">
        <v>0</v>
      </c>
      <c r="E111" s="9" t="inlineStr">
        <is>
          <t>Lose 6 Health. Gain +2 Energy. Draw 3 Cards. Exhaust.</t>
        </is>
      </c>
      <c r="F111" t="inlineStr">
        <is>
          <t>lose_hp:6; gain_energy:2; draw:3</t>
        </is>
      </c>
      <c r="G111" s="9" t="inlineStr">
        <is>
          <t>Lose 6 Health. Gain +2 Energy. Draw 5 Cards. Exhaust.</t>
        </is>
      </c>
      <c r="H111" t="inlineStr">
        <is>
          <t>lose_hp:6; gain_energy:2; draw:5</t>
        </is>
      </c>
      <c r="I111" t="n">
        <v>0</v>
      </c>
      <c r="J111" t="inlineStr">
        <is>
          <t>N/A</t>
        </is>
      </c>
      <c r="K111" t="inlineStr">
        <is>
          <t>Offering</t>
        </is>
      </c>
      <c r="L111" t="inlineStr">
        <is>
          <t>Slay the Spire</t>
        </is>
      </c>
      <c r="M111" t="inlineStr">
        <is>
          <t>Exhaust</t>
        </is>
      </c>
      <c r="N111" t="inlineStr">
        <is>
          <t>N/A</t>
        </is>
      </c>
      <c r="O111" t="inlineStr">
        <is>
          <t>ironclad, energy, draw, exhaust</t>
        </is>
      </c>
    </row>
    <row r="112">
      <c r="A112" t="inlineStr">
        <is>
          <t>Outmaneuver</t>
        </is>
      </c>
      <c r="B112" t="inlineStr">
        <is>
          <t>Common</t>
        </is>
      </c>
      <c r="C112" t="inlineStr">
        <is>
          <t>Skill</t>
        </is>
      </c>
      <c r="D112" t="n">
        <v>1</v>
      </c>
      <c r="E112" s="9" t="inlineStr">
        <is>
          <t>Gain +2 Next Turn Energy.</t>
        </is>
      </c>
      <c r="F112" t="inlineStr">
        <is>
          <t>gain:next_turn_energy:2</t>
        </is>
      </c>
      <c r="G112" s="9" t="inlineStr">
        <is>
          <t>Gain +3 Next Turn Energy.</t>
        </is>
      </c>
      <c r="H112" t="inlineStr">
        <is>
          <t>gain:next_turn_energy:3</t>
        </is>
      </c>
      <c r="I112" t="n">
        <v>1</v>
      </c>
      <c r="J112" t="inlineStr">
        <is>
          <t>N/A</t>
        </is>
      </c>
      <c r="K112" t="inlineStr">
        <is>
          <t>Outmaneuver</t>
        </is>
      </c>
      <c r="L112" t="inlineStr">
        <is>
          <t>Slay the Spire</t>
        </is>
      </c>
      <c r="M112" t="inlineStr">
        <is>
          <t>N/A</t>
        </is>
      </c>
      <c r="N112" t="inlineStr">
        <is>
          <t>N/A</t>
        </is>
      </c>
      <c r="O112" t="inlineStr">
        <is>
          <t>silent, energy</t>
        </is>
      </c>
    </row>
    <row r="113">
      <c r="A113" t="inlineStr">
        <is>
          <t>Pain</t>
        </is>
      </c>
      <c r="B113" t="inlineStr">
        <is>
          <t>None</t>
        </is>
      </c>
      <c r="C113" t="inlineStr">
        <is>
          <t>Curse</t>
        </is>
      </c>
      <c r="D113" t="inlineStr">
        <is>
          <t>No</t>
        </is>
      </c>
      <c r="E113" t="inlineStr">
        <is>
          <t xml:space="preserve">Unplayable. If this is in Hand, Lose 1 Health when playing another Card. </t>
        </is>
      </c>
      <c r="F113" t="inlineStr">
        <is>
          <t>on_play_other: lose_hp:1</t>
        </is>
      </c>
      <c r="G113" t="inlineStr">
        <is>
          <t>N/A</t>
        </is>
      </c>
      <c r="H113" t="inlineStr">
        <is>
          <t>N/A</t>
        </is>
      </c>
      <c r="I113" t="inlineStr">
        <is>
          <t>N/A</t>
        </is>
      </c>
      <c r="J113" t="inlineStr">
        <is>
          <t>N/A</t>
        </is>
      </c>
      <c r="K113" t="inlineStr">
        <is>
          <t>Pain</t>
        </is>
      </c>
      <c r="L113" t="inlineStr">
        <is>
          <t>Slay the Spire</t>
        </is>
      </c>
      <c r="M113" t="inlineStr">
        <is>
          <t>Unplayable</t>
        </is>
      </c>
      <c r="N113" t="inlineStr">
        <is>
          <t>N/A</t>
        </is>
      </c>
      <c r="O113" t="inlineStr">
        <is>
          <t>randomcurse</t>
        </is>
      </c>
    </row>
    <row r="114">
      <c r="A114" t="inlineStr">
        <is>
          <t>Perfected Strike</t>
        </is>
      </c>
      <c r="B114" t="inlineStr">
        <is>
          <t>Common</t>
        </is>
      </c>
      <c r="C114" t="inlineStr">
        <is>
          <t>Attack</t>
        </is>
      </c>
      <c r="D114" t="n">
        <v>2</v>
      </c>
      <c r="E114" s="9" t="inlineStr">
        <is>
          <t>Deal 6 Dmg Melee. Deals 2 additional damage for All of your Cards that contain "Strike".</t>
        </is>
      </c>
      <c r="F114" t="inlineStr">
        <is>
          <t>dmg:6:melee:bonus=2:per_name=strike</t>
        </is>
      </c>
      <c r="G114" s="9" t="inlineStr">
        <is>
          <t>Deal 6 Dmg Melee. Deals 3 additional damage for All of your Cards that contain "Strike".</t>
        </is>
      </c>
      <c r="H114" t="inlineStr">
        <is>
          <t>dmg:6:melee:bonus=3:per_name=strike</t>
        </is>
      </c>
      <c r="I114" t="n">
        <v>2</v>
      </c>
      <c r="J114" t="inlineStr">
        <is>
          <t>Swing, Medium</t>
        </is>
      </c>
      <c r="K114" t="inlineStr">
        <is>
          <t>PerfectedStrike</t>
        </is>
      </c>
      <c r="L114" t="inlineStr">
        <is>
          <t>Slay the Spire</t>
        </is>
      </c>
      <c r="M114" t="inlineStr">
        <is>
          <t>N/A</t>
        </is>
      </c>
      <c r="N114" t="inlineStr">
        <is>
          <t>N/A</t>
        </is>
      </c>
      <c r="O114" t="inlineStr">
        <is>
          <t>ironclad, offense, scaling</t>
        </is>
      </c>
    </row>
    <row r="115">
      <c r="A115" t="inlineStr">
        <is>
          <t>Phantasmal Killer</t>
        </is>
      </c>
      <c r="B115" t="inlineStr">
        <is>
          <t>Rare</t>
        </is>
      </c>
      <c r="C115" t="inlineStr">
        <is>
          <t>Skill</t>
        </is>
      </c>
      <c r="D115" t="n">
        <v>1</v>
      </c>
      <c r="E115" s="9" t="inlineStr">
        <is>
          <t>Gain +1 Double Damage.</t>
        </is>
      </c>
      <c r="F115" t="inlineStr">
        <is>
          <t>gain:double_damage:1</t>
        </is>
      </c>
      <c r="G115" s="9" t="inlineStr">
        <is>
          <t>Gain +1 Double Damage.</t>
        </is>
      </c>
      <c r="H115" t="inlineStr">
        <is>
          <t>gain:double_damage:1</t>
        </is>
      </c>
      <c r="I115" t="n">
        <v>0</v>
      </c>
      <c r="J115" t="inlineStr">
        <is>
          <t>N/A</t>
        </is>
      </c>
      <c r="K115" t="inlineStr">
        <is>
          <t>PhantasmalKiller</t>
        </is>
      </c>
      <c r="L115" t="inlineStr">
        <is>
          <t>Slay the Spire</t>
        </is>
      </c>
      <c r="M115" t="inlineStr">
        <is>
          <t>N/A</t>
        </is>
      </c>
      <c r="N115" t="inlineStr">
        <is>
          <t>N/A</t>
        </is>
      </c>
      <c r="O115" t="inlineStr">
        <is>
          <t>silent, offense</t>
        </is>
      </c>
    </row>
    <row r="116">
      <c r="A116" t="inlineStr">
        <is>
          <t>Piercing Wail</t>
        </is>
      </c>
      <c r="B116" t="inlineStr">
        <is>
          <t>Common</t>
        </is>
      </c>
      <c r="C116" t="inlineStr">
        <is>
          <t>Skill</t>
        </is>
      </c>
      <c r="D116" t="n">
        <v>1</v>
      </c>
      <c r="E116" s="9" t="inlineStr">
        <is>
          <t>Inflict -6 Power Cleave and 6 Shackled Cleave. Exhaust.</t>
        </is>
      </c>
      <c r="F116" t="inlineStr">
        <is>
          <t>inflict:power:-6:cleave; inflict:shackled:6:cleave</t>
        </is>
      </c>
      <c r="G116" s="9" t="inlineStr">
        <is>
          <t>Inflict -8 Power Cleave and 8 Shackled Cleave. Exhaust.</t>
        </is>
      </c>
      <c r="H116" t="inlineStr">
        <is>
          <t>inflict:power:-8:cleave; inflict:shackled:8:cleave</t>
        </is>
      </c>
      <c r="I116" t="n">
        <v>1</v>
      </c>
      <c r="J116" t="inlineStr">
        <is>
          <t>N/A</t>
        </is>
      </c>
      <c r="K116" t="inlineStr">
        <is>
          <t>PiercingWail</t>
        </is>
      </c>
      <c r="L116" t="inlineStr">
        <is>
          <t>Slay the Spire</t>
        </is>
      </c>
      <c r="M116" t="inlineStr">
        <is>
          <t>Exhaust</t>
        </is>
      </c>
      <c r="N116" t="inlineStr">
        <is>
          <t>N/A</t>
        </is>
      </c>
      <c r="O116" t="inlineStr">
        <is>
          <t>silent, debuff, exhaust</t>
        </is>
      </c>
    </row>
    <row r="117">
      <c r="A117" t="inlineStr">
        <is>
          <t>Poisoned Stab</t>
        </is>
      </c>
      <c r="B117" t="inlineStr">
        <is>
          <t>Common</t>
        </is>
      </c>
      <c r="C117" t="inlineStr">
        <is>
          <t>Attack</t>
        </is>
      </c>
      <c r="D117" t="n">
        <v>1</v>
      </c>
      <c r="E117" s="9" t="inlineStr">
        <is>
          <t>Deal 6 Dmg Melee. Inflict 3 Poison.</t>
        </is>
      </c>
      <c r="F117" t="inlineStr">
        <is>
          <t>dmg:6:melee; inflict:poison:3</t>
        </is>
      </c>
      <c r="G117" s="9" t="inlineStr">
        <is>
          <t>Deal 8 Dmg Melee. Inflict 4 Poison.</t>
        </is>
      </c>
      <c r="H117" t="inlineStr">
        <is>
          <t>dmg:8:melee; inflict:poison:4</t>
        </is>
      </c>
      <c r="I117" t="n">
        <v>1</v>
      </c>
      <c r="J117" t="inlineStr">
        <is>
          <t>Poke, Small</t>
        </is>
      </c>
      <c r="K117" t="inlineStr">
        <is>
          <t>PoisonedStab</t>
        </is>
      </c>
      <c r="L117" t="inlineStr">
        <is>
          <t>Slay the Spire</t>
        </is>
      </c>
      <c r="M117" t="inlineStr">
        <is>
          <t>N/A</t>
        </is>
      </c>
      <c r="N117" t="inlineStr">
        <is>
          <t>Poison</t>
        </is>
      </c>
      <c r="O117" t="inlineStr">
        <is>
          <t>silent, offense, debuff</t>
        </is>
      </c>
    </row>
    <row r="118">
      <c r="A118" t="inlineStr">
        <is>
          <t>Pommel Strike</t>
        </is>
      </c>
      <c r="B118" t="inlineStr">
        <is>
          <t>Common</t>
        </is>
      </c>
      <c r="C118" t="inlineStr">
        <is>
          <t>Attack</t>
        </is>
      </c>
      <c r="D118" t="n">
        <v>1</v>
      </c>
      <c r="E118" t="inlineStr">
        <is>
          <t>Deal 9 Dmg Melee. Draw 1 card.</t>
        </is>
      </c>
      <c r="F118" t="inlineStr">
        <is>
          <t>dmg:9:melee; draw:1</t>
        </is>
      </c>
      <c r="G118" t="inlineStr">
        <is>
          <t>Deal 10 Dmg Melee. Draw 2 cards.</t>
        </is>
      </c>
      <c r="H118" t="inlineStr">
        <is>
          <t>dmg:10:melee; draw:2</t>
        </is>
      </c>
      <c r="I118" t="n">
        <v>1</v>
      </c>
      <c r="J118" t="inlineStr">
        <is>
          <t>Swing, Medium</t>
        </is>
      </c>
      <c r="K118" t="inlineStr">
        <is>
          <t>PommelStrike</t>
        </is>
      </c>
      <c r="L118" t="inlineStr">
        <is>
          <t>Slay the Spire</t>
        </is>
      </c>
      <c r="M118" t="inlineStr">
        <is>
          <t>N/A</t>
        </is>
      </c>
      <c r="N118" t="inlineStr">
        <is>
          <t>N/A</t>
        </is>
      </c>
      <c r="O118" t="inlineStr">
        <is>
          <t>ironclad, strike, offense, draw</t>
        </is>
      </c>
    </row>
    <row r="119">
      <c r="A119" t="inlineStr">
        <is>
          <t>Power Through</t>
        </is>
      </c>
      <c r="B119" t="inlineStr">
        <is>
          <t>Uncommon</t>
        </is>
      </c>
      <c r="C119" t="inlineStr">
        <is>
          <t>Skill</t>
        </is>
      </c>
      <c r="D119" t="n">
        <v>1</v>
      </c>
      <c r="E119" s="9" t="inlineStr">
        <is>
          <t>Conjure 2 Wounds to Hand. Gain +15 Block.</t>
        </is>
      </c>
      <c r="F119" t="inlineStr">
        <is>
          <t>conjure:wound:hand:2; gain:block:15</t>
        </is>
      </c>
      <c r="G119" s="9" t="inlineStr">
        <is>
          <t>Conjure 2 Wounds to Hand. Gain +20 Block.</t>
        </is>
      </c>
      <c r="H119" t="inlineStr">
        <is>
          <t>conjure:wound:hand:2; gain:block:20</t>
        </is>
      </c>
      <c r="I119" t="n">
        <v>1</v>
      </c>
      <c r="J119" t="inlineStr">
        <is>
          <t>N/A</t>
        </is>
      </c>
      <c r="K119" t="inlineStr">
        <is>
          <t>PowerThrough</t>
        </is>
      </c>
      <c r="L119" t="inlineStr">
        <is>
          <t>Slay the Spire</t>
        </is>
      </c>
      <c r="M119" t="inlineStr">
        <is>
          <t>N/A</t>
        </is>
      </c>
      <c r="N119" t="inlineStr">
        <is>
          <t>N/A</t>
        </is>
      </c>
      <c r="O119" t="inlineStr">
        <is>
          <t>ironclad, defense, status</t>
        </is>
      </c>
    </row>
    <row r="120">
      <c r="A120" t="inlineStr">
        <is>
          <t>Predator</t>
        </is>
      </c>
      <c r="B120" t="inlineStr">
        <is>
          <t>Common</t>
        </is>
      </c>
      <c r="C120" t="inlineStr">
        <is>
          <t>Attack</t>
        </is>
      </c>
      <c r="D120" t="n">
        <v>2</v>
      </c>
      <c r="E120" s="9" t="inlineStr">
        <is>
          <t>Deal 15 Dmg Melee. Gain 2 Next Turn Draw.</t>
        </is>
      </c>
      <c r="F120" t="inlineStr">
        <is>
          <t>dmg:15:melee; gain:next_turn_draw:2</t>
        </is>
      </c>
      <c r="G120" s="9" t="inlineStr">
        <is>
          <t>Deal 20 Dmg Melee. Gain 2 Next Turn Draw.</t>
        </is>
      </c>
      <c r="H120" t="inlineStr">
        <is>
          <t>dmg:20:melee; gain:next_turn_draw:2</t>
        </is>
      </c>
      <c r="I120" t="inlineStr">
        <is>
          <t>N/A</t>
        </is>
      </c>
      <c r="J120" t="inlineStr">
        <is>
          <t>Poke, Medium</t>
        </is>
      </c>
      <c r="K120" t="inlineStr">
        <is>
          <t>Predator</t>
        </is>
      </c>
      <c r="L120" t="inlineStr">
        <is>
          <t>Slay the Spire</t>
        </is>
      </c>
      <c r="M120" t="inlineStr">
        <is>
          <t>N/A</t>
        </is>
      </c>
      <c r="N120" t="inlineStr">
        <is>
          <t>N/A</t>
        </is>
      </c>
      <c r="O120" t="inlineStr">
        <is>
          <t>silent, offense, draw</t>
        </is>
      </c>
    </row>
    <row r="121">
      <c r="A121" t="inlineStr">
        <is>
          <t>Prepared</t>
        </is>
      </c>
      <c r="B121" t="inlineStr">
        <is>
          <t>Common</t>
        </is>
      </c>
      <c r="C121" t="inlineStr">
        <is>
          <t>Skill</t>
        </is>
      </c>
      <c r="D121" t="n">
        <v>0</v>
      </c>
      <c r="E121" s="9" t="inlineStr">
        <is>
          <t>Draw 1 Card. Discard 1 Card.</t>
        </is>
      </c>
      <c r="F121" t="inlineStr">
        <is>
          <t>draw:1; discard:1</t>
        </is>
      </c>
      <c r="G121" s="9" t="inlineStr">
        <is>
          <t>Draw 2 Cards. Discard 2 Cards.</t>
        </is>
      </c>
      <c r="H121" t="inlineStr">
        <is>
          <t>draw:2; discard:2</t>
        </is>
      </c>
      <c r="I121" t="inlineStr">
        <is>
          <t>N/A</t>
        </is>
      </c>
      <c r="J121" t="inlineStr">
        <is>
          <t>N/A</t>
        </is>
      </c>
      <c r="K121" t="inlineStr">
        <is>
          <t>Prepared</t>
        </is>
      </c>
      <c r="L121" t="inlineStr">
        <is>
          <t>Slay the Spire</t>
        </is>
      </c>
      <c r="M121" t="inlineStr">
        <is>
          <t>N/A</t>
        </is>
      </c>
      <c r="N121" t="inlineStr">
        <is>
          <t>N/A</t>
        </is>
      </c>
      <c r="O121" t="inlineStr">
        <is>
          <t>silent, draw, discard</t>
        </is>
      </c>
    </row>
    <row r="122">
      <c r="A122" t="inlineStr">
        <is>
          <t>Pride</t>
        </is>
      </c>
      <c r="B122" t="inlineStr">
        <is>
          <t>None</t>
        </is>
      </c>
      <c r="C122" t="inlineStr">
        <is>
          <t>Curse</t>
        </is>
      </c>
      <c r="D122" t="n">
        <v>1</v>
      </c>
      <c r="E122" s="4" t="inlineStr">
        <is>
          <t>Innate. At the end of your turn, put a copy of this card on top of your draw pile. Exhaust.</t>
        </is>
      </c>
      <c r="F122" t="inlineStr">
        <is>
          <t>eot: conjure:self:draw_top</t>
        </is>
      </c>
      <c r="G122" t="inlineStr">
        <is>
          <t>N/A</t>
        </is>
      </c>
      <c r="H122" t="inlineStr">
        <is>
          <t>N/A</t>
        </is>
      </c>
      <c r="I122" t="inlineStr">
        <is>
          <t>N/A</t>
        </is>
      </c>
      <c r="J122" t="inlineStr">
        <is>
          <t>N/A</t>
        </is>
      </c>
      <c r="K122" t="inlineStr">
        <is>
          <t>Pride</t>
        </is>
      </c>
      <c r="L122" t="inlineStr">
        <is>
          <t>Slay the Spire</t>
        </is>
      </c>
      <c r="M122" t="inlineStr">
        <is>
          <t>Innate, Exhaust</t>
        </is>
      </c>
      <c r="N122" t="inlineStr">
        <is>
          <t>N/A</t>
        </is>
      </c>
      <c r="O122" t="inlineStr">
        <is>
          <t>randomcurse</t>
        </is>
      </c>
    </row>
    <row r="123">
      <c r="A123" t="inlineStr">
        <is>
          <t>Pummel</t>
        </is>
      </c>
      <c r="B123" t="inlineStr">
        <is>
          <t>Uncommon</t>
        </is>
      </c>
      <c r="C123" t="inlineStr">
        <is>
          <t>Attack</t>
        </is>
      </c>
      <c r="D123" t="n">
        <v>1</v>
      </c>
      <c r="E123" s="9" t="inlineStr">
        <is>
          <t>Deal 2x4 Dmg Melee. Exhaust.</t>
        </is>
      </c>
      <c r="F123" t="inlineStr">
        <is>
          <t>dmg:2x4:melee</t>
        </is>
      </c>
      <c r="G123" s="9" t="inlineStr">
        <is>
          <t>Deal 2x5 Dmg Melee. Exhaust.</t>
        </is>
      </c>
      <c r="H123" t="inlineStr">
        <is>
          <t>dmg:2x5:melee</t>
        </is>
      </c>
      <c r="I123" t="n">
        <v>1</v>
      </c>
      <c r="J123" t="inlineStr">
        <is>
          <t>Poke, Small</t>
        </is>
      </c>
      <c r="K123" t="inlineStr">
        <is>
          <t>Pummel</t>
        </is>
      </c>
      <c r="L123" t="inlineStr">
        <is>
          <t>Slay the Spire</t>
        </is>
      </c>
      <c r="M123" t="inlineStr">
        <is>
          <t>Exhaust</t>
        </is>
      </c>
      <c r="N123" t="inlineStr">
        <is>
          <t>N/A</t>
        </is>
      </c>
      <c r="O123" t="inlineStr">
        <is>
          <t>ironclad, offense, exhaust</t>
        </is>
      </c>
    </row>
    <row r="124">
      <c r="A124" t="inlineStr">
        <is>
          <t>Punctured Eye</t>
        </is>
      </c>
      <c r="B124" t="inlineStr">
        <is>
          <t>None</t>
        </is>
      </c>
      <c r="C124" t="inlineStr">
        <is>
          <t>Curse</t>
        </is>
      </c>
      <c r="D124" t="inlineStr">
        <is>
          <t>No</t>
        </is>
      </c>
      <c r="E124" t="inlineStr">
        <is>
          <t>Unplayable. At the end of your turn, if this is in Hand, Gain 1 Blind.</t>
        </is>
      </c>
      <c r="F124" t="inlineStr">
        <is>
          <t>eot: inflict:blind:1:self</t>
        </is>
      </c>
      <c r="G124" t="inlineStr">
        <is>
          <t>N/A</t>
        </is>
      </c>
      <c r="H124" t="inlineStr">
        <is>
          <t>N/A</t>
        </is>
      </c>
      <c r="I124" t="inlineStr">
        <is>
          <t>N/A</t>
        </is>
      </c>
      <c r="J124" t="inlineStr">
        <is>
          <t>N/A</t>
        </is>
      </c>
      <c r="K124" t="inlineStr">
        <is>
          <t>PuncturedEye</t>
        </is>
      </c>
      <c r="L124" t="inlineStr">
        <is>
          <t>Mewgenics</t>
        </is>
      </c>
      <c r="M124" t="inlineStr">
        <is>
          <t>Unplayable</t>
        </is>
      </c>
      <c r="N124" t="inlineStr">
        <is>
          <t>N/A</t>
        </is>
      </c>
    </row>
    <row r="125">
      <c r="A125" t="inlineStr">
        <is>
          <t>Quick Slash</t>
        </is>
      </c>
      <c r="B125" t="inlineStr">
        <is>
          <t>Common</t>
        </is>
      </c>
      <c r="C125" t="inlineStr">
        <is>
          <t>Attack</t>
        </is>
      </c>
      <c r="D125" t="n">
        <v>1</v>
      </c>
      <c r="E125" s="9" t="inlineStr">
        <is>
          <t>Deal 8 Dmg Melee. Draw 1 Card.</t>
        </is>
      </c>
      <c r="F125" t="inlineStr">
        <is>
          <t>dmg:8:melee; draw:1</t>
        </is>
      </c>
      <c r="G125" s="9" t="inlineStr">
        <is>
          <t>Deal 12 Dmg Melee. Draw 1 Card.</t>
        </is>
      </c>
      <c r="H125" t="inlineStr">
        <is>
          <t>dmg:12:melee; draw:1</t>
        </is>
      </c>
      <c r="I125" t="n">
        <v>1</v>
      </c>
      <c r="J125" t="inlineStr">
        <is>
          <t>Swing, Small</t>
        </is>
      </c>
      <c r="K125" t="inlineStr">
        <is>
          <t>QuickSlash</t>
        </is>
      </c>
      <c r="L125" t="inlineStr">
        <is>
          <t>Slay the Spire</t>
        </is>
      </c>
      <c r="M125" t="inlineStr">
        <is>
          <t>N/A</t>
        </is>
      </c>
      <c r="N125" t="inlineStr">
        <is>
          <t>N/A</t>
        </is>
      </c>
      <c r="O125" t="inlineStr">
        <is>
          <t>silent, offense, draw</t>
        </is>
      </c>
    </row>
    <row r="126">
      <c r="A126" t="inlineStr">
        <is>
          <t>Rage</t>
        </is>
      </c>
      <c r="B126" t="inlineStr">
        <is>
          <t>Uncommon</t>
        </is>
      </c>
      <c r="C126" t="inlineStr">
        <is>
          <t>Skill</t>
        </is>
      </c>
      <c r="D126" t="n">
        <v>0</v>
      </c>
      <c r="E126" s="9" t="inlineStr">
        <is>
          <t>Until the end of your turn, whenever you play an Attack, Gain +3 Block.</t>
        </is>
      </c>
      <c r="F126" t="inlineStr">
        <is>
          <t>gain:rage:3; on_attack_played:gain:block:3:until=turn_end</t>
        </is>
      </c>
      <c r="G126" s="9" t="inlineStr">
        <is>
          <t>Until the end of your turn, whenever you play an Attack, Gain +5 Block.</t>
        </is>
      </c>
      <c r="H126" t="inlineStr">
        <is>
          <t>gain:rage:5; on_attack_played:gain:block:5:until=turn_end</t>
        </is>
      </c>
      <c r="I126" t="n">
        <v>0</v>
      </c>
      <c r="J126" t="inlineStr">
        <is>
          <t>N/A</t>
        </is>
      </c>
      <c r="K126" t="inlineStr">
        <is>
          <t>Rage</t>
        </is>
      </c>
      <c r="L126" t="inlineStr">
        <is>
          <t>Slay the Spire</t>
        </is>
      </c>
      <c r="M126" t="inlineStr">
        <is>
          <t>N/A</t>
        </is>
      </c>
      <c r="N126" t="inlineStr">
        <is>
          <t>N/A</t>
        </is>
      </c>
      <c r="O126" t="inlineStr">
        <is>
          <t>ironclad, defense</t>
        </is>
      </c>
    </row>
    <row r="127">
      <c r="A127" t="inlineStr">
        <is>
          <t>Rampage</t>
        </is>
      </c>
      <c r="B127" t="inlineStr">
        <is>
          <t>Uncommon</t>
        </is>
      </c>
      <c r="C127" t="inlineStr">
        <is>
          <t>Attack</t>
        </is>
      </c>
      <c r="D127" t="n">
        <v>1</v>
      </c>
      <c r="E127" s="9" t="inlineStr">
        <is>
          <t>Deal 8 Dmg Melee. Increase the Dmg of this Card by 5 this combat.</t>
        </is>
      </c>
      <c r="F127" t="inlineStr">
        <is>
          <t>dmg:8:melee; boost_cards:id=rampage:dmg:5</t>
        </is>
      </c>
      <c r="G127" s="9" t="inlineStr">
        <is>
          <t>Deal 8 Dmg Melee. Increase the Dmg of this Card by 8 this combat.</t>
        </is>
      </c>
      <c r="H127" t="inlineStr">
        <is>
          <t>dmg:8:melee; boost_cards:id=rampage:dmg:8</t>
        </is>
      </c>
      <c r="I127" t="n">
        <v>1</v>
      </c>
      <c r="J127" t="inlineStr">
        <is>
          <t>Swing, Small</t>
        </is>
      </c>
      <c r="K127" t="inlineStr">
        <is>
          <t>Rampage</t>
        </is>
      </c>
      <c r="L127" t="inlineStr">
        <is>
          <t>Slay the Spire</t>
        </is>
      </c>
      <c r="M127" t="inlineStr">
        <is>
          <t>N/A</t>
        </is>
      </c>
      <c r="N127" t="inlineStr">
        <is>
          <t>N/A</t>
        </is>
      </c>
      <c r="O127" t="inlineStr">
        <is>
          <t>ironclad, offense, scaling</t>
        </is>
      </c>
    </row>
    <row r="128">
      <c r="A128" t="inlineStr">
        <is>
          <t>Reaper</t>
        </is>
      </c>
      <c r="B128" t="inlineStr">
        <is>
          <t>Rare</t>
        </is>
      </c>
      <c r="C128" t="inlineStr">
        <is>
          <t>Attack</t>
        </is>
      </c>
      <c r="D128" t="n">
        <v>2</v>
      </c>
      <c r="E128" t="inlineStr">
        <is>
          <t>Deal 4 Dmg Melee Cleave Lifesteal. Exhaust.</t>
        </is>
      </c>
      <c r="F128" t="inlineStr">
        <is>
          <t>dmg:4:melee:cleave</t>
        </is>
      </c>
      <c r="G128" t="inlineStr">
        <is>
          <t>Deal 5 Dmg Melee Cleave Lifesteal. Exhaust.</t>
        </is>
      </c>
      <c r="H128" t="inlineStr">
        <is>
          <t>dmg:5:melee:cleave</t>
        </is>
      </c>
      <c r="I128" t="n">
        <v>2</v>
      </c>
      <c r="J128" t="inlineStr">
        <is>
          <t>Swing, Large</t>
        </is>
      </c>
      <c r="K128" t="inlineStr">
        <is>
          <t>Reaper</t>
        </is>
      </c>
      <c r="L128" t="inlineStr">
        <is>
          <t>Slay the Spire</t>
        </is>
      </c>
      <c r="M128" t="inlineStr">
        <is>
          <t>Exhaust, Lifesteal</t>
        </is>
      </c>
      <c r="N128" t="inlineStr">
        <is>
          <t>N/A</t>
        </is>
      </c>
      <c r="O128" t="inlineStr">
        <is>
          <t>ironclad, offense, health, exhaust</t>
        </is>
      </c>
    </row>
    <row r="129">
      <c r="A129" t="inlineStr">
        <is>
          <t>Reckless Charge</t>
        </is>
      </c>
      <c r="B129" t="inlineStr">
        <is>
          <t>Uncommon</t>
        </is>
      </c>
      <c r="C129" t="inlineStr">
        <is>
          <t>Attack</t>
        </is>
      </c>
      <c r="D129" t="n">
        <v>0</v>
      </c>
      <c r="E129" s="9" t="inlineStr">
        <is>
          <t>Deal 7 Dmg Melee. Conjure 1 Dazed to Deck.</t>
        </is>
      </c>
      <c r="F129" t="inlineStr">
        <is>
          <t>dmg:7:melee; conjure:dazed:draw</t>
        </is>
      </c>
      <c r="G129" s="9" t="inlineStr">
        <is>
          <t>Deal 10 Dmg Melee. Conjure 1 Dazed to Deck.</t>
        </is>
      </c>
      <c r="H129" t="inlineStr">
        <is>
          <t>dmg:10:melee; conjure:dazed:draw</t>
        </is>
      </c>
      <c r="I129" t="n">
        <v>0</v>
      </c>
      <c r="J129" t="inlineStr">
        <is>
          <t>Smash, Small</t>
        </is>
      </c>
      <c r="K129" t="inlineStr">
        <is>
          <t>RecklessCharge</t>
        </is>
      </c>
      <c r="L129" t="inlineStr">
        <is>
          <t>Slay the Spire</t>
        </is>
      </c>
      <c r="M129" t="inlineStr">
        <is>
          <t>N/A</t>
        </is>
      </c>
      <c r="N129" t="inlineStr">
        <is>
          <t>N/A</t>
        </is>
      </c>
      <c r="O129" t="inlineStr">
        <is>
          <t>ironclad, offense, status</t>
        </is>
      </c>
    </row>
    <row r="130">
      <c r="A130" t="inlineStr">
        <is>
          <t>Reflex</t>
        </is>
      </c>
      <c r="B130" t="inlineStr">
        <is>
          <t>Uncommon</t>
        </is>
      </c>
      <c r="C130" t="inlineStr">
        <is>
          <t>Skill</t>
        </is>
      </c>
      <c r="D130" t="inlineStr">
        <is>
          <t>No</t>
        </is>
      </c>
      <c r="E130" t="inlineStr">
        <is>
          <t>Sly. Draw 2 Cards.</t>
        </is>
      </c>
      <c r="F130" t="inlineStr">
        <is>
          <t>draw:2</t>
        </is>
      </c>
      <c r="G130" t="inlineStr">
        <is>
          <t>Sly. Draw 3 Cards.</t>
        </is>
      </c>
      <c r="H130" t="inlineStr">
        <is>
          <t>draw:3</t>
        </is>
      </c>
      <c r="I130" t="inlineStr">
        <is>
          <t>No</t>
        </is>
      </c>
      <c r="J130" t="inlineStr">
        <is>
          <t>N/A</t>
        </is>
      </c>
      <c r="K130" t="inlineStr">
        <is>
          <t>Reflex</t>
        </is>
      </c>
      <c r="L130" t="inlineStr">
        <is>
          <t>Slay the Spire</t>
        </is>
      </c>
      <c r="M130" t="inlineStr">
        <is>
          <t>Sly</t>
        </is>
      </c>
      <c r="N130" t="inlineStr">
        <is>
          <t>N/A</t>
        </is>
      </c>
      <c r="O130" t="inlineStr">
        <is>
          <t>silent, discard, draw</t>
        </is>
      </c>
    </row>
    <row r="131">
      <c r="A131" t="inlineStr">
        <is>
          <t>Regret</t>
        </is>
      </c>
      <c r="B131" t="inlineStr">
        <is>
          <t>None</t>
        </is>
      </c>
      <c r="C131" t="inlineStr">
        <is>
          <t>Curse</t>
        </is>
      </c>
      <c r="D131" t="inlineStr">
        <is>
          <t>No</t>
        </is>
      </c>
      <c r="E131" t="inlineStr">
        <is>
          <t>Unplayable. At the end of your turn, if this is in Hand, Lose 1 Health for each card in Hand.</t>
        </is>
      </c>
      <c r="F131" t="inlineStr">
        <is>
          <t>eot: lose_hp:1:per_card_in_hand</t>
        </is>
      </c>
      <c r="G131" t="inlineStr">
        <is>
          <t>N/A</t>
        </is>
      </c>
      <c r="H131" t="inlineStr">
        <is>
          <t>N/A</t>
        </is>
      </c>
      <c r="I131" t="inlineStr">
        <is>
          <t>N/A</t>
        </is>
      </c>
      <c r="J131" t="inlineStr">
        <is>
          <t>N/A</t>
        </is>
      </c>
      <c r="K131" t="inlineStr">
        <is>
          <t>Regret</t>
        </is>
      </c>
      <c r="L131" t="inlineStr">
        <is>
          <t>Slay the Spire</t>
        </is>
      </c>
      <c r="M131" t="inlineStr">
        <is>
          <t>Unplayable</t>
        </is>
      </c>
      <c r="N131" t="inlineStr">
        <is>
          <t>N/A</t>
        </is>
      </c>
      <c r="O131" t="inlineStr">
        <is>
          <t>randomcurse</t>
        </is>
      </c>
    </row>
    <row r="132">
      <c r="A132" t="inlineStr">
        <is>
          <t>Riddle with Holes</t>
        </is>
      </c>
      <c r="B132" t="inlineStr">
        <is>
          <t>Uncommon</t>
        </is>
      </c>
      <c r="C132" t="inlineStr">
        <is>
          <t>Attack</t>
        </is>
      </c>
      <c r="D132" t="n">
        <v>2</v>
      </c>
      <c r="E132" s="9" t="inlineStr">
        <is>
          <t>Deal 3x5 Dmg Melee.</t>
        </is>
      </c>
      <c r="F132" t="inlineStr">
        <is>
          <t>dmg:3x5:melee</t>
        </is>
      </c>
      <c r="G132" s="9" t="inlineStr">
        <is>
          <t>Deal 4x5 Dmg Melee.</t>
        </is>
      </c>
      <c r="H132" t="inlineStr">
        <is>
          <t>dmg:4x5:melee</t>
        </is>
      </c>
      <c r="I132" t="inlineStr">
        <is>
          <t>N/A</t>
        </is>
      </c>
      <c r="J132" t="inlineStr">
        <is>
          <t>Poke, Small</t>
        </is>
      </c>
      <c r="K132" t="inlineStr">
        <is>
          <t>RiddleWithHoles</t>
        </is>
      </c>
      <c r="L132" t="inlineStr">
        <is>
          <t>Slay the Spire</t>
        </is>
      </c>
      <c r="M132" t="inlineStr">
        <is>
          <t>N/A</t>
        </is>
      </c>
      <c r="N132" t="inlineStr">
        <is>
          <t>N/A</t>
        </is>
      </c>
      <c r="O132" t="inlineStr">
        <is>
          <t>silent, offense</t>
        </is>
      </c>
    </row>
    <row r="133">
      <c r="A133" t="inlineStr">
        <is>
          <t>Rusty Razor</t>
        </is>
      </c>
      <c r="B133" t="inlineStr">
        <is>
          <t>Uncommon</t>
        </is>
      </c>
      <c r="C133" t="inlineStr">
        <is>
          <t>Skill</t>
        </is>
      </c>
      <c r="D133" t="n">
        <v>1</v>
      </c>
      <c r="E133" s="9" t="inlineStr">
        <is>
          <t>Inflict 1 Bleed and 1 Poison.</t>
        </is>
      </c>
      <c r="F133" t="inlineStr">
        <is>
          <t>inflict:bleed:1; inflict:poison:1</t>
        </is>
      </c>
      <c r="G133" s="9" t="inlineStr">
        <is>
          <t>Inflict 1 Bleed and 1 Poison.</t>
        </is>
      </c>
      <c r="H133" t="inlineStr">
        <is>
          <t>inflict:bleed:1; inflict:poison:1</t>
        </is>
      </c>
      <c r="I133" t="n">
        <v>1</v>
      </c>
      <c r="J133" t="inlineStr">
        <is>
          <t>Swing, Small</t>
        </is>
      </c>
      <c r="K133" t="inlineStr">
        <is>
          <t>RustyRazor</t>
        </is>
      </c>
      <c r="L133" t="inlineStr">
        <is>
          <t>Mewgenics</t>
        </is>
      </c>
      <c r="M133" t="inlineStr">
        <is>
          <t>N/A</t>
        </is>
      </c>
      <c r="N133" t="inlineStr">
        <is>
          <t>N/A</t>
        </is>
      </c>
      <c r="O133" t="inlineStr">
        <is>
          <t>weapon, debuff, bleed, poison</t>
        </is>
      </c>
    </row>
    <row r="134">
      <c r="A134" t="inlineStr">
        <is>
          <t>Searing Blow</t>
        </is>
      </c>
      <c r="B134" t="inlineStr">
        <is>
          <t>Uncommon</t>
        </is>
      </c>
      <c r="C134" t="inlineStr">
        <is>
          <t>Attack</t>
        </is>
      </c>
      <c r="D134" t="n">
        <v>2</v>
      </c>
      <c r="E134" s="9" t="inlineStr">
        <is>
          <t>Deal 12 Dmg Fire Melee. Sequential Upgrade Dmg +3.</t>
        </is>
      </c>
      <c r="F134" t="inlineStr">
        <is>
          <t>dmg:12:melee; sequential_upgrade:3</t>
        </is>
      </c>
      <c r="G134" s="9" t="inlineStr">
        <is>
          <t>N/A</t>
        </is>
      </c>
      <c r="H134" t="inlineStr">
        <is>
          <t>N/A</t>
        </is>
      </c>
      <c r="I134" t="inlineStr">
        <is>
          <t>N/A</t>
        </is>
      </c>
      <c r="J134" t="inlineStr">
        <is>
          <t>Swing, Medium</t>
        </is>
      </c>
      <c r="K134" t="inlineStr">
        <is>
          <t>SearingBlow</t>
        </is>
      </c>
      <c r="L134" t="inlineStr">
        <is>
          <t>Slay the Spire</t>
        </is>
      </c>
      <c r="M134" t="inlineStr">
        <is>
          <t>N/A</t>
        </is>
      </c>
      <c r="N134" t="inlineStr">
        <is>
          <t>Fire</t>
        </is>
      </c>
      <c r="O134" t="inlineStr">
        <is>
          <t>ironclad, offense, scaling</t>
        </is>
      </c>
    </row>
    <row r="135">
      <c r="A135" t="inlineStr">
        <is>
          <t>Second Wind</t>
        </is>
      </c>
      <c r="B135" t="inlineStr">
        <is>
          <t>Uncommon</t>
        </is>
      </c>
      <c r="C135" t="inlineStr">
        <is>
          <t>Skill</t>
        </is>
      </c>
      <c r="D135" t="n">
        <v>1</v>
      </c>
      <c r="E135" s="9" t="inlineStr">
        <is>
          <t>Exhaust all non-Attack Cards in Hand. Gain +5 Block for each Card Exhausted.</t>
        </is>
      </c>
      <c r="F135" t="inlineStr">
        <is>
          <t>exhaust:all:non_attack; gain:block:5:per=exhausted</t>
        </is>
      </c>
      <c r="G135" s="9" t="inlineStr">
        <is>
          <t>Exhaust all non-Attack Cards in Hand. Gain +7 Block for each Card Exhausted.</t>
        </is>
      </c>
      <c r="H135" t="inlineStr">
        <is>
          <t>exhaust:all:non_attack; gain:block:7:per=exhausted</t>
        </is>
      </c>
      <c r="I135" t="n">
        <v>1</v>
      </c>
      <c r="J135" t="inlineStr">
        <is>
          <t>N/A</t>
        </is>
      </c>
      <c r="K135" t="inlineStr">
        <is>
          <t>SecondWind</t>
        </is>
      </c>
      <c r="L135" t="inlineStr">
        <is>
          <t>Slay the Spire</t>
        </is>
      </c>
      <c r="M135" t="inlineStr">
        <is>
          <t>N/A</t>
        </is>
      </c>
      <c r="N135" t="inlineStr">
        <is>
          <t>N/A</t>
        </is>
      </c>
      <c r="O135" t="inlineStr">
        <is>
          <t>ironclad, defense, exhaust</t>
        </is>
      </c>
    </row>
    <row r="136">
      <c r="A136" t="inlineStr">
        <is>
          <t>Seeing Red</t>
        </is>
      </c>
      <c r="B136" t="inlineStr">
        <is>
          <t>Uncommon</t>
        </is>
      </c>
      <c r="C136" t="inlineStr">
        <is>
          <t>Skill</t>
        </is>
      </c>
      <c r="D136" t="n">
        <v>1</v>
      </c>
      <c r="E136" s="9" t="inlineStr">
        <is>
          <t>Gain 2 Energy. Exhaust.</t>
        </is>
      </c>
      <c r="F136" t="inlineStr">
        <is>
          <t>gain_energy:2</t>
        </is>
      </c>
      <c r="G136" s="9" t="inlineStr">
        <is>
          <t>Gain 2 Energy. Exhaust.</t>
        </is>
      </c>
      <c r="H136" t="inlineStr">
        <is>
          <t>gain_energy:2</t>
        </is>
      </c>
      <c r="I136" t="n">
        <v>0</v>
      </c>
      <c r="J136" t="inlineStr">
        <is>
          <t>N/A</t>
        </is>
      </c>
      <c r="K136" t="inlineStr">
        <is>
          <t>SeeingRed</t>
        </is>
      </c>
      <c r="L136" t="inlineStr">
        <is>
          <t>Slay the Spire</t>
        </is>
      </c>
      <c r="M136" t="inlineStr">
        <is>
          <t>Exhaust</t>
        </is>
      </c>
      <c r="N136" t="inlineStr">
        <is>
          <t>N/A</t>
        </is>
      </c>
      <c r="O136" t="inlineStr">
        <is>
          <t>ironclad, energy, exhaust</t>
        </is>
      </c>
    </row>
    <row r="137">
      <c r="A137" t="inlineStr">
        <is>
          <t>Seek</t>
        </is>
      </c>
      <c r="B137" t="inlineStr">
        <is>
          <t>Rare</t>
        </is>
      </c>
      <c r="C137" t="inlineStr">
        <is>
          <t>Skill</t>
        </is>
      </c>
      <c r="D137" t="n">
        <v>0</v>
      </c>
      <c r="E137" s="9" t="inlineStr">
        <is>
          <t>Put 1 Card from your Draw Pile to your Hand. Exhaust.</t>
        </is>
      </c>
      <c r="F137" t="inlineStr">
        <is>
          <t>retrieve:1:from=draw</t>
        </is>
      </c>
      <c r="G137" s="9" t="inlineStr">
        <is>
          <t>Put 2 Cards from your Draw Pile to your Hand. Exhaust.</t>
        </is>
      </c>
      <c r="H137" t="inlineStr">
        <is>
          <t>retrieve:2:from=draw</t>
        </is>
      </c>
      <c r="I137" t="n">
        <v>0</v>
      </c>
      <c r="J137" t="inlineStr">
        <is>
          <t>N/A</t>
        </is>
      </c>
      <c r="K137" t="inlineStr">
        <is>
          <t>Seek</t>
        </is>
      </c>
      <c r="L137" t="inlineStr">
        <is>
          <t>Slay the Spire</t>
        </is>
      </c>
      <c r="M137" t="inlineStr">
        <is>
          <t>Exhaust</t>
        </is>
      </c>
      <c r="N137" t="inlineStr">
        <is>
          <t>N/A</t>
        </is>
      </c>
      <c r="O137" t="inlineStr">
        <is>
          <t>defect, draw, exhaust</t>
        </is>
      </c>
    </row>
    <row r="138">
      <c r="A138" t="inlineStr">
        <is>
          <t>Sentinel</t>
        </is>
      </c>
      <c r="B138" t="inlineStr">
        <is>
          <t>Uncommon</t>
        </is>
      </c>
      <c r="C138" t="inlineStr">
        <is>
          <t>Skill</t>
        </is>
      </c>
      <c r="D138" t="n">
        <v>1</v>
      </c>
      <c r="E138" s="9" t="inlineStr">
        <is>
          <t>Gain +5 Block. If this Card is Exhausted, Gain +2 Energy.</t>
        </is>
      </c>
      <c r="F138" t="inlineStr">
        <is>
          <t>gain:block:5; exhausted: gain_energy:2</t>
        </is>
      </c>
      <c r="G138" s="9" t="inlineStr">
        <is>
          <t>Gain +8 Block. If this Card is Exhausted, Gain +3 Energy.</t>
        </is>
      </c>
      <c r="H138" t="inlineStr">
        <is>
          <t>gain:block:8; exhausted: gain_energy:3</t>
        </is>
      </c>
      <c r="I138" t="n">
        <v>1</v>
      </c>
      <c r="J138" t="inlineStr">
        <is>
          <t>N/A</t>
        </is>
      </c>
      <c r="K138" t="inlineStr">
        <is>
          <t>Sentinel</t>
        </is>
      </c>
      <c r="L138" t="inlineStr">
        <is>
          <t>Slay the Spire</t>
        </is>
      </c>
      <c r="M138" t="inlineStr">
        <is>
          <t>N/A</t>
        </is>
      </c>
      <c r="N138" t="inlineStr">
        <is>
          <t>N/A</t>
        </is>
      </c>
      <c r="O138" t="inlineStr">
        <is>
          <t>ironclad, defense, exhaust</t>
        </is>
      </c>
    </row>
    <row r="139">
      <c r="A139" t="inlineStr">
        <is>
          <t>Setup</t>
        </is>
      </c>
      <c r="B139" t="inlineStr">
        <is>
          <t>Uncommon</t>
        </is>
      </c>
      <c r="C139" t="inlineStr">
        <is>
          <t>Skill</t>
        </is>
      </c>
      <c r="D139" t="n">
        <v>1</v>
      </c>
      <c r="E139" s="9" t="inlineStr">
        <is>
          <t>Put a Card from your Hand on top of the Draw Pile. It is free to play until played.</t>
        </is>
      </c>
      <c r="F139" t="inlineStr">
        <is>
          <t>topdeck:1:free=until_played</t>
        </is>
      </c>
      <c r="G139" s="9" t="inlineStr">
        <is>
          <t>Put a Card from your Hand on top of the Draw Pile. It is free to play until played.</t>
        </is>
      </c>
      <c r="H139" t="inlineStr">
        <is>
          <t>topdeck:1:free=until_played</t>
        </is>
      </c>
      <c r="I139" t="n">
        <v>0</v>
      </c>
      <c r="J139" t="inlineStr">
        <is>
          <t>N/A</t>
        </is>
      </c>
      <c r="K139" t="inlineStr">
        <is>
          <t>Setup</t>
        </is>
      </c>
      <c r="L139" t="inlineStr">
        <is>
          <t>Slay the Spire</t>
        </is>
      </c>
      <c r="M139" t="inlineStr">
        <is>
          <t>N/A</t>
        </is>
      </c>
      <c r="N139" t="inlineStr">
        <is>
          <t>N/A</t>
        </is>
      </c>
      <c r="O139" t="inlineStr">
        <is>
          <t>silent, energy</t>
        </is>
      </c>
    </row>
    <row r="140">
      <c r="A140" t="inlineStr">
        <is>
          <t>Sever Soul</t>
        </is>
      </c>
      <c r="B140" t="inlineStr">
        <is>
          <t>Uncommon</t>
        </is>
      </c>
      <c r="C140" t="inlineStr">
        <is>
          <t>Attack</t>
        </is>
      </c>
      <c r="D140" t="n">
        <v>2</v>
      </c>
      <c r="E140" s="9" t="inlineStr">
        <is>
          <t>Exhaust all non-Attack Cards in Hand. Deal 16 Dmg Melee.</t>
        </is>
      </c>
      <c r="F140" t="inlineStr">
        <is>
          <t>exhaust:all:non_attack; dmg:16:melee</t>
        </is>
      </c>
      <c r="G140" s="9" t="inlineStr">
        <is>
          <t>Exhaust all non-Attack Cards in Hand. Deal 22 Dmg Melee.</t>
        </is>
      </c>
      <c r="H140" t="inlineStr">
        <is>
          <t>exhaust:all:non_attack; dmg:22:melee</t>
        </is>
      </c>
      <c r="I140" t="n">
        <v>2</v>
      </c>
      <c r="J140" t="inlineStr">
        <is>
          <t>Swing, Small</t>
        </is>
      </c>
      <c r="K140" t="inlineStr">
        <is>
          <t>SeverSoul</t>
        </is>
      </c>
      <c r="L140" t="inlineStr">
        <is>
          <t>Slay the Spire</t>
        </is>
      </c>
      <c r="M140" t="inlineStr">
        <is>
          <t>N/A</t>
        </is>
      </c>
      <c r="N140" t="inlineStr">
        <is>
          <t>N/A</t>
        </is>
      </c>
      <c r="O140" t="inlineStr">
        <is>
          <t>ironclad, offense, exhaust</t>
        </is>
      </c>
    </row>
    <row r="141">
      <c r="A141" t="inlineStr">
        <is>
          <t>Shame</t>
        </is>
      </c>
      <c r="B141" t="inlineStr">
        <is>
          <t>None</t>
        </is>
      </c>
      <c r="C141" t="inlineStr">
        <is>
          <t>Curse</t>
        </is>
      </c>
      <c r="D141" t="inlineStr">
        <is>
          <t>No</t>
        </is>
      </c>
      <c r="E141" t="inlineStr">
        <is>
          <t>Unplayable. At the end of your turn, if this is in Hand, Gain 1 Frail.</t>
        </is>
      </c>
      <c r="F141" t="inlineStr">
        <is>
          <t>eot: inflict:frail:1:self</t>
        </is>
      </c>
      <c r="G141" t="inlineStr">
        <is>
          <t>N/A</t>
        </is>
      </c>
      <c r="H141" t="inlineStr">
        <is>
          <t>N/A</t>
        </is>
      </c>
      <c r="I141" t="inlineStr">
        <is>
          <t>N/A</t>
        </is>
      </c>
      <c r="J141" t="inlineStr">
        <is>
          <t>N/A</t>
        </is>
      </c>
      <c r="K141" t="inlineStr">
        <is>
          <t>Shame</t>
        </is>
      </c>
      <c r="L141" t="inlineStr">
        <is>
          <t>Slay the Spire</t>
        </is>
      </c>
      <c r="M141" t="inlineStr">
        <is>
          <t>Unplayable</t>
        </is>
      </c>
      <c r="N141" t="inlineStr">
        <is>
          <t>N/A</t>
        </is>
      </c>
      <c r="O141" t="inlineStr">
        <is>
          <t>randomcurse</t>
        </is>
      </c>
    </row>
    <row r="142">
      <c r="A142" t="inlineStr">
        <is>
          <t>Shiv</t>
        </is>
      </c>
      <c r="B142" t="inlineStr">
        <is>
          <t>None</t>
        </is>
      </c>
      <c r="C142" t="inlineStr">
        <is>
          <t>Attack</t>
        </is>
      </c>
      <c r="D142" t="n">
        <v>0</v>
      </c>
      <c r="E142" t="inlineStr">
        <is>
          <t>Deal 4 Dmg Ranged. Exhaust.</t>
        </is>
      </c>
      <c r="F142" t="inlineStr">
        <is>
          <t>dmg:4:ranged</t>
        </is>
      </c>
      <c r="G142" t="inlineStr">
        <is>
          <t>Deal 6 Dmg Ranged. Exhaust.</t>
        </is>
      </c>
      <c r="H142" t="inlineStr">
        <is>
          <t>dmg:6:ranged</t>
        </is>
      </c>
      <c r="I142" t="n">
        <v>0</v>
      </c>
      <c r="J142" t="inlineStr">
        <is>
          <t>Projectile, Medium</t>
        </is>
      </c>
      <c r="K142" t="inlineStr">
        <is>
          <t>Shiv</t>
        </is>
      </c>
      <c r="L142" t="inlineStr">
        <is>
          <t>Slay the Spire</t>
        </is>
      </c>
      <c r="M142" t="inlineStr">
        <is>
          <t>Exhaust</t>
        </is>
      </c>
      <c r="N142" t="inlineStr">
        <is>
          <t>N/A</t>
        </is>
      </c>
      <c r="O142" t="inlineStr">
        <is>
          <t>shiv</t>
        </is>
      </c>
    </row>
    <row r="143">
      <c r="A143" t="inlineStr">
        <is>
          <t>Shockwave</t>
        </is>
      </c>
      <c r="B143" t="inlineStr">
        <is>
          <t>Uncommon</t>
        </is>
      </c>
      <c r="C143" t="inlineStr">
        <is>
          <t>Skill</t>
        </is>
      </c>
      <c r="D143" t="n">
        <v>2</v>
      </c>
      <c r="E143" s="9" t="inlineStr">
        <is>
          <t>Apply 3 Weak Cleave and 3 Vulnerable Cleave. Exhaust.</t>
        </is>
      </c>
      <c r="F143" t="inlineStr">
        <is>
          <t>inflict:weak:3:cleave; inflict:vulnerable:3:cleave</t>
        </is>
      </c>
      <c r="G143" s="9" t="inlineStr">
        <is>
          <t>Apply 5 Weak Cleave and 5 Vulnerable Cleave. Exhaust.</t>
        </is>
      </c>
      <c r="H143" t="inlineStr">
        <is>
          <t>inflict:weak:5:cleave; inflict:vulnerable:5:cleave</t>
        </is>
      </c>
      <c r="I143" t="n">
        <v>2</v>
      </c>
      <c r="J143" t="inlineStr">
        <is>
          <t>N/A</t>
        </is>
      </c>
      <c r="K143" t="inlineStr">
        <is>
          <t>Shockwave</t>
        </is>
      </c>
      <c r="L143" t="inlineStr">
        <is>
          <t>Slay the Spire</t>
        </is>
      </c>
      <c r="M143" t="inlineStr">
        <is>
          <t>Exhaust</t>
        </is>
      </c>
      <c r="N143" t="inlineStr">
        <is>
          <t>N/A</t>
        </is>
      </c>
      <c r="O143" t="inlineStr">
        <is>
          <t>ironclad, debuff, exhaust</t>
        </is>
      </c>
    </row>
    <row r="144">
      <c r="A144" t="inlineStr">
        <is>
          <t>Shrug It Off</t>
        </is>
      </c>
      <c r="B144" t="inlineStr">
        <is>
          <t>Common</t>
        </is>
      </c>
      <c r="C144" t="inlineStr">
        <is>
          <t>Skill</t>
        </is>
      </c>
      <c r="D144" t="n">
        <v>1</v>
      </c>
      <c r="E144" t="inlineStr">
        <is>
          <t>Gain 8 Block. Draw 1 Card.</t>
        </is>
      </c>
      <c r="F144" t="inlineStr">
        <is>
          <t>gain:block:8; draw:1</t>
        </is>
      </c>
      <c r="G144" t="inlineStr">
        <is>
          <t>Gain 11 Block. Draw 1 card.</t>
        </is>
      </c>
      <c r="H144" t="inlineStr">
        <is>
          <t>gain:block:11; draw:1</t>
        </is>
      </c>
      <c r="I144" t="n">
        <v>1</v>
      </c>
      <c r="J144" t="inlineStr">
        <is>
          <t>N/A</t>
        </is>
      </c>
      <c r="K144" t="inlineStr">
        <is>
          <t>ShrugItOff</t>
        </is>
      </c>
      <c r="L144" t="inlineStr">
        <is>
          <t>Slay the Spire</t>
        </is>
      </c>
      <c r="M144" t="inlineStr">
        <is>
          <t>N/A</t>
        </is>
      </c>
      <c r="N144" t="inlineStr">
        <is>
          <t>N/A</t>
        </is>
      </c>
      <c r="O144" t="inlineStr">
        <is>
          <t>ironclad, block, defense</t>
        </is>
      </c>
    </row>
    <row r="145">
      <c r="A145" t="inlineStr">
        <is>
          <t>Skewer</t>
        </is>
      </c>
      <c r="B145" t="inlineStr">
        <is>
          <t>Uncommon</t>
        </is>
      </c>
      <c r="C145" t="inlineStr">
        <is>
          <t>Attack</t>
        </is>
      </c>
      <c r="D145" t="inlineStr">
        <is>
          <t>X</t>
        </is>
      </c>
      <c r="E145" t="inlineStr">
        <is>
          <t>Deal 7xX Dmg Melee.</t>
        </is>
      </c>
      <c r="F145" t="inlineStr">
        <is>
          <t>dmg:7xX:melee</t>
        </is>
      </c>
      <c r="G145" t="inlineStr">
        <is>
          <t>Deal 10xX Dmg Melee.</t>
        </is>
      </c>
      <c r="H145" t="inlineStr">
        <is>
          <t>dmg:10xX:melee</t>
        </is>
      </c>
      <c r="I145" t="inlineStr">
        <is>
          <t>X</t>
        </is>
      </c>
      <c r="J145" t="inlineStr">
        <is>
          <t>Poke, Large</t>
        </is>
      </c>
      <c r="K145" t="inlineStr">
        <is>
          <t>Skewer</t>
        </is>
      </c>
      <c r="L145" t="inlineStr">
        <is>
          <t>Slay the Spire</t>
        </is>
      </c>
      <c r="M145" t="inlineStr">
        <is>
          <t>N/A</t>
        </is>
      </c>
      <c r="N145" t="inlineStr">
        <is>
          <t>N/A</t>
        </is>
      </c>
      <c r="O145" t="inlineStr">
        <is>
          <t>silent, offense</t>
        </is>
      </c>
    </row>
    <row r="146">
      <c r="A146" t="inlineStr">
        <is>
          <t>Slice</t>
        </is>
      </c>
      <c r="B146" t="inlineStr">
        <is>
          <t>Common</t>
        </is>
      </c>
      <c r="C146" t="inlineStr">
        <is>
          <t>Attack</t>
        </is>
      </c>
      <c r="D146" t="n">
        <v>0</v>
      </c>
      <c r="E146" s="9" t="inlineStr">
        <is>
          <t>Deal 6 Dmg Melee.</t>
        </is>
      </c>
      <c r="F146" t="inlineStr">
        <is>
          <t>dmg:6:melee</t>
        </is>
      </c>
      <c r="G146" s="9" t="inlineStr">
        <is>
          <t>Deal 9 Dmg Melee.</t>
        </is>
      </c>
      <c r="H146" t="inlineStr">
        <is>
          <t>dmg:9:melee</t>
        </is>
      </c>
      <c r="I146" t="n">
        <v>0</v>
      </c>
      <c r="J146" t="inlineStr">
        <is>
          <t>Swing, Small</t>
        </is>
      </c>
      <c r="K146" t="inlineStr">
        <is>
          <t>Slice</t>
        </is>
      </c>
      <c r="L146" t="inlineStr">
        <is>
          <t>Slay the Spire</t>
        </is>
      </c>
      <c r="M146" t="inlineStr">
        <is>
          <t>N/A</t>
        </is>
      </c>
      <c r="N146" t="inlineStr">
        <is>
          <t>N/A</t>
        </is>
      </c>
      <c r="O146" t="inlineStr">
        <is>
          <t>silent, offense</t>
        </is>
      </c>
    </row>
    <row r="147">
      <c r="A147" t="inlineStr">
        <is>
          <t>Slimed</t>
        </is>
      </c>
      <c r="B147" t="inlineStr">
        <is>
          <t>None</t>
        </is>
      </c>
      <c r="C147" t="inlineStr">
        <is>
          <t>Status</t>
        </is>
      </c>
      <c r="D147" t="n">
        <v>1</v>
      </c>
      <c r="E147" t="inlineStr">
        <is>
          <t>Draw 1 Card. Exhaust.</t>
        </is>
      </c>
      <c r="F147" t="inlineStr">
        <is>
          <t>draw:1</t>
        </is>
      </c>
      <c r="G147" t="inlineStr">
        <is>
          <t>N/A</t>
        </is>
      </c>
      <c r="H147" t="inlineStr">
        <is>
          <t>N/A</t>
        </is>
      </c>
      <c r="I147" t="inlineStr">
        <is>
          <t>N/A</t>
        </is>
      </c>
      <c r="J147" t="inlineStr">
        <is>
          <t>N/A</t>
        </is>
      </c>
      <c r="K147" t="inlineStr">
        <is>
          <t>Slimed</t>
        </is>
      </c>
      <c r="L147" t="inlineStr">
        <is>
          <t>Slay the Spire</t>
        </is>
      </c>
      <c r="M147" t="inlineStr">
        <is>
          <t>Exhaust</t>
        </is>
      </c>
      <c r="N147" t="inlineStr">
        <is>
          <t>N/A</t>
        </is>
      </c>
      <c r="O147" t="inlineStr">
        <is>
          <t>status</t>
        </is>
      </c>
    </row>
    <row r="148">
      <c r="A148" t="inlineStr">
        <is>
          <t>Sneaky Strike</t>
        </is>
      </c>
      <c r="B148" t="inlineStr">
        <is>
          <t>Common</t>
        </is>
      </c>
      <c r="C148" t="inlineStr">
        <is>
          <t>Attack</t>
        </is>
      </c>
      <c r="D148" t="n">
        <v>2</v>
      </c>
      <c r="E148" s="9" t="inlineStr">
        <is>
          <t>Deal 12 Dmg Melee. If you have Discarded a Card this turn, Gain +2 Energy.</t>
        </is>
      </c>
      <c r="F148" t="inlineStr">
        <is>
          <t>dmg:12:melee; if_counter:discards_this_turn:gain_energy:2</t>
        </is>
      </c>
      <c r="G148" s="9" t="inlineStr">
        <is>
          <t>Deal 16 Dmg Melee. If you have Discarded a Card this turn, Gain +2 Energy.</t>
        </is>
      </c>
      <c r="H148" t="inlineStr">
        <is>
          <t>dmg:16:melee; if_counter:discards_this_turn:gain_energy:2</t>
        </is>
      </c>
      <c r="I148" t="n">
        <v>2</v>
      </c>
      <c r="J148" t="inlineStr">
        <is>
          <t>Poke, Small</t>
        </is>
      </c>
      <c r="K148" t="inlineStr">
        <is>
          <t>SneakyStrike</t>
        </is>
      </c>
      <c r="L148" t="inlineStr">
        <is>
          <t>Slay the Spire</t>
        </is>
      </c>
      <c r="M148" t="inlineStr">
        <is>
          <t>N/A</t>
        </is>
      </c>
      <c r="N148" t="inlineStr">
        <is>
          <t>N/A</t>
        </is>
      </c>
      <c r="O148" t="inlineStr">
        <is>
          <t>silent, offense, energy</t>
        </is>
      </c>
    </row>
    <row r="149">
      <c r="A149" t="inlineStr">
        <is>
          <t>Spot Weakness</t>
        </is>
      </c>
      <c r="B149" t="inlineStr">
        <is>
          <t>Uncommon</t>
        </is>
      </c>
      <c r="C149" t="inlineStr">
        <is>
          <t>Skill</t>
        </is>
      </c>
      <c r="D149" t="n">
        <v>1</v>
      </c>
      <c r="E149" s="9" t="inlineStr">
        <is>
          <t>If target enemy intends to attack, Gain +3 Power.</t>
        </is>
      </c>
      <c r="F149" t="inlineStr">
        <is>
          <t>if_intent:attack:gain:power:3</t>
        </is>
      </c>
      <c r="G149" s="9" t="inlineStr">
        <is>
          <t>If target enemy intends to attack, Gain +4 Power.</t>
        </is>
      </c>
      <c r="H149" t="inlineStr">
        <is>
          <t>if_intent:attack:gain:power:4</t>
        </is>
      </c>
      <c r="I149" t="n">
        <v>1</v>
      </c>
      <c r="J149" t="inlineStr">
        <is>
          <t>N/A</t>
        </is>
      </c>
      <c r="K149" t="inlineStr">
        <is>
          <t>SpotWeakness</t>
        </is>
      </c>
      <c r="L149" t="inlineStr">
        <is>
          <t>Slay the Spire</t>
        </is>
      </c>
      <c r="M149" t="inlineStr">
        <is>
          <t>N/A</t>
        </is>
      </c>
      <c r="N149" t="inlineStr">
        <is>
          <t>N/A</t>
        </is>
      </c>
      <c r="O149" t="inlineStr">
        <is>
          <t>ironclad, scaling</t>
        </is>
      </c>
    </row>
    <row r="150">
      <c r="A150" t="inlineStr">
        <is>
          <t>Storm of Steel</t>
        </is>
      </c>
      <c r="B150" t="inlineStr">
        <is>
          <t>Rare</t>
        </is>
      </c>
      <c r="C150" t="inlineStr">
        <is>
          <t>Skill</t>
        </is>
      </c>
      <c r="D150" t="n">
        <v>1</v>
      </c>
      <c r="E150" t="inlineStr">
        <is>
          <t>Discard your Hand, then Conjure X Shivs where X was the amount of cards that were Discarded.</t>
        </is>
      </c>
      <c r="F150" t="inlineStr">
        <is>
          <t>discard:all; conjure:shiv:hand:count=discarded</t>
        </is>
      </c>
      <c r="G150" t="inlineStr">
        <is>
          <t>Discard your Hand, then Conjure X Upgraded Shivs where X was the amount of cards that were Discarded.</t>
        </is>
      </c>
      <c r="H150" t="inlineStr">
        <is>
          <t>discard:all; conjure:shiv+:hand:count=discarded</t>
        </is>
      </c>
      <c r="I150" t="n">
        <v>1</v>
      </c>
      <c r="J150" t="inlineStr">
        <is>
          <t>N/A</t>
        </is>
      </c>
      <c r="K150" t="inlineStr">
        <is>
          <t>StormOfShield</t>
        </is>
      </c>
      <c r="L150" t="inlineStr">
        <is>
          <t>Slay the Spire</t>
        </is>
      </c>
      <c r="M150" t="inlineStr">
        <is>
          <t>N/A</t>
        </is>
      </c>
      <c r="N150" t="inlineStr">
        <is>
          <t>N/A</t>
        </is>
      </c>
      <c r="O150" t="inlineStr">
        <is>
          <t>silent, discard, offense</t>
        </is>
      </c>
    </row>
    <row r="151">
      <c r="A151" t="inlineStr">
        <is>
          <t>Strike (Ironclad)</t>
        </is>
      </c>
      <c r="B151" t="inlineStr">
        <is>
          <t>Starter</t>
        </is>
      </c>
      <c r="C151" t="inlineStr">
        <is>
          <t>Attack</t>
        </is>
      </c>
      <c r="D151" t="n">
        <v>1</v>
      </c>
      <c r="E151" t="inlineStr">
        <is>
          <t>Deal 6 Dmg Melee.</t>
        </is>
      </c>
      <c r="F151" t="inlineStr">
        <is>
          <t>dmg:6:melee</t>
        </is>
      </c>
      <c r="G151" t="inlineStr">
        <is>
          <t>Deal 9 Dmg Melee.</t>
        </is>
      </c>
      <c r="H151" t="inlineStr">
        <is>
          <t>dmg:9:melee</t>
        </is>
      </c>
      <c r="I151" t="n">
        <v>1</v>
      </c>
      <c r="J151" t="inlineStr">
        <is>
          <t>Swing, Medium</t>
        </is>
      </c>
      <c r="K151" t="inlineStr">
        <is>
          <t>StrikeIronclad</t>
        </is>
      </c>
      <c r="L151" t="inlineStr">
        <is>
          <t>Slay the Spire</t>
        </is>
      </c>
      <c r="M151" t="inlineStr">
        <is>
          <t>N/A</t>
        </is>
      </c>
      <c r="N151" t="inlineStr">
        <is>
          <t>N/A</t>
        </is>
      </c>
      <c r="O151" t="inlineStr">
        <is>
          <t>strike</t>
        </is>
      </c>
    </row>
    <row r="152">
      <c r="A152" t="inlineStr">
        <is>
          <t>Strike (Silent)</t>
        </is>
      </c>
      <c r="B152" t="inlineStr">
        <is>
          <t>Starter</t>
        </is>
      </c>
      <c r="C152" t="inlineStr">
        <is>
          <t>Attack</t>
        </is>
      </c>
      <c r="D152" t="n">
        <v>1</v>
      </c>
      <c r="E152" t="inlineStr">
        <is>
          <t>Deal 6 Dmg Melee.</t>
        </is>
      </c>
      <c r="F152" t="inlineStr">
        <is>
          <t>dmg:6:melee</t>
        </is>
      </c>
      <c r="G152" t="inlineStr">
        <is>
          <t>Deal 9 Dmg Melee.</t>
        </is>
      </c>
      <c r="H152" t="inlineStr">
        <is>
          <t>dmg:9:melee</t>
        </is>
      </c>
      <c r="I152" t="n">
        <v>1</v>
      </c>
      <c r="J152" t="inlineStr">
        <is>
          <t>Poke, Medium</t>
        </is>
      </c>
      <c r="K152" t="inlineStr">
        <is>
          <t>StrikeSilent</t>
        </is>
      </c>
      <c r="L152" t="inlineStr">
        <is>
          <t>Slay the Spire</t>
        </is>
      </c>
      <c r="M152" t="inlineStr">
        <is>
          <t>N/A</t>
        </is>
      </c>
      <c r="N152" t="inlineStr">
        <is>
          <t>N/A</t>
        </is>
      </c>
      <c r="O152" t="inlineStr">
        <is>
          <t>strike</t>
        </is>
      </c>
    </row>
    <row r="153">
      <c r="A153" t="inlineStr">
        <is>
          <t>Sucker Punch</t>
        </is>
      </c>
      <c r="B153" t="inlineStr">
        <is>
          <t>Common</t>
        </is>
      </c>
      <c r="C153" t="inlineStr">
        <is>
          <t>Attack</t>
        </is>
      </c>
      <c r="D153" t="n">
        <v>1</v>
      </c>
      <c r="E153" t="inlineStr">
        <is>
          <t>Deal 8 Dmg Melee. Inflict 1 Weak.</t>
        </is>
      </c>
      <c r="F153" t="inlineStr">
        <is>
          <t>dmg:8:melee; inflict:weak:1</t>
        </is>
      </c>
      <c r="G153" t="inlineStr">
        <is>
          <t>Deal 10 Dmg Melee. Inflict 2 Weak.</t>
        </is>
      </c>
      <c r="H153" t="inlineStr">
        <is>
          <t>dmg:10:melee; inflict:weak:2</t>
        </is>
      </c>
      <c r="I153" t="n">
        <v>1</v>
      </c>
      <c r="J153" t="inlineStr">
        <is>
          <t>Poke, Medium</t>
        </is>
      </c>
      <c r="K153" t="inlineStr">
        <is>
          <t>SuckerPunch</t>
        </is>
      </c>
      <c r="L153" t="inlineStr">
        <is>
          <t>Slay the Spire</t>
        </is>
      </c>
      <c r="M153" t="inlineStr">
        <is>
          <t>N/A</t>
        </is>
      </c>
      <c r="N153" t="inlineStr">
        <is>
          <t>N/A</t>
        </is>
      </c>
      <c r="O153" t="inlineStr">
        <is>
          <t>silent, offense, debuff</t>
        </is>
      </c>
    </row>
    <row r="154">
      <c r="A154" t="inlineStr">
        <is>
          <t>Survivor</t>
        </is>
      </c>
      <c r="B154" t="inlineStr">
        <is>
          <t>Starter</t>
        </is>
      </c>
      <c r="C154" t="inlineStr">
        <is>
          <t>Skill</t>
        </is>
      </c>
      <c r="D154" t="n">
        <v>1</v>
      </c>
      <c r="E154" t="inlineStr">
        <is>
          <t>Gain +8 Block. Discard 1 Card.</t>
        </is>
      </c>
      <c r="F154" t="inlineStr">
        <is>
          <t>gain:block:8; discard:1</t>
        </is>
      </c>
      <c r="G154" t="inlineStr">
        <is>
          <t>Gain +11 Block. Discard 1 Card.</t>
        </is>
      </c>
      <c r="H154" t="inlineStr">
        <is>
          <t>gain:block:11; discard:1</t>
        </is>
      </c>
      <c r="I154" t="n">
        <v>1</v>
      </c>
      <c r="J154" t="inlineStr">
        <is>
          <t>N/A</t>
        </is>
      </c>
      <c r="K154" t="inlineStr">
        <is>
          <t>Survivor</t>
        </is>
      </c>
      <c r="L154" t="inlineStr">
        <is>
          <t>Slay the Spire</t>
        </is>
      </c>
      <c r="M154" t="inlineStr">
        <is>
          <t>N/A</t>
        </is>
      </c>
      <c r="N154" t="inlineStr">
        <is>
          <t>N/A</t>
        </is>
      </c>
      <c r="O154" t="inlineStr">
        <is>
          <t>silent, defense, discard</t>
        </is>
      </c>
    </row>
    <row r="155">
      <c r="A155" t="inlineStr">
        <is>
          <t>Sweeping Beam</t>
        </is>
      </c>
      <c r="B155" t="inlineStr">
        <is>
          <t>Common</t>
        </is>
      </c>
      <c r="C155" t="inlineStr">
        <is>
          <t>Attack</t>
        </is>
      </c>
      <c r="D155" t="n">
        <v>1</v>
      </c>
      <c r="E155" t="inlineStr">
        <is>
          <t>Deal 6 Dmg Ranged Cleave. Draw 1 Card.</t>
        </is>
      </c>
      <c r="F155" t="inlineStr">
        <is>
          <t>dmg:6:ranged:cleave;draw:1</t>
        </is>
      </c>
      <c r="G155" t="inlineStr">
        <is>
          <t>Deal 9 Dmg Ranged Cleave. Draw 1 Card.</t>
        </is>
      </c>
      <c r="H155" t="inlineStr">
        <is>
          <t>dmg:9:ranged:cleave;draw:1</t>
        </is>
      </c>
      <c r="I155" t="n">
        <v>1</v>
      </c>
      <c r="J155" t="inlineStr">
        <is>
          <t>Beam, sweep</t>
        </is>
      </c>
      <c r="K155" t="inlineStr">
        <is>
          <t>SweepingBeam</t>
        </is>
      </c>
      <c r="L155" t="inlineStr">
        <is>
          <t>Slay the Spire</t>
        </is>
      </c>
      <c r="M155" t="inlineStr">
        <is>
          <t>N/A</t>
        </is>
      </c>
      <c r="N155" t="inlineStr">
        <is>
          <t>N/A</t>
        </is>
      </c>
      <c r="O155" t="inlineStr">
        <is>
          <t>defect, offense, draw</t>
        </is>
      </c>
    </row>
    <row r="156">
      <c r="A156" t="inlineStr">
        <is>
          <t>Sword Boomerang</t>
        </is>
      </c>
      <c r="B156" t="inlineStr">
        <is>
          <t>Common</t>
        </is>
      </c>
      <c r="C156" t="inlineStr">
        <is>
          <t>Attack</t>
        </is>
      </c>
      <c r="D156" t="n">
        <v>1</v>
      </c>
      <c r="E156" t="inlineStr">
        <is>
          <t>Deal 3 Dmg Ranged to a Random target. Repeat 2 times.</t>
        </is>
      </c>
      <c r="F156" t="inlineStr">
        <is>
          <t>dmg:3x3:ranged</t>
        </is>
      </c>
      <c r="G156" t="inlineStr">
        <is>
          <t>Deal 3 Dmg Ranged to a Random target. Repeat 3 times.</t>
        </is>
      </c>
      <c r="H156" t="inlineStr">
        <is>
          <t>dmg:3x4:ranged</t>
        </is>
      </c>
      <c r="I156" t="n">
        <v>1</v>
      </c>
      <c r="J156" t="inlineStr">
        <is>
          <t>Boomerang</t>
        </is>
      </c>
      <c r="K156" t="inlineStr">
        <is>
          <t>SwordBoomerang</t>
        </is>
      </c>
      <c r="L156" t="inlineStr">
        <is>
          <t>Slay the Spire</t>
        </is>
      </c>
      <c r="M156" t="inlineStr">
        <is>
          <t>Indiscriminate</t>
        </is>
      </c>
      <c r="N156" t="inlineStr">
        <is>
          <t>N/A</t>
        </is>
      </c>
      <c r="O156" t="inlineStr">
        <is>
          <t>ironclad, offense</t>
        </is>
      </c>
    </row>
    <row r="157">
      <c r="A157" t="inlineStr">
        <is>
          <t>Tactician</t>
        </is>
      </c>
      <c r="B157" t="inlineStr">
        <is>
          <t>Uncommon</t>
        </is>
      </c>
      <c r="C157" t="inlineStr">
        <is>
          <t>Skill</t>
        </is>
      </c>
      <c r="D157" t="inlineStr">
        <is>
          <t>No</t>
        </is>
      </c>
      <c r="E157" t="inlineStr">
        <is>
          <t>Sly. Gain +1 Energy.</t>
        </is>
      </c>
      <c r="F157" t="inlineStr">
        <is>
          <t>gain_energy:1</t>
        </is>
      </c>
      <c r="G157" t="inlineStr">
        <is>
          <t>Sly. Gain +2 Energy.</t>
        </is>
      </c>
      <c r="H157" t="inlineStr">
        <is>
          <t>gain_energy:2</t>
        </is>
      </c>
      <c r="I157" t="inlineStr">
        <is>
          <t>No</t>
        </is>
      </c>
      <c r="J157" t="inlineStr">
        <is>
          <t>N/A</t>
        </is>
      </c>
      <c r="K157" t="inlineStr">
        <is>
          <t>Tactician</t>
        </is>
      </c>
      <c r="L157" t="inlineStr">
        <is>
          <t>Slay the Spire</t>
        </is>
      </c>
      <c r="M157" t="inlineStr">
        <is>
          <t>Sly</t>
        </is>
      </c>
      <c r="N157" t="inlineStr">
        <is>
          <t>N/A</t>
        </is>
      </c>
      <c r="O157" t="inlineStr">
        <is>
          <t>silent, energy, discard</t>
        </is>
      </c>
    </row>
    <row r="158">
      <c r="A158" t="inlineStr">
        <is>
          <t>Terror</t>
        </is>
      </c>
      <c r="B158" t="inlineStr">
        <is>
          <t>Uncommon</t>
        </is>
      </c>
      <c r="C158" t="inlineStr">
        <is>
          <t>Skill</t>
        </is>
      </c>
      <c r="D158" t="n">
        <v>1</v>
      </c>
      <c r="E158" t="inlineStr">
        <is>
          <t>Inflict 99 Vulnerable. Exhaust.</t>
        </is>
      </c>
      <c r="F158" t="inlineStr">
        <is>
          <t>inflict:vulnerable:99</t>
        </is>
      </c>
      <c r="G158" t="inlineStr">
        <is>
          <t>Inflict 99 Vulnerable. Exhaust.</t>
        </is>
      </c>
      <c r="H158" t="inlineStr">
        <is>
          <t>inflict:vulnerable:99</t>
        </is>
      </c>
      <c r="I158" t="n">
        <v>0</v>
      </c>
      <c r="J158" t="inlineStr">
        <is>
          <t>Smash, Small</t>
        </is>
      </c>
      <c r="K158" t="inlineStr">
        <is>
          <t>Terror</t>
        </is>
      </c>
      <c r="L158" t="inlineStr">
        <is>
          <t>Slay the Spire</t>
        </is>
      </c>
      <c r="M158" t="inlineStr">
        <is>
          <t>Exhaust</t>
        </is>
      </c>
      <c r="N158" t="inlineStr">
        <is>
          <t>N/A</t>
        </is>
      </c>
      <c r="O158" t="inlineStr">
        <is>
          <t>silent, debuff, exhaust</t>
        </is>
      </c>
    </row>
    <row r="159">
      <c r="A159" t="inlineStr">
        <is>
          <t>Thunderclap</t>
        </is>
      </c>
      <c r="B159" t="inlineStr">
        <is>
          <t>Common</t>
        </is>
      </c>
      <c r="C159" t="inlineStr">
        <is>
          <t>Attack</t>
        </is>
      </c>
      <c r="D159" t="n">
        <v>1</v>
      </c>
      <c r="E159" t="inlineStr">
        <is>
          <t>Deal 4 Dmg Ranged Electric Cleave. Inflict 1 Vulnerable Cleave.</t>
        </is>
      </c>
      <c r="F159" t="inlineStr">
        <is>
          <t>dmg:4:ranged:cleave; inflict:vulnerable:1:cleave</t>
        </is>
      </c>
      <c r="G159" t="inlineStr">
        <is>
          <t>Deal 7 Dmg Ranged Electric Cleave. Inflict 1 Vulnerable Cleave.</t>
        </is>
      </c>
      <c r="H159" t="inlineStr">
        <is>
          <t>dmg:7:ranged:cleave; inflict:vulnerable:1:cleave</t>
        </is>
      </c>
      <c r="I159" t="n">
        <v>1</v>
      </c>
      <c r="J159" t="inlineStr">
        <is>
          <t>Smite, target=all</t>
        </is>
      </c>
      <c r="K159" t="inlineStr">
        <is>
          <t>Thunderclap</t>
        </is>
      </c>
      <c r="L159" t="inlineStr">
        <is>
          <t>Slay the Spire</t>
        </is>
      </c>
      <c r="M159" t="inlineStr">
        <is>
          <t>N/A</t>
        </is>
      </c>
      <c r="N159" t="inlineStr">
        <is>
          <t>Electric</t>
        </is>
      </c>
      <c r="O159" t="inlineStr">
        <is>
          <t>ironclad, aoe, cleave, electric, offense, debuff</t>
        </is>
      </c>
    </row>
    <row r="160">
      <c r="A160" t="inlineStr">
        <is>
          <t>True Grit</t>
        </is>
      </c>
      <c r="B160" t="inlineStr">
        <is>
          <t>Common</t>
        </is>
      </c>
      <c r="C160" t="inlineStr">
        <is>
          <t>Skill</t>
        </is>
      </c>
      <c r="D160" t="n">
        <v>1</v>
      </c>
      <c r="E160" s="9" t="inlineStr">
        <is>
          <t>Gain +7 Block. Exhaust a random Card in your Hand.</t>
        </is>
      </c>
      <c r="F160" t="inlineStr">
        <is>
          <t>gain:block:7; exhaust:1:random</t>
        </is>
      </c>
      <c r="G160" s="9" t="inlineStr">
        <is>
          <t>Gain +7 Block. Exhaust a Card in your Hand.</t>
        </is>
      </c>
      <c r="H160" t="inlineStr">
        <is>
          <t>gain:block:7; exhaust:1</t>
        </is>
      </c>
      <c r="I160" t="n">
        <v>1</v>
      </c>
      <c r="J160" t="inlineStr">
        <is>
          <t>N/A</t>
        </is>
      </c>
      <c r="K160" t="inlineStr">
        <is>
          <t>TrueGrit</t>
        </is>
      </c>
      <c r="L160" t="inlineStr">
        <is>
          <t>Slay the Spire</t>
        </is>
      </c>
      <c r="M160" t="inlineStr">
        <is>
          <t>N/A</t>
        </is>
      </c>
      <c r="N160" t="inlineStr">
        <is>
          <t>N/A</t>
        </is>
      </c>
      <c r="O160" t="inlineStr">
        <is>
          <t>ironclad, defense, exhaust</t>
        </is>
      </c>
    </row>
    <row r="161">
      <c r="A161" t="inlineStr">
        <is>
          <t>Twin Strike</t>
        </is>
      </c>
      <c r="B161" t="inlineStr">
        <is>
          <t>Common</t>
        </is>
      </c>
      <c r="C161" t="inlineStr">
        <is>
          <t>Attack</t>
        </is>
      </c>
      <c r="D161" t="n">
        <v>1</v>
      </c>
      <c r="E161" t="inlineStr">
        <is>
          <t>Deal 5x2 Dmg Melee.</t>
        </is>
      </c>
      <c r="F161" t="inlineStr">
        <is>
          <t>dmg:5x2:melee</t>
        </is>
      </c>
      <c r="G161" t="inlineStr">
        <is>
          <t>Deal 7x2 Dmg Melee.</t>
        </is>
      </c>
      <c r="H161" t="inlineStr">
        <is>
          <t>dmg:7x2:melee</t>
        </is>
      </c>
      <c r="I161" t="n">
        <v>1</v>
      </c>
      <c r="J161" t="inlineStr">
        <is>
          <t>Swing, Medium</t>
        </is>
      </c>
      <c r="K161" t="inlineStr">
        <is>
          <t>TwinStrike</t>
        </is>
      </c>
      <c r="L161" t="inlineStr">
        <is>
          <t>Slay the Spire</t>
        </is>
      </c>
      <c r="M161" t="inlineStr">
        <is>
          <t>N/A</t>
        </is>
      </c>
      <c r="N161" t="inlineStr">
        <is>
          <t>N/A</t>
        </is>
      </c>
      <c r="O161" t="inlineStr">
        <is>
          <t>ironclad, strike, offense</t>
        </is>
      </c>
    </row>
    <row r="162">
      <c r="A162" t="inlineStr">
        <is>
          <t>Unload</t>
        </is>
      </c>
      <c r="B162" t="inlineStr">
        <is>
          <t>Rare</t>
        </is>
      </c>
      <c r="C162" t="inlineStr">
        <is>
          <t>Attack</t>
        </is>
      </c>
      <c r="D162" t="n">
        <v>1</v>
      </c>
      <c r="E162" s="9" t="inlineStr">
        <is>
          <t>Deal 14 Dmg Ranged. Discard All non-Attack Cards in your hand.</t>
        </is>
      </c>
      <c r="F162" t="inlineStr">
        <is>
          <t>dmg:14:ranged; discard:all:non_attack</t>
        </is>
      </c>
      <c r="G162" s="9" t="inlineStr">
        <is>
          <t>Deal 18 Dmg Ranged. Discard All non-Attack Cards in your hand.</t>
        </is>
      </c>
      <c r="H162" t="inlineStr">
        <is>
          <t>dmg:18:ranged; discard:all:non_attack</t>
        </is>
      </c>
      <c r="I162" t="n">
        <v>1</v>
      </c>
      <c r="J162" t="inlineStr">
        <is>
          <t>Projectile, Medium, spread=4</t>
        </is>
      </c>
      <c r="K162" t="inlineStr">
        <is>
          <t>Unload</t>
        </is>
      </c>
      <c r="L162" t="inlineStr">
        <is>
          <t>Slay the Spire</t>
        </is>
      </c>
      <c r="M162" t="inlineStr">
        <is>
          <t>N/A</t>
        </is>
      </c>
      <c r="N162" t="inlineStr">
        <is>
          <t>N/A</t>
        </is>
      </c>
      <c r="O162" t="inlineStr">
        <is>
          <t>silent, offense, discard</t>
        </is>
      </c>
    </row>
    <row r="163">
      <c r="A163" t="inlineStr">
        <is>
          <t>Uppercut</t>
        </is>
      </c>
      <c r="B163" t="inlineStr">
        <is>
          <t>Uncommon</t>
        </is>
      </c>
      <c r="C163" t="inlineStr">
        <is>
          <t>Attack</t>
        </is>
      </c>
      <c r="D163" t="n">
        <v>2</v>
      </c>
      <c r="E163" t="inlineStr">
        <is>
          <t>Deal 13 Dmg Melee. Inflict 1 Weak. Inflict 1 Vulnerable.</t>
        </is>
      </c>
      <c r="F163" t="inlineStr">
        <is>
          <t>dmg:13:melee; inflict:weak:1; inflict:vulnerable:1</t>
        </is>
      </c>
      <c r="G163" t="inlineStr">
        <is>
          <t>Deal 13 Dmg Melee. Inflict 2 Weak. Inflict 2 Vulnerable.</t>
        </is>
      </c>
      <c r="H163" t="inlineStr">
        <is>
          <t>dmg:13:melee; inflict:weak:2; inflict:vulnerable:2</t>
        </is>
      </c>
      <c r="I163" t="n">
        <v>2</v>
      </c>
      <c r="J163" t="inlineStr">
        <is>
          <t>Poke, Medium</t>
        </is>
      </c>
      <c r="K163" t="inlineStr">
        <is>
          <t>Uppercut</t>
        </is>
      </c>
      <c r="L163" t="inlineStr">
        <is>
          <t>Slay the Spire</t>
        </is>
      </c>
      <c r="M163" t="inlineStr">
        <is>
          <t>N/A</t>
        </is>
      </c>
      <c r="N163" t="inlineStr">
        <is>
          <t>N/A</t>
        </is>
      </c>
      <c r="O163" t="inlineStr">
        <is>
          <t>ironclad, offense, debuff</t>
        </is>
      </c>
    </row>
    <row r="164">
      <c r="A164" t="inlineStr">
        <is>
          <t>Warcry</t>
        </is>
      </c>
      <c r="B164" t="inlineStr">
        <is>
          <t>Common</t>
        </is>
      </c>
      <c r="C164" t="inlineStr">
        <is>
          <t>Skill</t>
        </is>
      </c>
      <c r="D164" t="n">
        <v>0</v>
      </c>
      <c r="E164" t="inlineStr">
        <is>
          <t>Draw 1 Card. Put a Card from your Hand on the top of the Draw Pile. Exhaust.</t>
        </is>
      </c>
      <c r="F164" t="inlineStr">
        <is>
          <t>draw:1; topdeck:1</t>
        </is>
      </c>
      <c r="G164" t="inlineStr">
        <is>
          <t>Draw 2 Cards. Put a Card from your Hand on the top of the Draw Pile. Exhaust.</t>
        </is>
      </c>
      <c r="H164" t="inlineStr">
        <is>
          <t>draw:2; topdeck:1</t>
        </is>
      </c>
      <c r="I164" t="n">
        <v>0</v>
      </c>
      <c r="J164" t="inlineStr">
        <is>
          <t>N/A</t>
        </is>
      </c>
      <c r="K164" t="inlineStr">
        <is>
          <t>Warcry</t>
        </is>
      </c>
      <c r="L164" t="inlineStr">
        <is>
          <t>Slay the Spire</t>
        </is>
      </c>
      <c r="M164" t="inlineStr">
        <is>
          <t>Exhaust</t>
        </is>
      </c>
      <c r="N164" t="inlineStr">
        <is>
          <t>N/A</t>
        </is>
      </c>
      <c r="O164" t="inlineStr">
        <is>
          <t>ironclad, draw</t>
        </is>
      </c>
    </row>
    <row r="165">
      <c r="A165" t="inlineStr">
        <is>
          <t>Well-Laid Plans</t>
        </is>
      </c>
      <c r="B165" t="inlineStr">
        <is>
          <t>Uncommon</t>
        </is>
      </c>
      <c r="C165" t="inlineStr">
        <is>
          <t>Power</t>
        </is>
      </c>
      <c r="D165" t="n">
        <v>1</v>
      </c>
      <c r="E165" s="9" t="inlineStr">
        <is>
          <t>At the end of your turn, choose up to 1 Card in your hand to Retain.</t>
        </is>
      </c>
      <c r="F165" t="inlineStr">
        <is>
          <t>on_turn_ended:retain:1</t>
        </is>
      </c>
      <c r="G165" s="9" t="inlineStr">
        <is>
          <t>At the end of your turn, choose up to 2 Cards in your hand to Retain.</t>
        </is>
      </c>
      <c r="H165" t="inlineStr">
        <is>
          <t>on_turn_ended:retain:2</t>
        </is>
      </c>
      <c r="I165" t="n">
        <v>1</v>
      </c>
      <c r="J165" t="inlineStr">
        <is>
          <t>N/A</t>
        </is>
      </c>
      <c r="K165" t="inlineStr">
        <is>
          <t>Well-LaidPlans</t>
        </is>
      </c>
      <c r="L165" t="inlineStr">
        <is>
          <t>Slay the Spire</t>
        </is>
      </c>
      <c r="M165" t="inlineStr">
        <is>
          <t>N/A</t>
        </is>
      </c>
      <c r="N165" t="inlineStr">
        <is>
          <t>N/A</t>
        </is>
      </c>
      <c r="O165" t="inlineStr">
        <is>
          <t>silent, draw, retain</t>
        </is>
      </c>
    </row>
    <row r="166">
      <c r="A166" t="inlineStr">
        <is>
          <t>Whirlwind</t>
        </is>
      </c>
      <c r="B166" t="inlineStr">
        <is>
          <t>Uncommon</t>
        </is>
      </c>
      <c r="C166" t="inlineStr">
        <is>
          <t>Attack</t>
        </is>
      </c>
      <c r="D166" t="inlineStr">
        <is>
          <t>X</t>
        </is>
      </c>
      <c r="E166" t="inlineStr">
        <is>
          <t>Deal 5xX Dmg Melee Cleave.</t>
        </is>
      </c>
      <c r="F166" t="inlineStr">
        <is>
          <t>dmg:5xX:melee:cleave</t>
        </is>
      </c>
      <c r="G166" t="inlineStr">
        <is>
          <t>Deal 8xX Dmg Melee Cleave.</t>
        </is>
      </c>
      <c r="H166" t="inlineStr">
        <is>
          <t>dmg:8xX:melee:cleave</t>
        </is>
      </c>
      <c r="I166" t="inlineStr">
        <is>
          <t>X</t>
        </is>
      </c>
      <c r="J166" t="inlineStr">
        <is>
          <t>Swing, Large</t>
        </is>
      </c>
      <c r="K166" t="inlineStr">
        <is>
          <t>Whirlwind</t>
        </is>
      </c>
      <c r="L166" t="inlineStr">
        <is>
          <t>Slay the Spire</t>
        </is>
      </c>
      <c r="M166" t="inlineStr">
        <is>
          <t>N/A</t>
        </is>
      </c>
      <c r="N166" t="inlineStr">
        <is>
          <t>N/A</t>
        </is>
      </c>
      <c r="O166" t="inlineStr">
        <is>
          <t>ironclad, offense, aoe</t>
        </is>
      </c>
    </row>
    <row r="167">
      <c r="A167" t="inlineStr">
        <is>
          <t>White Noise</t>
        </is>
      </c>
      <c r="B167" t="inlineStr">
        <is>
          <t>Uncommon</t>
        </is>
      </c>
      <c r="C167" t="inlineStr">
        <is>
          <t>Skill</t>
        </is>
      </c>
      <c r="D167" t="n">
        <v>1</v>
      </c>
      <c r="E167" s="9" t="inlineStr">
        <is>
          <t>Conjure 1 Random Power in Hand. You can play it for free this turn. Exhaust.</t>
        </is>
      </c>
      <c r="F167" t="inlineStr">
        <is>
          <t>conjure_random:power:hand:free</t>
        </is>
      </c>
      <c r="G167" s="9" t="inlineStr">
        <is>
          <t>Conjure 1 Random Power in Hand. You can play it for free this turn. Exhaust.</t>
        </is>
      </c>
      <c r="H167" t="inlineStr">
        <is>
          <t>conjure_random:power:hand:free</t>
        </is>
      </c>
      <c r="I167" t="n">
        <v>0</v>
      </c>
      <c r="J167" t="inlineStr">
        <is>
          <t>N/A</t>
        </is>
      </c>
      <c r="K167" t="inlineStr">
        <is>
          <t>WhiteNoise</t>
        </is>
      </c>
      <c r="L167" t="inlineStr">
        <is>
          <t>Slay the Spire</t>
        </is>
      </c>
      <c r="M167" t="inlineStr">
        <is>
          <t>Exhaust</t>
        </is>
      </c>
      <c r="N167" t="inlineStr">
        <is>
          <t>N/A</t>
        </is>
      </c>
      <c r="O167" t="inlineStr">
        <is>
          <t>defect, draw, random</t>
        </is>
      </c>
    </row>
    <row r="168">
      <c r="A168" t="inlineStr">
        <is>
          <t>Wild Strike</t>
        </is>
      </c>
      <c r="B168" t="inlineStr">
        <is>
          <t>Common</t>
        </is>
      </c>
      <c r="C168" t="inlineStr">
        <is>
          <t>Attack</t>
        </is>
      </c>
      <c r="D168" t="n">
        <v>1</v>
      </c>
      <c r="E168" s="9" t="inlineStr">
        <is>
          <t>Deal 12 Dmg Melee. Conjure 1 Wound to Draw.</t>
        </is>
      </c>
      <c r="F168" t="inlineStr">
        <is>
          <t>dmg:12:melee; conjure:wound:draw</t>
        </is>
      </c>
      <c r="G168" s="9" t="inlineStr">
        <is>
          <t>Deal 17 Dmg Melee. Conjure 1 Wound to Draw.</t>
        </is>
      </c>
      <c r="H168" t="inlineStr">
        <is>
          <t>dmg:17:melee; conjure:wound:draw</t>
        </is>
      </c>
      <c r="I168" t="n">
        <v>1</v>
      </c>
      <c r="J168" t="inlineStr">
        <is>
          <t>Smash, Small</t>
        </is>
      </c>
      <c r="K168" t="inlineStr">
        <is>
          <t>WildStrike</t>
        </is>
      </c>
      <c r="L168" t="inlineStr">
        <is>
          <t>Slay the Spire</t>
        </is>
      </c>
      <c r="M168" t="inlineStr">
        <is>
          <t>N/A</t>
        </is>
      </c>
      <c r="N168" t="inlineStr">
        <is>
          <t>N/A</t>
        </is>
      </c>
      <c r="O168" t="inlineStr">
        <is>
          <t>ironclad, offense, status</t>
        </is>
      </c>
    </row>
    <row r="169">
      <c r="A169" t="inlineStr">
        <is>
          <t>Wound</t>
        </is>
      </c>
      <c r="B169" t="inlineStr">
        <is>
          <t>None</t>
        </is>
      </c>
      <c r="C169" t="inlineStr">
        <is>
          <t>Status</t>
        </is>
      </c>
      <c r="D169" t="inlineStr">
        <is>
          <t>No</t>
        </is>
      </c>
      <c r="E169" s="9" t="inlineStr">
        <is>
          <t>Unplayable.</t>
        </is>
      </c>
      <c r="F169" t="inlineStr">
        <is>
          <t>none</t>
        </is>
      </c>
      <c r="G169" s="9" t="inlineStr">
        <is>
          <t>N/A</t>
        </is>
      </c>
      <c r="H169" t="inlineStr">
        <is>
          <t>N/A</t>
        </is>
      </c>
      <c r="I169" t="inlineStr">
        <is>
          <t>N/A</t>
        </is>
      </c>
      <c r="J169" t="inlineStr">
        <is>
          <t>N/A</t>
        </is>
      </c>
      <c r="K169" t="inlineStr">
        <is>
          <t>Wound</t>
        </is>
      </c>
      <c r="L169" t="inlineStr">
        <is>
          <t>Slay the Spire</t>
        </is>
      </c>
      <c r="M169" t="inlineStr">
        <is>
          <t>N/A</t>
        </is>
      </c>
      <c r="N169" t="inlineStr">
        <is>
          <t>N/A</t>
        </is>
      </c>
      <c r="O169" t="inlineStr">
        <is>
          <t>status</t>
        </is>
      </c>
    </row>
    <row r="170">
      <c r="A170" t="inlineStr">
        <is>
          <t>Wraith Form</t>
        </is>
      </c>
      <c r="B170" t="inlineStr">
        <is>
          <t>Rare</t>
        </is>
      </c>
      <c r="C170" t="inlineStr">
        <is>
          <t>Power</t>
        </is>
      </c>
      <c r="D170" t="n">
        <v>3</v>
      </c>
      <c r="E170" s="9" t="inlineStr">
        <is>
          <t>Gain 2 Intangible. At the start of your turn, lose 1 Defense.</t>
        </is>
      </c>
      <c r="F170" t="inlineStr">
        <is>
          <t>gain:intangible:2; on_turn_started:gain:defense:-1</t>
        </is>
      </c>
      <c r="G170" s="9" t="inlineStr">
        <is>
          <t>Gain 3 Intangible. At the start of your turn, lose 1 Defense.</t>
        </is>
      </c>
      <c r="H170" t="inlineStr">
        <is>
          <t>gain:intangible:3; on_turn_started:gain:defense:-1</t>
        </is>
      </c>
      <c r="I170" t="inlineStr">
        <is>
          <t>N/A</t>
        </is>
      </c>
      <c r="J170" t="inlineStr">
        <is>
          <t>N/A</t>
        </is>
      </c>
      <c r="K170" t="inlineStr">
        <is>
          <t>WraithForm</t>
        </is>
      </c>
      <c r="L170" t="inlineStr">
        <is>
          <t>Slay the Spire</t>
        </is>
      </c>
      <c r="M170" t="inlineStr">
        <is>
          <t>N/A</t>
        </is>
      </c>
      <c r="N170" t="inlineStr">
        <is>
          <t>N/A</t>
        </is>
      </c>
      <c r="O170" t="inlineStr">
        <is>
          <t>silent, defense</t>
        </is>
      </c>
    </row>
    <row r="171">
      <c r="A171" t="inlineStr">
        <is>
          <t>Writhe</t>
        </is>
      </c>
      <c r="B171" t="inlineStr">
        <is>
          <t>None</t>
        </is>
      </c>
      <c r="C171" t="inlineStr">
        <is>
          <t>Curse</t>
        </is>
      </c>
      <c r="D171" t="inlineStr">
        <is>
          <t>No</t>
        </is>
      </c>
      <c r="E171" t="inlineStr">
        <is>
          <t>Unplayable. Innate.</t>
        </is>
      </c>
      <c r="F171" t="inlineStr">
        <is>
          <t>none</t>
        </is>
      </c>
      <c r="G171" t="inlineStr">
        <is>
          <t>N/A</t>
        </is>
      </c>
      <c r="H171" t="inlineStr">
        <is>
          <t>N/A</t>
        </is>
      </c>
      <c r="I171" t="inlineStr">
        <is>
          <t>N/A</t>
        </is>
      </c>
      <c r="J171" t="inlineStr">
        <is>
          <t>N/A</t>
        </is>
      </c>
      <c r="K171" t="inlineStr">
        <is>
          <t>Writhe</t>
        </is>
      </c>
      <c r="L171" t="inlineStr">
        <is>
          <t>Slay the Spire</t>
        </is>
      </c>
      <c r="M171" t="inlineStr">
        <is>
          <t>Unplayable</t>
        </is>
      </c>
      <c r="N171" t="inlineStr">
        <is>
          <t>N/A</t>
        </is>
      </c>
      <c r="O171" t="inlineStr">
        <is>
          <t>randomcurse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F2"/>
  <sheetViews>
    <sheetView zoomScale="115" zoomScaleNormal="115" workbookViewId="0">
      <selection activeCell="Q50" sqref="Q50"/>
    </sheetView>
  </sheetViews>
  <sheetFormatPr baseColWidth="8" defaultColWidth="8.7109375" defaultRowHeight="15"/>
  <cols>
    <col width="14.28515625" customWidth="1" min="1" max="1"/>
    <col width="16.28515625" customWidth="1" min="2" max="3"/>
    <col width="34.7109375" customWidth="1" min="4" max="4"/>
    <col width="20.5703125" customWidth="1" min="6" max="6"/>
  </cols>
  <sheetData>
    <row r="1" ht="15" customHeight="1">
      <c r="A1" t="inlineStr">
        <is>
          <t>Name</t>
        </is>
      </c>
      <c r="B1" t="inlineStr">
        <is>
          <t>Requirement 1</t>
        </is>
      </c>
      <c r="C1" t="inlineStr">
        <is>
          <t>Requirement 2</t>
        </is>
      </c>
      <c r="D1" t="inlineStr">
        <is>
          <t>Description</t>
        </is>
      </c>
      <c r="E1" t="inlineStr">
        <is>
          <t>Effect</t>
        </is>
      </c>
      <c r="F1" t="inlineStr">
        <is>
          <t>Visual</t>
        </is>
      </c>
    </row>
    <row r="2" ht="15" customHeight="1">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F21"/>
  <sheetViews>
    <sheetView zoomScale="85" zoomScaleNormal="85" workbookViewId="0">
      <selection activeCell="A22" sqref="A22"/>
    </sheetView>
  </sheetViews>
  <sheetFormatPr baseColWidth="8" defaultColWidth="8.7109375" defaultRowHeight="15"/>
  <cols>
    <col width="28.140625" customWidth="1" min="1" max="1"/>
    <col width="161.28515625" customWidth="1" min="2" max="2"/>
    <col width="18" customWidth="1" min="3" max="4"/>
    <col width="11.5703125" customWidth="1" min="5" max="5"/>
    <col width="11" customWidth="1" min="6" max="6"/>
  </cols>
  <sheetData>
    <row r="1" ht="15" customHeight="1">
      <c r="A1" t="inlineStr">
        <is>
          <t>Name</t>
        </is>
      </c>
      <c r="B1" t="inlineStr">
        <is>
          <t>Description</t>
        </is>
      </c>
      <c r="C1" t="inlineStr">
        <is>
          <t>Preferred Target</t>
        </is>
      </c>
      <c r="D1" t="inlineStr">
        <is>
          <t>File</t>
        </is>
      </c>
      <c r="E1" t="inlineStr">
        <is>
          <t>Scaling</t>
        </is>
      </c>
      <c r="F1" t="inlineStr">
        <is>
          <t>Rarity</t>
        </is>
      </c>
    </row>
    <row r="2" ht="15" customHeight="1">
      <c r="A2" t="inlineStr">
        <is>
          <t>Add X Y to Z</t>
        </is>
      </c>
      <c r="B2" t="inlineStr">
        <is>
          <t>Target gives X number of Y card to your Z (Deck, Hand, or Discard)</t>
        </is>
      </c>
      <c r="C2" t="inlineStr">
        <is>
          <t>Player</t>
        </is>
      </c>
      <c r="D2" t="inlineStr">
        <is>
          <t>Status</t>
        </is>
      </c>
      <c r="E2" t="inlineStr">
        <is>
          <t>N/A</t>
        </is>
      </c>
      <c r="F2" t="inlineStr">
        <is>
          <t>N/A</t>
        </is>
      </c>
    </row>
    <row r="3" ht="15" customHeight="1">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ht="15" customHeight="1">
      <c r="A4" t="inlineStr">
        <is>
          <t>Assassinate</t>
        </is>
      </c>
      <c r="B4" t="inlineStr">
        <is>
          <t>Kill an enemy with at least X health left</t>
        </is>
      </c>
      <c r="C4" t="inlineStr">
        <is>
          <t>Enemy</t>
        </is>
      </c>
      <c r="D4" t="inlineStr">
        <is>
          <t>Assassinate</t>
        </is>
      </c>
      <c r="E4" t="inlineStr">
        <is>
          <t>Strength</t>
        </is>
      </c>
      <c r="F4" t="inlineStr">
        <is>
          <t>Rare</t>
        </is>
      </c>
    </row>
    <row r="5" ht="15" customHeight="1">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ht="15" customHeight="1">
      <c r="A6" t="inlineStr">
        <is>
          <t>Cleanse</t>
        </is>
      </c>
      <c r="B6" t="inlineStr">
        <is>
          <t>Removes X stacks of all debuff statuses</t>
        </is>
      </c>
      <c r="C6" t="inlineStr">
        <is>
          <t>Ally/Self</t>
        </is>
      </c>
      <c r="D6" t="inlineStr">
        <is>
          <t>Status</t>
        </is>
      </c>
      <c r="E6" t="inlineStr">
        <is>
          <t>N/A</t>
        </is>
      </c>
      <c r="F6" t="inlineStr">
        <is>
          <t>Uncommon</t>
        </is>
      </c>
    </row>
    <row r="7" ht="15" customHeight="1">
      <c r="A7" t="inlineStr">
        <is>
          <t>Conjure X Y to Z</t>
        </is>
      </c>
      <c r="B7" t="inlineStr">
        <is>
          <t>Create X number of Y named Cards to your Z (Hand, Discard, Exhaust, Discard)</t>
        </is>
      </c>
      <c r="C7" t="inlineStr">
        <is>
          <t>Self</t>
        </is>
      </c>
      <c r="D7" t="inlineStr">
        <is>
          <t>Status</t>
        </is>
      </c>
      <c r="E7" t="inlineStr">
        <is>
          <t>N/A</t>
        </is>
      </c>
    </row>
    <row r="8" ht="15" customHeight="1">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ht="15" customHeight="1">
      <c r="A9" t="inlineStr">
        <is>
          <t>Dmg</t>
        </is>
      </c>
      <c r="B9" t="inlineStr">
        <is>
          <t>Deals X damage to target</t>
        </is>
      </c>
      <c r="C9" t="inlineStr">
        <is>
          <t>Enemy</t>
        </is>
      </c>
      <c r="D9" t="inlineStr">
        <is>
          <t>Attack</t>
        </is>
      </c>
      <c r="E9" t="inlineStr">
        <is>
          <t>Strength</t>
        </is>
      </c>
      <c r="F9" t="inlineStr">
        <is>
          <t>Common</t>
        </is>
      </c>
    </row>
    <row r="10" ht="15" customHeight="1">
      <c r="A10" t="inlineStr">
        <is>
          <t>Get</t>
        </is>
      </c>
      <c r="B10" t="inlineStr">
        <is>
          <t>Give X status to self</t>
        </is>
      </c>
      <c r="C10" t="inlineStr">
        <is>
          <t>Self</t>
        </is>
      </c>
      <c r="D10" t="inlineStr">
        <is>
          <t>Status</t>
        </is>
      </c>
      <c r="E10" t="inlineStr">
        <is>
          <t>Charisma</t>
        </is>
      </c>
      <c r="F10" t="inlineStr">
        <is>
          <t>Common</t>
        </is>
      </c>
    </row>
    <row r="11" ht="15" customHeight="1">
      <c r="A11" t="inlineStr">
        <is>
          <t>Heal</t>
        </is>
      </c>
      <c r="B11" t="inlineStr">
        <is>
          <t>Give target X health</t>
        </is>
      </c>
      <c r="C11" t="inlineStr">
        <is>
          <t>Ally/Self</t>
        </is>
      </c>
      <c r="D11" t="inlineStr">
        <is>
          <t>Health</t>
        </is>
      </c>
      <c r="E11" t="inlineStr">
        <is>
          <t>N/A</t>
        </is>
      </c>
      <c r="F11" t="inlineStr">
        <is>
          <t>Uncommon</t>
        </is>
      </c>
    </row>
    <row r="12" ht="15" customHeight="1">
      <c r="A12" t="inlineStr">
        <is>
          <t>Inflict</t>
        </is>
      </c>
      <c r="B12" t="inlineStr">
        <is>
          <t>Inflict X status to target</t>
        </is>
      </c>
      <c r="C12" t="inlineStr">
        <is>
          <t>Enemy</t>
        </is>
      </c>
      <c r="D12" t="inlineStr">
        <is>
          <t>Status</t>
        </is>
      </c>
      <c r="E12" t="inlineStr">
        <is>
          <t>Charisma</t>
        </is>
      </c>
      <c r="F12" t="inlineStr">
        <is>
          <t>Common</t>
        </is>
      </c>
    </row>
    <row r="13" ht="15" customHeight="1">
      <c r="A13" t="inlineStr">
        <is>
          <t>Learn</t>
        </is>
      </c>
      <c r="B13" t="inlineStr">
        <is>
          <t>Add X Spell to your Spellbook</t>
        </is>
      </c>
      <c r="C13" t="inlineStr">
        <is>
          <t>Self</t>
        </is>
      </c>
      <c r="D13" t="inlineStr">
        <is>
          <t>Status</t>
        </is>
      </c>
      <c r="E13" t="inlineStr">
        <is>
          <t>N/A</t>
        </is>
      </c>
      <c r="F13" t="inlineStr">
        <is>
          <t>N/A</t>
        </is>
      </c>
    </row>
    <row r="14" ht="15" customHeight="1">
      <c r="A14" t="inlineStr">
        <is>
          <t>Lose</t>
        </is>
      </c>
      <c r="B14" t="inlineStr">
        <is>
          <t>Target loses X status Y times (# or All)</t>
        </is>
      </c>
      <c r="C14" t="inlineStr">
        <is>
          <t>Self</t>
        </is>
      </c>
      <c r="D14" t="inlineStr">
        <is>
          <t>Status</t>
        </is>
      </c>
      <c r="E14" t="inlineStr">
        <is>
          <t>N/A</t>
        </is>
      </c>
      <c r="F14" t="inlineStr">
        <is>
          <t>N/A</t>
        </is>
      </c>
    </row>
    <row r="15" ht="15" customHeight="1">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ht="15" customHeight="1">
      <c r="A16" t="inlineStr">
        <is>
          <t>Mana</t>
        </is>
      </c>
      <c r="B16" t="inlineStr">
        <is>
          <t>Gain X Mana</t>
        </is>
      </c>
      <c r="C16" t="inlineStr">
        <is>
          <t>Self</t>
        </is>
      </c>
      <c r="D16" t="inlineStr">
        <is>
          <t>Mana</t>
        </is>
      </c>
      <c r="E16" t="inlineStr">
        <is>
          <t>N/A</t>
        </is>
      </c>
      <c r="F16" t="inlineStr">
        <is>
          <t>Common</t>
        </is>
      </c>
    </row>
    <row r="17" ht="15" customHeight="1">
      <c r="A17" t="inlineStr">
        <is>
          <t>Pain</t>
        </is>
      </c>
      <c r="B17" t="inlineStr">
        <is>
          <t>Target Loses X Health (not Melee or Ranged)</t>
        </is>
      </c>
      <c r="C17" t="inlineStr">
        <is>
          <t>Self</t>
        </is>
      </c>
      <c r="D17" t="inlineStr">
        <is>
          <t>Status</t>
        </is>
      </c>
      <c r="E17" t="inlineStr">
        <is>
          <t>Strength</t>
        </is>
      </c>
      <c r="F17" t="inlineStr">
        <is>
          <t>N/A</t>
        </is>
      </c>
    </row>
    <row r="18" ht="15" customHeight="1">
      <c r="A18" t="inlineStr">
        <is>
          <t>Reroll</t>
        </is>
      </c>
      <c r="B18" t="inlineStr">
        <is>
          <t>Gains X rerolls</t>
        </is>
      </c>
      <c r="C18" t="inlineStr">
        <is>
          <t>Self</t>
        </is>
      </c>
      <c r="D18" t="inlineStr">
        <is>
          <t>Status</t>
        </is>
      </c>
      <c r="E18" t="inlineStr">
        <is>
          <t>Charisma</t>
        </is>
      </c>
      <c r="F18" t="inlineStr">
        <is>
          <t>Rare</t>
        </is>
      </c>
    </row>
    <row r="19" ht="15" customHeight="1">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ht="15" customHeight="1">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ht="15" customHeight="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I20"/>
  <sheetViews>
    <sheetView zoomScale="85" zoomScaleNormal="85" workbookViewId="0">
      <selection activeCell="G29" sqref="G29"/>
    </sheetView>
  </sheetViews>
  <sheetFormatPr baseColWidth="8" defaultColWidth="8.7109375" defaultRowHeight="15"/>
  <cols>
    <col width="8.5703125" customWidth="1" min="1" max="1"/>
    <col width="7.140625" customWidth="1" min="2" max="2"/>
    <col width="11.140625" customWidth="1" min="3" max="3"/>
    <col width="56.7109375" customWidth="1" min="4" max="4"/>
    <col width="12" customWidth="1" min="5" max="5"/>
    <col width="8.7109375" customWidth="1" min="6" max="6"/>
    <col width="11.28515625" customWidth="1" min="7" max="7"/>
    <col width="10.7109375" customWidth="1" min="8" max="8"/>
    <col width="8.28515625" customWidth="1" min="9" max="9"/>
  </cols>
  <sheetData>
    <row r="1" ht="15" customHeight="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ht="15" customHeight="1">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ht="15" customHeight="1">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ht="15" customHeight="1">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ht="15" customHeight="1">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ht="15" customHeight="1">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ht="15" customHeight="1">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ht="15" customHeight="1">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ht="15" customHeight="1">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ht="15" customHeight="1">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ht="15" customHeight="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ht="15" customHeight="1">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ht="15" customHeight="1">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ht="15" customHeight="1">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ht="15" customHeight="1">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ht="15" customHeight="1">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ht="15" customHeight="1">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ht="15" customHeight="1">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ht="15" customHeight="1">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ht="15" customHeight="1">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E39"/>
  <sheetViews>
    <sheetView zoomScale="85" zoomScaleNormal="85" workbookViewId="0">
      <selection activeCell="F44" sqref="F44"/>
    </sheetView>
  </sheetViews>
  <sheetFormatPr baseColWidth="8" defaultColWidth="8.7109375" defaultRowHeight="15"/>
  <cols>
    <col width="16.5703125" customWidth="1" min="1" max="1"/>
    <col width="11.140625" customWidth="1" min="2" max="2"/>
    <col width="10.7109375" customWidth="1" min="3" max="3"/>
    <col width="20.42578125" customWidth="1" min="4" max="4"/>
    <col width="18.85546875" customWidth="1" min="5" max="5"/>
    <col width="6.42578125" customWidth="1" min="6" max="6"/>
  </cols>
  <sheetData>
    <row r="1" ht="15" customHeight="1">
      <c r="A1" t="inlineStr">
        <is>
          <t>Name</t>
        </is>
      </c>
      <c r="B1" t="inlineStr">
        <is>
          <t>Rarity</t>
        </is>
      </c>
      <c r="C1" t="inlineStr">
        <is>
          <t>Types</t>
        </is>
      </c>
      <c r="D1" t="inlineStr">
        <is>
          <t>Game</t>
        </is>
      </c>
      <c r="E1" t="inlineStr">
        <is>
          <t>Image</t>
        </is>
      </c>
    </row>
    <row r="2" ht="15" customHeight="1">
      <c r="A2" t="inlineStr">
        <is>
          <t>Hellfish</t>
        </is>
      </c>
      <c r="B2" t="inlineStr">
        <is>
          <t>Common</t>
        </is>
      </c>
      <c r="C2" t="inlineStr">
        <is>
          <t>Undead</t>
        </is>
      </c>
      <c r="D2" t="inlineStr">
        <is>
          <t>Hades</t>
        </is>
      </c>
      <c r="E2" t="inlineStr">
        <is>
          <t>hellfish</t>
        </is>
      </c>
    </row>
    <row r="3" ht="15" customHeight="1">
      <c r="A3" t="inlineStr">
        <is>
          <t>Knucklehead</t>
        </is>
      </c>
      <c r="B3" t="inlineStr">
        <is>
          <t>Uncommon</t>
        </is>
      </c>
      <c r="C3" t="inlineStr">
        <is>
          <t>Undead</t>
        </is>
      </c>
      <c r="D3" t="inlineStr">
        <is>
          <t>Hades</t>
        </is>
      </c>
      <c r="E3" t="inlineStr">
        <is>
          <t>knucklehead</t>
        </is>
      </c>
    </row>
    <row r="4" ht="15" customHeight="1">
      <c r="A4" t="inlineStr">
        <is>
          <t>Scyllascion</t>
        </is>
      </c>
      <c r="B4" t="inlineStr">
        <is>
          <t>Rare</t>
        </is>
      </c>
      <c r="C4" t="inlineStr">
        <is>
          <t>Undead</t>
        </is>
      </c>
      <c r="D4" t="inlineStr">
        <is>
          <t>Hades</t>
        </is>
      </c>
      <c r="E4" t="inlineStr">
        <is>
          <t>scyllascion</t>
        </is>
      </c>
    </row>
    <row r="5" ht="15" customHeight="1">
      <c r="A5" t="inlineStr">
        <is>
          <t>Slavug</t>
        </is>
      </c>
      <c r="B5" t="inlineStr">
        <is>
          <t>Common</t>
        </is>
      </c>
      <c r="C5" t="inlineStr">
        <is>
          <t>Firey</t>
        </is>
      </c>
      <c r="D5" t="inlineStr">
        <is>
          <t>Hades</t>
        </is>
      </c>
      <c r="E5" t="inlineStr">
        <is>
          <t>slavug</t>
        </is>
      </c>
    </row>
    <row r="6" ht="15" customHeight="1">
      <c r="A6" t="inlineStr">
        <is>
          <t>Chrustacean</t>
        </is>
      </c>
      <c r="B6" t="inlineStr">
        <is>
          <t>Uncommon</t>
        </is>
      </c>
      <c r="C6" t="inlineStr">
        <is>
          <t>Firey</t>
        </is>
      </c>
      <c r="D6" t="inlineStr">
        <is>
          <t>Hades</t>
        </is>
      </c>
      <c r="E6" t="inlineStr">
        <is>
          <t>chrustacean</t>
        </is>
      </c>
    </row>
    <row r="7" ht="15" customHeight="1">
      <c r="A7" t="inlineStr">
        <is>
          <t>Flameater</t>
        </is>
      </c>
      <c r="B7" t="inlineStr">
        <is>
          <t>Rare</t>
        </is>
      </c>
      <c r="C7" t="inlineStr">
        <is>
          <t>Firey</t>
        </is>
      </c>
      <c r="D7" t="inlineStr">
        <is>
          <t>Hades</t>
        </is>
      </c>
      <c r="E7" t="inlineStr">
        <is>
          <t>flameater</t>
        </is>
      </c>
    </row>
    <row r="8" ht="15" customHeight="1">
      <c r="A8" t="inlineStr">
        <is>
          <t>Chlam</t>
        </is>
      </c>
      <c r="B8" t="inlineStr">
        <is>
          <t>Common</t>
        </is>
      </c>
      <c r="C8" t="inlineStr">
        <is>
          <t>Watery</t>
        </is>
      </c>
      <c r="D8" t="inlineStr">
        <is>
          <t>Hades</t>
        </is>
      </c>
      <c r="E8" t="inlineStr">
        <is>
          <t>chlam</t>
        </is>
      </c>
    </row>
    <row r="9" ht="15" customHeight="1">
      <c r="A9" t="inlineStr">
        <is>
          <t>Charp</t>
        </is>
      </c>
      <c r="B9" t="inlineStr">
        <is>
          <t>Uncommon</t>
        </is>
      </c>
      <c r="C9" t="inlineStr">
        <is>
          <t>Watery</t>
        </is>
      </c>
      <c r="D9" t="inlineStr">
        <is>
          <t>Hades</t>
        </is>
      </c>
      <c r="E9" t="inlineStr">
        <is>
          <t>charp</t>
        </is>
      </c>
    </row>
    <row r="10" ht="15" customHeight="1">
      <c r="A10" t="inlineStr">
        <is>
          <t>Seamare</t>
        </is>
      </c>
      <c r="B10" t="inlineStr">
        <is>
          <t>Rare</t>
        </is>
      </c>
      <c r="C10" t="inlineStr">
        <is>
          <t>Watery</t>
        </is>
      </c>
      <c r="D10" t="inlineStr">
        <is>
          <t>Hades</t>
        </is>
      </c>
      <c r="E10" t="inlineStr">
        <is>
          <t>seamare</t>
        </is>
      </c>
    </row>
    <row r="11" ht="15" customHeight="1">
      <c r="A11" t="inlineStr">
        <is>
          <t>Gupp</t>
        </is>
      </c>
      <c r="B11" t="inlineStr">
        <is>
          <t>Common</t>
        </is>
      </c>
      <c r="C11" t="inlineStr">
        <is>
          <t>Building</t>
        </is>
      </c>
      <c r="D11" t="inlineStr">
        <is>
          <t>Hades</t>
        </is>
      </c>
      <c r="E11" t="inlineStr">
        <is>
          <t>gupp</t>
        </is>
      </c>
    </row>
    <row r="12" ht="15" customHeight="1">
      <c r="A12" t="inlineStr">
        <is>
          <t>Scuffer</t>
        </is>
      </c>
      <c r="B12" t="inlineStr">
        <is>
          <t>Uncommon</t>
        </is>
      </c>
      <c r="C12" t="inlineStr">
        <is>
          <t>Building</t>
        </is>
      </c>
      <c r="D12" t="inlineStr">
        <is>
          <t>Hades</t>
        </is>
      </c>
      <c r="E12" t="inlineStr">
        <is>
          <t>scuffer</t>
        </is>
      </c>
    </row>
    <row r="13" ht="15" customHeight="1">
      <c r="A13" t="inlineStr">
        <is>
          <t>Stonewhal</t>
        </is>
      </c>
      <c r="B13" t="inlineStr">
        <is>
          <t>Rare</t>
        </is>
      </c>
      <c r="C13" t="inlineStr">
        <is>
          <t>Building</t>
        </is>
      </c>
      <c r="D13" t="inlineStr">
        <is>
          <t>Hades</t>
        </is>
      </c>
      <c r="E13" t="inlineStr">
        <is>
          <t>stonewhal</t>
        </is>
      </c>
    </row>
    <row r="14" ht="15" customHeight="1">
      <c r="A14" t="inlineStr">
        <is>
          <t>Mati</t>
        </is>
      </c>
      <c r="B14" t="inlineStr">
        <is>
          <t>Common</t>
        </is>
      </c>
      <c r="C14" t="inlineStr">
        <is>
          <t>Chaos</t>
        </is>
      </c>
      <c r="D14" t="inlineStr">
        <is>
          <t>Hades</t>
        </is>
      </c>
      <c r="E14" t="inlineStr">
        <is>
          <t>mati</t>
        </is>
      </c>
    </row>
    <row r="15" ht="15" customHeight="1">
      <c r="A15" t="inlineStr">
        <is>
          <t>Projelly</t>
        </is>
      </c>
      <c r="B15" t="inlineStr">
        <is>
          <t>Uncommon</t>
        </is>
      </c>
      <c r="C15" t="inlineStr">
        <is>
          <t>Chaos</t>
        </is>
      </c>
      <c r="D15" t="inlineStr">
        <is>
          <t>Hades</t>
        </is>
      </c>
      <c r="E15" t="inlineStr">
        <is>
          <t>projelly</t>
        </is>
      </c>
    </row>
    <row r="16" ht="15" customHeight="1">
      <c r="A16" t="inlineStr">
        <is>
          <t>Voidskate</t>
        </is>
      </c>
      <c r="B16" t="inlineStr">
        <is>
          <t>Rare</t>
        </is>
      </c>
      <c r="C16" t="inlineStr">
        <is>
          <t>Chaos</t>
        </is>
      </c>
      <c r="D16" t="inlineStr">
        <is>
          <t>Hades</t>
        </is>
      </c>
      <c r="E16" t="inlineStr">
        <is>
          <t>voidskate</t>
        </is>
      </c>
    </row>
    <row r="17" ht="15" customHeight="1">
      <c r="A17" t="inlineStr">
        <is>
          <t>Trout</t>
        </is>
      </c>
      <c r="B17" t="inlineStr">
        <is>
          <t>Common</t>
        </is>
      </c>
      <c r="C17" t="inlineStr">
        <is>
          <t>General</t>
        </is>
      </c>
      <c r="D17" t="inlineStr">
        <is>
          <t>Hades</t>
        </is>
      </c>
      <c r="E17" t="inlineStr">
        <is>
          <t>trout</t>
        </is>
      </c>
    </row>
    <row r="18" ht="15" customHeight="1">
      <c r="A18" t="inlineStr">
        <is>
          <t>Bass</t>
        </is>
      </c>
      <c r="B18" t="inlineStr">
        <is>
          <t>Uncommon</t>
        </is>
      </c>
      <c r="C18" t="inlineStr">
        <is>
          <t>General</t>
        </is>
      </c>
      <c r="D18" t="inlineStr">
        <is>
          <t>Hades</t>
        </is>
      </c>
      <c r="E18" t="inlineStr">
        <is>
          <t>bass</t>
        </is>
      </c>
    </row>
    <row r="19" ht="15" customHeight="1">
      <c r="A19" t="inlineStr">
        <is>
          <t>Sturgeon</t>
        </is>
      </c>
      <c r="B19" t="inlineStr">
        <is>
          <t>Rare</t>
        </is>
      </c>
      <c r="C19" t="inlineStr">
        <is>
          <t>General</t>
        </is>
      </c>
      <c r="D19" t="inlineStr">
        <is>
          <t>Hades</t>
        </is>
      </c>
      <c r="E19" t="inlineStr">
        <is>
          <t>sturgeon</t>
        </is>
      </c>
    </row>
    <row r="20" ht="15" customHeight="1">
      <c r="A20" t="inlineStr">
        <is>
          <t>Minnow</t>
        </is>
      </c>
      <c r="B20" t="inlineStr">
        <is>
          <t>Common</t>
        </is>
      </c>
      <c r="C20" t="inlineStr">
        <is>
          <t>General</t>
        </is>
      </c>
      <c r="D20" t="inlineStr">
        <is>
          <t>Cult of the Lamb</t>
        </is>
      </c>
      <c r="E20" t="inlineStr">
        <is>
          <t>minnow</t>
        </is>
      </c>
    </row>
    <row r="21" ht="15" customHeight="1">
      <c r="A21" t="inlineStr">
        <is>
          <t>Crab</t>
        </is>
      </c>
      <c r="B21" t="inlineStr">
        <is>
          <t>Common</t>
        </is>
      </c>
      <c r="C21" t="inlineStr">
        <is>
          <t>General</t>
        </is>
      </c>
      <c r="D21" t="inlineStr">
        <is>
          <t>Cult of the Lamb</t>
        </is>
      </c>
      <c r="E21" t="inlineStr">
        <is>
          <t>crab</t>
        </is>
      </c>
    </row>
    <row r="22" ht="15" customHeight="1">
      <c r="A22" t="inlineStr">
        <is>
          <t>Salmon</t>
        </is>
      </c>
      <c r="B22" t="inlineStr">
        <is>
          <t>Uncommon</t>
        </is>
      </c>
      <c r="C22" t="inlineStr">
        <is>
          <t>General</t>
        </is>
      </c>
      <c r="D22" t="inlineStr">
        <is>
          <t>Cult of the Lamb</t>
        </is>
      </c>
      <c r="E22" t="inlineStr">
        <is>
          <t>salmon</t>
        </is>
      </c>
    </row>
    <row r="23" ht="15" customHeight="1">
      <c r="A23" t="inlineStr">
        <is>
          <t>Tuna</t>
        </is>
      </c>
      <c r="B23" t="inlineStr">
        <is>
          <t>Uncommon</t>
        </is>
      </c>
      <c r="C23" t="inlineStr">
        <is>
          <t>General</t>
        </is>
      </c>
      <c r="D23" t="inlineStr">
        <is>
          <t>Cult of the Lamb</t>
        </is>
      </c>
      <c r="E23" t="inlineStr">
        <is>
          <t>tuna</t>
        </is>
      </c>
    </row>
    <row r="24" ht="15" customHeight="1">
      <c r="A24" t="inlineStr">
        <is>
          <t>Blowfish</t>
        </is>
      </c>
      <c r="B24" t="inlineStr">
        <is>
          <t>Rare</t>
        </is>
      </c>
      <c r="C24" t="inlineStr">
        <is>
          <t>General</t>
        </is>
      </c>
      <c r="D24" t="inlineStr">
        <is>
          <t>Cult of the Lamb</t>
        </is>
      </c>
      <c r="E24" t="inlineStr">
        <is>
          <t>blowfish</t>
        </is>
      </c>
    </row>
    <row r="25" ht="15" customHeight="1">
      <c r="A25" t="inlineStr">
        <is>
          <t>Octopus</t>
        </is>
      </c>
      <c r="B25" t="inlineStr">
        <is>
          <t>Rare</t>
        </is>
      </c>
      <c r="C25" t="inlineStr">
        <is>
          <t>General</t>
        </is>
      </c>
      <c r="D25" t="inlineStr">
        <is>
          <t>Cult of the Lamb</t>
        </is>
      </c>
      <c r="E25" t="inlineStr">
        <is>
          <t>octopus</t>
        </is>
      </c>
    </row>
    <row r="26" ht="15" customHeight="1">
      <c r="A26" t="inlineStr">
        <is>
          <t>Squid</t>
        </is>
      </c>
      <c r="B26" t="inlineStr">
        <is>
          <t>Rare</t>
        </is>
      </c>
      <c r="C26" t="inlineStr">
        <is>
          <t>General</t>
        </is>
      </c>
      <c r="D26" t="inlineStr">
        <is>
          <t>Cult of the Lamb</t>
        </is>
      </c>
      <c r="E26" t="inlineStr">
        <is>
          <t>squid</t>
        </is>
      </c>
    </row>
    <row r="27" ht="15" customHeight="1">
      <c r="A27" t="inlineStr">
        <is>
          <t>Swordfish</t>
        </is>
      </c>
      <c r="B27" t="inlineStr">
        <is>
          <t>Rare</t>
        </is>
      </c>
      <c r="C27" t="inlineStr">
        <is>
          <t>General</t>
        </is>
      </c>
      <c r="D27" t="inlineStr">
        <is>
          <t>Cult of the Lamb</t>
        </is>
      </c>
      <c r="E27" t="inlineStr">
        <is>
          <t>swordfish</t>
        </is>
      </c>
    </row>
    <row r="28" ht="15" customHeight="1">
      <c r="A28" t="inlineStr">
        <is>
          <t>Lobster</t>
        </is>
      </c>
      <c r="B28" t="inlineStr">
        <is>
          <t>Rare</t>
        </is>
      </c>
      <c r="C28" t="inlineStr">
        <is>
          <t>General</t>
        </is>
      </c>
      <c r="D28" t="inlineStr">
        <is>
          <t>Cult of the Lamb</t>
        </is>
      </c>
      <c r="E28" t="inlineStr">
        <is>
          <t>lobster</t>
        </is>
      </c>
    </row>
    <row r="29" ht="15" customHeight="1">
      <c r="A29" t="inlineStr">
        <is>
          <t>Scorching Sunfish</t>
        </is>
      </c>
      <c r="B29" t="inlineStr">
        <is>
          <t>Uncommon</t>
        </is>
      </c>
      <c r="C29" t="inlineStr">
        <is>
          <t>Firey</t>
        </is>
      </c>
      <c r="D29" t="inlineStr">
        <is>
          <t>Don't Starve Together</t>
        </is>
      </c>
      <c r="E29" t="inlineStr">
        <is>
          <t>scorching-sunfish</t>
        </is>
      </c>
    </row>
    <row r="30" ht="15" customHeight="1">
      <c r="A30" t="inlineStr">
        <is>
          <t>Ice Bream</t>
        </is>
      </c>
      <c r="B30" t="inlineStr">
        <is>
          <t>Uncommon</t>
        </is>
      </c>
      <c r="C30" t="inlineStr">
        <is>
          <t>Icey</t>
        </is>
      </c>
      <c r="D30" t="inlineStr">
        <is>
          <t>Don't Starve Together</t>
        </is>
      </c>
      <c r="E30" t="inlineStr">
        <is>
          <t>ice-bream</t>
        </is>
      </c>
    </row>
    <row r="31" ht="15" customHeight="1">
      <c r="A31" t="inlineStr">
        <is>
          <t>Mudfish</t>
        </is>
      </c>
      <c r="B31" t="inlineStr">
        <is>
          <t>Common</t>
        </is>
      </c>
      <c r="C31" t="inlineStr">
        <is>
          <t>Swampy</t>
        </is>
      </c>
      <c r="D31" t="inlineStr">
        <is>
          <t>Don't Starve Together</t>
        </is>
      </c>
      <c r="E31" t="inlineStr">
        <is>
          <t>mudfish</t>
        </is>
      </c>
    </row>
    <row r="32" ht="15" customHeight="1">
      <c r="A32" t="inlineStr">
        <is>
          <t>Bitty Baitfish</t>
        </is>
      </c>
      <c r="B32" t="inlineStr">
        <is>
          <t>Rare</t>
        </is>
      </c>
      <c r="C32" t="inlineStr">
        <is>
          <t>General</t>
        </is>
      </c>
      <c r="D32" t="inlineStr">
        <is>
          <t>Don't Starve Together</t>
        </is>
      </c>
      <c r="E32" t="inlineStr">
        <is>
          <t>bitty-baitfish</t>
        </is>
      </c>
    </row>
    <row r="33" ht="15" customHeight="1">
      <c r="A33" t="inlineStr">
        <is>
          <t>Sweetish Fish</t>
        </is>
      </c>
      <c r="B33" t="inlineStr">
        <is>
          <t>Common</t>
        </is>
      </c>
      <c r="C33" t="inlineStr">
        <is>
          <t>Swampy</t>
        </is>
      </c>
      <c r="D33" t="inlineStr">
        <is>
          <t>Don't Starve Together</t>
        </is>
      </c>
      <c r="E33" t="inlineStr">
        <is>
          <t>sweetish-fish</t>
        </is>
      </c>
    </row>
    <row r="34" ht="15" customHeight="1">
      <c r="A34" t="inlineStr">
        <is>
          <t>Runty Guppy</t>
        </is>
      </c>
      <c r="B34" t="inlineStr">
        <is>
          <t>Uncommon</t>
        </is>
      </c>
      <c r="C34" t="inlineStr">
        <is>
          <t>General</t>
        </is>
      </c>
      <c r="D34" t="inlineStr">
        <is>
          <t>Don't Starve Together</t>
        </is>
      </c>
      <c r="E34" t="inlineStr">
        <is>
          <t>runty-guppy</t>
        </is>
      </c>
    </row>
    <row r="35" ht="15" customHeight="1">
      <c r="A35" t="inlineStr">
        <is>
          <t>Smolt Fry</t>
        </is>
      </c>
      <c r="B35" t="inlineStr">
        <is>
          <t>Common</t>
        </is>
      </c>
      <c r="C35" t="inlineStr">
        <is>
          <t>General</t>
        </is>
      </c>
      <c r="D35" t="inlineStr">
        <is>
          <t>Don't Starve Together</t>
        </is>
      </c>
      <c r="E35" t="inlineStr">
        <is>
          <t>smolt-fry</t>
        </is>
      </c>
    </row>
    <row r="36" ht="15" customHeight="1">
      <c r="A36" t="inlineStr">
        <is>
          <t>Needlenosed Squirt</t>
        </is>
      </c>
      <c r="B36" t="inlineStr">
        <is>
          <t>Common</t>
        </is>
      </c>
      <c r="C36" t="inlineStr">
        <is>
          <t>General</t>
        </is>
      </c>
      <c r="D36" t="inlineStr">
        <is>
          <t>Don't Starve Together</t>
        </is>
      </c>
      <c r="E36" t="inlineStr">
        <is>
          <t>needlenosed-squirt</t>
        </is>
      </c>
    </row>
    <row r="37" ht="15" customHeight="1">
      <c r="A37" t="inlineStr">
        <is>
          <t>Jiffy</t>
        </is>
      </c>
      <c r="B37" t="inlineStr">
        <is>
          <t>Common</t>
        </is>
      </c>
      <c r="C37" t="inlineStr">
        <is>
          <t>Undead</t>
        </is>
      </c>
      <c r="D37" t="inlineStr">
        <is>
          <t>Hades II</t>
        </is>
      </c>
      <c r="E37" t="inlineStr">
        <is>
          <t>jiffy</t>
        </is>
      </c>
    </row>
    <row r="38" ht="15" customHeight="1">
      <c r="A38" t="inlineStr">
        <is>
          <t>Goldfish</t>
        </is>
      </c>
      <c r="B38" t="inlineStr">
        <is>
          <t>Uncommon</t>
        </is>
      </c>
      <c r="C38" t="inlineStr">
        <is>
          <t>Undead</t>
        </is>
      </c>
      <c r="D38" t="inlineStr">
        <is>
          <t>Hades II</t>
        </is>
      </c>
      <c r="E38" t="inlineStr">
        <is>
          <t>goldfish</t>
        </is>
      </c>
    </row>
    <row r="39" ht="15" customHeight="1">
      <c r="A39" t="inlineStr">
        <is>
          <t>Styxeon</t>
        </is>
      </c>
      <c r="B39" t="inlineStr">
        <is>
          <t>Rare</t>
        </is>
      </c>
      <c r="C39" t="inlineStr">
        <is>
          <t>Undead</t>
        </is>
      </c>
      <c r="D39" t="inlineStr">
        <is>
          <t>Hades II</t>
        </is>
      </c>
      <c r="E39" t="inlineStr">
        <is>
          <t>styxeon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M37"/>
  <sheetViews>
    <sheetView zoomScale="85" zoomScaleNormal="85" workbookViewId="0">
      <selection activeCell="C19" sqref="C19"/>
    </sheetView>
  </sheetViews>
  <sheetFormatPr baseColWidth="8" defaultColWidth="8.7109375" defaultRowHeight="15"/>
  <cols>
    <col width="20.28515625" customWidth="1" min="1" max="1"/>
    <col width="11.5703125" customWidth="1" min="2" max="2"/>
    <col width="11.42578125" customWidth="1" min="3" max="3"/>
    <col width="9.85546875" customWidth="1" min="4" max="4"/>
    <col width="9.7109375" customWidth="1" style="10" min="5" max="5"/>
    <col width="10" customWidth="1" style="10" min="6" max="6"/>
    <col width="77.28515625" customWidth="1" min="7" max="7"/>
    <col width="18.7109375" customWidth="1" min="8" max="8"/>
    <col width="10.7109375" customWidth="1" min="9" max="9"/>
    <col width="128.85546875" customWidth="1" min="10" max="10"/>
    <col width="19.85546875" customWidth="1" min="11" max="11"/>
    <col width="9.7109375" customWidth="1" min="12" max="12"/>
    <col width="16.5703125" customWidth="1" min="13" max="13"/>
  </cols>
  <sheetData>
    <row r="1" ht="15" customHeight="1">
      <c r="A1" t="inlineStr">
        <is>
          <t>Name</t>
        </is>
      </c>
      <c r="B1" t="inlineStr">
        <is>
          <t>Type</t>
        </is>
      </c>
      <c r="C1" t="inlineStr">
        <is>
          <t>Difficulty</t>
        </is>
      </c>
      <c r="D1" t="inlineStr">
        <is>
          <t>Weight</t>
        </is>
      </c>
      <c r="E1" s="10" t="inlineStr">
        <is>
          <t>Min HP</t>
        </is>
      </c>
      <c r="F1" s="10" t="inlineStr">
        <is>
          <t>Max HP</t>
        </is>
      </c>
      <c r="G1" t="inlineStr">
        <is>
          <t>Ability</t>
        </is>
      </c>
      <c r="H1" t="inlineStr">
        <is>
          <t>Game</t>
        </is>
      </c>
      <c r="I1" t="inlineStr">
        <is>
          <t>Location</t>
        </is>
      </c>
      <c r="J1" t="inlineStr">
        <is>
          <t>Pattern</t>
        </is>
      </c>
      <c r="K1" t="inlineStr">
        <is>
          <t>File</t>
        </is>
      </c>
      <c r="L1" t="inlineStr">
        <is>
          <t>Variant</t>
        </is>
      </c>
      <c r="M1" t="inlineStr">
        <is>
          <t>Tag</t>
        </is>
      </c>
    </row>
    <row r="2" ht="15" customHeight="1">
      <c r="A2" t="inlineStr">
        <is>
          <t>Lemurian</t>
        </is>
      </c>
      <c r="B2" t="inlineStr">
        <is>
          <t>Strength</t>
        </is>
      </c>
      <c r="C2" t="inlineStr">
        <is>
          <t>Low</t>
        </is>
      </c>
      <c r="D2" t="n">
        <v>2</v>
      </c>
      <c r="E2" s="10" t="n">
        <v>30</v>
      </c>
      <c r="F2" s="10" t="n">
        <v>34</v>
      </c>
      <c r="G2" t="inlineStr">
        <is>
          <t>Stagger 33%</t>
        </is>
      </c>
      <c r="H2" t="inlineStr">
        <is>
          <t>Risk of Rain</t>
        </is>
      </c>
      <c r="I2" t="inlineStr">
        <is>
          <t>General</t>
        </is>
      </c>
      <c r="J2" t="inlineStr">
        <is>
          <t>Always: 75% 6 Magic Dmg Fire / 25% 9 Dmg Melee</t>
        </is>
      </c>
      <c r="K2" t="inlineStr">
        <is>
          <t>Lemurian</t>
        </is>
      </c>
      <c r="L2" t="inlineStr">
        <is>
          <t>N/A</t>
        </is>
      </c>
    </row>
    <row r="3" ht="15" customHeight="1">
      <c r="A3" t="inlineStr">
        <is>
          <t>Stone Golem</t>
        </is>
      </c>
      <c r="B3" t="inlineStr">
        <is>
          <t>Strength</t>
        </is>
      </c>
      <c r="C3" t="inlineStr">
        <is>
          <t>Medium</t>
        </is>
      </c>
      <c r="D3" t="n">
        <v>2</v>
      </c>
      <c r="E3" s="10" t="n">
        <v>64</v>
      </c>
      <c r="F3" s="10"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ht="15" customHeight="1">
      <c r="A4" t="inlineStr">
        <is>
          <t>Elder Lemurian</t>
        </is>
      </c>
      <c r="B4" t="inlineStr">
        <is>
          <t>Strength</t>
        </is>
      </c>
      <c r="C4" t="inlineStr">
        <is>
          <t>High</t>
        </is>
      </c>
      <c r="D4" t="n">
        <v>7</v>
      </c>
      <c r="E4" s="10" t="n">
        <v>150</v>
      </c>
      <c r="F4" s="10"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ht="15" customHeight="1">
      <c r="A5" t="inlineStr">
        <is>
          <t>Pacer</t>
        </is>
      </c>
      <c r="B5" t="inlineStr">
        <is>
          <t>Strength</t>
        </is>
      </c>
      <c r="C5" t="inlineStr">
        <is>
          <t>Low</t>
        </is>
      </c>
      <c r="D5" t="inlineStr">
        <is>
          <t>N/A</t>
        </is>
      </c>
      <c r="E5" s="10" t="n">
        <v>20</v>
      </c>
      <c r="F5" s="10" t="n">
        <v>24</v>
      </c>
      <c r="G5" t="inlineStr">
        <is>
          <t>N/A</t>
        </is>
      </c>
      <c r="H5" t="inlineStr">
        <is>
          <t>The Binding of Isaac</t>
        </is>
      </c>
      <c r="I5" t="inlineStr">
        <is>
          <t>General</t>
        </is>
      </c>
      <c r="J5" t="inlineStr">
        <is>
          <t>Always: 75% Unknown Intent ("Wandering") / 25% 6 Dmg Melee</t>
        </is>
      </c>
      <c r="K5" t="inlineStr">
        <is>
          <t>Pacer</t>
        </is>
      </c>
      <c r="L5" t="inlineStr">
        <is>
          <t>N/A</t>
        </is>
      </c>
    </row>
    <row r="6" ht="15" customHeight="1">
      <c r="A6" t="inlineStr">
        <is>
          <t>Gaper</t>
        </is>
      </c>
      <c r="B6" t="inlineStr">
        <is>
          <t>Strength</t>
        </is>
      </c>
      <c r="C6" t="inlineStr">
        <is>
          <t>Low</t>
        </is>
      </c>
      <c r="D6" t="n">
        <v>2</v>
      </c>
      <c r="E6" s="10" t="n">
        <v>20</v>
      </c>
      <c r="F6" s="10"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ht="15" customHeight="1">
      <c r="A7" t="inlineStr">
        <is>
          <t>Gusher</t>
        </is>
      </c>
      <c r="B7" t="inlineStr">
        <is>
          <t>Strength</t>
        </is>
      </c>
      <c r="C7" t="inlineStr">
        <is>
          <t>Low</t>
        </is>
      </c>
      <c r="D7" t="inlineStr">
        <is>
          <t>N/A</t>
        </is>
      </c>
      <c r="E7" s="10" t="n">
        <v>20</v>
      </c>
      <c r="F7" s="10" t="n">
        <v>24</v>
      </c>
      <c r="G7" t="inlineStr">
        <is>
          <t>N/A</t>
        </is>
      </c>
      <c r="H7" t="inlineStr">
        <is>
          <t>The Binding of Isaac</t>
        </is>
      </c>
      <c r="I7" t="inlineStr">
        <is>
          <t>General</t>
        </is>
      </c>
      <c r="J7" t="inlineStr">
        <is>
          <t>Always: 75% Unknown Intent ("Wandering") / 25% 6 Dmg Ranged</t>
        </is>
      </c>
      <c r="K7" t="inlineStr">
        <is>
          <t>Gusher</t>
        </is>
      </c>
      <c r="L7" t="inlineStr">
        <is>
          <t>N/A</t>
        </is>
      </c>
    </row>
    <row r="8" ht="15" customHeight="1">
      <c r="A8" t="inlineStr">
        <is>
          <t>Double Vis</t>
        </is>
      </c>
      <c r="B8" t="inlineStr">
        <is>
          <t>Strength</t>
        </is>
      </c>
      <c r="C8" t="inlineStr">
        <is>
          <t>Medium</t>
        </is>
      </c>
      <c r="D8" t="n">
        <v>3</v>
      </c>
      <c r="E8" s="10" t="n">
        <v>48</v>
      </c>
      <c r="F8" s="10" t="n">
        <v>54</v>
      </c>
      <c r="G8" t="inlineStr">
        <is>
          <t>N/A</t>
        </is>
      </c>
      <c r="H8" t="inlineStr">
        <is>
          <t>The Binding of Isaac</t>
        </is>
      </c>
      <c r="I8" t="inlineStr">
        <is>
          <t>General</t>
        </is>
      </c>
      <c r="J8" t="inlineStr">
        <is>
          <t>Always: 10 Dmg Overload Ranged</t>
        </is>
      </c>
      <c r="K8" t="inlineStr">
        <is>
          <t>DoubleVis</t>
        </is>
      </c>
      <c r="L8" t="inlineStr">
        <is>
          <t>N/A</t>
        </is>
      </c>
    </row>
    <row r="9" ht="15" customHeight="1">
      <c r="A9" t="inlineStr">
        <is>
          <t>Tainted Pooter</t>
        </is>
      </c>
      <c r="B9" t="inlineStr">
        <is>
          <t>Strength</t>
        </is>
      </c>
      <c r="C9" t="inlineStr">
        <is>
          <t>High</t>
        </is>
      </c>
      <c r="D9" t="n">
        <v>7</v>
      </c>
      <c r="E9" s="10" t="n">
        <v>130</v>
      </c>
      <c r="F9" s="10"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ht="15" customHeight="1">
      <c r="A10" t="inlineStr">
        <is>
          <t>Mung</t>
        </is>
      </c>
      <c r="B10" t="inlineStr">
        <is>
          <t>Intelligence</t>
        </is>
      </c>
      <c r="C10" t="inlineStr">
        <is>
          <t>Low</t>
        </is>
      </c>
      <c r="D10" t="n">
        <v>1</v>
      </c>
      <c r="E10" s="10" t="n">
        <v>20</v>
      </c>
      <c r="F10" s="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ht="15" customHeight="1">
      <c r="A11" t="inlineStr">
        <is>
          <t>Mud Lung</t>
        </is>
      </c>
      <c r="B11" t="inlineStr">
        <is>
          <t>Intelligence</t>
        </is>
      </c>
      <c r="C11" t="inlineStr">
        <is>
          <t>Low</t>
        </is>
      </c>
      <c r="D11" t="n">
        <v>2</v>
      </c>
      <c r="E11" s="10" t="n">
        <v>30</v>
      </c>
      <c r="F11" s="10"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ht="15" customHeight="1">
      <c r="A12" t="inlineStr">
        <is>
          <t>Mungling Mud Lung</t>
        </is>
      </c>
      <c r="B12" t="inlineStr">
        <is>
          <t>Intelligence</t>
        </is>
      </c>
      <c r="C12" t="inlineStr">
        <is>
          <t>Low</t>
        </is>
      </c>
      <c r="D12" t="n">
        <v>3</v>
      </c>
      <c r="E12" s="10" t="n">
        <v>40</v>
      </c>
      <c r="F12" s="10"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ht="15" customHeight="1">
      <c r="A13" t="inlineStr">
        <is>
          <t>Mungie</t>
        </is>
      </c>
      <c r="B13" t="inlineStr">
        <is>
          <t>Intelligence</t>
        </is>
      </c>
      <c r="C13" t="inlineStr">
        <is>
          <t>Low</t>
        </is>
      </c>
      <c r="D13" t="inlineStr">
        <is>
          <t>N/A</t>
        </is>
      </c>
      <c r="E13" s="10" t="n">
        <v>12</v>
      </c>
      <c r="F13" s="10" t="n">
        <v>14</v>
      </c>
      <c r="G13" t="inlineStr">
        <is>
          <t>Pigment Rich</t>
        </is>
      </c>
      <c r="H13" t="inlineStr">
        <is>
          <t>Brutal Orchestra</t>
        </is>
      </c>
      <c r="I13" t="inlineStr">
        <is>
          <t>Desert</t>
        </is>
      </c>
      <c r="J13" t="inlineStr">
        <is>
          <t>Always: 3 Dmg Melee</t>
        </is>
      </c>
      <c r="K13" t="inlineStr">
        <is>
          <t>Mungie</t>
        </is>
      </c>
      <c r="L13" t="inlineStr">
        <is>
          <t>N/A</t>
        </is>
      </c>
    </row>
    <row r="14" ht="15" customHeight="1">
      <c r="A14" t="inlineStr">
        <is>
          <t>Revola</t>
        </is>
      </c>
      <c r="B14" t="inlineStr">
        <is>
          <t>Intelligence</t>
        </is>
      </c>
      <c r="C14" t="inlineStr">
        <is>
          <t>Medium</t>
        </is>
      </c>
      <c r="D14" t="n">
        <v>3</v>
      </c>
      <c r="E14" s="10" t="n">
        <v>130</v>
      </c>
      <c r="F14" s="10"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ht="15" customHeight="1">
      <c r="A15" t="inlineStr">
        <is>
          <t>Revola (Standing)</t>
        </is>
      </c>
      <c r="B15" t="inlineStr">
        <is>
          <t>Intelligence</t>
        </is>
      </c>
      <c r="C15" t="inlineStr">
        <is>
          <t>Medium</t>
        </is>
      </c>
      <c r="D15" t="inlineStr">
        <is>
          <t>N/A</t>
        </is>
      </c>
      <c r="E15" s="10" t="n">
        <v>130</v>
      </c>
      <c r="F15" s="10"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ht="15" customHeight="1">
      <c r="A16" t="inlineStr">
        <is>
          <t>Skinning Homunculus</t>
        </is>
      </c>
      <c r="B16" t="inlineStr">
        <is>
          <t>Intelligence</t>
        </is>
      </c>
      <c r="C16" t="inlineStr">
        <is>
          <t>High</t>
        </is>
      </c>
      <c r="D16" t="n">
        <v>5</v>
      </c>
      <c r="E16" s="10" t="n">
        <v>100</v>
      </c>
      <c r="F16" s="10"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ht="15" customHeight="1">
      <c r="A17" t="inlineStr">
        <is>
          <t>Hobgoblin</t>
        </is>
      </c>
      <c r="B17" t="inlineStr">
        <is>
          <t>Dexterity</t>
        </is>
      </c>
      <c r="C17" t="inlineStr">
        <is>
          <t>Low</t>
        </is>
      </c>
      <c r="D17" t="n">
        <v>1</v>
      </c>
      <c r="E17" s="10" t="n">
        <v>30</v>
      </c>
      <c r="F17" s="10"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ht="15" customHeight="1">
      <c r="A18" t="inlineStr">
        <is>
          <t>Aquator</t>
        </is>
      </c>
      <c r="B18" t="inlineStr">
        <is>
          <t>Dexterity</t>
        </is>
      </c>
      <c r="C18" t="inlineStr">
        <is>
          <t>Medium</t>
        </is>
      </c>
      <c r="D18" t="n">
        <v>3</v>
      </c>
      <c r="E18" s="10" t="n">
        <v>40</v>
      </c>
      <c r="F18" s="10" t="n">
        <v>46</v>
      </c>
      <c r="G18" t="inlineStr">
        <is>
          <t>Rust / Rerollable</t>
        </is>
      </c>
      <c r="H18" t="inlineStr">
        <is>
          <t>Rogue</t>
        </is>
      </c>
      <c r="I18" t="inlineStr">
        <is>
          <t>General</t>
        </is>
      </c>
      <c r="J18" t="inlineStr">
        <is>
          <t>Always: D6x3 Dmg Melee</t>
        </is>
      </c>
      <c r="K18" t="inlineStr">
        <is>
          <t>Aquator</t>
        </is>
      </c>
      <c r="L18" t="inlineStr">
        <is>
          <t>N/A</t>
        </is>
      </c>
    </row>
    <row r="19" ht="15" customHeight="1">
      <c r="A19" t="inlineStr">
        <is>
          <t>Troll</t>
        </is>
      </c>
      <c r="B19" t="inlineStr">
        <is>
          <t>Dexterity</t>
        </is>
      </c>
      <c r="C19" t="inlineStr">
        <is>
          <t>Medium</t>
        </is>
      </c>
      <c r="D19" t="n">
        <v>4</v>
      </c>
      <c r="E19" s="10" t="n">
        <v>60</v>
      </c>
      <c r="F19" s="10" t="n">
        <v>66</v>
      </c>
      <c r="G19" t="inlineStr">
        <is>
          <t>Rerollable</t>
        </is>
      </c>
      <c r="H19" t="inlineStr">
        <is>
          <t>Rogue</t>
        </is>
      </c>
      <c r="I19" t="inlineStr">
        <is>
          <t>General</t>
        </is>
      </c>
      <c r="J19" t="inlineStr">
        <is>
          <t>Always: D8x2+D6x2 Dmg Melee</t>
        </is>
      </c>
      <c r="K19" t="inlineStr">
        <is>
          <t>Troll</t>
        </is>
      </c>
      <c r="L19" t="inlineStr">
        <is>
          <t>N/A</t>
        </is>
      </c>
    </row>
    <row r="20" ht="15" customHeight="1">
      <c r="A20" t="inlineStr">
        <is>
          <t>Dragon</t>
        </is>
      </c>
      <c r="B20" t="inlineStr">
        <is>
          <t>Dexterity</t>
        </is>
      </c>
      <c r="C20" t="inlineStr">
        <is>
          <t>High</t>
        </is>
      </c>
      <c r="D20" t="n">
        <v>9</v>
      </c>
      <c r="E20" s="10" t="n">
        <v>250</v>
      </c>
      <c r="F20" s="1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ht="15" customHeight="1">
      <c r="A21" t="inlineStr">
        <is>
          <t>Cultist</t>
        </is>
      </c>
      <c r="B21" t="inlineStr">
        <is>
          <t>Charisma</t>
        </is>
      </c>
      <c r="C21" t="inlineStr">
        <is>
          <t>Low</t>
        </is>
      </c>
      <c r="D21" t="n">
        <v>2</v>
      </c>
      <c r="E21" s="10" t="n">
        <v>48</v>
      </c>
      <c r="F21" s="10" t="n">
        <v>54</v>
      </c>
      <c r="G21" t="inlineStr">
        <is>
          <t>N/A</t>
        </is>
      </c>
      <c r="H21" t="inlineStr">
        <is>
          <t>Slay the Spire</t>
        </is>
      </c>
      <c r="I21" t="inlineStr">
        <is>
          <t>General</t>
        </is>
      </c>
      <c r="J21" t="inlineStr">
        <is>
          <t>Turn 1: Gain 3 Ritual | Next: 6 Dmg Melee</t>
        </is>
      </c>
      <c r="K21" t="inlineStr">
        <is>
          <t>Cultist</t>
        </is>
      </c>
      <c r="L21" t="inlineStr">
        <is>
          <t>N/A</t>
        </is>
      </c>
    </row>
    <row r="22" ht="15" customHeight="1">
      <c r="A22" t="inlineStr">
        <is>
          <t>Snecko</t>
        </is>
      </c>
      <c r="B22" t="inlineStr">
        <is>
          <t>Charisma</t>
        </is>
      </c>
      <c r="C22" t="inlineStr">
        <is>
          <t>Medium</t>
        </is>
      </c>
      <c r="D22" t="n">
        <v>6</v>
      </c>
      <c r="E22" s="10" t="n">
        <v>114</v>
      </c>
      <c r="F22" s="10"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ht="15" customHeight="1">
      <c r="A23" t="inlineStr">
        <is>
          <t>Transient</t>
        </is>
      </c>
      <c r="B23" t="inlineStr">
        <is>
          <t>Charisma</t>
        </is>
      </c>
      <c r="C23" t="inlineStr">
        <is>
          <t>High</t>
        </is>
      </c>
      <c r="D23" t="n">
        <v>9</v>
      </c>
      <c r="E23" s="10" t="n">
        <v>999</v>
      </c>
      <c r="F23" s="10"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ht="15" customHeight="1">
      <c r="A24" t="inlineStr">
        <is>
          <t>Bones</t>
        </is>
      </c>
      <c r="B24" t="inlineStr">
        <is>
          <t>Intelligence</t>
        </is>
      </c>
      <c r="C24" t="inlineStr">
        <is>
          <t>Low</t>
        </is>
      </c>
      <c r="D24" t="n">
        <v>1</v>
      </c>
      <c r="E24" s="10" t="n">
        <v>20</v>
      </c>
      <c r="F24" s="10"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ht="15" customHeight="1">
      <c r="A25" t="inlineStr">
        <is>
          <t>Fanatic</t>
        </is>
      </c>
      <c r="B25" t="inlineStr">
        <is>
          <t>Intelligence</t>
        </is>
      </c>
      <c r="C25" t="inlineStr">
        <is>
          <t>Medium</t>
        </is>
      </c>
      <c r="D25" t="n">
        <v>3</v>
      </c>
      <c r="E25" s="10" t="n">
        <v>48</v>
      </c>
      <c r="F25" s="10"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ht="15" customHeight="1">
      <c r="A26" t="inlineStr">
        <is>
          <t>Spiker</t>
        </is>
      </c>
      <c r="B26" t="inlineStr">
        <is>
          <t>Intelligence</t>
        </is>
      </c>
      <c r="C26" t="inlineStr">
        <is>
          <t>High</t>
        </is>
      </c>
      <c r="D26" t="n">
        <v>3</v>
      </c>
      <c r="E26" s="10" t="n">
        <v>60</v>
      </c>
      <c r="F26" s="10"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ht="15" customHeight="1">
      <c r="A27" t="inlineStr">
        <is>
          <t>Jaw Worm</t>
        </is>
      </c>
      <c r="B27" t="inlineStr">
        <is>
          <t>Charisma</t>
        </is>
      </c>
      <c r="C27" t="inlineStr">
        <is>
          <t>Low</t>
        </is>
      </c>
      <c r="D27" t="n">
        <v>3</v>
      </c>
      <c r="E27" s="10" t="n">
        <v>40</v>
      </c>
      <c r="F27" s="10"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ht="15" customHeight="1">
      <c r="A28" t="inlineStr">
        <is>
          <t>Red Louse</t>
        </is>
      </c>
      <c r="B28" t="inlineStr">
        <is>
          <t>Charisma</t>
        </is>
      </c>
      <c r="C28" t="inlineStr">
        <is>
          <t>Low</t>
        </is>
      </c>
      <c r="D28" t="n">
        <v>1</v>
      </c>
      <c r="E28" s="10" t="n">
        <v>10</v>
      </c>
      <c r="F28" s="10"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ht="15" customHeight="1">
      <c r="A29" t="inlineStr">
        <is>
          <t>Green Louse</t>
        </is>
      </c>
      <c r="B29" t="inlineStr">
        <is>
          <t>Charisma</t>
        </is>
      </c>
      <c r="C29" t="inlineStr">
        <is>
          <t>Low</t>
        </is>
      </c>
      <c r="D29" t="n">
        <v>1</v>
      </c>
      <c r="E29" s="10" t="n">
        <v>11</v>
      </c>
      <c r="F29" s="10"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ht="15" customHeight="1">
      <c r="A30" t="inlineStr">
        <is>
          <t>Acid Slime (L)</t>
        </is>
      </c>
      <c r="B30" t="inlineStr">
        <is>
          <t>Charisma</t>
        </is>
      </c>
      <c r="C30" t="inlineStr">
        <is>
          <t>Low</t>
        </is>
      </c>
      <c r="D30" t="n">
        <v>4</v>
      </c>
      <c r="E30" s="10" t="n">
        <v>65</v>
      </c>
      <c r="F30" s="10"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ht="15" customHeight="1">
      <c r="A31" t="inlineStr">
        <is>
          <t>Acid Slime (M)</t>
        </is>
      </c>
      <c r="B31" t="inlineStr">
        <is>
          <t>Charisma</t>
        </is>
      </c>
      <c r="C31" t="inlineStr">
        <is>
          <t>Low</t>
        </is>
      </c>
      <c r="D31" t="n">
        <v>2</v>
      </c>
      <c r="E31" s="10" t="n">
        <v>28</v>
      </c>
      <c r="F31" s="10"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ht="15" customHeight="1">
      <c r="A32" t="inlineStr">
        <is>
          <t>Acid Slime (S)</t>
        </is>
      </c>
      <c r="B32" t="inlineStr">
        <is>
          <t>Charisma</t>
        </is>
      </c>
      <c r="C32" t="inlineStr">
        <is>
          <t>Low</t>
        </is>
      </c>
      <c r="D32" t="n">
        <v>1</v>
      </c>
      <c r="E32" s="10" t="n">
        <v>8</v>
      </c>
      <c r="F32" s="10"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ht="15" customHeight="1">
      <c r="A33" t="inlineStr">
        <is>
          <t>Spike Slime (L)</t>
        </is>
      </c>
      <c r="B33" t="inlineStr">
        <is>
          <t>Charisma</t>
        </is>
      </c>
      <c r="C33" t="inlineStr">
        <is>
          <t>Low</t>
        </is>
      </c>
      <c r="D33" t="n">
        <v>4</v>
      </c>
      <c r="E33" s="10" t="n">
        <v>64</v>
      </c>
      <c r="F33" s="10"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ht="15" customHeight="1">
      <c r="A34" t="inlineStr">
        <is>
          <t>Spike Slime (M)</t>
        </is>
      </c>
      <c r="B34" t="inlineStr">
        <is>
          <t>Charisma</t>
        </is>
      </c>
      <c r="C34" t="inlineStr">
        <is>
          <t>Low</t>
        </is>
      </c>
      <c r="D34" t="n">
        <v>2</v>
      </c>
      <c r="E34" s="10" t="n">
        <v>28</v>
      </c>
      <c r="F34" s="10"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ht="15" customHeight="1">
      <c r="A35" t="inlineStr">
        <is>
          <t>Spike Slime (S)</t>
        </is>
      </c>
      <c r="B35" t="inlineStr">
        <is>
          <t>Charisma</t>
        </is>
      </c>
      <c r="C35" t="inlineStr">
        <is>
          <t>Low</t>
        </is>
      </c>
      <c r="D35" t="n">
        <v>1</v>
      </c>
      <c r="E35" s="10" t="n">
        <v>10</v>
      </c>
      <c r="F35" s="10"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ht="15" customHeight="1">
      <c r="A36" t="inlineStr">
        <is>
          <t>Scary</t>
        </is>
      </c>
      <c r="B36" t="inlineStr">
        <is>
          <t>Intelligence</t>
        </is>
      </c>
      <c r="C36" t="inlineStr">
        <is>
          <t>High</t>
        </is>
      </c>
      <c r="D36" t="n">
        <v>1</v>
      </c>
      <c r="E36" s="10" t="n">
        <v>20</v>
      </c>
      <c r="F36" s="10"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ht="15" customHeight="1">
      <c r="A37" t="inlineStr">
        <is>
          <t>Fly</t>
        </is>
      </c>
      <c r="B37" t="inlineStr">
        <is>
          <t>Intelligence</t>
        </is>
      </c>
      <c r="C37" t="inlineStr">
        <is>
          <t>Low</t>
        </is>
      </c>
      <c r="D37" t="n">
        <v>0.5</v>
      </c>
      <c r="E37" s="10" t="n">
        <v>4</v>
      </c>
      <c r="F37" s="10" t="n">
        <v>6</v>
      </c>
      <c r="G37" t="inlineStr">
        <is>
          <t>N/A</t>
        </is>
      </c>
      <c r="H37" t="inlineStr">
        <is>
          <t>Mewgenics</t>
        </is>
      </c>
      <c r="I37" t="inlineStr">
        <is>
          <t>N/A</t>
        </is>
      </c>
      <c r="J37" t="inlineStr">
        <is>
          <t>Always: 2 Dmg Melee</t>
        </is>
      </c>
      <c r="K37" t="inlineStr">
        <is>
          <t>Fly</t>
        </is>
      </c>
      <c r="L37" t="inlineStr">
        <is>
          <t>N/A</t>
        </is>
      </c>
      <c r="M37" t="inlineStr">
        <is>
          <t>bug</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0.xml><?xml version="1.0" encoding="utf-8"?>
<worksheet xmlns="http://schemas.openxmlformats.org/spreadsheetml/2006/main">
  <sheetPr>
    <outlinePr summaryBelow="1" summaryRight="1"/>
    <pageSetUpPr/>
  </sheetPr>
  <dimension ref="A1:Q6"/>
  <sheetViews>
    <sheetView zoomScale="85" zoomScaleNormal="85" workbookViewId="0">
      <pane ySplit="1" topLeftCell="A2" activePane="bottomLeft" state="frozen"/>
      <selection pane="bottomLeft" activeCell="Q7" sqref="Q7"/>
    </sheetView>
  </sheetViews>
  <sheetFormatPr baseColWidth="8" defaultColWidth="8.7109375" defaultRowHeight="15"/>
  <cols>
    <col width="14" customWidth="1" min="1" max="1"/>
    <col width="11" customWidth="1" min="2" max="2"/>
    <col width="11.42578125" customWidth="1" min="3" max="3"/>
    <col width="9.85546875" customWidth="1" min="4" max="4"/>
    <col width="8.5703125" customWidth="1" min="5" max="5"/>
    <col width="7" customWidth="1" min="6" max="6"/>
    <col width="9.7109375" customWidth="1" min="7" max="7"/>
    <col width="10" customWidth="1" min="8" max="8"/>
    <col width="8.85546875" customWidth="1" min="9" max="9"/>
    <col width="8.5703125" customWidth="1" min="10" max="10"/>
    <col width="14" customWidth="1" min="11" max="11"/>
    <col width="9.85546875" customWidth="1" min="12" max="12"/>
    <col width="11.7109375" customWidth="1" min="13" max="13"/>
    <col width="16.28515625" customWidth="1" min="14" max="14"/>
    <col width="12" customWidth="1" min="15" max="15"/>
    <col width="70" customWidth="1" min="16" max="16"/>
    <col width="25.140625" customWidth="1" min="17" max="17"/>
  </cols>
  <sheetData>
    <row r="1" ht="15" customHeight="1">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ht="15" customHeight="1">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ht="15" customHeight="1">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ht="15" customHeight="1">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ht="15" customHeight="1">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ht="15" customHeight="1">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41.xml><?xml version="1.0" encoding="utf-8"?>
<worksheet xmlns="http://schemas.openxmlformats.org/spreadsheetml/2006/main">
  <sheetPr>
    <outlinePr summaryBelow="1" summaryRight="1"/>
    <pageSetUpPr/>
  </sheetPr>
  <dimension ref="A1:I19"/>
  <sheetViews>
    <sheetView zoomScale="85" zoomScaleNormal="85" workbookViewId="0">
      <selection activeCell="D30" sqref="D30"/>
    </sheetView>
  </sheetViews>
  <sheetFormatPr baseColWidth="8" defaultColWidth="8.7109375" defaultRowHeight="15"/>
  <cols>
    <col width="9.28515625" customWidth="1" min="1" max="1"/>
    <col width="7.85546875" customWidth="1" min="2" max="2"/>
    <col width="67.7109375" customWidth="1" min="3" max="3"/>
    <col width="57.140625" customWidth="1" min="4" max="4"/>
    <col width="30.28515625" customWidth="1" min="5" max="6"/>
    <col width="25.5703125" customWidth="1" min="7" max="7"/>
    <col width="67.7109375" customWidth="1" min="8" max="8"/>
    <col width="18.7109375" customWidth="1" min="9" max="9"/>
  </cols>
  <sheetData>
    <row r="1" ht="15" customHeight="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ht="15" customHeight="1">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ht="15" customHeight="1">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ht="15" customHeight="1">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ht="15" customHeight="1">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ht="15" customHeight="1">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ht="15" customHeight="1">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ht="15" customHeight="1">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ht="15" customHeight="1">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ht="15" customHeight="1">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ht="15" customHeight="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ht="15" customHeight="1">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ht="15" customHeight="1">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ht="15" customHeight="1">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ht="15" customHeight="1">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ht="15" customHeight="1">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ht="15" customHeight="1">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ht="15" customHeight="1">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ht="15" customHeight="1">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2.xml><?xml version="1.0" encoding="utf-8"?>
<worksheet xmlns="http://schemas.openxmlformats.org/spreadsheetml/2006/main">
  <sheetPr>
    <outlinePr summaryBelow="1" summaryRight="1"/>
    <pageSetUpPr/>
  </sheetPr>
  <dimension ref="A1:E8"/>
  <sheetViews>
    <sheetView zoomScale="85" zoomScaleNormal="85" workbookViewId="0">
      <selection activeCell="D16" sqref="D16"/>
    </sheetView>
  </sheetViews>
  <sheetFormatPr baseColWidth="8" defaultColWidth="8.7109375" defaultRowHeight="15"/>
  <cols>
    <col width="24" customWidth="1" min="1" max="1"/>
    <col width="26.5703125" customWidth="1" min="3" max="3"/>
    <col width="23.85546875" customWidth="1" min="4" max="4"/>
    <col width="33.140625" bestFit="1" customWidth="1" min="5" max="5"/>
  </cols>
  <sheetData>
    <row r="1" ht="15" customHeight="1">
      <c r="A1" t="inlineStr">
        <is>
          <t>Name</t>
        </is>
      </c>
      <c r="B1" t="inlineStr">
        <is>
          <t>Year</t>
        </is>
      </c>
      <c r="C1" t="inlineStr">
        <is>
          <t>Original</t>
        </is>
      </c>
      <c r="D1" t="inlineStr">
        <is>
          <t>File</t>
        </is>
      </c>
      <c r="E1" t="inlineStr">
        <is>
          <t>Link</t>
        </is>
      </c>
    </row>
    <row r="2" ht="15" customHeight="1">
      <c r="A2" t="inlineStr">
        <is>
          <t>Fiend Folio: Reheated</t>
        </is>
      </c>
      <c r="B2" t="n">
        <v>2022</v>
      </c>
      <c r="C2" t="inlineStr">
        <is>
          <t>The Binding of Isaac: Rebirth</t>
        </is>
      </c>
      <c r="D2" t="inlineStr">
        <is>
          <t>fiend-folio-reheated</t>
        </is>
      </c>
    </row>
    <row r="3" ht="15" customHeight="1">
      <c r="A3" t="inlineStr">
        <is>
          <t>Downfall</t>
        </is>
      </c>
      <c r="B3" t="n">
        <v>2022</v>
      </c>
      <c r="C3" t="inlineStr">
        <is>
          <t>Slay the Spire</t>
        </is>
      </c>
      <c r="D3" t="inlineStr">
        <is>
          <t>downfall</t>
        </is>
      </c>
    </row>
    <row r="4" ht="15" customHeight="1">
      <c r="A4" t="inlineStr">
        <is>
          <t>Pokermon</t>
        </is>
      </c>
      <c r="B4" t="n">
        <v>2024</v>
      </c>
      <c r="C4" t="inlineStr">
        <is>
          <t>Balatro</t>
        </is>
      </c>
      <c r="D4" t="inlineStr">
        <is>
          <t>pokermon</t>
        </is>
      </c>
    </row>
    <row r="5" ht="15" customHeight="1">
      <c r="A5" t="inlineStr">
        <is>
          <t>Risk of Rain: Starstorm</t>
        </is>
      </c>
      <c r="B5" t="n">
        <v>2020</v>
      </c>
      <c r="C5" t="inlineStr">
        <is>
          <t>Risk of Rain</t>
        </is>
      </c>
      <c r="D5" t="inlineStr">
        <is>
          <t>starstorm</t>
        </is>
      </c>
    </row>
    <row r="6" ht="15" customHeight="1">
      <c r="A6" t="inlineStr">
        <is>
          <t>Risk of Rain 2: Starstorm 2</t>
        </is>
      </c>
      <c r="B6" t="n">
        <v>2021</v>
      </c>
      <c r="C6" t="inlineStr">
        <is>
          <t>Risk of Rain 2</t>
        </is>
      </c>
      <c r="D6" t="inlineStr">
        <is>
          <t>risk-of-rain-2-starstorm-2</t>
        </is>
      </c>
    </row>
    <row r="7" ht="15" customHeight="1">
      <c r="A7" t="inlineStr">
        <is>
          <t>Balatro: Cryptid</t>
        </is>
      </c>
      <c r="B7" t="n">
        <v>2024</v>
      </c>
      <c r="C7" t="inlineStr">
        <is>
          <t>Balatro</t>
        </is>
      </c>
      <c r="D7" t="inlineStr">
        <is>
          <t>balatro-cryptid</t>
        </is>
      </c>
    </row>
    <row r="8">
      <c r="A8" t="inlineStr">
        <is>
          <t>Bunco</t>
        </is>
      </c>
      <c r="B8" t="n">
        <v>2024</v>
      </c>
      <c r="C8" t="inlineStr">
        <is>
          <t>Balatro</t>
        </is>
      </c>
      <c r="E8" s="11" t="inlineStr">
        <is>
          <t>https://firch.github.io/BuncoWeb/</t>
        </is>
      </c>
    </row>
  </sheetData>
  <hyperlinks>
    <hyperlink xmlns:r="http://schemas.openxmlformats.org/officeDocument/2006/relationships" ref="E8" r:id="rId1"/>
  </hyperlinks>
  <pageMargins left="0.7" right="0.7" top="0.75" bottom="0.75" header="0.511811023622047" footer="0.511811023622047"/>
  <pageSetup orientation="portrait" horizontalDpi="300" verticalDpi="300"/>
  <tableParts count="1">
    <tablePart xmlns:r="http://schemas.openxmlformats.org/officeDocument/2006/relationships" r:id="rId2"/>
  </tableParts>
</worksheet>
</file>

<file path=xl/worksheets/sheet43.xml><?xml version="1.0" encoding="utf-8"?>
<worksheet xmlns="http://schemas.openxmlformats.org/spreadsheetml/2006/main">
  <sheetPr>
    <outlinePr summaryBelow="1" summaryRight="1"/>
    <pageSetUpPr/>
  </sheetPr>
  <dimension ref="A1:C11"/>
  <sheetViews>
    <sheetView zoomScale="85" zoomScaleNormal="85" workbookViewId="0">
      <selection activeCell="B29" sqref="B29"/>
    </sheetView>
  </sheetViews>
  <sheetFormatPr baseColWidth="8" defaultColWidth="8.7109375" defaultRowHeight="15"/>
  <cols>
    <col width="9" customWidth="1" min="1" max="1"/>
    <col width="125.28515625" customWidth="1" min="2" max="2"/>
  </cols>
  <sheetData>
    <row r="1" ht="15" customHeight="1">
      <c r="A1" t="inlineStr">
        <is>
          <t>Name</t>
        </is>
      </c>
      <c r="B1" t="inlineStr">
        <is>
          <t>Description</t>
        </is>
      </c>
      <c r="C1" t="inlineStr">
        <is>
          <t>Type</t>
        </is>
      </c>
    </row>
    <row r="2" ht="15" customHeight="1">
      <c r="A2" t="inlineStr">
        <is>
          <t>Charmed</t>
        </is>
      </c>
      <c r="B2" t="inlineStr">
        <is>
          <t>When landed on, get Curse of Affection scaled by difficulty</t>
        </is>
      </c>
      <c r="C2" t="inlineStr">
        <is>
          <t>Negative</t>
        </is>
      </c>
    </row>
    <row r="3" ht="15" customHeight="1">
      <c r="A3" t="inlineStr">
        <is>
          <t>Devilish</t>
        </is>
      </c>
      <c r="B3" t="inlineStr">
        <is>
          <t>When landed on, lose +5 health</t>
        </is>
      </c>
      <c r="C3" t="inlineStr">
        <is>
          <t>Negative</t>
        </is>
      </c>
    </row>
    <row r="4" ht="15" customHeight="1">
      <c r="A4" t="inlineStr">
        <is>
          <t>Holy</t>
        </is>
      </c>
      <c r="B4" t="inlineStr">
        <is>
          <t>When landed on, gain +5 health</t>
        </is>
      </c>
      <c r="C4" t="inlineStr">
        <is>
          <t>Positive</t>
        </is>
      </c>
    </row>
    <row r="5" ht="15" customHeight="1">
      <c r="A5" t="inlineStr">
        <is>
          <t>Marked</t>
        </is>
      </c>
      <c r="B5" t="inlineStr">
        <is>
          <t>When landed on, get Curse of the Hunter scaled by difficulty</t>
        </is>
      </c>
      <c r="C5" t="inlineStr">
        <is>
          <t>Negative</t>
        </is>
      </c>
    </row>
    <row r="6" ht="15" customHeight="1">
      <c r="A6" t="inlineStr">
        <is>
          <t>Portal</t>
        </is>
      </c>
      <c r="B6" t="inlineStr">
        <is>
          <t>Creates a portal connection on a game space. When more than one portal exists, those games become directly connected to each other</t>
        </is>
      </c>
      <c r="C6" t="inlineStr">
        <is>
          <t>Positive</t>
        </is>
      </c>
    </row>
    <row r="7" ht="15" customHeight="1">
      <c r="A7" t="inlineStr">
        <is>
          <t>Shielded</t>
        </is>
      </c>
      <c r="B7" t="inlineStr">
        <is>
          <t>When landed on, get Curse of Obstruction scaled by difficulty</t>
        </is>
      </c>
      <c r="C7" t="inlineStr">
        <is>
          <t>Negative</t>
        </is>
      </c>
    </row>
    <row r="8" ht="15" customHeight="1">
      <c r="A8" t="inlineStr">
        <is>
          <t>Shocked</t>
        </is>
      </c>
      <c r="B8" t="inlineStr">
        <is>
          <t>When landed on, get Curse of the Dazed scaled by difficulty</t>
        </is>
      </c>
      <c r="C8" t="inlineStr">
        <is>
          <t>Negative</t>
        </is>
      </c>
    </row>
    <row r="9" ht="15" customHeight="1">
      <c r="A9" t="inlineStr">
        <is>
          <t>Soaked</t>
        </is>
      </c>
      <c r="B9" t="inlineStr">
        <is>
          <t>When landed on, get Curse of the Damp scaled by difficulty</t>
        </is>
      </c>
      <c r="C9" t="inlineStr">
        <is>
          <t>Negative</t>
        </is>
      </c>
    </row>
    <row r="10" ht="15" customHeight="1">
      <c r="A10" t="inlineStr">
        <is>
          <t>Stinky</t>
        </is>
      </c>
      <c r="B10" t="inlineStr">
        <is>
          <t>Games marked as "stinky" are deprioritized in selections, they appear last in the game choice list unless they're the only option available</t>
        </is>
      </c>
      <c r="C10" t="inlineStr">
        <is>
          <t>Neutral</t>
        </is>
      </c>
    </row>
    <row r="11" ht="15" customHeight="1">
      <c r="A11" t="inlineStr">
        <is>
          <t>Timed</t>
        </is>
      </c>
      <c r="B11" t="inlineStr">
        <is>
          <t>When landed on, get Curse of Haste scaled by difficulty</t>
        </is>
      </c>
      <c r="C11" t="inlineStr">
        <is>
          <t>Negative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4.xml><?xml version="1.0" encoding="utf-8"?>
<worksheet xmlns="http://schemas.openxmlformats.org/spreadsheetml/2006/main">
  <sheetPr>
    <outlinePr summaryBelow="1" summaryRight="1"/>
    <pageSetUpPr/>
  </sheetPr>
  <dimension ref="A1:F61"/>
  <sheetViews>
    <sheetView topLeftCell="A16" zoomScale="85" zoomScaleNormal="85" workbookViewId="0">
      <selection activeCell="E61" sqref="E61"/>
    </sheetView>
  </sheetViews>
  <sheetFormatPr baseColWidth="8" defaultColWidth="8.7109375" defaultRowHeight="15"/>
  <cols>
    <col width="24" customWidth="1" min="1" max="1"/>
    <col width="11.5703125" customWidth="1" min="2" max="2"/>
    <col width="11.28515625" customWidth="1" min="3" max="3"/>
    <col width="28.85546875" customWidth="1" min="4" max="4"/>
    <col width="149.5703125" customWidth="1" min="5" max="5"/>
    <col width="12.42578125" customWidth="1" min="6" max="6"/>
  </cols>
  <sheetData>
    <row r="1" ht="15" customHeight="1">
      <c r="A1" t="inlineStr">
        <is>
          <t>Name</t>
        </is>
      </c>
      <c r="B1" t="inlineStr">
        <is>
          <t>Stat</t>
        </is>
      </c>
      <c r="C1" t="inlineStr">
        <is>
          <t>Power</t>
        </is>
      </c>
      <c r="D1" t="inlineStr">
        <is>
          <t>Duration</t>
        </is>
      </c>
      <c r="E1" t="inlineStr">
        <is>
          <t>Description</t>
        </is>
      </c>
      <c r="F1" t="inlineStr">
        <is>
          <t>Type</t>
        </is>
      </c>
    </row>
    <row r="2" ht="15" customHeight="1">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ht="15" customHeight="1">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ht="15" customHeight="1">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ht="15" customHeight="1">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ht="15" customHeight="1">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ht="15" customHeight="1">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ht="15" customHeight="1">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ht="15" customHeight="1">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ht="15" customHeight="1">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ht="15" customHeight="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ht="15" customHeight="1">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ht="15" customHeight="1">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ht="15" customHeight="1">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ht="15" customHeight="1">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ht="15" customHeight="1">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ht="15" customHeight="1">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ht="15" customHeight="1">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ht="15" customHeight="1">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ht="15" customHeight="1">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ht="15" customHeight="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ht="15" customHeight="1">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ht="15" customHeight="1">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ht="15" customHeight="1">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ht="15" customHeight="1">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ht="15" customHeight="1">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ht="15" customHeight="1">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ht="15" customHeight="1">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ht="15" customHeight="1">
      <c r="A29" t="inlineStr">
        <is>
          <t>Curse of Weakness I</t>
        </is>
      </c>
      <c r="B29" t="inlineStr">
        <is>
          <t>Strength</t>
        </is>
      </c>
      <c r="C29" t="inlineStr">
        <is>
          <t>Low</t>
        </is>
      </c>
      <c r="D29" t="inlineStr">
        <is>
          <t>Until 1 Combat Beaten</t>
        </is>
      </c>
      <c r="E29" t="inlineStr">
        <is>
          <t>Start the next Combat with 3 Weak.</t>
        </is>
      </c>
      <c r="F29" t="inlineStr">
        <is>
          <t>Auto</t>
        </is>
      </c>
    </row>
    <row r="30" ht="15" customHeight="1">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ht="15" customHeight="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ht="15" customHeight="1">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ht="15" customHeight="1">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ht="15" customHeight="1">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ht="15" customHeight="1">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ht="15" customHeight="1">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ht="15" customHeight="1">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ht="15" customHeight="1">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ht="15" customHeight="1">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ht="15" customHeight="1">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ht="15" customHeight="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ht="15" customHeight="1">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ht="15" customHeight="1">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ht="15" customHeight="1">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ht="15" customHeight="1">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ht="15" customHeight="1">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ht="15" customHeight="1">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ht="15" customHeight="1">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ht="15" customHeight="1">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ht="15" customHeight="1">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ht="15" customHeight="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ht="15" customHeight="1">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ht="15" customHeight="1">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ht="15" customHeight="1">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ht="15" customHeight="1">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ht="15" customHeight="1">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ht="15" customHeight="1">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ht="15" customHeight="1">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ht="15" customHeight="1">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ht="15" customHeight="1">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ht="15" customHeight="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5.xml><?xml version="1.0" encoding="utf-8"?>
<worksheet xmlns="http://schemas.openxmlformats.org/spreadsheetml/2006/main">
  <sheetPr>
    <outlinePr summaryBelow="1" summaryRight="1"/>
    <pageSetUpPr/>
  </sheetPr>
  <dimension ref="A1:B42"/>
  <sheetViews>
    <sheetView topLeftCell="A34" zoomScale="85" zoomScaleNormal="85" workbookViewId="0">
      <selection activeCell="G38" sqref="G38"/>
    </sheetView>
  </sheetViews>
  <sheetFormatPr baseColWidth="8" defaultColWidth="8.7109375" defaultRowHeight="15"/>
  <cols>
    <col width="58.85546875" customWidth="1" min="1" max="1"/>
    <col width="11" customWidth="1" min="2" max="2"/>
  </cols>
  <sheetData>
    <row r="1" ht="15" customHeight="1">
      <c r="A1" t="inlineStr">
        <is>
          <t>Goal</t>
        </is>
      </c>
      <c r="B1" t="inlineStr">
        <is>
          <t>Difficulty</t>
        </is>
      </c>
    </row>
    <row r="2" ht="15" customHeight="1">
      <c r="A2" t="inlineStr">
        <is>
          <t>Beat a boss with 1 Health left</t>
        </is>
      </c>
      <c r="B2" t="inlineStr">
        <is>
          <t>Easy</t>
        </is>
      </c>
    </row>
    <row r="3" ht="15" customHeight="1">
      <c r="A3" t="inlineStr">
        <is>
          <t>Defeat 15 Skeletons</t>
        </is>
      </c>
      <c r="B3" t="inlineStr">
        <is>
          <t>Easy</t>
        </is>
      </c>
    </row>
    <row r="4" ht="15" customHeight="1">
      <c r="A4" t="inlineStr">
        <is>
          <t>Defeat 15 Zombies</t>
        </is>
      </c>
      <c r="B4" t="inlineStr">
        <is>
          <t>Easy</t>
        </is>
      </c>
    </row>
    <row r="5" ht="15" customHeight="1">
      <c r="A5" t="inlineStr">
        <is>
          <t>Defeat an enemy with a ball</t>
        </is>
      </c>
      <c r="B5" t="inlineStr">
        <is>
          <t>Easy</t>
        </is>
      </c>
    </row>
    <row r="6" ht="15" customHeight="1">
      <c r="A6" t="inlineStr">
        <is>
          <t>Get drunk</t>
        </is>
      </c>
      <c r="B6" t="inlineStr">
        <is>
          <t>Easy</t>
        </is>
      </c>
    </row>
    <row r="7" ht="15" customHeight="1">
      <c r="A7" t="inlineStr">
        <is>
          <t>Obtain a mushroom</t>
        </is>
      </c>
      <c r="B7" t="inlineStr">
        <is>
          <t>Easy</t>
        </is>
      </c>
    </row>
    <row r="8" ht="15" customHeight="1">
      <c r="A8" t="inlineStr">
        <is>
          <t>Pet a pet</t>
        </is>
      </c>
      <c r="B8" t="inlineStr">
        <is>
          <t>Easy</t>
        </is>
      </c>
    </row>
    <row r="9" ht="15" customHeight="1">
      <c r="A9" t="inlineStr">
        <is>
          <t>Trade Health for resources</t>
        </is>
      </c>
      <c r="B9" t="inlineStr">
        <is>
          <t>Easy</t>
        </is>
      </c>
    </row>
    <row r="10" ht="15" customHeight="1">
      <c r="A10" t="inlineStr">
        <is>
          <t>Unlock a new Character</t>
        </is>
      </c>
      <c r="B10" t="inlineStr">
        <is>
          <t>Easy</t>
        </is>
      </c>
    </row>
    <row r="11" ht="15" customHeight="1">
      <c r="A11" t="inlineStr">
        <is>
          <t>Worship an altar</t>
        </is>
      </c>
      <c r="B11" t="inlineStr">
        <is>
          <t>Easy</t>
        </is>
      </c>
    </row>
    <row r="12" ht="15" customHeight="1">
      <c r="A12" t="inlineStr">
        <is>
          <t>Beat a run without moving</t>
        </is>
      </c>
      <c r="B12" t="inlineStr">
        <is>
          <t>Hard</t>
        </is>
      </c>
    </row>
    <row r="13" ht="15" customHeight="1">
      <c r="A13" t="inlineStr">
        <is>
          <t>Beat a run without spending currency</t>
        </is>
      </c>
      <c r="B13" t="inlineStr">
        <is>
          <t>Hard</t>
        </is>
      </c>
    </row>
    <row r="14" ht="15" customHeight="1">
      <c r="A14" t="inlineStr">
        <is>
          <t>Beat a run without taking damage</t>
        </is>
      </c>
      <c r="B14" t="inlineStr">
        <is>
          <t>Hard</t>
        </is>
      </c>
    </row>
    <row r="15" ht="15" customHeight="1">
      <c r="A15" t="inlineStr">
        <is>
          <t>Beat the "True" ending of a game</t>
        </is>
      </c>
      <c r="B15" t="inlineStr">
        <is>
          <t>Hard</t>
        </is>
      </c>
    </row>
    <row r="16" ht="15" customHeight="1">
      <c r="A16" t="inlineStr">
        <is>
          <t>Defeat a boss in 1 second or less/1 turn</t>
        </is>
      </c>
      <c r="B16" t="inlineStr">
        <is>
          <t>Hard</t>
        </is>
      </c>
    </row>
    <row r="17" ht="15" customHeight="1">
      <c r="A17" t="inlineStr">
        <is>
          <t>Get an achievement that only 10% of players or less have gotten</t>
        </is>
      </c>
      <c r="B17" t="inlineStr">
        <is>
          <t>Hard</t>
        </is>
      </c>
    </row>
    <row r="18" ht="15" customHeight="1">
      <c r="A18" t="inlineStr">
        <is>
          <t>Beat 3 Action Roguelikes</t>
        </is>
      </c>
      <c r="B18" t="inlineStr">
        <is>
          <t>Normal</t>
        </is>
      </c>
    </row>
    <row r="19" ht="15" customHeight="1">
      <c r="A19" t="inlineStr">
        <is>
          <t>Beat 3 Deckbuilder Roguelikes</t>
        </is>
      </c>
      <c r="B19" t="inlineStr">
        <is>
          <t>Normal</t>
        </is>
      </c>
    </row>
    <row r="20" ht="15" customHeight="1">
      <c r="A20" t="inlineStr">
        <is>
          <t>Beat 3 different roguelikes in one day</t>
        </is>
      </c>
      <c r="B20" t="inlineStr">
        <is>
          <t>Normal</t>
        </is>
      </c>
    </row>
    <row r="21" ht="15" customHeight="1">
      <c r="A21" t="inlineStr">
        <is>
          <t>Beat 3 Strategy Roguelikes</t>
        </is>
      </c>
      <c r="B21" t="inlineStr">
        <is>
          <t>Normal</t>
        </is>
      </c>
    </row>
    <row r="22" ht="15" customHeight="1">
      <c r="A22" t="inlineStr">
        <is>
          <t>Beat a run without meta progression</t>
        </is>
      </c>
      <c r="B22" t="inlineStr">
        <is>
          <t>Normal</t>
        </is>
      </c>
    </row>
    <row r="23" ht="15" customHeight="1">
      <c r="A23" t="inlineStr">
        <is>
          <t>Become a cannibal</t>
        </is>
      </c>
      <c r="B23" t="inlineStr">
        <is>
          <t>Normal</t>
        </is>
      </c>
    </row>
    <row r="24" ht="15" customHeight="1">
      <c r="A24" t="inlineStr">
        <is>
          <t>Complete a daily/weekly challenge run</t>
        </is>
      </c>
      <c r="B24" t="inlineStr">
        <is>
          <t>Normal</t>
        </is>
      </c>
    </row>
    <row r="25" ht="15" customHeight="1">
      <c r="A25" t="inlineStr">
        <is>
          <t>Deal damage equal to your block</t>
        </is>
      </c>
      <c r="B25" t="inlineStr">
        <is>
          <t>Normal</t>
        </is>
      </c>
    </row>
    <row r="26" ht="15" customHeight="1">
      <c r="A26" t="inlineStr">
        <is>
          <t>Defeat a boss without taking damage</t>
        </is>
      </c>
      <c r="B26" t="inlineStr">
        <is>
          <t>Normal</t>
        </is>
      </c>
    </row>
    <row r="27" ht="15" customHeight="1">
      <c r="A27" t="inlineStr">
        <is>
          <t>Defeat a magic boss with a gun</t>
        </is>
      </c>
      <c r="B27" t="inlineStr">
        <is>
          <t>Normal</t>
        </is>
      </c>
    </row>
    <row r="28" ht="15" customHeight="1">
      <c r="A28" t="inlineStr">
        <is>
          <t>Double your max health in a run</t>
        </is>
      </c>
      <c r="B28" t="inlineStr">
        <is>
          <t>Normal</t>
        </is>
      </c>
    </row>
    <row r="29" ht="15" customHeight="1">
      <c r="A29" t="inlineStr">
        <is>
          <t>Enchant an item to +5 or higher</t>
        </is>
      </c>
      <c r="B29" t="inlineStr">
        <is>
          <t>Normal</t>
        </is>
      </c>
    </row>
    <row r="30" ht="15" customHeight="1">
      <c r="A30" t="inlineStr">
        <is>
          <t>Get 10 achievements in 1 run</t>
        </is>
      </c>
      <c r="B30" t="inlineStr">
        <is>
          <t>Normal</t>
        </is>
      </c>
    </row>
    <row r="31" ht="15" customHeight="1">
      <c r="A31" t="inlineStr">
        <is>
          <t>Have a character reach "level 30"</t>
        </is>
      </c>
      <c r="B31" t="inlineStr">
        <is>
          <t>Normal</t>
        </is>
      </c>
    </row>
    <row r="32" ht="15" customHeight="1">
      <c r="A32" t="inlineStr">
        <is>
          <t>Have an enemy defeat 3 enemies</t>
        </is>
      </c>
      <c r="B32" t="inlineStr">
        <is>
          <t>Normal</t>
        </is>
      </c>
    </row>
    <row r="33" ht="15" customHeight="1">
      <c r="A33" t="inlineStr">
        <is>
          <t>Obtain 5 max tier items in one run</t>
        </is>
      </c>
      <c r="B33" t="inlineStr">
        <is>
          <t>Normal</t>
        </is>
      </c>
    </row>
    <row r="34" ht="15" customHeight="1">
      <c r="A34" t="inlineStr">
        <is>
          <t>Permanently remove 5 cards from your deck and win a run</t>
        </is>
      </c>
      <c r="B34" t="inlineStr">
        <is>
          <t>Normal</t>
        </is>
      </c>
    </row>
    <row r="35" ht="15" customHeight="1">
      <c r="A35" t="inlineStr">
        <is>
          <t>Ressurect yourself 3 times in one run and win</t>
        </is>
      </c>
      <c r="B35" t="inlineStr">
        <is>
          <t>Normal</t>
        </is>
      </c>
    </row>
    <row r="36" ht="15" customHeight="1">
      <c r="A36" t="inlineStr">
        <is>
          <t>Succesfully steal an item from a shop</t>
        </is>
      </c>
      <c r="B36" t="inlineStr">
        <is>
          <t>Normal</t>
        </is>
      </c>
    </row>
    <row r="37" ht="15" customHeight="1">
      <c r="A37" t="inlineStr">
        <is>
          <t>Tame an enemy</t>
        </is>
      </c>
      <c r="B37" t="inlineStr">
        <is>
          <t>Normal</t>
        </is>
      </c>
    </row>
    <row r="38" ht="15" customHeight="1">
      <c r="A38" t="inlineStr">
        <is>
          <t>Visit and beat the same game twice in one playthrough</t>
        </is>
      </c>
      <c r="B38" t="inlineStr">
        <is>
          <t>Normal</t>
        </is>
      </c>
    </row>
    <row r="39" ht="15" customHeight="1">
      <c r="A39" t="inlineStr">
        <is>
          <t>Beat a game you have gotten 100% achievements on</t>
        </is>
      </c>
      <c r="B39" t="inlineStr">
        <is>
          <t>Hard</t>
        </is>
      </c>
    </row>
    <row r="40" ht="15" customHeight="1">
      <c r="A40" t="inlineStr">
        <is>
          <t>Use elements to your advantage</t>
        </is>
      </c>
      <c r="B40" t="inlineStr">
        <is>
          <t>Normal</t>
        </is>
      </c>
    </row>
    <row r="41" ht="15" customHeight="1">
      <c r="A41" t="inlineStr">
        <is>
          <t>Steal 3 times in one game</t>
        </is>
      </c>
      <c r="B41" t="inlineStr">
        <is>
          <t>Normal</t>
        </is>
      </c>
    </row>
    <row r="42" ht="15" customHeight="1">
      <c r="A42" t="inlineStr">
        <is>
          <t>Get 100%+ crit chance</t>
        </is>
      </c>
      <c r="B42" t="inlineStr">
        <is>
          <t>Normal</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6.xml><?xml version="1.0" encoding="utf-8"?>
<worksheet xmlns="http://schemas.openxmlformats.org/spreadsheetml/2006/main">
  <sheetPr>
    <outlinePr summaryBelow="1" summaryRight="1"/>
    <pageSetUpPr/>
  </sheetPr>
  <dimension ref="A1:V140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6"/>
    <col width="12" customWidth="1" min="15" max="17"/>
    <col width="12" customWidth="1" min="20" max="22"/>
  </cols>
  <sheetData>
    <row r="1" ht="25.5" customHeight="1">
      <c r="A1" s="16" t="inlineStr">
        <is>
          <t>Game</t>
        </is>
      </c>
      <c r="B1" s="16" t="inlineStr">
        <is>
          <t>Year</t>
        </is>
      </c>
      <c r="C1" s="16" t="inlineStr">
        <is>
          <t>Type</t>
        </is>
      </c>
      <c r="D1" s="16" t="inlineStr">
        <is>
          <t>Degree</t>
        </is>
      </c>
      <c r="E1" s="16" t="inlineStr">
        <is>
          <t>Lane</t>
        </is>
      </c>
      <c r="F1" s="16" t="inlineStr">
        <is>
          <t>Stack</t>
        </is>
      </c>
      <c r="G1" s="16" t="inlineStr">
        <is>
          <t>Action X</t>
        </is>
      </c>
      <c r="H1" s="16" t="inlineStr">
        <is>
          <t>Action Y</t>
        </is>
      </c>
      <c r="I1" s="16" t="inlineStr">
        <is>
          <t>Strategy X</t>
        </is>
      </c>
      <c r="J1" s="16" t="inlineStr">
        <is>
          <t>Strategy Y</t>
        </is>
      </c>
      <c r="K1" s="16" t="inlineStr">
        <is>
          <t>Deckbuilder X</t>
        </is>
      </c>
      <c r="L1" s="16" t="inlineStr">
        <is>
          <t>Deckbuilder Y</t>
        </is>
      </c>
      <c r="M1" s="16" t="inlineStr">
        <is>
          <t>Traditional X</t>
        </is>
      </c>
      <c r="N1" s="16" t="inlineStr">
        <is>
          <t>Traditional Y</t>
        </is>
      </c>
      <c r="O1" s="16" t="inlineStr">
        <is>
          <t>Rank key</t>
        </is>
      </c>
      <c r="P1" s="16" t="inlineStr">
        <is>
          <t>Owned</t>
        </is>
      </c>
      <c r="Q1" s="16" t="inlineStr">
        <is>
          <t>Owned rank key</t>
        </is>
      </c>
      <c r="R1" s="16" t="inlineStr">
        <is>
          <t>Genre</t>
        </is>
      </c>
      <c r="T1" s="16" t="inlineStr">
        <is>
          <t>Influencer yr</t>
        </is>
      </c>
      <c r="U1" s="16" t="inlineStr">
        <is>
          <t>Influencee yr</t>
        </is>
      </c>
      <c r="V1" s="16" t="inlineStr">
        <is>
          <t>Span (yrs)</t>
        </is>
      </c>
    </row>
    <row r="2">
      <c r="A2">
        <f>IF(games!$A2="","",games!$A2)</f>
        <v/>
      </c>
      <c r="B2">
        <f>IF($A2="","",games!$B2)</f>
        <v/>
      </c>
      <c r="C2">
        <f>IF($A2="","",games!$C2)</f>
        <v/>
      </c>
      <c r="D2">
        <f>IF($A2="","",COUNTIF(connections!$A$2:$A$1400,$A2)+COUNTIF(connections!$B$2:$B$1400,$A2))</f>
        <v/>
      </c>
      <c r="E2">
        <f>IF($A2="","",IFERROR(MATCH($C2,$R$2:$R$5,0),0))</f>
        <v/>
      </c>
      <c r="F2">
        <f>IF($A2="","",MOD(ROW(),34))</f>
        <v/>
      </c>
      <c r="G2">
        <f>IF($A2="",NA(),IF($C2="Action",$B2,NA()))</f>
        <v/>
      </c>
      <c r="H2">
        <f>IF($A2="",NA(),IF($C2="Action",1+$F2*0.023,NA()))</f>
        <v/>
      </c>
      <c r="I2">
        <f>IF($A2="",NA(),IF($C2="Strategy",$B2,NA()))</f>
        <v/>
      </c>
      <c r="J2">
        <f>IF($A2="",NA(),IF($C2="Strategy",2+$F2*0.023,NA()))</f>
        <v/>
      </c>
      <c r="K2">
        <f>IF($A2="",NA(),IF($C2="Deckbuilder",$B2,NA()))</f>
        <v/>
      </c>
      <c r="L2">
        <f>IF($A2="",NA(),IF($C2="Deckbuilder",3+$F2*0.023,NA()))</f>
        <v/>
      </c>
      <c r="M2">
        <f>IF($A2="",NA(),IF($C2="Traditional",$B2,NA()))</f>
        <v/>
      </c>
      <c r="N2">
        <f>IF($A2="",NA(),IF($C2="Traditional",4+$F2*0.023,NA()))</f>
        <v/>
      </c>
      <c r="O2">
        <f>IF($A2="","",$D2+ROW()/1000000)</f>
        <v/>
      </c>
      <c r="P2">
        <f>IF(OR($A2="",games!$H2=""),"",games!$H2)</f>
        <v/>
      </c>
      <c r="Q2">
        <f>IF(OR($A2="",$P2&lt;&gt;"Yes"),"",$D2+ROW()/1000000)</f>
        <v/>
      </c>
      <c r="R2" s="12" t="inlineStr">
        <is>
          <t>Action</t>
        </is>
      </c>
      <c r="T2">
        <f>IF(connections!$A2="","",IFERROR(INDEX(games!$B$2:$B$950,MATCH(connections!$A2,games!$A$2:$A$950,0)),""))</f>
        <v/>
      </c>
      <c r="U2">
        <f>IF(connections!$A2="","",IFERROR(INDEX(games!$B$2:$B$950,MATCH(connections!$B2,games!$A$2:$A$950,0)),""))</f>
        <v/>
      </c>
      <c r="V2">
        <f>IF(OR($T2="",$U2=""),"",$U2-$T2)</f>
        <v/>
      </c>
    </row>
    <row r="3">
      <c r="A3">
        <f>IF(games!$A3="","",games!$A3)</f>
        <v/>
      </c>
      <c r="B3">
        <f>IF($A3="","",games!$B3)</f>
        <v/>
      </c>
      <c r="C3">
        <f>IF($A3="","",games!$C3)</f>
        <v/>
      </c>
      <c r="D3">
        <f>IF($A3="","",COUNTIF(connections!$A$2:$A$1400,$A3)+COUNTIF(connections!$B$2:$B$1400,$A3))</f>
        <v/>
      </c>
      <c r="E3">
        <f>IF($A3="","",IFERROR(MATCH($C3,$R$2:$R$5,0),0))</f>
        <v/>
      </c>
      <c r="F3">
        <f>IF($A3="","",MOD(ROW(),34))</f>
        <v/>
      </c>
      <c r="G3">
        <f>IF($A3="",NA(),IF($C3="Action",$B3,NA()))</f>
        <v/>
      </c>
      <c r="H3">
        <f>IF($A3="",NA(),IF($C3="Action",1+$F3*0.023,NA()))</f>
        <v/>
      </c>
      <c r="I3">
        <f>IF($A3="",NA(),IF($C3="Strategy",$B3,NA()))</f>
        <v/>
      </c>
      <c r="J3">
        <f>IF($A3="",NA(),IF($C3="Strategy",2+$F3*0.023,NA()))</f>
        <v/>
      </c>
      <c r="K3">
        <f>IF($A3="",NA(),IF($C3="Deckbuilder",$B3,NA()))</f>
        <v/>
      </c>
      <c r="L3">
        <f>IF($A3="",NA(),IF($C3="Deckbuilder",3+$F3*0.023,NA()))</f>
        <v/>
      </c>
      <c r="M3">
        <f>IF($A3="",NA(),IF($C3="Traditional",$B3,NA()))</f>
        <v/>
      </c>
      <c r="N3">
        <f>IF($A3="",NA(),IF($C3="Traditional",4+$F3*0.023,NA()))</f>
        <v/>
      </c>
      <c r="O3">
        <f>IF($A3="","",$D3+ROW()/1000000)</f>
        <v/>
      </c>
      <c r="P3">
        <f>IF(OR($A3="",games!$H3=""),"",games!$H3)</f>
        <v/>
      </c>
      <c r="Q3">
        <f>IF(OR($A3="",$P3&lt;&gt;"Yes"),"",$D3+ROW()/1000000)</f>
        <v/>
      </c>
      <c r="R3" s="12" t="inlineStr">
        <is>
          <t>Strategy</t>
        </is>
      </c>
      <c r="T3">
        <f>IF(connections!$A3="","",IFERROR(INDEX(games!$B$2:$B$950,MATCH(connections!$A3,games!$A$2:$A$950,0)),""))</f>
        <v/>
      </c>
      <c r="U3">
        <f>IF(connections!$A3="","",IFERROR(INDEX(games!$B$2:$B$950,MATCH(connections!$B3,games!$A$2:$A$950,0)),""))</f>
        <v/>
      </c>
      <c r="V3">
        <f>IF(OR($T3="",$U3=""),"",$U3-$T3)</f>
        <v/>
      </c>
    </row>
    <row r="4">
      <c r="A4">
        <f>IF(games!$A4="","",games!$A4)</f>
        <v/>
      </c>
      <c r="B4">
        <f>IF($A4="","",games!$B4)</f>
        <v/>
      </c>
      <c r="C4">
        <f>IF($A4="","",games!$C4)</f>
        <v/>
      </c>
      <c r="D4">
        <f>IF($A4="","",COUNTIF(connections!$A$2:$A$1400,$A4)+COUNTIF(connections!$B$2:$B$1400,$A4))</f>
        <v/>
      </c>
      <c r="E4">
        <f>IF($A4="","",IFERROR(MATCH($C4,$R$2:$R$5,0),0))</f>
        <v/>
      </c>
      <c r="F4">
        <f>IF($A4="","",MOD(ROW(),34))</f>
        <v/>
      </c>
      <c r="G4">
        <f>IF($A4="",NA(),IF($C4="Action",$B4,NA()))</f>
        <v/>
      </c>
      <c r="H4">
        <f>IF($A4="",NA(),IF($C4="Action",1+$F4*0.023,NA()))</f>
        <v/>
      </c>
      <c r="I4">
        <f>IF($A4="",NA(),IF($C4="Strategy",$B4,NA()))</f>
        <v/>
      </c>
      <c r="J4">
        <f>IF($A4="",NA(),IF($C4="Strategy",2+$F4*0.023,NA()))</f>
        <v/>
      </c>
      <c r="K4">
        <f>IF($A4="",NA(),IF($C4="Deckbuilder",$B4,NA()))</f>
        <v/>
      </c>
      <c r="L4">
        <f>IF($A4="",NA(),IF($C4="Deckbuilder",3+$F4*0.023,NA()))</f>
        <v/>
      </c>
      <c r="M4">
        <f>IF($A4="",NA(),IF($C4="Traditional",$B4,NA()))</f>
        <v/>
      </c>
      <c r="N4">
        <f>IF($A4="",NA(),IF($C4="Traditional",4+$F4*0.023,NA()))</f>
        <v/>
      </c>
      <c r="O4">
        <f>IF($A4="","",$D4+ROW()/1000000)</f>
        <v/>
      </c>
      <c r="P4">
        <f>IF(OR($A4="",games!$H4=""),"",games!$H4)</f>
        <v/>
      </c>
      <c r="Q4">
        <f>IF(OR($A4="",$P4&lt;&gt;"Yes"),"",$D4+ROW()/1000000)</f>
        <v/>
      </c>
      <c r="R4" s="12" t="inlineStr">
        <is>
          <t>Deckbuilder</t>
        </is>
      </c>
      <c r="T4">
        <f>IF(connections!$A4="","",IFERROR(INDEX(games!$B$2:$B$950,MATCH(connections!$A4,games!$A$2:$A$950,0)),""))</f>
        <v/>
      </c>
      <c r="U4">
        <f>IF(connections!$A4="","",IFERROR(INDEX(games!$B$2:$B$950,MATCH(connections!$B4,games!$A$2:$A$950,0)),""))</f>
        <v/>
      </c>
      <c r="V4">
        <f>IF(OR($T4="",$U4=""),"",$U4-$T4)</f>
        <v/>
      </c>
    </row>
    <row r="5">
      <c r="A5">
        <f>IF(games!$A5="","",games!$A5)</f>
        <v/>
      </c>
      <c r="B5">
        <f>IF($A5="","",games!$B5)</f>
        <v/>
      </c>
      <c r="C5">
        <f>IF($A5="","",games!$C5)</f>
        <v/>
      </c>
      <c r="D5">
        <f>IF($A5="","",COUNTIF(connections!$A$2:$A$1400,$A5)+COUNTIF(connections!$B$2:$B$1400,$A5))</f>
        <v/>
      </c>
      <c r="E5">
        <f>IF($A5="","",IFERROR(MATCH($C5,$R$2:$R$5,0),0))</f>
        <v/>
      </c>
      <c r="F5">
        <f>IF($A5="","",MOD(ROW(),34))</f>
        <v/>
      </c>
      <c r="G5">
        <f>IF($A5="",NA(),IF($C5="Action",$B5,NA()))</f>
        <v/>
      </c>
      <c r="H5">
        <f>IF($A5="",NA(),IF($C5="Action",1+$F5*0.023,NA()))</f>
        <v/>
      </c>
      <c r="I5">
        <f>IF($A5="",NA(),IF($C5="Strategy",$B5,NA()))</f>
        <v/>
      </c>
      <c r="J5">
        <f>IF($A5="",NA(),IF($C5="Strategy",2+$F5*0.023,NA()))</f>
        <v/>
      </c>
      <c r="K5">
        <f>IF($A5="",NA(),IF($C5="Deckbuilder",$B5,NA()))</f>
        <v/>
      </c>
      <c r="L5">
        <f>IF($A5="",NA(),IF($C5="Deckbuilder",3+$F5*0.023,NA()))</f>
        <v/>
      </c>
      <c r="M5">
        <f>IF($A5="",NA(),IF($C5="Traditional",$B5,NA()))</f>
        <v/>
      </c>
      <c r="N5">
        <f>IF($A5="",NA(),IF($C5="Traditional",4+$F5*0.023,NA()))</f>
        <v/>
      </c>
      <c r="O5">
        <f>IF($A5="","",$D5+ROW()/1000000)</f>
        <v/>
      </c>
      <c r="P5">
        <f>IF(OR($A5="",games!$H5=""),"",games!$H5)</f>
        <v/>
      </c>
      <c r="Q5">
        <f>IF(OR($A5="",$P5&lt;&gt;"Yes"),"",$D5+ROW()/1000000)</f>
        <v/>
      </c>
      <c r="R5" s="12" t="inlineStr">
        <is>
          <t>Traditional</t>
        </is>
      </c>
      <c r="T5">
        <f>IF(connections!$A5="","",IFERROR(INDEX(games!$B$2:$B$950,MATCH(connections!$A5,games!$A$2:$A$950,0)),""))</f>
        <v/>
      </c>
      <c r="U5">
        <f>IF(connections!$A5="","",IFERROR(INDEX(games!$B$2:$B$950,MATCH(connections!$B5,games!$A$2:$A$950,0)),""))</f>
        <v/>
      </c>
      <c r="V5">
        <f>IF(OR($T5="",$U5=""),"",$U5-$T5)</f>
        <v/>
      </c>
    </row>
    <row r="6">
      <c r="A6">
        <f>IF(games!$A6="","",games!$A6)</f>
        <v/>
      </c>
      <c r="B6">
        <f>IF($A6="","",games!$B6)</f>
        <v/>
      </c>
      <c r="C6">
        <f>IF($A6="","",games!$C6)</f>
        <v/>
      </c>
      <c r="D6">
        <f>IF($A6="","",COUNTIF(connections!$A$2:$A$1400,$A6)+COUNTIF(connections!$B$2:$B$1400,$A6))</f>
        <v/>
      </c>
      <c r="E6">
        <f>IF($A6="","",IFERROR(MATCH($C6,$R$2:$R$5,0),0))</f>
        <v/>
      </c>
      <c r="F6">
        <f>IF($A6="","",MOD(ROW(),34))</f>
        <v/>
      </c>
      <c r="G6">
        <f>IF($A6="",NA(),IF($C6="Action",$B6,NA()))</f>
        <v/>
      </c>
      <c r="H6">
        <f>IF($A6="",NA(),IF($C6="Action",1+$F6*0.023,NA()))</f>
        <v/>
      </c>
      <c r="I6">
        <f>IF($A6="",NA(),IF($C6="Strategy",$B6,NA()))</f>
        <v/>
      </c>
      <c r="J6">
        <f>IF($A6="",NA(),IF($C6="Strategy",2+$F6*0.023,NA()))</f>
        <v/>
      </c>
      <c r="K6">
        <f>IF($A6="",NA(),IF($C6="Deckbuilder",$B6,NA()))</f>
        <v/>
      </c>
      <c r="L6">
        <f>IF($A6="",NA(),IF($C6="Deckbuilder",3+$F6*0.023,NA()))</f>
        <v/>
      </c>
      <c r="M6">
        <f>IF($A6="",NA(),IF($C6="Traditional",$B6,NA()))</f>
        <v/>
      </c>
      <c r="N6">
        <f>IF($A6="",NA(),IF($C6="Traditional",4+$F6*0.023,NA()))</f>
        <v/>
      </c>
      <c r="O6">
        <f>IF($A6="","",$D6+ROW()/1000000)</f>
        <v/>
      </c>
      <c r="P6">
        <f>IF(OR($A6="",games!$H6=""),"",games!$H6)</f>
        <v/>
      </c>
      <c r="Q6">
        <f>IF(OR($A6="",$P6&lt;&gt;"Yes"),"",$D6+ROW()/1000000)</f>
        <v/>
      </c>
      <c r="T6">
        <f>IF(connections!$A6="","",IFERROR(INDEX(games!$B$2:$B$950,MATCH(connections!$A6,games!$A$2:$A$950,0)),""))</f>
        <v/>
      </c>
      <c r="U6">
        <f>IF(connections!$A6="","",IFERROR(INDEX(games!$B$2:$B$950,MATCH(connections!$B6,games!$A$2:$A$950,0)),""))</f>
        <v/>
      </c>
      <c r="V6">
        <f>IF(OR($T6="",$U6=""),"",$U6-$T6)</f>
        <v/>
      </c>
    </row>
    <row r="7">
      <c r="A7">
        <f>IF(games!$A7="","",games!$A7)</f>
        <v/>
      </c>
      <c r="B7">
        <f>IF($A7="","",games!$B7)</f>
        <v/>
      </c>
      <c r="C7">
        <f>IF($A7="","",games!$C7)</f>
        <v/>
      </c>
      <c r="D7">
        <f>IF($A7="","",COUNTIF(connections!$A$2:$A$1400,$A7)+COUNTIF(connections!$B$2:$B$1400,$A7))</f>
        <v/>
      </c>
      <c r="E7">
        <f>IF($A7="","",IFERROR(MATCH($C7,$R$2:$R$5,0),0))</f>
        <v/>
      </c>
      <c r="F7">
        <f>IF($A7="","",MOD(ROW(),34))</f>
        <v/>
      </c>
      <c r="G7">
        <f>IF($A7="",NA(),IF($C7="Action",$B7,NA()))</f>
        <v/>
      </c>
      <c r="H7">
        <f>IF($A7="",NA(),IF($C7="Action",1+$F7*0.023,NA()))</f>
        <v/>
      </c>
      <c r="I7">
        <f>IF($A7="",NA(),IF($C7="Strategy",$B7,NA()))</f>
        <v/>
      </c>
      <c r="J7">
        <f>IF($A7="",NA(),IF($C7="Strategy",2+$F7*0.023,NA()))</f>
        <v/>
      </c>
      <c r="K7">
        <f>IF($A7="",NA(),IF($C7="Deckbuilder",$B7,NA()))</f>
        <v/>
      </c>
      <c r="L7">
        <f>IF($A7="",NA(),IF($C7="Deckbuilder",3+$F7*0.023,NA()))</f>
        <v/>
      </c>
      <c r="M7">
        <f>IF($A7="",NA(),IF($C7="Traditional",$B7,NA()))</f>
        <v/>
      </c>
      <c r="N7">
        <f>IF($A7="",NA(),IF($C7="Traditional",4+$F7*0.023,NA()))</f>
        <v/>
      </c>
      <c r="O7">
        <f>IF($A7="","",$D7+ROW()/1000000)</f>
        <v/>
      </c>
      <c r="P7">
        <f>IF(OR($A7="",games!$H7=""),"",games!$H7)</f>
        <v/>
      </c>
      <c r="Q7">
        <f>IF(OR($A7="",$P7&lt;&gt;"Yes"),"",$D7+ROW()/1000000)</f>
        <v/>
      </c>
      <c r="T7">
        <f>IF(connections!$A7="","",IFERROR(INDEX(games!$B$2:$B$950,MATCH(connections!$A7,games!$A$2:$A$950,0)),""))</f>
        <v/>
      </c>
      <c r="U7">
        <f>IF(connections!$A7="","",IFERROR(INDEX(games!$B$2:$B$950,MATCH(connections!$B7,games!$A$2:$A$950,0)),""))</f>
        <v/>
      </c>
      <c r="V7">
        <f>IF(OR($T7="",$U7=""),"",$U7-$T7)</f>
        <v/>
      </c>
    </row>
    <row r="8">
      <c r="A8">
        <f>IF(games!$A8="","",games!$A8)</f>
        <v/>
      </c>
      <c r="B8">
        <f>IF($A8="","",games!$B8)</f>
        <v/>
      </c>
      <c r="C8">
        <f>IF($A8="","",games!$C8)</f>
        <v/>
      </c>
      <c r="D8">
        <f>IF($A8="","",COUNTIF(connections!$A$2:$A$1400,$A8)+COUNTIF(connections!$B$2:$B$1400,$A8))</f>
        <v/>
      </c>
      <c r="E8">
        <f>IF($A8="","",IFERROR(MATCH($C8,$R$2:$R$5,0),0))</f>
        <v/>
      </c>
      <c r="F8">
        <f>IF($A8="","",MOD(ROW(),34))</f>
        <v/>
      </c>
      <c r="G8">
        <f>IF($A8="",NA(),IF($C8="Action",$B8,NA()))</f>
        <v/>
      </c>
      <c r="H8">
        <f>IF($A8="",NA(),IF($C8="Action",1+$F8*0.023,NA()))</f>
        <v/>
      </c>
      <c r="I8">
        <f>IF($A8="",NA(),IF($C8="Strategy",$B8,NA()))</f>
        <v/>
      </c>
      <c r="J8">
        <f>IF($A8="",NA(),IF($C8="Strategy",2+$F8*0.023,NA()))</f>
        <v/>
      </c>
      <c r="K8">
        <f>IF($A8="",NA(),IF($C8="Deckbuilder",$B8,NA()))</f>
        <v/>
      </c>
      <c r="L8">
        <f>IF($A8="",NA(),IF($C8="Deckbuilder",3+$F8*0.023,NA()))</f>
        <v/>
      </c>
      <c r="M8">
        <f>IF($A8="",NA(),IF($C8="Traditional",$B8,NA()))</f>
        <v/>
      </c>
      <c r="N8">
        <f>IF($A8="",NA(),IF($C8="Traditional",4+$F8*0.023,NA()))</f>
        <v/>
      </c>
      <c r="O8">
        <f>IF($A8="","",$D8+ROW()/1000000)</f>
        <v/>
      </c>
      <c r="P8">
        <f>IF(OR($A8="",games!$H8=""),"",games!$H8)</f>
        <v/>
      </c>
      <c r="Q8">
        <f>IF(OR($A8="",$P8&lt;&gt;"Yes"),"",$D8+ROW()/1000000)</f>
        <v/>
      </c>
      <c r="T8">
        <f>IF(connections!$A8="","",IFERROR(INDEX(games!$B$2:$B$950,MATCH(connections!$A8,games!$A$2:$A$950,0)),""))</f>
        <v/>
      </c>
      <c r="U8">
        <f>IF(connections!$A8="","",IFERROR(INDEX(games!$B$2:$B$950,MATCH(connections!$B8,games!$A$2:$A$950,0)),""))</f>
        <v/>
      </c>
      <c r="V8">
        <f>IF(OR($T8="",$U8=""),"",$U8-$T8)</f>
        <v/>
      </c>
    </row>
    <row r="9">
      <c r="A9">
        <f>IF(games!$A9="","",games!$A9)</f>
        <v/>
      </c>
      <c r="B9">
        <f>IF($A9="","",games!$B9)</f>
        <v/>
      </c>
      <c r="C9">
        <f>IF($A9="","",games!$C9)</f>
        <v/>
      </c>
      <c r="D9">
        <f>IF($A9="","",COUNTIF(connections!$A$2:$A$1400,$A9)+COUNTIF(connections!$B$2:$B$1400,$A9))</f>
        <v/>
      </c>
      <c r="E9">
        <f>IF($A9="","",IFERROR(MATCH($C9,$R$2:$R$5,0),0))</f>
        <v/>
      </c>
      <c r="F9">
        <f>IF($A9="","",MOD(ROW(),34))</f>
        <v/>
      </c>
      <c r="G9">
        <f>IF($A9="",NA(),IF($C9="Action",$B9,NA()))</f>
        <v/>
      </c>
      <c r="H9">
        <f>IF($A9="",NA(),IF($C9="Action",1+$F9*0.023,NA()))</f>
        <v/>
      </c>
      <c r="I9">
        <f>IF($A9="",NA(),IF($C9="Strategy",$B9,NA()))</f>
        <v/>
      </c>
      <c r="J9">
        <f>IF($A9="",NA(),IF($C9="Strategy",2+$F9*0.023,NA()))</f>
        <v/>
      </c>
      <c r="K9">
        <f>IF($A9="",NA(),IF($C9="Deckbuilder",$B9,NA()))</f>
        <v/>
      </c>
      <c r="L9">
        <f>IF($A9="",NA(),IF($C9="Deckbuilder",3+$F9*0.023,NA()))</f>
        <v/>
      </c>
      <c r="M9">
        <f>IF($A9="",NA(),IF($C9="Traditional",$B9,NA()))</f>
        <v/>
      </c>
      <c r="N9">
        <f>IF($A9="",NA(),IF($C9="Traditional",4+$F9*0.023,NA()))</f>
        <v/>
      </c>
      <c r="O9">
        <f>IF($A9="","",$D9+ROW()/1000000)</f>
        <v/>
      </c>
      <c r="P9">
        <f>IF(OR($A9="",games!$H9=""),"",games!$H9)</f>
        <v/>
      </c>
      <c r="Q9">
        <f>IF(OR($A9="",$P9&lt;&gt;"Yes"),"",$D9+ROW()/1000000)</f>
        <v/>
      </c>
      <c r="T9">
        <f>IF(connections!$A9="","",IFERROR(INDEX(games!$B$2:$B$950,MATCH(connections!$A9,games!$A$2:$A$950,0)),""))</f>
        <v/>
      </c>
      <c r="U9">
        <f>IF(connections!$A9="","",IFERROR(INDEX(games!$B$2:$B$950,MATCH(connections!$B9,games!$A$2:$A$950,0)),""))</f>
        <v/>
      </c>
      <c r="V9">
        <f>IF(OR($T9="",$U9=""),"",$U9-$T9)</f>
        <v/>
      </c>
    </row>
    <row r="10">
      <c r="A10">
        <f>IF(games!$A10="","",games!$A10)</f>
        <v/>
      </c>
      <c r="B10">
        <f>IF($A10="","",games!$B10)</f>
        <v/>
      </c>
      <c r="C10">
        <f>IF($A10="","",games!$C10)</f>
        <v/>
      </c>
      <c r="D10">
        <f>IF($A10="","",COUNTIF(connections!$A$2:$A$1400,$A10)+COUNTIF(connections!$B$2:$B$1400,$A10))</f>
        <v/>
      </c>
      <c r="E10">
        <f>IF($A10="","",IFERROR(MATCH($C10,$R$2:$R$5,0),0))</f>
        <v/>
      </c>
      <c r="F10">
        <f>IF($A10="","",MOD(ROW(),34))</f>
        <v/>
      </c>
      <c r="G10">
        <f>IF($A10="",NA(),IF($C10="Action",$B10,NA()))</f>
        <v/>
      </c>
      <c r="H10">
        <f>IF($A10="",NA(),IF($C10="Action",1+$F10*0.023,NA()))</f>
        <v/>
      </c>
      <c r="I10">
        <f>IF($A10="",NA(),IF($C10="Strategy",$B10,NA()))</f>
        <v/>
      </c>
      <c r="J10">
        <f>IF($A10="",NA(),IF($C10="Strategy",2+$F10*0.023,NA()))</f>
        <v/>
      </c>
      <c r="K10">
        <f>IF($A10="",NA(),IF($C10="Deckbuilder",$B10,NA()))</f>
        <v/>
      </c>
      <c r="L10">
        <f>IF($A10="",NA(),IF($C10="Deckbuilder",3+$F10*0.023,NA()))</f>
        <v/>
      </c>
      <c r="M10">
        <f>IF($A10="",NA(),IF($C10="Traditional",$B10,NA()))</f>
        <v/>
      </c>
      <c r="N10">
        <f>IF($A10="",NA(),IF($C10="Traditional",4+$F10*0.023,NA()))</f>
        <v/>
      </c>
      <c r="O10">
        <f>IF($A10="","",$D10+ROW()/1000000)</f>
        <v/>
      </c>
      <c r="P10">
        <f>IF(OR($A10="",games!$H10=""),"",games!$H10)</f>
        <v/>
      </c>
      <c r="Q10">
        <f>IF(OR($A10="",$P10&lt;&gt;"Yes"),"",$D10+ROW()/1000000)</f>
        <v/>
      </c>
      <c r="T10">
        <f>IF(connections!$A10="","",IFERROR(INDEX(games!$B$2:$B$950,MATCH(connections!$A10,games!$A$2:$A$950,0)),""))</f>
        <v/>
      </c>
      <c r="U10">
        <f>IF(connections!$A10="","",IFERROR(INDEX(games!$B$2:$B$950,MATCH(connections!$B10,games!$A$2:$A$950,0)),""))</f>
        <v/>
      </c>
      <c r="V10">
        <f>IF(OR($T10="",$U10=""),"",$U10-$T10)</f>
        <v/>
      </c>
    </row>
    <row r="11">
      <c r="A11">
        <f>IF(games!$A11="","",games!$A11)</f>
        <v/>
      </c>
      <c r="B11">
        <f>IF($A11="","",games!$B11)</f>
        <v/>
      </c>
      <c r="C11">
        <f>IF($A11="","",games!$C11)</f>
        <v/>
      </c>
      <c r="D11">
        <f>IF($A11="","",COUNTIF(connections!$A$2:$A$1400,$A11)+COUNTIF(connections!$B$2:$B$1400,$A11))</f>
        <v/>
      </c>
      <c r="E11">
        <f>IF($A11="","",IFERROR(MATCH($C11,$R$2:$R$5,0),0))</f>
        <v/>
      </c>
      <c r="F11">
        <f>IF($A11="","",MOD(ROW(),34))</f>
        <v/>
      </c>
      <c r="G11">
        <f>IF($A11="",NA(),IF($C11="Action",$B11,NA()))</f>
        <v/>
      </c>
      <c r="H11">
        <f>IF($A11="",NA(),IF($C11="Action",1+$F11*0.023,NA()))</f>
        <v/>
      </c>
      <c r="I11">
        <f>IF($A11="",NA(),IF($C11="Strategy",$B11,NA()))</f>
        <v/>
      </c>
      <c r="J11">
        <f>IF($A11="",NA(),IF($C11="Strategy",2+$F11*0.023,NA()))</f>
        <v/>
      </c>
      <c r="K11">
        <f>IF($A11="",NA(),IF($C11="Deckbuilder",$B11,NA()))</f>
        <v/>
      </c>
      <c r="L11">
        <f>IF($A11="",NA(),IF($C11="Deckbuilder",3+$F11*0.023,NA()))</f>
        <v/>
      </c>
      <c r="M11">
        <f>IF($A11="",NA(),IF($C11="Traditional",$B11,NA()))</f>
        <v/>
      </c>
      <c r="N11">
        <f>IF($A11="",NA(),IF($C11="Traditional",4+$F11*0.023,NA()))</f>
        <v/>
      </c>
      <c r="O11">
        <f>IF($A11="","",$D11+ROW()/1000000)</f>
        <v/>
      </c>
      <c r="P11">
        <f>IF(OR($A11="",games!$H11=""),"",games!$H11)</f>
        <v/>
      </c>
      <c r="Q11">
        <f>IF(OR($A11="",$P11&lt;&gt;"Yes"),"",$D11+ROW()/1000000)</f>
        <v/>
      </c>
      <c r="T11">
        <f>IF(connections!$A11="","",IFERROR(INDEX(games!$B$2:$B$950,MATCH(connections!$A11,games!$A$2:$A$950,0)),""))</f>
        <v/>
      </c>
      <c r="U11">
        <f>IF(connections!$A11="","",IFERROR(INDEX(games!$B$2:$B$950,MATCH(connections!$B11,games!$A$2:$A$950,0)),""))</f>
        <v/>
      </c>
      <c r="V11">
        <f>IF(OR($T11="",$U11=""),"",$U11-$T11)</f>
        <v/>
      </c>
    </row>
    <row r="12">
      <c r="A12">
        <f>IF(games!$A12="","",games!$A12)</f>
        <v/>
      </c>
      <c r="B12">
        <f>IF($A12="","",games!$B12)</f>
        <v/>
      </c>
      <c r="C12">
        <f>IF($A12="","",games!$C12)</f>
        <v/>
      </c>
      <c r="D12">
        <f>IF($A12="","",COUNTIF(connections!$A$2:$A$1400,$A12)+COUNTIF(connections!$B$2:$B$1400,$A12))</f>
        <v/>
      </c>
      <c r="E12">
        <f>IF($A12="","",IFERROR(MATCH($C12,$R$2:$R$5,0),0))</f>
        <v/>
      </c>
      <c r="F12">
        <f>IF($A12="","",MOD(ROW(),34))</f>
        <v/>
      </c>
      <c r="G12">
        <f>IF($A12="",NA(),IF($C12="Action",$B12,NA()))</f>
        <v/>
      </c>
      <c r="H12">
        <f>IF($A12="",NA(),IF($C12="Action",1+$F12*0.023,NA()))</f>
        <v/>
      </c>
      <c r="I12">
        <f>IF($A12="",NA(),IF($C12="Strategy",$B12,NA()))</f>
        <v/>
      </c>
      <c r="J12">
        <f>IF($A12="",NA(),IF($C12="Strategy",2+$F12*0.023,NA()))</f>
        <v/>
      </c>
      <c r="K12">
        <f>IF($A12="",NA(),IF($C12="Deckbuilder",$B12,NA()))</f>
        <v/>
      </c>
      <c r="L12">
        <f>IF($A12="",NA(),IF($C12="Deckbuilder",3+$F12*0.023,NA()))</f>
        <v/>
      </c>
      <c r="M12">
        <f>IF($A12="",NA(),IF($C12="Traditional",$B12,NA()))</f>
        <v/>
      </c>
      <c r="N12">
        <f>IF($A12="",NA(),IF($C12="Traditional",4+$F12*0.023,NA()))</f>
        <v/>
      </c>
      <c r="O12">
        <f>IF($A12="","",$D12+ROW()/1000000)</f>
        <v/>
      </c>
      <c r="P12">
        <f>IF(OR($A12="",games!$H12=""),"",games!$H12)</f>
        <v/>
      </c>
      <c r="Q12">
        <f>IF(OR($A12="",$P12&lt;&gt;"Yes"),"",$D12+ROW()/1000000)</f>
        <v/>
      </c>
      <c r="T12">
        <f>IF(connections!$A12="","",IFERROR(INDEX(games!$B$2:$B$950,MATCH(connections!$A12,games!$A$2:$A$950,0)),""))</f>
        <v/>
      </c>
      <c r="U12">
        <f>IF(connections!$A12="","",IFERROR(INDEX(games!$B$2:$B$950,MATCH(connections!$B12,games!$A$2:$A$950,0)),""))</f>
        <v/>
      </c>
      <c r="V12">
        <f>IF(OR($T12="",$U12=""),"",$U12-$T12)</f>
        <v/>
      </c>
    </row>
    <row r="13">
      <c r="A13">
        <f>IF(games!$A13="","",games!$A13)</f>
        <v/>
      </c>
      <c r="B13">
        <f>IF($A13="","",games!$B13)</f>
        <v/>
      </c>
      <c r="C13">
        <f>IF($A13="","",games!$C13)</f>
        <v/>
      </c>
      <c r="D13">
        <f>IF($A13="","",COUNTIF(connections!$A$2:$A$1400,$A13)+COUNTIF(connections!$B$2:$B$1400,$A13))</f>
        <v/>
      </c>
      <c r="E13">
        <f>IF($A13="","",IFERROR(MATCH($C13,$R$2:$R$5,0),0))</f>
        <v/>
      </c>
      <c r="F13">
        <f>IF($A13="","",MOD(ROW(),34))</f>
        <v/>
      </c>
      <c r="G13">
        <f>IF($A13="",NA(),IF($C13="Action",$B13,NA()))</f>
        <v/>
      </c>
      <c r="H13">
        <f>IF($A13="",NA(),IF($C13="Action",1+$F13*0.023,NA()))</f>
        <v/>
      </c>
      <c r="I13">
        <f>IF($A13="",NA(),IF($C13="Strategy",$B13,NA()))</f>
        <v/>
      </c>
      <c r="J13">
        <f>IF($A13="",NA(),IF($C13="Strategy",2+$F13*0.023,NA()))</f>
        <v/>
      </c>
      <c r="K13">
        <f>IF($A13="",NA(),IF($C13="Deckbuilder",$B13,NA()))</f>
        <v/>
      </c>
      <c r="L13">
        <f>IF($A13="",NA(),IF($C13="Deckbuilder",3+$F13*0.023,NA()))</f>
        <v/>
      </c>
      <c r="M13">
        <f>IF($A13="",NA(),IF($C13="Traditional",$B13,NA()))</f>
        <v/>
      </c>
      <c r="N13">
        <f>IF($A13="",NA(),IF($C13="Traditional",4+$F13*0.023,NA()))</f>
        <v/>
      </c>
      <c r="O13">
        <f>IF($A13="","",$D13+ROW()/1000000)</f>
        <v/>
      </c>
      <c r="P13">
        <f>IF(OR($A13="",games!$H13=""),"",games!$H13)</f>
        <v/>
      </c>
      <c r="Q13">
        <f>IF(OR($A13="",$P13&lt;&gt;"Yes"),"",$D13+ROW()/1000000)</f>
        <v/>
      </c>
      <c r="T13">
        <f>IF(connections!$A13="","",IFERROR(INDEX(games!$B$2:$B$950,MATCH(connections!$A13,games!$A$2:$A$950,0)),""))</f>
        <v/>
      </c>
      <c r="U13">
        <f>IF(connections!$A13="","",IFERROR(INDEX(games!$B$2:$B$950,MATCH(connections!$B13,games!$A$2:$A$950,0)),""))</f>
        <v/>
      </c>
      <c r="V13">
        <f>IF(OR($T13="",$U13=""),"",$U13-$T13)</f>
        <v/>
      </c>
    </row>
    <row r="14">
      <c r="A14">
        <f>IF(games!$A14="","",games!$A14)</f>
        <v/>
      </c>
      <c r="B14">
        <f>IF($A14="","",games!$B14)</f>
        <v/>
      </c>
      <c r="C14">
        <f>IF($A14="","",games!$C14)</f>
        <v/>
      </c>
      <c r="D14">
        <f>IF($A14="","",COUNTIF(connections!$A$2:$A$1400,$A14)+COUNTIF(connections!$B$2:$B$1400,$A14))</f>
        <v/>
      </c>
      <c r="E14">
        <f>IF($A14="","",IFERROR(MATCH($C14,$R$2:$R$5,0),0))</f>
        <v/>
      </c>
      <c r="F14">
        <f>IF($A14="","",MOD(ROW(),34))</f>
        <v/>
      </c>
      <c r="G14">
        <f>IF($A14="",NA(),IF($C14="Action",$B14,NA()))</f>
        <v/>
      </c>
      <c r="H14">
        <f>IF($A14="",NA(),IF($C14="Action",1+$F14*0.023,NA()))</f>
        <v/>
      </c>
      <c r="I14">
        <f>IF($A14="",NA(),IF($C14="Strategy",$B14,NA()))</f>
        <v/>
      </c>
      <c r="J14">
        <f>IF($A14="",NA(),IF($C14="Strategy",2+$F14*0.023,NA()))</f>
        <v/>
      </c>
      <c r="K14">
        <f>IF($A14="",NA(),IF($C14="Deckbuilder",$B14,NA()))</f>
        <v/>
      </c>
      <c r="L14">
        <f>IF($A14="",NA(),IF($C14="Deckbuilder",3+$F14*0.023,NA()))</f>
        <v/>
      </c>
      <c r="M14">
        <f>IF($A14="",NA(),IF($C14="Traditional",$B14,NA()))</f>
        <v/>
      </c>
      <c r="N14">
        <f>IF($A14="",NA(),IF($C14="Traditional",4+$F14*0.023,NA()))</f>
        <v/>
      </c>
      <c r="O14">
        <f>IF($A14="","",$D14+ROW()/1000000)</f>
        <v/>
      </c>
      <c r="P14">
        <f>IF(OR($A14="",games!$H14=""),"",games!$H14)</f>
        <v/>
      </c>
      <c r="Q14">
        <f>IF(OR($A14="",$P14&lt;&gt;"Yes"),"",$D14+ROW()/1000000)</f>
        <v/>
      </c>
      <c r="T14">
        <f>IF(connections!$A14="","",IFERROR(INDEX(games!$B$2:$B$950,MATCH(connections!$A14,games!$A$2:$A$950,0)),""))</f>
        <v/>
      </c>
      <c r="U14">
        <f>IF(connections!$A14="","",IFERROR(INDEX(games!$B$2:$B$950,MATCH(connections!$B14,games!$A$2:$A$950,0)),""))</f>
        <v/>
      </c>
      <c r="V14">
        <f>IF(OR($T14="",$U14=""),"",$U14-$T14)</f>
        <v/>
      </c>
    </row>
    <row r="15">
      <c r="A15">
        <f>IF(games!$A15="","",games!$A15)</f>
        <v/>
      </c>
      <c r="B15">
        <f>IF($A15="","",games!$B15)</f>
        <v/>
      </c>
      <c r="C15">
        <f>IF($A15="","",games!$C15)</f>
        <v/>
      </c>
      <c r="D15">
        <f>IF($A15="","",COUNTIF(connections!$A$2:$A$1400,$A15)+COUNTIF(connections!$B$2:$B$1400,$A15))</f>
        <v/>
      </c>
      <c r="E15">
        <f>IF($A15="","",IFERROR(MATCH($C15,$R$2:$R$5,0),0))</f>
        <v/>
      </c>
      <c r="F15">
        <f>IF($A15="","",MOD(ROW(),34))</f>
        <v/>
      </c>
      <c r="G15">
        <f>IF($A15="",NA(),IF($C15="Action",$B15,NA()))</f>
        <v/>
      </c>
      <c r="H15">
        <f>IF($A15="",NA(),IF($C15="Action",1+$F15*0.023,NA()))</f>
        <v/>
      </c>
      <c r="I15">
        <f>IF($A15="",NA(),IF($C15="Strategy",$B15,NA()))</f>
        <v/>
      </c>
      <c r="J15">
        <f>IF($A15="",NA(),IF($C15="Strategy",2+$F15*0.023,NA()))</f>
        <v/>
      </c>
      <c r="K15">
        <f>IF($A15="",NA(),IF($C15="Deckbuilder",$B15,NA()))</f>
        <v/>
      </c>
      <c r="L15">
        <f>IF($A15="",NA(),IF($C15="Deckbuilder",3+$F15*0.023,NA()))</f>
        <v/>
      </c>
      <c r="M15">
        <f>IF($A15="",NA(),IF($C15="Traditional",$B15,NA()))</f>
        <v/>
      </c>
      <c r="N15">
        <f>IF($A15="",NA(),IF($C15="Traditional",4+$F15*0.023,NA()))</f>
        <v/>
      </c>
      <c r="O15">
        <f>IF($A15="","",$D15+ROW()/1000000)</f>
        <v/>
      </c>
      <c r="P15">
        <f>IF(OR($A15="",games!$H15=""),"",games!$H15)</f>
        <v/>
      </c>
      <c r="Q15">
        <f>IF(OR($A15="",$P15&lt;&gt;"Yes"),"",$D15+ROW()/1000000)</f>
        <v/>
      </c>
      <c r="T15">
        <f>IF(connections!$A15="","",IFERROR(INDEX(games!$B$2:$B$950,MATCH(connections!$A15,games!$A$2:$A$950,0)),""))</f>
        <v/>
      </c>
      <c r="U15">
        <f>IF(connections!$A15="","",IFERROR(INDEX(games!$B$2:$B$950,MATCH(connections!$B15,games!$A$2:$A$950,0)),""))</f>
        <v/>
      </c>
      <c r="V15">
        <f>IF(OR($T15="",$U15=""),"",$U15-$T15)</f>
        <v/>
      </c>
    </row>
    <row r="16">
      <c r="A16">
        <f>IF(games!$A16="","",games!$A16)</f>
        <v/>
      </c>
      <c r="B16">
        <f>IF($A16="","",games!$B16)</f>
        <v/>
      </c>
      <c r="C16">
        <f>IF($A16="","",games!$C16)</f>
        <v/>
      </c>
      <c r="D16">
        <f>IF($A16="","",COUNTIF(connections!$A$2:$A$1400,$A16)+COUNTIF(connections!$B$2:$B$1400,$A16))</f>
        <v/>
      </c>
      <c r="E16">
        <f>IF($A16="","",IFERROR(MATCH($C16,$R$2:$R$5,0),0))</f>
        <v/>
      </c>
      <c r="F16">
        <f>IF($A16="","",MOD(ROW(),34))</f>
        <v/>
      </c>
      <c r="G16">
        <f>IF($A16="",NA(),IF($C16="Action",$B16,NA()))</f>
        <v/>
      </c>
      <c r="H16">
        <f>IF($A16="",NA(),IF($C16="Action",1+$F16*0.023,NA()))</f>
        <v/>
      </c>
      <c r="I16">
        <f>IF($A16="",NA(),IF($C16="Strategy",$B16,NA()))</f>
        <v/>
      </c>
      <c r="J16">
        <f>IF($A16="",NA(),IF($C16="Strategy",2+$F16*0.023,NA()))</f>
        <v/>
      </c>
      <c r="K16">
        <f>IF($A16="",NA(),IF($C16="Deckbuilder",$B16,NA()))</f>
        <v/>
      </c>
      <c r="L16">
        <f>IF($A16="",NA(),IF($C16="Deckbuilder",3+$F16*0.023,NA()))</f>
        <v/>
      </c>
      <c r="M16">
        <f>IF($A16="",NA(),IF($C16="Traditional",$B16,NA()))</f>
        <v/>
      </c>
      <c r="N16">
        <f>IF($A16="",NA(),IF($C16="Traditional",4+$F16*0.023,NA()))</f>
        <v/>
      </c>
      <c r="O16">
        <f>IF($A16="","",$D16+ROW()/1000000)</f>
        <v/>
      </c>
      <c r="P16">
        <f>IF(OR($A16="",games!$H16=""),"",games!$H16)</f>
        <v/>
      </c>
      <c r="Q16">
        <f>IF(OR($A16="",$P16&lt;&gt;"Yes"),"",$D16+ROW()/1000000)</f>
        <v/>
      </c>
      <c r="T16">
        <f>IF(connections!$A16="","",IFERROR(INDEX(games!$B$2:$B$950,MATCH(connections!$A16,games!$A$2:$A$950,0)),""))</f>
        <v/>
      </c>
      <c r="U16">
        <f>IF(connections!$A16="","",IFERROR(INDEX(games!$B$2:$B$950,MATCH(connections!$B16,games!$A$2:$A$950,0)),""))</f>
        <v/>
      </c>
      <c r="V16">
        <f>IF(OR($T16="",$U16=""),"",$U16-$T16)</f>
        <v/>
      </c>
    </row>
    <row r="17">
      <c r="A17">
        <f>IF(games!$A17="","",games!$A17)</f>
        <v/>
      </c>
      <c r="B17">
        <f>IF($A17="","",games!$B17)</f>
        <v/>
      </c>
      <c r="C17">
        <f>IF($A17="","",games!$C17)</f>
        <v/>
      </c>
      <c r="D17">
        <f>IF($A17="","",COUNTIF(connections!$A$2:$A$1400,$A17)+COUNTIF(connections!$B$2:$B$1400,$A17))</f>
        <v/>
      </c>
      <c r="E17">
        <f>IF($A17="","",IFERROR(MATCH($C17,$R$2:$R$5,0),0))</f>
        <v/>
      </c>
      <c r="F17">
        <f>IF($A17="","",MOD(ROW(),34))</f>
        <v/>
      </c>
      <c r="G17">
        <f>IF($A17="",NA(),IF($C17="Action",$B17,NA()))</f>
        <v/>
      </c>
      <c r="H17">
        <f>IF($A17="",NA(),IF($C17="Action",1+$F17*0.023,NA()))</f>
        <v/>
      </c>
      <c r="I17">
        <f>IF($A17="",NA(),IF($C17="Strategy",$B17,NA()))</f>
        <v/>
      </c>
      <c r="J17">
        <f>IF($A17="",NA(),IF($C17="Strategy",2+$F17*0.023,NA()))</f>
        <v/>
      </c>
      <c r="K17">
        <f>IF($A17="",NA(),IF($C17="Deckbuilder",$B17,NA()))</f>
        <v/>
      </c>
      <c r="L17">
        <f>IF($A17="",NA(),IF($C17="Deckbuilder",3+$F17*0.023,NA()))</f>
        <v/>
      </c>
      <c r="M17">
        <f>IF($A17="",NA(),IF($C17="Traditional",$B17,NA()))</f>
        <v/>
      </c>
      <c r="N17">
        <f>IF($A17="",NA(),IF($C17="Traditional",4+$F17*0.023,NA()))</f>
        <v/>
      </c>
      <c r="O17">
        <f>IF($A17="","",$D17+ROW()/1000000)</f>
        <v/>
      </c>
      <c r="P17">
        <f>IF(OR($A17="",games!$H17=""),"",games!$H17)</f>
        <v/>
      </c>
      <c r="Q17">
        <f>IF(OR($A17="",$P17&lt;&gt;"Yes"),"",$D17+ROW()/1000000)</f>
        <v/>
      </c>
      <c r="T17">
        <f>IF(connections!$A17="","",IFERROR(INDEX(games!$B$2:$B$950,MATCH(connections!$A17,games!$A$2:$A$950,0)),""))</f>
        <v/>
      </c>
      <c r="U17">
        <f>IF(connections!$A17="","",IFERROR(INDEX(games!$B$2:$B$950,MATCH(connections!$B17,games!$A$2:$A$950,0)),""))</f>
        <v/>
      </c>
      <c r="V17">
        <f>IF(OR($T17="",$U17=""),"",$U17-$T17)</f>
        <v/>
      </c>
    </row>
    <row r="18">
      <c r="A18">
        <f>IF(games!$A18="","",games!$A18)</f>
        <v/>
      </c>
      <c r="B18">
        <f>IF($A18="","",games!$B18)</f>
        <v/>
      </c>
      <c r="C18">
        <f>IF($A18="","",games!$C18)</f>
        <v/>
      </c>
      <c r="D18">
        <f>IF($A18="","",COUNTIF(connections!$A$2:$A$1400,$A18)+COUNTIF(connections!$B$2:$B$1400,$A18))</f>
        <v/>
      </c>
      <c r="E18">
        <f>IF($A18="","",IFERROR(MATCH($C18,$R$2:$R$5,0),0))</f>
        <v/>
      </c>
      <c r="F18">
        <f>IF($A18="","",MOD(ROW(),34))</f>
        <v/>
      </c>
      <c r="G18">
        <f>IF($A18="",NA(),IF($C18="Action",$B18,NA()))</f>
        <v/>
      </c>
      <c r="H18">
        <f>IF($A18="",NA(),IF($C18="Action",1+$F18*0.023,NA()))</f>
        <v/>
      </c>
      <c r="I18">
        <f>IF($A18="",NA(),IF($C18="Strategy",$B18,NA()))</f>
        <v/>
      </c>
      <c r="J18">
        <f>IF($A18="",NA(),IF($C18="Strategy",2+$F18*0.023,NA()))</f>
        <v/>
      </c>
      <c r="K18">
        <f>IF($A18="",NA(),IF($C18="Deckbuilder",$B18,NA()))</f>
        <v/>
      </c>
      <c r="L18">
        <f>IF($A18="",NA(),IF($C18="Deckbuilder",3+$F18*0.023,NA()))</f>
        <v/>
      </c>
      <c r="M18">
        <f>IF($A18="",NA(),IF($C18="Traditional",$B18,NA()))</f>
        <v/>
      </c>
      <c r="N18">
        <f>IF($A18="",NA(),IF($C18="Traditional",4+$F18*0.023,NA()))</f>
        <v/>
      </c>
      <c r="O18">
        <f>IF($A18="","",$D18+ROW()/1000000)</f>
        <v/>
      </c>
      <c r="P18">
        <f>IF(OR($A18="",games!$H18=""),"",games!$H18)</f>
        <v/>
      </c>
      <c r="Q18">
        <f>IF(OR($A18="",$P18&lt;&gt;"Yes"),"",$D18+ROW()/1000000)</f>
        <v/>
      </c>
      <c r="T18">
        <f>IF(connections!$A18="","",IFERROR(INDEX(games!$B$2:$B$950,MATCH(connections!$A18,games!$A$2:$A$950,0)),""))</f>
        <v/>
      </c>
      <c r="U18">
        <f>IF(connections!$A18="","",IFERROR(INDEX(games!$B$2:$B$950,MATCH(connections!$B18,games!$A$2:$A$950,0)),""))</f>
        <v/>
      </c>
      <c r="V18">
        <f>IF(OR($T18="",$U18=""),"",$U18-$T18)</f>
        <v/>
      </c>
    </row>
    <row r="19">
      <c r="A19">
        <f>IF(games!$A19="","",games!$A19)</f>
        <v/>
      </c>
      <c r="B19">
        <f>IF($A19="","",games!$B19)</f>
        <v/>
      </c>
      <c r="C19">
        <f>IF($A19="","",games!$C19)</f>
        <v/>
      </c>
      <c r="D19">
        <f>IF($A19="","",COUNTIF(connections!$A$2:$A$1400,$A19)+COUNTIF(connections!$B$2:$B$1400,$A19))</f>
        <v/>
      </c>
      <c r="E19">
        <f>IF($A19="","",IFERROR(MATCH($C19,$R$2:$R$5,0),0))</f>
        <v/>
      </c>
      <c r="F19">
        <f>IF($A19="","",MOD(ROW(),34))</f>
        <v/>
      </c>
      <c r="G19">
        <f>IF($A19="",NA(),IF($C19="Action",$B19,NA()))</f>
        <v/>
      </c>
      <c r="H19">
        <f>IF($A19="",NA(),IF($C19="Action",1+$F19*0.023,NA()))</f>
        <v/>
      </c>
      <c r="I19">
        <f>IF($A19="",NA(),IF($C19="Strategy",$B19,NA()))</f>
        <v/>
      </c>
      <c r="J19">
        <f>IF($A19="",NA(),IF($C19="Strategy",2+$F19*0.023,NA()))</f>
        <v/>
      </c>
      <c r="K19">
        <f>IF($A19="",NA(),IF($C19="Deckbuilder",$B19,NA()))</f>
        <v/>
      </c>
      <c r="L19">
        <f>IF($A19="",NA(),IF($C19="Deckbuilder",3+$F19*0.023,NA()))</f>
        <v/>
      </c>
      <c r="M19">
        <f>IF($A19="",NA(),IF($C19="Traditional",$B19,NA()))</f>
        <v/>
      </c>
      <c r="N19">
        <f>IF($A19="",NA(),IF($C19="Traditional",4+$F19*0.023,NA()))</f>
        <v/>
      </c>
      <c r="O19">
        <f>IF($A19="","",$D19+ROW()/1000000)</f>
        <v/>
      </c>
      <c r="P19">
        <f>IF(OR($A19="",games!$H19=""),"",games!$H19)</f>
        <v/>
      </c>
      <c r="Q19">
        <f>IF(OR($A19="",$P19&lt;&gt;"Yes"),"",$D19+ROW()/1000000)</f>
        <v/>
      </c>
      <c r="T19">
        <f>IF(connections!$A19="","",IFERROR(INDEX(games!$B$2:$B$950,MATCH(connections!$A19,games!$A$2:$A$950,0)),""))</f>
        <v/>
      </c>
      <c r="U19">
        <f>IF(connections!$A19="","",IFERROR(INDEX(games!$B$2:$B$950,MATCH(connections!$B19,games!$A$2:$A$950,0)),""))</f>
        <v/>
      </c>
      <c r="V19">
        <f>IF(OR($T19="",$U19=""),"",$U19-$T19)</f>
        <v/>
      </c>
    </row>
    <row r="20">
      <c r="A20">
        <f>IF(games!$A20="","",games!$A20)</f>
        <v/>
      </c>
      <c r="B20">
        <f>IF($A20="","",games!$B20)</f>
        <v/>
      </c>
      <c r="C20">
        <f>IF($A20="","",games!$C20)</f>
        <v/>
      </c>
      <c r="D20">
        <f>IF($A20="","",COUNTIF(connections!$A$2:$A$1400,$A20)+COUNTIF(connections!$B$2:$B$1400,$A20))</f>
        <v/>
      </c>
      <c r="E20">
        <f>IF($A20="","",IFERROR(MATCH($C20,$R$2:$R$5,0),0))</f>
        <v/>
      </c>
      <c r="F20">
        <f>IF($A20="","",MOD(ROW(),34))</f>
        <v/>
      </c>
      <c r="G20">
        <f>IF($A20="",NA(),IF($C20="Action",$B20,NA()))</f>
        <v/>
      </c>
      <c r="H20">
        <f>IF($A20="",NA(),IF($C20="Action",1+$F20*0.023,NA()))</f>
        <v/>
      </c>
      <c r="I20">
        <f>IF($A20="",NA(),IF($C20="Strategy",$B20,NA()))</f>
        <v/>
      </c>
      <c r="J20">
        <f>IF($A20="",NA(),IF($C20="Strategy",2+$F20*0.023,NA()))</f>
        <v/>
      </c>
      <c r="K20">
        <f>IF($A20="",NA(),IF($C20="Deckbuilder",$B20,NA()))</f>
        <v/>
      </c>
      <c r="L20">
        <f>IF($A20="",NA(),IF($C20="Deckbuilder",3+$F20*0.023,NA()))</f>
        <v/>
      </c>
      <c r="M20">
        <f>IF($A20="",NA(),IF($C20="Traditional",$B20,NA()))</f>
        <v/>
      </c>
      <c r="N20">
        <f>IF($A20="",NA(),IF($C20="Traditional",4+$F20*0.023,NA()))</f>
        <v/>
      </c>
      <c r="O20">
        <f>IF($A20="","",$D20+ROW()/1000000)</f>
        <v/>
      </c>
      <c r="P20">
        <f>IF(OR($A20="",games!$H20=""),"",games!$H20)</f>
        <v/>
      </c>
      <c r="Q20">
        <f>IF(OR($A20="",$P20&lt;&gt;"Yes"),"",$D20+ROW()/1000000)</f>
        <v/>
      </c>
      <c r="T20">
        <f>IF(connections!$A20="","",IFERROR(INDEX(games!$B$2:$B$950,MATCH(connections!$A20,games!$A$2:$A$950,0)),""))</f>
        <v/>
      </c>
      <c r="U20">
        <f>IF(connections!$A20="","",IFERROR(INDEX(games!$B$2:$B$950,MATCH(connections!$B20,games!$A$2:$A$950,0)),""))</f>
        <v/>
      </c>
      <c r="V20">
        <f>IF(OR($T20="",$U20=""),"",$U20-$T20)</f>
        <v/>
      </c>
    </row>
    <row r="21">
      <c r="A21">
        <f>IF(games!$A21="","",games!$A21)</f>
        <v/>
      </c>
      <c r="B21">
        <f>IF($A21="","",games!$B21)</f>
        <v/>
      </c>
      <c r="C21">
        <f>IF($A21="","",games!$C21)</f>
        <v/>
      </c>
      <c r="D21">
        <f>IF($A21="","",COUNTIF(connections!$A$2:$A$1400,$A21)+COUNTIF(connections!$B$2:$B$1400,$A21))</f>
        <v/>
      </c>
      <c r="E21">
        <f>IF($A21="","",IFERROR(MATCH($C21,$R$2:$R$5,0),0))</f>
        <v/>
      </c>
      <c r="F21">
        <f>IF($A21="","",MOD(ROW(),34))</f>
        <v/>
      </c>
      <c r="G21">
        <f>IF($A21="",NA(),IF($C21="Action",$B21,NA()))</f>
        <v/>
      </c>
      <c r="H21">
        <f>IF($A21="",NA(),IF($C21="Action",1+$F21*0.023,NA()))</f>
        <v/>
      </c>
      <c r="I21">
        <f>IF($A21="",NA(),IF($C21="Strategy",$B21,NA()))</f>
        <v/>
      </c>
      <c r="J21">
        <f>IF($A21="",NA(),IF($C21="Strategy",2+$F21*0.023,NA()))</f>
        <v/>
      </c>
      <c r="K21">
        <f>IF($A21="",NA(),IF($C21="Deckbuilder",$B21,NA()))</f>
        <v/>
      </c>
      <c r="L21">
        <f>IF($A21="",NA(),IF($C21="Deckbuilder",3+$F21*0.023,NA()))</f>
        <v/>
      </c>
      <c r="M21">
        <f>IF($A21="",NA(),IF($C21="Traditional",$B21,NA()))</f>
        <v/>
      </c>
      <c r="N21">
        <f>IF($A21="",NA(),IF($C21="Traditional",4+$F21*0.023,NA()))</f>
        <v/>
      </c>
      <c r="O21">
        <f>IF($A21="","",$D21+ROW()/1000000)</f>
        <v/>
      </c>
      <c r="P21">
        <f>IF(OR($A21="",games!$H21=""),"",games!$H21)</f>
        <v/>
      </c>
      <c r="Q21">
        <f>IF(OR($A21="",$P21&lt;&gt;"Yes"),"",$D21+ROW()/1000000)</f>
        <v/>
      </c>
      <c r="T21">
        <f>IF(connections!$A21="","",IFERROR(INDEX(games!$B$2:$B$950,MATCH(connections!$A21,games!$A$2:$A$950,0)),""))</f>
        <v/>
      </c>
      <c r="U21">
        <f>IF(connections!$A21="","",IFERROR(INDEX(games!$B$2:$B$950,MATCH(connections!$B21,games!$A$2:$A$950,0)),""))</f>
        <v/>
      </c>
      <c r="V21">
        <f>IF(OR($T21="",$U21=""),"",$U21-$T21)</f>
        <v/>
      </c>
    </row>
    <row r="22">
      <c r="A22">
        <f>IF(games!$A22="","",games!$A22)</f>
        <v/>
      </c>
      <c r="B22">
        <f>IF($A22="","",games!$B22)</f>
        <v/>
      </c>
      <c r="C22">
        <f>IF($A22="","",games!$C22)</f>
        <v/>
      </c>
      <c r="D22">
        <f>IF($A22="","",COUNTIF(connections!$A$2:$A$1400,$A22)+COUNTIF(connections!$B$2:$B$1400,$A22))</f>
        <v/>
      </c>
      <c r="E22">
        <f>IF($A22="","",IFERROR(MATCH($C22,$R$2:$R$5,0),0))</f>
        <v/>
      </c>
      <c r="F22">
        <f>IF($A22="","",MOD(ROW(),34))</f>
        <v/>
      </c>
      <c r="G22">
        <f>IF($A22="",NA(),IF($C22="Action",$B22,NA()))</f>
        <v/>
      </c>
      <c r="H22">
        <f>IF($A22="",NA(),IF($C22="Action",1+$F22*0.023,NA()))</f>
        <v/>
      </c>
      <c r="I22">
        <f>IF($A22="",NA(),IF($C22="Strategy",$B22,NA()))</f>
        <v/>
      </c>
      <c r="J22">
        <f>IF($A22="",NA(),IF($C22="Strategy",2+$F22*0.023,NA()))</f>
        <v/>
      </c>
      <c r="K22">
        <f>IF($A22="",NA(),IF($C22="Deckbuilder",$B22,NA()))</f>
        <v/>
      </c>
      <c r="L22">
        <f>IF($A22="",NA(),IF($C22="Deckbuilder",3+$F22*0.023,NA()))</f>
        <v/>
      </c>
      <c r="M22">
        <f>IF($A22="",NA(),IF($C22="Traditional",$B22,NA()))</f>
        <v/>
      </c>
      <c r="N22">
        <f>IF($A22="",NA(),IF($C22="Traditional",4+$F22*0.023,NA()))</f>
        <v/>
      </c>
      <c r="O22">
        <f>IF($A22="","",$D22+ROW()/1000000)</f>
        <v/>
      </c>
      <c r="P22">
        <f>IF(OR($A22="",games!$H22=""),"",games!$H22)</f>
        <v/>
      </c>
      <c r="Q22">
        <f>IF(OR($A22="",$P22&lt;&gt;"Yes"),"",$D22+ROW()/1000000)</f>
        <v/>
      </c>
      <c r="T22">
        <f>IF(connections!$A22="","",IFERROR(INDEX(games!$B$2:$B$950,MATCH(connections!$A22,games!$A$2:$A$950,0)),""))</f>
        <v/>
      </c>
      <c r="U22">
        <f>IF(connections!$A22="","",IFERROR(INDEX(games!$B$2:$B$950,MATCH(connections!$B22,games!$A$2:$A$950,0)),""))</f>
        <v/>
      </c>
      <c r="V22">
        <f>IF(OR($T22="",$U22=""),"",$U22-$T22)</f>
        <v/>
      </c>
    </row>
    <row r="23">
      <c r="A23">
        <f>IF(games!$A23="","",games!$A23)</f>
        <v/>
      </c>
      <c r="B23">
        <f>IF($A23="","",games!$B23)</f>
        <v/>
      </c>
      <c r="C23">
        <f>IF($A23="","",games!$C23)</f>
        <v/>
      </c>
      <c r="D23">
        <f>IF($A23="","",COUNTIF(connections!$A$2:$A$1400,$A23)+COUNTIF(connections!$B$2:$B$1400,$A23))</f>
        <v/>
      </c>
      <c r="E23">
        <f>IF($A23="","",IFERROR(MATCH($C23,$R$2:$R$5,0),0))</f>
        <v/>
      </c>
      <c r="F23">
        <f>IF($A23="","",MOD(ROW(),34))</f>
        <v/>
      </c>
      <c r="G23">
        <f>IF($A23="",NA(),IF($C23="Action",$B23,NA()))</f>
        <v/>
      </c>
      <c r="H23">
        <f>IF($A23="",NA(),IF($C23="Action",1+$F23*0.023,NA()))</f>
        <v/>
      </c>
      <c r="I23">
        <f>IF($A23="",NA(),IF($C23="Strategy",$B23,NA()))</f>
        <v/>
      </c>
      <c r="J23">
        <f>IF($A23="",NA(),IF($C23="Strategy",2+$F23*0.023,NA()))</f>
        <v/>
      </c>
      <c r="K23">
        <f>IF($A23="",NA(),IF($C23="Deckbuilder",$B23,NA()))</f>
        <v/>
      </c>
      <c r="L23">
        <f>IF($A23="",NA(),IF($C23="Deckbuilder",3+$F23*0.023,NA()))</f>
        <v/>
      </c>
      <c r="M23">
        <f>IF($A23="",NA(),IF($C23="Traditional",$B23,NA()))</f>
        <v/>
      </c>
      <c r="N23">
        <f>IF($A23="",NA(),IF($C23="Traditional",4+$F23*0.023,NA()))</f>
        <v/>
      </c>
      <c r="O23">
        <f>IF($A23="","",$D23+ROW()/1000000)</f>
        <v/>
      </c>
      <c r="P23">
        <f>IF(OR($A23="",games!$H23=""),"",games!$H23)</f>
        <v/>
      </c>
      <c r="Q23">
        <f>IF(OR($A23="",$P23&lt;&gt;"Yes"),"",$D23+ROW()/1000000)</f>
        <v/>
      </c>
      <c r="T23">
        <f>IF(connections!$A23="","",IFERROR(INDEX(games!$B$2:$B$950,MATCH(connections!$A23,games!$A$2:$A$950,0)),""))</f>
        <v/>
      </c>
      <c r="U23">
        <f>IF(connections!$A23="","",IFERROR(INDEX(games!$B$2:$B$950,MATCH(connections!$B23,games!$A$2:$A$950,0)),""))</f>
        <v/>
      </c>
      <c r="V23">
        <f>IF(OR($T23="",$U23=""),"",$U23-$T23)</f>
        <v/>
      </c>
    </row>
    <row r="24">
      <c r="A24">
        <f>IF(games!$A24="","",games!$A24)</f>
        <v/>
      </c>
      <c r="B24">
        <f>IF($A24="","",games!$B24)</f>
        <v/>
      </c>
      <c r="C24">
        <f>IF($A24="","",games!$C24)</f>
        <v/>
      </c>
      <c r="D24">
        <f>IF($A24="","",COUNTIF(connections!$A$2:$A$1400,$A24)+COUNTIF(connections!$B$2:$B$1400,$A24))</f>
        <v/>
      </c>
      <c r="E24">
        <f>IF($A24="","",IFERROR(MATCH($C24,$R$2:$R$5,0),0))</f>
        <v/>
      </c>
      <c r="F24">
        <f>IF($A24="","",MOD(ROW(),34))</f>
        <v/>
      </c>
      <c r="G24">
        <f>IF($A24="",NA(),IF($C24="Action",$B24,NA()))</f>
        <v/>
      </c>
      <c r="H24">
        <f>IF($A24="",NA(),IF($C24="Action",1+$F24*0.023,NA()))</f>
        <v/>
      </c>
      <c r="I24">
        <f>IF($A24="",NA(),IF($C24="Strategy",$B24,NA()))</f>
        <v/>
      </c>
      <c r="J24">
        <f>IF($A24="",NA(),IF($C24="Strategy",2+$F24*0.023,NA()))</f>
        <v/>
      </c>
      <c r="K24">
        <f>IF($A24="",NA(),IF($C24="Deckbuilder",$B24,NA()))</f>
        <v/>
      </c>
      <c r="L24">
        <f>IF($A24="",NA(),IF($C24="Deckbuilder",3+$F24*0.023,NA()))</f>
        <v/>
      </c>
      <c r="M24">
        <f>IF($A24="",NA(),IF($C24="Traditional",$B24,NA()))</f>
        <v/>
      </c>
      <c r="N24">
        <f>IF($A24="",NA(),IF($C24="Traditional",4+$F24*0.023,NA()))</f>
        <v/>
      </c>
      <c r="O24">
        <f>IF($A24="","",$D24+ROW()/1000000)</f>
        <v/>
      </c>
      <c r="P24">
        <f>IF(OR($A24="",games!$H24=""),"",games!$H24)</f>
        <v/>
      </c>
      <c r="Q24">
        <f>IF(OR($A24="",$P24&lt;&gt;"Yes"),"",$D24+ROW()/1000000)</f>
        <v/>
      </c>
      <c r="T24">
        <f>IF(connections!$A24="","",IFERROR(INDEX(games!$B$2:$B$950,MATCH(connections!$A24,games!$A$2:$A$950,0)),""))</f>
        <v/>
      </c>
      <c r="U24">
        <f>IF(connections!$A24="","",IFERROR(INDEX(games!$B$2:$B$950,MATCH(connections!$B24,games!$A$2:$A$950,0)),""))</f>
        <v/>
      </c>
      <c r="V24">
        <f>IF(OR($T24="",$U24=""),"",$U24-$T24)</f>
        <v/>
      </c>
    </row>
    <row r="25">
      <c r="A25">
        <f>IF(games!$A25="","",games!$A25)</f>
        <v/>
      </c>
      <c r="B25">
        <f>IF($A25="","",games!$B25)</f>
        <v/>
      </c>
      <c r="C25">
        <f>IF($A25="","",games!$C25)</f>
        <v/>
      </c>
      <c r="D25">
        <f>IF($A25="","",COUNTIF(connections!$A$2:$A$1400,$A25)+COUNTIF(connections!$B$2:$B$1400,$A25))</f>
        <v/>
      </c>
      <c r="E25">
        <f>IF($A25="","",IFERROR(MATCH($C25,$R$2:$R$5,0),0))</f>
        <v/>
      </c>
      <c r="F25">
        <f>IF($A25="","",MOD(ROW(),34))</f>
        <v/>
      </c>
      <c r="G25">
        <f>IF($A25="",NA(),IF($C25="Action",$B25,NA()))</f>
        <v/>
      </c>
      <c r="H25">
        <f>IF($A25="",NA(),IF($C25="Action",1+$F25*0.023,NA()))</f>
        <v/>
      </c>
      <c r="I25">
        <f>IF($A25="",NA(),IF($C25="Strategy",$B25,NA()))</f>
        <v/>
      </c>
      <c r="J25">
        <f>IF($A25="",NA(),IF($C25="Strategy",2+$F25*0.023,NA()))</f>
        <v/>
      </c>
      <c r="K25">
        <f>IF($A25="",NA(),IF($C25="Deckbuilder",$B25,NA()))</f>
        <v/>
      </c>
      <c r="L25">
        <f>IF($A25="",NA(),IF($C25="Deckbuilder",3+$F25*0.023,NA()))</f>
        <v/>
      </c>
      <c r="M25">
        <f>IF($A25="",NA(),IF($C25="Traditional",$B25,NA()))</f>
        <v/>
      </c>
      <c r="N25">
        <f>IF($A25="",NA(),IF($C25="Traditional",4+$F25*0.023,NA()))</f>
        <v/>
      </c>
      <c r="O25">
        <f>IF($A25="","",$D25+ROW()/1000000)</f>
        <v/>
      </c>
      <c r="P25">
        <f>IF(OR($A25="",games!$H25=""),"",games!$H25)</f>
        <v/>
      </c>
      <c r="Q25">
        <f>IF(OR($A25="",$P25&lt;&gt;"Yes"),"",$D25+ROW()/1000000)</f>
        <v/>
      </c>
      <c r="T25">
        <f>IF(connections!$A25="","",IFERROR(INDEX(games!$B$2:$B$950,MATCH(connections!$A25,games!$A$2:$A$950,0)),""))</f>
        <v/>
      </c>
      <c r="U25">
        <f>IF(connections!$A25="","",IFERROR(INDEX(games!$B$2:$B$950,MATCH(connections!$B25,games!$A$2:$A$950,0)),""))</f>
        <v/>
      </c>
      <c r="V25">
        <f>IF(OR($T25="",$U25=""),"",$U25-$T25)</f>
        <v/>
      </c>
    </row>
    <row r="26">
      <c r="A26">
        <f>IF(games!$A26="","",games!$A26)</f>
        <v/>
      </c>
      <c r="B26">
        <f>IF($A26="","",games!$B26)</f>
        <v/>
      </c>
      <c r="C26">
        <f>IF($A26="","",games!$C26)</f>
        <v/>
      </c>
      <c r="D26">
        <f>IF($A26="","",COUNTIF(connections!$A$2:$A$1400,$A26)+COUNTIF(connections!$B$2:$B$1400,$A26))</f>
        <v/>
      </c>
      <c r="E26">
        <f>IF($A26="","",IFERROR(MATCH($C26,$R$2:$R$5,0),0))</f>
        <v/>
      </c>
      <c r="F26">
        <f>IF($A26="","",MOD(ROW(),34))</f>
        <v/>
      </c>
      <c r="G26">
        <f>IF($A26="",NA(),IF($C26="Action",$B26,NA()))</f>
        <v/>
      </c>
      <c r="H26">
        <f>IF($A26="",NA(),IF($C26="Action",1+$F26*0.023,NA()))</f>
        <v/>
      </c>
      <c r="I26">
        <f>IF($A26="",NA(),IF($C26="Strategy",$B26,NA()))</f>
        <v/>
      </c>
      <c r="J26">
        <f>IF($A26="",NA(),IF($C26="Strategy",2+$F26*0.023,NA()))</f>
        <v/>
      </c>
      <c r="K26">
        <f>IF($A26="",NA(),IF($C26="Deckbuilder",$B26,NA()))</f>
        <v/>
      </c>
      <c r="L26">
        <f>IF($A26="",NA(),IF($C26="Deckbuilder",3+$F26*0.023,NA()))</f>
        <v/>
      </c>
      <c r="M26">
        <f>IF($A26="",NA(),IF($C26="Traditional",$B26,NA()))</f>
        <v/>
      </c>
      <c r="N26">
        <f>IF($A26="",NA(),IF($C26="Traditional",4+$F26*0.023,NA()))</f>
        <v/>
      </c>
      <c r="O26">
        <f>IF($A26="","",$D26+ROW()/1000000)</f>
        <v/>
      </c>
      <c r="P26">
        <f>IF(OR($A26="",games!$H26=""),"",games!$H26)</f>
        <v/>
      </c>
      <c r="Q26">
        <f>IF(OR($A26="",$P26&lt;&gt;"Yes"),"",$D26+ROW()/1000000)</f>
        <v/>
      </c>
      <c r="T26">
        <f>IF(connections!$A26="","",IFERROR(INDEX(games!$B$2:$B$950,MATCH(connections!$A26,games!$A$2:$A$950,0)),""))</f>
        <v/>
      </c>
      <c r="U26">
        <f>IF(connections!$A26="","",IFERROR(INDEX(games!$B$2:$B$950,MATCH(connections!$B26,games!$A$2:$A$950,0)),""))</f>
        <v/>
      </c>
      <c r="V26">
        <f>IF(OR($T26="",$U26=""),"",$U26-$T26)</f>
        <v/>
      </c>
    </row>
    <row r="27">
      <c r="A27">
        <f>IF(games!$A27="","",games!$A27)</f>
        <v/>
      </c>
      <c r="B27">
        <f>IF($A27="","",games!$B27)</f>
        <v/>
      </c>
      <c r="C27">
        <f>IF($A27="","",games!$C27)</f>
        <v/>
      </c>
      <c r="D27">
        <f>IF($A27="","",COUNTIF(connections!$A$2:$A$1400,$A27)+COUNTIF(connections!$B$2:$B$1400,$A27))</f>
        <v/>
      </c>
      <c r="E27">
        <f>IF($A27="","",IFERROR(MATCH($C27,$R$2:$R$5,0),0))</f>
        <v/>
      </c>
      <c r="F27">
        <f>IF($A27="","",MOD(ROW(),34))</f>
        <v/>
      </c>
      <c r="G27">
        <f>IF($A27="",NA(),IF($C27="Action",$B27,NA()))</f>
        <v/>
      </c>
      <c r="H27">
        <f>IF($A27="",NA(),IF($C27="Action",1+$F27*0.023,NA()))</f>
        <v/>
      </c>
      <c r="I27">
        <f>IF($A27="",NA(),IF($C27="Strategy",$B27,NA()))</f>
        <v/>
      </c>
      <c r="J27">
        <f>IF($A27="",NA(),IF($C27="Strategy",2+$F27*0.023,NA()))</f>
        <v/>
      </c>
      <c r="K27">
        <f>IF($A27="",NA(),IF($C27="Deckbuilder",$B27,NA()))</f>
        <v/>
      </c>
      <c r="L27">
        <f>IF($A27="",NA(),IF($C27="Deckbuilder",3+$F27*0.023,NA()))</f>
        <v/>
      </c>
      <c r="M27">
        <f>IF($A27="",NA(),IF($C27="Traditional",$B27,NA()))</f>
        <v/>
      </c>
      <c r="N27">
        <f>IF($A27="",NA(),IF($C27="Traditional",4+$F27*0.023,NA()))</f>
        <v/>
      </c>
      <c r="O27">
        <f>IF($A27="","",$D27+ROW()/1000000)</f>
        <v/>
      </c>
      <c r="P27">
        <f>IF(OR($A27="",games!$H27=""),"",games!$H27)</f>
        <v/>
      </c>
      <c r="Q27">
        <f>IF(OR($A27="",$P27&lt;&gt;"Yes"),"",$D27+ROW()/1000000)</f>
        <v/>
      </c>
      <c r="T27">
        <f>IF(connections!$A27="","",IFERROR(INDEX(games!$B$2:$B$950,MATCH(connections!$A27,games!$A$2:$A$950,0)),""))</f>
        <v/>
      </c>
      <c r="U27">
        <f>IF(connections!$A27="","",IFERROR(INDEX(games!$B$2:$B$950,MATCH(connections!$B27,games!$A$2:$A$950,0)),""))</f>
        <v/>
      </c>
      <c r="V27">
        <f>IF(OR($T27="",$U27=""),"",$U27-$T27)</f>
        <v/>
      </c>
    </row>
    <row r="28">
      <c r="A28">
        <f>IF(games!$A28="","",games!$A28)</f>
        <v/>
      </c>
      <c r="B28">
        <f>IF($A28="","",games!$B28)</f>
        <v/>
      </c>
      <c r="C28">
        <f>IF($A28="","",games!$C28)</f>
        <v/>
      </c>
      <c r="D28">
        <f>IF($A28="","",COUNTIF(connections!$A$2:$A$1400,$A28)+COUNTIF(connections!$B$2:$B$1400,$A28))</f>
        <v/>
      </c>
      <c r="E28">
        <f>IF($A28="","",IFERROR(MATCH($C28,$R$2:$R$5,0),0))</f>
        <v/>
      </c>
      <c r="F28">
        <f>IF($A28="","",MOD(ROW(),34))</f>
        <v/>
      </c>
      <c r="G28">
        <f>IF($A28="",NA(),IF($C28="Action",$B28,NA()))</f>
        <v/>
      </c>
      <c r="H28">
        <f>IF($A28="",NA(),IF($C28="Action",1+$F28*0.023,NA()))</f>
        <v/>
      </c>
      <c r="I28">
        <f>IF($A28="",NA(),IF($C28="Strategy",$B28,NA()))</f>
        <v/>
      </c>
      <c r="J28">
        <f>IF($A28="",NA(),IF($C28="Strategy",2+$F28*0.023,NA()))</f>
        <v/>
      </c>
      <c r="K28">
        <f>IF($A28="",NA(),IF($C28="Deckbuilder",$B28,NA()))</f>
        <v/>
      </c>
      <c r="L28">
        <f>IF($A28="",NA(),IF($C28="Deckbuilder",3+$F28*0.023,NA()))</f>
        <v/>
      </c>
      <c r="M28">
        <f>IF($A28="",NA(),IF($C28="Traditional",$B28,NA()))</f>
        <v/>
      </c>
      <c r="N28">
        <f>IF($A28="",NA(),IF($C28="Traditional",4+$F28*0.023,NA()))</f>
        <v/>
      </c>
      <c r="O28">
        <f>IF($A28="","",$D28+ROW()/1000000)</f>
        <v/>
      </c>
      <c r="P28">
        <f>IF(OR($A28="",games!$H28=""),"",games!$H28)</f>
        <v/>
      </c>
      <c r="Q28">
        <f>IF(OR($A28="",$P28&lt;&gt;"Yes"),"",$D28+ROW()/1000000)</f>
        <v/>
      </c>
      <c r="T28">
        <f>IF(connections!$A28="","",IFERROR(INDEX(games!$B$2:$B$950,MATCH(connections!$A28,games!$A$2:$A$950,0)),""))</f>
        <v/>
      </c>
      <c r="U28">
        <f>IF(connections!$A28="","",IFERROR(INDEX(games!$B$2:$B$950,MATCH(connections!$B28,games!$A$2:$A$950,0)),""))</f>
        <v/>
      </c>
      <c r="V28">
        <f>IF(OR($T28="",$U28=""),"",$U28-$T28)</f>
        <v/>
      </c>
    </row>
    <row r="29">
      <c r="A29">
        <f>IF(games!$A29="","",games!$A29)</f>
        <v/>
      </c>
      <c r="B29">
        <f>IF($A29="","",games!$B29)</f>
        <v/>
      </c>
      <c r="C29">
        <f>IF($A29="","",games!$C29)</f>
        <v/>
      </c>
      <c r="D29">
        <f>IF($A29="","",COUNTIF(connections!$A$2:$A$1400,$A29)+COUNTIF(connections!$B$2:$B$1400,$A29))</f>
        <v/>
      </c>
      <c r="E29">
        <f>IF($A29="","",IFERROR(MATCH($C29,$R$2:$R$5,0),0))</f>
        <v/>
      </c>
      <c r="F29">
        <f>IF($A29="","",MOD(ROW(),34))</f>
        <v/>
      </c>
      <c r="G29">
        <f>IF($A29="",NA(),IF($C29="Action",$B29,NA()))</f>
        <v/>
      </c>
      <c r="H29">
        <f>IF($A29="",NA(),IF($C29="Action",1+$F29*0.023,NA()))</f>
        <v/>
      </c>
      <c r="I29">
        <f>IF($A29="",NA(),IF($C29="Strategy",$B29,NA()))</f>
        <v/>
      </c>
      <c r="J29">
        <f>IF($A29="",NA(),IF($C29="Strategy",2+$F29*0.023,NA()))</f>
        <v/>
      </c>
      <c r="K29">
        <f>IF($A29="",NA(),IF($C29="Deckbuilder",$B29,NA()))</f>
        <v/>
      </c>
      <c r="L29">
        <f>IF($A29="",NA(),IF($C29="Deckbuilder",3+$F29*0.023,NA()))</f>
        <v/>
      </c>
      <c r="M29">
        <f>IF($A29="",NA(),IF($C29="Traditional",$B29,NA()))</f>
        <v/>
      </c>
      <c r="N29">
        <f>IF($A29="",NA(),IF($C29="Traditional",4+$F29*0.023,NA()))</f>
        <v/>
      </c>
      <c r="O29">
        <f>IF($A29="","",$D29+ROW()/1000000)</f>
        <v/>
      </c>
      <c r="P29">
        <f>IF(OR($A29="",games!$H29=""),"",games!$H29)</f>
        <v/>
      </c>
      <c r="Q29">
        <f>IF(OR($A29="",$P29&lt;&gt;"Yes"),"",$D29+ROW()/1000000)</f>
        <v/>
      </c>
      <c r="T29">
        <f>IF(connections!$A29="","",IFERROR(INDEX(games!$B$2:$B$950,MATCH(connections!$A29,games!$A$2:$A$950,0)),""))</f>
        <v/>
      </c>
      <c r="U29">
        <f>IF(connections!$A29="","",IFERROR(INDEX(games!$B$2:$B$950,MATCH(connections!$B29,games!$A$2:$A$950,0)),""))</f>
        <v/>
      </c>
      <c r="V29">
        <f>IF(OR($T29="",$U29=""),"",$U29-$T29)</f>
        <v/>
      </c>
    </row>
    <row r="30">
      <c r="A30">
        <f>IF(games!$A30="","",games!$A30)</f>
        <v/>
      </c>
      <c r="B30">
        <f>IF($A30="","",games!$B30)</f>
        <v/>
      </c>
      <c r="C30">
        <f>IF($A30="","",games!$C30)</f>
        <v/>
      </c>
      <c r="D30">
        <f>IF($A30="","",COUNTIF(connections!$A$2:$A$1400,$A30)+COUNTIF(connections!$B$2:$B$1400,$A30))</f>
        <v/>
      </c>
      <c r="E30">
        <f>IF($A30="","",IFERROR(MATCH($C30,$R$2:$R$5,0),0))</f>
        <v/>
      </c>
      <c r="F30">
        <f>IF($A30="","",MOD(ROW(),34))</f>
        <v/>
      </c>
      <c r="G30">
        <f>IF($A30="",NA(),IF($C30="Action",$B30,NA()))</f>
        <v/>
      </c>
      <c r="H30">
        <f>IF($A30="",NA(),IF($C30="Action",1+$F30*0.023,NA()))</f>
        <v/>
      </c>
      <c r="I30">
        <f>IF($A30="",NA(),IF($C30="Strategy",$B30,NA()))</f>
        <v/>
      </c>
      <c r="J30">
        <f>IF($A30="",NA(),IF($C30="Strategy",2+$F30*0.023,NA()))</f>
        <v/>
      </c>
      <c r="K30">
        <f>IF($A30="",NA(),IF($C30="Deckbuilder",$B30,NA()))</f>
        <v/>
      </c>
      <c r="L30">
        <f>IF($A30="",NA(),IF($C30="Deckbuilder",3+$F30*0.023,NA()))</f>
        <v/>
      </c>
      <c r="M30">
        <f>IF($A30="",NA(),IF($C30="Traditional",$B30,NA()))</f>
        <v/>
      </c>
      <c r="N30">
        <f>IF($A30="",NA(),IF($C30="Traditional",4+$F30*0.023,NA()))</f>
        <v/>
      </c>
      <c r="O30">
        <f>IF($A30="","",$D30+ROW()/1000000)</f>
        <v/>
      </c>
      <c r="P30">
        <f>IF(OR($A30="",games!$H30=""),"",games!$H30)</f>
        <v/>
      </c>
      <c r="Q30">
        <f>IF(OR($A30="",$P30&lt;&gt;"Yes"),"",$D30+ROW()/1000000)</f>
        <v/>
      </c>
      <c r="T30">
        <f>IF(connections!$A30="","",IFERROR(INDEX(games!$B$2:$B$950,MATCH(connections!$A30,games!$A$2:$A$950,0)),""))</f>
        <v/>
      </c>
      <c r="U30">
        <f>IF(connections!$A30="","",IFERROR(INDEX(games!$B$2:$B$950,MATCH(connections!$B30,games!$A$2:$A$950,0)),""))</f>
        <v/>
      </c>
      <c r="V30">
        <f>IF(OR($T30="",$U30=""),"",$U30-$T30)</f>
        <v/>
      </c>
    </row>
    <row r="31">
      <c r="A31">
        <f>IF(games!$A31="","",games!$A31)</f>
        <v/>
      </c>
      <c r="B31">
        <f>IF($A31="","",games!$B31)</f>
        <v/>
      </c>
      <c r="C31">
        <f>IF($A31="","",games!$C31)</f>
        <v/>
      </c>
      <c r="D31">
        <f>IF($A31="","",COUNTIF(connections!$A$2:$A$1400,$A31)+COUNTIF(connections!$B$2:$B$1400,$A31))</f>
        <v/>
      </c>
      <c r="E31">
        <f>IF($A31="","",IFERROR(MATCH($C31,$R$2:$R$5,0),0))</f>
        <v/>
      </c>
      <c r="F31">
        <f>IF($A31="","",MOD(ROW(),34))</f>
        <v/>
      </c>
      <c r="G31">
        <f>IF($A31="",NA(),IF($C31="Action",$B31,NA()))</f>
        <v/>
      </c>
      <c r="H31">
        <f>IF($A31="",NA(),IF($C31="Action",1+$F31*0.023,NA()))</f>
        <v/>
      </c>
      <c r="I31">
        <f>IF($A31="",NA(),IF($C31="Strategy",$B31,NA()))</f>
        <v/>
      </c>
      <c r="J31">
        <f>IF($A31="",NA(),IF($C31="Strategy",2+$F31*0.023,NA()))</f>
        <v/>
      </c>
      <c r="K31">
        <f>IF($A31="",NA(),IF($C31="Deckbuilder",$B31,NA()))</f>
        <v/>
      </c>
      <c r="L31">
        <f>IF($A31="",NA(),IF($C31="Deckbuilder",3+$F31*0.023,NA()))</f>
        <v/>
      </c>
      <c r="M31">
        <f>IF($A31="",NA(),IF($C31="Traditional",$B31,NA()))</f>
        <v/>
      </c>
      <c r="N31">
        <f>IF($A31="",NA(),IF($C31="Traditional",4+$F31*0.023,NA()))</f>
        <v/>
      </c>
      <c r="O31">
        <f>IF($A31="","",$D31+ROW()/1000000)</f>
        <v/>
      </c>
      <c r="P31">
        <f>IF(OR($A31="",games!$H31=""),"",games!$H31)</f>
        <v/>
      </c>
      <c r="Q31">
        <f>IF(OR($A31="",$P31&lt;&gt;"Yes"),"",$D31+ROW()/1000000)</f>
        <v/>
      </c>
      <c r="T31">
        <f>IF(connections!$A31="","",IFERROR(INDEX(games!$B$2:$B$950,MATCH(connections!$A31,games!$A$2:$A$950,0)),""))</f>
        <v/>
      </c>
      <c r="U31">
        <f>IF(connections!$A31="","",IFERROR(INDEX(games!$B$2:$B$950,MATCH(connections!$B31,games!$A$2:$A$950,0)),""))</f>
        <v/>
      </c>
      <c r="V31">
        <f>IF(OR($T31="",$U31=""),"",$U31-$T31)</f>
        <v/>
      </c>
    </row>
    <row r="32">
      <c r="A32">
        <f>IF(games!$A32="","",games!$A32)</f>
        <v/>
      </c>
      <c r="B32">
        <f>IF($A32="","",games!$B32)</f>
        <v/>
      </c>
      <c r="C32">
        <f>IF($A32="","",games!$C32)</f>
        <v/>
      </c>
      <c r="D32">
        <f>IF($A32="","",COUNTIF(connections!$A$2:$A$1400,$A32)+COUNTIF(connections!$B$2:$B$1400,$A32))</f>
        <v/>
      </c>
      <c r="E32">
        <f>IF($A32="","",IFERROR(MATCH($C32,$R$2:$R$5,0),0))</f>
        <v/>
      </c>
      <c r="F32">
        <f>IF($A32="","",MOD(ROW(),34))</f>
        <v/>
      </c>
      <c r="G32">
        <f>IF($A32="",NA(),IF($C32="Action",$B32,NA()))</f>
        <v/>
      </c>
      <c r="H32">
        <f>IF($A32="",NA(),IF($C32="Action",1+$F32*0.023,NA()))</f>
        <v/>
      </c>
      <c r="I32">
        <f>IF($A32="",NA(),IF($C32="Strategy",$B32,NA()))</f>
        <v/>
      </c>
      <c r="J32">
        <f>IF($A32="",NA(),IF($C32="Strategy",2+$F32*0.023,NA()))</f>
        <v/>
      </c>
      <c r="K32">
        <f>IF($A32="",NA(),IF($C32="Deckbuilder",$B32,NA()))</f>
        <v/>
      </c>
      <c r="L32">
        <f>IF($A32="",NA(),IF($C32="Deckbuilder",3+$F32*0.023,NA()))</f>
        <v/>
      </c>
      <c r="M32">
        <f>IF($A32="",NA(),IF($C32="Traditional",$B32,NA()))</f>
        <v/>
      </c>
      <c r="N32">
        <f>IF($A32="",NA(),IF($C32="Traditional",4+$F32*0.023,NA()))</f>
        <v/>
      </c>
      <c r="O32">
        <f>IF($A32="","",$D32+ROW()/1000000)</f>
        <v/>
      </c>
      <c r="P32">
        <f>IF(OR($A32="",games!$H32=""),"",games!$H32)</f>
        <v/>
      </c>
      <c r="Q32">
        <f>IF(OR($A32="",$P32&lt;&gt;"Yes"),"",$D32+ROW()/1000000)</f>
        <v/>
      </c>
      <c r="T32">
        <f>IF(connections!$A32="","",IFERROR(INDEX(games!$B$2:$B$950,MATCH(connections!$A32,games!$A$2:$A$950,0)),""))</f>
        <v/>
      </c>
      <c r="U32">
        <f>IF(connections!$A32="","",IFERROR(INDEX(games!$B$2:$B$950,MATCH(connections!$B32,games!$A$2:$A$950,0)),""))</f>
        <v/>
      </c>
      <c r="V32">
        <f>IF(OR($T32="",$U32=""),"",$U32-$T32)</f>
        <v/>
      </c>
    </row>
    <row r="33">
      <c r="A33">
        <f>IF(games!$A33="","",games!$A33)</f>
        <v/>
      </c>
      <c r="B33">
        <f>IF($A33="","",games!$B33)</f>
        <v/>
      </c>
      <c r="C33">
        <f>IF($A33="","",games!$C33)</f>
        <v/>
      </c>
      <c r="D33">
        <f>IF($A33="","",COUNTIF(connections!$A$2:$A$1400,$A33)+COUNTIF(connections!$B$2:$B$1400,$A33))</f>
        <v/>
      </c>
      <c r="E33">
        <f>IF($A33="","",IFERROR(MATCH($C33,$R$2:$R$5,0),0))</f>
        <v/>
      </c>
      <c r="F33">
        <f>IF($A33="","",MOD(ROW(),34))</f>
        <v/>
      </c>
      <c r="G33">
        <f>IF($A33="",NA(),IF($C33="Action",$B33,NA()))</f>
        <v/>
      </c>
      <c r="H33">
        <f>IF($A33="",NA(),IF($C33="Action",1+$F33*0.023,NA()))</f>
        <v/>
      </c>
      <c r="I33">
        <f>IF($A33="",NA(),IF($C33="Strategy",$B33,NA()))</f>
        <v/>
      </c>
      <c r="J33">
        <f>IF($A33="",NA(),IF($C33="Strategy",2+$F33*0.023,NA()))</f>
        <v/>
      </c>
      <c r="K33">
        <f>IF($A33="",NA(),IF($C33="Deckbuilder",$B33,NA()))</f>
        <v/>
      </c>
      <c r="L33">
        <f>IF($A33="",NA(),IF($C33="Deckbuilder",3+$F33*0.023,NA()))</f>
        <v/>
      </c>
      <c r="M33">
        <f>IF($A33="",NA(),IF($C33="Traditional",$B33,NA()))</f>
        <v/>
      </c>
      <c r="N33">
        <f>IF($A33="",NA(),IF($C33="Traditional",4+$F33*0.023,NA()))</f>
        <v/>
      </c>
      <c r="O33">
        <f>IF($A33="","",$D33+ROW()/1000000)</f>
        <v/>
      </c>
      <c r="P33">
        <f>IF(OR($A33="",games!$H33=""),"",games!$H33)</f>
        <v/>
      </c>
      <c r="Q33">
        <f>IF(OR($A33="",$P33&lt;&gt;"Yes"),"",$D33+ROW()/1000000)</f>
        <v/>
      </c>
      <c r="T33">
        <f>IF(connections!$A33="","",IFERROR(INDEX(games!$B$2:$B$950,MATCH(connections!$A33,games!$A$2:$A$950,0)),""))</f>
        <v/>
      </c>
      <c r="U33">
        <f>IF(connections!$A33="","",IFERROR(INDEX(games!$B$2:$B$950,MATCH(connections!$B33,games!$A$2:$A$950,0)),""))</f>
        <v/>
      </c>
      <c r="V33">
        <f>IF(OR($T33="",$U33=""),"",$U33-$T33)</f>
        <v/>
      </c>
    </row>
    <row r="34">
      <c r="A34">
        <f>IF(games!$A34="","",games!$A34)</f>
        <v/>
      </c>
      <c r="B34">
        <f>IF($A34="","",games!$B34)</f>
        <v/>
      </c>
      <c r="C34">
        <f>IF($A34="","",games!$C34)</f>
        <v/>
      </c>
      <c r="D34">
        <f>IF($A34="","",COUNTIF(connections!$A$2:$A$1400,$A34)+COUNTIF(connections!$B$2:$B$1400,$A34))</f>
        <v/>
      </c>
      <c r="E34">
        <f>IF($A34="","",IFERROR(MATCH($C34,$R$2:$R$5,0),0))</f>
        <v/>
      </c>
      <c r="F34">
        <f>IF($A34="","",MOD(ROW(),34))</f>
        <v/>
      </c>
      <c r="G34">
        <f>IF($A34="",NA(),IF($C34="Action",$B34,NA()))</f>
        <v/>
      </c>
      <c r="H34">
        <f>IF($A34="",NA(),IF($C34="Action",1+$F34*0.023,NA()))</f>
        <v/>
      </c>
      <c r="I34">
        <f>IF($A34="",NA(),IF($C34="Strategy",$B34,NA()))</f>
        <v/>
      </c>
      <c r="J34">
        <f>IF($A34="",NA(),IF($C34="Strategy",2+$F34*0.023,NA()))</f>
        <v/>
      </c>
      <c r="K34">
        <f>IF($A34="",NA(),IF($C34="Deckbuilder",$B34,NA()))</f>
        <v/>
      </c>
      <c r="L34">
        <f>IF($A34="",NA(),IF($C34="Deckbuilder",3+$F34*0.023,NA()))</f>
        <v/>
      </c>
      <c r="M34">
        <f>IF($A34="",NA(),IF($C34="Traditional",$B34,NA()))</f>
        <v/>
      </c>
      <c r="N34">
        <f>IF($A34="",NA(),IF($C34="Traditional",4+$F34*0.023,NA()))</f>
        <v/>
      </c>
      <c r="O34">
        <f>IF($A34="","",$D34+ROW()/1000000)</f>
        <v/>
      </c>
      <c r="P34">
        <f>IF(OR($A34="",games!$H34=""),"",games!$H34)</f>
        <v/>
      </c>
      <c r="Q34">
        <f>IF(OR($A34="",$P34&lt;&gt;"Yes"),"",$D34+ROW()/1000000)</f>
        <v/>
      </c>
      <c r="T34">
        <f>IF(connections!$A34="","",IFERROR(INDEX(games!$B$2:$B$950,MATCH(connections!$A34,games!$A$2:$A$950,0)),""))</f>
        <v/>
      </c>
      <c r="U34">
        <f>IF(connections!$A34="","",IFERROR(INDEX(games!$B$2:$B$950,MATCH(connections!$B34,games!$A$2:$A$950,0)),""))</f>
        <v/>
      </c>
      <c r="V34">
        <f>IF(OR($T34="",$U34=""),"",$U34-$T34)</f>
        <v/>
      </c>
    </row>
    <row r="35">
      <c r="A35">
        <f>IF(games!$A35="","",games!$A35)</f>
        <v/>
      </c>
      <c r="B35">
        <f>IF($A35="","",games!$B35)</f>
        <v/>
      </c>
      <c r="C35">
        <f>IF($A35="","",games!$C35)</f>
        <v/>
      </c>
      <c r="D35">
        <f>IF($A35="","",COUNTIF(connections!$A$2:$A$1400,$A35)+COUNTIF(connections!$B$2:$B$1400,$A35))</f>
        <v/>
      </c>
      <c r="E35">
        <f>IF($A35="","",IFERROR(MATCH($C35,$R$2:$R$5,0),0))</f>
        <v/>
      </c>
      <c r="F35">
        <f>IF($A35="","",MOD(ROW(),34))</f>
        <v/>
      </c>
      <c r="G35">
        <f>IF($A35="",NA(),IF($C35="Action",$B35,NA()))</f>
        <v/>
      </c>
      <c r="H35">
        <f>IF($A35="",NA(),IF($C35="Action",1+$F35*0.023,NA()))</f>
        <v/>
      </c>
      <c r="I35">
        <f>IF($A35="",NA(),IF($C35="Strategy",$B35,NA()))</f>
        <v/>
      </c>
      <c r="J35">
        <f>IF($A35="",NA(),IF($C35="Strategy",2+$F35*0.023,NA()))</f>
        <v/>
      </c>
      <c r="K35">
        <f>IF($A35="",NA(),IF($C35="Deckbuilder",$B35,NA()))</f>
        <v/>
      </c>
      <c r="L35">
        <f>IF($A35="",NA(),IF($C35="Deckbuilder",3+$F35*0.023,NA()))</f>
        <v/>
      </c>
      <c r="M35">
        <f>IF($A35="",NA(),IF($C35="Traditional",$B35,NA()))</f>
        <v/>
      </c>
      <c r="N35">
        <f>IF($A35="",NA(),IF($C35="Traditional",4+$F35*0.023,NA()))</f>
        <v/>
      </c>
      <c r="O35">
        <f>IF($A35="","",$D35+ROW()/1000000)</f>
        <v/>
      </c>
      <c r="P35">
        <f>IF(OR($A35="",games!$H35=""),"",games!$H35)</f>
        <v/>
      </c>
      <c r="Q35">
        <f>IF(OR($A35="",$P35&lt;&gt;"Yes"),"",$D35+ROW()/1000000)</f>
        <v/>
      </c>
      <c r="T35">
        <f>IF(connections!$A35="","",IFERROR(INDEX(games!$B$2:$B$950,MATCH(connections!$A35,games!$A$2:$A$950,0)),""))</f>
        <v/>
      </c>
      <c r="U35">
        <f>IF(connections!$A35="","",IFERROR(INDEX(games!$B$2:$B$950,MATCH(connections!$B35,games!$A$2:$A$950,0)),""))</f>
        <v/>
      </c>
      <c r="V35">
        <f>IF(OR($T35="",$U35=""),"",$U35-$T35)</f>
        <v/>
      </c>
    </row>
    <row r="36">
      <c r="A36">
        <f>IF(games!$A36="","",games!$A36)</f>
        <v/>
      </c>
      <c r="B36">
        <f>IF($A36="","",games!$B36)</f>
        <v/>
      </c>
      <c r="C36">
        <f>IF($A36="","",games!$C36)</f>
        <v/>
      </c>
      <c r="D36">
        <f>IF($A36="","",COUNTIF(connections!$A$2:$A$1400,$A36)+COUNTIF(connections!$B$2:$B$1400,$A36))</f>
        <v/>
      </c>
      <c r="E36">
        <f>IF($A36="","",IFERROR(MATCH($C36,$R$2:$R$5,0),0))</f>
        <v/>
      </c>
      <c r="F36">
        <f>IF($A36="","",MOD(ROW(),34))</f>
        <v/>
      </c>
      <c r="G36">
        <f>IF($A36="",NA(),IF($C36="Action",$B36,NA()))</f>
        <v/>
      </c>
      <c r="H36">
        <f>IF($A36="",NA(),IF($C36="Action",1+$F36*0.023,NA()))</f>
        <v/>
      </c>
      <c r="I36">
        <f>IF($A36="",NA(),IF($C36="Strategy",$B36,NA()))</f>
        <v/>
      </c>
      <c r="J36">
        <f>IF($A36="",NA(),IF($C36="Strategy",2+$F36*0.023,NA()))</f>
        <v/>
      </c>
      <c r="K36">
        <f>IF($A36="",NA(),IF($C36="Deckbuilder",$B36,NA()))</f>
        <v/>
      </c>
      <c r="L36">
        <f>IF($A36="",NA(),IF($C36="Deckbuilder",3+$F36*0.023,NA()))</f>
        <v/>
      </c>
      <c r="M36">
        <f>IF($A36="",NA(),IF($C36="Traditional",$B36,NA()))</f>
        <v/>
      </c>
      <c r="N36">
        <f>IF($A36="",NA(),IF($C36="Traditional",4+$F36*0.023,NA()))</f>
        <v/>
      </c>
      <c r="O36">
        <f>IF($A36="","",$D36+ROW()/1000000)</f>
        <v/>
      </c>
      <c r="P36">
        <f>IF(OR($A36="",games!$H36=""),"",games!$H36)</f>
        <v/>
      </c>
      <c r="Q36">
        <f>IF(OR($A36="",$P36&lt;&gt;"Yes"),"",$D36+ROW()/1000000)</f>
        <v/>
      </c>
      <c r="T36">
        <f>IF(connections!$A36="","",IFERROR(INDEX(games!$B$2:$B$950,MATCH(connections!$A36,games!$A$2:$A$950,0)),""))</f>
        <v/>
      </c>
      <c r="U36">
        <f>IF(connections!$A36="","",IFERROR(INDEX(games!$B$2:$B$950,MATCH(connections!$B36,games!$A$2:$A$950,0)),""))</f>
        <v/>
      </c>
      <c r="V36">
        <f>IF(OR($T36="",$U36=""),"",$U36-$T36)</f>
        <v/>
      </c>
    </row>
    <row r="37">
      <c r="A37">
        <f>IF(games!$A37="","",games!$A37)</f>
        <v/>
      </c>
      <c r="B37">
        <f>IF($A37="","",games!$B37)</f>
        <v/>
      </c>
      <c r="C37">
        <f>IF($A37="","",games!$C37)</f>
        <v/>
      </c>
      <c r="D37">
        <f>IF($A37="","",COUNTIF(connections!$A$2:$A$1400,$A37)+COUNTIF(connections!$B$2:$B$1400,$A37))</f>
        <v/>
      </c>
      <c r="E37">
        <f>IF($A37="","",IFERROR(MATCH($C37,$R$2:$R$5,0),0))</f>
        <v/>
      </c>
      <c r="F37">
        <f>IF($A37="","",MOD(ROW(),34))</f>
        <v/>
      </c>
      <c r="G37">
        <f>IF($A37="",NA(),IF($C37="Action",$B37,NA()))</f>
        <v/>
      </c>
      <c r="H37">
        <f>IF($A37="",NA(),IF($C37="Action",1+$F37*0.023,NA()))</f>
        <v/>
      </c>
      <c r="I37">
        <f>IF($A37="",NA(),IF($C37="Strategy",$B37,NA()))</f>
        <v/>
      </c>
      <c r="J37">
        <f>IF($A37="",NA(),IF($C37="Strategy",2+$F37*0.023,NA()))</f>
        <v/>
      </c>
      <c r="K37">
        <f>IF($A37="",NA(),IF($C37="Deckbuilder",$B37,NA()))</f>
        <v/>
      </c>
      <c r="L37">
        <f>IF($A37="",NA(),IF($C37="Deckbuilder",3+$F37*0.023,NA()))</f>
        <v/>
      </c>
      <c r="M37">
        <f>IF($A37="",NA(),IF($C37="Traditional",$B37,NA()))</f>
        <v/>
      </c>
      <c r="N37">
        <f>IF($A37="",NA(),IF($C37="Traditional",4+$F37*0.023,NA()))</f>
        <v/>
      </c>
      <c r="O37">
        <f>IF($A37="","",$D37+ROW()/1000000)</f>
        <v/>
      </c>
      <c r="P37">
        <f>IF(OR($A37="",games!$H37=""),"",games!$H37)</f>
        <v/>
      </c>
      <c r="Q37">
        <f>IF(OR($A37="",$P37&lt;&gt;"Yes"),"",$D37+ROW()/1000000)</f>
        <v/>
      </c>
      <c r="T37">
        <f>IF(connections!$A37="","",IFERROR(INDEX(games!$B$2:$B$950,MATCH(connections!$A37,games!$A$2:$A$950,0)),""))</f>
        <v/>
      </c>
      <c r="U37">
        <f>IF(connections!$A37="","",IFERROR(INDEX(games!$B$2:$B$950,MATCH(connections!$B37,games!$A$2:$A$950,0)),""))</f>
        <v/>
      </c>
      <c r="V37">
        <f>IF(OR($T37="",$U37=""),"",$U37-$T37)</f>
        <v/>
      </c>
    </row>
    <row r="38">
      <c r="A38">
        <f>IF(games!$A38="","",games!$A38)</f>
        <v/>
      </c>
      <c r="B38">
        <f>IF($A38="","",games!$B38)</f>
        <v/>
      </c>
      <c r="C38">
        <f>IF($A38="","",games!$C38)</f>
        <v/>
      </c>
      <c r="D38">
        <f>IF($A38="","",COUNTIF(connections!$A$2:$A$1400,$A38)+COUNTIF(connections!$B$2:$B$1400,$A38))</f>
        <v/>
      </c>
      <c r="E38">
        <f>IF($A38="","",IFERROR(MATCH($C38,$R$2:$R$5,0),0))</f>
        <v/>
      </c>
      <c r="F38">
        <f>IF($A38="","",MOD(ROW(),34))</f>
        <v/>
      </c>
      <c r="G38">
        <f>IF($A38="",NA(),IF($C38="Action",$B38,NA()))</f>
        <v/>
      </c>
      <c r="H38">
        <f>IF($A38="",NA(),IF($C38="Action",1+$F38*0.023,NA()))</f>
        <v/>
      </c>
      <c r="I38">
        <f>IF($A38="",NA(),IF($C38="Strategy",$B38,NA()))</f>
        <v/>
      </c>
      <c r="J38">
        <f>IF($A38="",NA(),IF($C38="Strategy",2+$F38*0.023,NA()))</f>
        <v/>
      </c>
      <c r="K38">
        <f>IF($A38="",NA(),IF($C38="Deckbuilder",$B38,NA()))</f>
        <v/>
      </c>
      <c r="L38">
        <f>IF($A38="",NA(),IF($C38="Deckbuilder",3+$F38*0.023,NA()))</f>
        <v/>
      </c>
      <c r="M38">
        <f>IF($A38="",NA(),IF($C38="Traditional",$B38,NA()))</f>
        <v/>
      </c>
      <c r="N38">
        <f>IF($A38="",NA(),IF($C38="Traditional",4+$F38*0.023,NA()))</f>
        <v/>
      </c>
      <c r="O38">
        <f>IF($A38="","",$D38+ROW()/1000000)</f>
        <v/>
      </c>
      <c r="P38">
        <f>IF(OR($A38="",games!$H38=""),"",games!$H38)</f>
        <v/>
      </c>
      <c r="Q38">
        <f>IF(OR($A38="",$P38&lt;&gt;"Yes"),"",$D38+ROW()/1000000)</f>
        <v/>
      </c>
      <c r="T38">
        <f>IF(connections!$A38="","",IFERROR(INDEX(games!$B$2:$B$950,MATCH(connections!$A38,games!$A$2:$A$950,0)),""))</f>
        <v/>
      </c>
      <c r="U38">
        <f>IF(connections!$A38="","",IFERROR(INDEX(games!$B$2:$B$950,MATCH(connections!$B38,games!$A$2:$A$950,0)),""))</f>
        <v/>
      </c>
      <c r="V38">
        <f>IF(OR($T38="",$U38=""),"",$U38-$T38)</f>
        <v/>
      </c>
    </row>
    <row r="39">
      <c r="A39">
        <f>IF(games!$A39="","",games!$A39)</f>
        <v/>
      </c>
      <c r="B39">
        <f>IF($A39="","",games!$B39)</f>
        <v/>
      </c>
      <c r="C39">
        <f>IF($A39="","",games!$C39)</f>
        <v/>
      </c>
      <c r="D39">
        <f>IF($A39="","",COUNTIF(connections!$A$2:$A$1400,$A39)+COUNTIF(connections!$B$2:$B$1400,$A39))</f>
        <v/>
      </c>
      <c r="E39">
        <f>IF($A39="","",IFERROR(MATCH($C39,$R$2:$R$5,0),0))</f>
        <v/>
      </c>
      <c r="F39">
        <f>IF($A39="","",MOD(ROW(),34))</f>
        <v/>
      </c>
      <c r="G39">
        <f>IF($A39="",NA(),IF($C39="Action",$B39,NA()))</f>
        <v/>
      </c>
      <c r="H39">
        <f>IF($A39="",NA(),IF($C39="Action",1+$F39*0.023,NA()))</f>
        <v/>
      </c>
      <c r="I39">
        <f>IF($A39="",NA(),IF($C39="Strategy",$B39,NA()))</f>
        <v/>
      </c>
      <c r="J39">
        <f>IF($A39="",NA(),IF($C39="Strategy",2+$F39*0.023,NA()))</f>
        <v/>
      </c>
      <c r="K39">
        <f>IF($A39="",NA(),IF($C39="Deckbuilder",$B39,NA()))</f>
        <v/>
      </c>
      <c r="L39">
        <f>IF($A39="",NA(),IF($C39="Deckbuilder",3+$F39*0.023,NA()))</f>
        <v/>
      </c>
      <c r="M39">
        <f>IF($A39="",NA(),IF($C39="Traditional",$B39,NA()))</f>
        <v/>
      </c>
      <c r="N39">
        <f>IF($A39="",NA(),IF($C39="Traditional",4+$F39*0.023,NA()))</f>
        <v/>
      </c>
      <c r="O39">
        <f>IF($A39="","",$D39+ROW()/1000000)</f>
        <v/>
      </c>
      <c r="P39">
        <f>IF(OR($A39="",games!$H39=""),"",games!$H39)</f>
        <v/>
      </c>
      <c r="Q39">
        <f>IF(OR($A39="",$P39&lt;&gt;"Yes"),"",$D39+ROW()/1000000)</f>
        <v/>
      </c>
      <c r="T39">
        <f>IF(connections!$A39="","",IFERROR(INDEX(games!$B$2:$B$950,MATCH(connections!$A39,games!$A$2:$A$950,0)),""))</f>
        <v/>
      </c>
      <c r="U39">
        <f>IF(connections!$A39="","",IFERROR(INDEX(games!$B$2:$B$950,MATCH(connections!$B39,games!$A$2:$A$950,0)),""))</f>
        <v/>
      </c>
      <c r="V39">
        <f>IF(OR($T39="",$U39=""),"",$U39-$T39)</f>
        <v/>
      </c>
    </row>
    <row r="40">
      <c r="A40">
        <f>IF(games!$A40="","",games!$A40)</f>
        <v/>
      </c>
      <c r="B40">
        <f>IF($A40="","",games!$B40)</f>
        <v/>
      </c>
      <c r="C40">
        <f>IF($A40="","",games!$C40)</f>
        <v/>
      </c>
      <c r="D40">
        <f>IF($A40="","",COUNTIF(connections!$A$2:$A$1400,$A40)+COUNTIF(connections!$B$2:$B$1400,$A40))</f>
        <v/>
      </c>
      <c r="E40">
        <f>IF($A40="","",IFERROR(MATCH($C40,$R$2:$R$5,0),0))</f>
        <v/>
      </c>
      <c r="F40">
        <f>IF($A40="","",MOD(ROW(),34))</f>
        <v/>
      </c>
      <c r="G40">
        <f>IF($A40="",NA(),IF($C40="Action",$B40,NA()))</f>
        <v/>
      </c>
      <c r="H40">
        <f>IF($A40="",NA(),IF($C40="Action",1+$F40*0.023,NA()))</f>
        <v/>
      </c>
      <c r="I40">
        <f>IF($A40="",NA(),IF($C40="Strategy",$B40,NA()))</f>
        <v/>
      </c>
      <c r="J40">
        <f>IF($A40="",NA(),IF($C40="Strategy",2+$F40*0.023,NA()))</f>
        <v/>
      </c>
      <c r="K40">
        <f>IF($A40="",NA(),IF($C40="Deckbuilder",$B40,NA()))</f>
        <v/>
      </c>
      <c r="L40">
        <f>IF($A40="",NA(),IF($C40="Deckbuilder",3+$F40*0.023,NA()))</f>
        <v/>
      </c>
      <c r="M40">
        <f>IF($A40="",NA(),IF($C40="Traditional",$B40,NA()))</f>
        <v/>
      </c>
      <c r="N40">
        <f>IF($A40="",NA(),IF($C40="Traditional",4+$F40*0.023,NA()))</f>
        <v/>
      </c>
      <c r="O40">
        <f>IF($A40="","",$D40+ROW()/1000000)</f>
        <v/>
      </c>
      <c r="P40">
        <f>IF(OR($A40="",games!$H40=""),"",games!$H40)</f>
        <v/>
      </c>
      <c r="Q40">
        <f>IF(OR($A40="",$P40&lt;&gt;"Yes"),"",$D40+ROW()/1000000)</f>
        <v/>
      </c>
      <c r="T40">
        <f>IF(connections!$A40="","",IFERROR(INDEX(games!$B$2:$B$950,MATCH(connections!$A40,games!$A$2:$A$950,0)),""))</f>
        <v/>
      </c>
      <c r="U40">
        <f>IF(connections!$A40="","",IFERROR(INDEX(games!$B$2:$B$950,MATCH(connections!$B40,games!$A$2:$A$950,0)),""))</f>
        <v/>
      </c>
      <c r="V40">
        <f>IF(OR($T40="",$U40=""),"",$U40-$T40)</f>
        <v/>
      </c>
    </row>
    <row r="41">
      <c r="A41">
        <f>IF(games!$A41="","",games!$A41)</f>
        <v/>
      </c>
      <c r="B41">
        <f>IF($A41="","",games!$B41)</f>
        <v/>
      </c>
      <c r="C41">
        <f>IF($A41="","",games!$C41)</f>
        <v/>
      </c>
      <c r="D41">
        <f>IF($A41="","",COUNTIF(connections!$A$2:$A$1400,$A41)+COUNTIF(connections!$B$2:$B$1400,$A41))</f>
        <v/>
      </c>
      <c r="E41">
        <f>IF($A41="","",IFERROR(MATCH($C41,$R$2:$R$5,0),0))</f>
        <v/>
      </c>
      <c r="F41">
        <f>IF($A41="","",MOD(ROW(),34))</f>
        <v/>
      </c>
      <c r="G41">
        <f>IF($A41="",NA(),IF($C41="Action",$B41,NA()))</f>
        <v/>
      </c>
      <c r="H41">
        <f>IF($A41="",NA(),IF($C41="Action",1+$F41*0.023,NA()))</f>
        <v/>
      </c>
      <c r="I41">
        <f>IF($A41="",NA(),IF($C41="Strategy",$B41,NA()))</f>
        <v/>
      </c>
      <c r="J41">
        <f>IF($A41="",NA(),IF($C41="Strategy",2+$F41*0.023,NA()))</f>
        <v/>
      </c>
      <c r="K41">
        <f>IF($A41="",NA(),IF($C41="Deckbuilder",$B41,NA()))</f>
        <v/>
      </c>
      <c r="L41">
        <f>IF($A41="",NA(),IF($C41="Deckbuilder",3+$F41*0.023,NA()))</f>
        <v/>
      </c>
      <c r="M41">
        <f>IF($A41="",NA(),IF($C41="Traditional",$B41,NA()))</f>
        <v/>
      </c>
      <c r="N41">
        <f>IF($A41="",NA(),IF($C41="Traditional",4+$F41*0.023,NA()))</f>
        <v/>
      </c>
      <c r="O41">
        <f>IF($A41="","",$D41+ROW()/1000000)</f>
        <v/>
      </c>
      <c r="P41">
        <f>IF(OR($A41="",games!$H41=""),"",games!$H41)</f>
        <v/>
      </c>
      <c r="Q41">
        <f>IF(OR($A41="",$P41&lt;&gt;"Yes"),"",$D41+ROW()/1000000)</f>
        <v/>
      </c>
      <c r="T41">
        <f>IF(connections!$A41="","",IFERROR(INDEX(games!$B$2:$B$950,MATCH(connections!$A41,games!$A$2:$A$950,0)),""))</f>
        <v/>
      </c>
      <c r="U41">
        <f>IF(connections!$A41="","",IFERROR(INDEX(games!$B$2:$B$950,MATCH(connections!$B41,games!$A$2:$A$950,0)),""))</f>
        <v/>
      </c>
      <c r="V41">
        <f>IF(OR($T41="",$U41=""),"",$U41-$T41)</f>
        <v/>
      </c>
    </row>
    <row r="42">
      <c r="A42">
        <f>IF(games!$A42="","",games!$A42)</f>
        <v/>
      </c>
      <c r="B42">
        <f>IF($A42="","",games!$B42)</f>
        <v/>
      </c>
      <c r="C42">
        <f>IF($A42="","",games!$C42)</f>
        <v/>
      </c>
      <c r="D42">
        <f>IF($A42="","",COUNTIF(connections!$A$2:$A$1400,$A42)+COUNTIF(connections!$B$2:$B$1400,$A42))</f>
        <v/>
      </c>
      <c r="E42">
        <f>IF($A42="","",IFERROR(MATCH($C42,$R$2:$R$5,0),0))</f>
        <v/>
      </c>
      <c r="F42">
        <f>IF($A42="","",MOD(ROW(),34))</f>
        <v/>
      </c>
      <c r="G42">
        <f>IF($A42="",NA(),IF($C42="Action",$B42,NA()))</f>
        <v/>
      </c>
      <c r="H42">
        <f>IF($A42="",NA(),IF($C42="Action",1+$F42*0.023,NA()))</f>
        <v/>
      </c>
      <c r="I42">
        <f>IF($A42="",NA(),IF($C42="Strategy",$B42,NA()))</f>
        <v/>
      </c>
      <c r="J42">
        <f>IF($A42="",NA(),IF($C42="Strategy",2+$F42*0.023,NA()))</f>
        <v/>
      </c>
      <c r="K42">
        <f>IF($A42="",NA(),IF($C42="Deckbuilder",$B42,NA()))</f>
        <v/>
      </c>
      <c r="L42">
        <f>IF($A42="",NA(),IF($C42="Deckbuilder",3+$F42*0.023,NA()))</f>
        <v/>
      </c>
      <c r="M42">
        <f>IF($A42="",NA(),IF($C42="Traditional",$B42,NA()))</f>
        <v/>
      </c>
      <c r="N42">
        <f>IF($A42="",NA(),IF($C42="Traditional",4+$F42*0.023,NA()))</f>
        <v/>
      </c>
      <c r="O42">
        <f>IF($A42="","",$D42+ROW()/1000000)</f>
        <v/>
      </c>
      <c r="P42">
        <f>IF(OR($A42="",games!$H42=""),"",games!$H42)</f>
        <v/>
      </c>
      <c r="Q42">
        <f>IF(OR($A42="",$P42&lt;&gt;"Yes"),"",$D42+ROW()/1000000)</f>
        <v/>
      </c>
      <c r="T42">
        <f>IF(connections!$A42="","",IFERROR(INDEX(games!$B$2:$B$950,MATCH(connections!$A42,games!$A$2:$A$950,0)),""))</f>
        <v/>
      </c>
      <c r="U42">
        <f>IF(connections!$A42="","",IFERROR(INDEX(games!$B$2:$B$950,MATCH(connections!$B42,games!$A$2:$A$950,0)),""))</f>
        <v/>
      </c>
      <c r="V42">
        <f>IF(OR($T42="",$U42=""),"",$U42-$T42)</f>
        <v/>
      </c>
    </row>
    <row r="43">
      <c r="A43">
        <f>IF(games!$A43="","",games!$A43)</f>
        <v/>
      </c>
      <c r="B43">
        <f>IF($A43="","",games!$B43)</f>
        <v/>
      </c>
      <c r="C43">
        <f>IF($A43="","",games!$C43)</f>
        <v/>
      </c>
      <c r="D43">
        <f>IF($A43="","",COUNTIF(connections!$A$2:$A$1400,$A43)+COUNTIF(connections!$B$2:$B$1400,$A43))</f>
        <v/>
      </c>
      <c r="E43">
        <f>IF($A43="","",IFERROR(MATCH($C43,$R$2:$R$5,0),0))</f>
        <v/>
      </c>
      <c r="F43">
        <f>IF($A43="","",MOD(ROW(),34))</f>
        <v/>
      </c>
      <c r="G43">
        <f>IF($A43="",NA(),IF($C43="Action",$B43,NA()))</f>
        <v/>
      </c>
      <c r="H43">
        <f>IF($A43="",NA(),IF($C43="Action",1+$F43*0.023,NA()))</f>
        <v/>
      </c>
      <c r="I43">
        <f>IF($A43="",NA(),IF($C43="Strategy",$B43,NA()))</f>
        <v/>
      </c>
      <c r="J43">
        <f>IF($A43="",NA(),IF($C43="Strategy",2+$F43*0.023,NA()))</f>
        <v/>
      </c>
      <c r="K43">
        <f>IF($A43="",NA(),IF($C43="Deckbuilder",$B43,NA()))</f>
        <v/>
      </c>
      <c r="L43">
        <f>IF($A43="",NA(),IF($C43="Deckbuilder",3+$F43*0.023,NA()))</f>
        <v/>
      </c>
      <c r="M43">
        <f>IF($A43="",NA(),IF($C43="Traditional",$B43,NA()))</f>
        <v/>
      </c>
      <c r="N43">
        <f>IF($A43="",NA(),IF($C43="Traditional",4+$F43*0.023,NA()))</f>
        <v/>
      </c>
      <c r="O43">
        <f>IF($A43="","",$D43+ROW()/1000000)</f>
        <v/>
      </c>
      <c r="P43">
        <f>IF(OR($A43="",games!$H43=""),"",games!$H43)</f>
        <v/>
      </c>
      <c r="Q43">
        <f>IF(OR($A43="",$P43&lt;&gt;"Yes"),"",$D43+ROW()/1000000)</f>
        <v/>
      </c>
      <c r="T43">
        <f>IF(connections!$A43="","",IFERROR(INDEX(games!$B$2:$B$950,MATCH(connections!$A43,games!$A$2:$A$950,0)),""))</f>
        <v/>
      </c>
      <c r="U43">
        <f>IF(connections!$A43="","",IFERROR(INDEX(games!$B$2:$B$950,MATCH(connections!$B43,games!$A$2:$A$950,0)),""))</f>
        <v/>
      </c>
      <c r="V43">
        <f>IF(OR($T43="",$U43=""),"",$U43-$T43)</f>
        <v/>
      </c>
    </row>
    <row r="44">
      <c r="A44">
        <f>IF(games!$A44="","",games!$A44)</f>
        <v/>
      </c>
      <c r="B44">
        <f>IF($A44="","",games!$B44)</f>
        <v/>
      </c>
      <c r="C44">
        <f>IF($A44="","",games!$C44)</f>
        <v/>
      </c>
      <c r="D44">
        <f>IF($A44="","",COUNTIF(connections!$A$2:$A$1400,$A44)+COUNTIF(connections!$B$2:$B$1400,$A44))</f>
        <v/>
      </c>
      <c r="E44">
        <f>IF($A44="","",IFERROR(MATCH($C44,$R$2:$R$5,0),0))</f>
        <v/>
      </c>
      <c r="F44">
        <f>IF($A44="","",MOD(ROW(),34))</f>
        <v/>
      </c>
      <c r="G44">
        <f>IF($A44="",NA(),IF($C44="Action",$B44,NA()))</f>
        <v/>
      </c>
      <c r="H44">
        <f>IF($A44="",NA(),IF($C44="Action",1+$F44*0.023,NA()))</f>
        <v/>
      </c>
      <c r="I44">
        <f>IF($A44="",NA(),IF($C44="Strategy",$B44,NA()))</f>
        <v/>
      </c>
      <c r="J44">
        <f>IF($A44="",NA(),IF($C44="Strategy",2+$F44*0.023,NA()))</f>
        <v/>
      </c>
      <c r="K44">
        <f>IF($A44="",NA(),IF($C44="Deckbuilder",$B44,NA()))</f>
        <v/>
      </c>
      <c r="L44">
        <f>IF($A44="",NA(),IF($C44="Deckbuilder",3+$F44*0.023,NA()))</f>
        <v/>
      </c>
      <c r="M44">
        <f>IF($A44="",NA(),IF($C44="Traditional",$B44,NA()))</f>
        <v/>
      </c>
      <c r="N44">
        <f>IF($A44="",NA(),IF($C44="Traditional",4+$F44*0.023,NA()))</f>
        <v/>
      </c>
      <c r="O44">
        <f>IF($A44="","",$D44+ROW()/1000000)</f>
        <v/>
      </c>
      <c r="P44">
        <f>IF(OR($A44="",games!$H44=""),"",games!$H44)</f>
        <v/>
      </c>
      <c r="Q44">
        <f>IF(OR($A44="",$P44&lt;&gt;"Yes"),"",$D44+ROW()/1000000)</f>
        <v/>
      </c>
      <c r="T44">
        <f>IF(connections!$A44="","",IFERROR(INDEX(games!$B$2:$B$950,MATCH(connections!$A44,games!$A$2:$A$950,0)),""))</f>
        <v/>
      </c>
      <c r="U44">
        <f>IF(connections!$A44="","",IFERROR(INDEX(games!$B$2:$B$950,MATCH(connections!$B44,games!$A$2:$A$950,0)),""))</f>
        <v/>
      </c>
      <c r="V44">
        <f>IF(OR($T44="",$U44=""),"",$U44-$T44)</f>
        <v/>
      </c>
    </row>
    <row r="45">
      <c r="A45">
        <f>IF(games!$A45="","",games!$A45)</f>
        <v/>
      </c>
      <c r="B45">
        <f>IF($A45="","",games!$B45)</f>
        <v/>
      </c>
      <c r="C45">
        <f>IF($A45="","",games!$C45)</f>
        <v/>
      </c>
      <c r="D45">
        <f>IF($A45="","",COUNTIF(connections!$A$2:$A$1400,$A45)+COUNTIF(connections!$B$2:$B$1400,$A45))</f>
        <v/>
      </c>
      <c r="E45">
        <f>IF($A45="","",IFERROR(MATCH($C45,$R$2:$R$5,0),0))</f>
        <v/>
      </c>
      <c r="F45">
        <f>IF($A45="","",MOD(ROW(),34))</f>
        <v/>
      </c>
      <c r="G45">
        <f>IF($A45="",NA(),IF($C45="Action",$B45,NA()))</f>
        <v/>
      </c>
      <c r="H45">
        <f>IF($A45="",NA(),IF($C45="Action",1+$F45*0.023,NA()))</f>
        <v/>
      </c>
      <c r="I45">
        <f>IF($A45="",NA(),IF($C45="Strategy",$B45,NA()))</f>
        <v/>
      </c>
      <c r="J45">
        <f>IF($A45="",NA(),IF($C45="Strategy",2+$F45*0.023,NA()))</f>
        <v/>
      </c>
      <c r="K45">
        <f>IF($A45="",NA(),IF($C45="Deckbuilder",$B45,NA()))</f>
        <v/>
      </c>
      <c r="L45">
        <f>IF($A45="",NA(),IF($C45="Deckbuilder",3+$F45*0.023,NA()))</f>
        <v/>
      </c>
      <c r="M45">
        <f>IF($A45="",NA(),IF($C45="Traditional",$B45,NA()))</f>
        <v/>
      </c>
      <c r="N45">
        <f>IF($A45="",NA(),IF($C45="Traditional",4+$F45*0.023,NA()))</f>
        <v/>
      </c>
      <c r="O45">
        <f>IF($A45="","",$D45+ROW()/1000000)</f>
        <v/>
      </c>
      <c r="P45">
        <f>IF(OR($A45="",games!$H45=""),"",games!$H45)</f>
        <v/>
      </c>
      <c r="Q45">
        <f>IF(OR($A45="",$P45&lt;&gt;"Yes"),"",$D45+ROW()/1000000)</f>
        <v/>
      </c>
      <c r="T45">
        <f>IF(connections!$A45="","",IFERROR(INDEX(games!$B$2:$B$950,MATCH(connections!$A45,games!$A$2:$A$950,0)),""))</f>
        <v/>
      </c>
      <c r="U45">
        <f>IF(connections!$A45="","",IFERROR(INDEX(games!$B$2:$B$950,MATCH(connections!$B45,games!$A$2:$A$950,0)),""))</f>
        <v/>
      </c>
      <c r="V45">
        <f>IF(OR($T45="",$U45=""),"",$U45-$T45)</f>
        <v/>
      </c>
    </row>
    <row r="46">
      <c r="A46">
        <f>IF(games!$A46="","",games!$A46)</f>
        <v/>
      </c>
      <c r="B46">
        <f>IF($A46="","",games!$B46)</f>
        <v/>
      </c>
      <c r="C46">
        <f>IF($A46="","",games!$C46)</f>
        <v/>
      </c>
      <c r="D46">
        <f>IF($A46="","",COUNTIF(connections!$A$2:$A$1400,$A46)+COUNTIF(connections!$B$2:$B$1400,$A46))</f>
        <v/>
      </c>
      <c r="E46">
        <f>IF($A46="","",IFERROR(MATCH($C46,$R$2:$R$5,0),0))</f>
        <v/>
      </c>
      <c r="F46">
        <f>IF($A46="","",MOD(ROW(),34))</f>
        <v/>
      </c>
      <c r="G46">
        <f>IF($A46="",NA(),IF($C46="Action",$B46,NA()))</f>
        <v/>
      </c>
      <c r="H46">
        <f>IF($A46="",NA(),IF($C46="Action",1+$F46*0.023,NA()))</f>
        <v/>
      </c>
      <c r="I46">
        <f>IF($A46="",NA(),IF($C46="Strategy",$B46,NA()))</f>
        <v/>
      </c>
      <c r="J46">
        <f>IF($A46="",NA(),IF($C46="Strategy",2+$F46*0.023,NA()))</f>
        <v/>
      </c>
      <c r="K46">
        <f>IF($A46="",NA(),IF($C46="Deckbuilder",$B46,NA()))</f>
        <v/>
      </c>
      <c r="L46">
        <f>IF($A46="",NA(),IF($C46="Deckbuilder",3+$F46*0.023,NA()))</f>
        <v/>
      </c>
      <c r="M46">
        <f>IF($A46="",NA(),IF($C46="Traditional",$B46,NA()))</f>
        <v/>
      </c>
      <c r="N46">
        <f>IF($A46="",NA(),IF($C46="Traditional",4+$F46*0.023,NA()))</f>
        <v/>
      </c>
      <c r="O46">
        <f>IF($A46="","",$D46+ROW()/1000000)</f>
        <v/>
      </c>
      <c r="P46">
        <f>IF(OR($A46="",games!$H46=""),"",games!$H46)</f>
        <v/>
      </c>
      <c r="Q46">
        <f>IF(OR($A46="",$P46&lt;&gt;"Yes"),"",$D46+ROW()/1000000)</f>
        <v/>
      </c>
      <c r="T46">
        <f>IF(connections!$A46="","",IFERROR(INDEX(games!$B$2:$B$950,MATCH(connections!$A46,games!$A$2:$A$950,0)),""))</f>
        <v/>
      </c>
      <c r="U46">
        <f>IF(connections!$A46="","",IFERROR(INDEX(games!$B$2:$B$950,MATCH(connections!$B46,games!$A$2:$A$950,0)),""))</f>
        <v/>
      </c>
      <c r="V46">
        <f>IF(OR($T46="",$U46=""),"",$U46-$T46)</f>
        <v/>
      </c>
    </row>
    <row r="47">
      <c r="A47">
        <f>IF(games!$A47="","",games!$A47)</f>
        <v/>
      </c>
      <c r="B47">
        <f>IF($A47="","",games!$B47)</f>
        <v/>
      </c>
      <c r="C47">
        <f>IF($A47="","",games!$C47)</f>
        <v/>
      </c>
      <c r="D47">
        <f>IF($A47="","",COUNTIF(connections!$A$2:$A$1400,$A47)+COUNTIF(connections!$B$2:$B$1400,$A47))</f>
        <v/>
      </c>
      <c r="E47">
        <f>IF($A47="","",IFERROR(MATCH($C47,$R$2:$R$5,0),0))</f>
        <v/>
      </c>
      <c r="F47">
        <f>IF($A47="","",MOD(ROW(),34))</f>
        <v/>
      </c>
      <c r="G47">
        <f>IF($A47="",NA(),IF($C47="Action",$B47,NA()))</f>
        <v/>
      </c>
      <c r="H47">
        <f>IF($A47="",NA(),IF($C47="Action",1+$F47*0.023,NA()))</f>
        <v/>
      </c>
      <c r="I47">
        <f>IF($A47="",NA(),IF($C47="Strategy",$B47,NA()))</f>
        <v/>
      </c>
      <c r="J47">
        <f>IF($A47="",NA(),IF($C47="Strategy",2+$F47*0.023,NA()))</f>
        <v/>
      </c>
      <c r="K47">
        <f>IF($A47="",NA(),IF($C47="Deckbuilder",$B47,NA()))</f>
        <v/>
      </c>
      <c r="L47">
        <f>IF($A47="",NA(),IF($C47="Deckbuilder",3+$F47*0.023,NA()))</f>
        <v/>
      </c>
      <c r="M47">
        <f>IF($A47="",NA(),IF($C47="Traditional",$B47,NA()))</f>
        <v/>
      </c>
      <c r="N47">
        <f>IF($A47="",NA(),IF($C47="Traditional",4+$F47*0.023,NA()))</f>
        <v/>
      </c>
      <c r="O47">
        <f>IF($A47="","",$D47+ROW()/1000000)</f>
        <v/>
      </c>
      <c r="P47">
        <f>IF(OR($A47="",games!$H47=""),"",games!$H47)</f>
        <v/>
      </c>
      <c r="Q47">
        <f>IF(OR($A47="",$P47&lt;&gt;"Yes"),"",$D47+ROW()/1000000)</f>
        <v/>
      </c>
      <c r="T47">
        <f>IF(connections!$A47="","",IFERROR(INDEX(games!$B$2:$B$950,MATCH(connections!$A47,games!$A$2:$A$950,0)),""))</f>
        <v/>
      </c>
      <c r="U47">
        <f>IF(connections!$A47="","",IFERROR(INDEX(games!$B$2:$B$950,MATCH(connections!$B47,games!$A$2:$A$950,0)),""))</f>
        <v/>
      </c>
      <c r="V47">
        <f>IF(OR($T47="",$U47=""),"",$U47-$T47)</f>
        <v/>
      </c>
    </row>
    <row r="48">
      <c r="A48">
        <f>IF(games!$A48="","",games!$A48)</f>
        <v/>
      </c>
      <c r="B48">
        <f>IF($A48="","",games!$B48)</f>
        <v/>
      </c>
      <c r="C48">
        <f>IF($A48="","",games!$C48)</f>
        <v/>
      </c>
      <c r="D48">
        <f>IF($A48="","",COUNTIF(connections!$A$2:$A$1400,$A48)+COUNTIF(connections!$B$2:$B$1400,$A48))</f>
        <v/>
      </c>
      <c r="E48">
        <f>IF($A48="","",IFERROR(MATCH($C48,$R$2:$R$5,0),0))</f>
        <v/>
      </c>
      <c r="F48">
        <f>IF($A48="","",MOD(ROW(),34))</f>
        <v/>
      </c>
      <c r="G48">
        <f>IF($A48="",NA(),IF($C48="Action",$B48,NA()))</f>
        <v/>
      </c>
      <c r="H48">
        <f>IF($A48="",NA(),IF($C48="Action",1+$F48*0.023,NA()))</f>
        <v/>
      </c>
      <c r="I48">
        <f>IF($A48="",NA(),IF($C48="Strategy",$B48,NA()))</f>
        <v/>
      </c>
      <c r="J48">
        <f>IF($A48="",NA(),IF($C48="Strategy",2+$F48*0.023,NA()))</f>
        <v/>
      </c>
      <c r="K48">
        <f>IF($A48="",NA(),IF($C48="Deckbuilder",$B48,NA()))</f>
        <v/>
      </c>
      <c r="L48">
        <f>IF($A48="",NA(),IF($C48="Deckbuilder",3+$F48*0.023,NA()))</f>
        <v/>
      </c>
      <c r="M48">
        <f>IF($A48="",NA(),IF($C48="Traditional",$B48,NA()))</f>
        <v/>
      </c>
      <c r="N48">
        <f>IF($A48="",NA(),IF($C48="Traditional",4+$F48*0.023,NA()))</f>
        <v/>
      </c>
      <c r="O48">
        <f>IF($A48="","",$D48+ROW()/1000000)</f>
        <v/>
      </c>
      <c r="P48">
        <f>IF(OR($A48="",games!$H48=""),"",games!$H48)</f>
        <v/>
      </c>
      <c r="Q48">
        <f>IF(OR($A48="",$P48&lt;&gt;"Yes"),"",$D48+ROW()/1000000)</f>
        <v/>
      </c>
      <c r="T48">
        <f>IF(connections!$A48="","",IFERROR(INDEX(games!$B$2:$B$950,MATCH(connections!$A48,games!$A$2:$A$950,0)),""))</f>
        <v/>
      </c>
      <c r="U48">
        <f>IF(connections!$A48="","",IFERROR(INDEX(games!$B$2:$B$950,MATCH(connections!$B48,games!$A$2:$A$950,0)),""))</f>
        <v/>
      </c>
      <c r="V48">
        <f>IF(OR($T48="",$U48=""),"",$U48-$T48)</f>
        <v/>
      </c>
    </row>
    <row r="49">
      <c r="A49">
        <f>IF(games!$A49="","",games!$A49)</f>
        <v/>
      </c>
      <c r="B49">
        <f>IF($A49="","",games!$B49)</f>
        <v/>
      </c>
      <c r="C49">
        <f>IF($A49="","",games!$C49)</f>
        <v/>
      </c>
      <c r="D49">
        <f>IF($A49="","",COUNTIF(connections!$A$2:$A$1400,$A49)+COUNTIF(connections!$B$2:$B$1400,$A49))</f>
        <v/>
      </c>
      <c r="E49">
        <f>IF($A49="","",IFERROR(MATCH($C49,$R$2:$R$5,0),0))</f>
        <v/>
      </c>
      <c r="F49">
        <f>IF($A49="","",MOD(ROW(),34))</f>
        <v/>
      </c>
      <c r="G49">
        <f>IF($A49="",NA(),IF($C49="Action",$B49,NA()))</f>
        <v/>
      </c>
      <c r="H49">
        <f>IF($A49="",NA(),IF($C49="Action",1+$F49*0.023,NA()))</f>
        <v/>
      </c>
      <c r="I49">
        <f>IF($A49="",NA(),IF($C49="Strategy",$B49,NA()))</f>
        <v/>
      </c>
      <c r="J49">
        <f>IF($A49="",NA(),IF($C49="Strategy",2+$F49*0.023,NA()))</f>
        <v/>
      </c>
      <c r="K49">
        <f>IF($A49="",NA(),IF($C49="Deckbuilder",$B49,NA()))</f>
        <v/>
      </c>
      <c r="L49">
        <f>IF($A49="",NA(),IF($C49="Deckbuilder",3+$F49*0.023,NA()))</f>
        <v/>
      </c>
      <c r="M49">
        <f>IF($A49="",NA(),IF($C49="Traditional",$B49,NA()))</f>
        <v/>
      </c>
      <c r="N49">
        <f>IF($A49="",NA(),IF($C49="Traditional",4+$F49*0.023,NA()))</f>
        <v/>
      </c>
      <c r="O49">
        <f>IF($A49="","",$D49+ROW()/1000000)</f>
        <v/>
      </c>
      <c r="P49">
        <f>IF(OR($A49="",games!$H49=""),"",games!$H49)</f>
        <v/>
      </c>
      <c r="Q49">
        <f>IF(OR($A49="",$P49&lt;&gt;"Yes"),"",$D49+ROW()/1000000)</f>
        <v/>
      </c>
      <c r="T49">
        <f>IF(connections!$A49="","",IFERROR(INDEX(games!$B$2:$B$950,MATCH(connections!$A49,games!$A$2:$A$950,0)),""))</f>
        <v/>
      </c>
      <c r="U49">
        <f>IF(connections!$A49="","",IFERROR(INDEX(games!$B$2:$B$950,MATCH(connections!$B49,games!$A$2:$A$950,0)),""))</f>
        <v/>
      </c>
      <c r="V49">
        <f>IF(OR($T49="",$U49=""),"",$U49-$T49)</f>
        <v/>
      </c>
    </row>
    <row r="50">
      <c r="A50">
        <f>IF(games!$A50="","",games!$A50)</f>
        <v/>
      </c>
      <c r="B50">
        <f>IF($A50="","",games!$B50)</f>
        <v/>
      </c>
      <c r="C50">
        <f>IF($A50="","",games!$C50)</f>
        <v/>
      </c>
      <c r="D50">
        <f>IF($A50="","",COUNTIF(connections!$A$2:$A$1400,$A50)+COUNTIF(connections!$B$2:$B$1400,$A50))</f>
        <v/>
      </c>
      <c r="E50">
        <f>IF($A50="","",IFERROR(MATCH($C50,$R$2:$R$5,0),0))</f>
        <v/>
      </c>
      <c r="F50">
        <f>IF($A50="","",MOD(ROW(),34))</f>
        <v/>
      </c>
      <c r="G50">
        <f>IF($A50="",NA(),IF($C50="Action",$B50,NA()))</f>
        <v/>
      </c>
      <c r="H50">
        <f>IF($A50="",NA(),IF($C50="Action",1+$F50*0.023,NA()))</f>
        <v/>
      </c>
      <c r="I50">
        <f>IF($A50="",NA(),IF($C50="Strategy",$B50,NA()))</f>
        <v/>
      </c>
      <c r="J50">
        <f>IF($A50="",NA(),IF($C50="Strategy",2+$F50*0.023,NA()))</f>
        <v/>
      </c>
      <c r="K50">
        <f>IF($A50="",NA(),IF($C50="Deckbuilder",$B50,NA()))</f>
        <v/>
      </c>
      <c r="L50">
        <f>IF($A50="",NA(),IF($C50="Deckbuilder",3+$F50*0.023,NA()))</f>
        <v/>
      </c>
      <c r="M50">
        <f>IF($A50="",NA(),IF($C50="Traditional",$B50,NA()))</f>
        <v/>
      </c>
      <c r="N50">
        <f>IF($A50="",NA(),IF($C50="Traditional",4+$F50*0.023,NA()))</f>
        <v/>
      </c>
      <c r="O50">
        <f>IF($A50="","",$D50+ROW()/1000000)</f>
        <v/>
      </c>
      <c r="P50">
        <f>IF(OR($A50="",games!$H50=""),"",games!$H50)</f>
        <v/>
      </c>
      <c r="Q50">
        <f>IF(OR($A50="",$P50&lt;&gt;"Yes"),"",$D50+ROW()/1000000)</f>
        <v/>
      </c>
      <c r="T50">
        <f>IF(connections!$A50="","",IFERROR(INDEX(games!$B$2:$B$950,MATCH(connections!$A50,games!$A$2:$A$950,0)),""))</f>
        <v/>
      </c>
      <c r="U50">
        <f>IF(connections!$A50="","",IFERROR(INDEX(games!$B$2:$B$950,MATCH(connections!$B50,games!$A$2:$A$950,0)),""))</f>
        <v/>
      </c>
      <c r="V50">
        <f>IF(OR($T50="",$U50=""),"",$U50-$T50)</f>
        <v/>
      </c>
    </row>
    <row r="51">
      <c r="A51">
        <f>IF(games!$A51="","",games!$A51)</f>
        <v/>
      </c>
      <c r="B51">
        <f>IF($A51="","",games!$B51)</f>
        <v/>
      </c>
      <c r="C51">
        <f>IF($A51="","",games!$C51)</f>
        <v/>
      </c>
      <c r="D51">
        <f>IF($A51="","",COUNTIF(connections!$A$2:$A$1400,$A51)+COUNTIF(connections!$B$2:$B$1400,$A51))</f>
        <v/>
      </c>
      <c r="E51">
        <f>IF($A51="","",IFERROR(MATCH($C51,$R$2:$R$5,0),0))</f>
        <v/>
      </c>
      <c r="F51">
        <f>IF($A51="","",MOD(ROW(),34))</f>
        <v/>
      </c>
      <c r="G51">
        <f>IF($A51="",NA(),IF($C51="Action",$B51,NA()))</f>
        <v/>
      </c>
      <c r="H51">
        <f>IF($A51="",NA(),IF($C51="Action",1+$F51*0.023,NA()))</f>
        <v/>
      </c>
      <c r="I51">
        <f>IF($A51="",NA(),IF($C51="Strategy",$B51,NA()))</f>
        <v/>
      </c>
      <c r="J51">
        <f>IF($A51="",NA(),IF($C51="Strategy",2+$F51*0.023,NA()))</f>
        <v/>
      </c>
      <c r="K51">
        <f>IF($A51="",NA(),IF($C51="Deckbuilder",$B51,NA()))</f>
        <v/>
      </c>
      <c r="L51">
        <f>IF($A51="",NA(),IF($C51="Deckbuilder",3+$F51*0.023,NA()))</f>
        <v/>
      </c>
      <c r="M51">
        <f>IF($A51="",NA(),IF($C51="Traditional",$B51,NA()))</f>
        <v/>
      </c>
      <c r="N51">
        <f>IF($A51="",NA(),IF($C51="Traditional",4+$F51*0.023,NA()))</f>
        <v/>
      </c>
      <c r="O51">
        <f>IF($A51="","",$D51+ROW()/1000000)</f>
        <v/>
      </c>
      <c r="P51">
        <f>IF(OR($A51="",games!$H51=""),"",games!$H51)</f>
        <v/>
      </c>
      <c r="Q51">
        <f>IF(OR($A51="",$P51&lt;&gt;"Yes"),"",$D51+ROW()/1000000)</f>
        <v/>
      </c>
      <c r="T51">
        <f>IF(connections!$A51="","",IFERROR(INDEX(games!$B$2:$B$950,MATCH(connections!$A51,games!$A$2:$A$950,0)),""))</f>
        <v/>
      </c>
      <c r="U51">
        <f>IF(connections!$A51="","",IFERROR(INDEX(games!$B$2:$B$950,MATCH(connections!$B51,games!$A$2:$A$950,0)),""))</f>
        <v/>
      </c>
      <c r="V51">
        <f>IF(OR($T51="",$U51=""),"",$U51-$T51)</f>
        <v/>
      </c>
    </row>
    <row r="52">
      <c r="A52">
        <f>IF(games!$A52="","",games!$A52)</f>
        <v/>
      </c>
      <c r="B52">
        <f>IF($A52="","",games!$B52)</f>
        <v/>
      </c>
      <c r="C52">
        <f>IF($A52="","",games!$C52)</f>
        <v/>
      </c>
      <c r="D52">
        <f>IF($A52="","",COUNTIF(connections!$A$2:$A$1400,$A52)+COUNTIF(connections!$B$2:$B$1400,$A52))</f>
        <v/>
      </c>
      <c r="E52">
        <f>IF($A52="","",IFERROR(MATCH($C52,$R$2:$R$5,0),0))</f>
        <v/>
      </c>
      <c r="F52">
        <f>IF($A52="","",MOD(ROW(),34))</f>
        <v/>
      </c>
      <c r="G52">
        <f>IF($A52="",NA(),IF($C52="Action",$B52,NA()))</f>
        <v/>
      </c>
      <c r="H52">
        <f>IF($A52="",NA(),IF($C52="Action",1+$F52*0.023,NA()))</f>
        <v/>
      </c>
      <c r="I52">
        <f>IF($A52="",NA(),IF($C52="Strategy",$B52,NA()))</f>
        <v/>
      </c>
      <c r="J52">
        <f>IF($A52="",NA(),IF($C52="Strategy",2+$F52*0.023,NA()))</f>
        <v/>
      </c>
      <c r="K52">
        <f>IF($A52="",NA(),IF($C52="Deckbuilder",$B52,NA()))</f>
        <v/>
      </c>
      <c r="L52">
        <f>IF($A52="",NA(),IF($C52="Deckbuilder",3+$F52*0.023,NA()))</f>
        <v/>
      </c>
      <c r="M52">
        <f>IF($A52="",NA(),IF($C52="Traditional",$B52,NA()))</f>
        <v/>
      </c>
      <c r="N52">
        <f>IF($A52="",NA(),IF($C52="Traditional",4+$F52*0.023,NA()))</f>
        <v/>
      </c>
      <c r="O52">
        <f>IF($A52="","",$D52+ROW()/1000000)</f>
        <v/>
      </c>
      <c r="P52">
        <f>IF(OR($A52="",games!$H52=""),"",games!$H52)</f>
        <v/>
      </c>
      <c r="Q52">
        <f>IF(OR($A52="",$P52&lt;&gt;"Yes"),"",$D52+ROW()/1000000)</f>
        <v/>
      </c>
      <c r="T52">
        <f>IF(connections!$A52="","",IFERROR(INDEX(games!$B$2:$B$950,MATCH(connections!$A52,games!$A$2:$A$950,0)),""))</f>
        <v/>
      </c>
      <c r="U52">
        <f>IF(connections!$A52="","",IFERROR(INDEX(games!$B$2:$B$950,MATCH(connections!$B52,games!$A$2:$A$950,0)),""))</f>
        <v/>
      </c>
      <c r="V52">
        <f>IF(OR($T52="",$U52=""),"",$U52-$T52)</f>
        <v/>
      </c>
    </row>
    <row r="53">
      <c r="A53">
        <f>IF(games!$A53="","",games!$A53)</f>
        <v/>
      </c>
      <c r="B53">
        <f>IF($A53="","",games!$B53)</f>
        <v/>
      </c>
      <c r="C53">
        <f>IF($A53="","",games!$C53)</f>
        <v/>
      </c>
      <c r="D53">
        <f>IF($A53="","",COUNTIF(connections!$A$2:$A$1400,$A53)+COUNTIF(connections!$B$2:$B$1400,$A53))</f>
        <v/>
      </c>
      <c r="E53">
        <f>IF($A53="","",IFERROR(MATCH($C53,$R$2:$R$5,0),0))</f>
        <v/>
      </c>
      <c r="F53">
        <f>IF($A53="","",MOD(ROW(),34))</f>
        <v/>
      </c>
      <c r="G53">
        <f>IF($A53="",NA(),IF($C53="Action",$B53,NA()))</f>
        <v/>
      </c>
      <c r="H53">
        <f>IF($A53="",NA(),IF($C53="Action",1+$F53*0.023,NA()))</f>
        <v/>
      </c>
      <c r="I53">
        <f>IF($A53="",NA(),IF($C53="Strategy",$B53,NA()))</f>
        <v/>
      </c>
      <c r="J53">
        <f>IF($A53="",NA(),IF($C53="Strategy",2+$F53*0.023,NA()))</f>
        <v/>
      </c>
      <c r="K53">
        <f>IF($A53="",NA(),IF($C53="Deckbuilder",$B53,NA()))</f>
        <v/>
      </c>
      <c r="L53">
        <f>IF($A53="",NA(),IF($C53="Deckbuilder",3+$F53*0.023,NA()))</f>
        <v/>
      </c>
      <c r="M53">
        <f>IF($A53="",NA(),IF($C53="Traditional",$B53,NA()))</f>
        <v/>
      </c>
      <c r="N53">
        <f>IF($A53="",NA(),IF($C53="Traditional",4+$F53*0.023,NA()))</f>
        <v/>
      </c>
      <c r="O53">
        <f>IF($A53="","",$D53+ROW()/1000000)</f>
        <v/>
      </c>
      <c r="P53">
        <f>IF(OR($A53="",games!$H53=""),"",games!$H53)</f>
        <v/>
      </c>
      <c r="Q53">
        <f>IF(OR($A53="",$P53&lt;&gt;"Yes"),"",$D53+ROW()/1000000)</f>
        <v/>
      </c>
      <c r="T53">
        <f>IF(connections!$A53="","",IFERROR(INDEX(games!$B$2:$B$950,MATCH(connections!$A53,games!$A$2:$A$950,0)),""))</f>
        <v/>
      </c>
      <c r="U53">
        <f>IF(connections!$A53="","",IFERROR(INDEX(games!$B$2:$B$950,MATCH(connections!$B53,games!$A$2:$A$950,0)),""))</f>
        <v/>
      </c>
      <c r="V53">
        <f>IF(OR($T53="",$U53=""),"",$U53-$T53)</f>
        <v/>
      </c>
    </row>
    <row r="54">
      <c r="A54">
        <f>IF(games!$A54="","",games!$A54)</f>
        <v/>
      </c>
      <c r="B54">
        <f>IF($A54="","",games!$B54)</f>
        <v/>
      </c>
      <c r="C54">
        <f>IF($A54="","",games!$C54)</f>
        <v/>
      </c>
      <c r="D54">
        <f>IF($A54="","",COUNTIF(connections!$A$2:$A$1400,$A54)+COUNTIF(connections!$B$2:$B$1400,$A54))</f>
        <v/>
      </c>
      <c r="E54">
        <f>IF($A54="","",IFERROR(MATCH($C54,$R$2:$R$5,0),0))</f>
        <v/>
      </c>
      <c r="F54">
        <f>IF($A54="","",MOD(ROW(),34))</f>
        <v/>
      </c>
      <c r="G54">
        <f>IF($A54="",NA(),IF($C54="Action",$B54,NA()))</f>
        <v/>
      </c>
      <c r="H54">
        <f>IF($A54="",NA(),IF($C54="Action",1+$F54*0.023,NA()))</f>
        <v/>
      </c>
      <c r="I54">
        <f>IF($A54="",NA(),IF($C54="Strategy",$B54,NA()))</f>
        <v/>
      </c>
      <c r="J54">
        <f>IF($A54="",NA(),IF($C54="Strategy",2+$F54*0.023,NA()))</f>
        <v/>
      </c>
      <c r="K54">
        <f>IF($A54="",NA(),IF($C54="Deckbuilder",$B54,NA()))</f>
        <v/>
      </c>
      <c r="L54">
        <f>IF($A54="",NA(),IF($C54="Deckbuilder",3+$F54*0.023,NA()))</f>
        <v/>
      </c>
      <c r="M54">
        <f>IF($A54="",NA(),IF($C54="Traditional",$B54,NA()))</f>
        <v/>
      </c>
      <c r="N54">
        <f>IF($A54="",NA(),IF($C54="Traditional",4+$F54*0.023,NA()))</f>
        <v/>
      </c>
      <c r="O54">
        <f>IF($A54="","",$D54+ROW()/1000000)</f>
        <v/>
      </c>
      <c r="P54">
        <f>IF(OR($A54="",games!$H54=""),"",games!$H54)</f>
        <v/>
      </c>
      <c r="Q54">
        <f>IF(OR($A54="",$P54&lt;&gt;"Yes"),"",$D54+ROW()/1000000)</f>
        <v/>
      </c>
      <c r="T54">
        <f>IF(connections!$A54="","",IFERROR(INDEX(games!$B$2:$B$950,MATCH(connections!$A54,games!$A$2:$A$950,0)),""))</f>
        <v/>
      </c>
      <c r="U54">
        <f>IF(connections!$A54="","",IFERROR(INDEX(games!$B$2:$B$950,MATCH(connections!$B54,games!$A$2:$A$950,0)),""))</f>
        <v/>
      </c>
      <c r="V54">
        <f>IF(OR($T54="",$U54=""),"",$U54-$T54)</f>
        <v/>
      </c>
    </row>
    <row r="55">
      <c r="A55">
        <f>IF(games!$A55="","",games!$A55)</f>
        <v/>
      </c>
      <c r="B55">
        <f>IF($A55="","",games!$B55)</f>
        <v/>
      </c>
      <c r="C55">
        <f>IF($A55="","",games!$C55)</f>
        <v/>
      </c>
      <c r="D55">
        <f>IF($A55="","",COUNTIF(connections!$A$2:$A$1400,$A55)+COUNTIF(connections!$B$2:$B$1400,$A55))</f>
        <v/>
      </c>
      <c r="E55">
        <f>IF($A55="","",IFERROR(MATCH($C55,$R$2:$R$5,0),0))</f>
        <v/>
      </c>
      <c r="F55">
        <f>IF($A55="","",MOD(ROW(),34))</f>
        <v/>
      </c>
      <c r="G55">
        <f>IF($A55="",NA(),IF($C55="Action",$B55,NA()))</f>
        <v/>
      </c>
      <c r="H55">
        <f>IF($A55="",NA(),IF($C55="Action",1+$F55*0.023,NA()))</f>
        <v/>
      </c>
      <c r="I55">
        <f>IF($A55="",NA(),IF($C55="Strategy",$B55,NA()))</f>
        <v/>
      </c>
      <c r="J55">
        <f>IF($A55="",NA(),IF($C55="Strategy",2+$F55*0.023,NA()))</f>
        <v/>
      </c>
      <c r="K55">
        <f>IF($A55="",NA(),IF($C55="Deckbuilder",$B55,NA()))</f>
        <v/>
      </c>
      <c r="L55">
        <f>IF($A55="",NA(),IF($C55="Deckbuilder",3+$F55*0.023,NA()))</f>
        <v/>
      </c>
      <c r="M55">
        <f>IF($A55="",NA(),IF($C55="Traditional",$B55,NA()))</f>
        <v/>
      </c>
      <c r="N55">
        <f>IF($A55="",NA(),IF($C55="Traditional",4+$F55*0.023,NA()))</f>
        <v/>
      </c>
      <c r="O55">
        <f>IF($A55="","",$D55+ROW()/1000000)</f>
        <v/>
      </c>
      <c r="P55">
        <f>IF(OR($A55="",games!$H55=""),"",games!$H55)</f>
        <v/>
      </c>
      <c r="Q55">
        <f>IF(OR($A55="",$P55&lt;&gt;"Yes"),"",$D55+ROW()/1000000)</f>
        <v/>
      </c>
      <c r="T55">
        <f>IF(connections!$A55="","",IFERROR(INDEX(games!$B$2:$B$950,MATCH(connections!$A55,games!$A$2:$A$950,0)),""))</f>
        <v/>
      </c>
      <c r="U55">
        <f>IF(connections!$A55="","",IFERROR(INDEX(games!$B$2:$B$950,MATCH(connections!$B55,games!$A$2:$A$950,0)),""))</f>
        <v/>
      </c>
      <c r="V55">
        <f>IF(OR($T55="",$U55=""),"",$U55-$T55)</f>
        <v/>
      </c>
    </row>
    <row r="56">
      <c r="A56">
        <f>IF(games!$A56="","",games!$A56)</f>
        <v/>
      </c>
      <c r="B56">
        <f>IF($A56="","",games!$B56)</f>
        <v/>
      </c>
      <c r="C56">
        <f>IF($A56="","",games!$C56)</f>
        <v/>
      </c>
      <c r="D56">
        <f>IF($A56="","",COUNTIF(connections!$A$2:$A$1400,$A56)+COUNTIF(connections!$B$2:$B$1400,$A56))</f>
        <v/>
      </c>
      <c r="E56">
        <f>IF($A56="","",IFERROR(MATCH($C56,$R$2:$R$5,0),0))</f>
        <v/>
      </c>
      <c r="F56">
        <f>IF($A56="","",MOD(ROW(),34))</f>
        <v/>
      </c>
      <c r="G56">
        <f>IF($A56="",NA(),IF($C56="Action",$B56,NA()))</f>
        <v/>
      </c>
      <c r="H56">
        <f>IF($A56="",NA(),IF($C56="Action",1+$F56*0.023,NA()))</f>
        <v/>
      </c>
      <c r="I56">
        <f>IF($A56="",NA(),IF($C56="Strategy",$B56,NA()))</f>
        <v/>
      </c>
      <c r="J56">
        <f>IF($A56="",NA(),IF($C56="Strategy",2+$F56*0.023,NA()))</f>
        <v/>
      </c>
      <c r="K56">
        <f>IF($A56="",NA(),IF($C56="Deckbuilder",$B56,NA()))</f>
        <v/>
      </c>
      <c r="L56">
        <f>IF($A56="",NA(),IF($C56="Deckbuilder",3+$F56*0.023,NA()))</f>
        <v/>
      </c>
      <c r="M56">
        <f>IF($A56="",NA(),IF($C56="Traditional",$B56,NA()))</f>
        <v/>
      </c>
      <c r="N56">
        <f>IF($A56="",NA(),IF($C56="Traditional",4+$F56*0.023,NA()))</f>
        <v/>
      </c>
      <c r="O56">
        <f>IF($A56="","",$D56+ROW()/1000000)</f>
        <v/>
      </c>
      <c r="P56">
        <f>IF(OR($A56="",games!$H56=""),"",games!$H56)</f>
        <v/>
      </c>
      <c r="Q56">
        <f>IF(OR($A56="",$P56&lt;&gt;"Yes"),"",$D56+ROW()/1000000)</f>
        <v/>
      </c>
      <c r="T56">
        <f>IF(connections!$A56="","",IFERROR(INDEX(games!$B$2:$B$950,MATCH(connections!$A56,games!$A$2:$A$950,0)),""))</f>
        <v/>
      </c>
      <c r="U56">
        <f>IF(connections!$A56="","",IFERROR(INDEX(games!$B$2:$B$950,MATCH(connections!$B56,games!$A$2:$A$950,0)),""))</f>
        <v/>
      </c>
      <c r="V56">
        <f>IF(OR($T56="",$U56=""),"",$U56-$T56)</f>
        <v/>
      </c>
    </row>
    <row r="57">
      <c r="A57">
        <f>IF(games!$A57="","",games!$A57)</f>
        <v/>
      </c>
      <c r="B57">
        <f>IF($A57="","",games!$B57)</f>
        <v/>
      </c>
      <c r="C57">
        <f>IF($A57="","",games!$C57)</f>
        <v/>
      </c>
      <c r="D57">
        <f>IF($A57="","",COUNTIF(connections!$A$2:$A$1400,$A57)+COUNTIF(connections!$B$2:$B$1400,$A57))</f>
        <v/>
      </c>
      <c r="E57">
        <f>IF($A57="","",IFERROR(MATCH($C57,$R$2:$R$5,0),0))</f>
        <v/>
      </c>
      <c r="F57">
        <f>IF($A57="","",MOD(ROW(),34))</f>
        <v/>
      </c>
      <c r="G57">
        <f>IF($A57="",NA(),IF($C57="Action",$B57,NA()))</f>
        <v/>
      </c>
      <c r="H57">
        <f>IF($A57="",NA(),IF($C57="Action",1+$F57*0.023,NA()))</f>
        <v/>
      </c>
      <c r="I57">
        <f>IF($A57="",NA(),IF($C57="Strategy",$B57,NA()))</f>
        <v/>
      </c>
      <c r="J57">
        <f>IF($A57="",NA(),IF($C57="Strategy",2+$F57*0.023,NA()))</f>
        <v/>
      </c>
      <c r="K57">
        <f>IF($A57="",NA(),IF($C57="Deckbuilder",$B57,NA()))</f>
        <v/>
      </c>
      <c r="L57">
        <f>IF($A57="",NA(),IF($C57="Deckbuilder",3+$F57*0.023,NA()))</f>
        <v/>
      </c>
      <c r="M57">
        <f>IF($A57="",NA(),IF($C57="Traditional",$B57,NA()))</f>
        <v/>
      </c>
      <c r="N57">
        <f>IF($A57="",NA(),IF($C57="Traditional",4+$F57*0.023,NA()))</f>
        <v/>
      </c>
      <c r="O57">
        <f>IF($A57="","",$D57+ROW()/1000000)</f>
        <v/>
      </c>
      <c r="P57">
        <f>IF(OR($A57="",games!$H57=""),"",games!$H57)</f>
        <v/>
      </c>
      <c r="Q57">
        <f>IF(OR($A57="",$P57&lt;&gt;"Yes"),"",$D57+ROW()/1000000)</f>
        <v/>
      </c>
      <c r="T57">
        <f>IF(connections!$A57="","",IFERROR(INDEX(games!$B$2:$B$950,MATCH(connections!$A57,games!$A$2:$A$950,0)),""))</f>
        <v/>
      </c>
      <c r="U57">
        <f>IF(connections!$A57="","",IFERROR(INDEX(games!$B$2:$B$950,MATCH(connections!$B57,games!$A$2:$A$950,0)),""))</f>
        <v/>
      </c>
      <c r="V57">
        <f>IF(OR($T57="",$U57=""),"",$U57-$T57)</f>
        <v/>
      </c>
    </row>
    <row r="58">
      <c r="A58">
        <f>IF(games!$A58="","",games!$A58)</f>
        <v/>
      </c>
      <c r="B58">
        <f>IF($A58="","",games!$B58)</f>
        <v/>
      </c>
      <c r="C58">
        <f>IF($A58="","",games!$C58)</f>
        <v/>
      </c>
      <c r="D58">
        <f>IF($A58="","",COUNTIF(connections!$A$2:$A$1400,$A58)+COUNTIF(connections!$B$2:$B$1400,$A58))</f>
        <v/>
      </c>
      <c r="E58">
        <f>IF($A58="","",IFERROR(MATCH($C58,$R$2:$R$5,0),0))</f>
        <v/>
      </c>
      <c r="F58">
        <f>IF($A58="","",MOD(ROW(),34))</f>
        <v/>
      </c>
      <c r="G58">
        <f>IF($A58="",NA(),IF($C58="Action",$B58,NA()))</f>
        <v/>
      </c>
      <c r="H58">
        <f>IF($A58="",NA(),IF($C58="Action",1+$F58*0.023,NA()))</f>
        <v/>
      </c>
      <c r="I58">
        <f>IF($A58="",NA(),IF($C58="Strategy",$B58,NA()))</f>
        <v/>
      </c>
      <c r="J58">
        <f>IF($A58="",NA(),IF($C58="Strategy",2+$F58*0.023,NA()))</f>
        <v/>
      </c>
      <c r="K58">
        <f>IF($A58="",NA(),IF($C58="Deckbuilder",$B58,NA()))</f>
        <v/>
      </c>
      <c r="L58">
        <f>IF($A58="",NA(),IF($C58="Deckbuilder",3+$F58*0.023,NA()))</f>
        <v/>
      </c>
      <c r="M58">
        <f>IF($A58="",NA(),IF($C58="Traditional",$B58,NA()))</f>
        <v/>
      </c>
      <c r="N58">
        <f>IF($A58="",NA(),IF($C58="Traditional",4+$F58*0.023,NA()))</f>
        <v/>
      </c>
      <c r="O58">
        <f>IF($A58="","",$D58+ROW()/1000000)</f>
        <v/>
      </c>
      <c r="P58">
        <f>IF(OR($A58="",games!$H58=""),"",games!$H58)</f>
        <v/>
      </c>
      <c r="Q58">
        <f>IF(OR($A58="",$P58&lt;&gt;"Yes"),"",$D58+ROW()/1000000)</f>
        <v/>
      </c>
      <c r="T58">
        <f>IF(connections!$A58="","",IFERROR(INDEX(games!$B$2:$B$950,MATCH(connections!$A58,games!$A$2:$A$950,0)),""))</f>
        <v/>
      </c>
      <c r="U58">
        <f>IF(connections!$A58="","",IFERROR(INDEX(games!$B$2:$B$950,MATCH(connections!$B58,games!$A$2:$A$950,0)),""))</f>
        <v/>
      </c>
      <c r="V58">
        <f>IF(OR($T58="",$U58=""),"",$U58-$T58)</f>
        <v/>
      </c>
    </row>
    <row r="59">
      <c r="A59">
        <f>IF(games!$A59="","",games!$A59)</f>
        <v/>
      </c>
      <c r="B59">
        <f>IF($A59="","",games!$B59)</f>
        <v/>
      </c>
      <c r="C59">
        <f>IF($A59="","",games!$C59)</f>
        <v/>
      </c>
      <c r="D59">
        <f>IF($A59="","",COUNTIF(connections!$A$2:$A$1400,$A59)+COUNTIF(connections!$B$2:$B$1400,$A59))</f>
        <v/>
      </c>
      <c r="E59">
        <f>IF($A59="","",IFERROR(MATCH($C59,$R$2:$R$5,0),0))</f>
        <v/>
      </c>
      <c r="F59">
        <f>IF($A59="","",MOD(ROW(),34))</f>
        <v/>
      </c>
      <c r="G59">
        <f>IF($A59="",NA(),IF($C59="Action",$B59,NA()))</f>
        <v/>
      </c>
      <c r="H59">
        <f>IF($A59="",NA(),IF($C59="Action",1+$F59*0.023,NA()))</f>
        <v/>
      </c>
      <c r="I59">
        <f>IF($A59="",NA(),IF($C59="Strategy",$B59,NA()))</f>
        <v/>
      </c>
      <c r="J59">
        <f>IF($A59="",NA(),IF($C59="Strategy",2+$F59*0.023,NA()))</f>
        <v/>
      </c>
      <c r="K59">
        <f>IF($A59="",NA(),IF($C59="Deckbuilder",$B59,NA()))</f>
        <v/>
      </c>
      <c r="L59">
        <f>IF($A59="",NA(),IF($C59="Deckbuilder",3+$F59*0.023,NA()))</f>
        <v/>
      </c>
      <c r="M59">
        <f>IF($A59="",NA(),IF($C59="Traditional",$B59,NA()))</f>
        <v/>
      </c>
      <c r="N59">
        <f>IF($A59="",NA(),IF($C59="Traditional",4+$F59*0.023,NA()))</f>
        <v/>
      </c>
      <c r="O59">
        <f>IF($A59="","",$D59+ROW()/1000000)</f>
        <v/>
      </c>
      <c r="P59">
        <f>IF(OR($A59="",games!$H59=""),"",games!$H59)</f>
        <v/>
      </c>
      <c r="Q59">
        <f>IF(OR($A59="",$P59&lt;&gt;"Yes"),"",$D59+ROW()/1000000)</f>
        <v/>
      </c>
      <c r="T59">
        <f>IF(connections!$A59="","",IFERROR(INDEX(games!$B$2:$B$950,MATCH(connections!$A59,games!$A$2:$A$950,0)),""))</f>
        <v/>
      </c>
      <c r="U59">
        <f>IF(connections!$A59="","",IFERROR(INDEX(games!$B$2:$B$950,MATCH(connections!$B59,games!$A$2:$A$950,0)),""))</f>
        <v/>
      </c>
      <c r="V59">
        <f>IF(OR($T59="",$U59=""),"",$U59-$T59)</f>
        <v/>
      </c>
    </row>
    <row r="60">
      <c r="A60">
        <f>IF(games!$A60="","",games!$A60)</f>
        <v/>
      </c>
      <c r="B60">
        <f>IF($A60="","",games!$B60)</f>
        <v/>
      </c>
      <c r="C60">
        <f>IF($A60="","",games!$C60)</f>
        <v/>
      </c>
      <c r="D60">
        <f>IF($A60="","",COUNTIF(connections!$A$2:$A$1400,$A60)+COUNTIF(connections!$B$2:$B$1400,$A60))</f>
        <v/>
      </c>
      <c r="E60">
        <f>IF($A60="","",IFERROR(MATCH($C60,$R$2:$R$5,0),0))</f>
        <v/>
      </c>
      <c r="F60">
        <f>IF($A60="","",MOD(ROW(),34))</f>
        <v/>
      </c>
      <c r="G60">
        <f>IF($A60="",NA(),IF($C60="Action",$B60,NA()))</f>
        <v/>
      </c>
      <c r="H60">
        <f>IF($A60="",NA(),IF($C60="Action",1+$F60*0.023,NA()))</f>
        <v/>
      </c>
      <c r="I60">
        <f>IF($A60="",NA(),IF($C60="Strategy",$B60,NA()))</f>
        <v/>
      </c>
      <c r="J60">
        <f>IF($A60="",NA(),IF($C60="Strategy",2+$F60*0.023,NA()))</f>
        <v/>
      </c>
      <c r="K60">
        <f>IF($A60="",NA(),IF($C60="Deckbuilder",$B60,NA()))</f>
        <v/>
      </c>
      <c r="L60">
        <f>IF($A60="",NA(),IF($C60="Deckbuilder",3+$F60*0.023,NA()))</f>
        <v/>
      </c>
      <c r="M60">
        <f>IF($A60="",NA(),IF($C60="Traditional",$B60,NA()))</f>
        <v/>
      </c>
      <c r="N60">
        <f>IF($A60="",NA(),IF($C60="Traditional",4+$F60*0.023,NA()))</f>
        <v/>
      </c>
      <c r="O60">
        <f>IF($A60="","",$D60+ROW()/1000000)</f>
        <v/>
      </c>
      <c r="P60">
        <f>IF(OR($A60="",games!$H60=""),"",games!$H60)</f>
        <v/>
      </c>
      <c r="Q60">
        <f>IF(OR($A60="",$P60&lt;&gt;"Yes"),"",$D60+ROW()/1000000)</f>
        <v/>
      </c>
      <c r="T60">
        <f>IF(connections!$A60="","",IFERROR(INDEX(games!$B$2:$B$950,MATCH(connections!$A60,games!$A$2:$A$950,0)),""))</f>
        <v/>
      </c>
      <c r="U60">
        <f>IF(connections!$A60="","",IFERROR(INDEX(games!$B$2:$B$950,MATCH(connections!$B60,games!$A$2:$A$950,0)),""))</f>
        <v/>
      </c>
      <c r="V60">
        <f>IF(OR($T60="",$U60=""),"",$U60-$T60)</f>
        <v/>
      </c>
    </row>
    <row r="61">
      <c r="A61">
        <f>IF(games!$A61="","",games!$A61)</f>
        <v/>
      </c>
      <c r="B61">
        <f>IF($A61="","",games!$B61)</f>
        <v/>
      </c>
      <c r="C61">
        <f>IF($A61="","",games!$C61)</f>
        <v/>
      </c>
      <c r="D61">
        <f>IF($A61="","",COUNTIF(connections!$A$2:$A$1400,$A61)+COUNTIF(connections!$B$2:$B$1400,$A61))</f>
        <v/>
      </c>
      <c r="E61">
        <f>IF($A61="","",IFERROR(MATCH($C61,$R$2:$R$5,0),0))</f>
        <v/>
      </c>
      <c r="F61">
        <f>IF($A61="","",MOD(ROW(),34))</f>
        <v/>
      </c>
      <c r="G61">
        <f>IF($A61="",NA(),IF($C61="Action",$B61,NA()))</f>
        <v/>
      </c>
      <c r="H61">
        <f>IF($A61="",NA(),IF($C61="Action",1+$F61*0.023,NA()))</f>
        <v/>
      </c>
      <c r="I61">
        <f>IF($A61="",NA(),IF($C61="Strategy",$B61,NA()))</f>
        <v/>
      </c>
      <c r="J61">
        <f>IF($A61="",NA(),IF($C61="Strategy",2+$F61*0.023,NA()))</f>
        <v/>
      </c>
      <c r="K61">
        <f>IF($A61="",NA(),IF($C61="Deckbuilder",$B61,NA()))</f>
        <v/>
      </c>
      <c r="L61">
        <f>IF($A61="",NA(),IF($C61="Deckbuilder",3+$F61*0.023,NA()))</f>
        <v/>
      </c>
      <c r="M61">
        <f>IF($A61="",NA(),IF($C61="Traditional",$B61,NA()))</f>
        <v/>
      </c>
      <c r="N61">
        <f>IF($A61="",NA(),IF($C61="Traditional",4+$F61*0.023,NA()))</f>
        <v/>
      </c>
      <c r="O61">
        <f>IF($A61="","",$D61+ROW()/1000000)</f>
        <v/>
      </c>
      <c r="P61">
        <f>IF(OR($A61="",games!$H61=""),"",games!$H61)</f>
        <v/>
      </c>
      <c r="Q61">
        <f>IF(OR($A61="",$P61&lt;&gt;"Yes"),"",$D61+ROW()/1000000)</f>
        <v/>
      </c>
      <c r="T61">
        <f>IF(connections!$A61="","",IFERROR(INDEX(games!$B$2:$B$950,MATCH(connections!$A61,games!$A$2:$A$950,0)),""))</f>
        <v/>
      </c>
      <c r="U61">
        <f>IF(connections!$A61="","",IFERROR(INDEX(games!$B$2:$B$950,MATCH(connections!$B61,games!$A$2:$A$950,0)),""))</f>
        <v/>
      </c>
      <c r="V61">
        <f>IF(OR($T61="",$U61=""),"",$U61-$T61)</f>
        <v/>
      </c>
    </row>
    <row r="62">
      <c r="A62">
        <f>IF(games!$A62="","",games!$A62)</f>
        <v/>
      </c>
      <c r="B62">
        <f>IF($A62="","",games!$B62)</f>
        <v/>
      </c>
      <c r="C62">
        <f>IF($A62="","",games!$C62)</f>
        <v/>
      </c>
      <c r="D62">
        <f>IF($A62="","",COUNTIF(connections!$A$2:$A$1400,$A62)+COUNTIF(connections!$B$2:$B$1400,$A62))</f>
        <v/>
      </c>
      <c r="E62">
        <f>IF($A62="","",IFERROR(MATCH($C62,$R$2:$R$5,0),0))</f>
        <v/>
      </c>
      <c r="F62">
        <f>IF($A62="","",MOD(ROW(),34))</f>
        <v/>
      </c>
      <c r="G62">
        <f>IF($A62="",NA(),IF($C62="Action",$B62,NA()))</f>
        <v/>
      </c>
      <c r="H62">
        <f>IF($A62="",NA(),IF($C62="Action",1+$F62*0.023,NA()))</f>
        <v/>
      </c>
      <c r="I62">
        <f>IF($A62="",NA(),IF($C62="Strategy",$B62,NA()))</f>
        <v/>
      </c>
      <c r="J62">
        <f>IF($A62="",NA(),IF($C62="Strategy",2+$F62*0.023,NA()))</f>
        <v/>
      </c>
      <c r="K62">
        <f>IF($A62="",NA(),IF($C62="Deckbuilder",$B62,NA()))</f>
        <v/>
      </c>
      <c r="L62">
        <f>IF($A62="",NA(),IF($C62="Deckbuilder",3+$F62*0.023,NA()))</f>
        <v/>
      </c>
      <c r="M62">
        <f>IF($A62="",NA(),IF($C62="Traditional",$B62,NA()))</f>
        <v/>
      </c>
      <c r="N62">
        <f>IF($A62="",NA(),IF($C62="Traditional",4+$F62*0.023,NA()))</f>
        <v/>
      </c>
      <c r="O62">
        <f>IF($A62="","",$D62+ROW()/1000000)</f>
        <v/>
      </c>
      <c r="P62">
        <f>IF(OR($A62="",games!$H62=""),"",games!$H62)</f>
        <v/>
      </c>
      <c r="Q62">
        <f>IF(OR($A62="",$P62&lt;&gt;"Yes"),"",$D62+ROW()/1000000)</f>
        <v/>
      </c>
      <c r="T62">
        <f>IF(connections!$A62="","",IFERROR(INDEX(games!$B$2:$B$950,MATCH(connections!$A62,games!$A$2:$A$950,0)),""))</f>
        <v/>
      </c>
      <c r="U62">
        <f>IF(connections!$A62="","",IFERROR(INDEX(games!$B$2:$B$950,MATCH(connections!$B62,games!$A$2:$A$950,0)),""))</f>
        <v/>
      </c>
      <c r="V62">
        <f>IF(OR($T62="",$U62=""),"",$U62-$T62)</f>
        <v/>
      </c>
    </row>
    <row r="63">
      <c r="A63">
        <f>IF(games!$A63="","",games!$A63)</f>
        <v/>
      </c>
      <c r="B63">
        <f>IF($A63="","",games!$B63)</f>
        <v/>
      </c>
      <c r="C63">
        <f>IF($A63="","",games!$C63)</f>
        <v/>
      </c>
      <c r="D63">
        <f>IF($A63="","",COUNTIF(connections!$A$2:$A$1400,$A63)+COUNTIF(connections!$B$2:$B$1400,$A63))</f>
        <v/>
      </c>
      <c r="E63">
        <f>IF($A63="","",IFERROR(MATCH($C63,$R$2:$R$5,0),0))</f>
        <v/>
      </c>
      <c r="F63">
        <f>IF($A63="","",MOD(ROW(),34))</f>
        <v/>
      </c>
      <c r="G63">
        <f>IF($A63="",NA(),IF($C63="Action",$B63,NA()))</f>
        <v/>
      </c>
      <c r="H63">
        <f>IF($A63="",NA(),IF($C63="Action",1+$F63*0.023,NA()))</f>
        <v/>
      </c>
      <c r="I63">
        <f>IF($A63="",NA(),IF($C63="Strategy",$B63,NA()))</f>
        <v/>
      </c>
      <c r="J63">
        <f>IF($A63="",NA(),IF($C63="Strategy",2+$F63*0.023,NA()))</f>
        <v/>
      </c>
      <c r="K63">
        <f>IF($A63="",NA(),IF($C63="Deckbuilder",$B63,NA()))</f>
        <v/>
      </c>
      <c r="L63">
        <f>IF($A63="",NA(),IF($C63="Deckbuilder",3+$F63*0.023,NA()))</f>
        <v/>
      </c>
      <c r="M63">
        <f>IF($A63="",NA(),IF($C63="Traditional",$B63,NA()))</f>
        <v/>
      </c>
      <c r="N63">
        <f>IF($A63="",NA(),IF($C63="Traditional",4+$F63*0.023,NA()))</f>
        <v/>
      </c>
      <c r="O63">
        <f>IF($A63="","",$D63+ROW()/1000000)</f>
        <v/>
      </c>
      <c r="P63">
        <f>IF(OR($A63="",games!$H63=""),"",games!$H63)</f>
        <v/>
      </c>
      <c r="Q63">
        <f>IF(OR($A63="",$P63&lt;&gt;"Yes"),"",$D63+ROW()/1000000)</f>
        <v/>
      </c>
      <c r="T63">
        <f>IF(connections!$A63="","",IFERROR(INDEX(games!$B$2:$B$950,MATCH(connections!$A63,games!$A$2:$A$950,0)),""))</f>
        <v/>
      </c>
      <c r="U63">
        <f>IF(connections!$A63="","",IFERROR(INDEX(games!$B$2:$B$950,MATCH(connections!$B63,games!$A$2:$A$950,0)),""))</f>
        <v/>
      </c>
      <c r="V63">
        <f>IF(OR($T63="",$U63=""),"",$U63-$T63)</f>
        <v/>
      </c>
    </row>
    <row r="64">
      <c r="A64">
        <f>IF(games!$A64="","",games!$A64)</f>
        <v/>
      </c>
      <c r="B64">
        <f>IF($A64="","",games!$B64)</f>
        <v/>
      </c>
      <c r="C64">
        <f>IF($A64="","",games!$C64)</f>
        <v/>
      </c>
      <c r="D64">
        <f>IF($A64="","",COUNTIF(connections!$A$2:$A$1400,$A64)+COUNTIF(connections!$B$2:$B$1400,$A64))</f>
        <v/>
      </c>
      <c r="E64">
        <f>IF($A64="","",IFERROR(MATCH($C64,$R$2:$R$5,0),0))</f>
        <v/>
      </c>
      <c r="F64">
        <f>IF($A64="","",MOD(ROW(),34))</f>
        <v/>
      </c>
      <c r="G64">
        <f>IF($A64="",NA(),IF($C64="Action",$B64,NA()))</f>
        <v/>
      </c>
      <c r="H64">
        <f>IF($A64="",NA(),IF($C64="Action",1+$F64*0.023,NA()))</f>
        <v/>
      </c>
      <c r="I64">
        <f>IF($A64="",NA(),IF($C64="Strategy",$B64,NA()))</f>
        <v/>
      </c>
      <c r="J64">
        <f>IF($A64="",NA(),IF($C64="Strategy",2+$F64*0.023,NA()))</f>
        <v/>
      </c>
      <c r="K64">
        <f>IF($A64="",NA(),IF($C64="Deckbuilder",$B64,NA()))</f>
        <v/>
      </c>
      <c r="L64">
        <f>IF($A64="",NA(),IF($C64="Deckbuilder",3+$F64*0.023,NA()))</f>
        <v/>
      </c>
      <c r="M64">
        <f>IF($A64="",NA(),IF($C64="Traditional",$B64,NA()))</f>
        <v/>
      </c>
      <c r="N64">
        <f>IF($A64="",NA(),IF($C64="Traditional",4+$F64*0.023,NA()))</f>
        <v/>
      </c>
      <c r="O64">
        <f>IF($A64="","",$D64+ROW()/1000000)</f>
        <v/>
      </c>
      <c r="P64">
        <f>IF(OR($A64="",games!$H64=""),"",games!$H64)</f>
        <v/>
      </c>
      <c r="Q64">
        <f>IF(OR($A64="",$P64&lt;&gt;"Yes"),"",$D64+ROW()/1000000)</f>
        <v/>
      </c>
      <c r="T64">
        <f>IF(connections!$A64="","",IFERROR(INDEX(games!$B$2:$B$950,MATCH(connections!$A64,games!$A$2:$A$950,0)),""))</f>
        <v/>
      </c>
      <c r="U64">
        <f>IF(connections!$A64="","",IFERROR(INDEX(games!$B$2:$B$950,MATCH(connections!$B64,games!$A$2:$A$950,0)),""))</f>
        <v/>
      </c>
      <c r="V64">
        <f>IF(OR($T64="",$U64=""),"",$U64-$T64)</f>
        <v/>
      </c>
    </row>
    <row r="65">
      <c r="A65">
        <f>IF(games!$A65="","",games!$A65)</f>
        <v/>
      </c>
      <c r="B65">
        <f>IF($A65="","",games!$B65)</f>
        <v/>
      </c>
      <c r="C65">
        <f>IF($A65="","",games!$C65)</f>
        <v/>
      </c>
      <c r="D65">
        <f>IF($A65="","",COUNTIF(connections!$A$2:$A$1400,$A65)+COUNTIF(connections!$B$2:$B$1400,$A65))</f>
        <v/>
      </c>
      <c r="E65">
        <f>IF($A65="","",IFERROR(MATCH($C65,$R$2:$R$5,0),0))</f>
        <v/>
      </c>
      <c r="F65">
        <f>IF($A65="","",MOD(ROW(),34))</f>
        <v/>
      </c>
      <c r="G65">
        <f>IF($A65="",NA(),IF($C65="Action",$B65,NA()))</f>
        <v/>
      </c>
      <c r="H65">
        <f>IF($A65="",NA(),IF($C65="Action",1+$F65*0.023,NA()))</f>
        <v/>
      </c>
      <c r="I65">
        <f>IF($A65="",NA(),IF($C65="Strategy",$B65,NA()))</f>
        <v/>
      </c>
      <c r="J65">
        <f>IF($A65="",NA(),IF($C65="Strategy",2+$F65*0.023,NA()))</f>
        <v/>
      </c>
      <c r="K65">
        <f>IF($A65="",NA(),IF($C65="Deckbuilder",$B65,NA()))</f>
        <v/>
      </c>
      <c r="L65">
        <f>IF($A65="",NA(),IF($C65="Deckbuilder",3+$F65*0.023,NA()))</f>
        <v/>
      </c>
      <c r="M65">
        <f>IF($A65="",NA(),IF($C65="Traditional",$B65,NA()))</f>
        <v/>
      </c>
      <c r="N65">
        <f>IF($A65="",NA(),IF($C65="Traditional",4+$F65*0.023,NA()))</f>
        <v/>
      </c>
      <c r="O65">
        <f>IF($A65="","",$D65+ROW()/1000000)</f>
        <v/>
      </c>
      <c r="P65">
        <f>IF(OR($A65="",games!$H65=""),"",games!$H65)</f>
        <v/>
      </c>
      <c r="Q65">
        <f>IF(OR($A65="",$P65&lt;&gt;"Yes"),"",$D65+ROW()/1000000)</f>
        <v/>
      </c>
      <c r="T65">
        <f>IF(connections!$A65="","",IFERROR(INDEX(games!$B$2:$B$950,MATCH(connections!$A65,games!$A$2:$A$950,0)),""))</f>
        <v/>
      </c>
      <c r="U65">
        <f>IF(connections!$A65="","",IFERROR(INDEX(games!$B$2:$B$950,MATCH(connections!$B65,games!$A$2:$A$950,0)),""))</f>
        <v/>
      </c>
      <c r="V65">
        <f>IF(OR($T65="",$U65=""),"",$U65-$T65)</f>
        <v/>
      </c>
    </row>
    <row r="66">
      <c r="A66">
        <f>IF(games!$A66="","",games!$A66)</f>
        <v/>
      </c>
      <c r="B66">
        <f>IF($A66="","",games!$B66)</f>
        <v/>
      </c>
      <c r="C66">
        <f>IF($A66="","",games!$C66)</f>
        <v/>
      </c>
      <c r="D66">
        <f>IF($A66="","",COUNTIF(connections!$A$2:$A$1400,$A66)+COUNTIF(connections!$B$2:$B$1400,$A66))</f>
        <v/>
      </c>
      <c r="E66">
        <f>IF($A66="","",IFERROR(MATCH($C66,$R$2:$R$5,0),0))</f>
        <v/>
      </c>
      <c r="F66">
        <f>IF($A66="","",MOD(ROW(),34))</f>
        <v/>
      </c>
      <c r="G66">
        <f>IF($A66="",NA(),IF($C66="Action",$B66,NA()))</f>
        <v/>
      </c>
      <c r="H66">
        <f>IF($A66="",NA(),IF($C66="Action",1+$F66*0.023,NA()))</f>
        <v/>
      </c>
      <c r="I66">
        <f>IF($A66="",NA(),IF($C66="Strategy",$B66,NA()))</f>
        <v/>
      </c>
      <c r="J66">
        <f>IF($A66="",NA(),IF($C66="Strategy",2+$F66*0.023,NA()))</f>
        <v/>
      </c>
      <c r="K66">
        <f>IF($A66="",NA(),IF($C66="Deckbuilder",$B66,NA()))</f>
        <v/>
      </c>
      <c r="L66">
        <f>IF($A66="",NA(),IF($C66="Deckbuilder",3+$F66*0.023,NA()))</f>
        <v/>
      </c>
      <c r="M66">
        <f>IF($A66="",NA(),IF($C66="Traditional",$B66,NA()))</f>
        <v/>
      </c>
      <c r="N66">
        <f>IF($A66="",NA(),IF($C66="Traditional",4+$F66*0.023,NA()))</f>
        <v/>
      </c>
      <c r="O66">
        <f>IF($A66="","",$D66+ROW()/1000000)</f>
        <v/>
      </c>
      <c r="P66">
        <f>IF(OR($A66="",games!$H66=""),"",games!$H66)</f>
        <v/>
      </c>
      <c r="Q66">
        <f>IF(OR($A66="",$P66&lt;&gt;"Yes"),"",$D66+ROW()/1000000)</f>
        <v/>
      </c>
      <c r="T66">
        <f>IF(connections!$A66="","",IFERROR(INDEX(games!$B$2:$B$950,MATCH(connections!$A66,games!$A$2:$A$950,0)),""))</f>
        <v/>
      </c>
      <c r="U66">
        <f>IF(connections!$A66="","",IFERROR(INDEX(games!$B$2:$B$950,MATCH(connections!$B66,games!$A$2:$A$950,0)),""))</f>
        <v/>
      </c>
      <c r="V66">
        <f>IF(OR($T66="",$U66=""),"",$U66-$T66)</f>
        <v/>
      </c>
    </row>
    <row r="67">
      <c r="A67">
        <f>IF(games!$A67="","",games!$A67)</f>
        <v/>
      </c>
      <c r="B67">
        <f>IF($A67="","",games!$B67)</f>
        <v/>
      </c>
      <c r="C67">
        <f>IF($A67="","",games!$C67)</f>
        <v/>
      </c>
      <c r="D67">
        <f>IF($A67="","",COUNTIF(connections!$A$2:$A$1400,$A67)+COUNTIF(connections!$B$2:$B$1400,$A67))</f>
        <v/>
      </c>
      <c r="E67">
        <f>IF($A67="","",IFERROR(MATCH($C67,$R$2:$R$5,0),0))</f>
        <v/>
      </c>
      <c r="F67">
        <f>IF($A67="","",MOD(ROW(),34))</f>
        <v/>
      </c>
      <c r="G67">
        <f>IF($A67="",NA(),IF($C67="Action",$B67,NA()))</f>
        <v/>
      </c>
      <c r="H67">
        <f>IF($A67="",NA(),IF($C67="Action",1+$F67*0.023,NA()))</f>
        <v/>
      </c>
      <c r="I67">
        <f>IF($A67="",NA(),IF($C67="Strategy",$B67,NA()))</f>
        <v/>
      </c>
      <c r="J67">
        <f>IF($A67="",NA(),IF($C67="Strategy",2+$F67*0.023,NA()))</f>
        <v/>
      </c>
      <c r="K67">
        <f>IF($A67="",NA(),IF($C67="Deckbuilder",$B67,NA()))</f>
        <v/>
      </c>
      <c r="L67">
        <f>IF($A67="",NA(),IF($C67="Deckbuilder",3+$F67*0.023,NA()))</f>
        <v/>
      </c>
      <c r="M67">
        <f>IF($A67="",NA(),IF($C67="Traditional",$B67,NA()))</f>
        <v/>
      </c>
      <c r="N67">
        <f>IF($A67="",NA(),IF($C67="Traditional",4+$F67*0.023,NA()))</f>
        <v/>
      </c>
      <c r="O67">
        <f>IF($A67="","",$D67+ROW()/1000000)</f>
        <v/>
      </c>
      <c r="P67">
        <f>IF(OR($A67="",games!$H67=""),"",games!$H67)</f>
        <v/>
      </c>
      <c r="Q67">
        <f>IF(OR($A67="",$P67&lt;&gt;"Yes"),"",$D67+ROW()/1000000)</f>
        <v/>
      </c>
      <c r="T67">
        <f>IF(connections!$A67="","",IFERROR(INDEX(games!$B$2:$B$950,MATCH(connections!$A67,games!$A$2:$A$950,0)),""))</f>
        <v/>
      </c>
      <c r="U67">
        <f>IF(connections!$A67="","",IFERROR(INDEX(games!$B$2:$B$950,MATCH(connections!$B67,games!$A$2:$A$950,0)),""))</f>
        <v/>
      </c>
      <c r="V67">
        <f>IF(OR($T67="",$U67=""),"",$U67-$T67)</f>
        <v/>
      </c>
    </row>
    <row r="68">
      <c r="A68">
        <f>IF(games!$A68="","",games!$A68)</f>
        <v/>
      </c>
      <c r="B68">
        <f>IF($A68="","",games!$B68)</f>
        <v/>
      </c>
      <c r="C68">
        <f>IF($A68="","",games!$C68)</f>
        <v/>
      </c>
      <c r="D68">
        <f>IF($A68="","",COUNTIF(connections!$A$2:$A$1400,$A68)+COUNTIF(connections!$B$2:$B$1400,$A68))</f>
        <v/>
      </c>
      <c r="E68">
        <f>IF($A68="","",IFERROR(MATCH($C68,$R$2:$R$5,0),0))</f>
        <v/>
      </c>
      <c r="F68">
        <f>IF($A68="","",MOD(ROW(),34))</f>
        <v/>
      </c>
      <c r="G68">
        <f>IF($A68="",NA(),IF($C68="Action",$B68,NA()))</f>
        <v/>
      </c>
      <c r="H68">
        <f>IF($A68="",NA(),IF($C68="Action",1+$F68*0.023,NA()))</f>
        <v/>
      </c>
      <c r="I68">
        <f>IF($A68="",NA(),IF($C68="Strategy",$B68,NA()))</f>
        <v/>
      </c>
      <c r="J68">
        <f>IF($A68="",NA(),IF($C68="Strategy",2+$F68*0.023,NA()))</f>
        <v/>
      </c>
      <c r="K68">
        <f>IF($A68="",NA(),IF($C68="Deckbuilder",$B68,NA()))</f>
        <v/>
      </c>
      <c r="L68">
        <f>IF($A68="",NA(),IF($C68="Deckbuilder",3+$F68*0.023,NA()))</f>
        <v/>
      </c>
      <c r="M68">
        <f>IF($A68="",NA(),IF($C68="Traditional",$B68,NA()))</f>
        <v/>
      </c>
      <c r="N68">
        <f>IF($A68="",NA(),IF($C68="Traditional",4+$F68*0.023,NA()))</f>
        <v/>
      </c>
      <c r="O68">
        <f>IF($A68="","",$D68+ROW()/1000000)</f>
        <v/>
      </c>
      <c r="P68">
        <f>IF(OR($A68="",games!$H68=""),"",games!$H68)</f>
        <v/>
      </c>
      <c r="Q68">
        <f>IF(OR($A68="",$P68&lt;&gt;"Yes"),"",$D68+ROW()/1000000)</f>
        <v/>
      </c>
      <c r="T68">
        <f>IF(connections!$A68="","",IFERROR(INDEX(games!$B$2:$B$950,MATCH(connections!$A68,games!$A$2:$A$950,0)),""))</f>
        <v/>
      </c>
      <c r="U68">
        <f>IF(connections!$A68="","",IFERROR(INDEX(games!$B$2:$B$950,MATCH(connections!$B68,games!$A$2:$A$950,0)),""))</f>
        <v/>
      </c>
      <c r="V68">
        <f>IF(OR($T68="",$U68=""),"",$U68-$T68)</f>
        <v/>
      </c>
    </row>
    <row r="69">
      <c r="A69">
        <f>IF(games!$A69="","",games!$A69)</f>
        <v/>
      </c>
      <c r="B69">
        <f>IF($A69="","",games!$B69)</f>
        <v/>
      </c>
      <c r="C69">
        <f>IF($A69="","",games!$C69)</f>
        <v/>
      </c>
      <c r="D69">
        <f>IF($A69="","",COUNTIF(connections!$A$2:$A$1400,$A69)+COUNTIF(connections!$B$2:$B$1400,$A69))</f>
        <v/>
      </c>
      <c r="E69">
        <f>IF($A69="","",IFERROR(MATCH($C69,$R$2:$R$5,0),0))</f>
        <v/>
      </c>
      <c r="F69">
        <f>IF($A69="","",MOD(ROW(),34))</f>
        <v/>
      </c>
      <c r="G69">
        <f>IF($A69="",NA(),IF($C69="Action",$B69,NA()))</f>
        <v/>
      </c>
      <c r="H69">
        <f>IF($A69="",NA(),IF($C69="Action",1+$F69*0.023,NA()))</f>
        <v/>
      </c>
      <c r="I69">
        <f>IF($A69="",NA(),IF($C69="Strategy",$B69,NA()))</f>
        <v/>
      </c>
      <c r="J69">
        <f>IF($A69="",NA(),IF($C69="Strategy",2+$F69*0.023,NA()))</f>
        <v/>
      </c>
      <c r="K69">
        <f>IF($A69="",NA(),IF($C69="Deckbuilder",$B69,NA()))</f>
        <v/>
      </c>
      <c r="L69">
        <f>IF($A69="",NA(),IF($C69="Deckbuilder",3+$F69*0.023,NA()))</f>
        <v/>
      </c>
      <c r="M69">
        <f>IF($A69="",NA(),IF($C69="Traditional",$B69,NA()))</f>
        <v/>
      </c>
      <c r="N69">
        <f>IF($A69="",NA(),IF($C69="Traditional",4+$F69*0.023,NA()))</f>
        <v/>
      </c>
      <c r="O69">
        <f>IF($A69="","",$D69+ROW()/1000000)</f>
        <v/>
      </c>
      <c r="P69">
        <f>IF(OR($A69="",games!$H69=""),"",games!$H69)</f>
        <v/>
      </c>
      <c r="Q69">
        <f>IF(OR($A69="",$P69&lt;&gt;"Yes"),"",$D69+ROW()/1000000)</f>
        <v/>
      </c>
      <c r="T69">
        <f>IF(connections!$A69="","",IFERROR(INDEX(games!$B$2:$B$950,MATCH(connections!$A69,games!$A$2:$A$950,0)),""))</f>
        <v/>
      </c>
      <c r="U69">
        <f>IF(connections!$A69="","",IFERROR(INDEX(games!$B$2:$B$950,MATCH(connections!$B69,games!$A$2:$A$950,0)),""))</f>
        <v/>
      </c>
      <c r="V69">
        <f>IF(OR($T69="",$U69=""),"",$U69-$T69)</f>
        <v/>
      </c>
    </row>
    <row r="70">
      <c r="A70">
        <f>IF(games!$A70="","",games!$A70)</f>
        <v/>
      </c>
      <c r="B70">
        <f>IF($A70="","",games!$B70)</f>
        <v/>
      </c>
      <c r="C70">
        <f>IF($A70="","",games!$C70)</f>
        <v/>
      </c>
      <c r="D70">
        <f>IF($A70="","",COUNTIF(connections!$A$2:$A$1400,$A70)+COUNTIF(connections!$B$2:$B$1400,$A70))</f>
        <v/>
      </c>
      <c r="E70">
        <f>IF($A70="","",IFERROR(MATCH($C70,$R$2:$R$5,0),0))</f>
        <v/>
      </c>
      <c r="F70">
        <f>IF($A70="","",MOD(ROW(),34))</f>
        <v/>
      </c>
      <c r="G70">
        <f>IF($A70="",NA(),IF($C70="Action",$B70,NA()))</f>
        <v/>
      </c>
      <c r="H70">
        <f>IF($A70="",NA(),IF($C70="Action",1+$F70*0.023,NA()))</f>
        <v/>
      </c>
      <c r="I70">
        <f>IF($A70="",NA(),IF($C70="Strategy",$B70,NA()))</f>
        <v/>
      </c>
      <c r="J70">
        <f>IF($A70="",NA(),IF($C70="Strategy",2+$F70*0.023,NA()))</f>
        <v/>
      </c>
      <c r="K70">
        <f>IF($A70="",NA(),IF($C70="Deckbuilder",$B70,NA()))</f>
        <v/>
      </c>
      <c r="L70">
        <f>IF($A70="",NA(),IF($C70="Deckbuilder",3+$F70*0.023,NA()))</f>
        <v/>
      </c>
      <c r="M70">
        <f>IF($A70="",NA(),IF($C70="Traditional",$B70,NA()))</f>
        <v/>
      </c>
      <c r="N70">
        <f>IF($A70="",NA(),IF($C70="Traditional",4+$F70*0.023,NA()))</f>
        <v/>
      </c>
      <c r="O70">
        <f>IF($A70="","",$D70+ROW()/1000000)</f>
        <v/>
      </c>
      <c r="P70">
        <f>IF(OR($A70="",games!$H70=""),"",games!$H70)</f>
        <v/>
      </c>
      <c r="Q70">
        <f>IF(OR($A70="",$P70&lt;&gt;"Yes"),"",$D70+ROW()/1000000)</f>
        <v/>
      </c>
      <c r="T70">
        <f>IF(connections!$A70="","",IFERROR(INDEX(games!$B$2:$B$950,MATCH(connections!$A70,games!$A$2:$A$950,0)),""))</f>
        <v/>
      </c>
      <c r="U70">
        <f>IF(connections!$A70="","",IFERROR(INDEX(games!$B$2:$B$950,MATCH(connections!$B70,games!$A$2:$A$950,0)),""))</f>
        <v/>
      </c>
      <c r="V70">
        <f>IF(OR($T70="",$U70=""),"",$U70-$T70)</f>
        <v/>
      </c>
    </row>
    <row r="71">
      <c r="A71">
        <f>IF(games!$A71="","",games!$A71)</f>
        <v/>
      </c>
      <c r="B71">
        <f>IF($A71="","",games!$B71)</f>
        <v/>
      </c>
      <c r="C71">
        <f>IF($A71="","",games!$C71)</f>
        <v/>
      </c>
      <c r="D71">
        <f>IF($A71="","",COUNTIF(connections!$A$2:$A$1400,$A71)+COUNTIF(connections!$B$2:$B$1400,$A71))</f>
        <v/>
      </c>
      <c r="E71">
        <f>IF($A71="","",IFERROR(MATCH($C71,$R$2:$R$5,0),0))</f>
        <v/>
      </c>
      <c r="F71">
        <f>IF($A71="","",MOD(ROW(),34))</f>
        <v/>
      </c>
      <c r="G71">
        <f>IF($A71="",NA(),IF($C71="Action",$B71,NA()))</f>
        <v/>
      </c>
      <c r="H71">
        <f>IF($A71="",NA(),IF($C71="Action",1+$F71*0.023,NA()))</f>
        <v/>
      </c>
      <c r="I71">
        <f>IF($A71="",NA(),IF($C71="Strategy",$B71,NA()))</f>
        <v/>
      </c>
      <c r="J71">
        <f>IF($A71="",NA(),IF($C71="Strategy",2+$F71*0.023,NA()))</f>
        <v/>
      </c>
      <c r="K71">
        <f>IF($A71="",NA(),IF($C71="Deckbuilder",$B71,NA()))</f>
        <v/>
      </c>
      <c r="L71">
        <f>IF($A71="",NA(),IF($C71="Deckbuilder",3+$F71*0.023,NA()))</f>
        <v/>
      </c>
      <c r="M71">
        <f>IF($A71="",NA(),IF($C71="Traditional",$B71,NA()))</f>
        <v/>
      </c>
      <c r="N71">
        <f>IF($A71="",NA(),IF($C71="Traditional",4+$F71*0.023,NA()))</f>
        <v/>
      </c>
      <c r="O71">
        <f>IF($A71="","",$D71+ROW()/1000000)</f>
        <v/>
      </c>
      <c r="P71">
        <f>IF(OR($A71="",games!$H71=""),"",games!$H71)</f>
        <v/>
      </c>
      <c r="Q71">
        <f>IF(OR($A71="",$P71&lt;&gt;"Yes"),"",$D71+ROW()/1000000)</f>
        <v/>
      </c>
      <c r="T71">
        <f>IF(connections!$A71="","",IFERROR(INDEX(games!$B$2:$B$950,MATCH(connections!$A71,games!$A$2:$A$950,0)),""))</f>
        <v/>
      </c>
      <c r="U71">
        <f>IF(connections!$A71="","",IFERROR(INDEX(games!$B$2:$B$950,MATCH(connections!$B71,games!$A$2:$A$950,0)),""))</f>
        <v/>
      </c>
      <c r="V71">
        <f>IF(OR($T71="",$U71=""),"",$U71-$T71)</f>
        <v/>
      </c>
    </row>
    <row r="72">
      <c r="A72">
        <f>IF(games!$A72="","",games!$A72)</f>
        <v/>
      </c>
      <c r="B72">
        <f>IF($A72="","",games!$B72)</f>
        <v/>
      </c>
      <c r="C72">
        <f>IF($A72="","",games!$C72)</f>
        <v/>
      </c>
      <c r="D72">
        <f>IF($A72="","",COUNTIF(connections!$A$2:$A$1400,$A72)+COUNTIF(connections!$B$2:$B$1400,$A72))</f>
        <v/>
      </c>
      <c r="E72">
        <f>IF($A72="","",IFERROR(MATCH($C72,$R$2:$R$5,0),0))</f>
        <v/>
      </c>
      <c r="F72">
        <f>IF($A72="","",MOD(ROW(),34))</f>
        <v/>
      </c>
      <c r="G72">
        <f>IF($A72="",NA(),IF($C72="Action",$B72,NA()))</f>
        <v/>
      </c>
      <c r="H72">
        <f>IF($A72="",NA(),IF($C72="Action",1+$F72*0.023,NA()))</f>
        <v/>
      </c>
      <c r="I72">
        <f>IF($A72="",NA(),IF($C72="Strategy",$B72,NA()))</f>
        <v/>
      </c>
      <c r="J72">
        <f>IF($A72="",NA(),IF($C72="Strategy",2+$F72*0.023,NA()))</f>
        <v/>
      </c>
      <c r="K72">
        <f>IF($A72="",NA(),IF($C72="Deckbuilder",$B72,NA()))</f>
        <v/>
      </c>
      <c r="L72">
        <f>IF($A72="",NA(),IF($C72="Deckbuilder",3+$F72*0.023,NA()))</f>
        <v/>
      </c>
      <c r="M72">
        <f>IF($A72="",NA(),IF($C72="Traditional",$B72,NA()))</f>
        <v/>
      </c>
      <c r="N72">
        <f>IF($A72="",NA(),IF($C72="Traditional",4+$F72*0.023,NA()))</f>
        <v/>
      </c>
      <c r="O72">
        <f>IF($A72="","",$D72+ROW()/1000000)</f>
        <v/>
      </c>
      <c r="P72">
        <f>IF(OR($A72="",games!$H72=""),"",games!$H72)</f>
        <v/>
      </c>
      <c r="Q72">
        <f>IF(OR($A72="",$P72&lt;&gt;"Yes"),"",$D72+ROW()/1000000)</f>
        <v/>
      </c>
      <c r="T72">
        <f>IF(connections!$A72="","",IFERROR(INDEX(games!$B$2:$B$950,MATCH(connections!$A72,games!$A$2:$A$950,0)),""))</f>
        <v/>
      </c>
      <c r="U72">
        <f>IF(connections!$A72="","",IFERROR(INDEX(games!$B$2:$B$950,MATCH(connections!$B72,games!$A$2:$A$950,0)),""))</f>
        <v/>
      </c>
      <c r="V72">
        <f>IF(OR($T72="",$U72=""),"",$U72-$T72)</f>
        <v/>
      </c>
    </row>
    <row r="73">
      <c r="A73">
        <f>IF(games!$A73="","",games!$A73)</f>
        <v/>
      </c>
      <c r="B73">
        <f>IF($A73="","",games!$B73)</f>
        <v/>
      </c>
      <c r="C73">
        <f>IF($A73="","",games!$C73)</f>
        <v/>
      </c>
      <c r="D73">
        <f>IF($A73="","",COUNTIF(connections!$A$2:$A$1400,$A73)+COUNTIF(connections!$B$2:$B$1400,$A73))</f>
        <v/>
      </c>
      <c r="E73">
        <f>IF($A73="","",IFERROR(MATCH($C73,$R$2:$R$5,0),0))</f>
        <v/>
      </c>
      <c r="F73">
        <f>IF($A73="","",MOD(ROW(),34))</f>
        <v/>
      </c>
      <c r="G73">
        <f>IF($A73="",NA(),IF($C73="Action",$B73,NA()))</f>
        <v/>
      </c>
      <c r="H73">
        <f>IF($A73="",NA(),IF($C73="Action",1+$F73*0.023,NA()))</f>
        <v/>
      </c>
      <c r="I73">
        <f>IF($A73="",NA(),IF($C73="Strategy",$B73,NA()))</f>
        <v/>
      </c>
      <c r="J73">
        <f>IF($A73="",NA(),IF($C73="Strategy",2+$F73*0.023,NA()))</f>
        <v/>
      </c>
      <c r="K73">
        <f>IF($A73="",NA(),IF($C73="Deckbuilder",$B73,NA()))</f>
        <v/>
      </c>
      <c r="L73">
        <f>IF($A73="",NA(),IF($C73="Deckbuilder",3+$F73*0.023,NA()))</f>
        <v/>
      </c>
      <c r="M73">
        <f>IF($A73="",NA(),IF($C73="Traditional",$B73,NA()))</f>
        <v/>
      </c>
      <c r="N73">
        <f>IF($A73="",NA(),IF($C73="Traditional",4+$F73*0.023,NA()))</f>
        <v/>
      </c>
      <c r="O73">
        <f>IF($A73="","",$D73+ROW()/1000000)</f>
        <v/>
      </c>
      <c r="P73">
        <f>IF(OR($A73="",games!$H73=""),"",games!$H73)</f>
        <v/>
      </c>
      <c r="Q73">
        <f>IF(OR($A73="",$P73&lt;&gt;"Yes"),"",$D73+ROW()/1000000)</f>
        <v/>
      </c>
      <c r="T73">
        <f>IF(connections!$A73="","",IFERROR(INDEX(games!$B$2:$B$950,MATCH(connections!$A73,games!$A$2:$A$950,0)),""))</f>
        <v/>
      </c>
      <c r="U73">
        <f>IF(connections!$A73="","",IFERROR(INDEX(games!$B$2:$B$950,MATCH(connections!$B73,games!$A$2:$A$950,0)),""))</f>
        <v/>
      </c>
      <c r="V73">
        <f>IF(OR($T73="",$U73=""),"",$U73-$T73)</f>
        <v/>
      </c>
    </row>
    <row r="74">
      <c r="A74">
        <f>IF(games!$A74="","",games!$A74)</f>
        <v/>
      </c>
      <c r="B74">
        <f>IF($A74="","",games!$B74)</f>
        <v/>
      </c>
      <c r="C74">
        <f>IF($A74="","",games!$C74)</f>
        <v/>
      </c>
      <c r="D74">
        <f>IF($A74="","",COUNTIF(connections!$A$2:$A$1400,$A74)+COUNTIF(connections!$B$2:$B$1400,$A74))</f>
        <v/>
      </c>
      <c r="E74">
        <f>IF($A74="","",IFERROR(MATCH($C74,$R$2:$R$5,0),0))</f>
        <v/>
      </c>
      <c r="F74">
        <f>IF($A74="","",MOD(ROW(),34))</f>
        <v/>
      </c>
      <c r="G74">
        <f>IF($A74="",NA(),IF($C74="Action",$B74,NA()))</f>
        <v/>
      </c>
      <c r="H74">
        <f>IF($A74="",NA(),IF($C74="Action",1+$F74*0.023,NA()))</f>
        <v/>
      </c>
      <c r="I74">
        <f>IF($A74="",NA(),IF($C74="Strategy",$B74,NA()))</f>
        <v/>
      </c>
      <c r="J74">
        <f>IF($A74="",NA(),IF($C74="Strategy",2+$F74*0.023,NA()))</f>
        <v/>
      </c>
      <c r="K74">
        <f>IF($A74="",NA(),IF($C74="Deckbuilder",$B74,NA()))</f>
        <v/>
      </c>
      <c r="L74">
        <f>IF($A74="",NA(),IF($C74="Deckbuilder",3+$F74*0.023,NA()))</f>
        <v/>
      </c>
      <c r="M74">
        <f>IF($A74="",NA(),IF($C74="Traditional",$B74,NA()))</f>
        <v/>
      </c>
      <c r="N74">
        <f>IF($A74="",NA(),IF($C74="Traditional",4+$F74*0.023,NA()))</f>
        <v/>
      </c>
      <c r="O74">
        <f>IF($A74="","",$D74+ROW()/1000000)</f>
        <v/>
      </c>
      <c r="P74">
        <f>IF(OR($A74="",games!$H74=""),"",games!$H74)</f>
        <v/>
      </c>
      <c r="Q74">
        <f>IF(OR($A74="",$P74&lt;&gt;"Yes"),"",$D74+ROW()/1000000)</f>
        <v/>
      </c>
      <c r="T74">
        <f>IF(connections!$A74="","",IFERROR(INDEX(games!$B$2:$B$950,MATCH(connections!$A74,games!$A$2:$A$950,0)),""))</f>
        <v/>
      </c>
      <c r="U74">
        <f>IF(connections!$A74="","",IFERROR(INDEX(games!$B$2:$B$950,MATCH(connections!$B74,games!$A$2:$A$950,0)),""))</f>
        <v/>
      </c>
      <c r="V74">
        <f>IF(OR($T74="",$U74=""),"",$U74-$T74)</f>
        <v/>
      </c>
    </row>
    <row r="75">
      <c r="A75">
        <f>IF(games!$A75="","",games!$A75)</f>
        <v/>
      </c>
      <c r="B75">
        <f>IF($A75="","",games!$B75)</f>
        <v/>
      </c>
      <c r="C75">
        <f>IF($A75="","",games!$C75)</f>
        <v/>
      </c>
      <c r="D75">
        <f>IF($A75="","",COUNTIF(connections!$A$2:$A$1400,$A75)+COUNTIF(connections!$B$2:$B$1400,$A75))</f>
        <v/>
      </c>
      <c r="E75">
        <f>IF($A75="","",IFERROR(MATCH($C75,$R$2:$R$5,0),0))</f>
        <v/>
      </c>
      <c r="F75">
        <f>IF($A75="","",MOD(ROW(),34))</f>
        <v/>
      </c>
      <c r="G75">
        <f>IF($A75="",NA(),IF($C75="Action",$B75,NA()))</f>
        <v/>
      </c>
      <c r="H75">
        <f>IF($A75="",NA(),IF($C75="Action",1+$F75*0.023,NA()))</f>
        <v/>
      </c>
      <c r="I75">
        <f>IF($A75="",NA(),IF($C75="Strategy",$B75,NA()))</f>
        <v/>
      </c>
      <c r="J75">
        <f>IF($A75="",NA(),IF($C75="Strategy",2+$F75*0.023,NA()))</f>
        <v/>
      </c>
      <c r="K75">
        <f>IF($A75="",NA(),IF($C75="Deckbuilder",$B75,NA()))</f>
        <v/>
      </c>
      <c r="L75">
        <f>IF($A75="",NA(),IF($C75="Deckbuilder",3+$F75*0.023,NA()))</f>
        <v/>
      </c>
      <c r="M75">
        <f>IF($A75="",NA(),IF($C75="Traditional",$B75,NA()))</f>
        <v/>
      </c>
      <c r="N75">
        <f>IF($A75="",NA(),IF($C75="Traditional",4+$F75*0.023,NA()))</f>
        <v/>
      </c>
      <c r="O75">
        <f>IF($A75="","",$D75+ROW()/1000000)</f>
        <v/>
      </c>
      <c r="P75">
        <f>IF(OR($A75="",games!$H75=""),"",games!$H75)</f>
        <v/>
      </c>
      <c r="Q75">
        <f>IF(OR($A75="",$P75&lt;&gt;"Yes"),"",$D75+ROW()/1000000)</f>
        <v/>
      </c>
      <c r="T75">
        <f>IF(connections!$A75="","",IFERROR(INDEX(games!$B$2:$B$950,MATCH(connections!$A75,games!$A$2:$A$950,0)),""))</f>
        <v/>
      </c>
      <c r="U75">
        <f>IF(connections!$A75="","",IFERROR(INDEX(games!$B$2:$B$950,MATCH(connections!$B75,games!$A$2:$A$950,0)),""))</f>
        <v/>
      </c>
      <c r="V75">
        <f>IF(OR($T75="",$U75=""),"",$U75-$T75)</f>
        <v/>
      </c>
    </row>
    <row r="76">
      <c r="A76">
        <f>IF(games!$A76="","",games!$A76)</f>
        <v/>
      </c>
      <c r="B76">
        <f>IF($A76="","",games!$B76)</f>
        <v/>
      </c>
      <c r="C76">
        <f>IF($A76="","",games!$C76)</f>
        <v/>
      </c>
      <c r="D76">
        <f>IF($A76="","",COUNTIF(connections!$A$2:$A$1400,$A76)+COUNTIF(connections!$B$2:$B$1400,$A76))</f>
        <v/>
      </c>
      <c r="E76">
        <f>IF($A76="","",IFERROR(MATCH($C76,$R$2:$R$5,0),0))</f>
        <v/>
      </c>
      <c r="F76">
        <f>IF($A76="","",MOD(ROW(),34))</f>
        <v/>
      </c>
      <c r="G76">
        <f>IF($A76="",NA(),IF($C76="Action",$B76,NA()))</f>
        <v/>
      </c>
      <c r="H76">
        <f>IF($A76="",NA(),IF($C76="Action",1+$F76*0.023,NA()))</f>
        <v/>
      </c>
      <c r="I76">
        <f>IF($A76="",NA(),IF($C76="Strategy",$B76,NA()))</f>
        <v/>
      </c>
      <c r="J76">
        <f>IF($A76="",NA(),IF($C76="Strategy",2+$F76*0.023,NA()))</f>
        <v/>
      </c>
      <c r="K76">
        <f>IF($A76="",NA(),IF($C76="Deckbuilder",$B76,NA()))</f>
        <v/>
      </c>
      <c r="L76">
        <f>IF($A76="",NA(),IF($C76="Deckbuilder",3+$F76*0.023,NA()))</f>
        <v/>
      </c>
      <c r="M76">
        <f>IF($A76="",NA(),IF($C76="Traditional",$B76,NA()))</f>
        <v/>
      </c>
      <c r="N76">
        <f>IF($A76="",NA(),IF($C76="Traditional",4+$F76*0.023,NA()))</f>
        <v/>
      </c>
      <c r="O76">
        <f>IF($A76="","",$D76+ROW()/1000000)</f>
        <v/>
      </c>
      <c r="P76">
        <f>IF(OR($A76="",games!$H76=""),"",games!$H76)</f>
        <v/>
      </c>
      <c r="Q76">
        <f>IF(OR($A76="",$P76&lt;&gt;"Yes"),"",$D76+ROW()/1000000)</f>
        <v/>
      </c>
      <c r="T76">
        <f>IF(connections!$A76="","",IFERROR(INDEX(games!$B$2:$B$950,MATCH(connections!$A76,games!$A$2:$A$950,0)),""))</f>
        <v/>
      </c>
      <c r="U76">
        <f>IF(connections!$A76="","",IFERROR(INDEX(games!$B$2:$B$950,MATCH(connections!$B76,games!$A$2:$A$950,0)),""))</f>
        <v/>
      </c>
      <c r="V76">
        <f>IF(OR($T76="",$U76=""),"",$U76-$T76)</f>
        <v/>
      </c>
    </row>
    <row r="77">
      <c r="A77">
        <f>IF(games!$A77="","",games!$A77)</f>
        <v/>
      </c>
      <c r="B77">
        <f>IF($A77="","",games!$B77)</f>
        <v/>
      </c>
      <c r="C77">
        <f>IF($A77="","",games!$C77)</f>
        <v/>
      </c>
      <c r="D77">
        <f>IF($A77="","",COUNTIF(connections!$A$2:$A$1400,$A77)+COUNTIF(connections!$B$2:$B$1400,$A77))</f>
        <v/>
      </c>
      <c r="E77">
        <f>IF($A77="","",IFERROR(MATCH($C77,$R$2:$R$5,0),0))</f>
        <v/>
      </c>
      <c r="F77">
        <f>IF($A77="","",MOD(ROW(),34))</f>
        <v/>
      </c>
      <c r="G77">
        <f>IF($A77="",NA(),IF($C77="Action",$B77,NA()))</f>
        <v/>
      </c>
      <c r="H77">
        <f>IF($A77="",NA(),IF($C77="Action",1+$F77*0.023,NA()))</f>
        <v/>
      </c>
      <c r="I77">
        <f>IF($A77="",NA(),IF($C77="Strategy",$B77,NA()))</f>
        <v/>
      </c>
      <c r="J77">
        <f>IF($A77="",NA(),IF($C77="Strategy",2+$F77*0.023,NA()))</f>
        <v/>
      </c>
      <c r="K77">
        <f>IF($A77="",NA(),IF($C77="Deckbuilder",$B77,NA()))</f>
        <v/>
      </c>
      <c r="L77">
        <f>IF($A77="",NA(),IF($C77="Deckbuilder",3+$F77*0.023,NA()))</f>
        <v/>
      </c>
      <c r="M77">
        <f>IF($A77="",NA(),IF($C77="Traditional",$B77,NA()))</f>
        <v/>
      </c>
      <c r="N77">
        <f>IF($A77="",NA(),IF($C77="Traditional",4+$F77*0.023,NA()))</f>
        <v/>
      </c>
      <c r="O77">
        <f>IF($A77="","",$D77+ROW()/1000000)</f>
        <v/>
      </c>
      <c r="P77">
        <f>IF(OR($A77="",games!$H77=""),"",games!$H77)</f>
        <v/>
      </c>
      <c r="Q77">
        <f>IF(OR($A77="",$P77&lt;&gt;"Yes"),"",$D77+ROW()/1000000)</f>
        <v/>
      </c>
      <c r="T77">
        <f>IF(connections!$A77="","",IFERROR(INDEX(games!$B$2:$B$950,MATCH(connections!$A77,games!$A$2:$A$950,0)),""))</f>
        <v/>
      </c>
      <c r="U77">
        <f>IF(connections!$A77="","",IFERROR(INDEX(games!$B$2:$B$950,MATCH(connections!$B77,games!$A$2:$A$950,0)),""))</f>
        <v/>
      </c>
      <c r="V77">
        <f>IF(OR($T77="",$U77=""),"",$U77-$T77)</f>
        <v/>
      </c>
    </row>
    <row r="78">
      <c r="A78">
        <f>IF(games!$A78="","",games!$A78)</f>
        <v/>
      </c>
      <c r="B78">
        <f>IF($A78="","",games!$B78)</f>
        <v/>
      </c>
      <c r="C78">
        <f>IF($A78="","",games!$C78)</f>
        <v/>
      </c>
      <c r="D78">
        <f>IF($A78="","",COUNTIF(connections!$A$2:$A$1400,$A78)+COUNTIF(connections!$B$2:$B$1400,$A78))</f>
        <v/>
      </c>
      <c r="E78">
        <f>IF($A78="","",IFERROR(MATCH($C78,$R$2:$R$5,0),0))</f>
        <v/>
      </c>
      <c r="F78">
        <f>IF($A78="","",MOD(ROW(),34))</f>
        <v/>
      </c>
      <c r="G78">
        <f>IF($A78="",NA(),IF($C78="Action",$B78,NA()))</f>
        <v/>
      </c>
      <c r="H78">
        <f>IF($A78="",NA(),IF($C78="Action",1+$F78*0.023,NA()))</f>
        <v/>
      </c>
      <c r="I78">
        <f>IF($A78="",NA(),IF($C78="Strategy",$B78,NA()))</f>
        <v/>
      </c>
      <c r="J78">
        <f>IF($A78="",NA(),IF($C78="Strategy",2+$F78*0.023,NA()))</f>
        <v/>
      </c>
      <c r="K78">
        <f>IF($A78="",NA(),IF($C78="Deckbuilder",$B78,NA()))</f>
        <v/>
      </c>
      <c r="L78">
        <f>IF($A78="",NA(),IF($C78="Deckbuilder",3+$F78*0.023,NA()))</f>
        <v/>
      </c>
      <c r="M78">
        <f>IF($A78="",NA(),IF($C78="Traditional",$B78,NA()))</f>
        <v/>
      </c>
      <c r="N78">
        <f>IF($A78="",NA(),IF($C78="Traditional",4+$F78*0.023,NA()))</f>
        <v/>
      </c>
      <c r="O78">
        <f>IF($A78="","",$D78+ROW()/1000000)</f>
        <v/>
      </c>
      <c r="P78">
        <f>IF(OR($A78="",games!$H78=""),"",games!$H78)</f>
        <v/>
      </c>
      <c r="Q78">
        <f>IF(OR($A78="",$P78&lt;&gt;"Yes"),"",$D78+ROW()/1000000)</f>
        <v/>
      </c>
      <c r="T78">
        <f>IF(connections!$A78="","",IFERROR(INDEX(games!$B$2:$B$950,MATCH(connections!$A78,games!$A$2:$A$950,0)),""))</f>
        <v/>
      </c>
      <c r="U78">
        <f>IF(connections!$A78="","",IFERROR(INDEX(games!$B$2:$B$950,MATCH(connections!$B78,games!$A$2:$A$950,0)),""))</f>
        <v/>
      </c>
      <c r="V78">
        <f>IF(OR($T78="",$U78=""),"",$U78-$T78)</f>
        <v/>
      </c>
    </row>
    <row r="79">
      <c r="A79">
        <f>IF(games!$A79="","",games!$A79)</f>
        <v/>
      </c>
      <c r="B79">
        <f>IF($A79="","",games!$B79)</f>
        <v/>
      </c>
      <c r="C79">
        <f>IF($A79="","",games!$C79)</f>
        <v/>
      </c>
      <c r="D79">
        <f>IF($A79="","",COUNTIF(connections!$A$2:$A$1400,$A79)+COUNTIF(connections!$B$2:$B$1400,$A79))</f>
        <v/>
      </c>
      <c r="E79">
        <f>IF($A79="","",IFERROR(MATCH($C79,$R$2:$R$5,0),0))</f>
        <v/>
      </c>
      <c r="F79">
        <f>IF($A79="","",MOD(ROW(),34))</f>
        <v/>
      </c>
      <c r="G79">
        <f>IF($A79="",NA(),IF($C79="Action",$B79,NA()))</f>
        <v/>
      </c>
      <c r="H79">
        <f>IF($A79="",NA(),IF($C79="Action",1+$F79*0.023,NA()))</f>
        <v/>
      </c>
      <c r="I79">
        <f>IF($A79="",NA(),IF($C79="Strategy",$B79,NA()))</f>
        <v/>
      </c>
      <c r="J79">
        <f>IF($A79="",NA(),IF($C79="Strategy",2+$F79*0.023,NA()))</f>
        <v/>
      </c>
      <c r="K79">
        <f>IF($A79="",NA(),IF($C79="Deckbuilder",$B79,NA()))</f>
        <v/>
      </c>
      <c r="L79">
        <f>IF($A79="",NA(),IF($C79="Deckbuilder",3+$F79*0.023,NA()))</f>
        <v/>
      </c>
      <c r="M79">
        <f>IF($A79="",NA(),IF($C79="Traditional",$B79,NA()))</f>
        <v/>
      </c>
      <c r="N79">
        <f>IF($A79="",NA(),IF($C79="Traditional",4+$F79*0.023,NA()))</f>
        <v/>
      </c>
      <c r="O79">
        <f>IF($A79="","",$D79+ROW()/1000000)</f>
        <v/>
      </c>
      <c r="P79">
        <f>IF(OR($A79="",games!$H79=""),"",games!$H79)</f>
        <v/>
      </c>
      <c r="Q79">
        <f>IF(OR($A79="",$P79&lt;&gt;"Yes"),"",$D79+ROW()/1000000)</f>
        <v/>
      </c>
      <c r="T79">
        <f>IF(connections!$A79="","",IFERROR(INDEX(games!$B$2:$B$950,MATCH(connections!$A79,games!$A$2:$A$950,0)),""))</f>
        <v/>
      </c>
      <c r="U79">
        <f>IF(connections!$A79="","",IFERROR(INDEX(games!$B$2:$B$950,MATCH(connections!$B79,games!$A$2:$A$950,0)),""))</f>
        <v/>
      </c>
      <c r="V79">
        <f>IF(OR($T79="",$U79=""),"",$U79-$T79)</f>
        <v/>
      </c>
    </row>
    <row r="80">
      <c r="A80">
        <f>IF(games!$A80="","",games!$A80)</f>
        <v/>
      </c>
      <c r="B80">
        <f>IF($A80="","",games!$B80)</f>
        <v/>
      </c>
      <c r="C80">
        <f>IF($A80="","",games!$C80)</f>
        <v/>
      </c>
      <c r="D80">
        <f>IF($A80="","",COUNTIF(connections!$A$2:$A$1400,$A80)+COUNTIF(connections!$B$2:$B$1400,$A80))</f>
        <v/>
      </c>
      <c r="E80">
        <f>IF($A80="","",IFERROR(MATCH($C80,$R$2:$R$5,0),0))</f>
        <v/>
      </c>
      <c r="F80">
        <f>IF($A80="","",MOD(ROW(),34))</f>
        <v/>
      </c>
      <c r="G80">
        <f>IF($A80="",NA(),IF($C80="Action",$B80,NA()))</f>
        <v/>
      </c>
      <c r="H80">
        <f>IF($A80="",NA(),IF($C80="Action",1+$F80*0.023,NA()))</f>
        <v/>
      </c>
      <c r="I80">
        <f>IF($A80="",NA(),IF($C80="Strategy",$B80,NA()))</f>
        <v/>
      </c>
      <c r="J80">
        <f>IF($A80="",NA(),IF($C80="Strategy",2+$F80*0.023,NA()))</f>
        <v/>
      </c>
      <c r="K80">
        <f>IF($A80="",NA(),IF($C80="Deckbuilder",$B80,NA()))</f>
        <v/>
      </c>
      <c r="L80">
        <f>IF($A80="",NA(),IF($C80="Deckbuilder",3+$F80*0.023,NA()))</f>
        <v/>
      </c>
      <c r="M80">
        <f>IF($A80="",NA(),IF($C80="Traditional",$B80,NA()))</f>
        <v/>
      </c>
      <c r="N80">
        <f>IF($A80="",NA(),IF($C80="Traditional",4+$F80*0.023,NA()))</f>
        <v/>
      </c>
      <c r="O80">
        <f>IF($A80="","",$D80+ROW()/1000000)</f>
        <v/>
      </c>
      <c r="P80">
        <f>IF(OR($A80="",games!$H80=""),"",games!$H80)</f>
        <v/>
      </c>
      <c r="Q80">
        <f>IF(OR($A80="",$P80&lt;&gt;"Yes"),"",$D80+ROW()/1000000)</f>
        <v/>
      </c>
      <c r="T80">
        <f>IF(connections!$A80="","",IFERROR(INDEX(games!$B$2:$B$950,MATCH(connections!$A80,games!$A$2:$A$950,0)),""))</f>
        <v/>
      </c>
      <c r="U80">
        <f>IF(connections!$A80="","",IFERROR(INDEX(games!$B$2:$B$950,MATCH(connections!$B80,games!$A$2:$A$950,0)),""))</f>
        <v/>
      </c>
      <c r="V80">
        <f>IF(OR($T80="",$U80=""),"",$U80-$T80)</f>
        <v/>
      </c>
    </row>
    <row r="81">
      <c r="A81">
        <f>IF(games!$A81="","",games!$A81)</f>
        <v/>
      </c>
      <c r="B81">
        <f>IF($A81="","",games!$B81)</f>
        <v/>
      </c>
      <c r="C81">
        <f>IF($A81="","",games!$C81)</f>
        <v/>
      </c>
      <c r="D81">
        <f>IF($A81="","",COUNTIF(connections!$A$2:$A$1400,$A81)+COUNTIF(connections!$B$2:$B$1400,$A81))</f>
        <v/>
      </c>
      <c r="E81">
        <f>IF($A81="","",IFERROR(MATCH($C81,$R$2:$R$5,0),0))</f>
        <v/>
      </c>
      <c r="F81">
        <f>IF($A81="","",MOD(ROW(),34))</f>
        <v/>
      </c>
      <c r="G81">
        <f>IF($A81="",NA(),IF($C81="Action",$B81,NA()))</f>
        <v/>
      </c>
      <c r="H81">
        <f>IF($A81="",NA(),IF($C81="Action",1+$F81*0.023,NA()))</f>
        <v/>
      </c>
      <c r="I81">
        <f>IF($A81="",NA(),IF($C81="Strategy",$B81,NA()))</f>
        <v/>
      </c>
      <c r="J81">
        <f>IF($A81="",NA(),IF($C81="Strategy",2+$F81*0.023,NA()))</f>
        <v/>
      </c>
      <c r="K81">
        <f>IF($A81="",NA(),IF($C81="Deckbuilder",$B81,NA()))</f>
        <v/>
      </c>
      <c r="L81">
        <f>IF($A81="",NA(),IF($C81="Deckbuilder",3+$F81*0.023,NA()))</f>
        <v/>
      </c>
      <c r="M81">
        <f>IF($A81="",NA(),IF($C81="Traditional",$B81,NA()))</f>
        <v/>
      </c>
      <c r="N81">
        <f>IF($A81="",NA(),IF($C81="Traditional",4+$F81*0.023,NA()))</f>
        <v/>
      </c>
      <c r="O81">
        <f>IF($A81="","",$D81+ROW()/1000000)</f>
        <v/>
      </c>
      <c r="P81">
        <f>IF(OR($A81="",games!$H81=""),"",games!$H81)</f>
        <v/>
      </c>
      <c r="Q81">
        <f>IF(OR($A81="",$P81&lt;&gt;"Yes"),"",$D81+ROW()/1000000)</f>
        <v/>
      </c>
      <c r="T81">
        <f>IF(connections!$A81="","",IFERROR(INDEX(games!$B$2:$B$950,MATCH(connections!$A81,games!$A$2:$A$950,0)),""))</f>
        <v/>
      </c>
      <c r="U81">
        <f>IF(connections!$A81="","",IFERROR(INDEX(games!$B$2:$B$950,MATCH(connections!$B81,games!$A$2:$A$950,0)),""))</f>
        <v/>
      </c>
      <c r="V81">
        <f>IF(OR($T81="",$U81=""),"",$U81-$T81)</f>
        <v/>
      </c>
    </row>
    <row r="82">
      <c r="A82">
        <f>IF(games!$A82="","",games!$A82)</f>
        <v/>
      </c>
      <c r="B82">
        <f>IF($A82="","",games!$B82)</f>
        <v/>
      </c>
      <c r="C82">
        <f>IF($A82="","",games!$C82)</f>
        <v/>
      </c>
      <c r="D82">
        <f>IF($A82="","",COUNTIF(connections!$A$2:$A$1400,$A82)+COUNTIF(connections!$B$2:$B$1400,$A82))</f>
        <v/>
      </c>
      <c r="E82">
        <f>IF($A82="","",IFERROR(MATCH($C82,$R$2:$R$5,0),0))</f>
        <v/>
      </c>
      <c r="F82">
        <f>IF($A82="","",MOD(ROW(),34))</f>
        <v/>
      </c>
      <c r="G82">
        <f>IF($A82="",NA(),IF($C82="Action",$B82,NA()))</f>
        <v/>
      </c>
      <c r="H82">
        <f>IF($A82="",NA(),IF($C82="Action",1+$F82*0.023,NA()))</f>
        <v/>
      </c>
      <c r="I82">
        <f>IF($A82="",NA(),IF($C82="Strategy",$B82,NA()))</f>
        <v/>
      </c>
      <c r="J82">
        <f>IF($A82="",NA(),IF($C82="Strategy",2+$F82*0.023,NA()))</f>
        <v/>
      </c>
      <c r="K82">
        <f>IF($A82="",NA(),IF($C82="Deckbuilder",$B82,NA()))</f>
        <v/>
      </c>
      <c r="L82">
        <f>IF($A82="",NA(),IF($C82="Deckbuilder",3+$F82*0.023,NA()))</f>
        <v/>
      </c>
      <c r="M82">
        <f>IF($A82="",NA(),IF($C82="Traditional",$B82,NA()))</f>
        <v/>
      </c>
      <c r="N82">
        <f>IF($A82="",NA(),IF($C82="Traditional",4+$F82*0.023,NA()))</f>
        <v/>
      </c>
      <c r="O82">
        <f>IF($A82="","",$D82+ROW()/1000000)</f>
        <v/>
      </c>
      <c r="P82">
        <f>IF(OR($A82="",games!$H82=""),"",games!$H82)</f>
        <v/>
      </c>
      <c r="Q82">
        <f>IF(OR($A82="",$P82&lt;&gt;"Yes"),"",$D82+ROW()/1000000)</f>
        <v/>
      </c>
      <c r="T82">
        <f>IF(connections!$A82="","",IFERROR(INDEX(games!$B$2:$B$950,MATCH(connections!$A82,games!$A$2:$A$950,0)),""))</f>
        <v/>
      </c>
      <c r="U82">
        <f>IF(connections!$A82="","",IFERROR(INDEX(games!$B$2:$B$950,MATCH(connections!$B82,games!$A$2:$A$950,0)),""))</f>
        <v/>
      </c>
      <c r="V82">
        <f>IF(OR($T82="",$U82=""),"",$U82-$T82)</f>
        <v/>
      </c>
    </row>
    <row r="83">
      <c r="A83">
        <f>IF(games!$A83="","",games!$A83)</f>
        <v/>
      </c>
      <c r="B83">
        <f>IF($A83="","",games!$B83)</f>
        <v/>
      </c>
      <c r="C83">
        <f>IF($A83="","",games!$C83)</f>
        <v/>
      </c>
      <c r="D83">
        <f>IF($A83="","",COUNTIF(connections!$A$2:$A$1400,$A83)+COUNTIF(connections!$B$2:$B$1400,$A83))</f>
        <v/>
      </c>
      <c r="E83">
        <f>IF($A83="","",IFERROR(MATCH($C83,$R$2:$R$5,0),0))</f>
        <v/>
      </c>
      <c r="F83">
        <f>IF($A83="","",MOD(ROW(),34))</f>
        <v/>
      </c>
      <c r="G83">
        <f>IF($A83="",NA(),IF($C83="Action",$B83,NA()))</f>
        <v/>
      </c>
      <c r="H83">
        <f>IF($A83="",NA(),IF($C83="Action",1+$F83*0.023,NA()))</f>
        <v/>
      </c>
      <c r="I83">
        <f>IF($A83="",NA(),IF($C83="Strategy",$B83,NA()))</f>
        <v/>
      </c>
      <c r="J83">
        <f>IF($A83="",NA(),IF($C83="Strategy",2+$F83*0.023,NA()))</f>
        <v/>
      </c>
      <c r="K83">
        <f>IF($A83="",NA(),IF($C83="Deckbuilder",$B83,NA()))</f>
        <v/>
      </c>
      <c r="L83">
        <f>IF($A83="",NA(),IF($C83="Deckbuilder",3+$F83*0.023,NA()))</f>
        <v/>
      </c>
      <c r="M83">
        <f>IF($A83="",NA(),IF($C83="Traditional",$B83,NA()))</f>
        <v/>
      </c>
      <c r="N83">
        <f>IF($A83="",NA(),IF($C83="Traditional",4+$F83*0.023,NA()))</f>
        <v/>
      </c>
      <c r="O83">
        <f>IF($A83="","",$D83+ROW()/1000000)</f>
        <v/>
      </c>
      <c r="P83">
        <f>IF(OR($A83="",games!$H83=""),"",games!$H83)</f>
        <v/>
      </c>
      <c r="Q83">
        <f>IF(OR($A83="",$P83&lt;&gt;"Yes"),"",$D83+ROW()/1000000)</f>
        <v/>
      </c>
      <c r="T83">
        <f>IF(connections!$A83="","",IFERROR(INDEX(games!$B$2:$B$950,MATCH(connections!$A83,games!$A$2:$A$950,0)),""))</f>
        <v/>
      </c>
      <c r="U83">
        <f>IF(connections!$A83="","",IFERROR(INDEX(games!$B$2:$B$950,MATCH(connections!$B83,games!$A$2:$A$950,0)),""))</f>
        <v/>
      </c>
      <c r="V83">
        <f>IF(OR($T83="",$U83=""),"",$U83-$T83)</f>
        <v/>
      </c>
    </row>
    <row r="84">
      <c r="A84">
        <f>IF(games!$A84="","",games!$A84)</f>
        <v/>
      </c>
      <c r="B84">
        <f>IF($A84="","",games!$B84)</f>
        <v/>
      </c>
      <c r="C84">
        <f>IF($A84="","",games!$C84)</f>
        <v/>
      </c>
      <c r="D84">
        <f>IF($A84="","",COUNTIF(connections!$A$2:$A$1400,$A84)+COUNTIF(connections!$B$2:$B$1400,$A84))</f>
        <v/>
      </c>
      <c r="E84">
        <f>IF($A84="","",IFERROR(MATCH($C84,$R$2:$R$5,0),0))</f>
        <v/>
      </c>
      <c r="F84">
        <f>IF($A84="","",MOD(ROW(),34))</f>
        <v/>
      </c>
      <c r="G84">
        <f>IF($A84="",NA(),IF($C84="Action",$B84,NA()))</f>
        <v/>
      </c>
      <c r="H84">
        <f>IF($A84="",NA(),IF($C84="Action",1+$F84*0.023,NA()))</f>
        <v/>
      </c>
      <c r="I84">
        <f>IF($A84="",NA(),IF($C84="Strategy",$B84,NA()))</f>
        <v/>
      </c>
      <c r="J84">
        <f>IF($A84="",NA(),IF($C84="Strategy",2+$F84*0.023,NA()))</f>
        <v/>
      </c>
      <c r="K84">
        <f>IF($A84="",NA(),IF($C84="Deckbuilder",$B84,NA()))</f>
        <v/>
      </c>
      <c r="L84">
        <f>IF($A84="",NA(),IF($C84="Deckbuilder",3+$F84*0.023,NA()))</f>
        <v/>
      </c>
      <c r="M84">
        <f>IF($A84="",NA(),IF($C84="Traditional",$B84,NA()))</f>
        <v/>
      </c>
      <c r="N84">
        <f>IF($A84="",NA(),IF($C84="Traditional",4+$F84*0.023,NA()))</f>
        <v/>
      </c>
      <c r="O84">
        <f>IF($A84="","",$D84+ROW()/1000000)</f>
        <v/>
      </c>
      <c r="P84">
        <f>IF(OR($A84="",games!$H84=""),"",games!$H84)</f>
        <v/>
      </c>
      <c r="Q84">
        <f>IF(OR($A84="",$P84&lt;&gt;"Yes"),"",$D84+ROW()/1000000)</f>
        <v/>
      </c>
      <c r="T84">
        <f>IF(connections!$A84="","",IFERROR(INDEX(games!$B$2:$B$950,MATCH(connections!$A84,games!$A$2:$A$950,0)),""))</f>
        <v/>
      </c>
      <c r="U84">
        <f>IF(connections!$A84="","",IFERROR(INDEX(games!$B$2:$B$950,MATCH(connections!$B84,games!$A$2:$A$950,0)),""))</f>
        <v/>
      </c>
      <c r="V84">
        <f>IF(OR($T84="",$U84=""),"",$U84-$T84)</f>
        <v/>
      </c>
    </row>
    <row r="85">
      <c r="A85">
        <f>IF(games!$A85="","",games!$A85)</f>
        <v/>
      </c>
      <c r="B85">
        <f>IF($A85="","",games!$B85)</f>
        <v/>
      </c>
      <c r="C85">
        <f>IF($A85="","",games!$C85)</f>
        <v/>
      </c>
      <c r="D85">
        <f>IF($A85="","",COUNTIF(connections!$A$2:$A$1400,$A85)+COUNTIF(connections!$B$2:$B$1400,$A85))</f>
        <v/>
      </c>
      <c r="E85">
        <f>IF($A85="","",IFERROR(MATCH($C85,$R$2:$R$5,0),0))</f>
        <v/>
      </c>
      <c r="F85">
        <f>IF($A85="","",MOD(ROW(),34))</f>
        <v/>
      </c>
      <c r="G85">
        <f>IF($A85="",NA(),IF($C85="Action",$B85,NA()))</f>
        <v/>
      </c>
      <c r="H85">
        <f>IF($A85="",NA(),IF($C85="Action",1+$F85*0.023,NA()))</f>
        <v/>
      </c>
      <c r="I85">
        <f>IF($A85="",NA(),IF($C85="Strategy",$B85,NA()))</f>
        <v/>
      </c>
      <c r="J85">
        <f>IF($A85="",NA(),IF($C85="Strategy",2+$F85*0.023,NA()))</f>
        <v/>
      </c>
      <c r="K85">
        <f>IF($A85="",NA(),IF($C85="Deckbuilder",$B85,NA()))</f>
        <v/>
      </c>
      <c r="L85">
        <f>IF($A85="",NA(),IF($C85="Deckbuilder",3+$F85*0.023,NA()))</f>
        <v/>
      </c>
      <c r="M85">
        <f>IF($A85="",NA(),IF($C85="Traditional",$B85,NA()))</f>
        <v/>
      </c>
      <c r="N85">
        <f>IF($A85="",NA(),IF($C85="Traditional",4+$F85*0.023,NA()))</f>
        <v/>
      </c>
      <c r="O85">
        <f>IF($A85="","",$D85+ROW()/1000000)</f>
        <v/>
      </c>
      <c r="P85">
        <f>IF(OR($A85="",games!$H85=""),"",games!$H85)</f>
        <v/>
      </c>
      <c r="Q85">
        <f>IF(OR($A85="",$P85&lt;&gt;"Yes"),"",$D85+ROW()/1000000)</f>
        <v/>
      </c>
      <c r="T85">
        <f>IF(connections!$A85="","",IFERROR(INDEX(games!$B$2:$B$950,MATCH(connections!$A85,games!$A$2:$A$950,0)),""))</f>
        <v/>
      </c>
      <c r="U85">
        <f>IF(connections!$A85="","",IFERROR(INDEX(games!$B$2:$B$950,MATCH(connections!$B85,games!$A$2:$A$950,0)),""))</f>
        <v/>
      </c>
      <c r="V85">
        <f>IF(OR($T85="",$U85=""),"",$U85-$T85)</f>
        <v/>
      </c>
    </row>
    <row r="86">
      <c r="A86">
        <f>IF(games!$A86="","",games!$A86)</f>
        <v/>
      </c>
      <c r="B86">
        <f>IF($A86="","",games!$B86)</f>
        <v/>
      </c>
      <c r="C86">
        <f>IF($A86="","",games!$C86)</f>
        <v/>
      </c>
      <c r="D86">
        <f>IF($A86="","",COUNTIF(connections!$A$2:$A$1400,$A86)+COUNTIF(connections!$B$2:$B$1400,$A86))</f>
        <v/>
      </c>
      <c r="E86">
        <f>IF($A86="","",IFERROR(MATCH($C86,$R$2:$R$5,0),0))</f>
        <v/>
      </c>
      <c r="F86">
        <f>IF($A86="","",MOD(ROW(),34))</f>
        <v/>
      </c>
      <c r="G86">
        <f>IF($A86="",NA(),IF($C86="Action",$B86,NA()))</f>
        <v/>
      </c>
      <c r="H86">
        <f>IF($A86="",NA(),IF($C86="Action",1+$F86*0.023,NA()))</f>
        <v/>
      </c>
      <c r="I86">
        <f>IF($A86="",NA(),IF($C86="Strategy",$B86,NA()))</f>
        <v/>
      </c>
      <c r="J86">
        <f>IF($A86="",NA(),IF($C86="Strategy",2+$F86*0.023,NA()))</f>
        <v/>
      </c>
      <c r="K86">
        <f>IF($A86="",NA(),IF($C86="Deckbuilder",$B86,NA()))</f>
        <v/>
      </c>
      <c r="L86">
        <f>IF($A86="",NA(),IF($C86="Deckbuilder",3+$F86*0.023,NA()))</f>
        <v/>
      </c>
      <c r="M86">
        <f>IF($A86="",NA(),IF($C86="Traditional",$B86,NA()))</f>
        <v/>
      </c>
      <c r="N86">
        <f>IF($A86="",NA(),IF($C86="Traditional",4+$F86*0.023,NA()))</f>
        <v/>
      </c>
      <c r="O86">
        <f>IF($A86="","",$D86+ROW()/1000000)</f>
        <v/>
      </c>
      <c r="P86">
        <f>IF(OR($A86="",games!$H86=""),"",games!$H86)</f>
        <v/>
      </c>
      <c r="Q86">
        <f>IF(OR($A86="",$P86&lt;&gt;"Yes"),"",$D86+ROW()/1000000)</f>
        <v/>
      </c>
      <c r="T86">
        <f>IF(connections!$A86="","",IFERROR(INDEX(games!$B$2:$B$950,MATCH(connections!$A86,games!$A$2:$A$950,0)),""))</f>
        <v/>
      </c>
      <c r="U86">
        <f>IF(connections!$A86="","",IFERROR(INDEX(games!$B$2:$B$950,MATCH(connections!$B86,games!$A$2:$A$950,0)),""))</f>
        <v/>
      </c>
      <c r="V86">
        <f>IF(OR($T86="",$U86=""),"",$U86-$T86)</f>
        <v/>
      </c>
    </row>
    <row r="87">
      <c r="A87">
        <f>IF(games!$A87="","",games!$A87)</f>
        <v/>
      </c>
      <c r="B87">
        <f>IF($A87="","",games!$B87)</f>
        <v/>
      </c>
      <c r="C87">
        <f>IF($A87="","",games!$C87)</f>
        <v/>
      </c>
      <c r="D87">
        <f>IF($A87="","",COUNTIF(connections!$A$2:$A$1400,$A87)+COUNTIF(connections!$B$2:$B$1400,$A87))</f>
        <v/>
      </c>
      <c r="E87">
        <f>IF($A87="","",IFERROR(MATCH($C87,$R$2:$R$5,0),0))</f>
        <v/>
      </c>
      <c r="F87">
        <f>IF($A87="","",MOD(ROW(),34))</f>
        <v/>
      </c>
      <c r="G87">
        <f>IF($A87="",NA(),IF($C87="Action",$B87,NA()))</f>
        <v/>
      </c>
      <c r="H87">
        <f>IF($A87="",NA(),IF($C87="Action",1+$F87*0.023,NA()))</f>
        <v/>
      </c>
      <c r="I87">
        <f>IF($A87="",NA(),IF($C87="Strategy",$B87,NA()))</f>
        <v/>
      </c>
      <c r="J87">
        <f>IF($A87="",NA(),IF($C87="Strategy",2+$F87*0.023,NA()))</f>
        <v/>
      </c>
      <c r="K87">
        <f>IF($A87="",NA(),IF($C87="Deckbuilder",$B87,NA()))</f>
        <v/>
      </c>
      <c r="L87">
        <f>IF($A87="",NA(),IF($C87="Deckbuilder",3+$F87*0.023,NA()))</f>
        <v/>
      </c>
      <c r="M87">
        <f>IF($A87="",NA(),IF($C87="Traditional",$B87,NA()))</f>
        <v/>
      </c>
      <c r="N87">
        <f>IF($A87="",NA(),IF($C87="Traditional",4+$F87*0.023,NA()))</f>
        <v/>
      </c>
      <c r="O87">
        <f>IF($A87="","",$D87+ROW()/1000000)</f>
        <v/>
      </c>
      <c r="P87">
        <f>IF(OR($A87="",games!$H87=""),"",games!$H87)</f>
        <v/>
      </c>
      <c r="Q87">
        <f>IF(OR($A87="",$P87&lt;&gt;"Yes"),"",$D87+ROW()/1000000)</f>
        <v/>
      </c>
      <c r="T87">
        <f>IF(connections!$A87="","",IFERROR(INDEX(games!$B$2:$B$950,MATCH(connections!$A87,games!$A$2:$A$950,0)),""))</f>
        <v/>
      </c>
      <c r="U87">
        <f>IF(connections!$A87="","",IFERROR(INDEX(games!$B$2:$B$950,MATCH(connections!$B87,games!$A$2:$A$950,0)),""))</f>
        <v/>
      </c>
      <c r="V87">
        <f>IF(OR($T87="",$U87=""),"",$U87-$T87)</f>
        <v/>
      </c>
    </row>
    <row r="88">
      <c r="A88">
        <f>IF(games!$A88="","",games!$A88)</f>
        <v/>
      </c>
      <c r="B88">
        <f>IF($A88="","",games!$B88)</f>
        <v/>
      </c>
      <c r="C88">
        <f>IF($A88="","",games!$C88)</f>
        <v/>
      </c>
      <c r="D88">
        <f>IF($A88="","",COUNTIF(connections!$A$2:$A$1400,$A88)+COUNTIF(connections!$B$2:$B$1400,$A88))</f>
        <v/>
      </c>
      <c r="E88">
        <f>IF($A88="","",IFERROR(MATCH($C88,$R$2:$R$5,0),0))</f>
        <v/>
      </c>
      <c r="F88">
        <f>IF($A88="","",MOD(ROW(),34))</f>
        <v/>
      </c>
      <c r="G88">
        <f>IF($A88="",NA(),IF($C88="Action",$B88,NA()))</f>
        <v/>
      </c>
      <c r="H88">
        <f>IF($A88="",NA(),IF($C88="Action",1+$F88*0.023,NA()))</f>
        <v/>
      </c>
      <c r="I88">
        <f>IF($A88="",NA(),IF($C88="Strategy",$B88,NA()))</f>
        <v/>
      </c>
      <c r="J88">
        <f>IF($A88="",NA(),IF($C88="Strategy",2+$F88*0.023,NA()))</f>
        <v/>
      </c>
      <c r="K88">
        <f>IF($A88="",NA(),IF($C88="Deckbuilder",$B88,NA()))</f>
        <v/>
      </c>
      <c r="L88">
        <f>IF($A88="",NA(),IF($C88="Deckbuilder",3+$F88*0.023,NA()))</f>
        <v/>
      </c>
      <c r="M88">
        <f>IF($A88="",NA(),IF($C88="Traditional",$B88,NA()))</f>
        <v/>
      </c>
      <c r="N88">
        <f>IF($A88="",NA(),IF($C88="Traditional",4+$F88*0.023,NA()))</f>
        <v/>
      </c>
      <c r="O88">
        <f>IF($A88="","",$D88+ROW()/1000000)</f>
        <v/>
      </c>
      <c r="P88">
        <f>IF(OR($A88="",games!$H88=""),"",games!$H88)</f>
        <v/>
      </c>
      <c r="Q88">
        <f>IF(OR($A88="",$P88&lt;&gt;"Yes"),"",$D88+ROW()/1000000)</f>
        <v/>
      </c>
      <c r="T88">
        <f>IF(connections!$A88="","",IFERROR(INDEX(games!$B$2:$B$950,MATCH(connections!$A88,games!$A$2:$A$950,0)),""))</f>
        <v/>
      </c>
      <c r="U88">
        <f>IF(connections!$A88="","",IFERROR(INDEX(games!$B$2:$B$950,MATCH(connections!$B88,games!$A$2:$A$950,0)),""))</f>
        <v/>
      </c>
      <c r="V88">
        <f>IF(OR($T88="",$U88=""),"",$U88-$T88)</f>
        <v/>
      </c>
    </row>
    <row r="89">
      <c r="A89">
        <f>IF(games!$A89="","",games!$A89)</f>
        <v/>
      </c>
      <c r="B89">
        <f>IF($A89="","",games!$B89)</f>
        <v/>
      </c>
      <c r="C89">
        <f>IF($A89="","",games!$C89)</f>
        <v/>
      </c>
      <c r="D89">
        <f>IF($A89="","",COUNTIF(connections!$A$2:$A$1400,$A89)+COUNTIF(connections!$B$2:$B$1400,$A89))</f>
        <v/>
      </c>
      <c r="E89">
        <f>IF($A89="","",IFERROR(MATCH($C89,$R$2:$R$5,0),0))</f>
        <v/>
      </c>
      <c r="F89">
        <f>IF($A89="","",MOD(ROW(),34))</f>
        <v/>
      </c>
      <c r="G89">
        <f>IF($A89="",NA(),IF($C89="Action",$B89,NA()))</f>
        <v/>
      </c>
      <c r="H89">
        <f>IF($A89="",NA(),IF($C89="Action",1+$F89*0.023,NA()))</f>
        <v/>
      </c>
      <c r="I89">
        <f>IF($A89="",NA(),IF($C89="Strategy",$B89,NA()))</f>
        <v/>
      </c>
      <c r="J89">
        <f>IF($A89="",NA(),IF($C89="Strategy",2+$F89*0.023,NA()))</f>
        <v/>
      </c>
      <c r="K89">
        <f>IF($A89="",NA(),IF($C89="Deckbuilder",$B89,NA()))</f>
        <v/>
      </c>
      <c r="L89">
        <f>IF($A89="",NA(),IF($C89="Deckbuilder",3+$F89*0.023,NA()))</f>
        <v/>
      </c>
      <c r="M89">
        <f>IF($A89="",NA(),IF($C89="Traditional",$B89,NA()))</f>
        <v/>
      </c>
      <c r="N89">
        <f>IF($A89="",NA(),IF($C89="Traditional",4+$F89*0.023,NA()))</f>
        <v/>
      </c>
      <c r="O89">
        <f>IF($A89="","",$D89+ROW()/1000000)</f>
        <v/>
      </c>
      <c r="P89">
        <f>IF(OR($A89="",games!$H89=""),"",games!$H89)</f>
        <v/>
      </c>
      <c r="Q89">
        <f>IF(OR($A89="",$P89&lt;&gt;"Yes"),"",$D89+ROW()/1000000)</f>
        <v/>
      </c>
      <c r="T89">
        <f>IF(connections!$A89="","",IFERROR(INDEX(games!$B$2:$B$950,MATCH(connections!$A89,games!$A$2:$A$950,0)),""))</f>
        <v/>
      </c>
      <c r="U89">
        <f>IF(connections!$A89="","",IFERROR(INDEX(games!$B$2:$B$950,MATCH(connections!$B89,games!$A$2:$A$950,0)),""))</f>
        <v/>
      </c>
      <c r="V89">
        <f>IF(OR($T89="",$U89=""),"",$U89-$T89)</f>
        <v/>
      </c>
    </row>
    <row r="90">
      <c r="A90">
        <f>IF(games!$A90="","",games!$A90)</f>
        <v/>
      </c>
      <c r="B90">
        <f>IF($A90="","",games!$B90)</f>
        <v/>
      </c>
      <c r="C90">
        <f>IF($A90="","",games!$C90)</f>
        <v/>
      </c>
      <c r="D90">
        <f>IF($A90="","",COUNTIF(connections!$A$2:$A$1400,$A90)+COUNTIF(connections!$B$2:$B$1400,$A90))</f>
        <v/>
      </c>
      <c r="E90">
        <f>IF($A90="","",IFERROR(MATCH($C90,$R$2:$R$5,0),0))</f>
        <v/>
      </c>
      <c r="F90">
        <f>IF($A90="","",MOD(ROW(),34))</f>
        <v/>
      </c>
      <c r="G90">
        <f>IF($A90="",NA(),IF($C90="Action",$B90,NA()))</f>
        <v/>
      </c>
      <c r="H90">
        <f>IF($A90="",NA(),IF($C90="Action",1+$F90*0.023,NA()))</f>
        <v/>
      </c>
      <c r="I90">
        <f>IF($A90="",NA(),IF($C90="Strategy",$B90,NA()))</f>
        <v/>
      </c>
      <c r="J90">
        <f>IF($A90="",NA(),IF($C90="Strategy",2+$F90*0.023,NA()))</f>
        <v/>
      </c>
      <c r="K90">
        <f>IF($A90="",NA(),IF($C90="Deckbuilder",$B90,NA()))</f>
        <v/>
      </c>
      <c r="L90">
        <f>IF($A90="",NA(),IF($C90="Deckbuilder",3+$F90*0.023,NA()))</f>
        <v/>
      </c>
      <c r="M90">
        <f>IF($A90="",NA(),IF($C90="Traditional",$B90,NA()))</f>
        <v/>
      </c>
      <c r="N90">
        <f>IF($A90="",NA(),IF($C90="Traditional",4+$F90*0.023,NA()))</f>
        <v/>
      </c>
      <c r="O90">
        <f>IF($A90="","",$D90+ROW()/1000000)</f>
        <v/>
      </c>
      <c r="P90">
        <f>IF(OR($A90="",games!$H90=""),"",games!$H90)</f>
        <v/>
      </c>
      <c r="Q90">
        <f>IF(OR($A90="",$P90&lt;&gt;"Yes"),"",$D90+ROW()/1000000)</f>
        <v/>
      </c>
      <c r="T90">
        <f>IF(connections!$A90="","",IFERROR(INDEX(games!$B$2:$B$950,MATCH(connections!$A90,games!$A$2:$A$950,0)),""))</f>
        <v/>
      </c>
      <c r="U90">
        <f>IF(connections!$A90="","",IFERROR(INDEX(games!$B$2:$B$950,MATCH(connections!$B90,games!$A$2:$A$950,0)),""))</f>
        <v/>
      </c>
      <c r="V90">
        <f>IF(OR($T90="",$U90=""),"",$U90-$T90)</f>
        <v/>
      </c>
    </row>
    <row r="91">
      <c r="A91">
        <f>IF(games!$A91="","",games!$A91)</f>
        <v/>
      </c>
      <c r="B91">
        <f>IF($A91="","",games!$B91)</f>
        <v/>
      </c>
      <c r="C91">
        <f>IF($A91="","",games!$C91)</f>
        <v/>
      </c>
      <c r="D91">
        <f>IF($A91="","",COUNTIF(connections!$A$2:$A$1400,$A91)+COUNTIF(connections!$B$2:$B$1400,$A91))</f>
        <v/>
      </c>
      <c r="E91">
        <f>IF($A91="","",IFERROR(MATCH($C91,$R$2:$R$5,0),0))</f>
        <v/>
      </c>
      <c r="F91">
        <f>IF($A91="","",MOD(ROW(),34))</f>
        <v/>
      </c>
      <c r="G91">
        <f>IF($A91="",NA(),IF($C91="Action",$B91,NA()))</f>
        <v/>
      </c>
      <c r="H91">
        <f>IF($A91="",NA(),IF($C91="Action",1+$F91*0.023,NA()))</f>
        <v/>
      </c>
      <c r="I91">
        <f>IF($A91="",NA(),IF($C91="Strategy",$B91,NA()))</f>
        <v/>
      </c>
      <c r="J91">
        <f>IF($A91="",NA(),IF($C91="Strategy",2+$F91*0.023,NA()))</f>
        <v/>
      </c>
      <c r="K91">
        <f>IF($A91="",NA(),IF($C91="Deckbuilder",$B91,NA()))</f>
        <v/>
      </c>
      <c r="L91">
        <f>IF($A91="",NA(),IF($C91="Deckbuilder",3+$F91*0.023,NA()))</f>
        <v/>
      </c>
      <c r="M91">
        <f>IF($A91="",NA(),IF($C91="Traditional",$B91,NA()))</f>
        <v/>
      </c>
      <c r="N91">
        <f>IF($A91="",NA(),IF($C91="Traditional",4+$F91*0.023,NA()))</f>
        <v/>
      </c>
      <c r="O91">
        <f>IF($A91="","",$D91+ROW()/1000000)</f>
        <v/>
      </c>
      <c r="P91">
        <f>IF(OR($A91="",games!$H91=""),"",games!$H91)</f>
        <v/>
      </c>
      <c r="Q91">
        <f>IF(OR($A91="",$P91&lt;&gt;"Yes"),"",$D91+ROW()/1000000)</f>
        <v/>
      </c>
      <c r="T91">
        <f>IF(connections!$A91="","",IFERROR(INDEX(games!$B$2:$B$950,MATCH(connections!$A91,games!$A$2:$A$950,0)),""))</f>
        <v/>
      </c>
      <c r="U91">
        <f>IF(connections!$A91="","",IFERROR(INDEX(games!$B$2:$B$950,MATCH(connections!$B91,games!$A$2:$A$950,0)),""))</f>
        <v/>
      </c>
      <c r="V91">
        <f>IF(OR($T91="",$U91=""),"",$U91-$T91)</f>
        <v/>
      </c>
    </row>
    <row r="92">
      <c r="A92">
        <f>IF(games!$A92="","",games!$A92)</f>
        <v/>
      </c>
      <c r="B92">
        <f>IF($A92="","",games!$B92)</f>
        <v/>
      </c>
      <c r="C92">
        <f>IF($A92="","",games!$C92)</f>
        <v/>
      </c>
      <c r="D92">
        <f>IF($A92="","",COUNTIF(connections!$A$2:$A$1400,$A92)+COUNTIF(connections!$B$2:$B$1400,$A92))</f>
        <v/>
      </c>
      <c r="E92">
        <f>IF($A92="","",IFERROR(MATCH($C92,$R$2:$R$5,0),0))</f>
        <v/>
      </c>
      <c r="F92">
        <f>IF($A92="","",MOD(ROW(),34))</f>
        <v/>
      </c>
      <c r="G92">
        <f>IF($A92="",NA(),IF($C92="Action",$B92,NA()))</f>
        <v/>
      </c>
      <c r="H92">
        <f>IF($A92="",NA(),IF($C92="Action",1+$F92*0.023,NA()))</f>
        <v/>
      </c>
      <c r="I92">
        <f>IF($A92="",NA(),IF($C92="Strategy",$B92,NA()))</f>
        <v/>
      </c>
      <c r="J92">
        <f>IF($A92="",NA(),IF($C92="Strategy",2+$F92*0.023,NA()))</f>
        <v/>
      </c>
      <c r="K92">
        <f>IF($A92="",NA(),IF($C92="Deckbuilder",$B92,NA()))</f>
        <v/>
      </c>
      <c r="L92">
        <f>IF($A92="",NA(),IF($C92="Deckbuilder",3+$F92*0.023,NA()))</f>
        <v/>
      </c>
      <c r="M92">
        <f>IF($A92="",NA(),IF($C92="Traditional",$B92,NA()))</f>
        <v/>
      </c>
      <c r="N92">
        <f>IF($A92="",NA(),IF($C92="Traditional",4+$F92*0.023,NA()))</f>
        <v/>
      </c>
      <c r="O92">
        <f>IF($A92="","",$D92+ROW()/1000000)</f>
        <v/>
      </c>
      <c r="P92">
        <f>IF(OR($A92="",games!$H92=""),"",games!$H92)</f>
        <v/>
      </c>
      <c r="Q92">
        <f>IF(OR($A92="",$P92&lt;&gt;"Yes"),"",$D92+ROW()/1000000)</f>
        <v/>
      </c>
      <c r="T92">
        <f>IF(connections!$A92="","",IFERROR(INDEX(games!$B$2:$B$950,MATCH(connections!$A92,games!$A$2:$A$950,0)),""))</f>
        <v/>
      </c>
      <c r="U92">
        <f>IF(connections!$A92="","",IFERROR(INDEX(games!$B$2:$B$950,MATCH(connections!$B92,games!$A$2:$A$950,0)),""))</f>
        <v/>
      </c>
      <c r="V92">
        <f>IF(OR($T92="",$U92=""),"",$U92-$T92)</f>
        <v/>
      </c>
    </row>
    <row r="93">
      <c r="A93">
        <f>IF(games!$A93="","",games!$A93)</f>
        <v/>
      </c>
      <c r="B93">
        <f>IF($A93="","",games!$B93)</f>
        <v/>
      </c>
      <c r="C93">
        <f>IF($A93="","",games!$C93)</f>
        <v/>
      </c>
      <c r="D93">
        <f>IF($A93="","",COUNTIF(connections!$A$2:$A$1400,$A93)+COUNTIF(connections!$B$2:$B$1400,$A93))</f>
        <v/>
      </c>
      <c r="E93">
        <f>IF($A93="","",IFERROR(MATCH($C93,$R$2:$R$5,0),0))</f>
        <v/>
      </c>
      <c r="F93">
        <f>IF($A93="","",MOD(ROW(),34))</f>
        <v/>
      </c>
      <c r="G93">
        <f>IF($A93="",NA(),IF($C93="Action",$B93,NA()))</f>
        <v/>
      </c>
      <c r="H93">
        <f>IF($A93="",NA(),IF($C93="Action",1+$F93*0.023,NA()))</f>
        <v/>
      </c>
      <c r="I93">
        <f>IF($A93="",NA(),IF($C93="Strategy",$B93,NA()))</f>
        <v/>
      </c>
      <c r="J93">
        <f>IF($A93="",NA(),IF($C93="Strategy",2+$F93*0.023,NA()))</f>
        <v/>
      </c>
      <c r="K93">
        <f>IF($A93="",NA(),IF($C93="Deckbuilder",$B93,NA()))</f>
        <v/>
      </c>
      <c r="L93">
        <f>IF($A93="",NA(),IF($C93="Deckbuilder",3+$F93*0.023,NA()))</f>
        <v/>
      </c>
      <c r="M93">
        <f>IF($A93="",NA(),IF($C93="Traditional",$B93,NA()))</f>
        <v/>
      </c>
      <c r="N93">
        <f>IF($A93="",NA(),IF($C93="Traditional",4+$F93*0.023,NA()))</f>
        <v/>
      </c>
      <c r="O93">
        <f>IF($A93="","",$D93+ROW()/1000000)</f>
        <v/>
      </c>
      <c r="P93">
        <f>IF(OR($A93="",games!$H93=""),"",games!$H93)</f>
        <v/>
      </c>
      <c r="Q93">
        <f>IF(OR($A93="",$P93&lt;&gt;"Yes"),"",$D93+ROW()/1000000)</f>
        <v/>
      </c>
      <c r="T93">
        <f>IF(connections!$A93="","",IFERROR(INDEX(games!$B$2:$B$950,MATCH(connections!$A93,games!$A$2:$A$950,0)),""))</f>
        <v/>
      </c>
      <c r="U93">
        <f>IF(connections!$A93="","",IFERROR(INDEX(games!$B$2:$B$950,MATCH(connections!$B93,games!$A$2:$A$950,0)),""))</f>
        <v/>
      </c>
      <c r="V93">
        <f>IF(OR($T93="",$U93=""),"",$U93-$T93)</f>
        <v/>
      </c>
    </row>
    <row r="94">
      <c r="A94">
        <f>IF(games!$A94="","",games!$A94)</f>
        <v/>
      </c>
      <c r="B94">
        <f>IF($A94="","",games!$B94)</f>
        <v/>
      </c>
      <c r="C94">
        <f>IF($A94="","",games!$C94)</f>
        <v/>
      </c>
      <c r="D94">
        <f>IF($A94="","",COUNTIF(connections!$A$2:$A$1400,$A94)+COUNTIF(connections!$B$2:$B$1400,$A94))</f>
        <v/>
      </c>
      <c r="E94">
        <f>IF($A94="","",IFERROR(MATCH($C94,$R$2:$R$5,0),0))</f>
        <v/>
      </c>
      <c r="F94">
        <f>IF($A94="","",MOD(ROW(),34))</f>
        <v/>
      </c>
      <c r="G94">
        <f>IF($A94="",NA(),IF($C94="Action",$B94,NA()))</f>
        <v/>
      </c>
      <c r="H94">
        <f>IF($A94="",NA(),IF($C94="Action",1+$F94*0.023,NA()))</f>
        <v/>
      </c>
      <c r="I94">
        <f>IF($A94="",NA(),IF($C94="Strategy",$B94,NA()))</f>
        <v/>
      </c>
      <c r="J94">
        <f>IF($A94="",NA(),IF($C94="Strategy",2+$F94*0.023,NA()))</f>
        <v/>
      </c>
      <c r="K94">
        <f>IF($A94="",NA(),IF($C94="Deckbuilder",$B94,NA()))</f>
        <v/>
      </c>
      <c r="L94">
        <f>IF($A94="",NA(),IF($C94="Deckbuilder",3+$F94*0.023,NA()))</f>
        <v/>
      </c>
      <c r="M94">
        <f>IF($A94="",NA(),IF($C94="Traditional",$B94,NA()))</f>
        <v/>
      </c>
      <c r="N94">
        <f>IF($A94="",NA(),IF($C94="Traditional",4+$F94*0.023,NA()))</f>
        <v/>
      </c>
      <c r="O94">
        <f>IF($A94="","",$D94+ROW()/1000000)</f>
        <v/>
      </c>
      <c r="P94">
        <f>IF(OR($A94="",games!$H94=""),"",games!$H94)</f>
        <v/>
      </c>
      <c r="Q94">
        <f>IF(OR($A94="",$P94&lt;&gt;"Yes"),"",$D94+ROW()/1000000)</f>
        <v/>
      </c>
      <c r="T94">
        <f>IF(connections!$A94="","",IFERROR(INDEX(games!$B$2:$B$950,MATCH(connections!$A94,games!$A$2:$A$950,0)),""))</f>
        <v/>
      </c>
      <c r="U94">
        <f>IF(connections!$A94="","",IFERROR(INDEX(games!$B$2:$B$950,MATCH(connections!$B94,games!$A$2:$A$950,0)),""))</f>
        <v/>
      </c>
      <c r="V94">
        <f>IF(OR($T94="",$U94=""),"",$U94-$T94)</f>
        <v/>
      </c>
    </row>
    <row r="95">
      <c r="A95">
        <f>IF(games!$A95="","",games!$A95)</f>
        <v/>
      </c>
      <c r="B95">
        <f>IF($A95="","",games!$B95)</f>
        <v/>
      </c>
      <c r="C95">
        <f>IF($A95="","",games!$C95)</f>
        <v/>
      </c>
      <c r="D95">
        <f>IF($A95="","",COUNTIF(connections!$A$2:$A$1400,$A95)+COUNTIF(connections!$B$2:$B$1400,$A95))</f>
        <v/>
      </c>
      <c r="E95">
        <f>IF($A95="","",IFERROR(MATCH($C95,$R$2:$R$5,0),0))</f>
        <v/>
      </c>
      <c r="F95">
        <f>IF($A95="","",MOD(ROW(),34))</f>
        <v/>
      </c>
      <c r="G95">
        <f>IF($A95="",NA(),IF($C95="Action",$B95,NA()))</f>
        <v/>
      </c>
      <c r="H95">
        <f>IF($A95="",NA(),IF($C95="Action",1+$F95*0.023,NA()))</f>
        <v/>
      </c>
      <c r="I95">
        <f>IF($A95="",NA(),IF($C95="Strategy",$B95,NA()))</f>
        <v/>
      </c>
      <c r="J95">
        <f>IF($A95="",NA(),IF($C95="Strategy",2+$F95*0.023,NA()))</f>
        <v/>
      </c>
      <c r="K95">
        <f>IF($A95="",NA(),IF($C95="Deckbuilder",$B95,NA()))</f>
        <v/>
      </c>
      <c r="L95">
        <f>IF($A95="",NA(),IF($C95="Deckbuilder",3+$F95*0.023,NA()))</f>
        <v/>
      </c>
      <c r="M95">
        <f>IF($A95="",NA(),IF($C95="Traditional",$B95,NA()))</f>
        <v/>
      </c>
      <c r="N95">
        <f>IF($A95="",NA(),IF($C95="Traditional",4+$F95*0.023,NA()))</f>
        <v/>
      </c>
      <c r="O95">
        <f>IF($A95="","",$D95+ROW()/1000000)</f>
        <v/>
      </c>
      <c r="P95">
        <f>IF(OR($A95="",games!$H95=""),"",games!$H95)</f>
        <v/>
      </c>
      <c r="Q95">
        <f>IF(OR($A95="",$P95&lt;&gt;"Yes"),"",$D95+ROW()/1000000)</f>
        <v/>
      </c>
      <c r="T95">
        <f>IF(connections!$A95="","",IFERROR(INDEX(games!$B$2:$B$950,MATCH(connections!$A95,games!$A$2:$A$950,0)),""))</f>
        <v/>
      </c>
      <c r="U95">
        <f>IF(connections!$A95="","",IFERROR(INDEX(games!$B$2:$B$950,MATCH(connections!$B95,games!$A$2:$A$950,0)),""))</f>
        <v/>
      </c>
      <c r="V95">
        <f>IF(OR($T95="",$U95=""),"",$U95-$T95)</f>
        <v/>
      </c>
    </row>
    <row r="96">
      <c r="A96">
        <f>IF(games!$A96="","",games!$A96)</f>
        <v/>
      </c>
      <c r="B96">
        <f>IF($A96="","",games!$B96)</f>
        <v/>
      </c>
      <c r="C96">
        <f>IF($A96="","",games!$C96)</f>
        <v/>
      </c>
      <c r="D96">
        <f>IF($A96="","",COUNTIF(connections!$A$2:$A$1400,$A96)+COUNTIF(connections!$B$2:$B$1400,$A96))</f>
        <v/>
      </c>
      <c r="E96">
        <f>IF($A96="","",IFERROR(MATCH($C96,$R$2:$R$5,0),0))</f>
        <v/>
      </c>
      <c r="F96">
        <f>IF($A96="","",MOD(ROW(),34))</f>
        <v/>
      </c>
      <c r="G96">
        <f>IF($A96="",NA(),IF($C96="Action",$B96,NA()))</f>
        <v/>
      </c>
      <c r="H96">
        <f>IF($A96="",NA(),IF($C96="Action",1+$F96*0.023,NA()))</f>
        <v/>
      </c>
      <c r="I96">
        <f>IF($A96="",NA(),IF($C96="Strategy",$B96,NA()))</f>
        <v/>
      </c>
      <c r="J96">
        <f>IF($A96="",NA(),IF($C96="Strategy",2+$F96*0.023,NA()))</f>
        <v/>
      </c>
      <c r="K96">
        <f>IF($A96="",NA(),IF($C96="Deckbuilder",$B96,NA()))</f>
        <v/>
      </c>
      <c r="L96">
        <f>IF($A96="",NA(),IF($C96="Deckbuilder",3+$F96*0.023,NA()))</f>
        <v/>
      </c>
      <c r="M96">
        <f>IF($A96="",NA(),IF($C96="Traditional",$B96,NA()))</f>
        <v/>
      </c>
      <c r="N96">
        <f>IF($A96="",NA(),IF($C96="Traditional",4+$F96*0.023,NA()))</f>
        <v/>
      </c>
      <c r="O96">
        <f>IF($A96="","",$D96+ROW()/1000000)</f>
        <v/>
      </c>
      <c r="P96">
        <f>IF(OR($A96="",games!$H96=""),"",games!$H96)</f>
        <v/>
      </c>
      <c r="Q96">
        <f>IF(OR($A96="",$P96&lt;&gt;"Yes"),"",$D96+ROW()/1000000)</f>
        <v/>
      </c>
      <c r="T96">
        <f>IF(connections!$A96="","",IFERROR(INDEX(games!$B$2:$B$950,MATCH(connections!$A96,games!$A$2:$A$950,0)),""))</f>
        <v/>
      </c>
      <c r="U96">
        <f>IF(connections!$A96="","",IFERROR(INDEX(games!$B$2:$B$950,MATCH(connections!$B96,games!$A$2:$A$950,0)),""))</f>
        <v/>
      </c>
      <c r="V96">
        <f>IF(OR($T96="",$U96=""),"",$U96-$T96)</f>
        <v/>
      </c>
    </row>
    <row r="97">
      <c r="A97">
        <f>IF(games!$A97="","",games!$A97)</f>
        <v/>
      </c>
      <c r="B97">
        <f>IF($A97="","",games!$B97)</f>
        <v/>
      </c>
      <c r="C97">
        <f>IF($A97="","",games!$C97)</f>
        <v/>
      </c>
      <c r="D97">
        <f>IF($A97="","",COUNTIF(connections!$A$2:$A$1400,$A97)+COUNTIF(connections!$B$2:$B$1400,$A97))</f>
        <v/>
      </c>
      <c r="E97">
        <f>IF($A97="","",IFERROR(MATCH($C97,$R$2:$R$5,0),0))</f>
        <v/>
      </c>
      <c r="F97">
        <f>IF($A97="","",MOD(ROW(),34))</f>
        <v/>
      </c>
      <c r="G97">
        <f>IF($A97="",NA(),IF($C97="Action",$B97,NA()))</f>
        <v/>
      </c>
      <c r="H97">
        <f>IF($A97="",NA(),IF($C97="Action",1+$F97*0.023,NA()))</f>
        <v/>
      </c>
      <c r="I97">
        <f>IF($A97="",NA(),IF($C97="Strategy",$B97,NA()))</f>
        <v/>
      </c>
      <c r="J97">
        <f>IF($A97="",NA(),IF($C97="Strategy",2+$F97*0.023,NA()))</f>
        <v/>
      </c>
      <c r="K97">
        <f>IF($A97="",NA(),IF($C97="Deckbuilder",$B97,NA()))</f>
        <v/>
      </c>
      <c r="L97">
        <f>IF($A97="",NA(),IF($C97="Deckbuilder",3+$F97*0.023,NA()))</f>
        <v/>
      </c>
      <c r="M97">
        <f>IF($A97="",NA(),IF($C97="Traditional",$B97,NA()))</f>
        <v/>
      </c>
      <c r="N97">
        <f>IF($A97="",NA(),IF($C97="Traditional",4+$F97*0.023,NA()))</f>
        <v/>
      </c>
      <c r="O97">
        <f>IF($A97="","",$D97+ROW()/1000000)</f>
        <v/>
      </c>
      <c r="P97">
        <f>IF(OR($A97="",games!$H97=""),"",games!$H97)</f>
        <v/>
      </c>
      <c r="Q97">
        <f>IF(OR($A97="",$P97&lt;&gt;"Yes"),"",$D97+ROW()/1000000)</f>
        <v/>
      </c>
      <c r="T97">
        <f>IF(connections!$A97="","",IFERROR(INDEX(games!$B$2:$B$950,MATCH(connections!$A97,games!$A$2:$A$950,0)),""))</f>
        <v/>
      </c>
      <c r="U97">
        <f>IF(connections!$A97="","",IFERROR(INDEX(games!$B$2:$B$950,MATCH(connections!$B97,games!$A$2:$A$950,0)),""))</f>
        <v/>
      </c>
      <c r="V97">
        <f>IF(OR($T97="",$U97=""),"",$U97-$T97)</f>
        <v/>
      </c>
    </row>
    <row r="98">
      <c r="A98">
        <f>IF(games!$A98="","",games!$A98)</f>
        <v/>
      </c>
      <c r="B98">
        <f>IF($A98="","",games!$B98)</f>
        <v/>
      </c>
      <c r="C98">
        <f>IF($A98="","",games!$C98)</f>
        <v/>
      </c>
      <c r="D98">
        <f>IF($A98="","",COUNTIF(connections!$A$2:$A$1400,$A98)+COUNTIF(connections!$B$2:$B$1400,$A98))</f>
        <v/>
      </c>
      <c r="E98">
        <f>IF($A98="","",IFERROR(MATCH($C98,$R$2:$R$5,0),0))</f>
        <v/>
      </c>
      <c r="F98">
        <f>IF($A98="","",MOD(ROW(),34))</f>
        <v/>
      </c>
      <c r="G98">
        <f>IF($A98="",NA(),IF($C98="Action",$B98,NA()))</f>
        <v/>
      </c>
      <c r="H98">
        <f>IF($A98="",NA(),IF($C98="Action",1+$F98*0.023,NA()))</f>
        <v/>
      </c>
      <c r="I98">
        <f>IF($A98="",NA(),IF($C98="Strategy",$B98,NA()))</f>
        <v/>
      </c>
      <c r="J98">
        <f>IF($A98="",NA(),IF($C98="Strategy",2+$F98*0.023,NA()))</f>
        <v/>
      </c>
      <c r="K98">
        <f>IF($A98="",NA(),IF($C98="Deckbuilder",$B98,NA()))</f>
        <v/>
      </c>
      <c r="L98">
        <f>IF($A98="",NA(),IF($C98="Deckbuilder",3+$F98*0.023,NA()))</f>
        <v/>
      </c>
      <c r="M98">
        <f>IF($A98="",NA(),IF($C98="Traditional",$B98,NA()))</f>
        <v/>
      </c>
      <c r="N98">
        <f>IF($A98="",NA(),IF($C98="Traditional",4+$F98*0.023,NA()))</f>
        <v/>
      </c>
      <c r="O98">
        <f>IF($A98="","",$D98+ROW()/1000000)</f>
        <v/>
      </c>
      <c r="P98">
        <f>IF(OR($A98="",games!$H98=""),"",games!$H98)</f>
        <v/>
      </c>
      <c r="Q98">
        <f>IF(OR($A98="",$P98&lt;&gt;"Yes"),"",$D98+ROW()/1000000)</f>
        <v/>
      </c>
      <c r="T98">
        <f>IF(connections!$A98="","",IFERROR(INDEX(games!$B$2:$B$950,MATCH(connections!$A98,games!$A$2:$A$950,0)),""))</f>
        <v/>
      </c>
      <c r="U98">
        <f>IF(connections!$A98="","",IFERROR(INDEX(games!$B$2:$B$950,MATCH(connections!$B98,games!$A$2:$A$950,0)),""))</f>
        <v/>
      </c>
      <c r="V98">
        <f>IF(OR($T98="",$U98=""),"",$U98-$T98)</f>
        <v/>
      </c>
    </row>
    <row r="99">
      <c r="A99">
        <f>IF(games!$A99="","",games!$A99)</f>
        <v/>
      </c>
      <c r="B99">
        <f>IF($A99="","",games!$B99)</f>
        <v/>
      </c>
      <c r="C99">
        <f>IF($A99="","",games!$C99)</f>
        <v/>
      </c>
      <c r="D99">
        <f>IF($A99="","",COUNTIF(connections!$A$2:$A$1400,$A99)+COUNTIF(connections!$B$2:$B$1400,$A99))</f>
        <v/>
      </c>
      <c r="E99">
        <f>IF($A99="","",IFERROR(MATCH($C99,$R$2:$R$5,0),0))</f>
        <v/>
      </c>
      <c r="F99">
        <f>IF($A99="","",MOD(ROW(),34))</f>
        <v/>
      </c>
      <c r="G99">
        <f>IF($A99="",NA(),IF($C99="Action",$B99,NA()))</f>
        <v/>
      </c>
      <c r="H99">
        <f>IF($A99="",NA(),IF($C99="Action",1+$F99*0.023,NA()))</f>
        <v/>
      </c>
      <c r="I99">
        <f>IF($A99="",NA(),IF($C99="Strategy",$B99,NA()))</f>
        <v/>
      </c>
      <c r="J99">
        <f>IF($A99="",NA(),IF($C99="Strategy",2+$F99*0.023,NA()))</f>
        <v/>
      </c>
      <c r="K99">
        <f>IF($A99="",NA(),IF($C99="Deckbuilder",$B99,NA()))</f>
        <v/>
      </c>
      <c r="L99">
        <f>IF($A99="",NA(),IF($C99="Deckbuilder",3+$F99*0.023,NA()))</f>
        <v/>
      </c>
      <c r="M99">
        <f>IF($A99="",NA(),IF($C99="Traditional",$B99,NA()))</f>
        <v/>
      </c>
      <c r="N99">
        <f>IF($A99="",NA(),IF($C99="Traditional",4+$F99*0.023,NA()))</f>
        <v/>
      </c>
      <c r="O99">
        <f>IF($A99="","",$D99+ROW()/1000000)</f>
        <v/>
      </c>
      <c r="P99">
        <f>IF(OR($A99="",games!$H99=""),"",games!$H99)</f>
        <v/>
      </c>
      <c r="Q99">
        <f>IF(OR($A99="",$P99&lt;&gt;"Yes"),"",$D99+ROW()/1000000)</f>
        <v/>
      </c>
      <c r="T99">
        <f>IF(connections!$A99="","",IFERROR(INDEX(games!$B$2:$B$950,MATCH(connections!$A99,games!$A$2:$A$950,0)),""))</f>
        <v/>
      </c>
      <c r="U99">
        <f>IF(connections!$A99="","",IFERROR(INDEX(games!$B$2:$B$950,MATCH(connections!$B99,games!$A$2:$A$950,0)),""))</f>
        <v/>
      </c>
      <c r="V99">
        <f>IF(OR($T99="",$U99=""),"",$U99-$T99)</f>
        <v/>
      </c>
    </row>
    <row r="100">
      <c r="A100">
        <f>IF(games!$A100="","",games!$A100)</f>
        <v/>
      </c>
      <c r="B100">
        <f>IF($A100="","",games!$B100)</f>
        <v/>
      </c>
      <c r="C100">
        <f>IF($A100="","",games!$C100)</f>
        <v/>
      </c>
      <c r="D100">
        <f>IF($A100="","",COUNTIF(connections!$A$2:$A$1400,$A100)+COUNTIF(connections!$B$2:$B$1400,$A100))</f>
        <v/>
      </c>
      <c r="E100">
        <f>IF($A100="","",IFERROR(MATCH($C100,$R$2:$R$5,0),0))</f>
        <v/>
      </c>
      <c r="F100">
        <f>IF($A100="","",MOD(ROW(),34))</f>
        <v/>
      </c>
      <c r="G100">
        <f>IF($A100="",NA(),IF($C100="Action",$B100,NA()))</f>
        <v/>
      </c>
      <c r="H100">
        <f>IF($A100="",NA(),IF($C100="Action",1+$F100*0.023,NA()))</f>
        <v/>
      </c>
      <c r="I100">
        <f>IF($A100="",NA(),IF($C100="Strategy",$B100,NA()))</f>
        <v/>
      </c>
      <c r="J100">
        <f>IF($A100="",NA(),IF($C100="Strategy",2+$F100*0.023,NA()))</f>
        <v/>
      </c>
      <c r="K100">
        <f>IF($A100="",NA(),IF($C100="Deckbuilder",$B100,NA()))</f>
        <v/>
      </c>
      <c r="L100">
        <f>IF($A100="",NA(),IF($C100="Deckbuilder",3+$F100*0.023,NA()))</f>
        <v/>
      </c>
      <c r="M100">
        <f>IF($A100="",NA(),IF($C100="Traditional",$B100,NA()))</f>
        <v/>
      </c>
      <c r="N100">
        <f>IF($A100="",NA(),IF($C100="Traditional",4+$F100*0.023,NA()))</f>
        <v/>
      </c>
      <c r="O100">
        <f>IF($A100="","",$D100+ROW()/1000000)</f>
        <v/>
      </c>
      <c r="P100">
        <f>IF(OR($A100="",games!$H100=""),"",games!$H100)</f>
        <v/>
      </c>
      <c r="Q100">
        <f>IF(OR($A100="",$P100&lt;&gt;"Yes"),"",$D100+ROW()/1000000)</f>
        <v/>
      </c>
      <c r="T100">
        <f>IF(connections!$A100="","",IFERROR(INDEX(games!$B$2:$B$950,MATCH(connections!$A100,games!$A$2:$A$950,0)),""))</f>
        <v/>
      </c>
      <c r="U100">
        <f>IF(connections!$A100="","",IFERROR(INDEX(games!$B$2:$B$950,MATCH(connections!$B100,games!$A$2:$A$950,0)),""))</f>
        <v/>
      </c>
      <c r="V100">
        <f>IF(OR($T100="",$U100=""),"",$U100-$T100)</f>
        <v/>
      </c>
    </row>
    <row r="101">
      <c r="A101">
        <f>IF(games!$A101="","",games!$A101)</f>
        <v/>
      </c>
      <c r="B101">
        <f>IF($A101="","",games!$B101)</f>
        <v/>
      </c>
      <c r="C101">
        <f>IF($A101="","",games!$C101)</f>
        <v/>
      </c>
      <c r="D101">
        <f>IF($A101="","",COUNTIF(connections!$A$2:$A$1400,$A101)+COUNTIF(connections!$B$2:$B$1400,$A101))</f>
        <v/>
      </c>
      <c r="E101">
        <f>IF($A101="","",IFERROR(MATCH($C101,$R$2:$R$5,0),0))</f>
        <v/>
      </c>
      <c r="F101">
        <f>IF($A101="","",MOD(ROW(),34))</f>
        <v/>
      </c>
      <c r="G101">
        <f>IF($A101="",NA(),IF($C101="Action",$B101,NA()))</f>
        <v/>
      </c>
      <c r="H101">
        <f>IF($A101="",NA(),IF($C101="Action",1+$F101*0.023,NA()))</f>
        <v/>
      </c>
      <c r="I101">
        <f>IF($A101="",NA(),IF($C101="Strategy",$B101,NA()))</f>
        <v/>
      </c>
      <c r="J101">
        <f>IF($A101="",NA(),IF($C101="Strategy",2+$F101*0.023,NA()))</f>
        <v/>
      </c>
      <c r="K101">
        <f>IF($A101="",NA(),IF($C101="Deckbuilder",$B101,NA()))</f>
        <v/>
      </c>
      <c r="L101">
        <f>IF($A101="",NA(),IF($C101="Deckbuilder",3+$F101*0.023,NA()))</f>
        <v/>
      </c>
      <c r="M101">
        <f>IF($A101="",NA(),IF($C101="Traditional",$B101,NA()))</f>
        <v/>
      </c>
      <c r="N101">
        <f>IF($A101="",NA(),IF($C101="Traditional",4+$F101*0.023,NA()))</f>
        <v/>
      </c>
      <c r="O101">
        <f>IF($A101="","",$D101+ROW()/1000000)</f>
        <v/>
      </c>
      <c r="P101">
        <f>IF(OR($A101="",games!$H101=""),"",games!$H101)</f>
        <v/>
      </c>
      <c r="Q101">
        <f>IF(OR($A101="",$P101&lt;&gt;"Yes"),"",$D101+ROW()/1000000)</f>
        <v/>
      </c>
      <c r="T101">
        <f>IF(connections!$A101="","",IFERROR(INDEX(games!$B$2:$B$950,MATCH(connections!$A101,games!$A$2:$A$950,0)),""))</f>
        <v/>
      </c>
      <c r="U101">
        <f>IF(connections!$A101="","",IFERROR(INDEX(games!$B$2:$B$950,MATCH(connections!$B101,games!$A$2:$A$950,0)),""))</f>
        <v/>
      </c>
      <c r="V101">
        <f>IF(OR($T101="",$U101=""),"",$U101-$T101)</f>
        <v/>
      </c>
    </row>
    <row r="102">
      <c r="A102">
        <f>IF(games!$A102="","",games!$A102)</f>
        <v/>
      </c>
      <c r="B102">
        <f>IF($A102="","",games!$B102)</f>
        <v/>
      </c>
      <c r="C102">
        <f>IF($A102="","",games!$C102)</f>
        <v/>
      </c>
      <c r="D102">
        <f>IF($A102="","",COUNTIF(connections!$A$2:$A$1400,$A102)+COUNTIF(connections!$B$2:$B$1400,$A102))</f>
        <v/>
      </c>
      <c r="E102">
        <f>IF($A102="","",IFERROR(MATCH($C102,$R$2:$R$5,0),0))</f>
        <v/>
      </c>
      <c r="F102">
        <f>IF($A102="","",MOD(ROW(),34))</f>
        <v/>
      </c>
      <c r="G102">
        <f>IF($A102="",NA(),IF($C102="Action",$B102,NA()))</f>
        <v/>
      </c>
      <c r="H102">
        <f>IF($A102="",NA(),IF($C102="Action",1+$F102*0.023,NA()))</f>
        <v/>
      </c>
      <c r="I102">
        <f>IF($A102="",NA(),IF($C102="Strategy",$B102,NA()))</f>
        <v/>
      </c>
      <c r="J102">
        <f>IF($A102="",NA(),IF($C102="Strategy",2+$F102*0.023,NA()))</f>
        <v/>
      </c>
      <c r="K102">
        <f>IF($A102="",NA(),IF($C102="Deckbuilder",$B102,NA()))</f>
        <v/>
      </c>
      <c r="L102">
        <f>IF($A102="",NA(),IF($C102="Deckbuilder",3+$F102*0.023,NA()))</f>
        <v/>
      </c>
      <c r="M102">
        <f>IF($A102="",NA(),IF($C102="Traditional",$B102,NA()))</f>
        <v/>
      </c>
      <c r="N102">
        <f>IF($A102="",NA(),IF($C102="Traditional",4+$F102*0.023,NA()))</f>
        <v/>
      </c>
      <c r="O102">
        <f>IF($A102="","",$D102+ROW()/1000000)</f>
        <v/>
      </c>
      <c r="P102">
        <f>IF(OR($A102="",games!$H102=""),"",games!$H102)</f>
        <v/>
      </c>
      <c r="Q102">
        <f>IF(OR($A102="",$P102&lt;&gt;"Yes"),"",$D102+ROW()/1000000)</f>
        <v/>
      </c>
      <c r="T102">
        <f>IF(connections!$A102="","",IFERROR(INDEX(games!$B$2:$B$950,MATCH(connections!$A102,games!$A$2:$A$950,0)),""))</f>
        <v/>
      </c>
      <c r="U102">
        <f>IF(connections!$A102="","",IFERROR(INDEX(games!$B$2:$B$950,MATCH(connections!$B102,games!$A$2:$A$950,0)),""))</f>
        <v/>
      </c>
      <c r="V102">
        <f>IF(OR($T102="",$U102=""),"",$U102-$T102)</f>
        <v/>
      </c>
    </row>
    <row r="103">
      <c r="A103">
        <f>IF(games!$A103="","",games!$A103)</f>
        <v/>
      </c>
      <c r="B103">
        <f>IF($A103="","",games!$B103)</f>
        <v/>
      </c>
      <c r="C103">
        <f>IF($A103="","",games!$C103)</f>
        <v/>
      </c>
      <c r="D103">
        <f>IF($A103="","",COUNTIF(connections!$A$2:$A$1400,$A103)+COUNTIF(connections!$B$2:$B$1400,$A103))</f>
        <v/>
      </c>
      <c r="E103">
        <f>IF($A103="","",IFERROR(MATCH($C103,$R$2:$R$5,0),0))</f>
        <v/>
      </c>
      <c r="F103">
        <f>IF($A103="","",MOD(ROW(),34))</f>
        <v/>
      </c>
      <c r="G103">
        <f>IF($A103="",NA(),IF($C103="Action",$B103,NA()))</f>
        <v/>
      </c>
      <c r="H103">
        <f>IF($A103="",NA(),IF($C103="Action",1+$F103*0.023,NA()))</f>
        <v/>
      </c>
      <c r="I103">
        <f>IF($A103="",NA(),IF($C103="Strategy",$B103,NA()))</f>
        <v/>
      </c>
      <c r="J103">
        <f>IF($A103="",NA(),IF($C103="Strategy",2+$F103*0.023,NA()))</f>
        <v/>
      </c>
      <c r="K103">
        <f>IF($A103="",NA(),IF($C103="Deckbuilder",$B103,NA()))</f>
        <v/>
      </c>
      <c r="L103">
        <f>IF($A103="",NA(),IF($C103="Deckbuilder",3+$F103*0.023,NA()))</f>
        <v/>
      </c>
      <c r="M103">
        <f>IF($A103="",NA(),IF($C103="Traditional",$B103,NA()))</f>
        <v/>
      </c>
      <c r="N103">
        <f>IF($A103="",NA(),IF($C103="Traditional",4+$F103*0.023,NA()))</f>
        <v/>
      </c>
      <c r="O103">
        <f>IF($A103="","",$D103+ROW()/1000000)</f>
        <v/>
      </c>
      <c r="P103">
        <f>IF(OR($A103="",games!$H103=""),"",games!$H103)</f>
        <v/>
      </c>
      <c r="Q103">
        <f>IF(OR($A103="",$P103&lt;&gt;"Yes"),"",$D103+ROW()/1000000)</f>
        <v/>
      </c>
      <c r="T103">
        <f>IF(connections!$A103="","",IFERROR(INDEX(games!$B$2:$B$950,MATCH(connections!$A103,games!$A$2:$A$950,0)),""))</f>
        <v/>
      </c>
      <c r="U103">
        <f>IF(connections!$A103="","",IFERROR(INDEX(games!$B$2:$B$950,MATCH(connections!$B103,games!$A$2:$A$950,0)),""))</f>
        <v/>
      </c>
      <c r="V103">
        <f>IF(OR($T103="",$U103=""),"",$U103-$T103)</f>
        <v/>
      </c>
    </row>
    <row r="104">
      <c r="A104">
        <f>IF(games!$A104="","",games!$A104)</f>
        <v/>
      </c>
      <c r="B104">
        <f>IF($A104="","",games!$B104)</f>
        <v/>
      </c>
      <c r="C104">
        <f>IF($A104="","",games!$C104)</f>
        <v/>
      </c>
      <c r="D104">
        <f>IF($A104="","",COUNTIF(connections!$A$2:$A$1400,$A104)+COUNTIF(connections!$B$2:$B$1400,$A104))</f>
        <v/>
      </c>
      <c r="E104">
        <f>IF($A104="","",IFERROR(MATCH($C104,$R$2:$R$5,0),0))</f>
        <v/>
      </c>
      <c r="F104">
        <f>IF($A104="","",MOD(ROW(),34))</f>
        <v/>
      </c>
      <c r="G104">
        <f>IF($A104="",NA(),IF($C104="Action",$B104,NA()))</f>
        <v/>
      </c>
      <c r="H104">
        <f>IF($A104="",NA(),IF($C104="Action",1+$F104*0.023,NA()))</f>
        <v/>
      </c>
      <c r="I104">
        <f>IF($A104="",NA(),IF($C104="Strategy",$B104,NA()))</f>
        <v/>
      </c>
      <c r="J104">
        <f>IF($A104="",NA(),IF($C104="Strategy",2+$F104*0.023,NA()))</f>
        <v/>
      </c>
      <c r="K104">
        <f>IF($A104="",NA(),IF($C104="Deckbuilder",$B104,NA()))</f>
        <v/>
      </c>
      <c r="L104">
        <f>IF($A104="",NA(),IF($C104="Deckbuilder",3+$F104*0.023,NA()))</f>
        <v/>
      </c>
      <c r="M104">
        <f>IF($A104="",NA(),IF($C104="Traditional",$B104,NA()))</f>
        <v/>
      </c>
      <c r="N104">
        <f>IF($A104="",NA(),IF($C104="Traditional",4+$F104*0.023,NA()))</f>
        <v/>
      </c>
      <c r="O104">
        <f>IF($A104="","",$D104+ROW()/1000000)</f>
        <v/>
      </c>
      <c r="P104">
        <f>IF(OR($A104="",games!$H104=""),"",games!$H104)</f>
        <v/>
      </c>
      <c r="Q104">
        <f>IF(OR($A104="",$P104&lt;&gt;"Yes"),"",$D104+ROW()/1000000)</f>
        <v/>
      </c>
      <c r="T104">
        <f>IF(connections!$A104="","",IFERROR(INDEX(games!$B$2:$B$950,MATCH(connections!$A104,games!$A$2:$A$950,0)),""))</f>
        <v/>
      </c>
      <c r="U104">
        <f>IF(connections!$A104="","",IFERROR(INDEX(games!$B$2:$B$950,MATCH(connections!$B104,games!$A$2:$A$950,0)),""))</f>
        <v/>
      </c>
      <c r="V104">
        <f>IF(OR($T104="",$U104=""),"",$U104-$T104)</f>
        <v/>
      </c>
    </row>
    <row r="105">
      <c r="A105">
        <f>IF(games!$A105="","",games!$A105)</f>
        <v/>
      </c>
      <c r="B105">
        <f>IF($A105="","",games!$B105)</f>
        <v/>
      </c>
      <c r="C105">
        <f>IF($A105="","",games!$C105)</f>
        <v/>
      </c>
      <c r="D105">
        <f>IF($A105="","",COUNTIF(connections!$A$2:$A$1400,$A105)+COUNTIF(connections!$B$2:$B$1400,$A105))</f>
        <v/>
      </c>
      <c r="E105">
        <f>IF($A105="","",IFERROR(MATCH($C105,$R$2:$R$5,0),0))</f>
        <v/>
      </c>
      <c r="F105">
        <f>IF($A105="","",MOD(ROW(),34))</f>
        <v/>
      </c>
      <c r="G105">
        <f>IF($A105="",NA(),IF($C105="Action",$B105,NA()))</f>
        <v/>
      </c>
      <c r="H105">
        <f>IF($A105="",NA(),IF($C105="Action",1+$F105*0.023,NA()))</f>
        <v/>
      </c>
      <c r="I105">
        <f>IF($A105="",NA(),IF($C105="Strategy",$B105,NA()))</f>
        <v/>
      </c>
      <c r="J105">
        <f>IF($A105="",NA(),IF($C105="Strategy",2+$F105*0.023,NA()))</f>
        <v/>
      </c>
      <c r="K105">
        <f>IF($A105="",NA(),IF($C105="Deckbuilder",$B105,NA()))</f>
        <v/>
      </c>
      <c r="L105">
        <f>IF($A105="",NA(),IF($C105="Deckbuilder",3+$F105*0.023,NA()))</f>
        <v/>
      </c>
      <c r="M105">
        <f>IF($A105="",NA(),IF($C105="Traditional",$B105,NA()))</f>
        <v/>
      </c>
      <c r="N105">
        <f>IF($A105="",NA(),IF($C105="Traditional",4+$F105*0.023,NA()))</f>
        <v/>
      </c>
      <c r="O105">
        <f>IF($A105="","",$D105+ROW()/1000000)</f>
        <v/>
      </c>
      <c r="P105">
        <f>IF(OR($A105="",games!$H105=""),"",games!$H105)</f>
        <v/>
      </c>
      <c r="Q105">
        <f>IF(OR($A105="",$P105&lt;&gt;"Yes"),"",$D105+ROW()/1000000)</f>
        <v/>
      </c>
      <c r="T105">
        <f>IF(connections!$A105="","",IFERROR(INDEX(games!$B$2:$B$950,MATCH(connections!$A105,games!$A$2:$A$950,0)),""))</f>
        <v/>
      </c>
      <c r="U105">
        <f>IF(connections!$A105="","",IFERROR(INDEX(games!$B$2:$B$950,MATCH(connections!$B105,games!$A$2:$A$950,0)),""))</f>
        <v/>
      </c>
      <c r="V105">
        <f>IF(OR($T105="",$U105=""),"",$U105-$T105)</f>
        <v/>
      </c>
    </row>
    <row r="106">
      <c r="A106">
        <f>IF(games!$A106="","",games!$A106)</f>
        <v/>
      </c>
      <c r="B106">
        <f>IF($A106="","",games!$B106)</f>
        <v/>
      </c>
      <c r="C106">
        <f>IF($A106="","",games!$C106)</f>
        <v/>
      </c>
      <c r="D106">
        <f>IF($A106="","",COUNTIF(connections!$A$2:$A$1400,$A106)+COUNTIF(connections!$B$2:$B$1400,$A106))</f>
        <v/>
      </c>
      <c r="E106">
        <f>IF($A106="","",IFERROR(MATCH($C106,$R$2:$R$5,0),0))</f>
        <v/>
      </c>
      <c r="F106">
        <f>IF($A106="","",MOD(ROW(),34))</f>
        <v/>
      </c>
      <c r="G106">
        <f>IF($A106="",NA(),IF($C106="Action",$B106,NA()))</f>
        <v/>
      </c>
      <c r="H106">
        <f>IF($A106="",NA(),IF($C106="Action",1+$F106*0.023,NA()))</f>
        <v/>
      </c>
      <c r="I106">
        <f>IF($A106="",NA(),IF($C106="Strategy",$B106,NA()))</f>
        <v/>
      </c>
      <c r="J106">
        <f>IF($A106="",NA(),IF($C106="Strategy",2+$F106*0.023,NA()))</f>
        <v/>
      </c>
      <c r="K106">
        <f>IF($A106="",NA(),IF($C106="Deckbuilder",$B106,NA()))</f>
        <v/>
      </c>
      <c r="L106">
        <f>IF($A106="",NA(),IF($C106="Deckbuilder",3+$F106*0.023,NA()))</f>
        <v/>
      </c>
      <c r="M106">
        <f>IF($A106="",NA(),IF($C106="Traditional",$B106,NA()))</f>
        <v/>
      </c>
      <c r="N106">
        <f>IF($A106="",NA(),IF($C106="Traditional",4+$F106*0.023,NA()))</f>
        <v/>
      </c>
      <c r="O106">
        <f>IF($A106="","",$D106+ROW()/1000000)</f>
        <v/>
      </c>
      <c r="P106">
        <f>IF(OR($A106="",games!$H106=""),"",games!$H106)</f>
        <v/>
      </c>
      <c r="Q106">
        <f>IF(OR($A106="",$P106&lt;&gt;"Yes"),"",$D106+ROW()/1000000)</f>
        <v/>
      </c>
      <c r="T106">
        <f>IF(connections!$A106="","",IFERROR(INDEX(games!$B$2:$B$950,MATCH(connections!$A106,games!$A$2:$A$950,0)),""))</f>
        <v/>
      </c>
      <c r="U106">
        <f>IF(connections!$A106="","",IFERROR(INDEX(games!$B$2:$B$950,MATCH(connections!$B106,games!$A$2:$A$950,0)),""))</f>
        <v/>
      </c>
      <c r="V106">
        <f>IF(OR($T106="",$U106=""),"",$U106-$T106)</f>
        <v/>
      </c>
    </row>
    <row r="107">
      <c r="A107">
        <f>IF(games!$A107="","",games!$A107)</f>
        <v/>
      </c>
      <c r="B107">
        <f>IF($A107="","",games!$B107)</f>
        <v/>
      </c>
      <c r="C107">
        <f>IF($A107="","",games!$C107)</f>
        <v/>
      </c>
      <c r="D107">
        <f>IF($A107="","",COUNTIF(connections!$A$2:$A$1400,$A107)+COUNTIF(connections!$B$2:$B$1400,$A107))</f>
        <v/>
      </c>
      <c r="E107">
        <f>IF($A107="","",IFERROR(MATCH($C107,$R$2:$R$5,0),0))</f>
        <v/>
      </c>
      <c r="F107">
        <f>IF($A107="","",MOD(ROW(),34))</f>
        <v/>
      </c>
      <c r="G107">
        <f>IF($A107="",NA(),IF($C107="Action",$B107,NA()))</f>
        <v/>
      </c>
      <c r="H107">
        <f>IF($A107="",NA(),IF($C107="Action",1+$F107*0.023,NA()))</f>
        <v/>
      </c>
      <c r="I107">
        <f>IF($A107="",NA(),IF($C107="Strategy",$B107,NA()))</f>
        <v/>
      </c>
      <c r="J107">
        <f>IF($A107="",NA(),IF($C107="Strategy",2+$F107*0.023,NA()))</f>
        <v/>
      </c>
      <c r="K107">
        <f>IF($A107="",NA(),IF($C107="Deckbuilder",$B107,NA()))</f>
        <v/>
      </c>
      <c r="L107">
        <f>IF($A107="",NA(),IF($C107="Deckbuilder",3+$F107*0.023,NA()))</f>
        <v/>
      </c>
      <c r="M107">
        <f>IF($A107="",NA(),IF($C107="Traditional",$B107,NA()))</f>
        <v/>
      </c>
      <c r="N107">
        <f>IF($A107="",NA(),IF($C107="Traditional",4+$F107*0.023,NA()))</f>
        <v/>
      </c>
      <c r="O107">
        <f>IF($A107="","",$D107+ROW()/1000000)</f>
        <v/>
      </c>
      <c r="P107">
        <f>IF(OR($A107="",games!$H107=""),"",games!$H107)</f>
        <v/>
      </c>
      <c r="Q107">
        <f>IF(OR($A107="",$P107&lt;&gt;"Yes"),"",$D107+ROW()/1000000)</f>
        <v/>
      </c>
      <c r="T107">
        <f>IF(connections!$A107="","",IFERROR(INDEX(games!$B$2:$B$950,MATCH(connections!$A107,games!$A$2:$A$950,0)),""))</f>
        <v/>
      </c>
      <c r="U107">
        <f>IF(connections!$A107="","",IFERROR(INDEX(games!$B$2:$B$950,MATCH(connections!$B107,games!$A$2:$A$950,0)),""))</f>
        <v/>
      </c>
      <c r="V107">
        <f>IF(OR($T107="",$U107=""),"",$U107-$T107)</f>
        <v/>
      </c>
    </row>
    <row r="108">
      <c r="A108">
        <f>IF(games!$A108="","",games!$A108)</f>
        <v/>
      </c>
      <c r="B108">
        <f>IF($A108="","",games!$B108)</f>
        <v/>
      </c>
      <c r="C108">
        <f>IF($A108="","",games!$C108)</f>
        <v/>
      </c>
      <c r="D108">
        <f>IF($A108="","",COUNTIF(connections!$A$2:$A$1400,$A108)+COUNTIF(connections!$B$2:$B$1400,$A108))</f>
        <v/>
      </c>
      <c r="E108">
        <f>IF($A108="","",IFERROR(MATCH($C108,$R$2:$R$5,0),0))</f>
        <v/>
      </c>
      <c r="F108">
        <f>IF($A108="","",MOD(ROW(),34))</f>
        <v/>
      </c>
      <c r="G108">
        <f>IF($A108="",NA(),IF($C108="Action",$B108,NA()))</f>
        <v/>
      </c>
      <c r="H108">
        <f>IF($A108="",NA(),IF($C108="Action",1+$F108*0.023,NA()))</f>
        <v/>
      </c>
      <c r="I108">
        <f>IF($A108="",NA(),IF($C108="Strategy",$B108,NA()))</f>
        <v/>
      </c>
      <c r="J108">
        <f>IF($A108="",NA(),IF($C108="Strategy",2+$F108*0.023,NA()))</f>
        <v/>
      </c>
      <c r="K108">
        <f>IF($A108="",NA(),IF($C108="Deckbuilder",$B108,NA()))</f>
        <v/>
      </c>
      <c r="L108">
        <f>IF($A108="",NA(),IF($C108="Deckbuilder",3+$F108*0.023,NA()))</f>
        <v/>
      </c>
      <c r="M108">
        <f>IF($A108="",NA(),IF($C108="Traditional",$B108,NA()))</f>
        <v/>
      </c>
      <c r="N108">
        <f>IF($A108="",NA(),IF($C108="Traditional",4+$F108*0.023,NA()))</f>
        <v/>
      </c>
      <c r="O108">
        <f>IF($A108="","",$D108+ROW()/1000000)</f>
        <v/>
      </c>
      <c r="P108">
        <f>IF(OR($A108="",games!$H108=""),"",games!$H108)</f>
        <v/>
      </c>
      <c r="Q108">
        <f>IF(OR($A108="",$P108&lt;&gt;"Yes"),"",$D108+ROW()/1000000)</f>
        <v/>
      </c>
      <c r="T108">
        <f>IF(connections!$A108="","",IFERROR(INDEX(games!$B$2:$B$950,MATCH(connections!$A108,games!$A$2:$A$950,0)),""))</f>
        <v/>
      </c>
      <c r="U108">
        <f>IF(connections!$A108="","",IFERROR(INDEX(games!$B$2:$B$950,MATCH(connections!$B108,games!$A$2:$A$950,0)),""))</f>
        <v/>
      </c>
      <c r="V108">
        <f>IF(OR($T108="",$U108=""),"",$U108-$T108)</f>
        <v/>
      </c>
    </row>
    <row r="109">
      <c r="A109">
        <f>IF(games!$A109="","",games!$A109)</f>
        <v/>
      </c>
      <c r="B109">
        <f>IF($A109="","",games!$B109)</f>
        <v/>
      </c>
      <c r="C109">
        <f>IF($A109="","",games!$C109)</f>
        <v/>
      </c>
      <c r="D109">
        <f>IF($A109="","",COUNTIF(connections!$A$2:$A$1400,$A109)+COUNTIF(connections!$B$2:$B$1400,$A109))</f>
        <v/>
      </c>
      <c r="E109">
        <f>IF($A109="","",IFERROR(MATCH($C109,$R$2:$R$5,0),0))</f>
        <v/>
      </c>
      <c r="F109">
        <f>IF($A109="","",MOD(ROW(),34))</f>
        <v/>
      </c>
      <c r="G109">
        <f>IF($A109="",NA(),IF($C109="Action",$B109,NA()))</f>
        <v/>
      </c>
      <c r="H109">
        <f>IF($A109="",NA(),IF($C109="Action",1+$F109*0.023,NA()))</f>
        <v/>
      </c>
      <c r="I109">
        <f>IF($A109="",NA(),IF($C109="Strategy",$B109,NA()))</f>
        <v/>
      </c>
      <c r="J109">
        <f>IF($A109="",NA(),IF($C109="Strategy",2+$F109*0.023,NA()))</f>
        <v/>
      </c>
      <c r="K109">
        <f>IF($A109="",NA(),IF($C109="Deckbuilder",$B109,NA()))</f>
        <v/>
      </c>
      <c r="L109">
        <f>IF($A109="",NA(),IF($C109="Deckbuilder",3+$F109*0.023,NA()))</f>
        <v/>
      </c>
      <c r="M109">
        <f>IF($A109="",NA(),IF($C109="Traditional",$B109,NA()))</f>
        <v/>
      </c>
      <c r="N109">
        <f>IF($A109="",NA(),IF($C109="Traditional",4+$F109*0.023,NA()))</f>
        <v/>
      </c>
      <c r="O109">
        <f>IF($A109="","",$D109+ROW()/1000000)</f>
        <v/>
      </c>
      <c r="P109">
        <f>IF(OR($A109="",games!$H109=""),"",games!$H109)</f>
        <v/>
      </c>
      <c r="Q109">
        <f>IF(OR($A109="",$P109&lt;&gt;"Yes"),"",$D109+ROW()/1000000)</f>
        <v/>
      </c>
      <c r="T109">
        <f>IF(connections!$A109="","",IFERROR(INDEX(games!$B$2:$B$950,MATCH(connections!$A109,games!$A$2:$A$950,0)),""))</f>
        <v/>
      </c>
      <c r="U109">
        <f>IF(connections!$A109="","",IFERROR(INDEX(games!$B$2:$B$950,MATCH(connections!$B109,games!$A$2:$A$950,0)),""))</f>
        <v/>
      </c>
      <c r="V109">
        <f>IF(OR($T109="",$U109=""),"",$U109-$T109)</f>
        <v/>
      </c>
    </row>
    <row r="110">
      <c r="A110">
        <f>IF(games!$A110="","",games!$A110)</f>
        <v/>
      </c>
      <c r="B110">
        <f>IF($A110="","",games!$B110)</f>
        <v/>
      </c>
      <c r="C110">
        <f>IF($A110="","",games!$C110)</f>
        <v/>
      </c>
      <c r="D110">
        <f>IF($A110="","",COUNTIF(connections!$A$2:$A$1400,$A110)+COUNTIF(connections!$B$2:$B$1400,$A110))</f>
        <v/>
      </c>
      <c r="E110">
        <f>IF($A110="","",IFERROR(MATCH($C110,$R$2:$R$5,0),0))</f>
        <v/>
      </c>
      <c r="F110">
        <f>IF($A110="","",MOD(ROW(),34))</f>
        <v/>
      </c>
      <c r="G110">
        <f>IF($A110="",NA(),IF($C110="Action",$B110,NA()))</f>
        <v/>
      </c>
      <c r="H110">
        <f>IF($A110="",NA(),IF($C110="Action",1+$F110*0.023,NA()))</f>
        <v/>
      </c>
      <c r="I110">
        <f>IF($A110="",NA(),IF($C110="Strategy",$B110,NA()))</f>
        <v/>
      </c>
      <c r="J110">
        <f>IF($A110="",NA(),IF($C110="Strategy",2+$F110*0.023,NA()))</f>
        <v/>
      </c>
      <c r="K110">
        <f>IF($A110="",NA(),IF($C110="Deckbuilder",$B110,NA()))</f>
        <v/>
      </c>
      <c r="L110">
        <f>IF($A110="",NA(),IF($C110="Deckbuilder",3+$F110*0.023,NA()))</f>
        <v/>
      </c>
      <c r="M110">
        <f>IF($A110="",NA(),IF($C110="Traditional",$B110,NA()))</f>
        <v/>
      </c>
      <c r="N110">
        <f>IF($A110="",NA(),IF($C110="Traditional",4+$F110*0.023,NA()))</f>
        <v/>
      </c>
      <c r="O110">
        <f>IF($A110="","",$D110+ROW()/1000000)</f>
        <v/>
      </c>
      <c r="P110">
        <f>IF(OR($A110="",games!$H110=""),"",games!$H110)</f>
        <v/>
      </c>
      <c r="Q110">
        <f>IF(OR($A110="",$P110&lt;&gt;"Yes"),"",$D110+ROW()/1000000)</f>
        <v/>
      </c>
      <c r="T110">
        <f>IF(connections!$A110="","",IFERROR(INDEX(games!$B$2:$B$950,MATCH(connections!$A110,games!$A$2:$A$950,0)),""))</f>
        <v/>
      </c>
      <c r="U110">
        <f>IF(connections!$A110="","",IFERROR(INDEX(games!$B$2:$B$950,MATCH(connections!$B110,games!$A$2:$A$950,0)),""))</f>
        <v/>
      </c>
      <c r="V110">
        <f>IF(OR($T110="",$U110=""),"",$U110-$T110)</f>
        <v/>
      </c>
    </row>
    <row r="111">
      <c r="A111">
        <f>IF(games!$A111="","",games!$A111)</f>
        <v/>
      </c>
      <c r="B111">
        <f>IF($A111="","",games!$B111)</f>
        <v/>
      </c>
      <c r="C111">
        <f>IF($A111="","",games!$C111)</f>
        <v/>
      </c>
      <c r="D111">
        <f>IF($A111="","",COUNTIF(connections!$A$2:$A$1400,$A111)+COUNTIF(connections!$B$2:$B$1400,$A111))</f>
        <v/>
      </c>
      <c r="E111">
        <f>IF($A111="","",IFERROR(MATCH($C111,$R$2:$R$5,0),0))</f>
        <v/>
      </c>
      <c r="F111">
        <f>IF($A111="","",MOD(ROW(),34))</f>
        <v/>
      </c>
      <c r="G111">
        <f>IF($A111="",NA(),IF($C111="Action",$B111,NA()))</f>
        <v/>
      </c>
      <c r="H111">
        <f>IF($A111="",NA(),IF($C111="Action",1+$F111*0.023,NA()))</f>
        <v/>
      </c>
      <c r="I111">
        <f>IF($A111="",NA(),IF($C111="Strategy",$B111,NA()))</f>
        <v/>
      </c>
      <c r="J111">
        <f>IF($A111="",NA(),IF($C111="Strategy",2+$F111*0.023,NA()))</f>
        <v/>
      </c>
      <c r="K111">
        <f>IF($A111="",NA(),IF($C111="Deckbuilder",$B111,NA()))</f>
        <v/>
      </c>
      <c r="L111">
        <f>IF($A111="",NA(),IF($C111="Deckbuilder",3+$F111*0.023,NA()))</f>
        <v/>
      </c>
      <c r="M111">
        <f>IF($A111="",NA(),IF($C111="Traditional",$B111,NA()))</f>
        <v/>
      </c>
      <c r="N111">
        <f>IF($A111="",NA(),IF($C111="Traditional",4+$F111*0.023,NA()))</f>
        <v/>
      </c>
      <c r="O111">
        <f>IF($A111="","",$D111+ROW()/1000000)</f>
        <v/>
      </c>
      <c r="P111">
        <f>IF(OR($A111="",games!$H111=""),"",games!$H111)</f>
        <v/>
      </c>
      <c r="Q111">
        <f>IF(OR($A111="",$P111&lt;&gt;"Yes"),"",$D111+ROW()/1000000)</f>
        <v/>
      </c>
      <c r="T111">
        <f>IF(connections!$A111="","",IFERROR(INDEX(games!$B$2:$B$950,MATCH(connections!$A111,games!$A$2:$A$950,0)),""))</f>
        <v/>
      </c>
      <c r="U111">
        <f>IF(connections!$A111="","",IFERROR(INDEX(games!$B$2:$B$950,MATCH(connections!$B111,games!$A$2:$A$950,0)),""))</f>
        <v/>
      </c>
      <c r="V111">
        <f>IF(OR($T111="",$U111=""),"",$U111-$T111)</f>
        <v/>
      </c>
    </row>
    <row r="112">
      <c r="A112">
        <f>IF(games!$A112="","",games!$A112)</f>
        <v/>
      </c>
      <c r="B112">
        <f>IF($A112="","",games!$B112)</f>
        <v/>
      </c>
      <c r="C112">
        <f>IF($A112="","",games!$C112)</f>
        <v/>
      </c>
      <c r="D112">
        <f>IF($A112="","",COUNTIF(connections!$A$2:$A$1400,$A112)+COUNTIF(connections!$B$2:$B$1400,$A112))</f>
        <v/>
      </c>
      <c r="E112">
        <f>IF($A112="","",IFERROR(MATCH($C112,$R$2:$R$5,0),0))</f>
        <v/>
      </c>
      <c r="F112">
        <f>IF($A112="","",MOD(ROW(),34))</f>
        <v/>
      </c>
      <c r="G112">
        <f>IF($A112="",NA(),IF($C112="Action",$B112,NA()))</f>
        <v/>
      </c>
      <c r="H112">
        <f>IF($A112="",NA(),IF($C112="Action",1+$F112*0.023,NA()))</f>
        <v/>
      </c>
      <c r="I112">
        <f>IF($A112="",NA(),IF($C112="Strategy",$B112,NA()))</f>
        <v/>
      </c>
      <c r="J112">
        <f>IF($A112="",NA(),IF($C112="Strategy",2+$F112*0.023,NA()))</f>
        <v/>
      </c>
      <c r="K112">
        <f>IF($A112="",NA(),IF($C112="Deckbuilder",$B112,NA()))</f>
        <v/>
      </c>
      <c r="L112">
        <f>IF($A112="",NA(),IF($C112="Deckbuilder",3+$F112*0.023,NA()))</f>
        <v/>
      </c>
      <c r="M112">
        <f>IF($A112="",NA(),IF($C112="Traditional",$B112,NA()))</f>
        <v/>
      </c>
      <c r="N112">
        <f>IF($A112="",NA(),IF($C112="Traditional",4+$F112*0.023,NA()))</f>
        <v/>
      </c>
      <c r="O112">
        <f>IF($A112="","",$D112+ROW()/1000000)</f>
        <v/>
      </c>
      <c r="P112">
        <f>IF(OR($A112="",games!$H112=""),"",games!$H112)</f>
        <v/>
      </c>
      <c r="Q112">
        <f>IF(OR($A112="",$P112&lt;&gt;"Yes"),"",$D112+ROW()/1000000)</f>
        <v/>
      </c>
      <c r="T112">
        <f>IF(connections!$A112="","",IFERROR(INDEX(games!$B$2:$B$950,MATCH(connections!$A112,games!$A$2:$A$950,0)),""))</f>
        <v/>
      </c>
      <c r="U112">
        <f>IF(connections!$A112="","",IFERROR(INDEX(games!$B$2:$B$950,MATCH(connections!$B112,games!$A$2:$A$950,0)),""))</f>
        <v/>
      </c>
      <c r="V112">
        <f>IF(OR($T112="",$U112=""),"",$U112-$T112)</f>
        <v/>
      </c>
    </row>
    <row r="113">
      <c r="A113">
        <f>IF(games!$A113="","",games!$A113)</f>
        <v/>
      </c>
      <c r="B113">
        <f>IF($A113="","",games!$B113)</f>
        <v/>
      </c>
      <c r="C113">
        <f>IF($A113="","",games!$C113)</f>
        <v/>
      </c>
      <c r="D113">
        <f>IF($A113="","",COUNTIF(connections!$A$2:$A$1400,$A113)+COUNTIF(connections!$B$2:$B$1400,$A113))</f>
        <v/>
      </c>
      <c r="E113">
        <f>IF($A113="","",IFERROR(MATCH($C113,$R$2:$R$5,0),0))</f>
        <v/>
      </c>
      <c r="F113">
        <f>IF($A113="","",MOD(ROW(),34))</f>
        <v/>
      </c>
      <c r="G113">
        <f>IF($A113="",NA(),IF($C113="Action",$B113,NA()))</f>
        <v/>
      </c>
      <c r="H113">
        <f>IF($A113="",NA(),IF($C113="Action",1+$F113*0.023,NA()))</f>
        <v/>
      </c>
      <c r="I113">
        <f>IF($A113="",NA(),IF($C113="Strategy",$B113,NA()))</f>
        <v/>
      </c>
      <c r="J113">
        <f>IF($A113="",NA(),IF($C113="Strategy",2+$F113*0.023,NA()))</f>
        <v/>
      </c>
      <c r="K113">
        <f>IF($A113="",NA(),IF($C113="Deckbuilder",$B113,NA()))</f>
        <v/>
      </c>
      <c r="L113">
        <f>IF($A113="",NA(),IF($C113="Deckbuilder",3+$F113*0.023,NA()))</f>
        <v/>
      </c>
      <c r="M113">
        <f>IF($A113="",NA(),IF($C113="Traditional",$B113,NA()))</f>
        <v/>
      </c>
      <c r="N113">
        <f>IF($A113="",NA(),IF($C113="Traditional",4+$F113*0.023,NA()))</f>
        <v/>
      </c>
      <c r="O113">
        <f>IF($A113="","",$D113+ROW()/1000000)</f>
        <v/>
      </c>
      <c r="P113">
        <f>IF(OR($A113="",games!$H113=""),"",games!$H113)</f>
        <v/>
      </c>
      <c r="Q113">
        <f>IF(OR($A113="",$P113&lt;&gt;"Yes"),"",$D113+ROW()/1000000)</f>
        <v/>
      </c>
      <c r="T113">
        <f>IF(connections!$A113="","",IFERROR(INDEX(games!$B$2:$B$950,MATCH(connections!$A113,games!$A$2:$A$950,0)),""))</f>
        <v/>
      </c>
      <c r="U113">
        <f>IF(connections!$A113="","",IFERROR(INDEX(games!$B$2:$B$950,MATCH(connections!$B113,games!$A$2:$A$950,0)),""))</f>
        <v/>
      </c>
      <c r="V113">
        <f>IF(OR($T113="",$U113=""),"",$U113-$T113)</f>
        <v/>
      </c>
    </row>
    <row r="114">
      <c r="A114">
        <f>IF(games!$A114="","",games!$A114)</f>
        <v/>
      </c>
      <c r="B114">
        <f>IF($A114="","",games!$B114)</f>
        <v/>
      </c>
      <c r="C114">
        <f>IF($A114="","",games!$C114)</f>
        <v/>
      </c>
      <c r="D114">
        <f>IF($A114="","",COUNTIF(connections!$A$2:$A$1400,$A114)+COUNTIF(connections!$B$2:$B$1400,$A114))</f>
        <v/>
      </c>
      <c r="E114">
        <f>IF($A114="","",IFERROR(MATCH($C114,$R$2:$R$5,0),0))</f>
        <v/>
      </c>
      <c r="F114">
        <f>IF($A114="","",MOD(ROW(),34))</f>
        <v/>
      </c>
      <c r="G114">
        <f>IF($A114="",NA(),IF($C114="Action",$B114,NA()))</f>
        <v/>
      </c>
      <c r="H114">
        <f>IF($A114="",NA(),IF($C114="Action",1+$F114*0.023,NA()))</f>
        <v/>
      </c>
      <c r="I114">
        <f>IF($A114="",NA(),IF($C114="Strategy",$B114,NA()))</f>
        <v/>
      </c>
      <c r="J114">
        <f>IF($A114="",NA(),IF($C114="Strategy",2+$F114*0.023,NA()))</f>
        <v/>
      </c>
      <c r="K114">
        <f>IF($A114="",NA(),IF($C114="Deckbuilder",$B114,NA()))</f>
        <v/>
      </c>
      <c r="L114">
        <f>IF($A114="",NA(),IF($C114="Deckbuilder",3+$F114*0.023,NA()))</f>
        <v/>
      </c>
      <c r="M114">
        <f>IF($A114="",NA(),IF($C114="Traditional",$B114,NA()))</f>
        <v/>
      </c>
      <c r="N114">
        <f>IF($A114="",NA(),IF($C114="Traditional",4+$F114*0.023,NA()))</f>
        <v/>
      </c>
      <c r="O114">
        <f>IF($A114="","",$D114+ROW()/1000000)</f>
        <v/>
      </c>
      <c r="P114">
        <f>IF(OR($A114="",games!$H114=""),"",games!$H114)</f>
        <v/>
      </c>
      <c r="Q114">
        <f>IF(OR($A114="",$P114&lt;&gt;"Yes"),"",$D114+ROW()/1000000)</f>
        <v/>
      </c>
      <c r="T114">
        <f>IF(connections!$A114="","",IFERROR(INDEX(games!$B$2:$B$950,MATCH(connections!$A114,games!$A$2:$A$950,0)),""))</f>
        <v/>
      </c>
      <c r="U114">
        <f>IF(connections!$A114="","",IFERROR(INDEX(games!$B$2:$B$950,MATCH(connections!$B114,games!$A$2:$A$950,0)),""))</f>
        <v/>
      </c>
      <c r="V114">
        <f>IF(OR($T114="",$U114=""),"",$U114-$T114)</f>
        <v/>
      </c>
    </row>
    <row r="115">
      <c r="A115">
        <f>IF(games!$A115="","",games!$A115)</f>
        <v/>
      </c>
      <c r="B115">
        <f>IF($A115="","",games!$B115)</f>
        <v/>
      </c>
      <c r="C115">
        <f>IF($A115="","",games!$C115)</f>
        <v/>
      </c>
      <c r="D115">
        <f>IF($A115="","",COUNTIF(connections!$A$2:$A$1400,$A115)+COUNTIF(connections!$B$2:$B$1400,$A115))</f>
        <v/>
      </c>
      <c r="E115">
        <f>IF($A115="","",IFERROR(MATCH($C115,$R$2:$R$5,0),0))</f>
        <v/>
      </c>
      <c r="F115">
        <f>IF($A115="","",MOD(ROW(),34))</f>
        <v/>
      </c>
      <c r="G115">
        <f>IF($A115="",NA(),IF($C115="Action",$B115,NA()))</f>
        <v/>
      </c>
      <c r="H115">
        <f>IF($A115="",NA(),IF($C115="Action",1+$F115*0.023,NA()))</f>
        <v/>
      </c>
      <c r="I115">
        <f>IF($A115="",NA(),IF($C115="Strategy",$B115,NA()))</f>
        <v/>
      </c>
      <c r="J115">
        <f>IF($A115="",NA(),IF($C115="Strategy",2+$F115*0.023,NA()))</f>
        <v/>
      </c>
      <c r="K115">
        <f>IF($A115="",NA(),IF($C115="Deckbuilder",$B115,NA()))</f>
        <v/>
      </c>
      <c r="L115">
        <f>IF($A115="",NA(),IF($C115="Deckbuilder",3+$F115*0.023,NA()))</f>
        <v/>
      </c>
      <c r="M115">
        <f>IF($A115="",NA(),IF($C115="Traditional",$B115,NA()))</f>
        <v/>
      </c>
      <c r="N115">
        <f>IF($A115="",NA(),IF($C115="Traditional",4+$F115*0.023,NA()))</f>
        <v/>
      </c>
      <c r="O115">
        <f>IF($A115="","",$D115+ROW()/1000000)</f>
        <v/>
      </c>
      <c r="P115">
        <f>IF(OR($A115="",games!$H115=""),"",games!$H115)</f>
        <v/>
      </c>
      <c r="Q115">
        <f>IF(OR($A115="",$P115&lt;&gt;"Yes"),"",$D115+ROW()/1000000)</f>
        <v/>
      </c>
      <c r="T115">
        <f>IF(connections!$A115="","",IFERROR(INDEX(games!$B$2:$B$950,MATCH(connections!$A115,games!$A$2:$A$950,0)),""))</f>
        <v/>
      </c>
      <c r="U115">
        <f>IF(connections!$A115="","",IFERROR(INDEX(games!$B$2:$B$950,MATCH(connections!$B115,games!$A$2:$A$950,0)),""))</f>
        <v/>
      </c>
      <c r="V115">
        <f>IF(OR($T115="",$U115=""),"",$U115-$T115)</f>
        <v/>
      </c>
    </row>
    <row r="116">
      <c r="A116">
        <f>IF(games!$A116="","",games!$A116)</f>
        <v/>
      </c>
      <c r="B116">
        <f>IF($A116="","",games!$B116)</f>
        <v/>
      </c>
      <c r="C116">
        <f>IF($A116="","",games!$C116)</f>
        <v/>
      </c>
      <c r="D116">
        <f>IF($A116="","",COUNTIF(connections!$A$2:$A$1400,$A116)+COUNTIF(connections!$B$2:$B$1400,$A116))</f>
        <v/>
      </c>
      <c r="E116">
        <f>IF($A116="","",IFERROR(MATCH($C116,$R$2:$R$5,0),0))</f>
        <v/>
      </c>
      <c r="F116">
        <f>IF($A116="","",MOD(ROW(),34))</f>
        <v/>
      </c>
      <c r="G116">
        <f>IF($A116="",NA(),IF($C116="Action",$B116,NA()))</f>
        <v/>
      </c>
      <c r="H116">
        <f>IF($A116="",NA(),IF($C116="Action",1+$F116*0.023,NA()))</f>
        <v/>
      </c>
      <c r="I116">
        <f>IF($A116="",NA(),IF($C116="Strategy",$B116,NA()))</f>
        <v/>
      </c>
      <c r="J116">
        <f>IF($A116="",NA(),IF($C116="Strategy",2+$F116*0.023,NA()))</f>
        <v/>
      </c>
      <c r="K116">
        <f>IF($A116="",NA(),IF($C116="Deckbuilder",$B116,NA()))</f>
        <v/>
      </c>
      <c r="L116">
        <f>IF($A116="",NA(),IF($C116="Deckbuilder",3+$F116*0.023,NA()))</f>
        <v/>
      </c>
      <c r="M116">
        <f>IF($A116="",NA(),IF($C116="Traditional",$B116,NA()))</f>
        <v/>
      </c>
      <c r="N116">
        <f>IF($A116="",NA(),IF($C116="Traditional",4+$F116*0.023,NA()))</f>
        <v/>
      </c>
      <c r="O116">
        <f>IF($A116="","",$D116+ROW()/1000000)</f>
        <v/>
      </c>
      <c r="P116">
        <f>IF(OR($A116="",games!$H116=""),"",games!$H116)</f>
        <v/>
      </c>
      <c r="Q116">
        <f>IF(OR($A116="",$P116&lt;&gt;"Yes"),"",$D116+ROW()/1000000)</f>
        <v/>
      </c>
      <c r="T116">
        <f>IF(connections!$A116="","",IFERROR(INDEX(games!$B$2:$B$950,MATCH(connections!$A116,games!$A$2:$A$950,0)),""))</f>
        <v/>
      </c>
      <c r="U116">
        <f>IF(connections!$A116="","",IFERROR(INDEX(games!$B$2:$B$950,MATCH(connections!$B116,games!$A$2:$A$950,0)),""))</f>
        <v/>
      </c>
      <c r="V116">
        <f>IF(OR($T116="",$U116=""),"",$U116-$T116)</f>
        <v/>
      </c>
    </row>
    <row r="117">
      <c r="A117">
        <f>IF(games!$A117="","",games!$A117)</f>
        <v/>
      </c>
      <c r="B117">
        <f>IF($A117="","",games!$B117)</f>
        <v/>
      </c>
      <c r="C117">
        <f>IF($A117="","",games!$C117)</f>
        <v/>
      </c>
      <c r="D117">
        <f>IF($A117="","",COUNTIF(connections!$A$2:$A$1400,$A117)+COUNTIF(connections!$B$2:$B$1400,$A117))</f>
        <v/>
      </c>
      <c r="E117">
        <f>IF($A117="","",IFERROR(MATCH($C117,$R$2:$R$5,0),0))</f>
        <v/>
      </c>
      <c r="F117">
        <f>IF($A117="","",MOD(ROW(),34))</f>
        <v/>
      </c>
      <c r="G117">
        <f>IF($A117="",NA(),IF($C117="Action",$B117,NA()))</f>
        <v/>
      </c>
      <c r="H117">
        <f>IF($A117="",NA(),IF($C117="Action",1+$F117*0.023,NA()))</f>
        <v/>
      </c>
      <c r="I117">
        <f>IF($A117="",NA(),IF($C117="Strategy",$B117,NA()))</f>
        <v/>
      </c>
      <c r="J117">
        <f>IF($A117="",NA(),IF($C117="Strategy",2+$F117*0.023,NA()))</f>
        <v/>
      </c>
      <c r="K117">
        <f>IF($A117="",NA(),IF($C117="Deckbuilder",$B117,NA()))</f>
        <v/>
      </c>
      <c r="L117">
        <f>IF($A117="",NA(),IF($C117="Deckbuilder",3+$F117*0.023,NA()))</f>
        <v/>
      </c>
      <c r="M117">
        <f>IF($A117="",NA(),IF($C117="Traditional",$B117,NA()))</f>
        <v/>
      </c>
      <c r="N117">
        <f>IF($A117="",NA(),IF($C117="Traditional",4+$F117*0.023,NA()))</f>
        <v/>
      </c>
      <c r="O117">
        <f>IF($A117="","",$D117+ROW()/1000000)</f>
        <v/>
      </c>
      <c r="P117">
        <f>IF(OR($A117="",games!$H117=""),"",games!$H117)</f>
        <v/>
      </c>
      <c r="Q117">
        <f>IF(OR($A117="",$P117&lt;&gt;"Yes"),"",$D117+ROW()/1000000)</f>
        <v/>
      </c>
      <c r="T117">
        <f>IF(connections!$A117="","",IFERROR(INDEX(games!$B$2:$B$950,MATCH(connections!$A117,games!$A$2:$A$950,0)),""))</f>
        <v/>
      </c>
      <c r="U117">
        <f>IF(connections!$A117="","",IFERROR(INDEX(games!$B$2:$B$950,MATCH(connections!$B117,games!$A$2:$A$950,0)),""))</f>
        <v/>
      </c>
      <c r="V117">
        <f>IF(OR($T117="",$U117=""),"",$U117-$T117)</f>
        <v/>
      </c>
    </row>
    <row r="118">
      <c r="A118">
        <f>IF(games!$A118="","",games!$A118)</f>
        <v/>
      </c>
      <c r="B118">
        <f>IF($A118="","",games!$B118)</f>
        <v/>
      </c>
      <c r="C118">
        <f>IF($A118="","",games!$C118)</f>
        <v/>
      </c>
      <c r="D118">
        <f>IF($A118="","",COUNTIF(connections!$A$2:$A$1400,$A118)+COUNTIF(connections!$B$2:$B$1400,$A118))</f>
        <v/>
      </c>
      <c r="E118">
        <f>IF($A118="","",IFERROR(MATCH($C118,$R$2:$R$5,0),0))</f>
        <v/>
      </c>
      <c r="F118">
        <f>IF($A118="","",MOD(ROW(),34))</f>
        <v/>
      </c>
      <c r="G118">
        <f>IF($A118="",NA(),IF($C118="Action",$B118,NA()))</f>
        <v/>
      </c>
      <c r="H118">
        <f>IF($A118="",NA(),IF($C118="Action",1+$F118*0.023,NA()))</f>
        <v/>
      </c>
      <c r="I118">
        <f>IF($A118="",NA(),IF($C118="Strategy",$B118,NA()))</f>
        <v/>
      </c>
      <c r="J118">
        <f>IF($A118="",NA(),IF($C118="Strategy",2+$F118*0.023,NA()))</f>
        <v/>
      </c>
      <c r="K118">
        <f>IF($A118="",NA(),IF($C118="Deckbuilder",$B118,NA()))</f>
        <v/>
      </c>
      <c r="L118">
        <f>IF($A118="",NA(),IF($C118="Deckbuilder",3+$F118*0.023,NA()))</f>
        <v/>
      </c>
      <c r="M118">
        <f>IF($A118="",NA(),IF($C118="Traditional",$B118,NA()))</f>
        <v/>
      </c>
      <c r="N118">
        <f>IF($A118="",NA(),IF($C118="Traditional",4+$F118*0.023,NA()))</f>
        <v/>
      </c>
      <c r="O118">
        <f>IF($A118="","",$D118+ROW()/1000000)</f>
        <v/>
      </c>
      <c r="P118">
        <f>IF(OR($A118="",games!$H118=""),"",games!$H118)</f>
        <v/>
      </c>
      <c r="Q118">
        <f>IF(OR($A118="",$P118&lt;&gt;"Yes"),"",$D118+ROW()/1000000)</f>
        <v/>
      </c>
      <c r="T118">
        <f>IF(connections!$A118="","",IFERROR(INDEX(games!$B$2:$B$950,MATCH(connections!$A118,games!$A$2:$A$950,0)),""))</f>
        <v/>
      </c>
      <c r="U118">
        <f>IF(connections!$A118="","",IFERROR(INDEX(games!$B$2:$B$950,MATCH(connections!$B118,games!$A$2:$A$950,0)),""))</f>
        <v/>
      </c>
      <c r="V118">
        <f>IF(OR($T118="",$U118=""),"",$U118-$T118)</f>
        <v/>
      </c>
    </row>
    <row r="119">
      <c r="A119">
        <f>IF(games!$A119="","",games!$A119)</f>
        <v/>
      </c>
      <c r="B119">
        <f>IF($A119="","",games!$B119)</f>
        <v/>
      </c>
      <c r="C119">
        <f>IF($A119="","",games!$C119)</f>
        <v/>
      </c>
      <c r="D119">
        <f>IF($A119="","",COUNTIF(connections!$A$2:$A$1400,$A119)+COUNTIF(connections!$B$2:$B$1400,$A119))</f>
        <v/>
      </c>
      <c r="E119">
        <f>IF($A119="","",IFERROR(MATCH($C119,$R$2:$R$5,0),0))</f>
        <v/>
      </c>
      <c r="F119">
        <f>IF($A119="","",MOD(ROW(),34))</f>
        <v/>
      </c>
      <c r="G119">
        <f>IF($A119="",NA(),IF($C119="Action",$B119,NA()))</f>
        <v/>
      </c>
      <c r="H119">
        <f>IF($A119="",NA(),IF($C119="Action",1+$F119*0.023,NA()))</f>
        <v/>
      </c>
      <c r="I119">
        <f>IF($A119="",NA(),IF($C119="Strategy",$B119,NA()))</f>
        <v/>
      </c>
      <c r="J119">
        <f>IF($A119="",NA(),IF($C119="Strategy",2+$F119*0.023,NA()))</f>
        <v/>
      </c>
      <c r="K119">
        <f>IF($A119="",NA(),IF($C119="Deckbuilder",$B119,NA()))</f>
        <v/>
      </c>
      <c r="L119">
        <f>IF($A119="",NA(),IF($C119="Deckbuilder",3+$F119*0.023,NA()))</f>
        <v/>
      </c>
      <c r="M119">
        <f>IF($A119="",NA(),IF($C119="Traditional",$B119,NA()))</f>
        <v/>
      </c>
      <c r="N119">
        <f>IF($A119="",NA(),IF($C119="Traditional",4+$F119*0.023,NA()))</f>
        <v/>
      </c>
      <c r="O119">
        <f>IF($A119="","",$D119+ROW()/1000000)</f>
        <v/>
      </c>
      <c r="P119">
        <f>IF(OR($A119="",games!$H119=""),"",games!$H119)</f>
        <v/>
      </c>
      <c r="Q119">
        <f>IF(OR($A119="",$P119&lt;&gt;"Yes"),"",$D119+ROW()/1000000)</f>
        <v/>
      </c>
      <c r="T119">
        <f>IF(connections!$A119="","",IFERROR(INDEX(games!$B$2:$B$950,MATCH(connections!$A119,games!$A$2:$A$950,0)),""))</f>
        <v/>
      </c>
      <c r="U119">
        <f>IF(connections!$A119="","",IFERROR(INDEX(games!$B$2:$B$950,MATCH(connections!$B119,games!$A$2:$A$950,0)),""))</f>
        <v/>
      </c>
      <c r="V119">
        <f>IF(OR($T119="",$U119=""),"",$U119-$T119)</f>
        <v/>
      </c>
    </row>
    <row r="120">
      <c r="A120">
        <f>IF(games!$A120="","",games!$A120)</f>
        <v/>
      </c>
      <c r="B120">
        <f>IF($A120="","",games!$B120)</f>
        <v/>
      </c>
      <c r="C120">
        <f>IF($A120="","",games!$C120)</f>
        <v/>
      </c>
      <c r="D120">
        <f>IF($A120="","",COUNTIF(connections!$A$2:$A$1400,$A120)+COUNTIF(connections!$B$2:$B$1400,$A120))</f>
        <v/>
      </c>
      <c r="E120">
        <f>IF($A120="","",IFERROR(MATCH($C120,$R$2:$R$5,0),0))</f>
        <v/>
      </c>
      <c r="F120">
        <f>IF($A120="","",MOD(ROW(),34))</f>
        <v/>
      </c>
      <c r="G120">
        <f>IF($A120="",NA(),IF($C120="Action",$B120,NA()))</f>
        <v/>
      </c>
      <c r="H120">
        <f>IF($A120="",NA(),IF($C120="Action",1+$F120*0.023,NA()))</f>
        <v/>
      </c>
      <c r="I120">
        <f>IF($A120="",NA(),IF($C120="Strategy",$B120,NA()))</f>
        <v/>
      </c>
      <c r="J120">
        <f>IF($A120="",NA(),IF($C120="Strategy",2+$F120*0.023,NA()))</f>
        <v/>
      </c>
      <c r="K120">
        <f>IF($A120="",NA(),IF($C120="Deckbuilder",$B120,NA()))</f>
        <v/>
      </c>
      <c r="L120">
        <f>IF($A120="",NA(),IF($C120="Deckbuilder",3+$F120*0.023,NA()))</f>
        <v/>
      </c>
      <c r="M120">
        <f>IF($A120="",NA(),IF($C120="Traditional",$B120,NA()))</f>
        <v/>
      </c>
      <c r="N120">
        <f>IF($A120="",NA(),IF($C120="Traditional",4+$F120*0.023,NA()))</f>
        <v/>
      </c>
      <c r="O120">
        <f>IF($A120="","",$D120+ROW()/1000000)</f>
        <v/>
      </c>
      <c r="P120">
        <f>IF(OR($A120="",games!$H120=""),"",games!$H120)</f>
        <v/>
      </c>
      <c r="Q120">
        <f>IF(OR($A120="",$P120&lt;&gt;"Yes"),"",$D120+ROW()/1000000)</f>
        <v/>
      </c>
      <c r="T120">
        <f>IF(connections!$A120="","",IFERROR(INDEX(games!$B$2:$B$950,MATCH(connections!$A120,games!$A$2:$A$950,0)),""))</f>
        <v/>
      </c>
      <c r="U120">
        <f>IF(connections!$A120="","",IFERROR(INDEX(games!$B$2:$B$950,MATCH(connections!$B120,games!$A$2:$A$950,0)),""))</f>
        <v/>
      </c>
      <c r="V120">
        <f>IF(OR($T120="",$U120=""),"",$U120-$T120)</f>
        <v/>
      </c>
    </row>
    <row r="121">
      <c r="A121">
        <f>IF(games!$A121="","",games!$A121)</f>
        <v/>
      </c>
      <c r="B121">
        <f>IF($A121="","",games!$B121)</f>
        <v/>
      </c>
      <c r="C121">
        <f>IF($A121="","",games!$C121)</f>
        <v/>
      </c>
      <c r="D121">
        <f>IF($A121="","",COUNTIF(connections!$A$2:$A$1400,$A121)+COUNTIF(connections!$B$2:$B$1400,$A121))</f>
        <v/>
      </c>
      <c r="E121">
        <f>IF($A121="","",IFERROR(MATCH($C121,$R$2:$R$5,0),0))</f>
        <v/>
      </c>
      <c r="F121">
        <f>IF($A121="","",MOD(ROW(),34))</f>
        <v/>
      </c>
      <c r="G121">
        <f>IF($A121="",NA(),IF($C121="Action",$B121,NA()))</f>
        <v/>
      </c>
      <c r="H121">
        <f>IF($A121="",NA(),IF($C121="Action",1+$F121*0.023,NA()))</f>
        <v/>
      </c>
      <c r="I121">
        <f>IF($A121="",NA(),IF($C121="Strategy",$B121,NA()))</f>
        <v/>
      </c>
      <c r="J121">
        <f>IF($A121="",NA(),IF($C121="Strategy",2+$F121*0.023,NA()))</f>
        <v/>
      </c>
      <c r="K121">
        <f>IF($A121="",NA(),IF($C121="Deckbuilder",$B121,NA()))</f>
        <v/>
      </c>
      <c r="L121">
        <f>IF($A121="",NA(),IF($C121="Deckbuilder",3+$F121*0.023,NA()))</f>
        <v/>
      </c>
      <c r="M121">
        <f>IF($A121="",NA(),IF($C121="Traditional",$B121,NA()))</f>
        <v/>
      </c>
      <c r="N121">
        <f>IF($A121="",NA(),IF($C121="Traditional",4+$F121*0.023,NA()))</f>
        <v/>
      </c>
      <c r="O121">
        <f>IF($A121="","",$D121+ROW()/1000000)</f>
        <v/>
      </c>
      <c r="P121">
        <f>IF(OR($A121="",games!$H121=""),"",games!$H121)</f>
        <v/>
      </c>
      <c r="Q121">
        <f>IF(OR($A121="",$P121&lt;&gt;"Yes"),"",$D121+ROW()/1000000)</f>
        <v/>
      </c>
      <c r="T121">
        <f>IF(connections!$A121="","",IFERROR(INDEX(games!$B$2:$B$950,MATCH(connections!$A121,games!$A$2:$A$950,0)),""))</f>
        <v/>
      </c>
      <c r="U121">
        <f>IF(connections!$A121="","",IFERROR(INDEX(games!$B$2:$B$950,MATCH(connections!$B121,games!$A$2:$A$950,0)),""))</f>
        <v/>
      </c>
      <c r="V121">
        <f>IF(OR($T121="",$U121=""),"",$U121-$T121)</f>
        <v/>
      </c>
    </row>
    <row r="122">
      <c r="A122">
        <f>IF(games!$A122="","",games!$A122)</f>
        <v/>
      </c>
      <c r="B122">
        <f>IF($A122="","",games!$B122)</f>
        <v/>
      </c>
      <c r="C122">
        <f>IF($A122="","",games!$C122)</f>
        <v/>
      </c>
      <c r="D122">
        <f>IF($A122="","",COUNTIF(connections!$A$2:$A$1400,$A122)+COUNTIF(connections!$B$2:$B$1400,$A122))</f>
        <v/>
      </c>
      <c r="E122">
        <f>IF($A122="","",IFERROR(MATCH($C122,$R$2:$R$5,0),0))</f>
        <v/>
      </c>
      <c r="F122">
        <f>IF($A122="","",MOD(ROW(),34))</f>
        <v/>
      </c>
      <c r="G122">
        <f>IF($A122="",NA(),IF($C122="Action",$B122,NA()))</f>
        <v/>
      </c>
      <c r="H122">
        <f>IF($A122="",NA(),IF($C122="Action",1+$F122*0.023,NA()))</f>
        <v/>
      </c>
      <c r="I122">
        <f>IF($A122="",NA(),IF($C122="Strategy",$B122,NA()))</f>
        <v/>
      </c>
      <c r="J122">
        <f>IF($A122="",NA(),IF($C122="Strategy",2+$F122*0.023,NA()))</f>
        <v/>
      </c>
      <c r="K122">
        <f>IF($A122="",NA(),IF($C122="Deckbuilder",$B122,NA()))</f>
        <v/>
      </c>
      <c r="L122">
        <f>IF($A122="",NA(),IF($C122="Deckbuilder",3+$F122*0.023,NA()))</f>
        <v/>
      </c>
      <c r="M122">
        <f>IF($A122="",NA(),IF($C122="Traditional",$B122,NA()))</f>
        <v/>
      </c>
      <c r="N122">
        <f>IF($A122="",NA(),IF($C122="Traditional",4+$F122*0.023,NA()))</f>
        <v/>
      </c>
      <c r="O122">
        <f>IF($A122="","",$D122+ROW()/1000000)</f>
        <v/>
      </c>
      <c r="P122">
        <f>IF(OR($A122="",games!$H122=""),"",games!$H122)</f>
        <v/>
      </c>
      <c r="Q122">
        <f>IF(OR($A122="",$P122&lt;&gt;"Yes"),"",$D122+ROW()/1000000)</f>
        <v/>
      </c>
      <c r="T122">
        <f>IF(connections!$A122="","",IFERROR(INDEX(games!$B$2:$B$950,MATCH(connections!$A122,games!$A$2:$A$950,0)),""))</f>
        <v/>
      </c>
      <c r="U122">
        <f>IF(connections!$A122="","",IFERROR(INDEX(games!$B$2:$B$950,MATCH(connections!$B122,games!$A$2:$A$950,0)),""))</f>
        <v/>
      </c>
      <c r="V122">
        <f>IF(OR($T122="",$U122=""),"",$U122-$T122)</f>
        <v/>
      </c>
    </row>
    <row r="123">
      <c r="A123">
        <f>IF(games!$A123="","",games!$A123)</f>
        <v/>
      </c>
      <c r="B123">
        <f>IF($A123="","",games!$B123)</f>
        <v/>
      </c>
      <c r="C123">
        <f>IF($A123="","",games!$C123)</f>
        <v/>
      </c>
      <c r="D123">
        <f>IF($A123="","",COUNTIF(connections!$A$2:$A$1400,$A123)+COUNTIF(connections!$B$2:$B$1400,$A123))</f>
        <v/>
      </c>
      <c r="E123">
        <f>IF($A123="","",IFERROR(MATCH($C123,$R$2:$R$5,0),0))</f>
        <v/>
      </c>
      <c r="F123">
        <f>IF($A123="","",MOD(ROW(),34))</f>
        <v/>
      </c>
      <c r="G123">
        <f>IF($A123="",NA(),IF($C123="Action",$B123,NA()))</f>
        <v/>
      </c>
      <c r="H123">
        <f>IF($A123="",NA(),IF($C123="Action",1+$F123*0.023,NA()))</f>
        <v/>
      </c>
      <c r="I123">
        <f>IF($A123="",NA(),IF($C123="Strategy",$B123,NA()))</f>
        <v/>
      </c>
      <c r="J123">
        <f>IF($A123="",NA(),IF($C123="Strategy",2+$F123*0.023,NA()))</f>
        <v/>
      </c>
      <c r="K123">
        <f>IF($A123="",NA(),IF($C123="Deckbuilder",$B123,NA()))</f>
        <v/>
      </c>
      <c r="L123">
        <f>IF($A123="",NA(),IF($C123="Deckbuilder",3+$F123*0.023,NA()))</f>
        <v/>
      </c>
      <c r="M123">
        <f>IF($A123="",NA(),IF($C123="Traditional",$B123,NA()))</f>
        <v/>
      </c>
      <c r="N123">
        <f>IF($A123="",NA(),IF($C123="Traditional",4+$F123*0.023,NA()))</f>
        <v/>
      </c>
      <c r="O123">
        <f>IF($A123="","",$D123+ROW()/1000000)</f>
        <v/>
      </c>
      <c r="P123">
        <f>IF(OR($A123="",games!$H123=""),"",games!$H123)</f>
        <v/>
      </c>
      <c r="Q123">
        <f>IF(OR($A123="",$P123&lt;&gt;"Yes"),"",$D123+ROW()/1000000)</f>
        <v/>
      </c>
      <c r="T123">
        <f>IF(connections!$A123="","",IFERROR(INDEX(games!$B$2:$B$950,MATCH(connections!$A123,games!$A$2:$A$950,0)),""))</f>
        <v/>
      </c>
      <c r="U123">
        <f>IF(connections!$A123="","",IFERROR(INDEX(games!$B$2:$B$950,MATCH(connections!$B123,games!$A$2:$A$950,0)),""))</f>
        <v/>
      </c>
      <c r="V123">
        <f>IF(OR($T123="",$U123=""),"",$U123-$T123)</f>
        <v/>
      </c>
    </row>
    <row r="124">
      <c r="A124">
        <f>IF(games!$A124="","",games!$A124)</f>
        <v/>
      </c>
      <c r="B124">
        <f>IF($A124="","",games!$B124)</f>
        <v/>
      </c>
      <c r="C124">
        <f>IF($A124="","",games!$C124)</f>
        <v/>
      </c>
      <c r="D124">
        <f>IF($A124="","",COUNTIF(connections!$A$2:$A$1400,$A124)+COUNTIF(connections!$B$2:$B$1400,$A124))</f>
        <v/>
      </c>
      <c r="E124">
        <f>IF($A124="","",IFERROR(MATCH($C124,$R$2:$R$5,0),0))</f>
        <v/>
      </c>
      <c r="F124">
        <f>IF($A124="","",MOD(ROW(),34))</f>
        <v/>
      </c>
      <c r="G124">
        <f>IF($A124="",NA(),IF($C124="Action",$B124,NA()))</f>
        <v/>
      </c>
      <c r="H124">
        <f>IF($A124="",NA(),IF($C124="Action",1+$F124*0.023,NA()))</f>
        <v/>
      </c>
      <c r="I124">
        <f>IF($A124="",NA(),IF($C124="Strategy",$B124,NA()))</f>
        <v/>
      </c>
      <c r="J124">
        <f>IF($A124="",NA(),IF($C124="Strategy",2+$F124*0.023,NA()))</f>
        <v/>
      </c>
      <c r="K124">
        <f>IF($A124="",NA(),IF($C124="Deckbuilder",$B124,NA()))</f>
        <v/>
      </c>
      <c r="L124">
        <f>IF($A124="",NA(),IF($C124="Deckbuilder",3+$F124*0.023,NA()))</f>
        <v/>
      </c>
      <c r="M124">
        <f>IF($A124="",NA(),IF($C124="Traditional",$B124,NA()))</f>
        <v/>
      </c>
      <c r="N124">
        <f>IF($A124="",NA(),IF($C124="Traditional",4+$F124*0.023,NA()))</f>
        <v/>
      </c>
      <c r="O124">
        <f>IF($A124="","",$D124+ROW()/1000000)</f>
        <v/>
      </c>
      <c r="P124">
        <f>IF(OR($A124="",games!$H124=""),"",games!$H124)</f>
        <v/>
      </c>
      <c r="Q124">
        <f>IF(OR($A124="",$P124&lt;&gt;"Yes"),"",$D124+ROW()/1000000)</f>
        <v/>
      </c>
      <c r="T124">
        <f>IF(connections!$A124="","",IFERROR(INDEX(games!$B$2:$B$950,MATCH(connections!$A124,games!$A$2:$A$950,0)),""))</f>
        <v/>
      </c>
      <c r="U124">
        <f>IF(connections!$A124="","",IFERROR(INDEX(games!$B$2:$B$950,MATCH(connections!$B124,games!$A$2:$A$950,0)),""))</f>
        <v/>
      </c>
      <c r="V124">
        <f>IF(OR($T124="",$U124=""),"",$U124-$T124)</f>
        <v/>
      </c>
    </row>
    <row r="125">
      <c r="A125">
        <f>IF(games!$A125="","",games!$A125)</f>
        <v/>
      </c>
      <c r="B125">
        <f>IF($A125="","",games!$B125)</f>
        <v/>
      </c>
      <c r="C125">
        <f>IF($A125="","",games!$C125)</f>
        <v/>
      </c>
      <c r="D125">
        <f>IF($A125="","",COUNTIF(connections!$A$2:$A$1400,$A125)+COUNTIF(connections!$B$2:$B$1400,$A125))</f>
        <v/>
      </c>
      <c r="E125">
        <f>IF($A125="","",IFERROR(MATCH($C125,$R$2:$R$5,0),0))</f>
        <v/>
      </c>
      <c r="F125">
        <f>IF($A125="","",MOD(ROW(),34))</f>
        <v/>
      </c>
      <c r="G125">
        <f>IF($A125="",NA(),IF($C125="Action",$B125,NA()))</f>
        <v/>
      </c>
      <c r="H125">
        <f>IF($A125="",NA(),IF($C125="Action",1+$F125*0.023,NA()))</f>
        <v/>
      </c>
      <c r="I125">
        <f>IF($A125="",NA(),IF($C125="Strategy",$B125,NA()))</f>
        <v/>
      </c>
      <c r="J125">
        <f>IF($A125="",NA(),IF($C125="Strategy",2+$F125*0.023,NA()))</f>
        <v/>
      </c>
      <c r="K125">
        <f>IF($A125="",NA(),IF($C125="Deckbuilder",$B125,NA()))</f>
        <v/>
      </c>
      <c r="L125">
        <f>IF($A125="",NA(),IF($C125="Deckbuilder",3+$F125*0.023,NA()))</f>
        <v/>
      </c>
      <c r="M125">
        <f>IF($A125="",NA(),IF($C125="Traditional",$B125,NA()))</f>
        <v/>
      </c>
      <c r="N125">
        <f>IF($A125="",NA(),IF($C125="Traditional",4+$F125*0.023,NA()))</f>
        <v/>
      </c>
      <c r="O125">
        <f>IF($A125="","",$D125+ROW()/1000000)</f>
        <v/>
      </c>
      <c r="P125">
        <f>IF(OR($A125="",games!$H125=""),"",games!$H125)</f>
        <v/>
      </c>
      <c r="Q125">
        <f>IF(OR($A125="",$P125&lt;&gt;"Yes"),"",$D125+ROW()/1000000)</f>
        <v/>
      </c>
      <c r="T125">
        <f>IF(connections!$A125="","",IFERROR(INDEX(games!$B$2:$B$950,MATCH(connections!$A125,games!$A$2:$A$950,0)),""))</f>
        <v/>
      </c>
      <c r="U125">
        <f>IF(connections!$A125="","",IFERROR(INDEX(games!$B$2:$B$950,MATCH(connections!$B125,games!$A$2:$A$950,0)),""))</f>
        <v/>
      </c>
      <c r="V125">
        <f>IF(OR($T125="",$U125=""),"",$U125-$T125)</f>
        <v/>
      </c>
    </row>
    <row r="126">
      <c r="A126">
        <f>IF(games!$A126="","",games!$A126)</f>
        <v/>
      </c>
      <c r="B126">
        <f>IF($A126="","",games!$B126)</f>
        <v/>
      </c>
      <c r="C126">
        <f>IF($A126="","",games!$C126)</f>
        <v/>
      </c>
      <c r="D126">
        <f>IF($A126="","",COUNTIF(connections!$A$2:$A$1400,$A126)+COUNTIF(connections!$B$2:$B$1400,$A126))</f>
        <v/>
      </c>
      <c r="E126">
        <f>IF($A126="","",IFERROR(MATCH($C126,$R$2:$R$5,0),0))</f>
        <v/>
      </c>
      <c r="F126">
        <f>IF($A126="","",MOD(ROW(),34))</f>
        <v/>
      </c>
      <c r="G126">
        <f>IF($A126="",NA(),IF($C126="Action",$B126,NA()))</f>
        <v/>
      </c>
      <c r="H126">
        <f>IF($A126="",NA(),IF($C126="Action",1+$F126*0.023,NA()))</f>
        <v/>
      </c>
      <c r="I126">
        <f>IF($A126="",NA(),IF($C126="Strategy",$B126,NA()))</f>
        <v/>
      </c>
      <c r="J126">
        <f>IF($A126="",NA(),IF($C126="Strategy",2+$F126*0.023,NA()))</f>
        <v/>
      </c>
      <c r="K126">
        <f>IF($A126="",NA(),IF($C126="Deckbuilder",$B126,NA()))</f>
        <v/>
      </c>
      <c r="L126">
        <f>IF($A126="",NA(),IF($C126="Deckbuilder",3+$F126*0.023,NA()))</f>
        <v/>
      </c>
      <c r="M126">
        <f>IF($A126="",NA(),IF($C126="Traditional",$B126,NA()))</f>
        <v/>
      </c>
      <c r="N126">
        <f>IF($A126="",NA(),IF($C126="Traditional",4+$F126*0.023,NA()))</f>
        <v/>
      </c>
      <c r="O126">
        <f>IF($A126="","",$D126+ROW()/1000000)</f>
        <v/>
      </c>
      <c r="P126">
        <f>IF(OR($A126="",games!$H126=""),"",games!$H126)</f>
        <v/>
      </c>
      <c r="Q126">
        <f>IF(OR($A126="",$P126&lt;&gt;"Yes"),"",$D126+ROW()/1000000)</f>
        <v/>
      </c>
      <c r="T126">
        <f>IF(connections!$A126="","",IFERROR(INDEX(games!$B$2:$B$950,MATCH(connections!$A126,games!$A$2:$A$950,0)),""))</f>
        <v/>
      </c>
      <c r="U126">
        <f>IF(connections!$A126="","",IFERROR(INDEX(games!$B$2:$B$950,MATCH(connections!$B126,games!$A$2:$A$950,0)),""))</f>
        <v/>
      </c>
      <c r="V126">
        <f>IF(OR($T126="",$U126=""),"",$U126-$T126)</f>
        <v/>
      </c>
    </row>
    <row r="127">
      <c r="A127">
        <f>IF(games!$A127="","",games!$A127)</f>
        <v/>
      </c>
      <c r="B127">
        <f>IF($A127="","",games!$B127)</f>
        <v/>
      </c>
      <c r="C127">
        <f>IF($A127="","",games!$C127)</f>
        <v/>
      </c>
      <c r="D127">
        <f>IF($A127="","",COUNTIF(connections!$A$2:$A$1400,$A127)+COUNTIF(connections!$B$2:$B$1400,$A127))</f>
        <v/>
      </c>
      <c r="E127">
        <f>IF($A127="","",IFERROR(MATCH($C127,$R$2:$R$5,0),0))</f>
        <v/>
      </c>
      <c r="F127">
        <f>IF($A127="","",MOD(ROW(),34))</f>
        <v/>
      </c>
      <c r="G127">
        <f>IF($A127="",NA(),IF($C127="Action",$B127,NA()))</f>
        <v/>
      </c>
      <c r="H127">
        <f>IF($A127="",NA(),IF($C127="Action",1+$F127*0.023,NA()))</f>
        <v/>
      </c>
      <c r="I127">
        <f>IF($A127="",NA(),IF($C127="Strategy",$B127,NA()))</f>
        <v/>
      </c>
      <c r="J127">
        <f>IF($A127="",NA(),IF($C127="Strategy",2+$F127*0.023,NA()))</f>
        <v/>
      </c>
      <c r="K127">
        <f>IF($A127="",NA(),IF($C127="Deckbuilder",$B127,NA()))</f>
        <v/>
      </c>
      <c r="L127">
        <f>IF($A127="",NA(),IF($C127="Deckbuilder",3+$F127*0.023,NA()))</f>
        <v/>
      </c>
      <c r="M127">
        <f>IF($A127="",NA(),IF($C127="Traditional",$B127,NA()))</f>
        <v/>
      </c>
      <c r="N127">
        <f>IF($A127="",NA(),IF($C127="Traditional",4+$F127*0.023,NA()))</f>
        <v/>
      </c>
      <c r="O127">
        <f>IF($A127="","",$D127+ROW()/1000000)</f>
        <v/>
      </c>
      <c r="P127">
        <f>IF(OR($A127="",games!$H127=""),"",games!$H127)</f>
        <v/>
      </c>
      <c r="Q127">
        <f>IF(OR($A127="",$P127&lt;&gt;"Yes"),"",$D127+ROW()/1000000)</f>
        <v/>
      </c>
      <c r="T127">
        <f>IF(connections!$A127="","",IFERROR(INDEX(games!$B$2:$B$950,MATCH(connections!$A127,games!$A$2:$A$950,0)),""))</f>
        <v/>
      </c>
      <c r="U127">
        <f>IF(connections!$A127="","",IFERROR(INDEX(games!$B$2:$B$950,MATCH(connections!$B127,games!$A$2:$A$950,0)),""))</f>
        <v/>
      </c>
      <c r="V127">
        <f>IF(OR($T127="",$U127=""),"",$U127-$T127)</f>
        <v/>
      </c>
    </row>
    <row r="128">
      <c r="A128">
        <f>IF(games!$A128="","",games!$A128)</f>
        <v/>
      </c>
      <c r="B128">
        <f>IF($A128="","",games!$B128)</f>
        <v/>
      </c>
      <c r="C128">
        <f>IF($A128="","",games!$C128)</f>
        <v/>
      </c>
      <c r="D128">
        <f>IF($A128="","",COUNTIF(connections!$A$2:$A$1400,$A128)+COUNTIF(connections!$B$2:$B$1400,$A128))</f>
        <v/>
      </c>
      <c r="E128">
        <f>IF($A128="","",IFERROR(MATCH($C128,$R$2:$R$5,0),0))</f>
        <v/>
      </c>
      <c r="F128">
        <f>IF($A128="","",MOD(ROW(),34))</f>
        <v/>
      </c>
      <c r="G128">
        <f>IF($A128="",NA(),IF($C128="Action",$B128,NA()))</f>
        <v/>
      </c>
      <c r="H128">
        <f>IF($A128="",NA(),IF($C128="Action",1+$F128*0.023,NA()))</f>
        <v/>
      </c>
      <c r="I128">
        <f>IF($A128="",NA(),IF($C128="Strategy",$B128,NA()))</f>
        <v/>
      </c>
      <c r="J128">
        <f>IF($A128="",NA(),IF($C128="Strategy",2+$F128*0.023,NA()))</f>
        <v/>
      </c>
      <c r="K128">
        <f>IF($A128="",NA(),IF($C128="Deckbuilder",$B128,NA()))</f>
        <v/>
      </c>
      <c r="L128">
        <f>IF($A128="",NA(),IF($C128="Deckbuilder",3+$F128*0.023,NA()))</f>
        <v/>
      </c>
      <c r="M128">
        <f>IF($A128="",NA(),IF($C128="Traditional",$B128,NA()))</f>
        <v/>
      </c>
      <c r="N128">
        <f>IF($A128="",NA(),IF($C128="Traditional",4+$F128*0.023,NA()))</f>
        <v/>
      </c>
      <c r="O128">
        <f>IF($A128="","",$D128+ROW()/1000000)</f>
        <v/>
      </c>
      <c r="P128">
        <f>IF(OR($A128="",games!$H128=""),"",games!$H128)</f>
        <v/>
      </c>
      <c r="Q128">
        <f>IF(OR($A128="",$P128&lt;&gt;"Yes"),"",$D128+ROW()/1000000)</f>
        <v/>
      </c>
      <c r="T128">
        <f>IF(connections!$A128="","",IFERROR(INDEX(games!$B$2:$B$950,MATCH(connections!$A128,games!$A$2:$A$950,0)),""))</f>
        <v/>
      </c>
      <c r="U128">
        <f>IF(connections!$A128="","",IFERROR(INDEX(games!$B$2:$B$950,MATCH(connections!$B128,games!$A$2:$A$950,0)),""))</f>
        <v/>
      </c>
      <c r="V128">
        <f>IF(OR($T128="",$U128=""),"",$U128-$T128)</f>
        <v/>
      </c>
    </row>
    <row r="129">
      <c r="A129">
        <f>IF(games!$A129="","",games!$A129)</f>
        <v/>
      </c>
      <c r="B129">
        <f>IF($A129="","",games!$B129)</f>
        <v/>
      </c>
      <c r="C129">
        <f>IF($A129="","",games!$C129)</f>
        <v/>
      </c>
      <c r="D129">
        <f>IF($A129="","",COUNTIF(connections!$A$2:$A$1400,$A129)+COUNTIF(connections!$B$2:$B$1400,$A129))</f>
        <v/>
      </c>
      <c r="E129">
        <f>IF($A129="","",IFERROR(MATCH($C129,$R$2:$R$5,0),0))</f>
        <v/>
      </c>
      <c r="F129">
        <f>IF($A129="","",MOD(ROW(),34))</f>
        <v/>
      </c>
      <c r="G129">
        <f>IF($A129="",NA(),IF($C129="Action",$B129,NA()))</f>
        <v/>
      </c>
      <c r="H129">
        <f>IF($A129="",NA(),IF($C129="Action",1+$F129*0.023,NA()))</f>
        <v/>
      </c>
      <c r="I129">
        <f>IF($A129="",NA(),IF($C129="Strategy",$B129,NA()))</f>
        <v/>
      </c>
      <c r="J129">
        <f>IF($A129="",NA(),IF($C129="Strategy",2+$F129*0.023,NA()))</f>
        <v/>
      </c>
      <c r="K129">
        <f>IF($A129="",NA(),IF($C129="Deckbuilder",$B129,NA()))</f>
        <v/>
      </c>
      <c r="L129">
        <f>IF($A129="",NA(),IF($C129="Deckbuilder",3+$F129*0.023,NA()))</f>
        <v/>
      </c>
      <c r="M129">
        <f>IF($A129="",NA(),IF($C129="Traditional",$B129,NA()))</f>
        <v/>
      </c>
      <c r="N129">
        <f>IF($A129="",NA(),IF($C129="Traditional",4+$F129*0.023,NA()))</f>
        <v/>
      </c>
      <c r="O129">
        <f>IF($A129="","",$D129+ROW()/1000000)</f>
        <v/>
      </c>
      <c r="P129">
        <f>IF(OR($A129="",games!$H129=""),"",games!$H129)</f>
        <v/>
      </c>
      <c r="Q129">
        <f>IF(OR($A129="",$P129&lt;&gt;"Yes"),"",$D129+ROW()/1000000)</f>
        <v/>
      </c>
      <c r="T129">
        <f>IF(connections!$A129="","",IFERROR(INDEX(games!$B$2:$B$950,MATCH(connections!$A129,games!$A$2:$A$950,0)),""))</f>
        <v/>
      </c>
      <c r="U129">
        <f>IF(connections!$A129="","",IFERROR(INDEX(games!$B$2:$B$950,MATCH(connections!$B129,games!$A$2:$A$950,0)),""))</f>
        <v/>
      </c>
      <c r="V129">
        <f>IF(OR($T129="",$U129=""),"",$U129-$T129)</f>
        <v/>
      </c>
    </row>
    <row r="130">
      <c r="A130">
        <f>IF(games!$A130="","",games!$A130)</f>
        <v/>
      </c>
      <c r="B130">
        <f>IF($A130="","",games!$B130)</f>
        <v/>
      </c>
      <c r="C130">
        <f>IF($A130="","",games!$C130)</f>
        <v/>
      </c>
      <c r="D130">
        <f>IF($A130="","",COUNTIF(connections!$A$2:$A$1400,$A130)+COUNTIF(connections!$B$2:$B$1400,$A130))</f>
        <v/>
      </c>
      <c r="E130">
        <f>IF($A130="","",IFERROR(MATCH($C130,$R$2:$R$5,0),0))</f>
        <v/>
      </c>
      <c r="F130">
        <f>IF($A130="","",MOD(ROW(),34))</f>
        <v/>
      </c>
      <c r="G130">
        <f>IF($A130="",NA(),IF($C130="Action",$B130,NA()))</f>
        <v/>
      </c>
      <c r="H130">
        <f>IF($A130="",NA(),IF($C130="Action",1+$F130*0.023,NA()))</f>
        <v/>
      </c>
      <c r="I130">
        <f>IF($A130="",NA(),IF($C130="Strategy",$B130,NA()))</f>
        <v/>
      </c>
      <c r="J130">
        <f>IF($A130="",NA(),IF($C130="Strategy",2+$F130*0.023,NA()))</f>
        <v/>
      </c>
      <c r="K130">
        <f>IF($A130="",NA(),IF($C130="Deckbuilder",$B130,NA()))</f>
        <v/>
      </c>
      <c r="L130">
        <f>IF($A130="",NA(),IF($C130="Deckbuilder",3+$F130*0.023,NA()))</f>
        <v/>
      </c>
      <c r="M130">
        <f>IF($A130="",NA(),IF($C130="Traditional",$B130,NA()))</f>
        <v/>
      </c>
      <c r="N130">
        <f>IF($A130="",NA(),IF($C130="Traditional",4+$F130*0.023,NA()))</f>
        <v/>
      </c>
      <c r="O130">
        <f>IF($A130="","",$D130+ROW()/1000000)</f>
        <v/>
      </c>
      <c r="P130">
        <f>IF(OR($A130="",games!$H130=""),"",games!$H130)</f>
        <v/>
      </c>
      <c r="Q130">
        <f>IF(OR($A130="",$P130&lt;&gt;"Yes"),"",$D130+ROW()/1000000)</f>
        <v/>
      </c>
      <c r="T130">
        <f>IF(connections!$A130="","",IFERROR(INDEX(games!$B$2:$B$950,MATCH(connections!$A130,games!$A$2:$A$950,0)),""))</f>
        <v/>
      </c>
      <c r="U130">
        <f>IF(connections!$A130="","",IFERROR(INDEX(games!$B$2:$B$950,MATCH(connections!$B130,games!$A$2:$A$950,0)),""))</f>
        <v/>
      </c>
      <c r="V130">
        <f>IF(OR($T130="",$U130=""),"",$U130-$T130)</f>
        <v/>
      </c>
    </row>
    <row r="131">
      <c r="A131">
        <f>IF(games!$A131="","",games!$A131)</f>
        <v/>
      </c>
      <c r="B131">
        <f>IF($A131="","",games!$B131)</f>
        <v/>
      </c>
      <c r="C131">
        <f>IF($A131="","",games!$C131)</f>
        <v/>
      </c>
      <c r="D131">
        <f>IF($A131="","",COUNTIF(connections!$A$2:$A$1400,$A131)+COUNTIF(connections!$B$2:$B$1400,$A131))</f>
        <v/>
      </c>
      <c r="E131">
        <f>IF($A131="","",IFERROR(MATCH($C131,$R$2:$R$5,0),0))</f>
        <v/>
      </c>
      <c r="F131">
        <f>IF($A131="","",MOD(ROW(),34))</f>
        <v/>
      </c>
      <c r="G131">
        <f>IF($A131="",NA(),IF($C131="Action",$B131,NA()))</f>
        <v/>
      </c>
      <c r="H131">
        <f>IF($A131="",NA(),IF($C131="Action",1+$F131*0.023,NA()))</f>
        <v/>
      </c>
      <c r="I131">
        <f>IF($A131="",NA(),IF($C131="Strategy",$B131,NA()))</f>
        <v/>
      </c>
      <c r="J131">
        <f>IF($A131="",NA(),IF($C131="Strategy",2+$F131*0.023,NA()))</f>
        <v/>
      </c>
      <c r="K131">
        <f>IF($A131="",NA(),IF($C131="Deckbuilder",$B131,NA()))</f>
        <v/>
      </c>
      <c r="L131">
        <f>IF($A131="",NA(),IF($C131="Deckbuilder",3+$F131*0.023,NA()))</f>
        <v/>
      </c>
      <c r="M131">
        <f>IF($A131="",NA(),IF($C131="Traditional",$B131,NA()))</f>
        <v/>
      </c>
      <c r="N131">
        <f>IF($A131="",NA(),IF($C131="Traditional",4+$F131*0.023,NA()))</f>
        <v/>
      </c>
      <c r="O131">
        <f>IF($A131="","",$D131+ROW()/1000000)</f>
        <v/>
      </c>
      <c r="P131">
        <f>IF(OR($A131="",games!$H131=""),"",games!$H131)</f>
        <v/>
      </c>
      <c r="Q131">
        <f>IF(OR($A131="",$P131&lt;&gt;"Yes"),"",$D131+ROW()/1000000)</f>
        <v/>
      </c>
      <c r="T131">
        <f>IF(connections!$A131="","",IFERROR(INDEX(games!$B$2:$B$950,MATCH(connections!$A131,games!$A$2:$A$950,0)),""))</f>
        <v/>
      </c>
      <c r="U131">
        <f>IF(connections!$A131="","",IFERROR(INDEX(games!$B$2:$B$950,MATCH(connections!$B131,games!$A$2:$A$950,0)),""))</f>
        <v/>
      </c>
      <c r="V131">
        <f>IF(OR($T131="",$U131=""),"",$U131-$T131)</f>
        <v/>
      </c>
    </row>
    <row r="132">
      <c r="A132">
        <f>IF(games!$A132="","",games!$A132)</f>
        <v/>
      </c>
      <c r="B132">
        <f>IF($A132="","",games!$B132)</f>
        <v/>
      </c>
      <c r="C132">
        <f>IF($A132="","",games!$C132)</f>
        <v/>
      </c>
      <c r="D132">
        <f>IF($A132="","",COUNTIF(connections!$A$2:$A$1400,$A132)+COUNTIF(connections!$B$2:$B$1400,$A132))</f>
        <v/>
      </c>
      <c r="E132">
        <f>IF($A132="","",IFERROR(MATCH($C132,$R$2:$R$5,0),0))</f>
        <v/>
      </c>
      <c r="F132">
        <f>IF($A132="","",MOD(ROW(),34))</f>
        <v/>
      </c>
      <c r="G132">
        <f>IF($A132="",NA(),IF($C132="Action",$B132,NA()))</f>
        <v/>
      </c>
      <c r="H132">
        <f>IF($A132="",NA(),IF($C132="Action",1+$F132*0.023,NA()))</f>
        <v/>
      </c>
      <c r="I132">
        <f>IF($A132="",NA(),IF($C132="Strategy",$B132,NA()))</f>
        <v/>
      </c>
      <c r="J132">
        <f>IF($A132="",NA(),IF($C132="Strategy",2+$F132*0.023,NA()))</f>
        <v/>
      </c>
      <c r="K132">
        <f>IF($A132="",NA(),IF($C132="Deckbuilder",$B132,NA()))</f>
        <v/>
      </c>
      <c r="L132">
        <f>IF($A132="",NA(),IF($C132="Deckbuilder",3+$F132*0.023,NA()))</f>
        <v/>
      </c>
      <c r="M132">
        <f>IF($A132="",NA(),IF($C132="Traditional",$B132,NA()))</f>
        <v/>
      </c>
      <c r="N132">
        <f>IF($A132="",NA(),IF($C132="Traditional",4+$F132*0.023,NA()))</f>
        <v/>
      </c>
      <c r="O132">
        <f>IF($A132="","",$D132+ROW()/1000000)</f>
        <v/>
      </c>
      <c r="P132">
        <f>IF(OR($A132="",games!$H132=""),"",games!$H132)</f>
        <v/>
      </c>
      <c r="Q132">
        <f>IF(OR($A132="",$P132&lt;&gt;"Yes"),"",$D132+ROW()/1000000)</f>
        <v/>
      </c>
      <c r="T132">
        <f>IF(connections!$A132="","",IFERROR(INDEX(games!$B$2:$B$950,MATCH(connections!$A132,games!$A$2:$A$950,0)),""))</f>
        <v/>
      </c>
      <c r="U132">
        <f>IF(connections!$A132="","",IFERROR(INDEX(games!$B$2:$B$950,MATCH(connections!$B132,games!$A$2:$A$950,0)),""))</f>
        <v/>
      </c>
      <c r="V132">
        <f>IF(OR($T132="",$U132=""),"",$U132-$T132)</f>
        <v/>
      </c>
    </row>
    <row r="133">
      <c r="A133">
        <f>IF(games!$A133="","",games!$A133)</f>
        <v/>
      </c>
      <c r="B133">
        <f>IF($A133="","",games!$B133)</f>
        <v/>
      </c>
      <c r="C133">
        <f>IF($A133="","",games!$C133)</f>
        <v/>
      </c>
      <c r="D133">
        <f>IF($A133="","",COUNTIF(connections!$A$2:$A$1400,$A133)+COUNTIF(connections!$B$2:$B$1400,$A133))</f>
        <v/>
      </c>
      <c r="E133">
        <f>IF($A133="","",IFERROR(MATCH($C133,$R$2:$R$5,0),0))</f>
        <v/>
      </c>
      <c r="F133">
        <f>IF($A133="","",MOD(ROW(),34))</f>
        <v/>
      </c>
      <c r="G133">
        <f>IF($A133="",NA(),IF($C133="Action",$B133,NA()))</f>
        <v/>
      </c>
      <c r="H133">
        <f>IF($A133="",NA(),IF($C133="Action",1+$F133*0.023,NA()))</f>
        <v/>
      </c>
      <c r="I133">
        <f>IF($A133="",NA(),IF($C133="Strategy",$B133,NA()))</f>
        <v/>
      </c>
      <c r="J133">
        <f>IF($A133="",NA(),IF($C133="Strategy",2+$F133*0.023,NA()))</f>
        <v/>
      </c>
      <c r="K133">
        <f>IF($A133="",NA(),IF($C133="Deckbuilder",$B133,NA()))</f>
        <v/>
      </c>
      <c r="L133">
        <f>IF($A133="",NA(),IF($C133="Deckbuilder",3+$F133*0.023,NA()))</f>
        <v/>
      </c>
      <c r="M133">
        <f>IF($A133="",NA(),IF($C133="Traditional",$B133,NA()))</f>
        <v/>
      </c>
      <c r="N133">
        <f>IF($A133="",NA(),IF($C133="Traditional",4+$F133*0.023,NA()))</f>
        <v/>
      </c>
      <c r="O133">
        <f>IF($A133="","",$D133+ROW()/1000000)</f>
        <v/>
      </c>
      <c r="P133">
        <f>IF(OR($A133="",games!$H133=""),"",games!$H133)</f>
        <v/>
      </c>
      <c r="Q133">
        <f>IF(OR($A133="",$P133&lt;&gt;"Yes"),"",$D133+ROW()/1000000)</f>
        <v/>
      </c>
      <c r="T133">
        <f>IF(connections!$A133="","",IFERROR(INDEX(games!$B$2:$B$950,MATCH(connections!$A133,games!$A$2:$A$950,0)),""))</f>
        <v/>
      </c>
      <c r="U133">
        <f>IF(connections!$A133="","",IFERROR(INDEX(games!$B$2:$B$950,MATCH(connections!$B133,games!$A$2:$A$950,0)),""))</f>
        <v/>
      </c>
      <c r="V133">
        <f>IF(OR($T133="",$U133=""),"",$U133-$T133)</f>
        <v/>
      </c>
    </row>
    <row r="134">
      <c r="A134">
        <f>IF(games!$A134="","",games!$A134)</f>
        <v/>
      </c>
      <c r="B134">
        <f>IF($A134="","",games!$B134)</f>
        <v/>
      </c>
      <c r="C134">
        <f>IF($A134="","",games!$C134)</f>
        <v/>
      </c>
      <c r="D134">
        <f>IF($A134="","",COUNTIF(connections!$A$2:$A$1400,$A134)+COUNTIF(connections!$B$2:$B$1400,$A134))</f>
        <v/>
      </c>
      <c r="E134">
        <f>IF($A134="","",IFERROR(MATCH($C134,$R$2:$R$5,0),0))</f>
        <v/>
      </c>
      <c r="F134">
        <f>IF($A134="","",MOD(ROW(),34))</f>
        <v/>
      </c>
      <c r="G134">
        <f>IF($A134="",NA(),IF($C134="Action",$B134,NA()))</f>
        <v/>
      </c>
      <c r="H134">
        <f>IF($A134="",NA(),IF($C134="Action",1+$F134*0.023,NA()))</f>
        <v/>
      </c>
      <c r="I134">
        <f>IF($A134="",NA(),IF($C134="Strategy",$B134,NA()))</f>
        <v/>
      </c>
      <c r="J134">
        <f>IF($A134="",NA(),IF($C134="Strategy",2+$F134*0.023,NA()))</f>
        <v/>
      </c>
      <c r="K134">
        <f>IF($A134="",NA(),IF($C134="Deckbuilder",$B134,NA()))</f>
        <v/>
      </c>
      <c r="L134">
        <f>IF($A134="",NA(),IF($C134="Deckbuilder",3+$F134*0.023,NA()))</f>
        <v/>
      </c>
      <c r="M134">
        <f>IF($A134="",NA(),IF($C134="Traditional",$B134,NA()))</f>
        <v/>
      </c>
      <c r="N134">
        <f>IF($A134="",NA(),IF($C134="Traditional",4+$F134*0.023,NA()))</f>
        <v/>
      </c>
      <c r="O134">
        <f>IF($A134="","",$D134+ROW()/1000000)</f>
        <v/>
      </c>
      <c r="P134">
        <f>IF(OR($A134="",games!$H134=""),"",games!$H134)</f>
        <v/>
      </c>
      <c r="Q134">
        <f>IF(OR($A134="",$P134&lt;&gt;"Yes"),"",$D134+ROW()/1000000)</f>
        <v/>
      </c>
      <c r="T134">
        <f>IF(connections!$A134="","",IFERROR(INDEX(games!$B$2:$B$950,MATCH(connections!$A134,games!$A$2:$A$950,0)),""))</f>
        <v/>
      </c>
      <c r="U134">
        <f>IF(connections!$A134="","",IFERROR(INDEX(games!$B$2:$B$950,MATCH(connections!$B134,games!$A$2:$A$950,0)),""))</f>
        <v/>
      </c>
      <c r="V134">
        <f>IF(OR($T134="",$U134=""),"",$U134-$T134)</f>
        <v/>
      </c>
    </row>
    <row r="135">
      <c r="A135">
        <f>IF(games!$A135="","",games!$A135)</f>
        <v/>
      </c>
      <c r="B135">
        <f>IF($A135="","",games!$B135)</f>
        <v/>
      </c>
      <c r="C135">
        <f>IF($A135="","",games!$C135)</f>
        <v/>
      </c>
      <c r="D135">
        <f>IF($A135="","",COUNTIF(connections!$A$2:$A$1400,$A135)+COUNTIF(connections!$B$2:$B$1400,$A135))</f>
        <v/>
      </c>
      <c r="E135">
        <f>IF($A135="","",IFERROR(MATCH($C135,$R$2:$R$5,0),0))</f>
        <v/>
      </c>
      <c r="F135">
        <f>IF($A135="","",MOD(ROW(),34))</f>
        <v/>
      </c>
      <c r="G135">
        <f>IF($A135="",NA(),IF($C135="Action",$B135,NA()))</f>
        <v/>
      </c>
      <c r="H135">
        <f>IF($A135="",NA(),IF($C135="Action",1+$F135*0.023,NA()))</f>
        <v/>
      </c>
      <c r="I135">
        <f>IF($A135="",NA(),IF($C135="Strategy",$B135,NA()))</f>
        <v/>
      </c>
      <c r="J135">
        <f>IF($A135="",NA(),IF($C135="Strategy",2+$F135*0.023,NA()))</f>
        <v/>
      </c>
      <c r="K135">
        <f>IF($A135="",NA(),IF($C135="Deckbuilder",$B135,NA()))</f>
        <v/>
      </c>
      <c r="L135">
        <f>IF($A135="",NA(),IF($C135="Deckbuilder",3+$F135*0.023,NA()))</f>
        <v/>
      </c>
      <c r="M135">
        <f>IF($A135="",NA(),IF($C135="Traditional",$B135,NA()))</f>
        <v/>
      </c>
      <c r="N135">
        <f>IF($A135="",NA(),IF($C135="Traditional",4+$F135*0.023,NA()))</f>
        <v/>
      </c>
      <c r="O135">
        <f>IF($A135="","",$D135+ROW()/1000000)</f>
        <v/>
      </c>
      <c r="P135">
        <f>IF(OR($A135="",games!$H135=""),"",games!$H135)</f>
        <v/>
      </c>
      <c r="Q135">
        <f>IF(OR($A135="",$P135&lt;&gt;"Yes"),"",$D135+ROW()/1000000)</f>
        <v/>
      </c>
      <c r="T135">
        <f>IF(connections!$A135="","",IFERROR(INDEX(games!$B$2:$B$950,MATCH(connections!$A135,games!$A$2:$A$950,0)),""))</f>
        <v/>
      </c>
      <c r="U135">
        <f>IF(connections!$A135="","",IFERROR(INDEX(games!$B$2:$B$950,MATCH(connections!$B135,games!$A$2:$A$950,0)),""))</f>
        <v/>
      </c>
      <c r="V135">
        <f>IF(OR($T135="",$U135=""),"",$U135-$T135)</f>
        <v/>
      </c>
    </row>
    <row r="136">
      <c r="A136">
        <f>IF(games!$A136="","",games!$A136)</f>
        <v/>
      </c>
      <c r="B136">
        <f>IF($A136="","",games!$B136)</f>
        <v/>
      </c>
      <c r="C136">
        <f>IF($A136="","",games!$C136)</f>
        <v/>
      </c>
      <c r="D136">
        <f>IF($A136="","",COUNTIF(connections!$A$2:$A$1400,$A136)+COUNTIF(connections!$B$2:$B$1400,$A136))</f>
        <v/>
      </c>
      <c r="E136">
        <f>IF($A136="","",IFERROR(MATCH($C136,$R$2:$R$5,0),0))</f>
        <v/>
      </c>
      <c r="F136">
        <f>IF($A136="","",MOD(ROW(),34))</f>
        <v/>
      </c>
      <c r="G136">
        <f>IF($A136="",NA(),IF($C136="Action",$B136,NA()))</f>
        <v/>
      </c>
      <c r="H136">
        <f>IF($A136="",NA(),IF($C136="Action",1+$F136*0.023,NA()))</f>
        <v/>
      </c>
      <c r="I136">
        <f>IF($A136="",NA(),IF($C136="Strategy",$B136,NA()))</f>
        <v/>
      </c>
      <c r="J136">
        <f>IF($A136="",NA(),IF($C136="Strategy",2+$F136*0.023,NA()))</f>
        <v/>
      </c>
      <c r="K136">
        <f>IF($A136="",NA(),IF($C136="Deckbuilder",$B136,NA()))</f>
        <v/>
      </c>
      <c r="L136">
        <f>IF($A136="",NA(),IF($C136="Deckbuilder",3+$F136*0.023,NA()))</f>
        <v/>
      </c>
      <c r="M136">
        <f>IF($A136="",NA(),IF($C136="Traditional",$B136,NA()))</f>
        <v/>
      </c>
      <c r="N136">
        <f>IF($A136="",NA(),IF($C136="Traditional",4+$F136*0.023,NA()))</f>
        <v/>
      </c>
      <c r="O136">
        <f>IF($A136="","",$D136+ROW()/1000000)</f>
        <v/>
      </c>
      <c r="P136">
        <f>IF(OR($A136="",games!$H136=""),"",games!$H136)</f>
        <v/>
      </c>
      <c r="Q136">
        <f>IF(OR($A136="",$P136&lt;&gt;"Yes"),"",$D136+ROW()/1000000)</f>
        <v/>
      </c>
      <c r="T136">
        <f>IF(connections!$A136="","",IFERROR(INDEX(games!$B$2:$B$950,MATCH(connections!$A136,games!$A$2:$A$950,0)),""))</f>
        <v/>
      </c>
      <c r="U136">
        <f>IF(connections!$A136="","",IFERROR(INDEX(games!$B$2:$B$950,MATCH(connections!$B136,games!$A$2:$A$950,0)),""))</f>
        <v/>
      </c>
      <c r="V136">
        <f>IF(OR($T136="",$U136=""),"",$U136-$T136)</f>
        <v/>
      </c>
    </row>
    <row r="137">
      <c r="A137">
        <f>IF(games!$A137="","",games!$A137)</f>
        <v/>
      </c>
      <c r="B137">
        <f>IF($A137="","",games!$B137)</f>
        <v/>
      </c>
      <c r="C137">
        <f>IF($A137="","",games!$C137)</f>
        <v/>
      </c>
      <c r="D137">
        <f>IF($A137="","",COUNTIF(connections!$A$2:$A$1400,$A137)+COUNTIF(connections!$B$2:$B$1400,$A137))</f>
        <v/>
      </c>
      <c r="E137">
        <f>IF($A137="","",IFERROR(MATCH($C137,$R$2:$R$5,0),0))</f>
        <v/>
      </c>
      <c r="F137">
        <f>IF($A137="","",MOD(ROW(),34))</f>
        <v/>
      </c>
      <c r="G137">
        <f>IF($A137="",NA(),IF($C137="Action",$B137,NA()))</f>
        <v/>
      </c>
      <c r="H137">
        <f>IF($A137="",NA(),IF($C137="Action",1+$F137*0.023,NA()))</f>
        <v/>
      </c>
      <c r="I137">
        <f>IF($A137="",NA(),IF($C137="Strategy",$B137,NA()))</f>
        <v/>
      </c>
      <c r="J137">
        <f>IF($A137="",NA(),IF($C137="Strategy",2+$F137*0.023,NA()))</f>
        <v/>
      </c>
      <c r="K137">
        <f>IF($A137="",NA(),IF($C137="Deckbuilder",$B137,NA()))</f>
        <v/>
      </c>
      <c r="L137">
        <f>IF($A137="",NA(),IF($C137="Deckbuilder",3+$F137*0.023,NA()))</f>
        <v/>
      </c>
      <c r="M137">
        <f>IF($A137="",NA(),IF($C137="Traditional",$B137,NA()))</f>
        <v/>
      </c>
      <c r="N137">
        <f>IF($A137="",NA(),IF($C137="Traditional",4+$F137*0.023,NA()))</f>
        <v/>
      </c>
      <c r="O137">
        <f>IF($A137="","",$D137+ROW()/1000000)</f>
        <v/>
      </c>
      <c r="P137">
        <f>IF(OR($A137="",games!$H137=""),"",games!$H137)</f>
        <v/>
      </c>
      <c r="Q137">
        <f>IF(OR($A137="",$P137&lt;&gt;"Yes"),"",$D137+ROW()/1000000)</f>
        <v/>
      </c>
      <c r="T137">
        <f>IF(connections!$A137="","",IFERROR(INDEX(games!$B$2:$B$950,MATCH(connections!$A137,games!$A$2:$A$950,0)),""))</f>
        <v/>
      </c>
      <c r="U137">
        <f>IF(connections!$A137="","",IFERROR(INDEX(games!$B$2:$B$950,MATCH(connections!$B137,games!$A$2:$A$950,0)),""))</f>
        <v/>
      </c>
      <c r="V137">
        <f>IF(OR($T137="",$U137=""),"",$U137-$T137)</f>
        <v/>
      </c>
    </row>
    <row r="138">
      <c r="A138">
        <f>IF(games!$A138="","",games!$A138)</f>
        <v/>
      </c>
      <c r="B138">
        <f>IF($A138="","",games!$B138)</f>
        <v/>
      </c>
      <c r="C138">
        <f>IF($A138="","",games!$C138)</f>
        <v/>
      </c>
      <c r="D138">
        <f>IF($A138="","",COUNTIF(connections!$A$2:$A$1400,$A138)+COUNTIF(connections!$B$2:$B$1400,$A138))</f>
        <v/>
      </c>
      <c r="E138">
        <f>IF($A138="","",IFERROR(MATCH($C138,$R$2:$R$5,0),0))</f>
        <v/>
      </c>
      <c r="F138">
        <f>IF($A138="","",MOD(ROW(),34))</f>
        <v/>
      </c>
      <c r="G138">
        <f>IF($A138="",NA(),IF($C138="Action",$B138,NA()))</f>
        <v/>
      </c>
      <c r="H138">
        <f>IF($A138="",NA(),IF($C138="Action",1+$F138*0.023,NA()))</f>
        <v/>
      </c>
      <c r="I138">
        <f>IF($A138="",NA(),IF($C138="Strategy",$B138,NA()))</f>
        <v/>
      </c>
      <c r="J138">
        <f>IF($A138="",NA(),IF($C138="Strategy",2+$F138*0.023,NA()))</f>
        <v/>
      </c>
      <c r="K138">
        <f>IF($A138="",NA(),IF($C138="Deckbuilder",$B138,NA()))</f>
        <v/>
      </c>
      <c r="L138">
        <f>IF($A138="",NA(),IF($C138="Deckbuilder",3+$F138*0.023,NA()))</f>
        <v/>
      </c>
      <c r="M138">
        <f>IF($A138="",NA(),IF($C138="Traditional",$B138,NA()))</f>
        <v/>
      </c>
      <c r="N138">
        <f>IF($A138="",NA(),IF($C138="Traditional",4+$F138*0.023,NA()))</f>
        <v/>
      </c>
      <c r="O138">
        <f>IF($A138="","",$D138+ROW()/1000000)</f>
        <v/>
      </c>
      <c r="P138">
        <f>IF(OR($A138="",games!$H138=""),"",games!$H138)</f>
        <v/>
      </c>
      <c r="Q138">
        <f>IF(OR($A138="",$P138&lt;&gt;"Yes"),"",$D138+ROW()/1000000)</f>
        <v/>
      </c>
      <c r="T138">
        <f>IF(connections!$A138="","",IFERROR(INDEX(games!$B$2:$B$950,MATCH(connections!$A138,games!$A$2:$A$950,0)),""))</f>
        <v/>
      </c>
      <c r="U138">
        <f>IF(connections!$A138="","",IFERROR(INDEX(games!$B$2:$B$950,MATCH(connections!$B138,games!$A$2:$A$950,0)),""))</f>
        <v/>
      </c>
      <c r="V138">
        <f>IF(OR($T138="",$U138=""),"",$U138-$T138)</f>
        <v/>
      </c>
    </row>
    <row r="139">
      <c r="A139">
        <f>IF(games!$A139="","",games!$A139)</f>
        <v/>
      </c>
      <c r="B139">
        <f>IF($A139="","",games!$B139)</f>
        <v/>
      </c>
      <c r="C139">
        <f>IF($A139="","",games!$C139)</f>
        <v/>
      </c>
      <c r="D139">
        <f>IF($A139="","",COUNTIF(connections!$A$2:$A$1400,$A139)+COUNTIF(connections!$B$2:$B$1400,$A139))</f>
        <v/>
      </c>
      <c r="E139">
        <f>IF($A139="","",IFERROR(MATCH($C139,$R$2:$R$5,0),0))</f>
        <v/>
      </c>
      <c r="F139">
        <f>IF($A139="","",MOD(ROW(),34))</f>
        <v/>
      </c>
      <c r="G139">
        <f>IF($A139="",NA(),IF($C139="Action",$B139,NA()))</f>
        <v/>
      </c>
      <c r="H139">
        <f>IF($A139="",NA(),IF($C139="Action",1+$F139*0.023,NA()))</f>
        <v/>
      </c>
      <c r="I139">
        <f>IF($A139="",NA(),IF($C139="Strategy",$B139,NA()))</f>
        <v/>
      </c>
      <c r="J139">
        <f>IF($A139="",NA(),IF($C139="Strategy",2+$F139*0.023,NA()))</f>
        <v/>
      </c>
      <c r="K139">
        <f>IF($A139="",NA(),IF($C139="Deckbuilder",$B139,NA()))</f>
        <v/>
      </c>
      <c r="L139">
        <f>IF($A139="",NA(),IF($C139="Deckbuilder",3+$F139*0.023,NA()))</f>
        <v/>
      </c>
      <c r="M139">
        <f>IF($A139="",NA(),IF($C139="Traditional",$B139,NA()))</f>
        <v/>
      </c>
      <c r="N139">
        <f>IF($A139="",NA(),IF($C139="Traditional",4+$F139*0.023,NA()))</f>
        <v/>
      </c>
      <c r="O139">
        <f>IF($A139="","",$D139+ROW()/1000000)</f>
        <v/>
      </c>
      <c r="P139">
        <f>IF(OR($A139="",games!$H139=""),"",games!$H139)</f>
        <v/>
      </c>
      <c r="Q139">
        <f>IF(OR($A139="",$P139&lt;&gt;"Yes"),"",$D139+ROW()/1000000)</f>
        <v/>
      </c>
      <c r="T139">
        <f>IF(connections!$A139="","",IFERROR(INDEX(games!$B$2:$B$950,MATCH(connections!$A139,games!$A$2:$A$950,0)),""))</f>
        <v/>
      </c>
      <c r="U139">
        <f>IF(connections!$A139="","",IFERROR(INDEX(games!$B$2:$B$950,MATCH(connections!$B139,games!$A$2:$A$950,0)),""))</f>
        <v/>
      </c>
      <c r="V139">
        <f>IF(OR($T139="",$U139=""),"",$U139-$T139)</f>
        <v/>
      </c>
    </row>
    <row r="140">
      <c r="A140">
        <f>IF(games!$A140="","",games!$A140)</f>
        <v/>
      </c>
      <c r="B140">
        <f>IF($A140="","",games!$B140)</f>
        <v/>
      </c>
      <c r="C140">
        <f>IF($A140="","",games!$C140)</f>
        <v/>
      </c>
      <c r="D140">
        <f>IF($A140="","",COUNTIF(connections!$A$2:$A$1400,$A140)+COUNTIF(connections!$B$2:$B$1400,$A140))</f>
        <v/>
      </c>
      <c r="E140">
        <f>IF($A140="","",IFERROR(MATCH($C140,$R$2:$R$5,0),0))</f>
        <v/>
      </c>
      <c r="F140">
        <f>IF($A140="","",MOD(ROW(),34))</f>
        <v/>
      </c>
      <c r="G140">
        <f>IF($A140="",NA(),IF($C140="Action",$B140,NA()))</f>
        <v/>
      </c>
      <c r="H140">
        <f>IF($A140="",NA(),IF($C140="Action",1+$F140*0.023,NA()))</f>
        <v/>
      </c>
      <c r="I140">
        <f>IF($A140="",NA(),IF($C140="Strategy",$B140,NA()))</f>
        <v/>
      </c>
      <c r="J140">
        <f>IF($A140="",NA(),IF($C140="Strategy",2+$F140*0.023,NA()))</f>
        <v/>
      </c>
      <c r="K140">
        <f>IF($A140="",NA(),IF($C140="Deckbuilder",$B140,NA()))</f>
        <v/>
      </c>
      <c r="L140">
        <f>IF($A140="",NA(),IF($C140="Deckbuilder",3+$F140*0.023,NA()))</f>
        <v/>
      </c>
      <c r="M140">
        <f>IF($A140="",NA(),IF($C140="Traditional",$B140,NA()))</f>
        <v/>
      </c>
      <c r="N140">
        <f>IF($A140="",NA(),IF($C140="Traditional",4+$F140*0.023,NA()))</f>
        <v/>
      </c>
      <c r="O140">
        <f>IF($A140="","",$D140+ROW()/1000000)</f>
        <v/>
      </c>
      <c r="P140">
        <f>IF(OR($A140="",games!$H140=""),"",games!$H140)</f>
        <v/>
      </c>
      <c r="Q140">
        <f>IF(OR($A140="",$P140&lt;&gt;"Yes"),"",$D140+ROW()/1000000)</f>
        <v/>
      </c>
      <c r="T140">
        <f>IF(connections!$A140="","",IFERROR(INDEX(games!$B$2:$B$950,MATCH(connections!$A140,games!$A$2:$A$950,0)),""))</f>
        <v/>
      </c>
      <c r="U140">
        <f>IF(connections!$A140="","",IFERROR(INDEX(games!$B$2:$B$950,MATCH(connections!$B140,games!$A$2:$A$950,0)),""))</f>
        <v/>
      </c>
      <c r="V140">
        <f>IF(OR($T140="",$U140=""),"",$U140-$T140)</f>
        <v/>
      </c>
    </row>
    <row r="141">
      <c r="A141">
        <f>IF(games!$A141="","",games!$A141)</f>
        <v/>
      </c>
      <c r="B141">
        <f>IF($A141="","",games!$B141)</f>
        <v/>
      </c>
      <c r="C141">
        <f>IF($A141="","",games!$C141)</f>
        <v/>
      </c>
      <c r="D141">
        <f>IF($A141="","",COUNTIF(connections!$A$2:$A$1400,$A141)+COUNTIF(connections!$B$2:$B$1400,$A141))</f>
        <v/>
      </c>
      <c r="E141">
        <f>IF($A141="","",IFERROR(MATCH($C141,$R$2:$R$5,0),0))</f>
        <v/>
      </c>
      <c r="F141">
        <f>IF($A141="","",MOD(ROW(),34))</f>
        <v/>
      </c>
      <c r="G141">
        <f>IF($A141="",NA(),IF($C141="Action",$B141,NA()))</f>
        <v/>
      </c>
      <c r="H141">
        <f>IF($A141="",NA(),IF($C141="Action",1+$F141*0.023,NA()))</f>
        <v/>
      </c>
      <c r="I141">
        <f>IF($A141="",NA(),IF($C141="Strategy",$B141,NA()))</f>
        <v/>
      </c>
      <c r="J141">
        <f>IF($A141="",NA(),IF($C141="Strategy",2+$F141*0.023,NA()))</f>
        <v/>
      </c>
      <c r="K141">
        <f>IF($A141="",NA(),IF($C141="Deckbuilder",$B141,NA()))</f>
        <v/>
      </c>
      <c r="L141">
        <f>IF($A141="",NA(),IF($C141="Deckbuilder",3+$F141*0.023,NA()))</f>
        <v/>
      </c>
      <c r="M141">
        <f>IF($A141="",NA(),IF($C141="Traditional",$B141,NA()))</f>
        <v/>
      </c>
      <c r="N141">
        <f>IF($A141="",NA(),IF($C141="Traditional",4+$F141*0.023,NA()))</f>
        <v/>
      </c>
      <c r="O141">
        <f>IF($A141="","",$D141+ROW()/1000000)</f>
        <v/>
      </c>
      <c r="P141">
        <f>IF(OR($A141="",games!$H141=""),"",games!$H141)</f>
        <v/>
      </c>
      <c r="Q141">
        <f>IF(OR($A141="",$P141&lt;&gt;"Yes"),"",$D141+ROW()/1000000)</f>
        <v/>
      </c>
      <c r="T141">
        <f>IF(connections!$A141="","",IFERROR(INDEX(games!$B$2:$B$950,MATCH(connections!$A141,games!$A$2:$A$950,0)),""))</f>
        <v/>
      </c>
      <c r="U141">
        <f>IF(connections!$A141="","",IFERROR(INDEX(games!$B$2:$B$950,MATCH(connections!$B141,games!$A$2:$A$950,0)),""))</f>
        <v/>
      </c>
      <c r="V141">
        <f>IF(OR($T141="",$U141=""),"",$U141-$T141)</f>
        <v/>
      </c>
    </row>
    <row r="142">
      <c r="A142">
        <f>IF(games!$A142="","",games!$A142)</f>
        <v/>
      </c>
      <c r="B142">
        <f>IF($A142="","",games!$B142)</f>
        <v/>
      </c>
      <c r="C142">
        <f>IF($A142="","",games!$C142)</f>
        <v/>
      </c>
      <c r="D142">
        <f>IF($A142="","",COUNTIF(connections!$A$2:$A$1400,$A142)+COUNTIF(connections!$B$2:$B$1400,$A142))</f>
        <v/>
      </c>
      <c r="E142">
        <f>IF($A142="","",IFERROR(MATCH($C142,$R$2:$R$5,0),0))</f>
        <v/>
      </c>
      <c r="F142">
        <f>IF($A142="","",MOD(ROW(),34))</f>
        <v/>
      </c>
      <c r="G142">
        <f>IF($A142="",NA(),IF($C142="Action",$B142,NA()))</f>
        <v/>
      </c>
      <c r="H142">
        <f>IF($A142="",NA(),IF($C142="Action",1+$F142*0.023,NA()))</f>
        <v/>
      </c>
      <c r="I142">
        <f>IF($A142="",NA(),IF($C142="Strategy",$B142,NA()))</f>
        <v/>
      </c>
      <c r="J142">
        <f>IF($A142="",NA(),IF($C142="Strategy",2+$F142*0.023,NA()))</f>
        <v/>
      </c>
      <c r="K142">
        <f>IF($A142="",NA(),IF($C142="Deckbuilder",$B142,NA()))</f>
        <v/>
      </c>
      <c r="L142">
        <f>IF($A142="",NA(),IF($C142="Deckbuilder",3+$F142*0.023,NA()))</f>
        <v/>
      </c>
      <c r="M142">
        <f>IF($A142="",NA(),IF($C142="Traditional",$B142,NA()))</f>
        <v/>
      </c>
      <c r="N142">
        <f>IF($A142="",NA(),IF($C142="Traditional",4+$F142*0.023,NA()))</f>
        <v/>
      </c>
      <c r="O142">
        <f>IF($A142="","",$D142+ROW()/1000000)</f>
        <v/>
      </c>
      <c r="P142">
        <f>IF(OR($A142="",games!$H142=""),"",games!$H142)</f>
        <v/>
      </c>
      <c r="Q142">
        <f>IF(OR($A142="",$P142&lt;&gt;"Yes"),"",$D142+ROW()/1000000)</f>
        <v/>
      </c>
      <c r="T142">
        <f>IF(connections!$A142="","",IFERROR(INDEX(games!$B$2:$B$950,MATCH(connections!$A142,games!$A$2:$A$950,0)),""))</f>
        <v/>
      </c>
      <c r="U142">
        <f>IF(connections!$A142="","",IFERROR(INDEX(games!$B$2:$B$950,MATCH(connections!$B142,games!$A$2:$A$950,0)),""))</f>
        <v/>
      </c>
      <c r="V142">
        <f>IF(OR($T142="",$U142=""),"",$U142-$T142)</f>
        <v/>
      </c>
    </row>
    <row r="143">
      <c r="A143">
        <f>IF(games!$A143="","",games!$A143)</f>
        <v/>
      </c>
      <c r="B143">
        <f>IF($A143="","",games!$B143)</f>
        <v/>
      </c>
      <c r="C143">
        <f>IF($A143="","",games!$C143)</f>
        <v/>
      </c>
      <c r="D143">
        <f>IF($A143="","",COUNTIF(connections!$A$2:$A$1400,$A143)+COUNTIF(connections!$B$2:$B$1400,$A143))</f>
        <v/>
      </c>
      <c r="E143">
        <f>IF($A143="","",IFERROR(MATCH($C143,$R$2:$R$5,0),0))</f>
        <v/>
      </c>
      <c r="F143">
        <f>IF($A143="","",MOD(ROW(),34))</f>
        <v/>
      </c>
      <c r="G143">
        <f>IF($A143="",NA(),IF($C143="Action",$B143,NA()))</f>
        <v/>
      </c>
      <c r="H143">
        <f>IF($A143="",NA(),IF($C143="Action",1+$F143*0.023,NA()))</f>
        <v/>
      </c>
      <c r="I143">
        <f>IF($A143="",NA(),IF($C143="Strategy",$B143,NA()))</f>
        <v/>
      </c>
      <c r="J143">
        <f>IF($A143="",NA(),IF($C143="Strategy",2+$F143*0.023,NA()))</f>
        <v/>
      </c>
      <c r="K143">
        <f>IF($A143="",NA(),IF($C143="Deckbuilder",$B143,NA()))</f>
        <v/>
      </c>
      <c r="L143">
        <f>IF($A143="",NA(),IF($C143="Deckbuilder",3+$F143*0.023,NA()))</f>
        <v/>
      </c>
      <c r="M143">
        <f>IF($A143="",NA(),IF($C143="Traditional",$B143,NA()))</f>
        <v/>
      </c>
      <c r="N143">
        <f>IF($A143="",NA(),IF($C143="Traditional",4+$F143*0.023,NA()))</f>
        <v/>
      </c>
      <c r="O143">
        <f>IF($A143="","",$D143+ROW()/1000000)</f>
        <v/>
      </c>
      <c r="P143">
        <f>IF(OR($A143="",games!$H143=""),"",games!$H143)</f>
        <v/>
      </c>
      <c r="Q143">
        <f>IF(OR($A143="",$P143&lt;&gt;"Yes"),"",$D143+ROW()/1000000)</f>
        <v/>
      </c>
      <c r="T143">
        <f>IF(connections!$A143="","",IFERROR(INDEX(games!$B$2:$B$950,MATCH(connections!$A143,games!$A$2:$A$950,0)),""))</f>
        <v/>
      </c>
      <c r="U143">
        <f>IF(connections!$A143="","",IFERROR(INDEX(games!$B$2:$B$950,MATCH(connections!$B143,games!$A$2:$A$950,0)),""))</f>
        <v/>
      </c>
      <c r="V143">
        <f>IF(OR($T143="",$U143=""),"",$U143-$T143)</f>
        <v/>
      </c>
    </row>
    <row r="144">
      <c r="A144">
        <f>IF(games!$A144="","",games!$A144)</f>
        <v/>
      </c>
      <c r="B144">
        <f>IF($A144="","",games!$B144)</f>
        <v/>
      </c>
      <c r="C144">
        <f>IF($A144="","",games!$C144)</f>
        <v/>
      </c>
      <c r="D144">
        <f>IF($A144="","",COUNTIF(connections!$A$2:$A$1400,$A144)+COUNTIF(connections!$B$2:$B$1400,$A144))</f>
        <v/>
      </c>
      <c r="E144">
        <f>IF($A144="","",IFERROR(MATCH($C144,$R$2:$R$5,0),0))</f>
        <v/>
      </c>
      <c r="F144">
        <f>IF($A144="","",MOD(ROW(),34))</f>
        <v/>
      </c>
      <c r="G144">
        <f>IF($A144="",NA(),IF($C144="Action",$B144,NA()))</f>
        <v/>
      </c>
      <c r="H144">
        <f>IF($A144="",NA(),IF($C144="Action",1+$F144*0.023,NA()))</f>
        <v/>
      </c>
      <c r="I144">
        <f>IF($A144="",NA(),IF($C144="Strategy",$B144,NA()))</f>
        <v/>
      </c>
      <c r="J144">
        <f>IF($A144="",NA(),IF($C144="Strategy",2+$F144*0.023,NA()))</f>
        <v/>
      </c>
      <c r="K144">
        <f>IF($A144="",NA(),IF($C144="Deckbuilder",$B144,NA()))</f>
        <v/>
      </c>
      <c r="L144">
        <f>IF($A144="",NA(),IF($C144="Deckbuilder",3+$F144*0.023,NA()))</f>
        <v/>
      </c>
      <c r="M144">
        <f>IF($A144="",NA(),IF($C144="Traditional",$B144,NA()))</f>
        <v/>
      </c>
      <c r="N144">
        <f>IF($A144="",NA(),IF($C144="Traditional",4+$F144*0.023,NA()))</f>
        <v/>
      </c>
      <c r="O144">
        <f>IF($A144="","",$D144+ROW()/1000000)</f>
        <v/>
      </c>
      <c r="P144">
        <f>IF(OR($A144="",games!$H144=""),"",games!$H144)</f>
        <v/>
      </c>
      <c r="Q144">
        <f>IF(OR($A144="",$P144&lt;&gt;"Yes"),"",$D144+ROW()/1000000)</f>
        <v/>
      </c>
      <c r="T144">
        <f>IF(connections!$A144="","",IFERROR(INDEX(games!$B$2:$B$950,MATCH(connections!$A144,games!$A$2:$A$950,0)),""))</f>
        <v/>
      </c>
      <c r="U144">
        <f>IF(connections!$A144="","",IFERROR(INDEX(games!$B$2:$B$950,MATCH(connections!$B144,games!$A$2:$A$950,0)),""))</f>
        <v/>
      </c>
      <c r="V144">
        <f>IF(OR($T144="",$U144=""),"",$U144-$T144)</f>
        <v/>
      </c>
    </row>
    <row r="145">
      <c r="A145">
        <f>IF(games!$A145="","",games!$A145)</f>
        <v/>
      </c>
      <c r="B145">
        <f>IF($A145="","",games!$B145)</f>
        <v/>
      </c>
      <c r="C145">
        <f>IF($A145="","",games!$C145)</f>
        <v/>
      </c>
      <c r="D145">
        <f>IF($A145="","",COUNTIF(connections!$A$2:$A$1400,$A145)+COUNTIF(connections!$B$2:$B$1400,$A145))</f>
        <v/>
      </c>
      <c r="E145">
        <f>IF($A145="","",IFERROR(MATCH($C145,$R$2:$R$5,0),0))</f>
        <v/>
      </c>
      <c r="F145">
        <f>IF($A145="","",MOD(ROW(),34))</f>
        <v/>
      </c>
      <c r="G145">
        <f>IF($A145="",NA(),IF($C145="Action",$B145,NA()))</f>
        <v/>
      </c>
      <c r="H145">
        <f>IF($A145="",NA(),IF($C145="Action",1+$F145*0.023,NA()))</f>
        <v/>
      </c>
      <c r="I145">
        <f>IF($A145="",NA(),IF($C145="Strategy",$B145,NA()))</f>
        <v/>
      </c>
      <c r="J145">
        <f>IF($A145="",NA(),IF($C145="Strategy",2+$F145*0.023,NA()))</f>
        <v/>
      </c>
      <c r="K145">
        <f>IF($A145="",NA(),IF($C145="Deckbuilder",$B145,NA()))</f>
        <v/>
      </c>
      <c r="L145">
        <f>IF($A145="",NA(),IF($C145="Deckbuilder",3+$F145*0.023,NA()))</f>
        <v/>
      </c>
      <c r="M145">
        <f>IF($A145="",NA(),IF($C145="Traditional",$B145,NA()))</f>
        <v/>
      </c>
      <c r="N145">
        <f>IF($A145="",NA(),IF($C145="Traditional",4+$F145*0.023,NA()))</f>
        <v/>
      </c>
      <c r="O145">
        <f>IF($A145="","",$D145+ROW()/1000000)</f>
        <v/>
      </c>
      <c r="P145">
        <f>IF(OR($A145="",games!$H145=""),"",games!$H145)</f>
        <v/>
      </c>
      <c r="Q145">
        <f>IF(OR($A145="",$P145&lt;&gt;"Yes"),"",$D145+ROW()/1000000)</f>
        <v/>
      </c>
      <c r="T145">
        <f>IF(connections!$A145="","",IFERROR(INDEX(games!$B$2:$B$950,MATCH(connections!$A145,games!$A$2:$A$950,0)),""))</f>
        <v/>
      </c>
      <c r="U145">
        <f>IF(connections!$A145="","",IFERROR(INDEX(games!$B$2:$B$950,MATCH(connections!$B145,games!$A$2:$A$950,0)),""))</f>
        <v/>
      </c>
      <c r="V145">
        <f>IF(OR($T145="",$U145=""),"",$U145-$T145)</f>
        <v/>
      </c>
    </row>
    <row r="146">
      <c r="A146">
        <f>IF(games!$A146="","",games!$A146)</f>
        <v/>
      </c>
      <c r="B146">
        <f>IF($A146="","",games!$B146)</f>
        <v/>
      </c>
      <c r="C146">
        <f>IF($A146="","",games!$C146)</f>
        <v/>
      </c>
      <c r="D146">
        <f>IF($A146="","",COUNTIF(connections!$A$2:$A$1400,$A146)+COUNTIF(connections!$B$2:$B$1400,$A146))</f>
        <v/>
      </c>
      <c r="E146">
        <f>IF($A146="","",IFERROR(MATCH($C146,$R$2:$R$5,0),0))</f>
        <v/>
      </c>
      <c r="F146">
        <f>IF($A146="","",MOD(ROW(),34))</f>
        <v/>
      </c>
      <c r="G146">
        <f>IF($A146="",NA(),IF($C146="Action",$B146,NA()))</f>
        <v/>
      </c>
      <c r="H146">
        <f>IF($A146="",NA(),IF($C146="Action",1+$F146*0.023,NA()))</f>
        <v/>
      </c>
      <c r="I146">
        <f>IF($A146="",NA(),IF($C146="Strategy",$B146,NA()))</f>
        <v/>
      </c>
      <c r="J146">
        <f>IF($A146="",NA(),IF($C146="Strategy",2+$F146*0.023,NA()))</f>
        <v/>
      </c>
      <c r="K146">
        <f>IF($A146="",NA(),IF($C146="Deckbuilder",$B146,NA()))</f>
        <v/>
      </c>
      <c r="L146">
        <f>IF($A146="",NA(),IF($C146="Deckbuilder",3+$F146*0.023,NA()))</f>
        <v/>
      </c>
      <c r="M146">
        <f>IF($A146="",NA(),IF($C146="Traditional",$B146,NA()))</f>
        <v/>
      </c>
      <c r="N146">
        <f>IF($A146="",NA(),IF($C146="Traditional",4+$F146*0.023,NA()))</f>
        <v/>
      </c>
      <c r="O146">
        <f>IF($A146="","",$D146+ROW()/1000000)</f>
        <v/>
      </c>
      <c r="P146">
        <f>IF(OR($A146="",games!$H146=""),"",games!$H146)</f>
        <v/>
      </c>
      <c r="Q146">
        <f>IF(OR($A146="",$P146&lt;&gt;"Yes"),"",$D146+ROW()/1000000)</f>
        <v/>
      </c>
      <c r="T146">
        <f>IF(connections!$A146="","",IFERROR(INDEX(games!$B$2:$B$950,MATCH(connections!$A146,games!$A$2:$A$950,0)),""))</f>
        <v/>
      </c>
      <c r="U146">
        <f>IF(connections!$A146="","",IFERROR(INDEX(games!$B$2:$B$950,MATCH(connections!$B146,games!$A$2:$A$950,0)),""))</f>
        <v/>
      </c>
      <c r="V146">
        <f>IF(OR($T146="",$U146=""),"",$U146-$T146)</f>
        <v/>
      </c>
    </row>
    <row r="147">
      <c r="A147">
        <f>IF(games!$A147="","",games!$A147)</f>
        <v/>
      </c>
      <c r="B147">
        <f>IF($A147="","",games!$B147)</f>
        <v/>
      </c>
      <c r="C147">
        <f>IF($A147="","",games!$C147)</f>
        <v/>
      </c>
      <c r="D147">
        <f>IF($A147="","",COUNTIF(connections!$A$2:$A$1400,$A147)+COUNTIF(connections!$B$2:$B$1400,$A147))</f>
        <v/>
      </c>
      <c r="E147">
        <f>IF($A147="","",IFERROR(MATCH($C147,$R$2:$R$5,0),0))</f>
        <v/>
      </c>
      <c r="F147">
        <f>IF($A147="","",MOD(ROW(),34))</f>
        <v/>
      </c>
      <c r="G147">
        <f>IF($A147="",NA(),IF($C147="Action",$B147,NA()))</f>
        <v/>
      </c>
      <c r="H147">
        <f>IF($A147="",NA(),IF($C147="Action",1+$F147*0.023,NA()))</f>
        <v/>
      </c>
      <c r="I147">
        <f>IF($A147="",NA(),IF($C147="Strategy",$B147,NA()))</f>
        <v/>
      </c>
      <c r="J147">
        <f>IF($A147="",NA(),IF($C147="Strategy",2+$F147*0.023,NA()))</f>
        <v/>
      </c>
      <c r="K147">
        <f>IF($A147="",NA(),IF($C147="Deckbuilder",$B147,NA()))</f>
        <v/>
      </c>
      <c r="L147">
        <f>IF($A147="",NA(),IF($C147="Deckbuilder",3+$F147*0.023,NA()))</f>
        <v/>
      </c>
      <c r="M147">
        <f>IF($A147="",NA(),IF($C147="Traditional",$B147,NA()))</f>
        <v/>
      </c>
      <c r="N147">
        <f>IF($A147="",NA(),IF($C147="Traditional",4+$F147*0.023,NA()))</f>
        <v/>
      </c>
      <c r="O147">
        <f>IF($A147="","",$D147+ROW()/1000000)</f>
        <v/>
      </c>
      <c r="P147">
        <f>IF(OR($A147="",games!$H147=""),"",games!$H147)</f>
        <v/>
      </c>
      <c r="Q147">
        <f>IF(OR($A147="",$P147&lt;&gt;"Yes"),"",$D147+ROW()/1000000)</f>
        <v/>
      </c>
      <c r="T147">
        <f>IF(connections!$A147="","",IFERROR(INDEX(games!$B$2:$B$950,MATCH(connections!$A147,games!$A$2:$A$950,0)),""))</f>
        <v/>
      </c>
      <c r="U147">
        <f>IF(connections!$A147="","",IFERROR(INDEX(games!$B$2:$B$950,MATCH(connections!$B147,games!$A$2:$A$950,0)),""))</f>
        <v/>
      </c>
      <c r="V147">
        <f>IF(OR($T147="",$U147=""),"",$U147-$T147)</f>
        <v/>
      </c>
    </row>
    <row r="148">
      <c r="A148">
        <f>IF(games!$A148="","",games!$A148)</f>
        <v/>
      </c>
      <c r="B148">
        <f>IF($A148="","",games!$B148)</f>
        <v/>
      </c>
      <c r="C148">
        <f>IF($A148="","",games!$C148)</f>
        <v/>
      </c>
      <c r="D148">
        <f>IF($A148="","",COUNTIF(connections!$A$2:$A$1400,$A148)+COUNTIF(connections!$B$2:$B$1400,$A148))</f>
        <v/>
      </c>
      <c r="E148">
        <f>IF($A148="","",IFERROR(MATCH($C148,$R$2:$R$5,0),0))</f>
        <v/>
      </c>
      <c r="F148">
        <f>IF($A148="","",MOD(ROW(),34))</f>
        <v/>
      </c>
      <c r="G148">
        <f>IF($A148="",NA(),IF($C148="Action",$B148,NA()))</f>
        <v/>
      </c>
      <c r="H148">
        <f>IF($A148="",NA(),IF($C148="Action",1+$F148*0.023,NA()))</f>
        <v/>
      </c>
      <c r="I148">
        <f>IF($A148="",NA(),IF($C148="Strategy",$B148,NA()))</f>
        <v/>
      </c>
      <c r="J148">
        <f>IF($A148="",NA(),IF($C148="Strategy",2+$F148*0.023,NA()))</f>
        <v/>
      </c>
      <c r="K148">
        <f>IF($A148="",NA(),IF($C148="Deckbuilder",$B148,NA()))</f>
        <v/>
      </c>
      <c r="L148">
        <f>IF($A148="",NA(),IF($C148="Deckbuilder",3+$F148*0.023,NA()))</f>
        <v/>
      </c>
      <c r="M148">
        <f>IF($A148="",NA(),IF($C148="Traditional",$B148,NA()))</f>
        <v/>
      </c>
      <c r="N148">
        <f>IF($A148="",NA(),IF($C148="Traditional",4+$F148*0.023,NA()))</f>
        <v/>
      </c>
      <c r="O148">
        <f>IF($A148="","",$D148+ROW()/1000000)</f>
        <v/>
      </c>
      <c r="P148">
        <f>IF(OR($A148="",games!$H148=""),"",games!$H148)</f>
        <v/>
      </c>
      <c r="Q148">
        <f>IF(OR($A148="",$P148&lt;&gt;"Yes"),"",$D148+ROW()/1000000)</f>
        <v/>
      </c>
      <c r="T148">
        <f>IF(connections!$A148="","",IFERROR(INDEX(games!$B$2:$B$950,MATCH(connections!$A148,games!$A$2:$A$950,0)),""))</f>
        <v/>
      </c>
      <c r="U148">
        <f>IF(connections!$A148="","",IFERROR(INDEX(games!$B$2:$B$950,MATCH(connections!$B148,games!$A$2:$A$950,0)),""))</f>
        <v/>
      </c>
      <c r="V148">
        <f>IF(OR($T148="",$U148=""),"",$U148-$T148)</f>
        <v/>
      </c>
    </row>
    <row r="149">
      <c r="A149">
        <f>IF(games!$A149="","",games!$A149)</f>
        <v/>
      </c>
      <c r="B149">
        <f>IF($A149="","",games!$B149)</f>
        <v/>
      </c>
      <c r="C149">
        <f>IF($A149="","",games!$C149)</f>
        <v/>
      </c>
      <c r="D149">
        <f>IF($A149="","",COUNTIF(connections!$A$2:$A$1400,$A149)+COUNTIF(connections!$B$2:$B$1400,$A149))</f>
        <v/>
      </c>
      <c r="E149">
        <f>IF($A149="","",IFERROR(MATCH($C149,$R$2:$R$5,0),0))</f>
        <v/>
      </c>
      <c r="F149">
        <f>IF($A149="","",MOD(ROW(),34))</f>
        <v/>
      </c>
      <c r="G149">
        <f>IF($A149="",NA(),IF($C149="Action",$B149,NA()))</f>
        <v/>
      </c>
      <c r="H149">
        <f>IF($A149="",NA(),IF($C149="Action",1+$F149*0.023,NA()))</f>
        <v/>
      </c>
      <c r="I149">
        <f>IF($A149="",NA(),IF($C149="Strategy",$B149,NA()))</f>
        <v/>
      </c>
      <c r="J149">
        <f>IF($A149="",NA(),IF($C149="Strategy",2+$F149*0.023,NA()))</f>
        <v/>
      </c>
      <c r="K149">
        <f>IF($A149="",NA(),IF($C149="Deckbuilder",$B149,NA()))</f>
        <v/>
      </c>
      <c r="L149">
        <f>IF($A149="",NA(),IF($C149="Deckbuilder",3+$F149*0.023,NA()))</f>
        <v/>
      </c>
      <c r="M149">
        <f>IF($A149="",NA(),IF($C149="Traditional",$B149,NA()))</f>
        <v/>
      </c>
      <c r="N149">
        <f>IF($A149="",NA(),IF($C149="Traditional",4+$F149*0.023,NA()))</f>
        <v/>
      </c>
      <c r="O149">
        <f>IF($A149="","",$D149+ROW()/1000000)</f>
        <v/>
      </c>
      <c r="P149">
        <f>IF(OR($A149="",games!$H149=""),"",games!$H149)</f>
        <v/>
      </c>
      <c r="Q149">
        <f>IF(OR($A149="",$P149&lt;&gt;"Yes"),"",$D149+ROW()/1000000)</f>
        <v/>
      </c>
      <c r="T149">
        <f>IF(connections!$A149="","",IFERROR(INDEX(games!$B$2:$B$950,MATCH(connections!$A149,games!$A$2:$A$950,0)),""))</f>
        <v/>
      </c>
      <c r="U149">
        <f>IF(connections!$A149="","",IFERROR(INDEX(games!$B$2:$B$950,MATCH(connections!$B149,games!$A$2:$A$950,0)),""))</f>
        <v/>
      </c>
      <c r="V149">
        <f>IF(OR($T149="",$U149=""),"",$U149-$T149)</f>
        <v/>
      </c>
    </row>
    <row r="150">
      <c r="A150">
        <f>IF(games!$A150="","",games!$A150)</f>
        <v/>
      </c>
      <c r="B150">
        <f>IF($A150="","",games!$B150)</f>
        <v/>
      </c>
      <c r="C150">
        <f>IF($A150="","",games!$C150)</f>
        <v/>
      </c>
      <c r="D150">
        <f>IF($A150="","",COUNTIF(connections!$A$2:$A$1400,$A150)+COUNTIF(connections!$B$2:$B$1400,$A150))</f>
        <v/>
      </c>
      <c r="E150">
        <f>IF($A150="","",IFERROR(MATCH($C150,$R$2:$R$5,0),0))</f>
        <v/>
      </c>
      <c r="F150">
        <f>IF($A150="","",MOD(ROW(),34))</f>
        <v/>
      </c>
      <c r="G150">
        <f>IF($A150="",NA(),IF($C150="Action",$B150,NA()))</f>
        <v/>
      </c>
      <c r="H150">
        <f>IF($A150="",NA(),IF($C150="Action",1+$F150*0.023,NA()))</f>
        <v/>
      </c>
      <c r="I150">
        <f>IF($A150="",NA(),IF($C150="Strategy",$B150,NA()))</f>
        <v/>
      </c>
      <c r="J150">
        <f>IF($A150="",NA(),IF($C150="Strategy",2+$F150*0.023,NA()))</f>
        <v/>
      </c>
      <c r="K150">
        <f>IF($A150="",NA(),IF($C150="Deckbuilder",$B150,NA()))</f>
        <v/>
      </c>
      <c r="L150">
        <f>IF($A150="",NA(),IF($C150="Deckbuilder",3+$F150*0.023,NA()))</f>
        <v/>
      </c>
      <c r="M150">
        <f>IF($A150="",NA(),IF($C150="Traditional",$B150,NA()))</f>
        <v/>
      </c>
      <c r="N150">
        <f>IF($A150="",NA(),IF($C150="Traditional",4+$F150*0.023,NA()))</f>
        <v/>
      </c>
      <c r="O150">
        <f>IF($A150="","",$D150+ROW()/1000000)</f>
        <v/>
      </c>
      <c r="P150">
        <f>IF(OR($A150="",games!$H150=""),"",games!$H150)</f>
        <v/>
      </c>
      <c r="Q150">
        <f>IF(OR($A150="",$P150&lt;&gt;"Yes"),"",$D150+ROW()/1000000)</f>
        <v/>
      </c>
      <c r="T150">
        <f>IF(connections!$A150="","",IFERROR(INDEX(games!$B$2:$B$950,MATCH(connections!$A150,games!$A$2:$A$950,0)),""))</f>
        <v/>
      </c>
      <c r="U150">
        <f>IF(connections!$A150="","",IFERROR(INDEX(games!$B$2:$B$950,MATCH(connections!$B150,games!$A$2:$A$950,0)),""))</f>
        <v/>
      </c>
      <c r="V150">
        <f>IF(OR($T150="",$U150=""),"",$U150-$T150)</f>
        <v/>
      </c>
    </row>
    <row r="151">
      <c r="A151">
        <f>IF(games!$A151="","",games!$A151)</f>
        <v/>
      </c>
      <c r="B151">
        <f>IF($A151="","",games!$B151)</f>
        <v/>
      </c>
      <c r="C151">
        <f>IF($A151="","",games!$C151)</f>
        <v/>
      </c>
      <c r="D151">
        <f>IF($A151="","",COUNTIF(connections!$A$2:$A$1400,$A151)+COUNTIF(connections!$B$2:$B$1400,$A151))</f>
        <v/>
      </c>
      <c r="E151">
        <f>IF($A151="","",IFERROR(MATCH($C151,$R$2:$R$5,0),0))</f>
        <v/>
      </c>
      <c r="F151">
        <f>IF($A151="","",MOD(ROW(),34))</f>
        <v/>
      </c>
      <c r="G151">
        <f>IF($A151="",NA(),IF($C151="Action",$B151,NA()))</f>
        <v/>
      </c>
      <c r="H151">
        <f>IF($A151="",NA(),IF($C151="Action",1+$F151*0.023,NA()))</f>
        <v/>
      </c>
      <c r="I151">
        <f>IF($A151="",NA(),IF($C151="Strategy",$B151,NA()))</f>
        <v/>
      </c>
      <c r="J151">
        <f>IF($A151="",NA(),IF($C151="Strategy",2+$F151*0.023,NA()))</f>
        <v/>
      </c>
      <c r="K151">
        <f>IF($A151="",NA(),IF($C151="Deckbuilder",$B151,NA()))</f>
        <v/>
      </c>
      <c r="L151">
        <f>IF($A151="",NA(),IF($C151="Deckbuilder",3+$F151*0.023,NA()))</f>
        <v/>
      </c>
      <c r="M151">
        <f>IF($A151="",NA(),IF($C151="Traditional",$B151,NA()))</f>
        <v/>
      </c>
      <c r="N151">
        <f>IF($A151="",NA(),IF($C151="Traditional",4+$F151*0.023,NA()))</f>
        <v/>
      </c>
      <c r="O151">
        <f>IF($A151="","",$D151+ROW()/1000000)</f>
        <v/>
      </c>
      <c r="P151">
        <f>IF(OR($A151="",games!$H151=""),"",games!$H151)</f>
        <v/>
      </c>
      <c r="Q151">
        <f>IF(OR($A151="",$P151&lt;&gt;"Yes"),"",$D151+ROW()/1000000)</f>
        <v/>
      </c>
      <c r="T151">
        <f>IF(connections!$A151="","",IFERROR(INDEX(games!$B$2:$B$950,MATCH(connections!$A151,games!$A$2:$A$950,0)),""))</f>
        <v/>
      </c>
      <c r="U151">
        <f>IF(connections!$A151="","",IFERROR(INDEX(games!$B$2:$B$950,MATCH(connections!$B151,games!$A$2:$A$950,0)),""))</f>
        <v/>
      </c>
      <c r="V151">
        <f>IF(OR($T151="",$U151=""),"",$U151-$T151)</f>
        <v/>
      </c>
    </row>
    <row r="152">
      <c r="A152">
        <f>IF(games!$A152="","",games!$A152)</f>
        <v/>
      </c>
      <c r="B152">
        <f>IF($A152="","",games!$B152)</f>
        <v/>
      </c>
      <c r="C152">
        <f>IF($A152="","",games!$C152)</f>
        <v/>
      </c>
      <c r="D152">
        <f>IF($A152="","",COUNTIF(connections!$A$2:$A$1400,$A152)+COUNTIF(connections!$B$2:$B$1400,$A152))</f>
        <v/>
      </c>
      <c r="E152">
        <f>IF($A152="","",IFERROR(MATCH($C152,$R$2:$R$5,0),0))</f>
        <v/>
      </c>
      <c r="F152">
        <f>IF($A152="","",MOD(ROW(),34))</f>
        <v/>
      </c>
      <c r="G152">
        <f>IF($A152="",NA(),IF($C152="Action",$B152,NA()))</f>
        <v/>
      </c>
      <c r="H152">
        <f>IF($A152="",NA(),IF($C152="Action",1+$F152*0.023,NA()))</f>
        <v/>
      </c>
      <c r="I152">
        <f>IF($A152="",NA(),IF($C152="Strategy",$B152,NA()))</f>
        <v/>
      </c>
      <c r="J152">
        <f>IF($A152="",NA(),IF($C152="Strategy",2+$F152*0.023,NA()))</f>
        <v/>
      </c>
      <c r="K152">
        <f>IF($A152="",NA(),IF($C152="Deckbuilder",$B152,NA()))</f>
        <v/>
      </c>
      <c r="L152">
        <f>IF($A152="",NA(),IF($C152="Deckbuilder",3+$F152*0.023,NA()))</f>
        <v/>
      </c>
      <c r="M152">
        <f>IF($A152="",NA(),IF($C152="Traditional",$B152,NA()))</f>
        <v/>
      </c>
      <c r="N152">
        <f>IF($A152="",NA(),IF($C152="Traditional",4+$F152*0.023,NA()))</f>
        <v/>
      </c>
      <c r="O152">
        <f>IF($A152="","",$D152+ROW()/1000000)</f>
        <v/>
      </c>
      <c r="P152">
        <f>IF(OR($A152="",games!$H152=""),"",games!$H152)</f>
        <v/>
      </c>
      <c r="Q152">
        <f>IF(OR($A152="",$P152&lt;&gt;"Yes"),"",$D152+ROW()/1000000)</f>
        <v/>
      </c>
      <c r="T152">
        <f>IF(connections!$A152="","",IFERROR(INDEX(games!$B$2:$B$950,MATCH(connections!$A152,games!$A$2:$A$950,0)),""))</f>
        <v/>
      </c>
      <c r="U152">
        <f>IF(connections!$A152="","",IFERROR(INDEX(games!$B$2:$B$950,MATCH(connections!$B152,games!$A$2:$A$950,0)),""))</f>
        <v/>
      </c>
      <c r="V152">
        <f>IF(OR($T152="",$U152=""),"",$U152-$T152)</f>
        <v/>
      </c>
    </row>
    <row r="153">
      <c r="A153">
        <f>IF(games!$A153="","",games!$A153)</f>
        <v/>
      </c>
      <c r="B153">
        <f>IF($A153="","",games!$B153)</f>
        <v/>
      </c>
      <c r="C153">
        <f>IF($A153="","",games!$C153)</f>
        <v/>
      </c>
      <c r="D153">
        <f>IF($A153="","",COUNTIF(connections!$A$2:$A$1400,$A153)+COUNTIF(connections!$B$2:$B$1400,$A153))</f>
        <v/>
      </c>
      <c r="E153">
        <f>IF($A153="","",IFERROR(MATCH($C153,$R$2:$R$5,0),0))</f>
        <v/>
      </c>
      <c r="F153">
        <f>IF($A153="","",MOD(ROW(),34))</f>
        <v/>
      </c>
      <c r="G153">
        <f>IF($A153="",NA(),IF($C153="Action",$B153,NA()))</f>
        <v/>
      </c>
      <c r="H153">
        <f>IF($A153="",NA(),IF($C153="Action",1+$F153*0.023,NA()))</f>
        <v/>
      </c>
      <c r="I153">
        <f>IF($A153="",NA(),IF($C153="Strategy",$B153,NA()))</f>
        <v/>
      </c>
      <c r="J153">
        <f>IF($A153="",NA(),IF($C153="Strategy",2+$F153*0.023,NA()))</f>
        <v/>
      </c>
      <c r="K153">
        <f>IF($A153="",NA(),IF($C153="Deckbuilder",$B153,NA()))</f>
        <v/>
      </c>
      <c r="L153">
        <f>IF($A153="",NA(),IF($C153="Deckbuilder",3+$F153*0.023,NA()))</f>
        <v/>
      </c>
      <c r="M153">
        <f>IF($A153="",NA(),IF($C153="Traditional",$B153,NA()))</f>
        <v/>
      </c>
      <c r="N153">
        <f>IF($A153="",NA(),IF($C153="Traditional",4+$F153*0.023,NA()))</f>
        <v/>
      </c>
      <c r="O153">
        <f>IF($A153="","",$D153+ROW()/1000000)</f>
        <v/>
      </c>
      <c r="P153">
        <f>IF(OR($A153="",games!$H153=""),"",games!$H153)</f>
        <v/>
      </c>
      <c r="Q153">
        <f>IF(OR($A153="",$P153&lt;&gt;"Yes"),"",$D153+ROW()/1000000)</f>
        <v/>
      </c>
      <c r="T153">
        <f>IF(connections!$A153="","",IFERROR(INDEX(games!$B$2:$B$950,MATCH(connections!$A153,games!$A$2:$A$950,0)),""))</f>
        <v/>
      </c>
      <c r="U153">
        <f>IF(connections!$A153="","",IFERROR(INDEX(games!$B$2:$B$950,MATCH(connections!$B153,games!$A$2:$A$950,0)),""))</f>
        <v/>
      </c>
      <c r="V153">
        <f>IF(OR($T153="",$U153=""),"",$U153-$T153)</f>
        <v/>
      </c>
    </row>
    <row r="154">
      <c r="A154">
        <f>IF(games!$A154="","",games!$A154)</f>
        <v/>
      </c>
      <c r="B154">
        <f>IF($A154="","",games!$B154)</f>
        <v/>
      </c>
      <c r="C154">
        <f>IF($A154="","",games!$C154)</f>
        <v/>
      </c>
      <c r="D154">
        <f>IF($A154="","",COUNTIF(connections!$A$2:$A$1400,$A154)+COUNTIF(connections!$B$2:$B$1400,$A154))</f>
        <v/>
      </c>
      <c r="E154">
        <f>IF($A154="","",IFERROR(MATCH($C154,$R$2:$R$5,0),0))</f>
        <v/>
      </c>
      <c r="F154">
        <f>IF($A154="","",MOD(ROW(),34))</f>
        <v/>
      </c>
      <c r="G154">
        <f>IF($A154="",NA(),IF($C154="Action",$B154,NA()))</f>
        <v/>
      </c>
      <c r="H154">
        <f>IF($A154="",NA(),IF($C154="Action",1+$F154*0.023,NA()))</f>
        <v/>
      </c>
      <c r="I154">
        <f>IF($A154="",NA(),IF($C154="Strategy",$B154,NA()))</f>
        <v/>
      </c>
      <c r="J154">
        <f>IF($A154="",NA(),IF($C154="Strategy",2+$F154*0.023,NA()))</f>
        <v/>
      </c>
      <c r="K154">
        <f>IF($A154="",NA(),IF($C154="Deckbuilder",$B154,NA()))</f>
        <v/>
      </c>
      <c r="L154">
        <f>IF($A154="",NA(),IF($C154="Deckbuilder",3+$F154*0.023,NA()))</f>
        <v/>
      </c>
      <c r="M154">
        <f>IF($A154="",NA(),IF($C154="Traditional",$B154,NA()))</f>
        <v/>
      </c>
      <c r="N154">
        <f>IF($A154="",NA(),IF($C154="Traditional",4+$F154*0.023,NA()))</f>
        <v/>
      </c>
      <c r="O154">
        <f>IF($A154="","",$D154+ROW()/1000000)</f>
        <v/>
      </c>
      <c r="P154">
        <f>IF(OR($A154="",games!$H154=""),"",games!$H154)</f>
        <v/>
      </c>
      <c r="Q154">
        <f>IF(OR($A154="",$P154&lt;&gt;"Yes"),"",$D154+ROW()/1000000)</f>
        <v/>
      </c>
      <c r="T154">
        <f>IF(connections!$A154="","",IFERROR(INDEX(games!$B$2:$B$950,MATCH(connections!$A154,games!$A$2:$A$950,0)),""))</f>
        <v/>
      </c>
      <c r="U154">
        <f>IF(connections!$A154="","",IFERROR(INDEX(games!$B$2:$B$950,MATCH(connections!$B154,games!$A$2:$A$950,0)),""))</f>
        <v/>
      </c>
      <c r="V154">
        <f>IF(OR($T154="",$U154=""),"",$U154-$T154)</f>
        <v/>
      </c>
    </row>
    <row r="155">
      <c r="A155">
        <f>IF(games!$A155="","",games!$A155)</f>
        <v/>
      </c>
      <c r="B155">
        <f>IF($A155="","",games!$B155)</f>
        <v/>
      </c>
      <c r="C155">
        <f>IF($A155="","",games!$C155)</f>
        <v/>
      </c>
      <c r="D155">
        <f>IF($A155="","",COUNTIF(connections!$A$2:$A$1400,$A155)+COUNTIF(connections!$B$2:$B$1400,$A155))</f>
        <v/>
      </c>
      <c r="E155">
        <f>IF($A155="","",IFERROR(MATCH($C155,$R$2:$R$5,0),0))</f>
        <v/>
      </c>
      <c r="F155">
        <f>IF($A155="","",MOD(ROW(),34))</f>
        <v/>
      </c>
      <c r="G155">
        <f>IF($A155="",NA(),IF($C155="Action",$B155,NA()))</f>
        <v/>
      </c>
      <c r="H155">
        <f>IF($A155="",NA(),IF($C155="Action",1+$F155*0.023,NA()))</f>
        <v/>
      </c>
      <c r="I155">
        <f>IF($A155="",NA(),IF($C155="Strategy",$B155,NA()))</f>
        <v/>
      </c>
      <c r="J155">
        <f>IF($A155="",NA(),IF($C155="Strategy",2+$F155*0.023,NA()))</f>
        <v/>
      </c>
      <c r="K155">
        <f>IF($A155="",NA(),IF($C155="Deckbuilder",$B155,NA()))</f>
        <v/>
      </c>
      <c r="L155">
        <f>IF($A155="",NA(),IF($C155="Deckbuilder",3+$F155*0.023,NA()))</f>
        <v/>
      </c>
      <c r="M155">
        <f>IF($A155="",NA(),IF($C155="Traditional",$B155,NA()))</f>
        <v/>
      </c>
      <c r="N155">
        <f>IF($A155="",NA(),IF($C155="Traditional",4+$F155*0.023,NA()))</f>
        <v/>
      </c>
      <c r="O155">
        <f>IF($A155="","",$D155+ROW()/1000000)</f>
        <v/>
      </c>
      <c r="P155">
        <f>IF(OR($A155="",games!$H155=""),"",games!$H155)</f>
        <v/>
      </c>
      <c r="Q155">
        <f>IF(OR($A155="",$P155&lt;&gt;"Yes"),"",$D155+ROW()/1000000)</f>
        <v/>
      </c>
      <c r="T155">
        <f>IF(connections!$A155="","",IFERROR(INDEX(games!$B$2:$B$950,MATCH(connections!$A155,games!$A$2:$A$950,0)),""))</f>
        <v/>
      </c>
      <c r="U155">
        <f>IF(connections!$A155="","",IFERROR(INDEX(games!$B$2:$B$950,MATCH(connections!$B155,games!$A$2:$A$950,0)),""))</f>
        <v/>
      </c>
      <c r="V155">
        <f>IF(OR($T155="",$U155=""),"",$U155-$T155)</f>
        <v/>
      </c>
    </row>
    <row r="156">
      <c r="A156">
        <f>IF(games!$A156="","",games!$A156)</f>
        <v/>
      </c>
      <c r="B156">
        <f>IF($A156="","",games!$B156)</f>
        <v/>
      </c>
      <c r="C156">
        <f>IF($A156="","",games!$C156)</f>
        <v/>
      </c>
      <c r="D156">
        <f>IF($A156="","",COUNTIF(connections!$A$2:$A$1400,$A156)+COUNTIF(connections!$B$2:$B$1400,$A156))</f>
        <v/>
      </c>
      <c r="E156">
        <f>IF($A156="","",IFERROR(MATCH($C156,$R$2:$R$5,0),0))</f>
        <v/>
      </c>
      <c r="F156">
        <f>IF($A156="","",MOD(ROW(),34))</f>
        <v/>
      </c>
      <c r="G156">
        <f>IF($A156="",NA(),IF($C156="Action",$B156,NA()))</f>
        <v/>
      </c>
      <c r="H156">
        <f>IF($A156="",NA(),IF($C156="Action",1+$F156*0.023,NA()))</f>
        <v/>
      </c>
      <c r="I156">
        <f>IF($A156="",NA(),IF($C156="Strategy",$B156,NA()))</f>
        <v/>
      </c>
      <c r="J156">
        <f>IF($A156="",NA(),IF($C156="Strategy",2+$F156*0.023,NA()))</f>
        <v/>
      </c>
      <c r="K156">
        <f>IF($A156="",NA(),IF($C156="Deckbuilder",$B156,NA()))</f>
        <v/>
      </c>
      <c r="L156">
        <f>IF($A156="",NA(),IF($C156="Deckbuilder",3+$F156*0.023,NA()))</f>
        <v/>
      </c>
      <c r="M156">
        <f>IF($A156="",NA(),IF($C156="Traditional",$B156,NA()))</f>
        <v/>
      </c>
      <c r="N156">
        <f>IF($A156="",NA(),IF($C156="Traditional",4+$F156*0.023,NA()))</f>
        <v/>
      </c>
      <c r="O156">
        <f>IF($A156="","",$D156+ROW()/1000000)</f>
        <v/>
      </c>
      <c r="P156">
        <f>IF(OR($A156="",games!$H156=""),"",games!$H156)</f>
        <v/>
      </c>
      <c r="Q156">
        <f>IF(OR($A156="",$P156&lt;&gt;"Yes"),"",$D156+ROW()/1000000)</f>
        <v/>
      </c>
      <c r="T156">
        <f>IF(connections!$A156="","",IFERROR(INDEX(games!$B$2:$B$950,MATCH(connections!$A156,games!$A$2:$A$950,0)),""))</f>
        <v/>
      </c>
      <c r="U156">
        <f>IF(connections!$A156="","",IFERROR(INDEX(games!$B$2:$B$950,MATCH(connections!$B156,games!$A$2:$A$950,0)),""))</f>
        <v/>
      </c>
      <c r="V156">
        <f>IF(OR($T156="",$U156=""),"",$U156-$T156)</f>
        <v/>
      </c>
    </row>
    <row r="157">
      <c r="A157">
        <f>IF(games!$A157="","",games!$A157)</f>
        <v/>
      </c>
      <c r="B157">
        <f>IF($A157="","",games!$B157)</f>
        <v/>
      </c>
      <c r="C157">
        <f>IF($A157="","",games!$C157)</f>
        <v/>
      </c>
      <c r="D157">
        <f>IF($A157="","",COUNTIF(connections!$A$2:$A$1400,$A157)+COUNTIF(connections!$B$2:$B$1400,$A157))</f>
        <v/>
      </c>
      <c r="E157">
        <f>IF($A157="","",IFERROR(MATCH($C157,$R$2:$R$5,0),0))</f>
        <v/>
      </c>
      <c r="F157">
        <f>IF($A157="","",MOD(ROW(),34))</f>
        <v/>
      </c>
      <c r="G157">
        <f>IF($A157="",NA(),IF($C157="Action",$B157,NA()))</f>
        <v/>
      </c>
      <c r="H157">
        <f>IF($A157="",NA(),IF($C157="Action",1+$F157*0.023,NA()))</f>
        <v/>
      </c>
      <c r="I157">
        <f>IF($A157="",NA(),IF($C157="Strategy",$B157,NA()))</f>
        <v/>
      </c>
      <c r="J157">
        <f>IF($A157="",NA(),IF($C157="Strategy",2+$F157*0.023,NA()))</f>
        <v/>
      </c>
      <c r="K157">
        <f>IF($A157="",NA(),IF($C157="Deckbuilder",$B157,NA()))</f>
        <v/>
      </c>
      <c r="L157">
        <f>IF($A157="",NA(),IF($C157="Deckbuilder",3+$F157*0.023,NA()))</f>
        <v/>
      </c>
      <c r="M157">
        <f>IF($A157="",NA(),IF($C157="Traditional",$B157,NA()))</f>
        <v/>
      </c>
      <c r="N157">
        <f>IF($A157="",NA(),IF($C157="Traditional",4+$F157*0.023,NA()))</f>
        <v/>
      </c>
      <c r="O157">
        <f>IF($A157="","",$D157+ROW()/1000000)</f>
        <v/>
      </c>
      <c r="P157">
        <f>IF(OR($A157="",games!$H157=""),"",games!$H157)</f>
        <v/>
      </c>
      <c r="Q157">
        <f>IF(OR($A157="",$P157&lt;&gt;"Yes"),"",$D157+ROW()/1000000)</f>
        <v/>
      </c>
      <c r="T157">
        <f>IF(connections!$A157="","",IFERROR(INDEX(games!$B$2:$B$950,MATCH(connections!$A157,games!$A$2:$A$950,0)),""))</f>
        <v/>
      </c>
      <c r="U157">
        <f>IF(connections!$A157="","",IFERROR(INDEX(games!$B$2:$B$950,MATCH(connections!$B157,games!$A$2:$A$950,0)),""))</f>
        <v/>
      </c>
      <c r="V157">
        <f>IF(OR($T157="",$U157=""),"",$U157-$T157)</f>
        <v/>
      </c>
    </row>
    <row r="158">
      <c r="A158">
        <f>IF(games!$A158="","",games!$A158)</f>
        <v/>
      </c>
      <c r="B158">
        <f>IF($A158="","",games!$B158)</f>
        <v/>
      </c>
      <c r="C158">
        <f>IF($A158="","",games!$C158)</f>
        <v/>
      </c>
      <c r="D158">
        <f>IF($A158="","",COUNTIF(connections!$A$2:$A$1400,$A158)+COUNTIF(connections!$B$2:$B$1400,$A158))</f>
        <v/>
      </c>
      <c r="E158">
        <f>IF($A158="","",IFERROR(MATCH($C158,$R$2:$R$5,0),0))</f>
        <v/>
      </c>
      <c r="F158">
        <f>IF($A158="","",MOD(ROW(),34))</f>
        <v/>
      </c>
      <c r="G158">
        <f>IF($A158="",NA(),IF($C158="Action",$B158,NA()))</f>
        <v/>
      </c>
      <c r="H158">
        <f>IF($A158="",NA(),IF($C158="Action",1+$F158*0.023,NA()))</f>
        <v/>
      </c>
      <c r="I158">
        <f>IF($A158="",NA(),IF($C158="Strategy",$B158,NA()))</f>
        <v/>
      </c>
      <c r="J158">
        <f>IF($A158="",NA(),IF($C158="Strategy",2+$F158*0.023,NA()))</f>
        <v/>
      </c>
      <c r="K158">
        <f>IF($A158="",NA(),IF($C158="Deckbuilder",$B158,NA()))</f>
        <v/>
      </c>
      <c r="L158">
        <f>IF($A158="",NA(),IF($C158="Deckbuilder",3+$F158*0.023,NA()))</f>
        <v/>
      </c>
      <c r="M158">
        <f>IF($A158="",NA(),IF($C158="Traditional",$B158,NA()))</f>
        <v/>
      </c>
      <c r="N158">
        <f>IF($A158="",NA(),IF($C158="Traditional",4+$F158*0.023,NA()))</f>
        <v/>
      </c>
      <c r="O158">
        <f>IF($A158="","",$D158+ROW()/1000000)</f>
        <v/>
      </c>
      <c r="P158">
        <f>IF(OR($A158="",games!$H158=""),"",games!$H158)</f>
        <v/>
      </c>
      <c r="Q158">
        <f>IF(OR($A158="",$P158&lt;&gt;"Yes"),"",$D158+ROW()/1000000)</f>
        <v/>
      </c>
      <c r="T158">
        <f>IF(connections!$A158="","",IFERROR(INDEX(games!$B$2:$B$950,MATCH(connections!$A158,games!$A$2:$A$950,0)),""))</f>
        <v/>
      </c>
      <c r="U158">
        <f>IF(connections!$A158="","",IFERROR(INDEX(games!$B$2:$B$950,MATCH(connections!$B158,games!$A$2:$A$950,0)),""))</f>
        <v/>
      </c>
      <c r="V158">
        <f>IF(OR($T158="",$U158=""),"",$U158-$T158)</f>
        <v/>
      </c>
    </row>
    <row r="159">
      <c r="A159">
        <f>IF(games!$A159="","",games!$A159)</f>
        <v/>
      </c>
      <c r="B159">
        <f>IF($A159="","",games!$B159)</f>
        <v/>
      </c>
      <c r="C159">
        <f>IF($A159="","",games!$C159)</f>
        <v/>
      </c>
      <c r="D159">
        <f>IF($A159="","",COUNTIF(connections!$A$2:$A$1400,$A159)+COUNTIF(connections!$B$2:$B$1400,$A159))</f>
        <v/>
      </c>
      <c r="E159">
        <f>IF($A159="","",IFERROR(MATCH($C159,$R$2:$R$5,0),0))</f>
        <v/>
      </c>
      <c r="F159">
        <f>IF($A159="","",MOD(ROW(),34))</f>
        <v/>
      </c>
      <c r="G159">
        <f>IF($A159="",NA(),IF($C159="Action",$B159,NA()))</f>
        <v/>
      </c>
      <c r="H159">
        <f>IF($A159="",NA(),IF($C159="Action",1+$F159*0.023,NA()))</f>
        <v/>
      </c>
      <c r="I159">
        <f>IF($A159="",NA(),IF($C159="Strategy",$B159,NA()))</f>
        <v/>
      </c>
      <c r="J159">
        <f>IF($A159="",NA(),IF($C159="Strategy",2+$F159*0.023,NA()))</f>
        <v/>
      </c>
      <c r="K159">
        <f>IF($A159="",NA(),IF($C159="Deckbuilder",$B159,NA()))</f>
        <v/>
      </c>
      <c r="L159">
        <f>IF($A159="",NA(),IF($C159="Deckbuilder",3+$F159*0.023,NA()))</f>
        <v/>
      </c>
      <c r="M159">
        <f>IF($A159="",NA(),IF($C159="Traditional",$B159,NA()))</f>
        <v/>
      </c>
      <c r="N159">
        <f>IF($A159="",NA(),IF($C159="Traditional",4+$F159*0.023,NA()))</f>
        <v/>
      </c>
      <c r="O159">
        <f>IF($A159="","",$D159+ROW()/1000000)</f>
        <v/>
      </c>
      <c r="P159">
        <f>IF(OR($A159="",games!$H159=""),"",games!$H159)</f>
        <v/>
      </c>
      <c r="Q159">
        <f>IF(OR($A159="",$P159&lt;&gt;"Yes"),"",$D159+ROW()/1000000)</f>
        <v/>
      </c>
      <c r="T159">
        <f>IF(connections!$A159="","",IFERROR(INDEX(games!$B$2:$B$950,MATCH(connections!$A159,games!$A$2:$A$950,0)),""))</f>
        <v/>
      </c>
      <c r="U159">
        <f>IF(connections!$A159="","",IFERROR(INDEX(games!$B$2:$B$950,MATCH(connections!$B159,games!$A$2:$A$950,0)),""))</f>
        <v/>
      </c>
      <c r="V159">
        <f>IF(OR($T159="",$U159=""),"",$U159-$T159)</f>
        <v/>
      </c>
    </row>
    <row r="160">
      <c r="A160">
        <f>IF(games!$A160="","",games!$A160)</f>
        <v/>
      </c>
      <c r="B160">
        <f>IF($A160="","",games!$B160)</f>
        <v/>
      </c>
      <c r="C160">
        <f>IF($A160="","",games!$C160)</f>
        <v/>
      </c>
      <c r="D160">
        <f>IF($A160="","",COUNTIF(connections!$A$2:$A$1400,$A160)+COUNTIF(connections!$B$2:$B$1400,$A160))</f>
        <v/>
      </c>
      <c r="E160">
        <f>IF($A160="","",IFERROR(MATCH($C160,$R$2:$R$5,0),0))</f>
        <v/>
      </c>
      <c r="F160">
        <f>IF($A160="","",MOD(ROW(),34))</f>
        <v/>
      </c>
      <c r="G160">
        <f>IF($A160="",NA(),IF($C160="Action",$B160,NA()))</f>
        <v/>
      </c>
      <c r="H160">
        <f>IF($A160="",NA(),IF($C160="Action",1+$F160*0.023,NA()))</f>
        <v/>
      </c>
      <c r="I160">
        <f>IF($A160="",NA(),IF($C160="Strategy",$B160,NA()))</f>
        <v/>
      </c>
      <c r="J160">
        <f>IF($A160="",NA(),IF($C160="Strategy",2+$F160*0.023,NA()))</f>
        <v/>
      </c>
      <c r="K160">
        <f>IF($A160="",NA(),IF($C160="Deckbuilder",$B160,NA()))</f>
        <v/>
      </c>
      <c r="L160">
        <f>IF($A160="",NA(),IF($C160="Deckbuilder",3+$F160*0.023,NA()))</f>
        <v/>
      </c>
      <c r="M160">
        <f>IF($A160="",NA(),IF($C160="Traditional",$B160,NA()))</f>
        <v/>
      </c>
      <c r="N160">
        <f>IF($A160="",NA(),IF($C160="Traditional",4+$F160*0.023,NA()))</f>
        <v/>
      </c>
      <c r="O160">
        <f>IF($A160="","",$D160+ROW()/1000000)</f>
        <v/>
      </c>
      <c r="P160">
        <f>IF(OR($A160="",games!$H160=""),"",games!$H160)</f>
        <v/>
      </c>
      <c r="Q160">
        <f>IF(OR($A160="",$P160&lt;&gt;"Yes"),"",$D160+ROW()/1000000)</f>
        <v/>
      </c>
      <c r="T160">
        <f>IF(connections!$A160="","",IFERROR(INDEX(games!$B$2:$B$950,MATCH(connections!$A160,games!$A$2:$A$950,0)),""))</f>
        <v/>
      </c>
      <c r="U160">
        <f>IF(connections!$A160="","",IFERROR(INDEX(games!$B$2:$B$950,MATCH(connections!$B160,games!$A$2:$A$950,0)),""))</f>
        <v/>
      </c>
      <c r="V160">
        <f>IF(OR($T160="",$U160=""),"",$U160-$T160)</f>
        <v/>
      </c>
    </row>
    <row r="161">
      <c r="A161">
        <f>IF(games!$A161="","",games!$A161)</f>
        <v/>
      </c>
      <c r="B161">
        <f>IF($A161="","",games!$B161)</f>
        <v/>
      </c>
      <c r="C161">
        <f>IF($A161="","",games!$C161)</f>
        <v/>
      </c>
      <c r="D161">
        <f>IF($A161="","",COUNTIF(connections!$A$2:$A$1400,$A161)+COUNTIF(connections!$B$2:$B$1400,$A161))</f>
        <v/>
      </c>
      <c r="E161">
        <f>IF($A161="","",IFERROR(MATCH($C161,$R$2:$R$5,0),0))</f>
        <v/>
      </c>
      <c r="F161">
        <f>IF($A161="","",MOD(ROW(),34))</f>
        <v/>
      </c>
      <c r="G161">
        <f>IF($A161="",NA(),IF($C161="Action",$B161,NA()))</f>
        <v/>
      </c>
      <c r="H161">
        <f>IF($A161="",NA(),IF($C161="Action",1+$F161*0.023,NA()))</f>
        <v/>
      </c>
      <c r="I161">
        <f>IF($A161="",NA(),IF($C161="Strategy",$B161,NA()))</f>
        <v/>
      </c>
      <c r="J161">
        <f>IF($A161="",NA(),IF($C161="Strategy",2+$F161*0.023,NA()))</f>
        <v/>
      </c>
      <c r="K161">
        <f>IF($A161="",NA(),IF($C161="Deckbuilder",$B161,NA()))</f>
        <v/>
      </c>
      <c r="L161">
        <f>IF($A161="",NA(),IF($C161="Deckbuilder",3+$F161*0.023,NA()))</f>
        <v/>
      </c>
      <c r="M161">
        <f>IF($A161="",NA(),IF($C161="Traditional",$B161,NA()))</f>
        <v/>
      </c>
      <c r="N161">
        <f>IF($A161="",NA(),IF($C161="Traditional",4+$F161*0.023,NA()))</f>
        <v/>
      </c>
      <c r="O161">
        <f>IF($A161="","",$D161+ROW()/1000000)</f>
        <v/>
      </c>
      <c r="P161">
        <f>IF(OR($A161="",games!$H161=""),"",games!$H161)</f>
        <v/>
      </c>
      <c r="Q161">
        <f>IF(OR($A161="",$P161&lt;&gt;"Yes"),"",$D161+ROW()/1000000)</f>
        <v/>
      </c>
      <c r="T161">
        <f>IF(connections!$A161="","",IFERROR(INDEX(games!$B$2:$B$950,MATCH(connections!$A161,games!$A$2:$A$950,0)),""))</f>
        <v/>
      </c>
      <c r="U161">
        <f>IF(connections!$A161="","",IFERROR(INDEX(games!$B$2:$B$950,MATCH(connections!$B161,games!$A$2:$A$950,0)),""))</f>
        <v/>
      </c>
      <c r="V161">
        <f>IF(OR($T161="",$U161=""),"",$U161-$T161)</f>
        <v/>
      </c>
    </row>
    <row r="162">
      <c r="A162">
        <f>IF(games!$A162="","",games!$A162)</f>
        <v/>
      </c>
      <c r="B162">
        <f>IF($A162="","",games!$B162)</f>
        <v/>
      </c>
      <c r="C162">
        <f>IF($A162="","",games!$C162)</f>
        <v/>
      </c>
      <c r="D162">
        <f>IF($A162="","",COUNTIF(connections!$A$2:$A$1400,$A162)+COUNTIF(connections!$B$2:$B$1400,$A162))</f>
        <v/>
      </c>
      <c r="E162">
        <f>IF($A162="","",IFERROR(MATCH($C162,$R$2:$R$5,0),0))</f>
        <v/>
      </c>
      <c r="F162">
        <f>IF($A162="","",MOD(ROW(),34))</f>
        <v/>
      </c>
      <c r="G162">
        <f>IF($A162="",NA(),IF($C162="Action",$B162,NA()))</f>
        <v/>
      </c>
      <c r="H162">
        <f>IF($A162="",NA(),IF($C162="Action",1+$F162*0.023,NA()))</f>
        <v/>
      </c>
      <c r="I162">
        <f>IF($A162="",NA(),IF($C162="Strategy",$B162,NA()))</f>
        <v/>
      </c>
      <c r="J162">
        <f>IF($A162="",NA(),IF($C162="Strategy",2+$F162*0.023,NA()))</f>
        <v/>
      </c>
      <c r="K162">
        <f>IF($A162="",NA(),IF($C162="Deckbuilder",$B162,NA()))</f>
        <v/>
      </c>
      <c r="L162">
        <f>IF($A162="",NA(),IF($C162="Deckbuilder",3+$F162*0.023,NA()))</f>
        <v/>
      </c>
      <c r="M162">
        <f>IF($A162="",NA(),IF($C162="Traditional",$B162,NA()))</f>
        <v/>
      </c>
      <c r="N162">
        <f>IF($A162="",NA(),IF($C162="Traditional",4+$F162*0.023,NA()))</f>
        <v/>
      </c>
      <c r="O162">
        <f>IF($A162="","",$D162+ROW()/1000000)</f>
        <v/>
      </c>
      <c r="P162">
        <f>IF(OR($A162="",games!$H162=""),"",games!$H162)</f>
        <v/>
      </c>
      <c r="Q162">
        <f>IF(OR($A162="",$P162&lt;&gt;"Yes"),"",$D162+ROW()/1000000)</f>
        <v/>
      </c>
      <c r="T162">
        <f>IF(connections!$A162="","",IFERROR(INDEX(games!$B$2:$B$950,MATCH(connections!$A162,games!$A$2:$A$950,0)),""))</f>
        <v/>
      </c>
      <c r="U162">
        <f>IF(connections!$A162="","",IFERROR(INDEX(games!$B$2:$B$950,MATCH(connections!$B162,games!$A$2:$A$950,0)),""))</f>
        <v/>
      </c>
      <c r="V162">
        <f>IF(OR($T162="",$U162=""),"",$U162-$T162)</f>
        <v/>
      </c>
    </row>
    <row r="163">
      <c r="A163">
        <f>IF(games!$A163="","",games!$A163)</f>
        <v/>
      </c>
      <c r="B163">
        <f>IF($A163="","",games!$B163)</f>
        <v/>
      </c>
      <c r="C163">
        <f>IF($A163="","",games!$C163)</f>
        <v/>
      </c>
      <c r="D163">
        <f>IF($A163="","",COUNTIF(connections!$A$2:$A$1400,$A163)+COUNTIF(connections!$B$2:$B$1400,$A163))</f>
        <v/>
      </c>
      <c r="E163">
        <f>IF($A163="","",IFERROR(MATCH($C163,$R$2:$R$5,0),0))</f>
        <v/>
      </c>
      <c r="F163">
        <f>IF($A163="","",MOD(ROW(),34))</f>
        <v/>
      </c>
      <c r="G163">
        <f>IF($A163="",NA(),IF($C163="Action",$B163,NA()))</f>
        <v/>
      </c>
      <c r="H163">
        <f>IF($A163="",NA(),IF($C163="Action",1+$F163*0.023,NA()))</f>
        <v/>
      </c>
      <c r="I163">
        <f>IF($A163="",NA(),IF($C163="Strategy",$B163,NA()))</f>
        <v/>
      </c>
      <c r="J163">
        <f>IF($A163="",NA(),IF($C163="Strategy",2+$F163*0.023,NA()))</f>
        <v/>
      </c>
      <c r="K163">
        <f>IF($A163="",NA(),IF($C163="Deckbuilder",$B163,NA()))</f>
        <v/>
      </c>
      <c r="L163">
        <f>IF($A163="",NA(),IF($C163="Deckbuilder",3+$F163*0.023,NA()))</f>
        <v/>
      </c>
      <c r="M163">
        <f>IF($A163="",NA(),IF($C163="Traditional",$B163,NA()))</f>
        <v/>
      </c>
      <c r="N163">
        <f>IF($A163="",NA(),IF($C163="Traditional",4+$F163*0.023,NA()))</f>
        <v/>
      </c>
      <c r="O163">
        <f>IF($A163="","",$D163+ROW()/1000000)</f>
        <v/>
      </c>
      <c r="P163">
        <f>IF(OR($A163="",games!$H163=""),"",games!$H163)</f>
        <v/>
      </c>
      <c r="Q163">
        <f>IF(OR($A163="",$P163&lt;&gt;"Yes"),"",$D163+ROW()/1000000)</f>
        <v/>
      </c>
      <c r="T163">
        <f>IF(connections!$A163="","",IFERROR(INDEX(games!$B$2:$B$950,MATCH(connections!$A163,games!$A$2:$A$950,0)),""))</f>
        <v/>
      </c>
      <c r="U163">
        <f>IF(connections!$A163="","",IFERROR(INDEX(games!$B$2:$B$950,MATCH(connections!$B163,games!$A$2:$A$950,0)),""))</f>
        <v/>
      </c>
      <c r="V163">
        <f>IF(OR($T163="",$U163=""),"",$U163-$T163)</f>
        <v/>
      </c>
    </row>
    <row r="164">
      <c r="A164">
        <f>IF(games!$A164="","",games!$A164)</f>
        <v/>
      </c>
      <c r="B164">
        <f>IF($A164="","",games!$B164)</f>
        <v/>
      </c>
      <c r="C164">
        <f>IF($A164="","",games!$C164)</f>
        <v/>
      </c>
      <c r="D164">
        <f>IF($A164="","",COUNTIF(connections!$A$2:$A$1400,$A164)+COUNTIF(connections!$B$2:$B$1400,$A164))</f>
        <v/>
      </c>
      <c r="E164">
        <f>IF($A164="","",IFERROR(MATCH($C164,$R$2:$R$5,0),0))</f>
        <v/>
      </c>
      <c r="F164">
        <f>IF($A164="","",MOD(ROW(),34))</f>
        <v/>
      </c>
      <c r="G164">
        <f>IF($A164="",NA(),IF($C164="Action",$B164,NA()))</f>
        <v/>
      </c>
      <c r="H164">
        <f>IF($A164="",NA(),IF($C164="Action",1+$F164*0.023,NA()))</f>
        <v/>
      </c>
      <c r="I164">
        <f>IF($A164="",NA(),IF($C164="Strategy",$B164,NA()))</f>
        <v/>
      </c>
      <c r="J164">
        <f>IF($A164="",NA(),IF($C164="Strategy",2+$F164*0.023,NA()))</f>
        <v/>
      </c>
      <c r="K164">
        <f>IF($A164="",NA(),IF($C164="Deckbuilder",$B164,NA()))</f>
        <v/>
      </c>
      <c r="L164">
        <f>IF($A164="",NA(),IF($C164="Deckbuilder",3+$F164*0.023,NA()))</f>
        <v/>
      </c>
      <c r="M164">
        <f>IF($A164="",NA(),IF($C164="Traditional",$B164,NA()))</f>
        <v/>
      </c>
      <c r="N164">
        <f>IF($A164="",NA(),IF($C164="Traditional",4+$F164*0.023,NA()))</f>
        <v/>
      </c>
      <c r="O164">
        <f>IF($A164="","",$D164+ROW()/1000000)</f>
        <v/>
      </c>
      <c r="P164">
        <f>IF(OR($A164="",games!$H164=""),"",games!$H164)</f>
        <v/>
      </c>
      <c r="Q164">
        <f>IF(OR($A164="",$P164&lt;&gt;"Yes"),"",$D164+ROW()/1000000)</f>
        <v/>
      </c>
      <c r="T164">
        <f>IF(connections!$A164="","",IFERROR(INDEX(games!$B$2:$B$950,MATCH(connections!$A164,games!$A$2:$A$950,0)),""))</f>
        <v/>
      </c>
      <c r="U164">
        <f>IF(connections!$A164="","",IFERROR(INDEX(games!$B$2:$B$950,MATCH(connections!$B164,games!$A$2:$A$950,0)),""))</f>
        <v/>
      </c>
      <c r="V164">
        <f>IF(OR($T164="",$U164=""),"",$U164-$T164)</f>
        <v/>
      </c>
    </row>
    <row r="165">
      <c r="A165">
        <f>IF(games!$A165="","",games!$A165)</f>
        <v/>
      </c>
      <c r="B165">
        <f>IF($A165="","",games!$B165)</f>
        <v/>
      </c>
      <c r="C165">
        <f>IF($A165="","",games!$C165)</f>
        <v/>
      </c>
      <c r="D165">
        <f>IF($A165="","",COUNTIF(connections!$A$2:$A$1400,$A165)+COUNTIF(connections!$B$2:$B$1400,$A165))</f>
        <v/>
      </c>
      <c r="E165">
        <f>IF($A165="","",IFERROR(MATCH($C165,$R$2:$R$5,0),0))</f>
        <v/>
      </c>
      <c r="F165">
        <f>IF($A165="","",MOD(ROW(),34))</f>
        <v/>
      </c>
      <c r="G165">
        <f>IF($A165="",NA(),IF($C165="Action",$B165,NA()))</f>
        <v/>
      </c>
      <c r="H165">
        <f>IF($A165="",NA(),IF($C165="Action",1+$F165*0.023,NA()))</f>
        <v/>
      </c>
      <c r="I165">
        <f>IF($A165="",NA(),IF($C165="Strategy",$B165,NA()))</f>
        <v/>
      </c>
      <c r="J165">
        <f>IF($A165="",NA(),IF($C165="Strategy",2+$F165*0.023,NA()))</f>
        <v/>
      </c>
      <c r="K165">
        <f>IF($A165="",NA(),IF($C165="Deckbuilder",$B165,NA()))</f>
        <v/>
      </c>
      <c r="L165">
        <f>IF($A165="",NA(),IF($C165="Deckbuilder",3+$F165*0.023,NA()))</f>
        <v/>
      </c>
      <c r="M165">
        <f>IF($A165="",NA(),IF($C165="Traditional",$B165,NA()))</f>
        <v/>
      </c>
      <c r="N165">
        <f>IF($A165="",NA(),IF($C165="Traditional",4+$F165*0.023,NA()))</f>
        <v/>
      </c>
      <c r="O165">
        <f>IF($A165="","",$D165+ROW()/1000000)</f>
        <v/>
      </c>
      <c r="P165">
        <f>IF(OR($A165="",games!$H165=""),"",games!$H165)</f>
        <v/>
      </c>
      <c r="Q165">
        <f>IF(OR($A165="",$P165&lt;&gt;"Yes"),"",$D165+ROW()/1000000)</f>
        <v/>
      </c>
      <c r="T165">
        <f>IF(connections!$A165="","",IFERROR(INDEX(games!$B$2:$B$950,MATCH(connections!$A165,games!$A$2:$A$950,0)),""))</f>
        <v/>
      </c>
      <c r="U165">
        <f>IF(connections!$A165="","",IFERROR(INDEX(games!$B$2:$B$950,MATCH(connections!$B165,games!$A$2:$A$950,0)),""))</f>
        <v/>
      </c>
      <c r="V165">
        <f>IF(OR($T165="",$U165=""),"",$U165-$T165)</f>
        <v/>
      </c>
    </row>
    <row r="166">
      <c r="A166">
        <f>IF(games!$A166="","",games!$A166)</f>
        <v/>
      </c>
      <c r="B166">
        <f>IF($A166="","",games!$B166)</f>
        <v/>
      </c>
      <c r="C166">
        <f>IF($A166="","",games!$C166)</f>
        <v/>
      </c>
      <c r="D166">
        <f>IF($A166="","",COUNTIF(connections!$A$2:$A$1400,$A166)+COUNTIF(connections!$B$2:$B$1400,$A166))</f>
        <v/>
      </c>
      <c r="E166">
        <f>IF($A166="","",IFERROR(MATCH($C166,$R$2:$R$5,0),0))</f>
        <v/>
      </c>
      <c r="F166">
        <f>IF($A166="","",MOD(ROW(),34))</f>
        <v/>
      </c>
      <c r="G166">
        <f>IF($A166="",NA(),IF($C166="Action",$B166,NA()))</f>
        <v/>
      </c>
      <c r="H166">
        <f>IF($A166="",NA(),IF($C166="Action",1+$F166*0.023,NA()))</f>
        <v/>
      </c>
      <c r="I166">
        <f>IF($A166="",NA(),IF($C166="Strategy",$B166,NA()))</f>
        <v/>
      </c>
      <c r="J166">
        <f>IF($A166="",NA(),IF($C166="Strategy",2+$F166*0.023,NA()))</f>
        <v/>
      </c>
      <c r="K166">
        <f>IF($A166="",NA(),IF($C166="Deckbuilder",$B166,NA()))</f>
        <v/>
      </c>
      <c r="L166">
        <f>IF($A166="",NA(),IF($C166="Deckbuilder",3+$F166*0.023,NA()))</f>
        <v/>
      </c>
      <c r="M166">
        <f>IF($A166="",NA(),IF($C166="Traditional",$B166,NA()))</f>
        <v/>
      </c>
      <c r="N166">
        <f>IF($A166="",NA(),IF($C166="Traditional",4+$F166*0.023,NA()))</f>
        <v/>
      </c>
      <c r="O166">
        <f>IF($A166="","",$D166+ROW()/1000000)</f>
        <v/>
      </c>
      <c r="P166">
        <f>IF(OR($A166="",games!$H166=""),"",games!$H166)</f>
        <v/>
      </c>
      <c r="Q166">
        <f>IF(OR($A166="",$P166&lt;&gt;"Yes"),"",$D166+ROW()/1000000)</f>
        <v/>
      </c>
      <c r="T166">
        <f>IF(connections!$A166="","",IFERROR(INDEX(games!$B$2:$B$950,MATCH(connections!$A166,games!$A$2:$A$950,0)),""))</f>
        <v/>
      </c>
      <c r="U166">
        <f>IF(connections!$A166="","",IFERROR(INDEX(games!$B$2:$B$950,MATCH(connections!$B166,games!$A$2:$A$950,0)),""))</f>
        <v/>
      </c>
      <c r="V166">
        <f>IF(OR($T166="",$U166=""),"",$U166-$T166)</f>
        <v/>
      </c>
    </row>
    <row r="167">
      <c r="A167">
        <f>IF(games!$A167="","",games!$A167)</f>
        <v/>
      </c>
      <c r="B167">
        <f>IF($A167="","",games!$B167)</f>
        <v/>
      </c>
      <c r="C167">
        <f>IF($A167="","",games!$C167)</f>
        <v/>
      </c>
      <c r="D167">
        <f>IF($A167="","",COUNTIF(connections!$A$2:$A$1400,$A167)+COUNTIF(connections!$B$2:$B$1400,$A167))</f>
        <v/>
      </c>
      <c r="E167">
        <f>IF($A167="","",IFERROR(MATCH($C167,$R$2:$R$5,0),0))</f>
        <v/>
      </c>
      <c r="F167">
        <f>IF($A167="","",MOD(ROW(),34))</f>
        <v/>
      </c>
      <c r="G167">
        <f>IF($A167="",NA(),IF($C167="Action",$B167,NA()))</f>
        <v/>
      </c>
      <c r="H167">
        <f>IF($A167="",NA(),IF($C167="Action",1+$F167*0.023,NA()))</f>
        <v/>
      </c>
      <c r="I167">
        <f>IF($A167="",NA(),IF($C167="Strategy",$B167,NA()))</f>
        <v/>
      </c>
      <c r="J167">
        <f>IF($A167="",NA(),IF($C167="Strategy",2+$F167*0.023,NA()))</f>
        <v/>
      </c>
      <c r="K167">
        <f>IF($A167="",NA(),IF($C167="Deckbuilder",$B167,NA()))</f>
        <v/>
      </c>
      <c r="L167">
        <f>IF($A167="",NA(),IF($C167="Deckbuilder",3+$F167*0.023,NA()))</f>
        <v/>
      </c>
      <c r="M167">
        <f>IF($A167="",NA(),IF($C167="Traditional",$B167,NA()))</f>
        <v/>
      </c>
      <c r="N167">
        <f>IF($A167="",NA(),IF($C167="Traditional",4+$F167*0.023,NA()))</f>
        <v/>
      </c>
      <c r="O167">
        <f>IF($A167="","",$D167+ROW()/1000000)</f>
        <v/>
      </c>
      <c r="P167">
        <f>IF(OR($A167="",games!$H167=""),"",games!$H167)</f>
        <v/>
      </c>
      <c r="Q167">
        <f>IF(OR($A167="",$P167&lt;&gt;"Yes"),"",$D167+ROW()/1000000)</f>
        <v/>
      </c>
      <c r="T167">
        <f>IF(connections!$A167="","",IFERROR(INDEX(games!$B$2:$B$950,MATCH(connections!$A167,games!$A$2:$A$950,0)),""))</f>
        <v/>
      </c>
      <c r="U167">
        <f>IF(connections!$A167="","",IFERROR(INDEX(games!$B$2:$B$950,MATCH(connections!$B167,games!$A$2:$A$950,0)),""))</f>
        <v/>
      </c>
      <c r="V167">
        <f>IF(OR($T167="",$U167=""),"",$U167-$T167)</f>
        <v/>
      </c>
    </row>
    <row r="168">
      <c r="A168">
        <f>IF(games!$A168="","",games!$A168)</f>
        <v/>
      </c>
      <c r="B168">
        <f>IF($A168="","",games!$B168)</f>
        <v/>
      </c>
      <c r="C168">
        <f>IF($A168="","",games!$C168)</f>
        <v/>
      </c>
      <c r="D168">
        <f>IF($A168="","",COUNTIF(connections!$A$2:$A$1400,$A168)+COUNTIF(connections!$B$2:$B$1400,$A168))</f>
        <v/>
      </c>
      <c r="E168">
        <f>IF($A168="","",IFERROR(MATCH($C168,$R$2:$R$5,0),0))</f>
        <v/>
      </c>
      <c r="F168">
        <f>IF($A168="","",MOD(ROW(),34))</f>
        <v/>
      </c>
      <c r="G168">
        <f>IF($A168="",NA(),IF($C168="Action",$B168,NA()))</f>
        <v/>
      </c>
      <c r="H168">
        <f>IF($A168="",NA(),IF($C168="Action",1+$F168*0.023,NA()))</f>
        <v/>
      </c>
      <c r="I168">
        <f>IF($A168="",NA(),IF($C168="Strategy",$B168,NA()))</f>
        <v/>
      </c>
      <c r="J168">
        <f>IF($A168="",NA(),IF($C168="Strategy",2+$F168*0.023,NA()))</f>
        <v/>
      </c>
      <c r="K168">
        <f>IF($A168="",NA(),IF($C168="Deckbuilder",$B168,NA()))</f>
        <v/>
      </c>
      <c r="L168">
        <f>IF($A168="",NA(),IF($C168="Deckbuilder",3+$F168*0.023,NA()))</f>
        <v/>
      </c>
      <c r="M168">
        <f>IF($A168="",NA(),IF($C168="Traditional",$B168,NA()))</f>
        <v/>
      </c>
      <c r="N168">
        <f>IF($A168="",NA(),IF($C168="Traditional",4+$F168*0.023,NA()))</f>
        <v/>
      </c>
      <c r="O168">
        <f>IF($A168="","",$D168+ROW()/1000000)</f>
        <v/>
      </c>
      <c r="P168">
        <f>IF(OR($A168="",games!$H168=""),"",games!$H168)</f>
        <v/>
      </c>
      <c r="Q168">
        <f>IF(OR($A168="",$P168&lt;&gt;"Yes"),"",$D168+ROW()/1000000)</f>
        <v/>
      </c>
      <c r="T168">
        <f>IF(connections!$A168="","",IFERROR(INDEX(games!$B$2:$B$950,MATCH(connections!$A168,games!$A$2:$A$950,0)),""))</f>
        <v/>
      </c>
      <c r="U168">
        <f>IF(connections!$A168="","",IFERROR(INDEX(games!$B$2:$B$950,MATCH(connections!$B168,games!$A$2:$A$950,0)),""))</f>
        <v/>
      </c>
      <c r="V168">
        <f>IF(OR($T168="",$U168=""),"",$U168-$T168)</f>
        <v/>
      </c>
    </row>
    <row r="169">
      <c r="A169">
        <f>IF(games!$A169="","",games!$A169)</f>
        <v/>
      </c>
      <c r="B169">
        <f>IF($A169="","",games!$B169)</f>
        <v/>
      </c>
      <c r="C169">
        <f>IF($A169="","",games!$C169)</f>
        <v/>
      </c>
      <c r="D169">
        <f>IF($A169="","",COUNTIF(connections!$A$2:$A$1400,$A169)+COUNTIF(connections!$B$2:$B$1400,$A169))</f>
        <v/>
      </c>
      <c r="E169">
        <f>IF($A169="","",IFERROR(MATCH($C169,$R$2:$R$5,0),0))</f>
        <v/>
      </c>
      <c r="F169">
        <f>IF($A169="","",MOD(ROW(),34))</f>
        <v/>
      </c>
      <c r="G169">
        <f>IF($A169="",NA(),IF($C169="Action",$B169,NA()))</f>
        <v/>
      </c>
      <c r="H169">
        <f>IF($A169="",NA(),IF($C169="Action",1+$F169*0.023,NA()))</f>
        <v/>
      </c>
      <c r="I169">
        <f>IF($A169="",NA(),IF($C169="Strategy",$B169,NA()))</f>
        <v/>
      </c>
      <c r="J169">
        <f>IF($A169="",NA(),IF($C169="Strategy",2+$F169*0.023,NA()))</f>
        <v/>
      </c>
      <c r="K169">
        <f>IF($A169="",NA(),IF($C169="Deckbuilder",$B169,NA()))</f>
        <v/>
      </c>
      <c r="L169">
        <f>IF($A169="",NA(),IF($C169="Deckbuilder",3+$F169*0.023,NA()))</f>
        <v/>
      </c>
      <c r="M169">
        <f>IF($A169="",NA(),IF($C169="Traditional",$B169,NA()))</f>
        <v/>
      </c>
      <c r="N169">
        <f>IF($A169="",NA(),IF($C169="Traditional",4+$F169*0.023,NA()))</f>
        <v/>
      </c>
      <c r="O169">
        <f>IF($A169="","",$D169+ROW()/1000000)</f>
        <v/>
      </c>
      <c r="P169">
        <f>IF(OR($A169="",games!$H169=""),"",games!$H169)</f>
        <v/>
      </c>
      <c r="Q169">
        <f>IF(OR($A169="",$P169&lt;&gt;"Yes"),"",$D169+ROW()/1000000)</f>
        <v/>
      </c>
      <c r="T169">
        <f>IF(connections!$A169="","",IFERROR(INDEX(games!$B$2:$B$950,MATCH(connections!$A169,games!$A$2:$A$950,0)),""))</f>
        <v/>
      </c>
      <c r="U169">
        <f>IF(connections!$A169="","",IFERROR(INDEX(games!$B$2:$B$950,MATCH(connections!$B169,games!$A$2:$A$950,0)),""))</f>
        <v/>
      </c>
      <c r="V169">
        <f>IF(OR($T169="",$U169=""),"",$U169-$T169)</f>
        <v/>
      </c>
    </row>
    <row r="170">
      <c r="A170">
        <f>IF(games!$A170="","",games!$A170)</f>
        <v/>
      </c>
      <c r="B170">
        <f>IF($A170="","",games!$B170)</f>
        <v/>
      </c>
      <c r="C170">
        <f>IF($A170="","",games!$C170)</f>
        <v/>
      </c>
      <c r="D170">
        <f>IF($A170="","",COUNTIF(connections!$A$2:$A$1400,$A170)+COUNTIF(connections!$B$2:$B$1400,$A170))</f>
        <v/>
      </c>
      <c r="E170">
        <f>IF($A170="","",IFERROR(MATCH($C170,$R$2:$R$5,0),0))</f>
        <v/>
      </c>
      <c r="F170">
        <f>IF($A170="","",MOD(ROW(),34))</f>
        <v/>
      </c>
      <c r="G170">
        <f>IF($A170="",NA(),IF($C170="Action",$B170,NA()))</f>
        <v/>
      </c>
      <c r="H170">
        <f>IF($A170="",NA(),IF($C170="Action",1+$F170*0.023,NA()))</f>
        <v/>
      </c>
      <c r="I170">
        <f>IF($A170="",NA(),IF($C170="Strategy",$B170,NA()))</f>
        <v/>
      </c>
      <c r="J170">
        <f>IF($A170="",NA(),IF($C170="Strategy",2+$F170*0.023,NA()))</f>
        <v/>
      </c>
      <c r="K170">
        <f>IF($A170="",NA(),IF($C170="Deckbuilder",$B170,NA()))</f>
        <v/>
      </c>
      <c r="L170">
        <f>IF($A170="",NA(),IF($C170="Deckbuilder",3+$F170*0.023,NA()))</f>
        <v/>
      </c>
      <c r="M170">
        <f>IF($A170="",NA(),IF($C170="Traditional",$B170,NA()))</f>
        <v/>
      </c>
      <c r="N170">
        <f>IF($A170="",NA(),IF($C170="Traditional",4+$F170*0.023,NA()))</f>
        <v/>
      </c>
      <c r="O170">
        <f>IF($A170="","",$D170+ROW()/1000000)</f>
        <v/>
      </c>
      <c r="P170">
        <f>IF(OR($A170="",games!$H170=""),"",games!$H170)</f>
        <v/>
      </c>
      <c r="Q170">
        <f>IF(OR($A170="",$P170&lt;&gt;"Yes"),"",$D170+ROW()/1000000)</f>
        <v/>
      </c>
      <c r="T170">
        <f>IF(connections!$A170="","",IFERROR(INDEX(games!$B$2:$B$950,MATCH(connections!$A170,games!$A$2:$A$950,0)),""))</f>
        <v/>
      </c>
      <c r="U170">
        <f>IF(connections!$A170="","",IFERROR(INDEX(games!$B$2:$B$950,MATCH(connections!$B170,games!$A$2:$A$950,0)),""))</f>
        <v/>
      </c>
      <c r="V170">
        <f>IF(OR($T170="",$U170=""),"",$U170-$T170)</f>
        <v/>
      </c>
    </row>
    <row r="171">
      <c r="A171">
        <f>IF(games!$A171="","",games!$A171)</f>
        <v/>
      </c>
      <c r="B171">
        <f>IF($A171="","",games!$B171)</f>
        <v/>
      </c>
      <c r="C171">
        <f>IF($A171="","",games!$C171)</f>
        <v/>
      </c>
      <c r="D171">
        <f>IF($A171="","",COUNTIF(connections!$A$2:$A$1400,$A171)+COUNTIF(connections!$B$2:$B$1400,$A171))</f>
        <v/>
      </c>
      <c r="E171">
        <f>IF($A171="","",IFERROR(MATCH($C171,$R$2:$R$5,0),0))</f>
        <v/>
      </c>
      <c r="F171">
        <f>IF($A171="","",MOD(ROW(),34))</f>
        <v/>
      </c>
      <c r="G171">
        <f>IF($A171="",NA(),IF($C171="Action",$B171,NA()))</f>
        <v/>
      </c>
      <c r="H171">
        <f>IF($A171="",NA(),IF($C171="Action",1+$F171*0.023,NA()))</f>
        <v/>
      </c>
      <c r="I171">
        <f>IF($A171="",NA(),IF($C171="Strategy",$B171,NA()))</f>
        <v/>
      </c>
      <c r="J171">
        <f>IF($A171="",NA(),IF($C171="Strategy",2+$F171*0.023,NA()))</f>
        <v/>
      </c>
      <c r="K171">
        <f>IF($A171="",NA(),IF($C171="Deckbuilder",$B171,NA()))</f>
        <v/>
      </c>
      <c r="L171">
        <f>IF($A171="",NA(),IF($C171="Deckbuilder",3+$F171*0.023,NA()))</f>
        <v/>
      </c>
      <c r="M171">
        <f>IF($A171="",NA(),IF($C171="Traditional",$B171,NA()))</f>
        <v/>
      </c>
      <c r="N171">
        <f>IF($A171="",NA(),IF($C171="Traditional",4+$F171*0.023,NA()))</f>
        <v/>
      </c>
      <c r="O171">
        <f>IF($A171="","",$D171+ROW()/1000000)</f>
        <v/>
      </c>
      <c r="P171">
        <f>IF(OR($A171="",games!$H171=""),"",games!$H171)</f>
        <v/>
      </c>
      <c r="Q171">
        <f>IF(OR($A171="",$P171&lt;&gt;"Yes"),"",$D171+ROW()/1000000)</f>
        <v/>
      </c>
      <c r="T171">
        <f>IF(connections!$A171="","",IFERROR(INDEX(games!$B$2:$B$950,MATCH(connections!$A171,games!$A$2:$A$950,0)),""))</f>
        <v/>
      </c>
      <c r="U171">
        <f>IF(connections!$A171="","",IFERROR(INDEX(games!$B$2:$B$950,MATCH(connections!$B171,games!$A$2:$A$950,0)),""))</f>
        <v/>
      </c>
      <c r="V171">
        <f>IF(OR($T171="",$U171=""),"",$U171-$T171)</f>
        <v/>
      </c>
    </row>
    <row r="172">
      <c r="A172">
        <f>IF(games!$A172="","",games!$A172)</f>
        <v/>
      </c>
      <c r="B172">
        <f>IF($A172="","",games!$B172)</f>
        <v/>
      </c>
      <c r="C172">
        <f>IF($A172="","",games!$C172)</f>
        <v/>
      </c>
      <c r="D172">
        <f>IF($A172="","",COUNTIF(connections!$A$2:$A$1400,$A172)+COUNTIF(connections!$B$2:$B$1400,$A172))</f>
        <v/>
      </c>
      <c r="E172">
        <f>IF($A172="","",IFERROR(MATCH($C172,$R$2:$R$5,0),0))</f>
        <v/>
      </c>
      <c r="F172">
        <f>IF($A172="","",MOD(ROW(),34))</f>
        <v/>
      </c>
      <c r="G172">
        <f>IF($A172="",NA(),IF($C172="Action",$B172,NA()))</f>
        <v/>
      </c>
      <c r="H172">
        <f>IF($A172="",NA(),IF($C172="Action",1+$F172*0.023,NA()))</f>
        <v/>
      </c>
      <c r="I172">
        <f>IF($A172="",NA(),IF($C172="Strategy",$B172,NA()))</f>
        <v/>
      </c>
      <c r="J172">
        <f>IF($A172="",NA(),IF($C172="Strategy",2+$F172*0.023,NA()))</f>
        <v/>
      </c>
      <c r="K172">
        <f>IF($A172="",NA(),IF($C172="Deckbuilder",$B172,NA()))</f>
        <v/>
      </c>
      <c r="L172">
        <f>IF($A172="",NA(),IF($C172="Deckbuilder",3+$F172*0.023,NA()))</f>
        <v/>
      </c>
      <c r="M172">
        <f>IF($A172="",NA(),IF($C172="Traditional",$B172,NA()))</f>
        <v/>
      </c>
      <c r="N172">
        <f>IF($A172="",NA(),IF($C172="Traditional",4+$F172*0.023,NA()))</f>
        <v/>
      </c>
      <c r="O172">
        <f>IF($A172="","",$D172+ROW()/1000000)</f>
        <v/>
      </c>
      <c r="P172">
        <f>IF(OR($A172="",games!$H172=""),"",games!$H172)</f>
        <v/>
      </c>
      <c r="Q172">
        <f>IF(OR($A172="",$P172&lt;&gt;"Yes"),"",$D172+ROW()/1000000)</f>
        <v/>
      </c>
      <c r="T172">
        <f>IF(connections!$A172="","",IFERROR(INDEX(games!$B$2:$B$950,MATCH(connections!$A172,games!$A$2:$A$950,0)),""))</f>
        <v/>
      </c>
      <c r="U172">
        <f>IF(connections!$A172="","",IFERROR(INDEX(games!$B$2:$B$950,MATCH(connections!$B172,games!$A$2:$A$950,0)),""))</f>
        <v/>
      </c>
      <c r="V172">
        <f>IF(OR($T172="",$U172=""),"",$U172-$T172)</f>
        <v/>
      </c>
    </row>
    <row r="173">
      <c r="A173">
        <f>IF(games!$A173="","",games!$A173)</f>
        <v/>
      </c>
      <c r="B173">
        <f>IF($A173="","",games!$B173)</f>
        <v/>
      </c>
      <c r="C173">
        <f>IF($A173="","",games!$C173)</f>
        <v/>
      </c>
      <c r="D173">
        <f>IF($A173="","",COUNTIF(connections!$A$2:$A$1400,$A173)+COUNTIF(connections!$B$2:$B$1400,$A173))</f>
        <v/>
      </c>
      <c r="E173">
        <f>IF($A173="","",IFERROR(MATCH($C173,$R$2:$R$5,0),0))</f>
        <v/>
      </c>
      <c r="F173">
        <f>IF($A173="","",MOD(ROW(),34))</f>
        <v/>
      </c>
      <c r="G173">
        <f>IF($A173="",NA(),IF($C173="Action",$B173,NA()))</f>
        <v/>
      </c>
      <c r="H173">
        <f>IF($A173="",NA(),IF($C173="Action",1+$F173*0.023,NA()))</f>
        <v/>
      </c>
      <c r="I173">
        <f>IF($A173="",NA(),IF($C173="Strategy",$B173,NA()))</f>
        <v/>
      </c>
      <c r="J173">
        <f>IF($A173="",NA(),IF($C173="Strategy",2+$F173*0.023,NA()))</f>
        <v/>
      </c>
      <c r="K173">
        <f>IF($A173="",NA(),IF($C173="Deckbuilder",$B173,NA()))</f>
        <v/>
      </c>
      <c r="L173">
        <f>IF($A173="",NA(),IF($C173="Deckbuilder",3+$F173*0.023,NA()))</f>
        <v/>
      </c>
      <c r="M173">
        <f>IF($A173="",NA(),IF($C173="Traditional",$B173,NA()))</f>
        <v/>
      </c>
      <c r="N173">
        <f>IF($A173="",NA(),IF($C173="Traditional",4+$F173*0.023,NA()))</f>
        <v/>
      </c>
      <c r="O173">
        <f>IF($A173="","",$D173+ROW()/1000000)</f>
        <v/>
      </c>
      <c r="P173">
        <f>IF(OR($A173="",games!$H173=""),"",games!$H173)</f>
        <v/>
      </c>
      <c r="Q173">
        <f>IF(OR($A173="",$P173&lt;&gt;"Yes"),"",$D173+ROW()/1000000)</f>
        <v/>
      </c>
      <c r="T173">
        <f>IF(connections!$A173="","",IFERROR(INDEX(games!$B$2:$B$950,MATCH(connections!$A173,games!$A$2:$A$950,0)),""))</f>
        <v/>
      </c>
      <c r="U173">
        <f>IF(connections!$A173="","",IFERROR(INDEX(games!$B$2:$B$950,MATCH(connections!$B173,games!$A$2:$A$950,0)),""))</f>
        <v/>
      </c>
      <c r="V173">
        <f>IF(OR($T173="",$U173=""),"",$U173-$T173)</f>
        <v/>
      </c>
    </row>
    <row r="174">
      <c r="A174">
        <f>IF(games!$A174="","",games!$A174)</f>
        <v/>
      </c>
      <c r="B174">
        <f>IF($A174="","",games!$B174)</f>
        <v/>
      </c>
      <c r="C174">
        <f>IF($A174="","",games!$C174)</f>
        <v/>
      </c>
      <c r="D174">
        <f>IF($A174="","",COUNTIF(connections!$A$2:$A$1400,$A174)+COUNTIF(connections!$B$2:$B$1400,$A174))</f>
        <v/>
      </c>
      <c r="E174">
        <f>IF($A174="","",IFERROR(MATCH($C174,$R$2:$R$5,0),0))</f>
        <v/>
      </c>
      <c r="F174">
        <f>IF($A174="","",MOD(ROW(),34))</f>
        <v/>
      </c>
      <c r="G174">
        <f>IF($A174="",NA(),IF($C174="Action",$B174,NA()))</f>
        <v/>
      </c>
      <c r="H174">
        <f>IF($A174="",NA(),IF($C174="Action",1+$F174*0.023,NA()))</f>
        <v/>
      </c>
      <c r="I174">
        <f>IF($A174="",NA(),IF($C174="Strategy",$B174,NA()))</f>
        <v/>
      </c>
      <c r="J174">
        <f>IF($A174="",NA(),IF($C174="Strategy",2+$F174*0.023,NA()))</f>
        <v/>
      </c>
      <c r="K174">
        <f>IF($A174="",NA(),IF($C174="Deckbuilder",$B174,NA()))</f>
        <v/>
      </c>
      <c r="L174">
        <f>IF($A174="",NA(),IF($C174="Deckbuilder",3+$F174*0.023,NA()))</f>
        <v/>
      </c>
      <c r="M174">
        <f>IF($A174="",NA(),IF($C174="Traditional",$B174,NA()))</f>
        <v/>
      </c>
      <c r="N174">
        <f>IF($A174="",NA(),IF($C174="Traditional",4+$F174*0.023,NA()))</f>
        <v/>
      </c>
      <c r="O174">
        <f>IF($A174="","",$D174+ROW()/1000000)</f>
        <v/>
      </c>
      <c r="P174">
        <f>IF(OR($A174="",games!$H174=""),"",games!$H174)</f>
        <v/>
      </c>
      <c r="Q174">
        <f>IF(OR($A174="",$P174&lt;&gt;"Yes"),"",$D174+ROW()/1000000)</f>
        <v/>
      </c>
      <c r="T174">
        <f>IF(connections!$A174="","",IFERROR(INDEX(games!$B$2:$B$950,MATCH(connections!$A174,games!$A$2:$A$950,0)),""))</f>
        <v/>
      </c>
      <c r="U174">
        <f>IF(connections!$A174="","",IFERROR(INDEX(games!$B$2:$B$950,MATCH(connections!$B174,games!$A$2:$A$950,0)),""))</f>
        <v/>
      </c>
      <c r="V174">
        <f>IF(OR($T174="",$U174=""),"",$U174-$T174)</f>
        <v/>
      </c>
    </row>
    <row r="175">
      <c r="A175">
        <f>IF(games!$A175="","",games!$A175)</f>
        <v/>
      </c>
      <c r="B175">
        <f>IF($A175="","",games!$B175)</f>
        <v/>
      </c>
      <c r="C175">
        <f>IF($A175="","",games!$C175)</f>
        <v/>
      </c>
      <c r="D175">
        <f>IF($A175="","",COUNTIF(connections!$A$2:$A$1400,$A175)+COUNTIF(connections!$B$2:$B$1400,$A175))</f>
        <v/>
      </c>
      <c r="E175">
        <f>IF($A175="","",IFERROR(MATCH($C175,$R$2:$R$5,0),0))</f>
        <v/>
      </c>
      <c r="F175">
        <f>IF($A175="","",MOD(ROW(),34))</f>
        <v/>
      </c>
      <c r="G175">
        <f>IF($A175="",NA(),IF($C175="Action",$B175,NA()))</f>
        <v/>
      </c>
      <c r="H175">
        <f>IF($A175="",NA(),IF($C175="Action",1+$F175*0.023,NA()))</f>
        <v/>
      </c>
      <c r="I175">
        <f>IF($A175="",NA(),IF($C175="Strategy",$B175,NA()))</f>
        <v/>
      </c>
      <c r="J175">
        <f>IF($A175="",NA(),IF($C175="Strategy",2+$F175*0.023,NA()))</f>
        <v/>
      </c>
      <c r="K175">
        <f>IF($A175="",NA(),IF($C175="Deckbuilder",$B175,NA()))</f>
        <v/>
      </c>
      <c r="L175">
        <f>IF($A175="",NA(),IF($C175="Deckbuilder",3+$F175*0.023,NA()))</f>
        <v/>
      </c>
      <c r="M175">
        <f>IF($A175="",NA(),IF($C175="Traditional",$B175,NA()))</f>
        <v/>
      </c>
      <c r="N175">
        <f>IF($A175="",NA(),IF($C175="Traditional",4+$F175*0.023,NA()))</f>
        <v/>
      </c>
      <c r="O175">
        <f>IF($A175="","",$D175+ROW()/1000000)</f>
        <v/>
      </c>
      <c r="P175">
        <f>IF(OR($A175="",games!$H175=""),"",games!$H175)</f>
        <v/>
      </c>
      <c r="Q175">
        <f>IF(OR($A175="",$P175&lt;&gt;"Yes"),"",$D175+ROW()/1000000)</f>
        <v/>
      </c>
      <c r="T175">
        <f>IF(connections!$A175="","",IFERROR(INDEX(games!$B$2:$B$950,MATCH(connections!$A175,games!$A$2:$A$950,0)),""))</f>
        <v/>
      </c>
      <c r="U175">
        <f>IF(connections!$A175="","",IFERROR(INDEX(games!$B$2:$B$950,MATCH(connections!$B175,games!$A$2:$A$950,0)),""))</f>
        <v/>
      </c>
      <c r="V175">
        <f>IF(OR($T175="",$U175=""),"",$U175-$T175)</f>
        <v/>
      </c>
    </row>
    <row r="176">
      <c r="A176">
        <f>IF(games!$A176="","",games!$A176)</f>
        <v/>
      </c>
      <c r="B176">
        <f>IF($A176="","",games!$B176)</f>
        <v/>
      </c>
      <c r="C176">
        <f>IF($A176="","",games!$C176)</f>
        <v/>
      </c>
      <c r="D176">
        <f>IF($A176="","",COUNTIF(connections!$A$2:$A$1400,$A176)+COUNTIF(connections!$B$2:$B$1400,$A176))</f>
        <v/>
      </c>
      <c r="E176">
        <f>IF($A176="","",IFERROR(MATCH($C176,$R$2:$R$5,0),0))</f>
        <v/>
      </c>
      <c r="F176">
        <f>IF($A176="","",MOD(ROW(),34))</f>
        <v/>
      </c>
      <c r="G176">
        <f>IF($A176="",NA(),IF($C176="Action",$B176,NA()))</f>
        <v/>
      </c>
      <c r="H176">
        <f>IF($A176="",NA(),IF($C176="Action",1+$F176*0.023,NA()))</f>
        <v/>
      </c>
      <c r="I176">
        <f>IF($A176="",NA(),IF($C176="Strategy",$B176,NA()))</f>
        <v/>
      </c>
      <c r="J176">
        <f>IF($A176="",NA(),IF($C176="Strategy",2+$F176*0.023,NA()))</f>
        <v/>
      </c>
      <c r="K176">
        <f>IF($A176="",NA(),IF($C176="Deckbuilder",$B176,NA()))</f>
        <v/>
      </c>
      <c r="L176">
        <f>IF($A176="",NA(),IF($C176="Deckbuilder",3+$F176*0.023,NA()))</f>
        <v/>
      </c>
      <c r="M176">
        <f>IF($A176="",NA(),IF($C176="Traditional",$B176,NA()))</f>
        <v/>
      </c>
      <c r="N176">
        <f>IF($A176="",NA(),IF($C176="Traditional",4+$F176*0.023,NA()))</f>
        <v/>
      </c>
      <c r="O176">
        <f>IF($A176="","",$D176+ROW()/1000000)</f>
        <v/>
      </c>
      <c r="P176">
        <f>IF(OR($A176="",games!$H176=""),"",games!$H176)</f>
        <v/>
      </c>
      <c r="Q176">
        <f>IF(OR($A176="",$P176&lt;&gt;"Yes"),"",$D176+ROW()/1000000)</f>
        <v/>
      </c>
      <c r="T176">
        <f>IF(connections!$A176="","",IFERROR(INDEX(games!$B$2:$B$950,MATCH(connections!$A176,games!$A$2:$A$950,0)),""))</f>
        <v/>
      </c>
      <c r="U176">
        <f>IF(connections!$A176="","",IFERROR(INDEX(games!$B$2:$B$950,MATCH(connections!$B176,games!$A$2:$A$950,0)),""))</f>
        <v/>
      </c>
      <c r="V176">
        <f>IF(OR($T176="",$U176=""),"",$U176-$T176)</f>
        <v/>
      </c>
    </row>
    <row r="177">
      <c r="A177">
        <f>IF(games!$A177="","",games!$A177)</f>
        <v/>
      </c>
      <c r="B177">
        <f>IF($A177="","",games!$B177)</f>
        <v/>
      </c>
      <c r="C177">
        <f>IF($A177="","",games!$C177)</f>
        <v/>
      </c>
      <c r="D177">
        <f>IF($A177="","",COUNTIF(connections!$A$2:$A$1400,$A177)+COUNTIF(connections!$B$2:$B$1400,$A177))</f>
        <v/>
      </c>
      <c r="E177">
        <f>IF($A177="","",IFERROR(MATCH($C177,$R$2:$R$5,0),0))</f>
        <v/>
      </c>
      <c r="F177">
        <f>IF($A177="","",MOD(ROW(),34))</f>
        <v/>
      </c>
      <c r="G177">
        <f>IF($A177="",NA(),IF($C177="Action",$B177,NA()))</f>
        <v/>
      </c>
      <c r="H177">
        <f>IF($A177="",NA(),IF($C177="Action",1+$F177*0.023,NA()))</f>
        <v/>
      </c>
      <c r="I177">
        <f>IF($A177="",NA(),IF($C177="Strategy",$B177,NA()))</f>
        <v/>
      </c>
      <c r="J177">
        <f>IF($A177="",NA(),IF($C177="Strategy",2+$F177*0.023,NA()))</f>
        <v/>
      </c>
      <c r="K177">
        <f>IF($A177="",NA(),IF($C177="Deckbuilder",$B177,NA()))</f>
        <v/>
      </c>
      <c r="L177">
        <f>IF($A177="",NA(),IF($C177="Deckbuilder",3+$F177*0.023,NA()))</f>
        <v/>
      </c>
      <c r="M177">
        <f>IF($A177="",NA(),IF($C177="Traditional",$B177,NA()))</f>
        <v/>
      </c>
      <c r="N177">
        <f>IF($A177="",NA(),IF($C177="Traditional",4+$F177*0.023,NA()))</f>
        <v/>
      </c>
      <c r="O177">
        <f>IF($A177="","",$D177+ROW()/1000000)</f>
        <v/>
      </c>
      <c r="P177">
        <f>IF(OR($A177="",games!$H177=""),"",games!$H177)</f>
        <v/>
      </c>
      <c r="Q177">
        <f>IF(OR($A177="",$P177&lt;&gt;"Yes"),"",$D177+ROW()/1000000)</f>
        <v/>
      </c>
      <c r="T177">
        <f>IF(connections!$A177="","",IFERROR(INDEX(games!$B$2:$B$950,MATCH(connections!$A177,games!$A$2:$A$950,0)),""))</f>
        <v/>
      </c>
      <c r="U177">
        <f>IF(connections!$A177="","",IFERROR(INDEX(games!$B$2:$B$950,MATCH(connections!$B177,games!$A$2:$A$950,0)),""))</f>
        <v/>
      </c>
      <c r="V177">
        <f>IF(OR($T177="",$U177=""),"",$U177-$T177)</f>
        <v/>
      </c>
    </row>
    <row r="178">
      <c r="A178">
        <f>IF(games!$A178="","",games!$A178)</f>
        <v/>
      </c>
      <c r="B178">
        <f>IF($A178="","",games!$B178)</f>
        <v/>
      </c>
      <c r="C178">
        <f>IF($A178="","",games!$C178)</f>
        <v/>
      </c>
      <c r="D178">
        <f>IF($A178="","",COUNTIF(connections!$A$2:$A$1400,$A178)+COUNTIF(connections!$B$2:$B$1400,$A178))</f>
        <v/>
      </c>
      <c r="E178">
        <f>IF($A178="","",IFERROR(MATCH($C178,$R$2:$R$5,0),0))</f>
        <v/>
      </c>
      <c r="F178">
        <f>IF($A178="","",MOD(ROW(),34))</f>
        <v/>
      </c>
      <c r="G178">
        <f>IF($A178="",NA(),IF($C178="Action",$B178,NA()))</f>
        <v/>
      </c>
      <c r="H178">
        <f>IF($A178="",NA(),IF($C178="Action",1+$F178*0.023,NA()))</f>
        <v/>
      </c>
      <c r="I178">
        <f>IF($A178="",NA(),IF($C178="Strategy",$B178,NA()))</f>
        <v/>
      </c>
      <c r="J178">
        <f>IF($A178="",NA(),IF($C178="Strategy",2+$F178*0.023,NA()))</f>
        <v/>
      </c>
      <c r="K178">
        <f>IF($A178="",NA(),IF($C178="Deckbuilder",$B178,NA()))</f>
        <v/>
      </c>
      <c r="L178">
        <f>IF($A178="",NA(),IF($C178="Deckbuilder",3+$F178*0.023,NA()))</f>
        <v/>
      </c>
      <c r="M178">
        <f>IF($A178="",NA(),IF($C178="Traditional",$B178,NA()))</f>
        <v/>
      </c>
      <c r="N178">
        <f>IF($A178="",NA(),IF($C178="Traditional",4+$F178*0.023,NA()))</f>
        <v/>
      </c>
      <c r="O178">
        <f>IF($A178="","",$D178+ROW()/1000000)</f>
        <v/>
      </c>
      <c r="P178">
        <f>IF(OR($A178="",games!$H178=""),"",games!$H178)</f>
        <v/>
      </c>
      <c r="Q178">
        <f>IF(OR($A178="",$P178&lt;&gt;"Yes"),"",$D178+ROW()/1000000)</f>
        <v/>
      </c>
      <c r="T178">
        <f>IF(connections!$A178="","",IFERROR(INDEX(games!$B$2:$B$950,MATCH(connections!$A178,games!$A$2:$A$950,0)),""))</f>
        <v/>
      </c>
      <c r="U178">
        <f>IF(connections!$A178="","",IFERROR(INDEX(games!$B$2:$B$950,MATCH(connections!$B178,games!$A$2:$A$950,0)),""))</f>
        <v/>
      </c>
      <c r="V178">
        <f>IF(OR($T178="",$U178=""),"",$U178-$T178)</f>
        <v/>
      </c>
    </row>
    <row r="179">
      <c r="A179">
        <f>IF(games!$A179="","",games!$A179)</f>
        <v/>
      </c>
      <c r="B179">
        <f>IF($A179="","",games!$B179)</f>
        <v/>
      </c>
      <c r="C179">
        <f>IF($A179="","",games!$C179)</f>
        <v/>
      </c>
      <c r="D179">
        <f>IF($A179="","",COUNTIF(connections!$A$2:$A$1400,$A179)+COUNTIF(connections!$B$2:$B$1400,$A179))</f>
        <v/>
      </c>
      <c r="E179">
        <f>IF($A179="","",IFERROR(MATCH($C179,$R$2:$R$5,0),0))</f>
        <v/>
      </c>
      <c r="F179">
        <f>IF($A179="","",MOD(ROW(),34))</f>
        <v/>
      </c>
      <c r="G179">
        <f>IF($A179="",NA(),IF($C179="Action",$B179,NA()))</f>
        <v/>
      </c>
      <c r="H179">
        <f>IF($A179="",NA(),IF($C179="Action",1+$F179*0.023,NA()))</f>
        <v/>
      </c>
      <c r="I179">
        <f>IF($A179="",NA(),IF($C179="Strategy",$B179,NA()))</f>
        <v/>
      </c>
      <c r="J179">
        <f>IF($A179="",NA(),IF($C179="Strategy",2+$F179*0.023,NA()))</f>
        <v/>
      </c>
      <c r="K179">
        <f>IF($A179="",NA(),IF($C179="Deckbuilder",$B179,NA()))</f>
        <v/>
      </c>
      <c r="L179">
        <f>IF($A179="",NA(),IF($C179="Deckbuilder",3+$F179*0.023,NA()))</f>
        <v/>
      </c>
      <c r="M179">
        <f>IF($A179="",NA(),IF($C179="Traditional",$B179,NA()))</f>
        <v/>
      </c>
      <c r="N179">
        <f>IF($A179="",NA(),IF($C179="Traditional",4+$F179*0.023,NA()))</f>
        <v/>
      </c>
      <c r="O179">
        <f>IF($A179="","",$D179+ROW()/1000000)</f>
        <v/>
      </c>
      <c r="P179">
        <f>IF(OR($A179="",games!$H179=""),"",games!$H179)</f>
        <v/>
      </c>
      <c r="Q179">
        <f>IF(OR($A179="",$P179&lt;&gt;"Yes"),"",$D179+ROW()/1000000)</f>
        <v/>
      </c>
      <c r="T179">
        <f>IF(connections!$A179="","",IFERROR(INDEX(games!$B$2:$B$950,MATCH(connections!$A179,games!$A$2:$A$950,0)),""))</f>
        <v/>
      </c>
      <c r="U179">
        <f>IF(connections!$A179="","",IFERROR(INDEX(games!$B$2:$B$950,MATCH(connections!$B179,games!$A$2:$A$950,0)),""))</f>
        <v/>
      </c>
      <c r="V179">
        <f>IF(OR($T179="",$U179=""),"",$U179-$T179)</f>
        <v/>
      </c>
    </row>
    <row r="180">
      <c r="A180">
        <f>IF(games!$A180="","",games!$A180)</f>
        <v/>
      </c>
      <c r="B180">
        <f>IF($A180="","",games!$B180)</f>
        <v/>
      </c>
      <c r="C180">
        <f>IF($A180="","",games!$C180)</f>
        <v/>
      </c>
      <c r="D180">
        <f>IF($A180="","",COUNTIF(connections!$A$2:$A$1400,$A180)+COUNTIF(connections!$B$2:$B$1400,$A180))</f>
        <v/>
      </c>
      <c r="E180">
        <f>IF($A180="","",IFERROR(MATCH($C180,$R$2:$R$5,0),0))</f>
        <v/>
      </c>
      <c r="F180">
        <f>IF($A180="","",MOD(ROW(),34))</f>
        <v/>
      </c>
      <c r="G180">
        <f>IF($A180="",NA(),IF($C180="Action",$B180,NA()))</f>
        <v/>
      </c>
      <c r="H180">
        <f>IF($A180="",NA(),IF($C180="Action",1+$F180*0.023,NA()))</f>
        <v/>
      </c>
      <c r="I180">
        <f>IF($A180="",NA(),IF($C180="Strategy",$B180,NA()))</f>
        <v/>
      </c>
      <c r="J180">
        <f>IF($A180="",NA(),IF($C180="Strategy",2+$F180*0.023,NA()))</f>
        <v/>
      </c>
      <c r="K180">
        <f>IF($A180="",NA(),IF($C180="Deckbuilder",$B180,NA()))</f>
        <v/>
      </c>
      <c r="L180">
        <f>IF($A180="",NA(),IF($C180="Deckbuilder",3+$F180*0.023,NA()))</f>
        <v/>
      </c>
      <c r="M180">
        <f>IF($A180="",NA(),IF($C180="Traditional",$B180,NA()))</f>
        <v/>
      </c>
      <c r="N180">
        <f>IF($A180="",NA(),IF($C180="Traditional",4+$F180*0.023,NA()))</f>
        <v/>
      </c>
      <c r="O180">
        <f>IF($A180="","",$D180+ROW()/1000000)</f>
        <v/>
      </c>
      <c r="P180">
        <f>IF(OR($A180="",games!$H180=""),"",games!$H180)</f>
        <v/>
      </c>
      <c r="Q180">
        <f>IF(OR($A180="",$P180&lt;&gt;"Yes"),"",$D180+ROW()/1000000)</f>
        <v/>
      </c>
      <c r="T180">
        <f>IF(connections!$A180="","",IFERROR(INDEX(games!$B$2:$B$950,MATCH(connections!$A180,games!$A$2:$A$950,0)),""))</f>
        <v/>
      </c>
      <c r="U180">
        <f>IF(connections!$A180="","",IFERROR(INDEX(games!$B$2:$B$950,MATCH(connections!$B180,games!$A$2:$A$950,0)),""))</f>
        <v/>
      </c>
      <c r="V180">
        <f>IF(OR($T180="",$U180=""),"",$U180-$T180)</f>
        <v/>
      </c>
    </row>
    <row r="181">
      <c r="A181">
        <f>IF(games!$A181="","",games!$A181)</f>
        <v/>
      </c>
      <c r="B181">
        <f>IF($A181="","",games!$B181)</f>
        <v/>
      </c>
      <c r="C181">
        <f>IF($A181="","",games!$C181)</f>
        <v/>
      </c>
      <c r="D181">
        <f>IF($A181="","",COUNTIF(connections!$A$2:$A$1400,$A181)+COUNTIF(connections!$B$2:$B$1400,$A181))</f>
        <v/>
      </c>
      <c r="E181">
        <f>IF($A181="","",IFERROR(MATCH($C181,$R$2:$R$5,0),0))</f>
        <v/>
      </c>
      <c r="F181">
        <f>IF($A181="","",MOD(ROW(),34))</f>
        <v/>
      </c>
      <c r="G181">
        <f>IF($A181="",NA(),IF($C181="Action",$B181,NA()))</f>
        <v/>
      </c>
      <c r="H181">
        <f>IF($A181="",NA(),IF($C181="Action",1+$F181*0.023,NA()))</f>
        <v/>
      </c>
      <c r="I181">
        <f>IF($A181="",NA(),IF($C181="Strategy",$B181,NA()))</f>
        <v/>
      </c>
      <c r="J181">
        <f>IF($A181="",NA(),IF($C181="Strategy",2+$F181*0.023,NA()))</f>
        <v/>
      </c>
      <c r="K181">
        <f>IF($A181="",NA(),IF($C181="Deckbuilder",$B181,NA()))</f>
        <v/>
      </c>
      <c r="L181">
        <f>IF($A181="",NA(),IF($C181="Deckbuilder",3+$F181*0.023,NA()))</f>
        <v/>
      </c>
      <c r="M181">
        <f>IF($A181="",NA(),IF($C181="Traditional",$B181,NA()))</f>
        <v/>
      </c>
      <c r="N181">
        <f>IF($A181="",NA(),IF($C181="Traditional",4+$F181*0.023,NA()))</f>
        <v/>
      </c>
      <c r="O181">
        <f>IF($A181="","",$D181+ROW()/1000000)</f>
        <v/>
      </c>
      <c r="P181">
        <f>IF(OR($A181="",games!$H181=""),"",games!$H181)</f>
        <v/>
      </c>
      <c r="Q181">
        <f>IF(OR($A181="",$P181&lt;&gt;"Yes"),"",$D181+ROW()/1000000)</f>
        <v/>
      </c>
      <c r="T181">
        <f>IF(connections!$A181="","",IFERROR(INDEX(games!$B$2:$B$950,MATCH(connections!$A181,games!$A$2:$A$950,0)),""))</f>
        <v/>
      </c>
      <c r="U181">
        <f>IF(connections!$A181="","",IFERROR(INDEX(games!$B$2:$B$950,MATCH(connections!$B181,games!$A$2:$A$950,0)),""))</f>
        <v/>
      </c>
      <c r="V181">
        <f>IF(OR($T181="",$U181=""),"",$U181-$T181)</f>
        <v/>
      </c>
    </row>
    <row r="182">
      <c r="A182">
        <f>IF(games!$A182="","",games!$A182)</f>
        <v/>
      </c>
      <c r="B182">
        <f>IF($A182="","",games!$B182)</f>
        <v/>
      </c>
      <c r="C182">
        <f>IF($A182="","",games!$C182)</f>
        <v/>
      </c>
      <c r="D182">
        <f>IF($A182="","",COUNTIF(connections!$A$2:$A$1400,$A182)+COUNTIF(connections!$B$2:$B$1400,$A182))</f>
        <v/>
      </c>
      <c r="E182">
        <f>IF($A182="","",IFERROR(MATCH($C182,$R$2:$R$5,0),0))</f>
        <v/>
      </c>
      <c r="F182">
        <f>IF($A182="","",MOD(ROW(),34))</f>
        <v/>
      </c>
      <c r="G182">
        <f>IF($A182="",NA(),IF($C182="Action",$B182,NA()))</f>
        <v/>
      </c>
      <c r="H182">
        <f>IF($A182="",NA(),IF($C182="Action",1+$F182*0.023,NA()))</f>
        <v/>
      </c>
      <c r="I182">
        <f>IF($A182="",NA(),IF($C182="Strategy",$B182,NA()))</f>
        <v/>
      </c>
      <c r="J182">
        <f>IF($A182="",NA(),IF($C182="Strategy",2+$F182*0.023,NA()))</f>
        <v/>
      </c>
      <c r="K182">
        <f>IF($A182="",NA(),IF($C182="Deckbuilder",$B182,NA()))</f>
        <v/>
      </c>
      <c r="L182">
        <f>IF($A182="",NA(),IF($C182="Deckbuilder",3+$F182*0.023,NA()))</f>
        <v/>
      </c>
      <c r="M182">
        <f>IF($A182="",NA(),IF($C182="Traditional",$B182,NA()))</f>
        <v/>
      </c>
      <c r="N182">
        <f>IF($A182="",NA(),IF($C182="Traditional",4+$F182*0.023,NA()))</f>
        <v/>
      </c>
      <c r="O182">
        <f>IF($A182="","",$D182+ROW()/1000000)</f>
        <v/>
      </c>
      <c r="P182">
        <f>IF(OR($A182="",games!$H182=""),"",games!$H182)</f>
        <v/>
      </c>
      <c r="Q182">
        <f>IF(OR($A182="",$P182&lt;&gt;"Yes"),"",$D182+ROW()/1000000)</f>
        <v/>
      </c>
      <c r="T182">
        <f>IF(connections!$A182="","",IFERROR(INDEX(games!$B$2:$B$950,MATCH(connections!$A182,games!$A$2:$A$950,0)),""))</f>
        <v/>
      </c>
      <c r="U182">
        <f>IF(connections!$A182="","",IFERROR(INDEX(games!$B$2:$B$950,MATCH(connections!$B182,games!$A$2:$A$950,0)),""))</f>
        <v/>
      </c>
      <c r="V182">
        <f>IF(OR($T182="",$U182=""),"",$U182-$T182)</f>
        <v/>
      </c>
    </row>
    <row r="183">
      <c r="A183">
        <f>IF(games!$A183="","",games!$A183)</f>
        <v/>
      </c>
      <c r="B183">
        <f>IF($A183="","",games!$B183)</f>
        <v/>
      </c>
      <c r="C183">
        <f>IF($A183="","",games!$C183)</f>
        <v/>
      </c>
      <c r="D183">
        <f>IF($A183="","",COUNTIF(connections!$A$2:$A$1400,$A183)+COUNTIF(connections!$B$2:$B$1400,$A183))</f>
        <v/>
      </c>
      <c r="E183">
        <f>IF($A183="","",IFERROR(MATCH($C183,$R$2:$R$5,0),0))</f>
        <v/>
      </c>
      <c r="F183">
        <f>IF($A183="","",MOD(ROW(),34))</f>
        <v/>
      </c>
      <c r="G183">
        <f>IF($A183="",NA(),IF($C183="Action",$B183,NA()))</f>
        <v/>
      </c>
      <c r="H183">
        <f>IF($A183="",NA(),IF($C183="Action",1+$F183*0.023,NA()))</f>
        <v/>
      </c>
      <c r="I183">
        <f>IF($A183="",NA(),IF($C183="Strategy",$B183,NA()))</f>
        <v/>
      </c>
      <c r="J183">
        <f>IF($A183="",NA(),IF($C183="Strategy",2+$F183*0.023,NA()))</f>
        <v/>
      </c>
      <c r="K183">
        <f>IF($A183="",NA(),IF($C183="Deckbuilder",$B183,NA()))</f>
        <v/>
      </c>
      <c r="L183">
        <f>IF($A183="",NA(),IF($C183="Deckbuilder",3+$F183*0.023,NA()))</f>
        <v/>
      </c>
      <c r="M183">
        <f>IF($A183="",NA(),IF($C183="Traditional",$B183,NA()))</f>
        <v/>
      </c>
      <c r="N183">
        <f>IF($A183="",NA(),IF($C183="Traditional",4+$F183*0.023,NA()))</f>
        <v/>
      </c>
      <c r="O183">
        <f>IF($A183="","",$D183+ROW()/1000000)</f>
        <v/>
      </c>
      <c r="P183">
        <f>IF(OR($A183="",games!$H183=""),"",games!$H183)</f>
        <v/>
      </c>
      <c r="Q183">
        <f>IF(OR($A183="",$P183&lt;&gt;"Yes"),"",$D183+ROW()/1000000)</f>
        <v/>
      </c>
      <c r="T183">
        <f>IF(connections!$A183="","",IFERROR(INDEX(games!$B$2:$B$950,MATCH(connections!$A183,games!$A$2:$A$950,0)),""))</f>
        <v/>
      </c>
      <c r="U183">
        <f>IF(connections!$A183="","",IFERROR(INDEX(games!$B$2:$B$950,MATCH(connections!$B183,games!$A$2:$A$950,0)),""))</f>
        <v/>
      </c>
      <c r="V183">
        <f>IF(OR($T183="",$U183=""),"",$U183-$T183)</f>
        <v/>
      </c>
    </row>
    <row r="184">
      <c r="A184">
        <f>IF(games!$A184="","",games!$A184)</f>
        <v/>
      </c>
      <c r="B184">
        <f>IF($A184="","",games!$B184)</f>
        <v/>
      </c>
      <c r="C184">
        <f>IF($A184="","",games!$C184)</f>
        <v/>
      </c>
      <c r="D184">
        <f>IF($A184="","",COUNTIF(connections!$A$2:$A$1400,$A184)+COUNTIF(connections!$B$2:$B$1400,$A184))</f>
        <v/>
      </c>
      <c r="E184">
        <f>IF($A184="","",IFERROR(MATCH($C184,$R$2:$R$5,0),0))</f>
        <v/>
      </c>
      <c r="F184">
        <f>IF($A184="","",MOD(ROW(),34))</f>
        <v/>
      </c>
      <c r="G184">
        <f>IF($A184="",NA(),IF($C184="Action",$B184,NA()))</f>
        <v/>
      </c>
      <c r="H184">
        <f>IF($A184="",NA(),IF($C184="Action",1+$F184*0.023,NA()))</f>
        <v/>
      </c>
      <c r="I184">
        <f>IF($A184="",NA(),IF($C184="Strategy",$B184,NA()))</f>
        <v/>
      </c>
      <c r="J184">
        <f>IF($A184="",NA(),IF($C184="Strategy",2+$F184*0.023,NA()))</f>
        <v/>
      </c>
      <c r="K184">
        <f>IF($A184="",NA(),IF($C184="Deckbuilder",$B184,NA()))</f>
        <v/>
      </c>
      <c r="L184">
        <f>IF($A184="",NA(),IF($C184="Deckbuilder",3+$F184*0.023,NA()))</f>
        <v/>
      </c>
      <c r="M184">
        <f>IF($A184="",NA(),IF($C184="Traditional",$B184,NA()))</f>
        <v/>
      </c>
      <c r="N184">
        <f>IF($A184="",NA(),IF($C184="Traditional",4+$F184*0.023,NA()))</f>
        <v/>
      </c>
      <c r="O184">
        <f>IF($A184="","",$D184+ROW()/1000000)</f>
        <v/>
      </c>
      <c r="P184">
        <f>IF(OR($A184="",games!$H184=""),"",games!$H184)</f>
        <v/>
      </c>
      <c r="Q184">
        <f>IF(OR($A184="",$P184&lt;&gt;"Yes"),"",$D184+ROW()/1000000)</f>
        <v/>
      </c>
      <c r="T184">
        <f>IF(connections!$A184="","",IFERROR(INDEX(games!$B$2:$B$950,MATCH(connections!$A184,games!$A$2:$A$950,0)),""))</f>
        <v/>
      </c>
      <c r="U184">
        <f>IF(connections!$A184="","",IFERROR(INDEX(games!$B$2:$B$950,MATCH(connections!$B184,games!$A$2:$A$950,0)),""))</f>
        <v/>
      </c>
      <c r="V184">
        <f>IF(OR($T184="",$U184=""),"",$U184-$T184)</f>
        <v/>
      </c>
    </row>
    <row r="185">
      <c r="A185">
        <f>IF(games!$A185="","",games!$A185)</f>
        <v/>
      </c>
      <c r="B185">
        <f>IF($A185="","",games!$B185)</f>
        <v/>
      </c>
      <c r="C185">
        <f>IF($A185="","",games!$C185)</f>
        <v/>
      </c>
      <c r="D185">
        <f>IF($A185="","",COUNTIF(connections!$A$2:$A$1400,$A185)+COUNTIF(connections!$B$2:$B$1400,$A185))</f>
        <v/>
      </c>
      <c r="E185">
        <f>IF($A185="","",IFERROR(MATCH($C185,$R$2:$R$5,0),0))</f>
        <v/>
      </c>
      <c r="F185">
        <f>IF($A185="","",MOD(ROW(),34))</f>
        <v/>
      </c>
      <c r="G185">
        <f>IF($A185="",NA(),IF($C185="Action",$B185,NA()))</f>
        <v/>
      </c>
      <c r="H185">
        <f>IF($A185="",NA(),IF($C185="Action",1+$F185*0.023,NA()))</f>
        <v/>
      </c>
      <c r="I185">
        <f>IF($A185="",NA(),IF($C185="Strategy",$B185,NA()))</f>
        <v/>
      </c>
      <c r="J185">
        <f>IF($A185="",NA(),IF($C185="Strategy",2+$F185*0.023,NA()))</f>
        <v/>
      </c>
      <c r="K185">
        <f>IF($A185="",NA(),IF($C185="Deckbuilder",$B185,NA()))</f>
        <v/>
      </c>
      <c r="L185">
        <f>IF($A185="",NA(),IF($C185="Deckbuilder",3+$F185*0.023,NA()))</f>
        <v/>
      </c>
      <c r="M185">
        <f>IF($A185="",NA(),IF($C185="Traditional",$B185,NA()))</f>
        <v/>
      </c>
      <c r="N185">
        <f>IF($A185="",NA(),IF($C185="Traditional",4+$F185*0.023,NA()))</f>
        <v/>
      </c>
      <c r="O185">
        <f>IF($A185="","",$D185+ROW()/1000000)</f>
        <v/>
      </c>
      <c r="P185">
        <f>IF(OR($A185="",games!$H185=""),"",games!$H185)</f>
        <v/>
      </c>
      <c r="Q185">
        <f>IF(OR($A185="",$P185&lt;&gt;"Yes"),"",$D185+ROW()/1000000)</f>
        <v/>
      </c>
      <c r="T185">
        <f>IF(connections!$A185="","",IFERROR(INDEX(games!$B$2:$B$950,MATCH(connections!$A185,games!$A$2:$A$950,0)),""))</f>
        <v/>
      </c>
      <c r="U185">
        <f>IF(connections!$A185="","",IFERROR(INDEX(games!$B$2:$B$950,MATCH(connections!$B185,games!$A$2:$A$950,0)),""))</f>
        <v/>
      </c>
      <c r="V185">
        <f>IF(OR($T185="",$U185=""),"",$U185-$T185)</f>
        <v/>
      </c>
    </row>
    <row r="186">
      <c r="A186">
        <f>IF(games!$A186="","",games!$A186)</f>
        <v/>
      </c>
      <c r="B186">
        <f>IF($A186="","",games!$B186)</f>
        <v/>
      </c>
      <c r="C186">
        <f>IF($A186="","",games!$C186)</f>
        <v/>
      </c>
      <c r="D186">
        <f>IF($A186="","",COUNTIF(connections!$A$2:$A$1400,$A186)+COUNTIF(connections!$B$2:$B$1400,$A186))</f>
        <v/>
      </c>
      <c r="E186">
        <f>IF($A186="","",IFERROR(MATCH($C186,$R$2:$R$5,0),0))</f>
        <v/>
      </c>
      <c r="F186">
        <f>IF($A186="","",MOD(ROW(),34))</f>
        <v/>
      </c>
      <c r="G186">
        <f>IF($A186="",NA(),IF($C186="Action",$B186,NA()))</f>
        <v/>
      </c>
      <c r="H186">
        <f>IF($A186="",NA(),IF($C186="Action",1+$F186*0.023,NA()))</f>
        <v/>
      </c>
      <c r="I186">
        <f>IF($A186="",NA(),IF($C186="Strategy",$B186,NA()))</f>
        <v/>
      </c>
      <c r="J186">
        <f>IF($A186="",NA(),IF($C186="Strategy",2+$F186*0.023,NA()))</f>
        <v/>
      </c>
      <c r="K186">
        <f>IF($A186="",NA(),IF($C186="Deckbuilder",$B186,NA()))</f>
        <v/>
      </c>
      <c r="L186">
        <f>IF($A186="",NA(),IF($C186="Deckbuilder",3+$F186*0.023,NA()))</f>
        <v/>
      </c>
      <c r="M186">
        <f>IF($A186="",NA(),IF($C186="Traditional",$B186,NA()))</f>
        <v/>
      </c>
      <c r="N186">
        <f>IF($A186="",NA(),IF($C186="Traditional",4+$F186*0.023,NA()))</f>
        <v/>
      </c>
      <c r="O186">
        <f>IF($A186="","",$D186+ROW()/1000000)</f>
        <v/>
      </c>
      <c r="P186">
        <f>IF(OR($A186="",games!$H186=""),"",games!$H186)</f>
        <v/>
      </c>
      <c r="Q186">
        <f>IF(OR($A186="",$P186&lt;&gt;"Yes"),"",$D186+ROW()/1000000)</f>
        <v/>
      </c>
      <c r="T186">
        <f>IF(connections!$A186="","",IFERROR(INDEX(games!$B$2:$B$950,MATCH(connections!$A186,games!$A$2:$A$950,0)),""))</f>
        <v/>
      </c>
      <c r="U186">
        <f>IF(connections!$A186="","",IFERROR(INDEX(games!$B$2:$B$950,MATCH(connections!$B186,games!$A$2:$A$950,0)),""))</f>
        <v/>
      </c>
      <c r="V186">
        <f>IF(OR($T186="",$U186=""),"",$U186-$T186)</f>
        <v/>
      </c>
    </row>
    <row r="187">
      <c r="A187">
        <f>IF(games!$A187="","",games!$A187)</f>
        <v/>
      </c>
      <c r="B187">
        <f>IF($A187="","",games!$B187)</f>
        <v/>
      </c>
      <c r="C187">
        <f>IF($A187="","",games!$C187)</f>
        <v/>
      </c>
      <c r="D187">
        <f>IF($A187="","",COUNTIF(connections!$A$2:$A$1400,$A187)+COUNTIF(connections!$B$2:$B$1400,$A187))</f>
        <v/>
      </c>
      <c r="E187">
        <f>IF($A187="","",IFERROR(MATCH($C187,$R$2:$R$5,0),0))</f>
        <v/>
      </c>
      <c r="F187">
        <f>IF($A187="","",MOD(ROW(),34))</f>
        <v/>
      </c>
      <c r="G187">
        <f>IF($A187="",NA(),IF($C187="Action",$B187,NA()))</f>
        <v/>
      </c>
      <c r="H187">
        <f>IF($A187="",NA(),IF($C187="Action",1+$F187*0.023,NA()))</f>
        <v/>
      </c>
      <c r="I187">
        <f>IF($A187="",NA(),IF($C187="Strategy",$B187,NA()))</f>
        <v/>
      </c>
      <c r="J187">
        <f>IF($A187="",NA(),IF($C187="Strategy",2+$F187*0.023,NA()))</f>
        <v/>
      </c>
      <c r="K187">
        <f>IF($A187="",NA(),IF($C187="Deckbuilder",$B187,NA()))</f>
        <v/>
      </c>
      <c r="L187">
        <f>IF($A187="",NA(),IF($C187="Deckbuilder",3+$F187*0.023,NA()))</f>
        <v/>
      </c>
      <c r="M187">
        <f>IF($A187="",NA(),IF($C187="Traditional",$B187,NA()))</f>
        <v/>
      </c>
      <c r="N187">
        <f>IF($A187="",NA(),IF($C187="Traditional",4+$F187*0.023,NA()))</f>
        <v/>
      </c>
      <c r="O187">
        <f>IF($A187="","",$D187+ROW()/1000000)</f>
        <v/>
      </c>
      <c r="P187">
        <f>IF(OR($A187="",games!$H187=""),"",games!$H187)</f>
        <v/>
      </c>
      <c r="Q187">
        <f>IF(OR($A187="",$P187&lt;&gt;"Yes"),"",$D187+ROW()/1000000)</f>
        <v/>
      </c>
      <c r="T187">
        <f>IF(connections!$A187="","",IFERROR(INDEX(games!$B$2:$B$950,MATCH(connections!$A187,games!$A$2:$A$950,0)),""))</f>
        <v/>
      </c>
      <c r="U187">
        <f>IF(connections!$A187="","",IFERROR(INDEX(games!$B$2:$B$950,MATCH(connections!$B187,games!$A$2:$A$950,0)),""))</f>
        <v/>
      </c>
      <c r="V187">
        <f>IF(OR($T187="",$U187=""),"",$U187-$T187)</f>
        <v/>
      </c>
    </row>
    <row r="188">
      <c r="A188">
        <f>IF(games!$A188="","",games!$A188)</f>
        <v/>
      </c>
      <c r="B188">
        <f>IF($A188="","",games!$B188)</f>
        <v/>
      </c>
      <c r="C188">
        <f>IF($A188="","",games!$C188)</f>
        <v/>
      </c>
      <c r="D188">
        <f>IF($A188="","",COUNTIF(connections!$A$2:$A$1400,$A188)+COUNTIF(connections!$B$2:$B$1400,$A188))</f>
        <v/>
      </c>
      <c r="E188">
        <f>IF($A188="","",IFERROR(MATCH($C188,$R$2:$R$5,0),0))</f>
        <v/>
      </c>
      <c r="F188">
        <f>IF($A188="","",MOD(ROW(),34))</f>
        <v/>
      </c>
      <c r="G188">
        <f>IF($A188="",NA(),IF($C188="Action",$B188,NA()))</f>
        <v/>
      </c>
      <c r="H188">
        <f>IF($A188="",NA(),IF($C188="Action",1+$F188*0.023,NA()))</f>
        <v/>
      </c>
      <c r="I188">
        <f>IF($A188="",NA(),IF($C188="Strategy",$B188,NA()))</f>
        <v/>
      </c>
      <c r="J188">
        <f>IF($A188="",NA(),IF($C188="Strategy",2+$F188*0.023,NA()))</f>
        <v/>
      </c>
      <c r="K188">
        <f>IF($A188="",NA(),IF($C188="Deckbuilder",$B188,NA()))</f>
        <v/>
      </c>
      <c r="L188">
        <f>IF($A188="",NA(),IF($C188="Deckbuilder",3+$F188*0.023,NA()))</f>
        <v/>
      </c>
      <c r="M188">
        <f>IF($A188="",NA(),IF($C188="Traditional",$B188,NA()))</f>
        <v/>
      </c>
      <c r="N188">
        <f>IF($A188="",NA(),IF($C188="Traditional",4+$F188*0.023,NA()))</f>
        <v/>
      </c>
      <c r="O188">
        <f>IF($A188="","",$D188+ROW()/1000000)</f>
        <v/>
      </c>
      <c r="P188">
        <f>IF(OR($A188="",games!$H188=""),"",games!$H188)</f>
        <v/>
      </c>
      <c r="Q188">
        <f>IF(OR($A188="",$P188&lt;&gt;"Yes"),"",$D188+ROW()/1000000)</f>
        <v/>
      </c>
      <c r="T188">
        <f>IF(connections!$A188="","",IFERROR(INDEX(games!$B$2:$B$950,MATCH(connections!$A188,games!$A$2:$A$950,0)),""))</f>
        <v/>
      </c>
      <c r="U188">
        <f>IF(connections!$A188="","",IFERROR(INDEX(games!$B$2:$B$950,MATCH(connections!$B188,games!$A$2:$A$950,0)),""))</f>
        <v/>
      </c>
      <c r="V188">
        <f>IF(OR($T188="",$U188=""),"",$U188-$T188)</f>
        <v/>
      </c>
    </row>
    <row r="189">
      <c r="A189">
        <f>IF(games!$A189="","",games!$A189)</f>
        <v/>
      </c>
      <c r="B189">
        <f>IF($A189="","",games!$B189)</f>
        <v/>
      </c>
      <c r="C189">
        <f>IF($A189="","",games!$C189)</f>
        <v/>
      </c>
      <c r="D189">
        <f>IF($A189="","",COUNTIF(connections!$A$2:$A$1400,$A189)+COUNTIF(connections!$B$2:$B$1400,$A189))</f>
        <v/>
      </c>
      <c r="E189">
        <f>IF($A189="","",IFERROR(MATCH($C189,$R$2:$R$5,0),0))</f>
        <v/>
      </c>
      <c r="F189">
        <f>IF($A189="","",MOD(ROW(),34))</f>
        <v/>
      </c>
      <c r="G189">
        <f>IF($A189="",NA(),IF($C189="Action",$B189,NA()))</f>
        <v/>
      </c>
      <c r="H189">
        <f>IF($A189="",NA(),IF($C189="Action",1+$F189*0.023,NA()))</f>
        <v/>
      </c>
      <c r="I189">
        <f>IF($A189="",NA(),IF($C189="Strategy",$B189,NA()))</f>
        <v/>
      </c>
      <c r="J189">
        <f>IF($A189="",NA(),IF($C189="Strategy",2+$F189*0.023,NA()))</f>
        <v/>
      </c>
      <c r="K189">
        <f>IF($A189="",NA(),IF($C189="Deckbuilder",$B189,NA()))</f>
        <v/>
      </c>
      <c r="L189">
        <f>IF($A189="",NA(),IF($C189="Deckbuilder",3+$F189*0.023,NA()))</f>
        <v/>
      </c>
      <c r="M189">
        <f>IF($A189="",NA(),IF($C189="Traditional",$B189,NA()))</f>
        <v/>
      </c>
      <c r="N189">
        <f>IF($A189="",NA(),IF($C189="Traditional",4+$F189*0.023,NA()))</f>
        <v/>
      </c>
      <c r="O189">
        <f>IF($A189="","",$D189+ROW()/1000000)</f>
        <v/>
      </c>
      <c r="P189">
        <f>IF(OR($A189="",games!$H189=""),"",games!$H189)</f>
        <v/>
      </c>
      <c r="Q189">
        <f>IF(OR($A189="",$P189&lt;&gt;"Yes"),"",$D189+ROW()/1000000)</f>
        <v/>
      </c>
      <c r="T189">
        <f>IF(connections!$A189="","",IFERROR(INDEX(games!$B$2:$B$950,MATCH(connections!$A189,games!$A$2:$A$950,0)),""))</f>
        <v/>
      </c>
      <c r="U189">
        <f>IF(connections!$A189="","",IFERROR(INDEX(games!$B$2:$B$950,MATCH(connections!$B189,games!$A$2:$A$950,0)),""))</f>
        <v/>
      </c>
      <c r="V189">
        <f>IF(OR($T189="",$U189=""),"",$U189-$T189)</f>
        <v/>
      </c>
    </row>
    <row r="190">
      <c r="A190">
        <f>IF(games!$A190="","",games!$A190)</f>
        <v/>
      </c>
      <c r="B190">
        <f>IF($A190="","",games!$B190)</f>
        <v/>
      </c>
      <c r="C190">
        <f>IF($A190="","",games!$C190)</f>
        <v/>
      </c>
      <c r="D190">
        <f>IF($A190="","",COUNTIF(connections!$A$2:$A$1400,$A190)+COUNTIF(connections!$B$2:$B$1400,$A190))</f>
        <v/>
      </c>
      <c r="E190">
        <f>IF($A190="","",IFERROR(MATCH($C190,$R$2:$R$5,0),0))</f>
        <v/>
      </c>
      <c r="F190">
        <f>IF($A190="","",MOD(ROW(),34))</f>
        <v/>
      </c>
      <c r="G190">
        <f>IF($A190="",NA(),IF($C190="Action",$B190,NA()))</f>
        <v/>
      </c>
      <c r="H190">
        <f>IF($A190="",NA(),IF($C190="Action",1+$F190*0.023,NA()))</f>
        <v/>
      </c>
      <c r="I190">
        <f>IF($A190="",NA(),IF($C190="Strategy",$B190,NA()))</f>
        <v/>
      </c>
      <c r="J190">
        <f>IF($A190="",NA(),IF($C190="Strategy",2+$F190*0.023,NA()))</f>
        <v/>
      </c>
      <c r="K190">
        <f>IF($A190="",NA(),IF($C190="Deckbuilder",$B190,NA()))</f>
        <v/>
      </c>
      <c r="L190">
        <f>IF($A190="",NA(),IF($C190="Deckbuilder",3+$F190*0.023,NA()))</f>
        <v/>
      </c>
      <c r="M190">
        <f>IF($A190="",NA(),IF($C190="Traditional",$B190,NA()))</f>
        <v/>
      </c>
      <c r="N190">
        <f>IF($A190="",NA(),IF($C190="Traditional",4+$F190*0.023,NA()))</f>
        <v/>
      </c>
      <c r="O190">
        <f>IF($A190="","",$D190+ROW()/1000000)</f>
        <v/>
      </c>
      <c r="P190">
        <f>IF(OR($A190="",games!$H190=""),"",games!$H190)</f>
        <v/>
      </c>
      <c r="Q190">
        <f>IF(OR($A190="",$P190&lt;&gt;"Yes"),"",$D190+ROW()/1000000)</f>
        <v/>
      </c>
      <c r="T190">
        <f>IF(connections!$A190="","",IFERROR(INDEX(games!$B$2:$B$950,MATCH(connections!$A190,games!$A$2:$A$950,0)),""))</f>
        <v/>
      </c>
      <c r="U190">
        <f>IF(connections!$A190="","",IFERROR(INDEX(games!$B$2:$B$950,MATCH(connections!$B190,games!$A$2:$A$950,0)),""))</f>
        <v/>
      </c>
      <c r="V190">
        <f>IF(OR($T190="",$U190=""),"",$U190-$T190)</f>
        <v/>
      </c>
    </row>
    <row r="191">
      <c r="A191">
        <f>IF(games!$A191="","",games!$A191)</f>
        <v/>
      </c>
      <c r="B191">
        <f>IF($A191="","",games!$B191)</f>
        <v/>
      </c>
      <c r="C191">
        <f>IF($A191="","",games!$C191)</f>
        <v/>
      </c>
      <c r="D191">
        <f>IF($A191="","",COUNTIF(connections!$A$2:$A$1400,$A191)+COUNTIF(connections!$B$2:$B$1400,$A191))</f>
        <v/>
      </c>
      <c r="E191">
        <f>IF($A191="","",IFERROR(MATCH($C191,$R$2:$R$5,0),0))</f>
        <v/>
      </c>
      <c r="F191">
        <f>IF($A191="","",MOD(ROW(),34))</f>
        <v/>
      </c>
      <c r="G191">
        <f>IF($A191="",NA(),IF($C191="Action",$B191,NA()))</f>
        <v/>
      </c>
      <c r="H191">
        <f>IF($A191="",NA(),IF($C191="Action",1+$F191*0.023,NA()))</f>
        <v/>
      </c>
      <c r="I191">
        <f>IF($A191="",NA(),IF($C191="Strategy",$B191,NA()))</f>
        <v/>
      </c>
      <c r="J191">
        <f>IF($A191="",NA(),IF($C191="Strategy",2+$F191*0.023,NA()))</f>
        <v/>
      </c>
      <c r="K191">
        <f>IF($A191="",NA(),IF($C191="Deckbuilder",$B191,NA()))</f>
        <v/>
      </c>
      <c r="L191">
        <f>IF($A191="",NA(),IF($C191="Deckbuilder",3+$F191*0.023,NA()))</f>
        <v/>
      </c>
      <c r="M191">
        <f>IF($A191="",NA(),IF($C191="Traditional",$B191,NA()))</f>
        <v/>
      </c>
      <c r="N191">
        <f>IF($A191="",NA(),IF($C191="Traditional",4+$F191*0.023,NA()))</f>
        <v/>
      </c>
      <c r="O191">
        <f>IF($A191="","",$D191+ROW()/1000000)</f>
        <v/>
      </c>
      <c r="P191">
        <f>IF(OR($A191="",games!$H191=""),"",games!$H191)</f>
        <v/>
      </c>
      <c r="Q191">
        <f>IF(OR($A191="",$P191&lt;&gt;"Yes"),"",$D191+ROW()/1000000)</f>
        <v/>
      </c>
      <c r="T191">
        <f>IF(connections!$A191="","",IFERROR(INDEX(games!$B$2:$B$950,MATCH(connections!$A191,games!$A$2:$A$950,0)),""))</f>
        <v/>
      </c>
      <c r="U191">
        <f>IF(connections!$A191="","",IFERROR(INDEX(games!$B$2:$B$950,MATCH(connections!$B191,games!$A$2:$A$950,0)),""))</f>
        <v/>
      </c>
      <c r="V191">
        <f>IF(OR($T191="",$U191=""),"",$U191-$T191)</f>
        <v/>
      </c>
    </row>
    <row r="192">
      <c r="A192">
        <f>IF(games!$A192="","",games!$A192)</f>
        <v/>
      </c>
      <c r="B192">
        <f>IF($A192="","",games!$B192)</f>
        <v/>
      </c>
      <c r="C192">
        <f>IF($A192="","",games!$C192)</f>
        <v/>
      </c>
      <c r="D192">
        <f>IF($A192="","",COUNTIF(connections!$A$2:$A$1400,$A192)+COUNTIF(connections!$B$2:$B$1400,$A192))</f>
        <v/>
      </c>
      <c r="E192">
        <f>IF($A192="","",IFERROR(MATCH($C192,$R$2:$R$5,0),0))</f>
        <v/>
      </c>
      <c r="F192">
        <f>IF($A192="","",MOD(ROW(),34))</f>
        <v/>
      </c>
      <c r="G192">
        <f>IF($A192="",NA(),IF($C192="Action",$B192,NA()))</f>
        <v/>
      </c>
      <c r="H192">
        <f>IF($A192="",NA(),IF($C192="Action",1+$F192*0.023,NA()))</f>
        <v/>
      </c>
      <c r="I192">
        <f>IF($A192="",NA(),IF($C192="Strategy",$B192,NA()))</f>
        <v/>
      </c>
      <c r="J192">
        <f>IF($A192="",NA(),IF($C192="Strategy",2+$F192*0.023,NA()))</f>
        <v/>
      </c>
      <c r="K192">
        <f>IF($A192="",NA(),IF($C192="Deckbuilder",$B192,NA()))</f>
        <v/>
      </c>
      <c r="L192">
        <f>IF($A192="",NA(),IF($C192="Deckbuilder",3+$F192*0.023,NA()))</f>
        <v/>
      </c>
      <c r="M192">
        <f>IF($A192="",NA(),IF($C192="Traditional",$B192,NA()))</f>
        <v/>
      </c>
      <c r="N192">
        <f>IF($A192="",NA(),IF($C192="Traditional",4+$F192*0.023,NA()))</f>
        <v/>
      </c>
      <c r="O192">
        <f>IF($A192="","",$D192+ROW()/1000000)</f>
        <v/>
      </c>
      <c r="P192">
        <f>IF(OR($A192="",games!$H192=""),"",games!$H192)</f>
        <v/>
      </c>
      <c r="Q192">
        <f>IF(OR($A192="",$P192&lt;&gt;"Yes"),"",$D192+ROW()/1000000)</f>
        <v/>
      </c>
      <c r="T192">
        <f>IF(connections!$A192="","",IFERROR(INDEX(games!$B$2:$B$950,MATCH(connections!$A192,games!$A$2:$A$950,0)),""))</f>
        <v/>
      </c>
      <c r="U192">
        <f>IF(connections!$A192="","",IFERROR(INDEX(games!$B$2:$B$950,MATCH(connections!$B192,games!$A$2:$A$950,0)),""))</f>
        <v/>
      </c>
      <c r="V192">
        <f>IF(OR($T192="",$U192=""),"",$U192-$T192)</f>
        <v/>
      </c>
    </row>
    <row r="193">
      <c r="A193">
        <f>IF(games!$A193="","",games!$A193)</f>
        <v/>
      </c>
      <c r="B193">
        <f>IF($A193="","",games!$B193)</f>
        <v/>
      </c>
      <c r="C193">
        <f>IF($A193="","",games!$C193)</f>
        <v/>
      </c>
      <c r="D193">
        <f>IF($A193="","",COUNTIF(connections!$A$2:$A$1400,$A193)+COUNTIF(connections!$B$2:$B$1400,$A193))</f>
        <v/>
      </c>
      <c r="E193">
        <f>IF($A193="","",IFERROR(MATCH($C193,$R$2:$R$5,0),0))</f>
        <v/>
      </c>
      <c r="F193">
        <f>IF($A193="","",MOD(ROW(),34))</f>
        <v/>
      </c>
      <c r="G193">
        <f>IF($A193="",NA(),IF($C193="Action",$B193,NA()))</f>
        <v/>
      </c>
      <c r="H193">
        <f>IF($A193="",NA(),IF($C193="Action",1+$F193*0.023,NA()))</f>
        <v/>
      </c>
      <c r="I193">
        <f>IF($A193="",NA(),IF($C193="Strategy",$B193,NA()))</f>
        <v/>
      </c>
      <c r="J193">
        <f>IF($A193="",NA(),IF($C193="Strategy",2+$F193*0.023,NA()))</f>
        <v/>
      </c>
      <c r="K193">
        <f>IF($A193="",NA(),IF($C193="Deckbuilder",$B193,NA()))</f>
        <v/>
      </c>
      <c r="L193">
        <f>IF($A193="",NA(),IF($C193="Deckbuilder",3+$F193*0.023,NA()))</f>
        <v/>
      </c>
      <c r="M193">
        <f>IF($A193="",NA(),IF($C193="Traditional",$B193,NA()))</f>
        <v/>
      </c>
      <c r="N193">
        <f>IF($A193="",NA(),IF($C193="Traditional",4+$F193*0.023,NA()))</f>
        <v/>
      </c>
      <c r="O193">
        <f>IF($A193="","",$D193+ROW()/1000000)</f>
        <v/>
      </c>
      <c r="P193">
        <f>IF(OR($A193="",games!$H193=""),"",games!$H193)</f>
        <v/>
      </c>
      <c r="Q193">
        <f>IF(OR($A193="",$P193&lt;&gt;"Yes"),"",$D193+ROW()/1000000)</f>
        <v/>
      </c>
      <c r="T193">
        <f>IF(connections!$A193="","",IFERROR(INDEX(games!$B$2:$B$950,MATCH(connections!$A193,games!$A$2:$A$950,0)),""))</f>
        <v/>
      </c>
      <c r="U193">
        <f>IF(connections!$A193="","",IFERROR(INDEX(games!$B$2:$B$950,MATCH(connections!$B193,games!$A$2:$A$950,0)),""))</f>
        <v/>
      </c>
      <c r="V193">
        <f>IF(OR($T193="",$U193=""),"",$U193-$T193)</f>
        <v/>
      </c>
    </row>
    <row r="194">
      <c r="A194">
        <f>IF(games!$A194="","",games!$A194)</f>
        <v/>
      </c>
      <c r="B194">
        <f>IF($A194="","",games!$B194)</f>
        <v/>
      </c>
      <c r="C194">
        <f>IF($A194="","",games!$C194)</f>
        <v/>
      </c>
      <c r="D194">
        <f>IF($A194="","",COUNTIF(connections!$A$2:$A$1400,$A194)+COUNTIF(connections!$B$2:$B$1400,$A194))</f>
        <v/>
      </c>
      <c r="E194">
        <f>IF($A194="","",IFERROR(MATCH($C194,$R$2:$R$5,0),0))</f>
        <v/>
      </c>
      <c r="F194">
        <f>IF($A194="","",MOD(ROW(),34))</f>
        <v/>
      </c>
      <c r="G194">
        <f>IF($A194="",NA(),IF($C194="Action",$B194,NA()))</f>
        <v/>
      </c>
      <c r="H194">
        <f>IF($A194="",NA(),IF($C194="Action",1+$F194*0.023,NA()))</f>
        <v/>
      </c>
      <c r="I194">
        <f>IF($A194="",NA(),IF($C194="Strategy",$B194,NA()))</f>
        <v/>
      </c>
      <c r="J194">
        <f>IF($A194="",NA(),IF($C194="Strategy",2+$F194*0.023,NA()))</f>
        <v/>
      </c>
      <c r="K194">
        <f>IF($A194="",NA(),IF($C194="Deckbuilder",$B194,NA()))</f>
        <v/>
      </c>
      <c r="L194">
        <f>IF($A194="",NA(),IF($C194="Deckbuilder",3+$F194*0.023,NA()))</f>
        <v/>
      </c>
      <c r="M194">
        <f>IF($A194="",NA(),IF($C194="Traditional",$B194,NA()))</f>
        <v/>
      </c>
      <c r="N194">
        <f>IF($A194="",NA(),IF($C194="Traditional",4+$F194*0.023,NA()))</f>
        <v/>
      </c>
      <c r="O194">
        <f>IF($A194="","",$D194+ROW()/1000000)</f>
        <v/>
      </c>
      <c r="P194">
        <f>IF(OR($A194="",games!$H194=""),"",games!$H194)</f>
        <v/>
      </c>
      <c r="Q194">
        <f>IF(OR($A194="",$P194&lt;&gt;"Yes"),"",$D194+ROW()/1000000)</f>
        <v/>
      </c>
      <c r="T194">
        <f>IF(connections!$A194="","",IFERROR(INDEX(games!$B$2:$B$950,MATCH(connections!$A194,games!$A$2:$A$950,0)),""))</f>
        <v/>
      </c>
      <c r="U194">
        <f>IF(connections!$A194="","",IFERROR(INDEX(games!$B$2:$B$950,MATCH(connections!$B194,games!$A$2:$A$950,0)),""))</f>
        <v/>
      </c>
      <c r="V194">
        <f>IF(OR($T194="",$U194=""),"",$U194-$T194)</f>
        <v/>
      </c>
    </row>
    <row r="195">
      <c r="A195">
        <f>IF(games!$A195="","",games!$A195)</f>
        <v/>
      </c>
      <c r="B195">
        <f>IF($A195="","",games!$B195)</f>
        <v/>
      </c>
      <c r="C195">
        <f>IF($A195="","",games!$C195)</f>
        <v/>
      </c>
      <c r="D195">
        <f>IF($A195="","",COUNTIF(connections!$A$2:$A$1400,$A195)+COUNTIF(connections!$B$2:$B$1400,$A195))</f>
        <v/>
      </c>
      <c r="E195">
        <f>IF($A195="","",IFERROR(MATCH($C195,$R$2:$R$5,0),0))</f>
        <v/>
      </c>
      <c r="F195">
        <f>IF($A195="","",MOD(ROW(),34))</f>
        <v/>
      </c>
      <c r="G195">
        <f>IF($A195="",NA(),IF($C195="Action",$B195,NA()))</f>
        <v/>
      </c>
      <c r="H195">
        <f>IF($A195="",NA(),IF($C195="Action",1+$F195*0.023,NA()))</f>
        <v/>
      </c>
      <c r="I195">
        <f>IF($A195="",NA(),IF($C195="Strategy",$B195,NA()))</f>
        <v/>
      </c>
      <c r="J195">
        <f>IF($A195="",NA(),IF($C195="Strategy",2+$F195*0.023,NA()))</f>
        <v/>
      </c>
      <c r="K195">
        <f>IF($A195="",NA(),IF($C195="Deckbuilder",$B195,NA()))</f>
        <v/>
      </c>
      <c r="L195">
        <f>IF($A195="",NA(),IF($C195="Deckbuilder",3+$F195*0.023,NA()))</f>
        <v/>
      </c>
      <c r="M195">
        <f>IF($A195="",NA(),IF($C195="Traditional",$B195,NA()))</f>
        <v/>
      </c>
      <c r="N195">
        <f>IF($A195="",NA(),IF($C195="Traditional",4+$F195*0.023,NA()))</f>
        <v/>
      </c>
      <c r="O195">
        <f>IF($A195="","",$D195+ROW()/1000000)</f>
        <v/>
      </c>
      <c r="P195">
        <f>IF(OR($A195="",games!$H195=""),"",games!$H195)</f>
        <v/>
      </c>
      <c r="Q195">
        <f>IF(OR($A195="",$P195&lt;&gt;"Yes"),"",$D195+ROW()/1000000)</f>
        <v/>
      </c>
      <c r="T195">
        <f>IF(connections!$A195="","",IFERROR(INDEX(games!$B$2:$B$950,MATCH(connections!$A195,games!$A$2:$A$950,0)),""))</f>
        <v/>
      </c>
      <c r="U195">
        <f>IF(connections!$A195="","",IFERROR(INDEX(games!$B$2:$B$950,MATCH(connections!$B195,games!$A$2:$A$950,0)),""))</f>
        <v/>
      </c>
      <c r="V195">
        <f>IF(OR($T195="",$U195=""),"",$U195-$T195)</f>
        <v/>
      </c>
    </row>
    <row r="196">
      <c r="A196">
        <f>IF(games!$A196="","",games!$A196)</f>
        <v/>
      </c>
      <c r="B196">
        <f>IF($A196="","",games!$B196)</f>
        <v/>
      </c>
      <c r="C196">
        <f>IF($A196="","",games!$C196)</f>
        <v/>
      </c>
      <c r="D196">
        <f>IF($A196="","",COUNTIF(connections!$A$2:$A$1400,$A196)+COUNTIF(connections!$B$2:$B$1400,$A196))</f>
        <v/>
      </c>
      <c r="E196">
        <f>IF($A196="","",IFERROR(MATCH($C196,$R$2:$R$5,0),0))</f>
        <v/>
      </c>
      <c r="F196">
        <f>IF($A196="","",MOD(ROW(),34))</f>
        <v/>
      </c>
      <c r="G196">
        <f>IF($A196="",NA(),IF($C196="Action",$B196,NA()))</f>
        <v/>
      </c>
      <c r="H196">
        <f>IF($A196="",NA(),IF($C196="Action",1+$F196*0.023,NA()))</f>
        <v/>
      </c>
      <c r="I196">
        <f>IF($A196="",NA(),IF($C196="Strategy",$B196,NA()))</f>
        <v/>
      </c>
      <c r="J196">
        <f>IF($A196="",NA(),IF($C196="Strategy",2+$F196*0.023,NA()))</f>
        <v/>
      </c>
      <c r="K196">
        <f>IF($A196="",NA(),IF($C196="Deckbuilder",$B196,NA()))</f>
        <v/>
      </c>
      <c r="L196">
        <f>IF($A196="",NA(),IF($C196="Deckbuilder",3+$F196*0.023,NA()))</f>
        <v/>
      </c>
      <c r="M196">
        <f>IF($A196="",NA(),IF($C196="Traditional",$B196,NA()))</f>
        <v/>
      </c>
      <c r="N196">
        <f>IF($A196="",NA(),IF($C196="Traditional",4+$F196*0.023,NA()))</f>
        <v/>
      </c>
      <c r="O196">
        <f>IF($A196="","",$D196+ROW()/1000000)</f>
        <v/>
      </c>
      <c r="P196">
        <f>IF(OR($A196="",games!$H196=""),"",games!$H196)</f>
        <v/>
      </c>
      <c r="Q196">
        <f>IF(OR($A196="",$P196&lt;&gt;"Yes"),"",$D196+ROW()/1000000)</f>
        <v/>
      </c>
      <c r="T196">
        <f>IF(connections!$A196="","",IFERROR(INDEX(games!$B$2:$B$950,MATCH(connections!$A196,games!$A$2:$A$950,0)),""))</f>
        <v/>
      </c>
      <c r="U196">
        <f>IF(connections!$A196="","",IFERROR(INDEX(games!$B$2:$B$950,MATCH(connections!$B196,games!$A$2:$A$950,0)),""))</f>
        <v/>
      </c>
      <c r="V196">
        <f>IF(OR($T196="",$U196=""),"",$U196-$T196)</f>
        <v/>
      </c>
    </row>
    <row r="197">
      <c r="A197">
        <f>IF(games!$A197="","",games!$A197)</f>
        <v/>
      </c>
      <c r="B197">
        <f>IF($A197="","",games!$B197)</f>
        <v/>
      </c>
      <c r="C197">
        <f>IF($A197="","",games!$C197)</f>
        <v/>
      </c>
      <c r="D197">
        <f>IF($A197="","",COUNTIF(connections!$A$2:$A$1400,$A197)+COUNTIF(connections!$B$2:$B$1400,$A197))</f>
        <v/>
      </c>
      <c r="E197">
        <f>IF($A197="","",IFERROR(MATCH($C197,$R$2:$R$5,0),0))</f>
        <v/>
      </c>
      <c r="F197">
        <f>IF($A197="","",MOD(ROW(),34))</f>
        <v/>
      </c>
      <c r="G197">
        <f>IF($A197="",NA(),IF($C197="Action",$B197,NA()))</f>
        <v/>
      </c>
      <c r="H197">
        <f>IF($A197="",NA(),IF($C197="Action",1+$F197*0.023,NA()))</f>
        <v/>
      </c>
      <c r="I197">
        <f>IF($A197="",NA(),IF($C197="Strategy",$B197,NA()))</f>
        <v/>
      </c>
      <c r="J197">
        <f>IF($A197="",NA(),IF($C197="Strategy",2+$F197*0.023,NA()))</f>
        <v/>
      </c>
      <c r="K197">
        <f>IF($A197="",NA(),IF($C197="Deckbuilder",$B197,NA()))</f>
        <v/>
      </c>
      <c r="L197">
        <f>IF($A197="",NA(),IF($C197="Deckbuilder",3+$F197*0.023,NA()))</f>
        <v/>
      </c>
      <c r="M197">
        <f>IF($A197="",NA(),IF($C197="Traditional",$B197,NA()))</f>
        <v/>
      </c>
      <c r="N197">
        <f>IF($A197="",NA(),IF($C197="Traditional",4+$F197*0.023,NA()))</f>
        <v/>
      </c>
      <c r="O197">
        <f>IF($A197="","",$D197+ROW()/1000000)</f>
        <v/>
      </c>
      <c r="P197">
        <f>IF(OR($A197="",games!$H197=""),"",games!$H197)</f>
        <v/>
      </c>
      <c r="Q197">
        <f>IF(OR($A197="",$P197&lt;&gt;"Yes"),"",$D197+ROW()/1000000)</f>
        <v/>
      </c>
      <c r="T197">
        <f>IF(connections!$A197="","",IFERROR(INDEX(games!$B$2:$B$950,MATCH(connections!$A197,games!$A$2:$A$950,0)),""))</f>
        <v/>
      </c>
      <c r="U197">
        <f>IF(connections!$A197="","",IFERROR(INDEX(games!$B$2:$B$950,MATCH(connections!$B197,games!$A$2:$A$950,0)),""))</f>
        <v/>
      </c>
      <c r="V197">
        <f>IF(OR($T197="",$U197=""),"",$U197-$T197)</f>
        <v/>
      </c>
    </row>
    <row r="198">
      <c r="A198">
        <f>IF(games!$A198="","",games!$A198)</f>
        <v/>
      </c>
      <c r="B198">
        <f>IF($A198="","",games!$B198)</f>
        <v/>
      </c>
      <c r="C198">
        <f>IF($A198="","",games!$C198)</f>
        <v/>
      </c>
      <c r="D198">
        <f>IF($A198="","",COUNTIF(connections!$A$2:$A$1400,$A198)+COUNTIF(connections!$B$2:$B$1400,$A198))</f>
        <v/>
      </c>
      <c r="E198">
        <f>IF($A198="","",IFERROR(MATCH($C198,$R$2:$R$5,0),0))</f>
        <v/>
      </c>
      <c r="F198">
        <f>IF($A198="","",MOD(ROW(),34))</f>
        <v/>
      </c>
      <c r="G198">
        <f>IF($A198="",NA(),IF($C198="Action",$B198,NA()))</f>
        <v/>
      </c>
      <c r="H198">
        <f>IF($A198="",NA(),IF($C198="Action",1+$F198*0.023,NA()))</f>
        <v/>
      </c>
      <c r="I198">
        <f>IF($A198="",NA(),IF($C198="Strategy",$B198,NA()))</f>
        <v/>
      </c>
      <c r="J198">
        <f>IF($A198="",NA(),IF($C198="Strategy",2+$F198*0.023,NA()))</f>
        <v/>
      </c>
      <c r="K198">
        <f>IF($A198="",NA(),IF($C198="Deckbuilder",$B198,NA()))</f>
        <v/>
      </c>
      <c r="L198">
        <f>IF($A198="",NA(),IF($C198="Deckbuilder",3+$F198*0.023,NA()))</f>
        <v/>
      </c>
      <c r="M198">
        <f>IF($A198="",NA(),IF($C198="Traditional",$B198,NA()))</f>
        <v/>
      </c>
      <c r="N198">
        <f>IF($A198="",NA(),IF($C198="Traditional",4+$F198*0.023,NA()))</f>
        <v/>
      </c>
      <c r="O198">
        <f>IF($A198="","",$D198+ROW()/1000000)</f>
        <v/>
      </c>
      <c r="P198">
        <f>IF(OR($A198="",games!$H198=""),"",games!$H198)</f>
        <v/>
      </c>
      <c r="Q198">
        <f>IF(OR($A198="",$P198&lt;&gt;"Yes"),"",$D198+ROW()/1000000)</f>
        <v/>
      </c>
      <c r="T198">
        <f>IF(connections!$A198="","",IFERROR(INDEX(games!$B$2:$B$950,MATCH(connections!$A198,games!$A$2:$A$950,0)),""))</f>
        <v/>
      </c>
      <c r="U198">
        <f>IF(connections!$A198="","",IFERROR(INDEX(games!$B$2:$B$950,MATCH(connections!$B198,games!$A$2:$A$950,0)),""))</f>
        <v/>
      </c>
      <c r="V198">
        <f>IF(OR($T198="",$U198=""),"",$U198-$T198)</f>
        <v/>
      </c>
    </row>
    <row r="199">
      <c r="A199">
        <f>IF(games!$A199="","",games!$A199)</f>
        <v/>
      </c>
      <c r="B199">
        <f>IF($A199="","",games!$B199)</f>
        <v/>
      </c>
      <c r="C199">
        <f>IF($A199="","",games!$C199)</f>
        <v/>
      </c>
      <c r="D199">
        <f>IF($A199="","",COUNTIF(connections!$A$2:$A$1400,$A199)+COUNTIF(connections!$B$2:$B$1400,$A199))</f>
        <v/>
      </c>
      <c r="E199">
        <f>IF($A199="","",IFERROR(MATCH($C199,$R$2:$R$5,0),0))</f>
        <v/>
      </c>
      <c r="F199">
        <f>IF($A199="","",MOD(ROW(),34))</f>
        <v/>
      </c>
      <c r="G199">
        <f>IF($A199="",NA(),IF($C199="Action",$B199,NA()))</f>
        <v/>
      </c>
      <c r="H199">
        <f>IF($A199="",NA(),IF($C199="Action",1+$F199*0.023,NA()))</f>
        <v/>
      </c>
      <c r="I199">
        <f>IF($A199="",NA(),IF($C199="Strategy",$B199,NA()))</f>
        <v/>
      </c>
      <c r="J199">
        <f>IF($A199="",NA(),IF($C199="Strategy",2+$F199*0.023,NA()))</f>
        <v/>
      </c>
      <c r="K199">
        <f>IF($A199="",NA(),IF($C199="Deckbuilder",$B199,NA()))</f>
        <v/>
      </c>
      <c r="L199">
        <f>IF($A199="",NA(),IF($C199="Deckbuilder",3+$F199*0.023,NA()))</f>
        <v/>
      </c>
      <c r="M199">
        <f>IF($A199="",NA(),IF($C199="Traditional",$B199,NA()))</f>
        <v/>
      </c>
      <c r="N199">
        <f>IF($A199="",NA(),IF($C199="Traditional",4+$F199*0.023,NA()))</f>
        <v/>
      </c>
      <c r="O199">
        <f>IF($A199="","",$D199+ROW()/1000000)</f>
        <v/>
      </c>
      <c r="P199">
        <f>IF(OR($A199="",games!$H199=""),"",games!$H199)</f>
        <v/>
      </c>
      <c r="Q199">
        <f>IF(OR($A199="",$P199&lt;&gt;"Yes"),"",$D199+ROW()/1000000)</f>
        <v/>
      </c>
      <c r="T199">
        <f>IF(connections!$A199="","",IFERROR(INDEX(games!$B$2:$B$950,MATCH(connections!$A199,games!$A$2:$A$950,0)),""))</f>
        <v/>
      </c>
      <c r="U199">
        <f>IF(connections!$A199="","",IFERROR(INDEX(games!$B$2:$B$950,MATCH(connections!$B199,games!$A$2:$A$950,0)),""))</f>
        <v/>
      </c>
      <c r="V199">
        <f>IF(OR($T199="",$U199=""),"",$U199-$T199)</f>
        <v/>
      </c>
    </row>
    <row r="200">
      <c r="A200">
        <f>IF(games!$A200="","",games!$A200)</f>
        <v/>
      </c>
      <c r="B200">
        <f>IF($A200="","",games!$B200)</f>
        <v/>
      </c>
      <c r="C200">
        <f>IF($A200="","",games!$C200)</f>
        <v/>
      </c>
      <c r="D200">
        <f>IF($A200="","",COUNTIF(connections!$A$2:$A$1400,$A200)+COUNTIF(connections!$B$2:$B$1400,$A200))</f>
        <v/>
      </c>
      <c r="E200">
        <f>IF($A200="","",IFERROR(MATCH($C200,$R$2:$R$5,0),0))</f>
        <v/>
      </c>
      <c r="F200">
        <f>IF($A200="","",MOD(ROW(),34))</f>
        <v/>
      </c>
      <c r="G200">
        <f>IF($A200="",NA(),IF($C200="Action",$B200,NA()))</f>
        <v/>
      </c>
      <c r="H200">
        <f>IF($A200="",NA(),IF($C200="Action",1+$F200*0.023,NA()))</f>
        <v/>
      </c>
      <c r="I200">
        <f>IF($A200="",NA(),IF($C200="Strategy",$B200,NA()))</f>
        <v/>
      </c>
      <c r="J200">
        <f>IF($A200="",NA(),IF($C200="Strategy",2+$F200*0.023,NA()))</f>
        <v/>
      </c>
      <c r="K200">
        <f>IF($A200="",NA(),IF($C200="Deckbuilder",$B200,NA()))</f>
        <v/>
      </c>
      <c r="L200">
        <f>IF($A200="",NA(),IF($C200="Deckbuilder",3+$F200*0.023,NA()))</f>
        <v/>
      </c>
      <c r="M200">
        <f>IF($A200="",NA(),IF($C200="Traditional",$B200,NA()))</f>
        <v/>
      </c>
      <c r="N200">
        <f>IF($A200="",NA(),IF($C200="Traditional",4+$F200*0.023,NA()))</f>
        <v/>
      </c>
      <c r="O200">
        <f>IF($A200="","",$D200+ROW()/1000000)</f>
        <v/>
      </c>
      <c r="P200">
        <f>IF(OR($A200="",games!$H200=""),"",games!$H200)</f>
        <v/>
      </c>
      <c r="Q200">
        <f>IF(OR($A200="",$P200&lt;&gt;"Yes"),"",$D200+ROW()/1000000)</f>
        <v/>
      </c>
      <c r="T200">
        <f>IF(connections!$A200="","",IFERROR(INDEX(games!$B$2:$B$950,MATCH(connections!$A200,games!$A$2:$A$950,0)),""))</f>
        <v/>
      </c>
      <c r="U200">
        <f>IF(connections!$A200="","",IFERROR(INDEX(games!$B$2:$B$950,MATCH(connections!$B200,games!$A$2:$A$950,0)),""))</f>
        <v/>
      </c>
      <c r="V200">
        <f>IF(OR($T200="",$U200=""),"",$U200-$T200)</f>
        <v/>
      </c>
    </row>
    <row r="201">
      <c r="A201">
        <f>IF(games!$A201="","",games!$A201)</f>
        <v/>
      </c>
      <c r="B201">
        <f>IF($A201="","",games!$B201)</f>
        <v/>
      </c>
      <c r="C201">
        <f>IF($A201="","",games!$C201)</f>
        <v/>
      </c>
      <c r="D201">
        <f>IF($A201="","",COUNTIF(connections!$A$2:$A$1400,$A201)+COUNTIF(connections!$B$2:$B$1400,$A201))</f>
        <v/>
      </c>
      <c r="E201">
        <f>IF($A201="","",IFERROR(MATCH($C201,$R$2:$R$5,0),0))</f>
        <v/>
      </c>
      <c r="F201">
        <f>IF($A201="","",MOD(ROW(),34))</f>
        <v/>
      </c>
      <c r="G201">
        <f>IF($A201="",NA(),IF($C201="Action",$B201,NA()))</f>
        <v/>
      </c>
      <c r="H201">
        <f>IF($A201="",NA(),IF($C201="Action",1+$F201*0.023,NA()))</f>
        <v/>
      </c>
      <c r="I201">
        <f>IF($A201="",NA(),IF($C201="Strategy",$B201,NA()))</f>
        <v/>
      </c>
      <c r="J201">
        <f>IF($A201="",NA(),IF($C201="Strategy",2+$F201*0.023,NA()))</f>
        <v/>
      </c>
      <c r="K201">
        <f>IF($A201="",NA(),IF($C201="Deckbuilder",$B201,NA()))</f>
        <v/>
      </c>
      <c r="L201">
        <f>IF($A201="",NA(),IF($C201="Deckbuilder",3+$F201*0.023,NA()))</f>
        <v/>
      </c>
      <c r="M201">
        <f>IF($A201="",NA(),IF($C201="Traditional",$B201,NA()))</f>
        <v/>
      </c>
      <c r="N201">
        <f>IF($A201="",NA(),IF($C201="Traditional",4+$F201*0.023,NA()))</f>
        <v/>
      </c>
      <c r="O201">
        <f>IF($A201="","",$D201+ROW()/1000000)</f>
        <v/>
      </c>
      <c r="P201">
        <f>IF(OR($A201="",games!$H201=""),"",games!$H201)</f>
        <v/>
      </c>
      <c r="Q201">
        <f>IF(OR($A201="",$P201&lt;&gt;"Yes"),"",$D201+ROW()/1000000)</f>
        <v/>
      </c>
      <c r="T201">
        <f>IF(connections!$A201="","",IFERROR(INDEX(games!$B$2:$B$950,MATCH(connections!$A201,games!$A$2:$A$950,0)),""))</f>
        <v/>
      </c>
      <c r="U201">
        <f>IF(connections!$A201="","",IFERROR(INDEX(games!$B$2:$B$950,MATCH(connections!$B201,games!$A$2:$A$950,0)),""))</f>
        <v/>
      </c>
      <c r="V201">
        <f>IF(OR($T201="",$U201=""),"",$U201-$T201)</f>
        <v/>
      </c>
    </row>
    <row r="202">
      <c r="A202">
        <f>IF(games!$A202="","",games!$A202)</f>
        <v/>
      </c>
      <c r="B202">
        <f>IF($A202="","",games!$B202)</f>
        <v/>
      </c>
      <c r="C202">
        <f>IF($A202="","",games!$C202)</f>
        <v/>
      </c>
      <c r="D202">
        <f>IF($A202="","",COUNTIF(connections!$A$2:$A$1400,$A202)+COUNTIF(connections!$B$2:$B$1400,$A202))</f>
        <v/>
      </c>
      <c r="E202">
        <f>IF($A202="","",IFERROR(MATCH($C202,$R$2:$R$5,0),0))</f>
        <v/>
      </c>
      <c r="F202">
        <f>IF($A202="","",MOD(ROW(),34))</f>
        <v/>
      </c>
      <c r="G202">
        <f>IF($A202="",NA(),IF($C202="Action",$B202,NA()))</f>
        <v/>
      </c>
      <c r="H202">
        <f>IF($A202="",NA(),IF($C202="Action",1+$F202*0.023,NA()))</f>
        <v/>
      </c>
      <c r="I202">
        <f>IF($A202="",NA(),IF($C202="Strategy",$B202,NA()))</f>
        <v/>
      </c>
      <c r="J202">
        <f>IF($A202="",NA(),IF($C202="Strategy",2+$F202*0.023,NA()))</f>
        <v/>
      </c>
      <c r="K202">
        <f>IF($A202="",NA(),IF($C202="Deckbuilder",$B202,NA()))</f>
        <v/>
      </c>
      <c r="L202">
        <f>IF($A202="",NA(),IF($C202="Deckbuilder",3+$F202*0.023,NA()))</f>
        <v/>
      </c>
      <c r="M202">
        <f>IF($A202="",NA(),IF($C202="Traditional",$B202,NA()))</f>
        <v/>
      </c>
      <c r="N202">
        <f>IF($A202="",NA(),IF($C202="Traditional",4+$F202*0.023,NA()))</f>
        <v/>
      </c>
      <c r="O202">
        <f>IF($A202="","",$D202+ROW()/1000000)</f>
        <v/>
      </c>
      <c r="P202">
        <f>IF(OR($A202="",games!$H202=""),"",games!$H202)</f>
        <v/>
      </c>
      <c r="Q202">
        <f>IF(OR($A202="",$P202&lt;&gt;"Yes"),"",$D202+ROW()/1000000)</f>
        <v/>
      </c>
      <c r="T202">
        <f>IF(connections!$A202="","",IFERROR(INDEX(games!$B$2:$B$950,MATCH(connections!$A202,games!$A$2:$A$950,0)),""))</f>
        <v/>
      </c>
      <c r="U202">
        <f>IF(connections!$A202="","",IFERROR(INDEX(games!$B$2:$B$950,MATCH(connections!$B202,games!$A$2:$A$950,0)),""))</f>
        <v/>
      </c>
      <c r="V202">
        <f>IF(OR($T202="",$U202=""),"",$U202-$T202)</f>
        <v/>
      </c>
    </row>
    <row r="203">
      <c r="A203">
        <f>IF(games!$A203="","",games!$A203)</f>
        <v/>
      </c>
      <c r="B203">
        <f>IF($A203="","",games!$B203)</f>
        <v/>
      </c>
      <c r="C203">
        <f>IF($A203="","",games!$C203)</f>
        <v/>
      </c>
      <c r="D203">
        <f>IF($A203="","",COUNTIF(connections!$A$2:$A$1400,$A203)+COUNTIF(connections!$B$2:$B$1400,$A203))</f>
        <v/>
      </c>
      <c r="E203">
        <f>IF($A203="","",IFERROR(MATCH($C203,$R$2:$R$5,0),0))</f>
        <v/>
      </c>
      <c r="F203">
        <f>IF($A203="","",MOD(ROW(),34))</f>
        <v/>
      </c>
      <c r="G203">
        <f>IF($A203="",NA(),IF($C203="Action",$B203,NA()))</f>
        <v/>
      </c>
      <c r="H203">
        <f>IF($A203="",NA(),IF($C203="Action",1+$F203*0.023,NA()))</f>
        <v/>
      </c>
      <c r="I203">
        <f>IF($A203="",NA(),IF($C203="Strategy",$B203,NA()))</f>
        <v/>
      </c>
      <c r="J203">
        <f>IF($A203="",NA(),IF($C203="Strategy",2+$F203*0.023,NA()))</f>
        <v/>
      </c>
      <c r="K203">
        <f>IF($A203="",NA(),IF($C203="Deckbuilder",$B203,NA()))</f>
        <v/>
      </c>
      <c r="L203">
        <f>IF($A203="",NA(),IF($C203="Deckbuilder",3+$F203*0.023,NA()))</f>
        <v/>
      </c>
      <c r="M203">
        <f>IF($A203="",NA(),IF($C203="Traditional",$B203,NA()))</f>
        <v/>
      </c>
      <c r="N203">
        <f>IF($A203="",NA(),IF($C203="Traditional",4+$F203*0.023,NA()))</f>
        <v/>
      </c>
      <c r="O203">
        <f>IF($A203="","",$D203+ROW()/1000000)</f>
        <v/>
      </c>
      <c r="P203">
        <f>IF(OR($A203="",games!$H203=""),"",games!$H203)</f>
        <v/>
      </c>
      <c r="Q203">
        <f>IF(OR($A203="",$P203&lt;&gt;"Yes"),"",$D203+ROW()/1000000)</f>
        <v/>
      </c>
      <c r="T203">
        <f>IF(connections!$A203="","",IFERROR(INDEX(games!$B$2:$B$950,MATCH(connections!$A203,games!$A$2:$A$950,0)),""))</f>
        <v/>
      </c>
      <c r="U203">
        <f>IF(connections!$A203="","",IFERROR(INDEX(games!$B$2:$B$950,MATCH(connections!$B203,games!$A$2:$A$950,0)),""))</f>
        <v/>
      </c>
      <c r="V203">
        <f>IF(OR($T203="",$U203=""),"",$U203-$T203)</f>
        <v/>
      </c>
    </row>
    <row r="204">
      <c r="A204">
        <f>IF(games!$A204="","",games!$A204)</f>
        <v/>
      </c>
      <c r="B204">
        <f>IF($A204="","",games!$B204)</f>
        <v/>
      </c>
      <c r="C204">
        <f>IF($A204="","",games!$C204)</f>
        <v/>
      </c>
      <c r="D204">
        <f>IF($A204="","",COUNTIF(connections!$A$2:$A$1400,$A204)+COUNTIF(connections!$B$2:$B$1400,$A204))</f>
        <v/>
      </c>
      <c r="E204">
        <f>IF($A204="","",IFERROR(MATCH($C204,$R$2:$R$5,0),0))</f>
        <v/>
      </c>
      <c r="F204">
        <f>IF($A204="","",MOD(ROW(),34))</f>
        <v/>
      </c>
      <c r="G204">
        <f>IF($A204="",NA(),IF($C204="Action",$B204,NA()))</f>
        <v/>
      </c>
      <c r="H204">
        <f>IF($A204="",NA(),IF($C204="Action",1+$F204*0.023,NA()))</f>
        <v/>
      </c>
      <c r="I204">
        <f>IF($A204="",NA(),IF($C204="Strategy",$B204,NA()))</f>
        <v/>
      </c>
      <c r="J204">
        <f>IF($A204="",NA(),IF($C204="Strategy",2+$F204*0.023,NA()))</f>
        <v/>
      </c>
      <c r="K204">
        <f>IF($A204="",NA(),IF($C204="Deckbuilder",$B204,NA()))</f>
        <v/>
      </c>
      <c r="L204">
        <f>IF($A204="",NA(),IF($C204="Deckbuilder",3+$F204*0.023,NA()))</f>
        <v/>
      </c>
      <c r="M204">
        <f>IF($A204="",NA(),IF($C204="Traditional",$B204,NA()))</f>
        <v/>
      </c>
      <c r="N204">
        <f>IF($A204="",NA(),IF($C204="Traditional",4+$F204*0.023,NA()))</f>
        <v/>
      </c>
      <c r="O204">
        <f>IF($A204="","",$D204+ROW()/1000000)</f>
        <v/>
      </c>
      <c r="P204">
        <f>IF(OR($A204="",games!$H204=""),"",games!$H204)</f>
        <v/>
      </c>
      <c r="Q204">
        <f>IF(OR($A204="",$P204&lt;&gt;"Yes"),"",$D204+ROW()/1000000)</f>
        <v/>
      </c>
      <c r="T204">
        <f>IF(connections!$A204="","",IFERROR(INDEX(games!$B$2:$B$950,MATCH(connections!$A204,games!$A$2:$A$950,0)),""))</f>
        <v/>
      </c>
      <c r="U204">
        <f>IF(connections!$A204="","",IFERROR(INDEX(games!$B$2:$B$950,MATCH(connections!$B204,games!$A$2:$A$950,0)),""))</f>
        <v/>
      </c>
      <c r="V204">
        <f>IF(OR($T204="",$U204=""),"",$U204-$T204)</f>
        <v/>
      </c>
    </row>
    <row r="205">
      <c r="A205">
        <f>IF(games!$A205="","",games!$A205)</f>
        <v/>
      </c>
      <c r="B205">
        <f>IF($A205="","",games!$B205)</f>
        <v/>
      </c>
      <c r="C205">
        <f>IF($A205="","",games!$C205)</f>
        <v/>
      </c>
      <c r="D205">
        <f>IF($A205="","",COUNTIF(connections!$A$2:$A$1400,$A205)+COUNTIF(connections!$B$2:$B$1400,$A205))</f>
        <v/>
      </c>
      <c r="E205">
        <f>IF($A205="","",IFERROR(MATCH($C205,$R$2:$R$5,0),0))</f>
        <v/>
      </c>
      <c r="F205">
        <f>IF($A205="","",MOD(ROW(),34))</f>
        <v/>
      </c>
      <c r="G205">
        <f>IF($A205="",NA(),IF($C205="Action",$B205,NA()))</f>
        <v/>
      </c>
      <c r="H205">
        <f>IF($A205="",NA(),IF($C205="Action",1+$F205*0.023,NA()))</f>
        <v/>
      </c>
      <c r="I205">
        <f>IF($A205="",NA(),IF($C205="Strategy",$B205,NA()))</f>
        <v/>
      </c>
      <c r="J205">
        <f>IF($A205="",NA(),IF($C205="Strategy",2+$F205*0.023,NA()))</f>
        <v/>
      </c>
      <c r="K205">
        <f>IF($A205="",NA(),IF($C205="Deckbuilder",$B205,NA()))</f>
        <v/>
      </c>
      <c r="L205">
        <f>IF($A205="",NA(),IF($C205="Deckbuilder",3+$F205*0.023,NA()))</f>
        <v/>
      </c>
      <c r="M205">
        <f>IF($A205="",NA(),IF($C205="Traditional",$B205,NA()))</f>
        <v/>
      </c>
      <c r="N205">
        <f>IF($A205="",NA(),IF($C205="Traditional",4+$F205*0.023,NA()))</f>
        <v/>
      </c>
      <c r="O205">
        <f>IF($A205="","",$D205+ROW()/1000000)</f>
        <v/>
      </c>
      <c r="P205">
        <f>IF(OR($A205="",games!$H205=""),"",games!$H205)</f>
        <v/>
      </c>
      <c r="Q205">
        <f>IF(OR($A205="",$P205&lt;&gt;"Yes"),"",$D205+ROW()/1000000)</f>
        <v/>
      </c>
      <c r="T205">
        <f>IF(connections!$A205="","",IFERROR(INDEX(games!$B$2:$B$950,MATCH(connections!$A205,games!$A$2:$A$950,0)),""))</f>
        <v/>
      </c>
      <c r="U205">
        <f>IF(connections!$A205="","",IFERROR(INDEX(games!$B$2:$B$950,MATCH(connections!$B205,games!$A$2:$A$950,0)),""))</f>
        <v/>
      </c>
      <c r="V205">
        <f>IF(OR($T205="",$U205=""),"",$U205-$T205)</f>
        <v/>
      </c>
    </row>
    <row r="206">
      <c r="A206">
        <f>IF(games!$A206="","",games!$A206)</f>
        <v/>
      </c>
      <c r="B206">
        <f>IF($A206="","",games!$B206)</f>
        <v/>
      </c>
      <c r="C206">
        <f>IF($A206="","",games!$C206)</f>
        <v/>
      </c>
      <c r="D206">
        <f>IF($A206="","",COUNTIF(connections!$A$2:$A$1400,$A206)+COUNTIF(connections!$B$2:$B$1400,$A206))</f>
        <v/>
      </c>
      <c r="E206">
        <f>IF($A206="","",IFERROR(MATCH($C206,$R$2:$R$5,0),0))</f>
        <v/>
      </c>
      <c r="F206">
        <f>IF($A206="","",MOD(ROW(),34))</f>
        <v/>
      </c>
      <c r="G206">
        <f>IF($A206="",NA(),IF($C206="Action",$B206,NA()))</f>
        <v/>
      </c>
      <c r="H206">
        <f>IF($A206="",NA(),IF($C206="Action",1+$F206*0.023,NA()))</f>
        <v/>
      </c>
      <c r="I206">
        <f>IF($A206="",NA(),IF($C206="Strategy",$B206,NA()))</f>
        <v/>
      </c>
      <c r="J206">
        <f>IF($A206="",NA(),IF($C206="Strategy",2+$F206*0.023,NA()))</f>
        <v/>
      </c>
      <c r="K206">
        <f>IF($A206="",NA(),IF($C206="Deckbuilder",$B206,NA()))</f>
        <v/>
      </c>
      <c r="L206">
        <f>IF($A206="",NA(),IF($C206="Deckbuilder",3+$F206*0.023,NA()))</f>
        <v/>
      </c>
      <c r="M206">
        <f>IF($A206="",NA(),IF($C206="Traditional",$B206,NA()))</f>
        <v/>
      </c>
      <c r="N206">
        <f>IF($A206="",NA(),IF($C206="Traditional",4+$F206*0.023,NA()))</f>
        <v/>
      </c>
      <c r="O206">
        <f>IF($A206="","",$D206+ROW()/1000000)</f>
        <v/>
      </c>
      <c r="P206">
        <f>IF(OR($A206="",games!$H206=""),"",games!$H206)</f>
        <v/>
      </c>
      <c r="Q206">
        <f>IF(OR($A206="",$P206&lt;&gt;"Yes"),"",$D206+ROW()/1000000)</f>
        <v/>
      </c>
      <c r="T206">
        <f>IF(connections!$A206="","",IFERROR(INDEX(games!$B$2:$B$950,MATCH(connections!$A206,games!$A$2:$A$950,0)),""))</f>
        <v/>
      </c>
      <c r="U206">
        <f>IF(connections!$A206="","",IFERROR(INDEX(games!$B$2:$B$950,MATCH(connections!$B206,games!$A$2:$A$950,0)),""))</f>
        <v/>
      </c>
      <c r="V206">
        <f>IF(OR($T206="",$U206=""),"",$U206-$T206)</f>
        <v/>
      </c>
    </row>
    <row r="207">
      <c r="A207">
        <f>IF(games!$A207="","",games!$A207)</f>
        <v/>
      </c>
      <c r="B207">
        <f>IF($A207="","",games!$B207)</f>
        <v/>
      </c>
      <c r="C207">
        <f>IF($A207="","",games!$C207)</f>
        <v/>
      </c>
      <c r="D207">
        <f>IF($A207="","",COUNTIF(connections!$A$2:$A$1400,$A207)+COUNTIF(connections!$B$2:$B$1400,$A207))</f>
        <v/>
      </c>
      <c r="E207">
        <f>IF($A207="","",IFERROR(MATCH($C207,$R$2:$R$5,0),0))</f>
        <v/>
      </c>
      <c r="F207">
        <f>IF($A207="","",MOD(ROW(),34))</f>
        <v/>
      </c>
      <c r="G207">
        <f>IF($A207="",NA(),IF($C207="Action",$B207,NA()))</f>
        <v/>
      </c>
      <c r="H207">
        <f>IF($A207="",NA(),IF($C207="Action",1+$F207*0.023,NA()))</f>
        <v/>
      </c>
      <c r="I207">
        <f>IF($A207="",NA(),IF($C207="Strategy",$B207,NA()))</f>
        <v/>
      </c>
      <c r="J207">
        <f>IF($A207="",NA(),IF($C207="Strategy",2+$F207*0.023,NA()))</f>
        <v/>
      </c>
      <c r="K207">
        <f>IF($A207="",NA(),IF($C207="Deckbuilder",$B207,NA()))</f>
        <v/>
      </c>
      <c r="L207">
        <f>IF($A207="",NA(),IF($C207="Deckbuilder",3+$F207*0.023,NA()))</f>
        <v/>
      </c>
      <c r="M207">
        <f>IF($A207="",NA(),IF($C207="Traditional",$B207,NA()))</f>
        <v/>
      </c>
      <c r="N207">
        <f>IF($A207="",NA(),IF($C207="Traditional",4+$F207*0.023,NA()))</f>
        <v/>
      </c>
      <c r="O207">
        <f>IF($A207="","",$D207+ROW()/1000000)</f>
        <v/>
      </c>
      <c r="P207">
        <f>IF(OR($A207="",games!$H207=""),"",games!$H207)</f>
        <v/>
      </c>
      <c r="Q207">
        <f>IF(OR($A207="",$P207&lt;&gt;"Yes"),"",$D207+ROW()/1000000)</f>
        <v/>
      </c>
      <c r="T207">
        <f>IF(connections!$A207="","",IFERROR(INDEX(games!$B$2:$B$950,MATCH(connections!$A207,games!$A$2:$A$950,0)),""))</f>
        <v/>
      </c>
      <c r="U207">
        <f>IF(connections!$A207="","",IFERROR(INDEX(games!$B$2:$B$950,MATCH(connections!$B207,games!$A$2:$A$950,0)),""))</f>
        <v/>
      </c>
      <c r="V207">
        <f>IF(OR($T207="",$U207=""),"",$U207-$T207)</f>
        <v/>
      </c>
    </row>
    <row r="208">
      <c r="A208">
        <f>IF(games!$A208="","",games!$A208)</f>
        <v/>
      </c>
      <c r="B208">
        <f>IF($A208="","",games!$B208)</f>
        <v/>
      </c>
      <c r="C208">
        <f>IF($A208="","",games!$C208)</f>
        <v/>
      </c>
      <c r="D208">
        <f>IF($A208="","",COUNTIF(connections!$A$2:$A$1400,$A208)+COUNTIF(connections!$B$2:$B$1400,$A208))</f>
        <v/>
      </c>
      <c r="E208">
        <f>IF($A208="","",IFERROR(MATCH($C208,$R$2:$R$5,0),0))</f>
        <v/>
      </c>
      <c r="F208">
        <f>IF($A208="","",MOD(ROW(),34))</f>
        <v/>
      </c>
      <c r="G208">
        <f>IF($A208="",NA(),IF($C208="Action",$B208,NA()))</f>
        <v/>
      </c>
      <c r="H208">
        <f>IF($A208="",NA(),IF($C208="Action",1+$F208*0.023,NA()))</f>
        <v/>
      </c>
      <c r="I208">
        <f>IF($A208="",NA(),IF($C208="Strategy",$B208,NA()))</f>
        <v/>
      </c>
      <c r="J208">
        <f>IF($A208="",NA(),IF($C208="Strategy",2+$F208*0.023,NA()))</f>
        <v/>
      </c>
      <c r="K208">
        <f>IF($A208="",NA(),IF($C208="Deckbuilder",$B208,NA()))</f>
        <v/>
      </c>
      <c r="L208">
        <f>IF($A208="",NA(),IF($C208="Deckbuilder",3+$F208*0.023,NA()))</f>
        <v/>
      </c>
      <c r="M208">
        <f>IF($A208="",NA(),IF($C208="Traditional",$B208,NA()))</f>
        <v/>
      </c>
      <c r="N208">
        <f>IF($A208="",NA(),IF($C208="Traditional",4+$F208*0.023,NA()))</f>
        <v/>
      </c>
      <c r="O208">
        <f>IF($A208="","",$D208+ROW()/1000000)</f>
        <v/>
      </c>
      <c r="P208">
        <f>IF(OR($A208="",games!$H208=""),"",games!$H208)</f>
        <v/>
      </c>
      <c r="Q208">
        <f>IF(OR($A208="",$P208&lt;&gt;"Yes"),"",$D208+ROW()/1000000)</f>
        <v/>
      </c>
      <c r="T208">
        <f>IF(connections!$A208="","",IFERROR(INDEX(games!$B$2:$B$950,MATCH(connections!$A208,games!$A$2:$A$950,0)),""))</f>
        <v/>
      </c>
      <c r="U208">
        <f>IF(connections!$A208="","",IFERROR(INDEX(games!$B$2:$B$950,MATCH(connections!$B208,games!$A$2:$A$950,0)),""))</f>
        <v/>
      </c>
      <c r="V208">
        <f>IF(OR($T208="",$U208=""),"",$U208-$T208)</f>
        <v/>
      </c>
    </row>
    <row r="209">
      <c r="A209">
        <f>IF(games!$A209="","",games!$A209)</f>
        <v/>
      </c>
      <c r="B209">
        <f>IF($A209="","",games!$B209)</f>
        <v/>
      </c>
      <c r="C209">
        <f>IF($A209="","",games!$C209)</f>
        <v/>
      </c>
      <c r="D209">
        <f>IF($A209="","",COUNTIF(connections!$A$2:$A$1400,$A209)+COUNTIF(connections!$B$2:$B$1400,$A209))</f>
        <v/>
      </c>
      <c r="E209">
        <f>IF($A209="","",IFERROR(MATCH($C209,$R$2:$R$5,0),0))</f>
        <v/>
      </c>
      <c r="F209">
        <f>IF($A209="","",MOD(ROW(),34))</f>
        <v/>
      </c>
      <c r="G209">
        <f>IF($A209="",NA(),IF($C209="Action",$B209,NA()))</f>
        <v/>
      </c>
      <c r="H209">
        <f>IF($A209="",NA(),IF($C209="Action",1+$F209*0.023,NA()))</f>
        <v/>
      </c>
      <c r="I209">
        <f>IF($A209="",NA(),IF($C209="Strategy",$B209,NA()))</f>
        <v/>
      </c>
      <c r="J209">
        <f>IF($A209="",NA(),IF($C209="Strategy",2+$F209*0.023,NA()))</f>
        <v/>
      </c>
      <c r="K209">
        <f>IF($A209="",NA(),IF($C209="Deckbuilder",$B209,NA()))</f>
        <v/>
      </c>
      <c r="L209">
        <f>IF($A209="",NA(),IF($C209="Deckbuilder",3+$F209*0.023,NA()))</f>
        <v/>
      </c>
      <c r="M209">
        <f>IF($A209="",NA(),IF($C209="Traditional",$B209,NA()))</f>
        <v/>
      </c>
      <c r="N209">
        <f>IF($A209="",NA(),IF($C209="Traditional",4+$F209*0.023,NA()))</f>
        <v/>
      </c>
      <c r="O209">
        <f>IF($A209="","",$D209+ROW()/1000000)</f>
        <v/>
      </c>
      <c r="P209">
        <f>IF(OR($A209="",games!$H209=""),"",games!$H209)</f>
        <v/>
      </c>
      <c r="Q209">
        <f>IF(OR($A209="",$P209&lt;&gt;"Yes"),"",$D209+ROW()/1000000)</f>
        <v/>
      </c>
      <c r="T209">
        <f>IF(connections!$A209="","",IFERROR(INDEX(games!$B$2:$B$950,MATCH(connections!$A209,games!$A$2:$A$950,0)),""))</f>
        <v/>
      </c>
      <c r="U209">
        <f>IF(connections!$A209="","",IFERROR(INDEX(games!$B$2:$B$950,MATCH(connections!$B209,games!$A$2:$A$950,0)),""))</f>
        <v/>
      </c>
      <c r="V209">
        <f>IF(OR($T209="",$U209=""),"",$U209-$T209)</f>
        <v/>
      </c>
    </row>
    <row r="210">
      <c r="A210">
        <f>IF(games!$A210="","",games!$A210)</f>
        <v/>
      </c>
      <c r="B210">
        <f>IF($A210="","",games!$B210)</f>
        <v/>
      </c>
      <c r="C210">
        <f>IF($A210="","",games!$C210)</f>
        <v/>
      </c>
      <c r="D210">
        <f>IF($A210="","",COUNTIF(connections!$A$2:$A$1400,$A210)+COUNTIF(connections!$B$2:$B$1400,$A210))</f>
        <v/>
      </c>
      <c r="E210">
        <f>IF($A210="","",IFERROR(MATCH($C210,$R$2:$R$5,0),0))</f>
        <v/>
      </c>
      <c r="F210">
        <f>IF($A210="","",MOD(ROW(),34))</f>
        <v/>
      </c>
      <c r="G210">
        <f>IF($A210="",NA(),IF($C210="Action",$B210,NA()))</f>
        <v/>
      </c>
      <c r="H210">
        <f>IF($A210="",NA(),IF($C210="Action",1+$F210*0.023,NA()))</f>
        <v/>
      </c>
      <c r="I210">
        <f>IF($A210="",NA(),IF($C210="Strategy",$B210,NA()))</f>
        <v/>
      </c>
      <c r="J210">
        <f>IF($A210="",NA(),IF($C210="Strategy",2+$F210*0.023,NA()))</f>
        <v/>
      </c>
      <c r="K210">
        <f>IF($A210="",NA(),IF($C210="Deckbuilder",$B210,NA()))</f>
        <v/>
      </c>
      <c r="L210">
        <f>IF($A210="",NA(),IF($C210="Deckbuilder",3+$F210*0.023,NA()))</f>
        <v/>
      </c>
      <c r="M210">
        <f>IF($A210="",NA(),IF($C210="Traditional",$B210,NA()))</f>
        <v/>
      </c>
      <c r="N210">
        <f>IF($A210="",NA(),IF($C210="Traditional",4+$F210*0.023,NA()))</f>
        <v/>
      </c>
      <c r="O210">
        <f>IF($A210="","",$D210+ROW()/1000000)</f>
        <v/>
      </c>
      <c r="P210">
        <f>IF(OR($A210="",games!$H210=""),"",games!$H210)</f>
        <v/>
      </c>
      <c r="Q210">
        <f>IF(OR($A210="",$P210&lt;&gt;"Yes"),"",$D210+ROW()/1000000)</f>
        <v/>
      </c>
      <c r="T210">
        <f>IF(connections!$A210="","",IFERROR(INDEX(games!$B$2:$B$950,MATCH(connections!$A210,games!$A$2:$A$950,0)),""))</f>
        <v/>
      </c>
      <c r="U210">
        <f>IF(connections!$A210="","",IFERROR(INDEX(games!$B$2:$B$950,MATCH(connections!$B210,games!$A$2:$A$950,0)),""))</f>
        <v/>
      </c>
      <c r="V210">
        <f>IF(OR($T210="",$U210=""),"",$U210-$T210)</f>
        <v/>
      </c>
    </row>
    <row r="211">
      <c r="A211">
        <f>IF(games!$A211="","",games!$A211)</f>
        <v/>
      </c>
      <c r="B211">
        <f>IF($A211="","",games!$B211)</f>
        <v/>
      </c>
      <c r="C211">
        <f>IF($A211="","",games!$C211)</f>
        <v/>
      </c>
      <c r="D211">
        <f>IF($A211="","",COUNTIF(connections!$A$2:$A$1400,$A211)+COUNTIF(connections!$B$2:$B$1400,$A211))</f>
        <v/>
      </c>
      <c r="E211">
        <f>IF($A211="","",IFERROR(MATCH($C211,$R$2:$R$5,0),0))</f>
        <v/>
      </c>
      <c r="F211">
        <f>IF($A211="","",MOD(ROW(),34))</f>
        <v/>
      </c>
      <c r="G211">
        <f>IF($A211="",NA(),IF($C211="Action",$B211,NA()))</f>
        <v/>
      </c>
      <c r="H211">
        <f>IF($A211="",NA(),IF($C211="Action",1+$F211*0.023,NA()))</f>
        <v/>
      </c>
      <c r="I211">
        <f>IF($A211="",NA(),IF($C211="Strategy",$B211,NA()))</f>
        <v/>
      </c>
      <c r="J211">
        <f>IF($A211="",NA(),IF($C211="Strategy",2+$F211*0.023,NA()))</f>
        <v/>
      </c>
      <c r="K211">
        <f>IF($A211="",NA(),IF($C211="Deckbuilder",$B211,NA()))</f>
        <v/>
      </c>
      <c r="L211">
        <f>IF($A211="",NA(),IF($C211="Deckbuilder",3+$F211*0.023,NA()))</f>
        <v/>
      </c>
      <c r="M211">
        <f>IF($A211="",NA(),IF($C211="Traditional",$B211,NA()))</f>
        <v/>
      </c>
      <c r="N211">
        <f>IF($A211="",NA(),IF($C211="Traditional",4+$F211*0.023,NA()))</f>
        <v/>
      </c>
      <c r="O211">
        <f>IF($A211="","",$D211+ROW()/1000000)</f>
        <v/>
      </c>
      <c r="P211">
        <f>IF(OR($A211="",games!$H211=""),"",games!$H211)</f>
        <v/>
      </c>
      <c r="Q211">
        <f>IF(OR($A211="",$P211&lt;&gt;"Yes"),"",$D211+ROW()/1000000)</f>
        <v/>
      </c>
      <c r="T211">
        <f>IF(connections!$A211="","",IFERROR(INDEX(games!$B$2:$B$950,MATCH(connections!$A211,games!$A$2:$A$950,0)),""))</f>
        <v/>
      </c>
      <c r="U211">
        <f>IF(connections!$A211="","",IFERROR(INDEX(games!$B$2:$B$950,MATCH(connections!$B211,games!$A$2:$A$950,0)),""))</f>
        <v/>
      </c>
      <c r="V211">
        <f>IF(OR($T211="",$U211=""),"",$U211-$T211)</f>
        <v/>
      </c>
    </row>
    <row r="212">
      <c r="A212">
        <f>IF(games!$A212="","",games!$A212)</f>
        <v/>
      </c>
      <c r="B212">
        <f>IF($A212="","",games!$B212)</f>
        <v/>
      </c>
      <c r="C212">
        <f>IF($A212="","",games!$C212)</f>
        <v/>
      </c>
      <c r="D212">
        <f>IF($A212="","",COUNTIF(connections!$A$2:$A$1400,$A212)+COUNTIF(connections!$B$2:$B$1400,$A212))</f>
        <v/>
      </c>
      <c r="E212">
        <f>IF($A212="","",IFERROR(MATCH($C212,$R$2:$R$5,0),0))</f>
        <v/>
      </c>
      <c r="F212">
        <f>IF($A212="","",MOD(ROW(),34))</f>
        <v/>
      </c>
      <c r="G212">
        <f>IF($A212="",NA(),IF($C212="Action",$B212,NA()))</f>
        <v/>
      </c>
      <c r="H212">
        <f>IF($A212="",NA(),IF($C212="Action",1+$F212*0.023,NA()))</f>
        <v/>
      </c>
      <c r="I212">
        <f>IF($A212="",NA(),IF($C212="Strategy",$B212,NA()))</f>
        <v/>
      </c>
      <c r="J212">
        <f>IF($A212="",NA(),IF($C212="Strategy",2+$F212*0.023,NA()))</f>
        <v/>
      </c>
      <c r="K212">
        <f>IF($A212="",NA(),IF($C212="Deckbuilder",$B212,NA()))</f>
        <v/>
      </c>
      <c r="L212">
        <f>IF($A212="",NA(),IF($C212="Deckbuilder",3+$F212*0.023,NA()))</f>
        <v/>
      </c>
      <c r="M212">
        <f>IF($A212="",NA(),IF($C212="Traditional",$B212,NA()))</f>
        <v/>
      </c>
      <c r="N212">
        <f>IF($A212="",NA(),IF($C212="Traditional",4+$F212*0.023,NA()))</f>
        <v/>
      </c>
      <c r="O212">
        <f>IF($A212="","",$D212+ROW()/1000000)</f>
        <v/>
      </c>
      <c r="P212">
        <f>IF(OR($A212="",games!$H212=""),"",games!$H212)</f>
        <v/>
      </c>
      <c r="Q212">
        <f>IF(OR($A212="",$P212&lt;&gt;"Yes"),"",$D212+ROW()/1000000)</f>
        <v/>
      </c>
      <c r="T212">
        <f>IF(connections!$A212="","",IFERROR(INDEX(games!$B$2:$B$950,MATCH(connections!$A212,games!$A$2:$A$950,0)),""))</f>
        <v/>
      </c>
      <c r="U212">
        <f>IF(connections!$A212="","",IFERROR(INDEX(games!$B$2:$B$950,MATCH(connections!$B212,games!$A$2:$A$950,0)),""))</f>
        <v/>
      </c>
      <c r="V212">
        <f>IF(OR($T212="",$U212=""),"",$U212-$T212)</f>
        <v/>
      </c>
    </row>
    <row r="213">
      <c r="A213">
        <f>IF(games!$A213="","",games!$A213)</f>
        <v/>
      </c>
      <c r="B213">
        <f>IF($A213="","",games!$B213)</f>
        <v/>
      </c>
      <c r="C213">
        <f>IF($A213="","",games!$C213)</f>
        <v/>
      </c>
      <c r="D213">
        <f>IF($A213="","",COUNTIF(connections!$A$2:$A$1400,$A213)+COUNTIF(connections!$B$2:$B$1400,$A213))</f>
        <v/>
      </c>
      <c r="E213">
        <f>IF($A213="","",IFERROR(MATCH($C213,$R$2:$R$5,0),0))</f>
        <v/>
      </c>
      <c r="F213">
        <f>IF($A213="","",MOD(ROW(),34))</f>
        <v/>
      </c>
      <c r="G213">
        <f>IF($A213="",NA(),IF($C213="Action",$B213,NA()))</f>
        <v/>
      </c>
      <c r="H213">
        <f>IF($A213="",NA(),IF($C213="Action",1+$F213*0.023,NA()))</f>
        <v/>
      </c>
      <c r="I213">
        <f>IF($A213="",NA(),IF($C213="Strategy",$B213,NA()))</f>
        <v/>
      </c>
      <c r="J213">
        <f>IF($A213="",NA(),IF($C213="Strategy",2+$F213*0.023,NA()))</f>
        <v/>
      </c>
      <c r="K213">
        <f>IF($A213="",NA(),IF($C213="Deckbuilder",$B213,NA()))</f>
        <v/>
      </c>
      <c r="L213">
        <f>IF($A213="",NA(),IF($C213="Deckbuilder",3+$F213*0.023,NA()))</f>
        <v/>
      </c>
      <c r="M213">
        <f>IF($A213="",NA(),IF($C213="Traditional",$B213,NA()))</f>
        <v/>
      </c>
      <c r="N213">
        <f>IF($A213="",NA(),IF($C213="Traditional",4+$F213*0.023,NA()))</f>
        <v/>
      </c>
      <c r="O213">
        <f>IF($A213="","",$D213+ROW()/1000000)</f>
        <v/>
      </c>
      <c r="P213">
        <f>IF(OR($A213="",games!$H213=""),"",games!$H213)</f>
        <v/>
      </c>
      <c r="Q213">
        <f>IF(OR($A213="",$P213&lt;&gt;"Yes"),"",$D213+ROW()/1000000)</f>
        <v/>
      </c>
      <c r="T213">
        <f>IF(connections!$A213="","",IFERROR(INDEX(games!$B$2:$B$950,MATCH(connections!$A213,games!$A$2:$A$950,0)),""))</f>
        <v/>
      </c>
      <c r="U213">
        <f>IF(connections!$A213="","",IFERROR(INDEX(games!$B$2:$B$950,MATCH(connections!$B213,games!$A$2:$A$950,0)),""))</f>
        <v/>
      </c>
      <c r="V213">
        <f>IF(OR($T213="",$U213=""),"",$U213-$T213)</f>
        <v/>
      </c>
    </row>
    <row r="214">
      <c r="A214">
        <f>IF(games!$A214="","",games!$A214)</f>
        <v/>
      </c>
      <c r="B214">
        <f>IF($A214="","",games!$B214)</f>
        <v/>
      </c>
      <c r="C214">
        <f>IF($A214="","",games!$C214)</f>
        <v/>
      </c>
      <c r="D214">
        <f>IF($A214="","",COUNTIF(connections!$A$2:$A$1400,$A214)+COUNTIF(connections!$B$2:$B$1400,$A214))</f>
        <v/>
      </c>
      <c r="E214">
        <f>IF($A214="","",IFERROR(MATCH($C214,$R$2:$R$5,0),0))</f>
        <v/>
      </c>
      <c r="F214">
        <f>IF($A214="","",MOD(ROW(),34))</f>
        <v/>
      </c>
      <c r="G214">
        <f>IF($A214="",NA(),IF($C214="Action",$B214,NA()))</f>
        <v/>
      </c>
      <c r="H214">
        <f>IF($A214="",NA(),IF($C214="Action",1+$F214*0.023,NA()))</f>
        <v/>
      </c>
      <c r="I214">
        <f>IF($A214="",NA(),IF($C214="Strategy",$B214,NA()))</f>
        <v/>
      </c>
      <c r="J214">
        <f>IF($A214="",NA(),IF($C214="Strategy",2+$F214*0.023,NA()))</f>
        <v/>
      </c>
      <c r="K214">
        <f>IF($A214="",NA(),IF($C214="Deckbuilder",$B214,NA()))</f>
        <v/>
      </c>
      <c r="L214">
        <f>IF($A214="",NA(),IF($C214="Deckbuilder",3+$F214*0.023,NA()))</f>
        <v/>
      </c>
      <c r="M214">
        <f>IF($A214="",NA(),IF($C214="Traditional",$B214,NA()))</f>
        <v/>
      </c>
      <c r="N214">
        <f>IF($A214="",NA(),IF($C214="Traditional",4+$F214*0.023,NA()))</f>
        <v/>
      </c>
      <c r="O214">
        <f>IF($A214="","",$D214+ROW()/1000000)</f>
        <v/>
      </c>
      <c r="P214">
        <f>IF(OR($A214="",games!$H214=""),"",games!$H214)</f>
        <v/>
      </c>
      <c r="Q214">
        <f>IF(OR($A214="",$P214&lt;&gt;"Yes"),"",$D214+ROW()/1000000)</f>
        <v/>
      </c>
      <c r="T214">
        <f>IF(connections!$A214="","",IFERROR(INDEX(games!$B$2:$B$950,MATCH(connections!$A214,games!$A$2:$A$950,0)),""))</f>
        <v/>
      </c>
      <c r="U214">
        <f>IF(connections!$A214="","",IFERROR(INDEX(games!$B$2:$B$950,MATCH(connections!$B214,games!$A$2:$A$950,0)),""))</f>
        <v/>
      </c>
      <c r="V214">
        <f>IF(OR($T214="",$U214=""),"",$U214-$T214)</f>
        <v/>
      </c>
    </row>
    <row r="215">
      <c r="A215">
        <f>IF(games!$A215="","",games!$A215)</f>
        <v/>
      </c>
      <c r="B215">
        <f>IF($A215="","",games!$B215)</f>
        <v/>
      </c>
      <c r="C215">
        <f>IF($A215="","",games!$C215)</f>
        <v/>
      </c>
      <c r="D215">
        <f>IF($A215="","",COUNTIF(connections!$A$2:$A$1400,$A215)+COUNTIF(connections!$B$2:$B$1400,$A215))</f>
        <v/>
      </c>
      <c r="E215">
        <f>IF($A215="","",IFERROR(MATCH($C215,$R$2:$R$5,0),0))</f>
        <v/>
      </c>
      <c r="F215">
        <f>IF($A215="","",MOD(ROW(),34))</f>
        <v/>
      </c>
      <c r="G215">
        <f>IF($A215="",NA(),IF($C215="Action",$B215,NA()))</f>
        <v/>
      </c>
      <c r="H215">
        <f>IF($A215="",NA(),IF($C215="Action",1+$F215*0.023,NA()))</f>
        <v/>
      </c>
      <c r="I215">
        <f>IF($A215="",NA(),IF($C215="Strategy",$B215,NA()))</f>
        <v/>
      </c>
      <c r="J215">
        <f>IF($A215="",NA(),IF($C215="Strategy",2+$F215*0.023,NA()))</f>
        <v/>
      </c>
      <c r="K215">
        <f>IF($A215="",NA(),IF($C215="Deckbuilder",$B215,NA()))</f>
        <v/>
      </c>
      <c r="L215">
        <f>IF($A215="",NA(),IF($C215="Deckbuilder",3+$F215*0.023,NA()))</f>
        <v/>
      </c>
      <c r="M215">
        <f>IF($A215="",NA(),IF($C215="Traditional",$B215,NA()))</f>
        <v/>
      </c>
      <c r="N215">
        <f>IF($A215="",NA(),IF($C215="Traditional",4+$F215*0.023,NA()))</f>
        <v/>
      </c>
      <c r="O215">
        <f>IF($A215="","",$D215+ROW()/1000000)</f>
        <v/>
      </c>
      <c r="P215">
        <f>IF(OR($A215="",games!$H215=""),"",games!$H215)</f>
        <v/>
      </c>
      <c r="Q215">
        <f>IF(OR($A215="",$P215&lt;&gt;"Yes"),"",$D215+ROW()/1000000)</f>
        <v/>
      </c>
      <c r="T215">
        <f>IF(connections!$A215="","",IFERROR(INDEX(games!$B$2:$B$950,MATCH(connections!$A215,games!$A$2:$A$950,0)),""))</f>
        <v/>
      </c>
      <c r="U215">
        <f>IF(connections!$A215="","",IFERROR(INDEX(games!$B$2:$B$950,MATCH(connections!$B215,games!$A$2:$A$950,0)),""))</f>
        <v/>
      </c>
      <c r="V215">
        <f>IF(OR($T215="",$U215=""),"",$U215-$T215)</f>
        <v/>
      </c>
    </row>
    <row r="216">
      <c r="A216">
        <f>IF(games!$A216="","",games!$A216)</f>
        <v/>
      </c>
      <c r="B216">
        <f>IF($A216="","",games!$B216)</f>
        <v/>
      </c>
      <c r="C216">
        <f>IF($A216="","",games!$C216)</f>
        <v/>
      </c>
      <c r="D216">
        <f>IF($A216="","",COUNTIF(connections!$A$2:$A$1400,$A216)+COUNTIF(connections!$B$2:$B$1400,$A216))</f>
        <v/>
      </c>
      <c r="E216">
        <f>IF($A216="","",IFERROR(MATCH($C216,$R$2:$R$5,0),0))</f>
        <v/>
      </c>
      <c r="F216">
        <f>IF($A216="","",MOD(ROW(),34))</f>
        <v/>
      </c>
      <c r="G216">
        <f>IF($A216="",NA(),IF($C216="Action",$B216,NA()))</f>
        <v/>
      </c>
      <c r="H216">
        <f>IF($A216="",NA(),IF($C216="Action",1+$F216*0.023,NA()))</f>
        <v/>
      </c>
      <c r="I216">
        <f>IF($A216="",NA(),IF($C216="Strategy",$B216,NA()))</f>
        <v/>
      </c>
      <c r="J216">
        <f>IF($A216="",NA(),IF($C216="Strategy",2+$F216*0.023,NA()))</f>
        <v/>
      </c>
      <c r="K216">
        <f>IF($A216="",NA(),IF($C216="Deckbuilder",$B216,NA()))</f>
        <v/>
      </c>
      <c r="L216">
        <f>IF($A216="",NA(),IF($C216="Deckbuilder",3+$F216*0.023,NA()))</f>
        <v/>
      </c>
      <c r="M216">
        <f>IF($A216="",NA(),IF($C216="Traditional",$B216,NA()))</f>
        <v/>
      </c>
      <c r="N216">
        <f>IF($A216="",NA(),IF($C216="Traditional",4+$F216*0.023,NA()))</f>
        <v/>
      </c>
      <c r="O216">
        <f>IF($A216="","",$D216+ROW()/1000000)</f>
        <v/>
      </c>
      <c r="P216">
        <f>IF(OR($A216="",games!$H216=""),"",games!$H216)</f>
        <v/>
      </c>
      <c r="Q216">
        <f>IF(OR($A216="",$P216&lt;&gt;"Yes"),"",$D216+ROW()/1000000)</f>
        <v/>
      </c>
      <c r="T216">
        <f>IF(connections!$A216="","",IFERROR(INDEX(games!$B$2:$B$950,MATCH(connections!$A216,games!$A$2:$A$950,0)),""))</f>
        <v/>
      </c>
      <c r="U216">
        <f>IF(connections!$A216="","",IFERROR(INDEX(games!$B$2:$B$950,MATCH(connections!$B216,games!$A$2:$A$950,0)),""))</f>
        <v/>
      </c>
      <c r="V216">
        <f>IF(OR($T216="",$U216=""),"",$U216-$T216)</f>
        <v/>
      </c>
    </row>
    <row r="217">
      <c r="A217">
        <f>IF(games!$A217="","",games!$A217)</f>
        <v/>
      </c>
      <c r="B217">
        <f>IF($A217="","",games!$B217)</f>
        <v/>
      </c>
      <c r="C217">
        <f>IF($A217="","",games!$C217)</f>
        <v/>
      </c>
      <c r="D217">
        <f>IF($A217="","",COUNTIF(connections!$A$2:$A$1400,$A217)+COUNTIF(connections!$B$2:$B$1400,$A217))</f>
        <v/>
      </c>
      <c r="E217">
        <f>IF($A217="","",IFERROR(MATCH($C217,$R$2:$R$5,0),0))</f>
        <v/>
      </c>
      <c r="F217">
        <f>IF($A217="","",MOD(ROW(),34))</f>
        <v/>
      </c>
      <c r="G217">
        <f>IF($A217="",NA(),IF($C217="Action",$B217,NA()))</f>
        <v/>
      </c>
      <c r="H217">
        <f>IF($A217="",NA(),IF($C217="Action",1+$F217*0.023,NA()))</f>
        <v/>
      </c>
      <c r="I217">
        <f>IF($A217="",NA(),IF($C217="Strategy",$B217,NA()))</f>
        <v/>
      </c>
      <c r="J217">
        <f>IF($A217="",NA(),IF($C217="Strategy",2+$F217*0.023,NA()))</f>
        <v/>
      </c>
      <c r="K217">
        <f>IF($A217="",NA(),IF($C217="Deckbuilder",$B217,NA()))</f>
        <v/>
      </c>
      <c r="L217">
        <f>IF($A217="",NA(),IF($C217="Deckbuilder",3+$F217*0.023,NA()))</f>
        <v/>
      </c>
      <c r="M217">
        <f>IF($A217="",NA(),IF($C217="Traditional",$B217,NA()))</f>
        <v/>
      </c>
      <c r="N217">
        <f>IF($A217="",NA(),IF($C217="Traditional",4+$F217*0.023,NA()))</f>
        <v/>
      </c>
      <c r="O217">
        <f>IF($A217="","",$D217+ROW()/1000000)</f>
        <v/>
      </c>
      <c r="P217">
        <f>IF(OR($A217="",games!$H217=""),"",games!$H217)</f>
        <v/>
      </c>
      <c r="Q217">
        <f>IF(OR($A217="",$P217&lt;&gt;"Yes"),"",$D217+ROW()/1000000)</f>
        <v/>
      </c>
      <c r="T217">
        <f>IF(connections!$A217="","",IFERROR(INDEX(games!$B$2:$B$950,MATCH(connections!$A217,games!$A$2:$A$950,0)),""))</f>
        <v/>
      </c>
      <c r="U217">
        <f>IF(connections!$A217="","",IFERROR(INDEX(games!$B$2:$B$950,MATCH(connections!$B217,games!$A$2:$A$950,0)),""))</f>
        <v/>
      </c>
      <c r="V217">
        <f>IF(OR($T217="",$U217=""),"",$U217-$T217)</f>
        <v/>
      </c>
    </row>
    <row r="218">
      <c r="A218">
        <f>IF(games!$A218="","",games!$A218)</f>
        <v/>
      </c>
      <c r="B218">
        <f>IF($A218="","",games!$B218)</f>
        <v/>
      </c>
      <c r="C218">
        <f>IF($A218="","",games!$C218)</f>
        <v/>
      </c>
      <c r="D218">
        <f>IF($A218="","",COUNTIF(connections!$A$2:$A$1400,$A218)+COUNTIF(connections!$B$2:$B$1400,$A218))</f>
        <v/>
      </c>
      <c r="E218">
        <f>IF($A218="","",IFERROR(MATCH($C218,$R$2:$R$5,0),0))</f>
        <v/>
      </c>
      <c r="F218">
        <f>IF($A218="","",MOD(ROW(),34))</f>
        <v/>
      </c>
      <c r="G218">
        <f>IF($A218="",NA(),IF($C218="Action",$B218,NA()))</f>
        <v/>
      </c>
      <c r="H218">
        <f>IF($A218="",NA(),IF($C218="Action",1+$F218*0.023,NA()))</f>
        <v/>
      </c>
      <c r="I218">
        <f>IF($A218="",NA(),IF($C218="Strategy",$B218,NA()))</f>
        <v/>
      </c>
      <c r="J218">
        <f>IF($A218="",NA(),IF($C218="Strategy",2+$F218*0.023,NA()))</f>
        <v/>
      </c>
      <c r="K218">
        <f>IF($A218="",NA(),IF($C218="Deckbuilder",$B218,NA()))</f>
        <v/>
      </c>
      <c r="L218">
        <f>IF($A218="",NA(),IF($C218="Deckbuilder",3+$F218*0.023,NA()))</f>
        <v/>
      </c>
      <c r="M218">
        <f>IF($A218="",NA(),IF($C218="Traditional",$B218,NA()))</f>
        <v/>
      </c>
      <c r="N218">
        <f>IF($A218="",NA(),IF($C218="Traditional",4+$F218*0.023,NA()))</f>
        <v/>
      </c>
      <c r="O218">
        <f>IF($A218="","",$D218+ROW()/1000000)</f>
        <v/>
      </c>
      <c r="P218">
        <f>IF(OR($A218="",games!$H218=""),"",games!$H218)</f>
        <v/>
      </c>
      <c r="Q218">
        <f>IF(OR($A218="",$P218&lt;&gt;"Yes"),"",$D218+ROW()/1000000)</f>
        <v/>
      </c>
      <c r="T218">
        <f>IF(connections!$A218="","",IFERROR(INDEX(games!$B$2:$B$950,MATCH(connections!$A218,games!$A$2:$A$950,0)),""))</f>
        <v/>
      </c>
      <c r="U218">
        <f>IF(connections!$A218="","",IFERROR(INDEX(games!$B$2:$B$950,MATCH(connections!$B218,games!$A$2:$A$950,0)),""))</f>
        <v/>
      </c>
      <c r="V218">
        <f>IF(OR($T218="",$U218=""),"",$U218-$T218)</f>
        <v/>
      </c>
    </row>
    <row r="219">
      <c r="A219">
        <f>IF(games!$A219="","",games!$A219)</f>
        <v/>
      </c>
      <c r="B219">
        <f>IF($A219="","",games!$B219)</f>
        <v/>
      </c>
      <c r="C219">
        <f>IF($A219="","",games!$C219)</f>
        <v/>
      </c>
      <c r="D219">
        <f>IF($A219="","",COUNTIF(connections!$A$2:$A$1400,$A219)+COUNTIF(connections!$B$2:$B$1400,$A219))</f>
        <v/>
      </c>
      <c r="E219">
        <f>IF($A219="","",IFERROR(MATCH($C219,$R$2:$R$5,0),0))</f>
        <v/>
      </c>
      <c r="F219">
        <f>IF($A219="","",MOD(ROW(),34))</f>
        <v/>
      </c>
      <c r="G219">
        <f>IF($A219="",NA(),IF($C219="Action",$B219,NA()))</f>
        <v/>
      </c>
      <c r="H219">
        <f>IF($A219="",NA(),IF($C219="Action",1+$F219*0.023,NA()))</f>
        <v/>
      </c>
      <c r="I219">
        <f>IF($A219="",NA(),IF($C219="Strategy",$B219,NA()))</f>
        <v/>
      </c>
      <c r="J219">
        <f>IF($A219="",NA(),IF($C219="Strategy",2+$F219*0.023,NA()))</f>
        <v/>
      </c>
      <c r="K219">
        <f>IF($A219="",NA(),IF($C219="Deckbuilder",$B219,NA()))</f>
        <v/>
      </c>
      <c r="L219">
        <f>IF($A219="",NA(),IF($C219="Deckbuilder",3+$F219*0.023,NA()))</f>
        <v/>
      </c>
      <c r="M219">
        <f>IF($A219="",NA(),IF($C219="Traditional",$B219,NA()))</f>
        <v/>
      </c>
      <c r="N219">
        <f>IF($A219="",NA(),IF($C219="Traditional",4+$F219*0.023,NA()))</f>
        <v/>
      </c>
      <c r="O219">
        <f>IF($A219="","",$D219+ROW()/1000000)</f>
        <v/>
      </c>
      <c r="P219">
        <f>IF(OR($A219="",games!$H219=""),"",games!$H219)</f>
        <v/>
      </c>
      <c r="Q219">
        <f>IF(OR($A219="",$P219&lt;&gt;"Yes"),"",$D219+ROW()/1000000)</f>
        <v/>
      </c>
      <c r="T219">
        <f>IF(connections!$A219="","",IFERROR(INDEX(games!$B$2:$B$950,MATCH(connections!$A219,games!$A$2:$A$950,0)),""))</f>
        <v/>
      </c>
      <c r="U219">
        <f>IF(connections!$A219="","",IFERROR(INDEX(games!$B$2:$B$950,MATCH(connections!$B219,games!$A$2:$A$950,0)),""))</f>
        <v/>
      </c>
      <c r="V219">
        <f>IF(OR($T219="",$U219=""),"",$U219-$T219)</f>
        <v/>
      </c>
    </row>
    <row r="220">
      <c r="A220">
        <f>IF(games!$A220="","",games!$A220)</f>
        <v/>
      </c>
      <c r="B220">
        <f>IF($A220="","",games!$B220)</f>
        <v/>
      </c>
      <c r="C220">
        <f>IF($A220="","",games!$C220)</f>
        <v/>
      </c>
      <c r="D220">
        <f>IF($A220="","",COUNTIF(connections!$A$2:$A$1400,$A220)+COUNTIF(connections!$B$2:$B$1400,$A220))</f>
        <v/>
      </c>
      <c r="E220">
        <f>IF($A220="","",IFERROR(MATCH($C220,$R$2:$R$5,0),0))</f>
        <v/>
      </c>
      <c r="F220">
        <f>IF($A220="","",MOD(ROW(),34))</f>
        <v/>
      </c>
      <c r="G220">
        <f>IF($A220="",NA(),IF($C220="Action",$B220,NA()))</f>
        <v/>
      </c>
      <c r="H220">
        <f>IF($A220="",NA(),IF($C220="Action",1+$F220*0.023,NA()))</f>
        <v/>
      </c>
      <c r="I220">
        <f>IF($A220="",NA(),IF($C220="Strategy",$B220,NA()))</f>
        <v/>
      </c>
      <c r="J220">
        <f>IF($A220="",NA(),IF($C220="Strategy",2+$F220*0.023,NA()))</f>
        <v/>
      </c>
      <c r="K220">
        <f>IF($A220="",NA(),IF($C220="Deckbuilder",$B220,NA()))</f>
        <v/>
      </c>
      <c r="L220">
        <f>IF($A220="",NA(),IF($C220="Deckbuilder",3+$F220*0.023,NA()))</f>
        <v/>
      </c>
      <c r="M220">
        <f>IF($A220="",NA(),IF($C220="Traditional",$B220,NA()))</f>
        <v/>
      </c>
      <c r="N220">
        <f>IF($A220="",NA(),IF($C220="Traditional",4+$F220*0.023,NA()))</f>
        <v/>
      </c>
      <c r="O220">
        <f>IF($A220="","",$D220+ROW()/1000000)</f>
        <v/>
      </c>
      <c r="P220">
        <f>IF(OR($A220="",games!$H220=""),"",games!$H220)</f>
        <v/>
      </c>
      <c r="Q220">
        <f>IF(OR($A220="",$P220&lt;&gt;"Yes"),"",$D220+ROW()/1000000)</f>
        <v/>
      </c>
      <c r="T220">
        <f>IF(connections!$A220="","",IFERROR(INDEX(games!$B$2:$B$950,MATCH(connections!$A220,games!$A$2:$A$950,0)),""))</f>
        <v/>
      </c>
      <c r="U220">
        <f>IF(connections!$A220="","",IFERROR(INDEX(games!$B$2:$B$950,MATCH(connections!$B220,games!$A$2:$A$950,0)),""))</f>
        <v/>
      </c>
      <c r="V220">
        <f>IF(OR($T220="",$U220=""),"",$U220-$T220)</f>
        <v/>
      </c>
    </row>
    <row r="221">
      <c r="A221">
        <f>IF(games!$A221="","",games!$A221)</f>
        <v/>
      </c>
      <c r="B221">
        <f>IF($A221="","",games!$B221)</f>
        <v/>
      </c>
      <c r="C221">
        <f>IF($A221="","",games!$C221)</f>
        <v/>
      </c>
      <c r="D221">
        <f>IF($A221="","",COUNTIF(connections!$A$2:$A$1400,$A221)+COUNTIF(connections!$B$2:$B$1400,$A221))</f>
        <v/>
      </c>
      <c r="E221">
        <f>IF($A221="","",IFERROR(MATCH($C221,$R$2:$R$5,0),0))</f>
        <v/>
      </c>
      <c r="F221">
        <f>IF($A221="","",MOD(ROW(),34))</f>
        <v/>
      </c>
      <c r="G221">
        <f>IF($A221="",NA(),IF($C221="Action",$B221,NA()))</f>
        <v/>
      </c>
      <c r="H221">
        <f>IF($A221="",NA(),IF($C221="Action",1+$F221*0.023,NA()))</f>
        <v/>
      </c>
      <c r="I221">
        <f>IF($A221="",NA(),IF($C221="Strategy",$B221,NA()))</f>
        <v/>
      </c>
      <c r="J221">
        <f>IF($A221="",NA(),IF($C221="Strategy",2+$F221*0.023,NA()))</f>
        <v/>
      </c>
      <c r="K221">
        <f>IF($A221="",NA(),IF($C221="Deckbuilder",$B221,NA()))</f>
        <v/>
      </c>
      <c r="L221">
        <f>IF($A221="",NA(),IF($C221="Deckbuilder",3+$F221*0.023,NA()))</f>
        <v/>
      </c>
      <c r="M221">
        <f>IF($A221="",NA(),IF($C221="Traditional",$B221,NA()))</f>
        <v/>
      </c>
      <c r="N221">
        <f>IF($A221="",NA(),IF($C221="Traditional",4+$F221*0.023,NA()))</f>
        <v/>
      </c>
      <c r="O221">
        <f>IF($A221="","",$D221+ROW()/1000000)</f>
        <v/>
      </c>
      <c r="P221">
        <f>IF(OR($A221="",games!$H221=""),"",games!$H221)</f>
        <v/>
      </c>
      <c r="Q221">
        <f>IF(OR($A221="",$P221&lt;&gt;"Yes"),"",$D221+ROW()/1000000)</f>
        <v/>
      </c>
      <c r="T221">
        <f>IF(connections!$A221="","",IFERROR(INDEX(games!$B$2:$B$950,MATCH(connections!$A221,games!$A$2:$A$950,0)),""))</f>
        <v/>
      </c>
      <c r="U221">
        <f>IF(connections!$A221="","",IFERROR(INDEX(games!$B$2:$B$950,MATCH(connections!$B221,games!$A$2:$A$950,0)),""))</f>
        <v/>
      </c>
      <c r="V221">
        <f>IF(OR($T221="",$U221=""),"",$U221-$T221)</f>
        <v/>
      </c>
    </row>
    <row r="222">
      <c r="A222">
        <f>IF(games!$A222="","",games!$A222)</f>
        <v/>
      </c>
      <c r="B222">
        <f>IF($A222="","",games!$B222)</f>
        <v/>
      </c>
      <c r="C222">
        <f>IF($A222="","",games!$C222)</f>
        <v/>
      </c>
      <c r="D222">
        <f>IF($A222="","",COUNTIF(connections!$A$2:$A$1400,$A222)+COUNTIF(connections!$B$2:$B$1400,$A222))</f>
        <v/>
      </c>
      <c r="E222">
        <f>IF($A222="","",IFERROR(MATCH($C222,$R$2:$R$5,0),0))</f>
        <v/>
      </c>
      <c r="F222">
        <f>IF($A222="","",MOD(ROW(),34))</f>
        <v/>
      </c>
      <c r="G222">
        <f>IF($A222="",NA(),IF($C222="Action",$B222,NA()))</f>
        <v/>
      </c>
      <c r="H222">
        <f>IF($A222="",NA(),IF($C222="Action",1+$F222*0.023,NA()))</f>
        <v/>
      </c>
      <c r="I222">
        <f>IF($A222="",NA(),IF($C222="Strategy",$B222,NA()))</f>
        <v/>
      </c>
      <c r="J222">
        <f>IF($A222="",NA(),IF($C222="Strategy",2+$F222*0.023,NA()))</f>
        <v/>
      </c>
      <c r="K222">
        <f>IF($A222="",NA(),IF($C222="Deckbuilder",$B222,NA()))</f>
        <v/>
      </c>
      <c r="L222">
        <f>IF($A222="",NA(),IF($C222="Deckbuilder",3+$F222*0.023,NA()))</f>
        <v/>
      </c>
      <c r="M222">
        <f>IF($A222="",NA(),IF($C222="Traditional",$B222,NA()))</f>
        <v/>
      </c>
      <c r="N222">
        <f>IF($A222="",NA(),IF($C222="Traditional",4+$F222*0.023,NA()))</f>
        <v/>
      </c>
      <c r="O222">
        <f>IF($A222="","",$D222+ROW()/1000000)</f>
        <v/>
      </c>
      <c r="P222">
        <f>IF(OR($A222="",games!$H222=""),"",games!$H222)</f>
        <v/>
      </c>
      <c r="Q222">
        <f>IF(OR($A222="",$P222&lt;&gt;"Yes"),"",$D222+ROW()/1000000)</f>
        <v/>
      </c>
      <c r="T222">
        <f>IF(connections!$A222="","",IFERROR(INDEX(games!$B$2:$B$950,MATCH(connections!$A222,games!$A$2:$A$950,0)),""))</f>
        <v/>
      </c>
      <c r="U222">
        <f>IF(connections!$A222="","",IFERROR(INDEX(games!$B$2:$B$950,MATCH(connections!$B222,games!$A$2:$A$950,0)),""))</f>
        <v/>
      </c>
      <c r="V222">
        <f>IF(OR($T222="",$U222=""),"",$U222-$T222)</f>
        <v/>
      </c>
    </row>
    <row r="223">
      <c r="A223">
        <f>IF(games!$A223="","",games!$A223)</f>
        <v/>
      </c>
      <c r="B223">
        <f>IF($A223="","",games!$B223)</f>
        <v/>
      </c>
      <c r="C223">
        <f>IF($A223="","",games!$C223)</f>
        <v/>
      </c>
      <c r="D223">
        <f>IF($A223="","",COUNTIF(connections!$A$2:$A$1400,$A223)+COUNTIF(connections!$B$2:$B$1400,$A223))</f>
        <v/>
      </c>
      <c r="E223">
        <f>IF($A223="","",IFERROR(MATCH($C223,$R$2:$R$5,0),0))</f>
        <v/>
      </c>
      <c r="F223">
        <f>IF($A223="","",MOD(ROW(),34))</f>
        <v/>
      </c>
      <c r="G223">
        <f>IF($A223="",NA(),IF($C223="Action",$B223,NA()))</f>
        <v/>
      </c>
      <c r="H223">
        <f>IF($A223="",NA(),IF($C223="Action",1+$F223*0.023,NA()))</f>
        <v/>
      </c>
      <c r="I223">
        <f>IF($A223="",NA(),IF($C223="Strategy",$B223,NA()))</f>
        <v/>
      </c>
      <c r="J223">
        <f>IF($A223="",NA(),IF($C223="Strategy",2+$F223*0.023,NA()))</f>
        <v/>
      </c>
      <c r="K223">
        <f>IF($A223="",NA(),IF($C223="Deckbuilder",$B223,NA()))</f>
        <v/>
      </c>
      <c r="L223">
        <f>IF($A223="",NA(),IF($C223="Deckbuilder",3+$F223*0.023,NA()))</f>
        <v/>
      </c>
      <c r="M223">
        <f>IF($A223="",NA(),IF($C223="Traditional",$B223,NA()))</f>
        <v/>
      </c>
      <c r="N223">
        <f>IF($A223="",NA(),IF($C223="Traditional",4+$F223*0.023,NA()))</f>
        <v/>
      </c>
      <c r="O223">
        <f>IF($A223="","",$D223+ROW()/1000000)</f>
        <v/>
      </c>
      <c r="P223">
        <f>IF(OR($A223="",games!$H223=""),"",games!$H223)</f>
        <v/>
      </c>
      <c r="Q223">
        <f>IF(OR($A223="",$P223&lt;&gt;"Yes"),"",$D223+ROW()/1000000)</f>
        <v/>
      </c>
      <c r="T223">
        <f>IF(connections!$A223="","",IFERROR(INDEX(games!$B$2:$B$950,MATCH(connections!$A223,games!$A$2:$A$950,0)),""))</f>
        <v/>
      </c>
      <c r="U223">
        <f>IF(connections!$A223="","",IFERROR(INDEX(games!$B$2:$B$950,MATCH(connections!$B223,games!$A$2:$A$950,0)),""))</f>
        <v/>
      </c>
      <c r="V223">
        <f>IF(OR($T223="",$U223=""),"",$U223-$T223)</f>
        <v/>
      </c>
    </row>
    <row r="224">
      <c r="A224">
        <f>IF(games!$A224="","",games!$A224)</f>
        <v/>
      </c>
      <c r="B224">
        <f>IF($A224="","",games!$B224)</f>
        <v/>
      </c>
      <c r="C224">
        <f>IF($A224="","",games!$C224)</f>
        <v/>
      </c>
      <c r="D224">
        <f>IF($A224="","",COUNTIF(connections!$A$2:$A$1400,$A224)+COUNTIF(connections!$B$2:$B$1400,$A224))</f>
        <v/>
      </c>
      <c r="E224">
        <f>IF($A224="","",IFERROR(MATCH($C224,$R$2:$R$5,0),0))</f>
        <v/>
      </c>
      <c r="F224">
        <f>IF($A224="","",MOD(ROW(),34))</f>
        <v/>
      </c>
      <c r="G224">
        <f>IF($A224="",NA(),IF($C224="Action",$B224,NA()))</f>
        <v/>
      </c>
      <c r="H224">
        <f>IF($A224="",NA(),IF($C224="Action",1+$F224*0.023,NA()))</f>
        <v/>
      </c>
      <c r="I224">
        <f>IF($A224="",NA(),IF($C224="Strategy",$B224,NA()))</f>
        <v/>
      </c>
      <c r="J224">
        <f>IF($A224="",NA(),IF($C224="Strategy",2+$F224*0.023,NA()))</f>
        <v/>
      </c>
      <c r="K224">
        <f>IF($A224="",NA(),IF($C224="Deckbuilder",$B224,NA()))</f>
        <v/>
      </c>
      <c r="L224">
        <f>IF($A224="",NA(),IF($C224="Deckbuilder",3+$F224*0.023,NA()))</f>
        <v/>
      </c>
      <c r="M224">
        <f>IF($A224="",NA(),IF($C224="Traditional",$B224,NA()))</f>
        <v/>
      </c>
      <c r="N224">
        <f>IF($A224="",NA(),IF($C224="Traditional",4+$F224*0.023,NA()))</f>
        <v/>
      </c>
      <c r="O224">
        <f>IF($A224="","",$D224+ROW()/1000000)</f>
        <v/>
      </c>
      <c r="P224">
        <f>IF(OR($A224="",games!$H224=""),"",games!$H224)</f>
        <v/>
      </c>
      <c r="Q224">
        <f>IF(OR($A224="",$P224&lt;&gt;"Yes"),"",$D224+ROW()/1000000)</f>
        <v/>
      </c>
      <c r="T224">
        <f>IF(connections!$A224="","",IFERROR(INDEX(games!$B$2:$B$950,MATCH(connections!$A224,games!$A$2:$A$950,0)),""))</f>
        <v/>
      </c>
      <c r="U224">
        <f>IF(connections!$A224="","",IFERROR(INDEX(games!$B$2:$B$950,MATCH(connections!$B224,games!$A$2:$A$950,0)),""))</f>
        <v/>
      </c>
      <c r="V224">
        <f>IF(OR($T224="",$U224=""),"",$U224-$T224)</f>
        <v/>
      </c>
    </row>
    <row r="225">
      <c r="A225">
        <f>IF(games!$A225="","",games!$A225)</f>
        <v/>
      </c>
      <c r="B225">
        <f>IF($A225="","",games!$B225)</f>
        <v/>
      </c>
      <c r="C225">
        <f>IF($A225="","",games!$C225)</f>
        <v/>
      </c>
      <c r="D225">
        <f>IF($A225="","",COUNTIF(connections!$A$2:$A$1400,$A225)+COUNTIF(connections!$B$2:$B$1400,$A225))</f>
        <v/>
      </c>
      <c r="E225">
        <f>IF($A225="","",IFERROR(MATCH($C225,$R$2:$R$5,0),0))</f>
        <v/>
      </c>
      <c r="F225">
        <f>IF($A225="","",MOD(ROW(),34))</f>
        <v/>
      </c>
      <c r="G225">
        <f>IF($A225="",NA(),IF($C225="Action",$B225,NA()))</f>
        <v/>
      </c>
      <c r="H225">
        <f>IF($A225="",NA(),IF($C225="Action",1+$F225*0.023,NA()))</f>
        <v/>
      </c>
      <c r="I225">
        <f>IF($A225="",NA(),IF($C225="Strategy",$B225,NA()))</f>
        <v/>
      </c>
      <c r="J225">
        <f>IF($A225="",NA(),IF($C225="Strategy",2+$F225*0.023,NA()))</f>
        <v/>
      </c>
      <c r="K225">
        <f>IF($A225="",NA(),IF($C225="Deckbuilder",$B225,NA()))</f>
        <v/>
      </c>
      <c r="L225">
        <f>IF($A225="",NA(),IF($C225="Deckbuilder",3+$F225*0.023,NA()))</f>
        <v/>
      </c>
      <c r="M225">
        <f>IF($A225="",NA(),IF($C225="Traditional",$B225,NA()))</f>
        <v/>
      </c>
      <c r="N225">
        <f>IF($A225="",NA(),IF($C225="Traditional",4+$F225*0.023,NA()))</f>
        <v/>
      </c>
      <c r="O225">
        <f>IF($A225="","",$D225+ROW()/1000000)</f>
        <v/>
      </c>
      <c r="P225">
        <f>IF(OR($A225="",games!$H225=""),"",games!$H225)</f>
        <v/>
      </c>
      <c r="Q225">
        <f>IF(OR($A225="",$P225&lt;&gt;"Yes"),"",$D225+ROW()/1000000)</f>
        <v/>
      </c>
      <c r="T225">
        <f>IF(connections!$A225="","",IFERROR(INDEX(games!$B$2:$B$950,MATCH(connections!$A225,games!$A$2:$A$950,0)),""))</f>
        <v/>
      </c>
      <c r="U225">
        <f>IF(connections!$A225="","",IFERROR(INDEX(games!$B$2:$B$950,MATCH(connections!$B225,games!$A$2:$A$950,0)),""))</f>
        <v/>
      </c>
      <c r="V225">
        <f>IF(OR($T225="",$U225=""),"",$U225-$T225)</f>
        <v/>
      </c>
    </row>
    <row r="226">
      <c r="A226">
        <f>IF(games!$A226="","",games!$A226)</f>
        <v/>
      </c>
      <c r="B226">
        <f>IF($A226="","",games!$B226)</f>
        <v/>
      </c>
      <c r="C226">
        <f>IF($A226="","",games!$C226)</f>
        <v/>
      </c>
      <c r="D226">
        <f>IF($A226="","",COUNTIF(connections!$A$2:$A$1400,$A226)+COUNTIF(connections!$B$2:$B$1400,$A226))</f>
        <v/>
      </c>
      <c r="E226">
        <f>IF($A226="","",IFERROR(MATCH($C226,$R$2:$R$5,0),0))</f>
        <v/>
      </c>
      <c r="F226">
        <f>IF($A226="","",MOD(ROW(),34))</f>
        <v/>
      </c>
      <c r="G226">
        <f>IF($A226="",NA(),IF($C226="Action",$B226,NA()))</f>
        <v/>
      </c>
      <c r="H226">
        <f>IF($A226="",NA(),IF($C226="Action",1+$F226*0.023,NA()))</f>
        <v/>
      </c>
      <c r="I226">
        <f>IF($A226="",NA(),IF($C226="Strategy",$B226,NA()))</f>
        <v/>
      </c>
      <c r="J226">
        <f>IF($A226="",NA(),IF($C226="Strategy",2+$F226*0.023,NA()))</f>
        <v/>
      </c>
      <c r="K226">
        <f>IF($A226="",NA(),IF($C226="Deckbuilder",$B226,NA()))</f>
        <v/>
      </c>
      <c r="L226">
        <f>IF($A226="",NA(),IF($C226="Deckbuilder",3+$F226*0.023,NA()))</f>
        <v/>
      </c>
      <c r="M226">
        <f>IF($A226="",NA(),IF($C226="Traditional",$B226,NA()))</f>
        <v/>
      </c>
      <c r="N226">
        <f>IF($A226="",NA(),IF($C226="Traditional",4+$F226*0.023,NA()))</f>
        <v/>
      </c>
      <c r="O226">
        <f>IF($A226="","",$D226+ROW()/1000000)</f>
        <v/>
      </c>
      <c r="P226">
        <f>IF(OR($A226="",games!$H226=""),"",games!$H226)</f>
        <v/>
      </c>
      <c r="Q226">
        <f>IF(OR($A226="",$P226&lt;&gt;"Yes"),"",$D226+ROW()/1000000)</f>
        <v/>
      </c>
      <c r="T226">
        <f>IF(connections!$A226="","",IFERROR(INDEX(games!$B$2:$B$950,MATCH(connections!$A226,games!$A$2:$A$950,0)),""))</f>
        <v/>
      </c>
      <c r="U226">
        <f>IF(connections!$A226="","",IFERROR(INDEX(games!$B$2:$B$950,MATCH(connections!$B226,games!$A$2:$A$950,0)),""))</f>
        <v/>
      </c>
      <c r="V226">
        <f>IF(OR($T226="",$U226=""),"",$U226-$T226)</f>
        <v/>
      </c>
    </row>
    <row r="227">
      <c r="A227">
        <f>IF(games!$A227="","",games!$A227)</f>
        <v/>
      </c>
      <c r="B227">
        <f>IF($A227="","",games!$B227)</f>
        <v/>
      </c>
      <c r="C227">
        <f>IF($A227="","",games!$C227)</f>
        <v/>
      </c>
      <c r="D227">
        <f>IF($A227="","",COUNTIF(connections!$A$2:$A$1400,$A227)+COUNTIF(connections!$B$2:$B$1400,$A227))</f>
        <v/>
      </c>
      <c r="E227">
        <f>IF($A227="","",IFERROR(MATCH($C227,$R$2:$R$5,0),0))</f>
        <v/>
      </c>
      <c r="F227">
        <f>IF($A227="","",MOD(ROW(),34))</f>
        <v/>
      </c>
      <c r="G227">
        <f>IF($A227="",NA(),IF($C227="Action",$B227,NA()))</f>
        <v/>
      </c>
      <c r="H227">
        <f>IF($A227="",NA(),IF($C227="Action",1+$F227*0.023,NA()))</f>
        <v/>
      </c>
      <c r="I227">
        <f>IF($A227="",NA(),IF($C227="Strategy",$B227,NA()))</f>
        <v/>
      </c>
      <c r="J227">
        <f>IF($A227="",NA(),IF($C227="Strategy",2+$F227*0.023,NA()))</f>
        <v/>
      </c>
      <c r="K227">
        <f>IF($A227="",NA(),IF($C227="Deckbuilder",$B227,NA()))</f>
        <v/>
      </c>
      <c r="L227">
        <f>IF($A227="",NA(),IF($C227="Deckbuilder",3+$F227*0.023,NA()))</f>
        <v/>
      </c>
      <c r="M227">
        <f>IF($A227="",NA(),IF($C227="Traditional",$B227,NA()))</f>
        <v/>
      </c>
      <c r="N227">
        <f>IF($A227="",NA(),IF($C227="Traditional",4+$F227*0.023,NA()))</f>
        <v/>
      </c>
      <c r="O227">
        <f>IF($A227="","",$D227+ROW()/1000000)</f>
        <v/>
      </c>
      <c r="P227">
        <f>IF(OR($A227="",games!$H227=""),"",games!$H227)</f>
        <v/>
      </c>
      <c r="Q227">
        <f>IF(OR($A227="",$P227&lt;&gt;"Yes"),"",$D227+ROW()/1000000)</f>
        <v/>
      </c>
      <c r="T227">
        <f>IF(connections!$A227="","",IFERROR(INDEX(games!$B$2:$B$950,MATCH(connections!$A227,games!$A$2:$A$950,0)),""))</f>
        <v/>
      </c>
      <c r="U227">
        <f>IF(connections!$A227="","",IFERROR(INDEX(games!$B$2:$B$950,MATCH(connections!$B227,games!$A$2:$A$950,0)),""))</f>
        <v/>
      </c>
      <c r="V227">
        <f>IF(OR($T227="",$U227=""),"",$U227-$T227)</f>
        <v/>
      </c>
    </row>
    <row r="228">
      <c r="A228">
        <f>IF(games!$A228="","",games!$A228)</f>
        <v/>
      </c>
      <c r="B228">
        <f>IF($A228="","",games!$B228)</f>
        <v/>
      </c>
      <c r="C228">
        <f>IF($A228="","",games!$C228)</f>
        <v/>
      </c>
      <c r="D228">
        <f>IF($A228="","",COUNTIF(connections!$A$2:$A$1400,$A228)+COUNTIF(connections!$B$2:$B$1400,$A228))</f>
        <v/>
      </c>
      <c r="E228">
        <f>IF($A228="","",IFERROR(MATCH($C228,$R$2:$R$5,0),0))</f>
        <v/>
      </c>
      <c r="F228">
        <f>IF($A228="","",MOD(ROW(),34))</f>
        <v/>
      </c>
      <c r="G228">
        <f>IF($A228="",NA(),IF($C228="Action",$B228,NA()))</f>
        <v/>
      </c>
      <c r="H228">
        <f>IF($A228="",NA(),IF($C228="Action",1+$F228*0.023,NA()))</f>
        <v/>
      </c>
      <c r="I228">
        <f>IF($A228="",NA(),IF($C228="Strategy",$B228,NA()))</f>
        <v/>
      </c>
      <c r="J228">
        <f>IF($A228="",NA(),IF($C228="Strategy",2+$F228*0.023,NA()))</f>
        <v/>
      </c>
      <c r="K228">
        <f>IF($A228="",NA(),IF($C228="Deckbuilder",$B228,NA()))</f>
        <v/>
      </c>
      <c r="L228">
        <f>IF($A228="",NA(),IF($C228="Deckbuilder",3+$F228*0.023,NA()))</f>
        <v/>
      </c>
      <c r="M228">
        <f>IF($A228="",NA(),IF($C228="Traditional",$B228,NA()))</f>
        <v/>
      </c>
      <c r="N228">
        <f>IF($A228="",NA(),IF($C228="Traditional",4+$F228*0.023,NA()))</f>
        <v/>
      </c>
      <c r="O228">
        <f>IF($A228="","",$D228+ROW()/1000000)</f>
        <v/>
      </c>
      <c r="P228">
        <f>IF(OR($A228="",games!$H228=""),"",games!$H228)</f>
        <v/>
      </c>
      <c r="Q228">
        <f>IF(OR($A228="",$P228&lt;&gt;"Yes"),"",$D228+ROW()/1000000)</f>
        <v/>
      </c>
      <c r="T228">
        <f>IF(connections!$A228="","",IFERROR(INDEX(games!$B$2:$B$950,MATCH(connections!$A228,games!$A$2:$A$950,0)),""))</f>
        <v/>
      </c>
      <c r="U228">
        <f>IF(connections!$A228="","",IFERROR(INDEX(games!$B$2:$B$950,MATCH(connections!$B228,games!$A$2:$A$950,0)),""))</f>
        <v/>
      </c>
      <c r="V228">
        <f>IF(OR($T228="",$U228=""),"",$U228-$T228)</f>
        <v/>
      </c>
    </row>
    <row r="229">
      <c r="A229">
        <f>IF(games!$A229="","",games!$A229)</f>
        <v/>
      </c>
      <c r="B229">
        <f>IF($A229="","",games!$B229)</f>
        <v/>
      </c>
      <c r="C229">
        <f>IF($A229="","",games!$C229)</f>
        <v/>
      </c>
      <c r="D229">
        <f>IF($A229="","",COUNTIF(connections!$A$2:$A$1400,$A229)+COUNTIF(connections!$B$2:$B$1400,$A229))</f>
        <v/>
      </c>
      <c r="E229">
        <f>IF($A229="","",IFERROR(MATCH($C229,$R$2:$R$5,0),0))</f>
        <v/>
      </c>
      <c r="F229">
        <f>IF($A229="","",MOD(ROW(),34))</f>
        <v/>
      </c>
      <c r="G229">
        <f>IF($A229="",NA(),IF($C229="Action",$B229,NA()))</f>
        <v/>
      </c>
      <c r="H229">
        <f>IF($A229="",NA(),IF($C229="Action",1+$F229*0.023,NA()))</f>
        <v/>
      </c>
      <c r="I229">
        <f>IF($A229="",NA(),IF($C229="Strategy",$B229,NA()))</f>
        <v/>
      </c>
      <c r="J229">
        <f>IF($A229="",NA(),IF($C229="Strategy",2+$F229*0.023,NA()))</f>
        <v/>
      </c>
      <c r="K229">
        <f>IF($A229="",NA(),IF($C229="Deckbuilder",$B229,NA()))</f>
        <v/>
      </c>
      <c r="L229">
        <f>IF($A229="",NA(),IF($C229="Deckbuilder",3+$F229*0.023,NA()))</f>
        <v/>
      </c>
      <c r="M229">
        <f>IF($A229="",NA(),IF($C229="Traditional",$B229,NA()))</f>
        <v/>
      </c>
      <c r="N229">
        <f>IF($A229="",NA(),IF($C229="Traditional",4+$F229*0.023,NA()))</f>
        <v/>
      </c>
      <c r="O229">
        <f>IF($A229="","",$D229+ROW()/1000000)</f>
        <v/>
      </c>
      <c r="P229">
        <f>IF(OR($A229="",games!$H229=""),"",games!$H229)</f>
        <v/>
      </c>
      <c r="Q229">
        <f>IF(OR($A229="",$P229&lt;&gt;"Yes"),"",$D229+ROW()/1000000)</f>
        <v/>
      </c>
      <c r="T229">
        <f>IF(connections!$A229="","",IFERROR(INDEX(games!$B$2:$B$950,MATCH(connections!$A229,games!$A$2:$A$950,0)),""))</f>
        <v/>
      </c>
      <c r="U229">
        <f>IF(connections!$A229="","",IFERROR(INDEX(games!$B$2:$B$950,MATCH(connections!$B229,games!$A$2:$A$950,0)),""))</f>
        <v/>
      </c>
      <c r="V229">
        <f>IF(OR($T229="",$U229=""),"",$U229-$T229)</f>
        <v/>
      </c>
    </row>
    <row r="230">
      <c r="A230">
        <f>IF(games!$A230="","",games!$A230)</f>
        <v/>
      </c>
      <c r="B230">
        <f>IF($A230="","",games!$B230)</f>
        <v/>
      </c>
      <c r="C230">
        <f>IF($A230="","",games!$C230)</f>
        <v/>
      </c>
      <c r="D230">
        <f>IF($A230="","",COUNTIF(connections!$A$2:$A$1400,$A230)+COUNTIF(connections!$B$2:$B$1400,$A230))</f>
        <v/>
      </c>
      <c r="E230">
        <f>IF($A230="","",IFERROR(MATCH($C230,$R$2:$R$5,0),0))</f>
        <v/>
      </c>
      <c r="F230">
        <f>IF($A230="","",MOD(ROW(),34))</f>
        <v/>
      </c>
      <c r="G230">
        <f>IF($A230="",NA(),IF($C230="Action",$B230,NA()))</f>
        <v/>
      </c>
      <c r="H230">
        <f>IF($A230="",NA(),IF($C230="Action",1+$F230*0.023,NA()))</f>
        <v/>
      </c>
      <c r="I230">
        <f>IF($A230="",NA(),IF($C230="Strategy",$B230,NA()))</f>
        <v/>
      </c>
      <c r="J230">
        <f>IF($A230="",NA(),IF($C230="Strategy",2+$F230*0.023,NA()))</f>
        <v/>
      </c>
      <c r="K230">
        <f>IF($A230="",NA(),IF($C230="Deckbuilder",$B230,NA()))</f>
        <v/>
      </c>
      <c r="L230">
        <f>IF($A230="",NA(),IF($C230="Deckbuilder",3+$F230*0.023,NA()))</f>
        <v/>
      </c>
      <c r="M230">
        <f>IF($A230="",NA(),IF($C230="Traditional",$B230,NA()))</f>
        <v/>
      </c>
      <c r="N230">
        <f>IF($A230="",NA(),IF($C230="Traditional",4+$F230*0.023,NA()))</f>
        <v/>
      </c>
      <c r="O230">
        <f>IF($A230="","",$D230+ROW()/1000000)</f>
        <v/>
      </c>
      <c r="P230">
        <f>IF(OR($A230="",games!$H230=""),"",games!$H230)</f>
        <v/>
      </c>
      <c r="Q230">
        <f>IF(OR($A230="",$P230&lt;&gt;"Yes"),"",$D230+ROW()/1000000)</f>
        <v/>
      </c>
      <c r="T230">
        <f>IF(connections!$A230="","",IFERROR(INDEX(games!$B$2:$B$950,MATCH(connections!$A230,games!$A$2:$A$950,0)),""))</f>
        <v/>
      </c>
      <c r="U230">
        <f>IF(connections!$A230="","",IFERROR(INDEX(games!$B$2:$B$950,MATCH(connections!$B230,games!$A$2:$A$950,0)),""))</f>
        <v/>
      </c>
      <c r="V230">
        <f>IF(OR($T230="",$U230=""),"",$U230-$T230)</f>
        <v/>
      </c>
    </row>
    <row r="231">
      <c r="A231">
        <f>IF(games!$A231="","",games!$A231)</f>
        <v/>
      </c>
      <c r="B231">
        <f>IF($A231="","",games!$B231)</f>
        <v/>
      </c>
      <c r="C231">
        <f>IF($A231="","",games!$C231)</f>
        <v/>
      </c>
      <c r="D231">
        <f>IF($A231="","",COUNTIF(connections!$A$2:$A$1400,$A231)+COUNTIF(connections!$B$2:$B$1400,$A231))</f>
        <v/>
      </c>
      <c r="E231">
        <f>IF($A231="","",IFERROR(MATCH($C231,$R$2:$R$5,0),0))</f>
        <v/>
      </c>
      <c r="F231">
        <f>IF($A231="","",MOD(ROW(),34))</f>
        <v/>
      </c>
      <c r="G231">
        <f>IF($A231="",NA(),IF($C231="Action",$B231,NA()))</f>
        <v/>
      </c>
      <c r="H231">
        <f>IF($A231="",NA(),IF($C231="Action",1+$F231*0.023,NA()))</f>
        <v/>
      </c>
      <c r="I231">
        <f>IF($A231="",NA(),IF($C231="Strategy",$B231,NA()))</f>
        <v/>
      </c>
      <c r="J231">
        <f>IF($A231="",NA(),IF($C231="Strategy",2+$F231*0.023,NA()))</f>
        <v/>
      </c>
      <c r="K231">
        <f>IF($A231="",NA(),IF($C231="Deckbuilder",$B231,NA()))</f>
        <v/>
      </c>
      <c r="L231">
        <f>IF($A231="",NA(),IF($C231="Deckbuilder",3+$F231*0.023,NA()))</f>
        <v/>
      </c>
      <c r="M231">
        <f>IF($A231="",NA(),IF($C231="Traditional",$B231,NA()))</f>
        <v/>
      </c>
      <c r="N231">
        <f>IF($A231="",NA(),IF($C231="Traditional",4+$F231*0.023,NA()))</f>
        <v/>
      </c>
      <c r="O231">
        <f>IF($A231="","",$D231+ROW()/1000000)</f>
        <v/>
      </c>
      <c r="P231">
        <f>IF(OR($A231="",games!$H231=""),"",games!$H231)</f>
        <v/>
      </c>
      <c r="Q231">
        <f>IF(OR($A231="",$P231&lt;&gt;"Yes"),"",$D231+ROW()/1000000)</f>
        <v/>
      </c>
      <c r="T231">
        <f>IF(connections!$A231="","",IFERROR(INDEX(games!$B$2:$B$950,MATCH(connections!$A231,games!$A$2:$A$950,0)),""))</f>
        <v/>
      </c>
      <c r="U231">
        <f>IF(connections!$A231="","",IFERROR(INDEX(games!$B$2:$B$950,MATCH(connections!$B231,games!$A$2:$A$950,0)),""))</f>
        <v/>
      </c>
      <c r="V231">
        <f>IF(OR($T231="",$U231=""),"",$U231-$T231)</f>
        <v/>
      </c>
    </row>
    <row r="232">
      <c r="A232">
        <f>IF(games!$A232="","",games!$A232)</f>
        <v/>
      </c>
      <c r="B232">
        <f>IF($A232="","",games!$B232)</f>
        <v/>
      </c>
      <c r="C232">
        <f>IF($A232="","",games!$C232)</f>
        <v/>
      </c>
      <c r="D232">
        <f>IF($A232="","",COUNTIF(connections!$A$2:$A$1400,$A232)+COUNTIF(connections!$B$2:$B$1400,$A232))</f>
        <v/>
      </c>
      <c r="E232">
        <f>IF($A232="","",IFERROR(MATCH($C232,$R$2:$R$5,0),0))</f>
        <v/>
      </c>
      <c r="F232">
        <f>IF($A232="","",MOD(ROW(),34))</f>
        <v/>
      </c>
      <c r="G232">
        <f>IF($A232="",NA(),IF($C232="Action",$B232,NA()))</f>
        <v/>
      </c>
      <c r="H232">
        <f>IF($A232="",NA(),IF($C232="Action",1+$F232*0.023,NA()))</f>
        <v/>
      </c>
      <c r="I232">
        <f>IF($A232="",NA(),IF($C232="Strategy",$B232,NA()))</f>
        <v/>
      </c>
      <c r="J232">
        <f>IF($A232="",NA(),IF($C232="Strategy",2+$F232*0.023,NA()))</f>
        <v/>
      </c>
      <c r="K232">
        <f>IF($A232="",NA(),IF($C232="Deckbuilder",$B232,NA()))</f>
        <v/>
      </c>
      <c r="L232">
        <f>IF($A232="",NA(),IF($C232="Deckbuilder",3+$F232*0.023,NA()))</f>
        <v/>
      </c>
      <c r="M232">
        <f>IF($A232="",NA(),IF($C232="Traditional",$B232,NA()))</f>
        <v/>
      </c>
      <c r="N232">
        <f>IF($A232="",NA(),IF($C232="Traditional",4+$F232*0.023,NA()))</f>
        <v/>
      </c>
      <c r="O232">
        <f>IF($A232="","",$D232+ROW()/1000000)</f>
        <v/>
      </c>
      <c r="P232">
        <f>IF(OR($A232="",games!$H232=""),"",games!$H232)</f>
        <v/>
      </c>
      <c r="Q232">
        <f>IF(OR($A232="",$P232&lt;&gt;"Yes"),"",$D232+ROW()/1000000)</f>
        <v/>
      </c>
      <c r="T232">
        <f>IF(connections!$A232="","",IFERROR(INDEX(games!$B$2:$B$950,MATCH(connections!$A232,games!$A$2:$A$950,0)),""))</f>
        <v/>
      </c>
      <c r="U232">
        <f>IF(connections!$A232="","",IFERROR(INDEX(games!$B$2:$B$950,MATCH(connections!$B232,games!$A$2:$A$950,0)),""))</f>
        <v/>
      </c>
      <c r="V232">
        <f>IF(OR($T232="",$U232=""),"",$U232-$T232)</f>
        <v/>
      </c>
    </row>
    <row r="233">
      <c r="A233">
        <f>IF(games!$A233="","",games!$A233)</f>
        <v/>
      </c>
      <c r="B233">
        <f>IF($A233="","",games!$B233)</f>
        <v/>
      </c>
      <c r="C233">
        <f>IF($A233="","",games!$C233)</f>
        <v/>
      </c>
      <c r="D233">
        <f>IF($A233="","",COUNTIF(connections!$A$2:$A$1400,$A233)+COUNTIF(connections!$B$2:$B$1400,$A233))</f>
        <v/>
      </c>
      <c r="E233">
        <f>IF($A233="","",IFERROR(MATCH($C233,$R$2:$R$5,0),0))</f>
        <v/>
      </c>
      <c r="F233">
        <f>IF($A233="","",MOD(ROW(),34))</f>
        <v/>
      </c>
      <c r="G233">
        <f>IF($A233="",NA(),IF($C233="Action",$B233,NA()))</f>
        <v/>
      </c>
      <c r="H233">
        <f>IF($A233="",NA(),IF($C233="Action",1+$F233*0.023,NA()))</f>
        <v/>
      </c>
      <c r="I233">
        <f>IF($A233="",NA(),IF($C233="Strategy",$B233,NA()))</f>
        <v/>
      </c>
      <c r="J233">
        <f>IF($A233="",NA(),IF($C233="Strategy",2+$F233*0.023,NA()))</f>
        <v/>
      </c>
      <c r="K233">
        <f>IF($A233="",NA(),IF($C233="Deckbuilder",$B233,NA()))</f>
        <v/>
      </c>
      <c r="L233">
        <f>IF($A233="",NA(),IF($C233="Deckbuilder",3+$F233*0.023,NA()))</f>
        <v/>
      </c>
      <c r="M233">
        <f>IF($A233="",NA(),IF($C233="Traditional",$B233,NA()))</f>
        <v/>
      </c>
      <c r="N233">
        <f>IF($A233="",NA(),IF($C233="Traditional",4+$F233*0.023,NA()))</f>
        <v/>
      </c>
      <c r="O233">
        <f>IF($A233="","",$D233+ROW()/1000000)</f>
        <v/>
      </c>
      <c r="P233">
        <f>IF(OR($A233="",games!$H233=""),"",games!$H233)</f>
        <v/>
      </c>
      <c r="Q233">
        <f>IF(OR($A233="",$P233&lt;&gt;"Yes"),"",$D233+ROW()/1000000)</f>
        <v/>
      </c>
      <c r="T233">
        <f>IF(connections!$A233="","",IFERROR(INDEX(games!$B$2:$B$950,MATCH(connections!$A233,games!$A$2:$A$950,0)),""))</f>
        <v/>
      </c>
      <c r="U233">
        <f>IF(connections!$A233="","",IFERROR(INDEX(games!$B$2:$B$950,MATCH(connections!$B233,games!$A$2:$A$950,0)),""))</f>
        <v/>
      </c>
      <c r="V233">
        <f>IF(OR($T233="",$U233=""),"",$U233-$T233)</f>
        <v/>
      </c>
    </row>
    <row r="234">
      <c r="A234">
        <f>IF(games!$A234="","",games!$A234)</f>
        <v/>
      </c>
      <c r="B234">
        <f>IF($A234="","",games!$B234)</f>
        <v/>
      </c>
      <c r="C234">
        <f>IF($A234="","",games!$C234)</f>
        <v/>
      </c>
      <c r="D234">
        <f>IF($A234="","",COUNTIF(connections!$A$2:$A$1400,$A234)+COUNTIF(connections!$B$2:$B$1400,$A234))</f>
        <v/>
      </c>
      <c r="E234">
        <f>IF($A234="","",IFERROR(MATCH($C234,$R$2:$R$5,0),0))</f>
        <v/>
      </c>
      <c r="F234">
        <f>IF($A234="","",MOD(ROW(),34))</f>
        <v/>
      </c>
      <c r="G234">
        <f>IF($A234="",NA(),IF($C234="Action",$B234,NA()))</f>
        <v/>
      </c>
      <c r="H234">
        <f>IF($A234="",NA(),IF($C234="Action",1+$F234*0.023,NA()))</f>
        <v/>
      </c>
      <c r="I234">
        <f>IF($A234="",NA(),IF($C234="Strategy",$B234,NA()))</f>
        <v/>
      </c>
      <c r="J234">
        <f>IF($A234="",NA(),IF($C234="Strategy",2+$F234*0.023,NA()))</f>
        <v/>
      </c>
      <c r="K234">
        <f>IF($A234="",NA(),IF($C234="Deckbuilder",$B234,NA()))</f>
        <v/>
      </c>
      <c r="L234">
        <f>IF($A234="",NA(),IF($C234="Deckbuilder",3+$F234*0.023,NA()))</f>
        <v/>
      </c>
      <c r="M234">
        <f>IF($A234="",NA(),IF($C234="Traditional",$B234,NA()))</f>
        <v/>
      </c>
      <c r="N234">
        <f>IF($A234="",NA(),IF($C234="Traditional",4+$F234*0.023,NA()))</f>
        <v/>
      </c>
      <c r="O234">
        <f>IF($A234="","",$D234+ROW()/1000000)</f>
        <v/>
      </c>
      <c r="P234">
        <f>IF(OR($A234="",games!$H234=""),"",games!$H234)</f>
        <v/>
      </c>
      <c r="Q234">
        <f>IF(OR($A234="",$P234&lt;&gt;"Yes"),"",$D234+ROW()/1000000)</f>
        <v/>
      </c>
      <c r="T234">
        <f>IF(connections!$A234="","",IFERROR(INDEX(games!$B$2:$B$950,MATCH(connections!$A234,games!$A$2:$A$950,0)),""))</f>
        <v/>
      </c>
      <c r="U234">
        <f>IF(connections!$A234="","",IFERROR(INDEX(games!$B$2:$B$950,MATCH(connections!$B234,games!$A$2:$A$950,0)),""))</f>
        <v/>
      </c>
      <c r="V234">
        <f>IF(OR($T234="",$U234=""),"",$U234-$T234)</f>
        <v/>
      </c>
    </row>
    <row r="235">
      <c r="A235">
        <f>IF(games!$A235="","",games!$A235)</f>
        <v/>
      </c>
      <c r="B235">
        <f>IF($A235="","",games!$B235)</f>
        <v/>
      </c>
      <c r="C235">
        <f>IF($A235="","",games!$C235)</f>
        <v/>
      </c>
      <c r="D235">
        <f>IF($A235="","",COUNTIF(connections!$A$2:$A$1400,$A235)+COUNTIF(connections!$B$2:$B$1400,$A235))</f>
        <v/>
      </c>
      <c r="E235">
        <f>IF($A235="","",IFERROR(MATCH($C235,$R$2:$R$5,0),0))</f>
        <v/>
      </c>
      <c r="F235">
        <f>IF($A235="","",MOD(ROW(),34))</f>
        <v/>
      </c>
      <c r="G235">
        <f>IF($A235="",NA(),IF($C235="Action",$B235,NA()))</f>
        <v/>
      </c>
      <c r="H235">
        <f>IF($A235="",NA(),IF($C235="Action",1+$F235*0.023,NA()))</f>
        <v/>
      </c>
      <c r="I235">
        <f>IF($A235="",NA(),IF($C235="Strategy",$B235,NA()))</f>
        <v/>
      </c>
      <c r="J235">
        <f>IF($A235="",NA(),IF($C235="Strategy",2+$F235*0.023,NA()))</f>
        <v/>
      </c>
      <c r="K235">
        <f>IF($A235="",NA(),IF($C235="Deckbuilder",$B235,NA()))</f>
        <v/>
      </c>
      <c r="L235">
        <f>IF($A235="",NA(),IF($C235="Deckbuilder",3+$F235*0.023,NA()))</f>
        <v/>
      </c>
      <c r="M235">
        <f>IF($A235="",NA(),IF($C235="Traditional",$B235,NA()))</f>
        <v/>
      </c>
      <c r="N235">
        <f>IF($A235="",NA(),IF($C235="Traditional",4+$F235*0.023,NA()))</f>
        <v/>
      </c>
      <c r="O235">
        <f>IF($A235="","",$D235+ROW()/1000000)</f>
        <v/>
      </c>
      <c r="P235">
        <f>IF(OR($A235="",games!$H235=""),"",games!$H235)</f>
        <v/>
      </c>
      <c r="Q235">
        <f>IF(OR($A235="",$P235&lt;&gt;"Yes"),"",$D235+ROW()/1000000)</f>
        <v/>
      </c>
      <c r="T235">
        <f>IF(connections!$A235="","",IFERROR(INDEX(games!$B$2:$B$950,MATCH(connections!$A235,games!$A$2:$A$950,0)),""))</f>
        <v/>
      </c>
      <c r="U235">
        <f>IF(connections!$A235="","",IFERROR(INDEX(games!$B$2:$B$950,MATCH(connections!$B235,games!$A$2:$A$950,0)),""))</f>
        <v/>
      </c>
      <c r="V235">
        <f>IF(OR($T235="",$U235=""),"",$U235-$T235)</f>
        <v/>
      </c>
    </row>
    <row r="236">
      <c r="A236">
        <f>IF(games!$A236="","",games!$A236)</f>
        <v/>
      </c>
      <c r="B236">
        <f>IF($A236="","",games!$B236)</f>
        <v/>
      </c>
      <c r="C236">
        <f>IF($A236="","",games!$C236)</f>
        <v/>
      </c>
      <c r="D236">
        <f>IF($A236="","",COUNTIF(connections!$A$2:$A$1400,$A236)+COUNTIF(connections!$B$2:$B$1400,$A236))</f>
        <v/>
      </c>
      <c r="E236">
        <f>IF($A236="","",IFERROR(MATCH($C236,$R$2:$R$5,0),0))</f>
        <v/>
      </c>
      <c r="F236">
        <f>IF($A236="","",MOD(ROW(),34))</f>
        <v/>
      </c>
      <c r="G236">
        <f>IF($A236="",NA(),IF($C236="Action",$B236,NA()))</f>
        <v/>
      </c>
      <c r="H236">
        <f>IF($A236="",NA(),IF($C236="Action",1+$F236*0.023,NA()))</f>
        <v/>
      </c>
      <c r="I236">
        <f>IF($A236="",NA(),IF($C236="Strategy",$B236,NA()))</f>
        <v/>
      </c>
      <c r="J236">
        <f>IF($A236="",NA(),IF($C236="Strategy",2+$F236*0.023,NA()))</f>
        <v/>
      </c>
      <c r="K236">
        <f>IF($A236="",NA(),IF($C236="Deckbuilder",$B236,NA()))</f>
        <v/>
      </c>
      <c r="L236">
        <f>IF($A236="",NA(),IF($C236="Deckbuilder",3+$F236*0.023,NA()))</f>
        <v/>
      </c>
      <c r="M236">
        <f>IF($A236="",NA(),IF($C236="Traditional",$B236,NA()))</f>
        <v/>
      </c>
      <c r="N236">
        <f>IF($A236="",NA(),IF($C236="Traditional",4+$F236*0.023,NA()))</f>
        <v/>
      </c>
      <c r="O236">
        <f>IF($A236="","",$D236+ROW()/1000000)</f>
        <v/>
      </c>
      <c r="P236">
        <f>IF(OR($A236="",games!$H236=""),"",games!$H236)</f>
        <v/>
      </c>
      <c r="Q236">
        <f>IF(OR($A236="",$P236&lt;&gt;"Yes"),"",$D236+ROW()/1000000)</f>
        <v/>
      </c>
      <c r="T236">
        <f>IF(connections!$A236="","",IFERROR(INDEX(games!$B$2:$B$950,MATCH(connections!$A236,games!$A$2:$A$950,0)),""))</f>
        <v/>
      </c>
      <c r="U236">
        <f>IF(connections!$A236="","",IFERROR(INDEX(games!$B$2:$B$950,MATCH(connections!$B236,games!$A$2:$A$950,0)),""))</f>
        <v/>
      </c>
      <c r="V236">
        <f>IF(OR($T236="",$U236=""),"",$U236-$T236)</f>
        <v/>
      </c>
    </row>
    <row r="237">
      <c r="A237">
        <f>IF(games!$A237="","",games!$A237)</f>
        <v/>
      </c>
      <c r="B237">
        <f>IF($A237="","",games!$B237)</f>
        <v/>
      </c>
      <c r="C237">
        <f>IF($A237="","",games!$C237)</f>
        <v/>
      </c>
      <c r="D237">
        <f>IF($A237="","",COUNTIF(connections!$A$2:$A$1400,$A237)+COUNTIF(connections!$B$2:$B$1400,$A237))</f>
        <v/>
      </c>
      <c r="E237">
        <f>IF($A237="","",IFERROR(MATCH($C237,$R$2:$R$5,0),0))</f>
        <v/>
      </c>
      <c r="F237">
        <f>IF($A237="","",MOD(ROW(),34))</f>
        <v/>
      </c>
      <c r="G237">
        <f>IF($A237="",NA(),IF($C237="Action",$B237,NA()))</f>
        <v/>
      </c>
      <c r="H237">
        <f>IF($A237="",NA(),IF($C237="Action",1+$F237*0.023,NA()))</f>
        <v/>
      </c>
      <c r="I237">
        <f>IF($A237="",NA(),IF($C237="Strategy",$B237,NA()))</f>
        <v/>
      </c>
      <c r="J237">
        <f>IF($A237="",NA(),IF($C237="Strategy",2+$F237*0.023,NA()))</f>
        <v/>
      </c>
      <c r="K237">
        <f>IF($A237="",NA(),IF($C237="Deckbuilder",$B237,NA()))</f>
        <v/>
      </c>
      <c r="L237">
        <f>IF($A237="",NA(),IF($C237="Deckbuilder",3+$F237*0.023,NA()))</f>
        <v/>
      </c>
      <c r="M237">
        <f>IF($A237="",NA(),IF($C237="Traditional",$B237,NA()))</f>
        <v/>
      </c>
      <c r="N237">
        <f>IF($A237="",NA(),IF($C237="Traditional",4+$F237*0.023,NA()))</f>
        <v/>
      </c>
      <c r="O237">
        <f>IF($A237="","",$D237+ROW()/1000000)</f>
        <v/>
      </c>
      <c r="P237">
        <f>IF(OR($A237="",games!$H237=""),"",games!$H237)</f>
        <v/>
      </c>
      <c r="Q237">
        <f>IF(OR($A237="",$P237&lt;&gt;"Yes"),"",$D237+ROW()/1000000)</f>
        <v/>
      </c>
      <c r="T237">
        <f>IF(connections!$A237="","",IFERROR(INDEX(games!$B$2:$B$950,MATCH(connections!$A237,games!$A$2:$A$950,0)),""))</f>
        <v/>
      </c>
      <c r="U237">
        <f>IF(connections!$A237="","",IFERROR(INDEX(games!$B$2:$B$950,MATCH(connections!$B237,games!$A$2:$A$950,0)),""))</f>
        <v/>
      </c>
      <c r="V237">
        <f>IF(OR($T237="",$U237=""),"",$U237-$T237)</f>
        <v/>
      </c>
    </row>
    <row r="238">
      <c r="A238">
        <f>IF(games!$A238="","",games!$A238)</f>
        <v/>
      </c>
      <c r="B238">
        <f>IF($A238="","",games!$B238)</f>
        <v/>
      </c>
      <c r="C238">
        <f>IF($A238="","",games!$C238)</f>
        <v/>
      </c>
      <c r="D238">
        <f>IF($A238="","",COUNTIF(connections!$A$2:$A$1400,$A238)+COUNTIF(connections!$B$2:$B$1400,$A238))</f>
        <v/>
      </c>
      <c r="E238">
        <f>IF($A238="","",IFERROR(MATCH($C238,$R$2:$R$5,0),0))</f>
        <v/>
      </c>
      <c r="F238">
        <f>IF($A238="","",MOD(ROW(),34))</f>
        <v/>
      </c>
      <c r="G238">
        <f>IF($A238="",NA(),IF($C238="Action",$B238,NA()))</f>
        <v/>
      </c>
      <c r="H238">
        <f>IF($A238="",NA(),IF($C238="Action",1+$F238*0.023,NA()))</f>
        <v/>
      </c>
      <c r="I238">
        <f>IF($A238="",NA(),IF($C238="Strategy",$B238,NA()))</f>
        <v/>
      </c>
      <c r="J238">
        <f>IF($A238="",NA(),IF($C238="Strategy",2+$F238*0.023,NA()))</f>
        <v/>
      </c>
      <c r="K238">
        <f>IF($A238="",NA(),IF($C238="Deckbuilder",$B238,NA()))</f>
        <v/>
      </c>
      <c r="L238">
        <f>IF($A238="",NA(),IF($C238="Deckbuilder",3+$F238*0.023,NA()))</f>
        <v/>
      </c>
      <c r="M238">
        <f>IF($A238="",NA(),IF($C238="Traditional",$B238,NA()))</f>
        <v/>
      </c>
      <c r="N238">
        <f>IF($A238="",NA(),IF($C238="Traditional",4+$F238*0.023,NA()))</f>
        <v/>
      </c>
      <c r="O238">
        <f>IF($A238="","",$D238+ROW()/1000000)</f>
        <v/>
      </c>
      <c r="P238">
        <f>IF(OR($A238="",games!$H238=""),"",games!$H238)</f>
        <v/>
      </c>
      <c r="Q238">
        <f>IF(OR($A238="",$P238&lt;&gt;"Yes"),"",$D238+ROW()/1000000)</f>
        <v/>
      </c>
      <c r="T238">
        <f>IF(connections!$A238="","",IFERROR(INDEX(games!$B$2:$B$950,MATCH(connections!$A238,games!$A$2:$A$950,0)),""))</f>
        <v/>
      </c>
      <c r="U238">
        <f>IF(connections!$A238="","",IFERROR(INDEX(games!$B$2:$B$950,MATCH(connections!$B238,games!$A$2:$A$950,0)),""))</f>
        <v/>
      </c>
      <c r="V238">
        <f>IF(OR($T238="",$U238=""),"",$U238-$T238)</f>
        <v/>
      </c>
    </row>
    <row r="239">
      <c r="A239">
        <f>IF(games!$A239="","",games!$A239)</f>
        <v/>
      </c>
      <c r="B239">
        <f>IF($A239="","",games!$B239)</f>
        <v/>
      </c>
      <c r="C239">
        <f>IF($A239="","",games!$C239)</f>
        <v/>
      </c>
      <c r="D239">
        <f>IF($A239="","",COUNTIF(connections!$A$2:$A$1400,$A239)+COUNTIF(connections!$B$2:$B$1400,$A239))</f>
        <v/>
      </c>
      <c r="E239">
        <f>IF($A239="","",IFERROR(MATCH($C239,$R$2:$R$5,0),0))</f>
        <v/>
      </c>
      <c r="F239">
        <f>IF($A239="","",MOD(ROW(),34))</f>
        <v/>
      </c>
      <c r="G239">
        <f>IF($A239="",NA(),IF($C239="Action",$B239,NA()))</f>
        <v/>
      </c>
      <c r="H239">
        <f>IF($A239="",NA(),IF($C239="Action",1+$F239*0.023,NA()))</f>
        <v/>
      </c>
      <c r="I239">
        <f>IF($A239="",NA(),IF($C239="Strategy",$B239,NA()))</f>
        <v/>
      </c>
      <c r="J239">
        <f>IF($A239="",NA(),IF($C239="Strategy",2+$F239*0.023,NA()))</f>
        <v/>
      </c>
      <c r="K239">
        <f>IF($A239="",NA(),IF($C239="Deckbuilder",$B239,NA()))</f>
        <v/>
      </c>
      <c r="L239">
        <f>IF($A239="",NA(),IF($C239="Deckbuilder",3+$F239*0.023,NA()))</f>
        <v/>
      </c>
      <c r="M239">
        <f>IF($A239="",NA(),IF($C239="Traditional",$B239,NA()))</f>
        <v/>
      </c>
      <c r="N239">
        <f>IF($A239="",NA(),IF($C239="Traditional",4+$F239*0.023,NA()))</f>
        <v/>
      </c>
      <c r="O239">
        <f>IF($A239="","",$D239+ROW()/1000000)</f>
        <v/>
      </c>
      <c r="P239">
        <f>IF(OR($A239="",games!$H239=""),"",games!$H239)</f>
        <v/>
      </c>
      <c r="Q239">
        <f>IF(OR($A239="",$P239&lt;&gt;"Yes"),"",$D239+ROW()/1000000)</f>
        <v/>
      </c>
      <c r="T239">
        <f>IF(connections!$A239="","",IFERROR(INDEX(games!$B$2:$B$950,MATCH(connections!$A239,games!$A$2:$A$950,0)),""))</f>
        <v/>
      </c>
      <c r="U239">
        <f>IF(connections!$A239="","",IFERROR(INDEX(games!$B$2:$B$950,MATCH(connections!$B239,games!$A$2:$A$950,0)),""))</f>
        <v/>
      </c>
      <c r="V239">
        <f>IF(OR($T239="",$U239=""),"",$U239-$T239)</f>
        <v/>
      </c>
    </row>
    <row r="240">
      <c r="A240">
        <f>IF(games!$A240="","",games!$A240)</f>
        <v/>
      </c>
      <c r="B240">
        <f>IF($A240="","",games!$B240)</f>
        <v/>
      </c>
      <c r="C240">
        <f>IF($A240="","",games!$C240)</f>
        <v/>
      </c>
      <c r="D240">
        <f>IF($A240="","",COUNTIF(connections!$A$2:$A$1400,$A240)+COUNTIF(connections!$B$2:$B$1400,$A240))</f>
        <v/>
      </c>
      <c r="E240">
        <f>IF($A240="","",IFERROR(MATCH($C240,$R$2:$R$5,0),0))</f>
        <v/>
      </c>
      <c r="F240">
        <f>IF($A240="","",MOD(ROW(),34))</f>
        <v/>
      </c>
      <c r="G240">
        <f>IF($A240="",NA(),IF($C240="Action",$B240,NA()))</f>
        <v/>
      </c>
      <c r="H240">
        <f>IF($A240="",NA(),IF($C240="Action",1+$F240*0.023,NA()))</f>
        <v/>
      </c>
      <c r="I240">
        <f>IF($A240="",NA(),IF($C240="Strategy",$B240,NA()))</f>
        <v/>
      </c>
      <c r="J240">
        <f>IF($A240="",NA(),IF($C240="Strategy",2+$F240*0.023,NA()))</f>
        <v/>
      </c>
      <c r="K240">
        <f>IF($A240="",NA(),IF($C240="Deckbuilder",$B240,NA()))</f>
        <v/>
      </c>
      <c r="L240">
        <f>IF($A240="",NA(),IF($C240="Deckbuilder",3+$F240*0.023,NA()))</f>
        <v/>
      </c>
      <c r="M240">
        <f>IF($A240="",NA(),IF($C240="Traditional",$B240,NA()))</f>
        <v/>
      </c>
      <c r="N240">
        <f>IF($A240="",NA(),IF($C240="Traditional",4+$F240*0.023,NA()))</f>
        <v/>
      </c>
      <c r="O240">
        <f>IF($A240="","",$D240+ROW()/1000000)</f>
        <v/>
      </c>
      <c r="P240">
        <f>IF(OR($A240="",games!$H240=""),"",games!$H240)</f>
        <v/>
      </c>
      <c r="Q240">
        <f>IF(OR($A240="",$P240&lt;&gt;"Yes"),"",$D240+ROW()/1000000)</f>
        <v/>
      </c>
      <c r="T240">
        <f>IF(connections!$A240="","",IFERROR(INDEX(games!$B$2:$B$950,MATCH(connections!$A240,games!$A$2:$A$950,0)),""))</f>
        <v/>
      </c>
      <c r="U240">
        <f>IF(connections!$A240="","",IFERROR(INDEX(games!$B$2:$B$950,MATCH(connections!$B240,games!$A$2:$A$950,0)),""))</f>
        <v/>
      </c>
      <c r="V240">
        <f>IF(OR($T240="",$U240=""),"",$U240-$T240)</f>
        <v/>
      </c>
    </row>
    <row r="241">
      <c r="A241">
        <f>IF(games!$A241="","",games!$A241)</f>
        <v/>
      </c>
      <c r="B241">
        <f>IF($A241="","",games!$B241)</f>
        <v/>
      </c>
      <c r="C241">
        <f>IF($A241="","",games!$C241)</f>
        <v/>
      </c>
      <c r="D241">
        <f>IF($A241="","",COUNTIF(connections!$A$2:$A$1400,$A241)+COUNTIF(connections!$B$2:$B$1400,$A241))</f>
        <v/>
      </c>
      <c r="E241">
        <f>IF($A241="","",IFERROR(MATCH($C241,$R$2:$R$5,0),0))</f>
        <v/>
      </c>
      <c r="F241">
        <f>IF($A241="","",MOD(ROW(),34))</f>
        <v/>
      </c>
      <c r="G241">
        <f>IF($A241="",NA(),IF($C241="Action",$B241,NA()))</f>
        <v/>
      </c>
      <c r="H241">
        <f>IF($A241="",NA(),IF($C241="Action",1+$F241*0.023,NA()))</f>
        <v/>
      </c>
      <c r="I241">
        <f>IF($A241="",NA(),IF($C241="Strategy",$B241,NA()))</f>
        <v/>
      </c>
      <c r="J241">
        <f>IF($A241="",NA(),IF($C241="Strategy",2+$F241*0.023,NA()))</f>
        <v/>
      </c>
      <c r="K241">
        <f>IF($A241="",NA(),IF($C241="Deckbuilder",$B241,NA()))</f>
        <v/>
      </c>
      <c r="L241">
        <f>IF($A241="",NA(),IF($C241="Deckbuilder",3+$F241*0.023,NA()))</f>
        <v/>
      </c>
      <c r="M241">
        <f>IF($A241="",NA(),IF($C241="Traditional",$B241,NA()))</f>
        <v/>
      </c>
      <c r="N241">
        <f>IF($A241="",NA(),IF($C241="Traditional",4+$F241*0.023,NA()))</f>
        <v/>
      </c>
      <c r="O241">
        <f>IF($A241="","",$D241+ROW()/1000000)</f>
        <v/>
      </c>
      <c r="P241">
        <f>IF(OR($A241="",games!$H241=""),"",games!$H241)</f>
        <v/>
      </c>
      <c r="Q241">
        <f>IF(OR($A241="",$P241&lt;&gt;"Yes"),"",$D241+ROW()/1000000)</f>
        <v/>
      </c>
      <c r="T241">
        <f>IF(connections!$A241="","",IFERROR(INDEX(games!$B$2:$B$950,MATCH(connections!$A241,games!$A$2:$A$950,0)),""))</f>
        <v/>
      </c>
      <c r="U241">
        <f>IF(connections!$A241="","",IFERROR(INDEX(games!$B$2:$B$950,MATCH(connections!$B241,games!$A$2:$A$950,0)),""))</f>
        <v/>
      </c>
      <c r="V241">
        <f>IF(OR($T241="",$U241=""),"",$U241-$T241)</f>
        <v/>
      </c>
    </row>
    <row r="242">
      <c r="A242">
        <f>IF(games!$A242="","",games!$A242)</f>
        <v/>
      </c>
      <c r="B242">
        <f>IF($A242="","",games!$B242)</f>
        <v/>
      </c>
      <c r="C242">
        <f>IF($A242="","",games!$C242)</f>
        <v/>
      </c>
      <c r="D242">
        <f>IF($A242="","",COUNTIF(connections!$A$2:$A$1400,$A242)+COUNTIF(connections!$B$2:$B$1400,$A242))</f>
        <v/>
      </c>
      <c r="E242">
        <f>IF($A242="","",IFERROR(MATCH($C242,$R$2:$R$5,0),0))</f>
        <v/>
      </c>
      <c r="F242">
        <f>IF($A242="","",MOD(ROW(),34))</f>
        <v/>
      </c>
      <c r="G242">
        <f>IF($A242="",NA(),IF($C242="Action",$B242,NA()))</f>
        <v/>
      </c>
      <c r="H242">
        <f>IF($A242="",NA(),IF($C242="Action",1+$F242*0.023,NA()))</f>
        <v/>
      </c>
      <c r="I242">
        <f>IF($A242="",NA(),IF($C242="Strategy",$B242,NA()))</f>
        <v/>
      </c>
      <c r="J242">
        <f>IF($A242="",NA(),IF($C242="Strategy",2+$F242*0.023,NA()))</f>
        <v/>
      </c>
      <c r="K242">
        <f>IF($A242="",NA(),IF($C242="Deckbuilder",$B242,NA()))</f>
        <v/>
      </c>
      <c r="L242">
        <f>IF($A242="",NA(),IF($C242="Deckbuilder",3+$F242*0.023,NA()))</f>
        <v/>
      </c>
      <c r="M242">
        <f>IF($A242="",NA(),IF($C242="Traditional",$B242,NA()))</f>
        <v/>
      </c>
      <c r="N242">
        <f>IF($A242="",NA(),IF($C242="Traditional",4+$F242*0.023,NA()))</f>
        <v/>
      </c>
      <c r="O242">
        <f>IF($A242="","",$D242+ROW()/1000000)</f>
        <v/>
      </c>
      <c r="P242">
        <f>IF(OR($A242="",games!$H242=""),"",games!$H242)</f>
        <v/>
      </c>
      <c r="Q242">
        <f>IF(OR($A242="",$P242&lt;&gt;"Yes"),"",$D242+ROW()/1000000)</f>
        <v/>
      </c>
      <c r="T242">
        <f>IF(connections!$A242="","",IFERROR(INDEX(games!$B$2:$B$950,MATCH(connections!$A242,games!$A$2:$A$950,0)),""))</f>
        <v/>
      </c>
      <c r="U242">
        <f>IF(connections!$A242="","",IFERROR(INDEX(games!$B$2:$B$950,MATCH(connections!$B242,games!$A$2:$A$950,0)),""))</f>
        <v/>
      </c>
      <c r="V242">
        <f>IF(OR($T242="",$U242=""),"",$U242-$T242)</f>
        <v/>
      </c>
    </row>
    <row r="243">
      <c r="A243">
        <f>IF(games!$A243="","",games!$A243)</f>
        <v/>
      </c>
      <c r="B243">
        <f>IF($A243="","",games!$B243)</f>
        <v/>
      </c>
      <c r="C243">
        <f>IF($A243="","",games!$C243)</f>
        <v/>
      </c>
      <c r="D243">
        <f>IF($A243="","",COUNTIF(connections!$A$2:$A$1400,$A243)+COUNTIF(connections!$B$2:$B$1400,$A243))</f>
        <v/>
      </c>
      <c r="E243">
        <f>IF($A243="","",IFERROR(MATCH($C243,$R$2:$R$5,0),0))</f>
        <v/>
      </c>
      <c r="F243">
        <f>IF($A243="","",MOD(ROW(),34))</f>
        <v/>
      </c>
      <c r="G243">
        <f>IF($A243="",NA(),IF($C243="Action",$B243,NA()))</f>
        <v/>
      </c>
      <c r="H243">
        <f>IF($A243="",NA(),IF($C243="Action",1+$F243*0.023,NA()))</f>
        <v/>
      </c>
      <c r="I243">
        <f>IF($A243="",NA(),IF($C243="Strategy",$B243,NA()))</f>
        <v/>
      </c>
      <c r="J243">
        <f>IF($A243="",NA(),IF($C243="Strategy",2+$F243*0.023,NA()))</f>
        <v/>
      </c>
      <c r="K243">
        <f>IF($A243="",NA(),IF($C243="Deckbuilder",$B243,NA()))</f>
        <v/>
      </c>
      <c r="L243">
        <f>IF($A243="",NA(),IF($C243="Deckbuilder",3+$F243*0.023,NA()))</f>
        <v/>
      </c>
      <c r="M243">
        <f>IF($A243="",NA(),IF($C243="Traditional",$B243,NA()))</f>
        <v/>
      </c>
      <c r="N243">
        <f>IF($A243="",NA(),IF($C243="Traditional",4+$F243*0.023,NA()))</f>
        <v/>
      </c>
      <c r="O243">
        <f>IF($A243="","",$D243+ROW()/1000000)</f>
        <v/>
      </c>
      <c r="P243">
        <f>IF(OR($A243="",games!$H243=""),"",games!$H243)</f>
        <v/>
      </c>
      <c r="Q243">
        <f>IF(OR($A243="",$P243&lt;&gt;"Yes"),"",$D243+ROW()/1000000)</f>
        <v/>
      </c>
      <c r="T243">
        <f>IF(connections!$A243="","",IFERROR(INDEX(games!$B$2:$B$950,MATCH(connections!$A243,games!$A$2:$A$950,0)),""))</f>
        <v/>
      </c>
      <c r="U243">
        <f>IF(connections!$A243="","",IFERROR(INDEX(games!$B$2:$B$950,MATCH(connections!$B243,games!$A$2:$A$950,0)),""))</f>
        <v/>
      </c>
      <c r="V243">
        <f>IF(OR($T243="",$U243=""),"",$U243-$T243)</f>
        <v/>
      </c>
    </row>
    <row r="244">
      <c r="A244">
        <f>IF(games!$A244="","",games!$A244)</f>
        <v/>
      </c>
      <c r="B244">
        <f>IF($A244="","",games!$B244)</f>
        <v/>
      </c>
      <c r="C244">
        <f>IF($A244="","",games!$C244)</f>
        <v/>
      </c>
      <c r="D244">
        <f>IF($A244="","",COUNTIF(connections!$A$2:$A$1400,$A244)+COUNTIF(connections!$B$2:$B$1400,$A244))</f>
        <v/>
      </c>
      <c r="E244">
        <f>IF($A244="","",IFERROR(MATCH($C244,$R$2:$R$5,0),0))</f>
        <v/>
      </c>
      <c r="F244">
        <f>IF($A244="","",MOD(ROW(),34))</f>
        <v/>
      </c>
      <c r="G244">
        <f>IF($A244="",NA(),IF($C244="Action",$B244,NA()))</f>
        <v/>
      </c>
      <c r="H244">
        <f>IF($A244="",NA(),IF($C244="Action",1+$F244*0.023,NA()))</f>
        <v/>
      </c>
      <c r="I244">
        <f>IF($A244="",NA(),IF($C244="Strategy",$B244,NA()))</f>
        <v/>
      </c>
      <c r="J244">
        <f>IF($A244="",NA(),IF($C244="Strategy",2+$F244*0.023,NA()))</f>
        <v/>
      </c>
      <c r="K244">
        <f>IF($A244="",NA(),IF($C244="Deckbuilder",$B244,NA()))</f>
        <v/>
      </c>
      <c r="L244">
        <f>IF($A244="",NA(),IF($C244="Deckbuilder",3+$F244*0.023,NA()))</f>
        <v/>
      </c>
      <c r="M244">
        <f>IF($A244="",NA(),IF($C244="Traditional",$B244,NA()))</f>
        <v/>
      </c>
      <c r="N244">
        <f>IF($A244="",NA(),IF($C244="Traditional",4+$F244*0.023,NA()))</f>
        <v/>
      </c>
      <c r="O244">
        <f>IF($A244="","",$D244+ROW()/1000000)</f>
        <v/>
      </c>
      <c r="P244">
        <f>IF(OR($A244="",games!$H244=""),"",games!$H244)</f>
        <v/>
      </c>
      <c r="Q244">
        <f>IF(OR($A244="",$P244&lt;&gt;"Yes"),"",$D244+ROW()/1000000)</f>
        <v/>
      </c>
      <c r="T244">
        <f>IF(connections!$A244="","",IFERROR(INDEX(games!$B$2:$B$950,MATCH(connections!$A244,games!$A$2:$A$950,0)),""))</f>
        <v/>
      </c>
      <c r="U244">
        <f>IF(connections!$A244="","",IFERROR(INDEX(games!$B$2:$B$950,MATCH(connections!$B244,games!$A$2:$A$950,0)),""))</f>
        <v/>
      </c>
      <c r="V244">
        <f>IF(OR($T244="",$U244=""),"",$U244-$T244)</f>
        <v/>
      </c>
    </row>
    <row r="245">
      <c r="A245">
        <f>IF(games!$A245="","",games!$A245)</f>
        <v/>
      </c>
      <c r="B245">
        <f>IF($A245="","",games!$B245)</f>
        <v/>
      </c>
      <c r="C245">
        <f>IF($A245="","",games!$C245)</f>
        <v/>
      </c>
      <c r="D245">
        <f>IF($A245="","",COUNTIF(connections!$A$2:$A$1400,$A245)+COUNTIF(connections!$B$2:$B$1400,$A245))</f>
        <v/>
      </c>
      <c r="E245">
        <f>IF($A245="","",IFERROR(MATCH($C245,$R$2:$R$5,0),0))</f>
        <v/>
      </c>
      <c r="F245">
        <f>IF($A245="","",MOD(ROW(),34))</f>
        <v/>
      </c>
      <c r="G245">
        <f>IF($A245="",NA(),IF($C245="Action",$B245,NA()))</f>
        <v/>
      </c>
      <c r="H245">
        <f>IF($A245="",NA(),IF($C245="Action",1+$F245*0.023,NA()))</f>
        <v/>
      </c>
      <c r="I245">
        <f>IF($A245="",NA(),IF($C245="Strategy",$B245,NA()))</f>
        <v/>
      </c>
      <c r="J245">
        <f>IF($A245="",NA(),IF($C245="Strategy",2+$F245*0.023,NA()))</f>
        <v/>
      </c>
      <c r="K245">
        <f>IF($A245="",NA(),IF($C245="Deckbuilder",$B245,NA()))</f>
        <v/>
      </c>
      <c r="L245">
        <f>IF($A245="",NA(),IF($C245="Deckbuilder",3+$F245*0.023,NA()))</f>
        <v/>
      </c>
      <c r="M245">
        <f>IF($A245="",NA(),IF($C245="Traditional",$B245,NA()))</f>
        <v/>
      </c>
      <c r="N245">
        <f>IF($A245="",NA(),IF($C245="Traditional",4+$F245*0.023,NA()))</f>
        <v/>
      </c>
      <c r="O245">
        <f>IF($A245="","",$D245+ROW()/1000000)</f>
        <v/>
      </c>
      <c r="P245">
        <f>IF(OR($A245="",games!$H245=""),"",games!$H245)</f>
        <v/>
      </c>
      <c r="Q245">
        <f>IF(OR($A245="",$P245&lt;&gt;"Yes"),"",$D245+ROW()/1000000)</f>
        <v/>
      </c>
      <c r="T245">
        <f>IF(connections!$A245="","",IFERROR(INDEX(games!$B$2:$B$950,MATCH(connections!$A245,games!$A$2:$A$950,0)),""))</f>
        <v/>
      </c>
      <c r="U245">
        <f>IF(connections!$A245="","",IFERROR(INDEX(games!$B$2:$B$950,MATCH(connections!$B245,games!$A$2:$A$950,0)),""))</f>
        <v/>
      </c>
      <c r="V245">
        <f>IF(OR($T245="",$U245=""),"",$U245-$T245)</f>
        <v/>
      </c>
    </row>
    <row r="246">
      <c r="A246">
        <f>IF(games!$A246="","",games!$A246)</f>
        <v/>
      </c>
      <c r="B246">
        <f>IF($A246="","",games!$B246)</f>
        <v/>
      </c>
      <c r="C246">
        <f>IF($A246="","",games!$C246)</f>
        <v/>
      </c>
      <c r="D246">
        <f>IF($A246="","",COUNTIF(connections!$A$2:$A$1400,$A246)+COUNTIF(connections!$B$2:$B$1400,$A246))</f>
        <v/>
      </c>
      <c r="E246">
        <f>IF($A246="","",IFERROR(MATCH($C246,$R$2:$R$5,0),0))</f>
        <v/>
      </c>
      <c r="F246">
        <f>IF($A246="","",MOD(ROW(),34))</f>
        <v/>
      </c>
      <c r="G246">
        <f>IF($A246="",NA(),IF($C246="Action",$B246,NA()))</f>
        <v/>
      </c>
      <c r="H246">
        <f>IF($A246="",NA(),IF($C246="Action",1+$F246*0.023,NA()))</f>
        <v/>
      </c>
      <c r="I246">
        <f>IF($A246="",NA(),IF($C246="Strategy",$B246,NA()))</f>
        <v/>
      </c>
      <c r="J246">
        <f>IF($A246="",NA(),IF($C246="Strategy",2+$F246*0.023,NA()))</f>
        <v/>
      </c>
      <c r="K246">
        <f>IF($A246="",NA(),IF($C246="Deckbuilder",$B246,NA()))</f>
        <v/>
      </c>
      <c r="L246">
        <f>IF($A246="",NA(),IF($C246="Deckbuilder",3+$F246*0.023,NA()))</f>
        <v/>
      </c>
      <c r="M246">
        <f>IF($A246="",NA(),IF($C246="Traditional",$B246,NA()))</f>
        <v/>
      </c>
      <c r="N246">
        <f>IF($A246="",NA(),IF($C246="Traditional",4+$F246*0.023,NA()))</f>
        <v/>
      </c>
      <c r="O246">
        <f>IF($A246="","",$D246+ROW()/1000000)</f>
        <v/>
      </c>
      <c r="P246">
        <f>IF(OR($A246="",games!$H246=""),"",games!$H246)</f>
        <v/>
      </c>
      <c r="Q246">
        <f>IF(OR($A246="",$P246&lt;&gt;"Yes"),"",$D246+ROW()/1000000)</f>
        <v/>
      </c>
      <c r="T246">
        <f>IF(connections!$A246="","",IFERROR(INDEX(games!$B$2:$B$950,MATCH(connections!$A246,games!$A$2:$A$950,0)),""))</f>
        <v/>
      </c>
      <c r="U246">
        <f>IF(connections!$A246="","",IFERROR(INDEX(games!$B$2:$B$950,MATCH(connections!$B246,games!$A$2:$A$950,0)),""))</f>
        <v/>
      </c>
      <c r="V246">
        <f>IF(OR($T246="",$U246=""),"",$U246-$T246)</f>
        <v/>
      </c>
    </row>
    <row r="247">
      <c r="A247">
        <f>IF(games!$A247="","",games!$A247)</f>
        <v/>
      </c>
      <c r="B247">
        <f>IF($A247="","",games!$B247)</f>
        <v/>
      </c>
      <c r="C247">
        <f>IF($A247="","",games!$C247)</f>
        <v/>
      </c>
      <c r="D247">
        <f>IF($A247="","",COUNTIF(connections!$A$2:$A$1400,$A247)+COUNTIF(connections!$B$2:$B$1400,$A247))</f>
        <v/>
      </c>
      <c r="E247">
        <f>IF($A247="","",IFERROR(MATCH($C247,$R$2:$R$5,0),0))</f>
        <v/>
      </c>
      <c r="F247">
        <f>IF($A247="","",MOD(ROW(),34))</f>
        <v/>
      </c>
      <c r="G247">
        <f>IF($A247="",NA(),IF($C247="Action",$B247,NA()))</f>
        <v/>
      </c>
      <c r="H247">
        <f>IF($A247="",NA(),IF($C247="Action",1+$F247*0.023,NA()))</f>
        <v/>
      </c>
      <c r="I247">
        <f>IF($A247="",NA(),IF($C247="Strategy",$B247,NA()))</f>
        <v/>
      </c>
      <c r="J247">
        <f>IF($A247="",NA(),IF($C247="Strategy",2+$F247*0.023,NA()))</f>
        <v/>
      </c>
      <c r="K247">
        <f>IF($A247="",NA(),IF($C247="Deckbuilder",$B247,NA()))</f>
        <v/>
      </c>
      <c r="L247">
        <f>IF($A247="",NA(),IF($C247="Deckbuilder",3+$F247*0.023,NA()))</f>
        <v/>
      </c>
      <c r="M247">
        <f>IF($A247="",NA(),IF($C247="Traditional",$B247,NA()))</f>
        <v/>
      </c>
      <c r="N247">
        <f>IF($A247="",NA(),IF($C247="Traditional",4+$F247*0.023,NA()))</f>
        <v/>
      </c>
      <c r="O247">
        <f>IF($A247="","",$D247+ROW()/1000000)</f>
        <v/>
      </c>
      <c r="P247">
        <f>IF(OR($A247="",games!$H247=""),"",games!$H247)</f>
        <v/>
      </c>
      <c r="Q247">
        <f>IF(OR($A247="",$P247&lt;&gt;"Yes"),"",$D247+ROW()/1000000)</f>
        <v/>
      </c>
      <c r="T247">
        <f>IF(connections!$A247="","",IFERROR(INDEX(games!$B$2:$B$950,MATCH(connections!$A247,games!$A$2:$A$950,0)),""))</f>
        <v/>
      </c>
      <c r="U247">
        <f>IF(connections!$A247="","",IFERROR(INDEX(games!$B$2:$B$950,MATCH(connections!$B247,games!$A$2:$A$950,0)),""))</f>
        <v/>
      </c>
      <c r="V247">
        <f>IF(OR($T247="",$U247=""),"",$U247-$T247)</f>
        <v/>
      </c>
    </row>
    <row r="248">
      <c r="A248">
        <f>IF(games!$A248="","",games!$A248)</f>
        <v/>
      </c>
      <c r="B248">
        <f>IF($A248="","",games!$B248)</f>
        <v/>
      </c>
      <c r="C248">
        <f>IF($A248="","",games!$C248)</f>
        <v/>
      </c>
      <c r="D248">
        <f>IF($A248="","",COUNTIF(connections!$A$2:$A$1400,$A248)+COUNTIF(connections!$B$2:$B$1400,$A248))</f>
        <v/>
      </c>
      <c r="E248">
        <f>IF($A248="","",IFERROR(MATCH($C248,$R$2:$R$5,0),0))</f>
        <v/>
      </c>
      <c r="F248">
        <f>IF($A248="","",MOD(ROW(),34))</f>
        <v/>
      </c>
      <c r="G248">
        <f>IF($A248="",NA(),IF($C248="Action",$B248,NA()))</f>
        <v/>
      </c>
      <c r="H248">
        <f>IF($A248="",NA(),IF($C248="Action",1+$F248*0.023,NA()))</f>
        <v/>
      </c>
      <c r="I248">
        <f>IF($A248="",NA(),IF($C248="Strategy",$B248,NA()))</f>
        <v/>
      </c>
      <c r="J248">
        <f>IF($A248="",NA(),IF($C248="Strategy",2+$F248*0.023,NA()))</f>
        <v/>
      </c>
      <c r="K248">
        <f>IF($A248="",NA(),IF($C248="Deckbuilder",$B248,NA()))</f>
        <v/>
      </c>
      <c r="L248">
        <f>IF($A248="",NA(),IF($C248="Deckbuilder",3+$F248*0.023,NA()))</f>
        <v/>
      </c>
      <c r="M248">
        <f>IF($A248="",NA(),IF($C248="Traditional",$B248,NA()))</f>
        <v/>
      </c>
      <c r="N248">
        <f>IF($A248="",NA(),IF($C248="Traditional",4+$F248*0.023,NA()))</f>
        <v/>
      </c>
      <c r="O248">
        <f>IF($A248="","",$D248+ROW()/1000000)</f>
        <v/>
      </c>
      <c r="P248">
        <f>IF(OR($A248="",games!$H248=""),"",games!$H248)</f>
        <v/>
      </c>
      <c r="Q248">
        <f>IF(OR($A248="",$P248&lt;&gt;"Yes"),"",$D248+ROW()/1000000)</f>
        <v/>
      </c>
      <c r="T248">
        <f>IF(connections!$A248="","",IFERROR(INDEX(games!$B$2:$B$950,MATCH(connections!$A248,games!$A$2:$A$950,0)),""))</f>
        <v/>
      </c>
      <c r="U248">
        <f>IF(connections!$A248="","",IFERROR(INDEX(games!$B$2:$B$950,MATCH(connections!$B248,games!$A$2:$A$950,0)),""))</f>
        <v/>
      </c>
      <c r="V248">
        <f>IF(OR($T248="",$U248=""),"",$U248-$T248)</f>
        <v/>
      </c>
    </row>
    <row r="249">
      <c r="A249">
        <f>IF(games!$A249="","",games!$A249)</f>
        <v/>
      </c>
      <c r="B249">
        <f>IF($A249="","",games!$B249)</f>
        <v/>
      </c>
      <c r="C249">
        <f>IF($A249="","",games!$C249)</f>
        <v/>
      </c>
      <c r="D249">
        <f>IF($A249="","",COUNTIF(connections!$A$2:$A$1400,$A249)+COUNTIF(connections!$B$2:$B$1400,$A249))</f>
        <v/>
      </c>
      <c r="E249">
        <f>IF($A249="","",IFERROR(MATCH($C249,$R$2:$R$5,0),0))</f>
        <v/>
      </c>
      <c r="F249">
        <f>IF($A249="","",MOD(ROW(),34))</f>
        <v/>
      </c>
      <c r="G249">
        <f>IF($A249="",NA(),IF($C249="Action",$B249,NA()))</f>
        <v/>
      </c>
      <c r="H249">
        <f>IF($A249="",NA(),IF($C249="Action",1+$F249*0.023,NA()))</f>
        <v/>
      </c>
      <c r="I249">
        <f>IF($A249="",NA(),IF($C249="Strategy",$B249,NA()))</f>
        <v/>
      </c>
      <c r="J249">
        <f>IF($A249="",NA(),IF($C249="Strategy",2+$F249*0.023,NA()))</f>
        <v/>
      </c>
      <c r="K249">
        <f>IF($A249="",NA(),IF($C249="Deckbuilder",$B249,NA()))</f>
        <v/>
      </c>
      <c r="L249">
        <f>IF($A249="",NA(),IF($C249="Deckbuilder",3+$F249*0.023,NA()))</f>
        <v/>
      </c>
      <c r="M249">
        <f>IF($A249="",NA(),IF($C249="Traditional",$B249,NA()))</f>
        <v/>
      </c>
      <c r="N249">
        <f>IF($A249="",NA(),IF($C249="Traditional",4+$F249*0.023,NA()))</f>
        <v/>
      </c>
      <c r="O249">
        <f>IF($A249="","",$D249+ROW()/1000000)</f>
        <v/>
      </c>
      <c r="P249">
        <f>IF(OR($A249="",games!$H249=""),"",games!$H249)</f>
        <v/>
      </c>
      <c r="Q249">
        <f>IF(OR($A249="",$P249&lt;&gt;"Yes"),"",$D249+ROW()/1000000)</f>
        <v/>
      </c>
      <c r="T249">
        <f>IF(connections!$A249="","",IFERROR(INDEX(games!$B$2:$B$950,MATCH(connections!$A249,games!$A$2:$A$950,0)),""))</f>
        <v/>
      </c>
      <c r="U249">
        <f>IF(connections!$A249="","",IFERROR(INDEX(games!$B$2:$B$950,MATCH(connections!$B249,games!$A$2:$A$950,0)),""))</f>
        <v/>
      </c>
      <c r="V249">
        <f>IF(OR($T249="",$U249=""),"",$U249-$T249)</f>
        <v/>
      </c>
    </row>
    <row r="250">
      <c r="A250">
        <f>IF(games!$A250="","",games!$A250)</f>
        <v/>
      </c>
      <c r="B250">
        <f>IF($A250="","",games!$B250)</f>
        <v/>
      </c>
      <c r="C250">
        <f>IF($A250="","",games!$C250)</f>
        <v/>
      </c>
      <c r="D250">
        <f>IF($A250="","",COUNTIF(connections!$A$2:$A$1400,$A250)+COUNTIF(connections!$B$2:$B$1400,$A250))</f>
        <v/>
      </c>
      <c r="E250">
        <f>IF($A250="","",IFERROR(MATCH($C250,$R$2:$R$5,0),0))</f>
        <v/>
      </c>
      <c r="F250">
        <f>IF($A250="","",MOD(ROW(),34))</f>
        <v/>
      </c>
      <c r="G250">
        <f>IF($A250="",NA(),IF($C250="Action",$B250,NA()))</f>
        <v/>
      </c>
      <c r="H250">
        <f>IF($A250="",NA(),IF($C250="Action",1+$F250*0.023,NA()))</f>
        <v/>
      </c>
      <c r="I250">
        <f>IF($A250="",NA(),IF($C250="Strategy",$B250,NA()))</f>
        <v/>
      </c>
      <c r="J250">
        <f>IF($A250="",NA(),IF($C250="Strategy",2+$F250*0.023,NA()))</f>
        <v/>
      </c>
      <c r="K250">
        <f>IF($A250="",NA(),IF($C250="Deckbuilder",$B250,NA()))</f>
        <v/>
      </c>
      <c r="L250">
        <f>IF($A250="",NA(),IF($C250="Deckbuilder",3+$F250*0.023,NA()))</f>
        <v/>
      </c>
      <c r="M250">
        <f>IF($A250="",NA(),IF($C250="Traditional",$B250,NA()))</f>
        <v/>
      </c>
      <c r="N250">
        <f>IF($A250="",NA(),IF($C250="Traditional",4+$F250*0.023,NA()))</f>
        <v/>
      </c>
      <c r="O250">
        <f>IF($A250="","",$D250+ROW()/1000000)</f>
        <v/>
      </c>
      <c r="P250">
        <f>IF(OR($A250="",games!$H250=""),"",games!$H250)</f>
        <v/>
      </c>
      <c r="Q250">
        <f>IF(OR($A250="",$P250&lt;&gt;"Yes"),"",$D250+ROW()/1000000)</f>
        <v/>
      </c>
      <c r="T250">
        <f>IF(connections!$A250="","",IFERROR(INDEX(games!$B$2:$B$950,MATCH(connections!$A250,games!$A$2:$A$950,0)),""))</f>
        <v/>
      </c>
      <c r="U250">
        <f>IF(connections!$A250="","",IFERROR(INDEX(games!$B$2:$B$950,MATCH(connections!$B250,games!$A$2:$A$950,0)),""))</f>
        <v/>
      </c>
      <c r="V250">
        <f>IF(OR($T250="",$U250=""),"",$U250-$T250)</f>
        <v/>
      </c>
    </row>
    <row r="251">
      <c r="A251">
        <f>IF(games!$A251="","",games!$A251)</f>
        <v/>
      </c>
      <c r="B251">
        <f>IF($A251="","",games!$B251)</f>
        <v/>
      </c>
      <c r="C251">
        <f>IF($A251="","",games!$C251)</f>
        <v/>
      </c>
      <c r="D251">
        <f>IF($A251="","",COUNTIF(connections!$A$2:$A$1400,$A251)+COUNTIF(connections!$B$2:$B$1400,$A251))</f>
        <v/>
      </c>
      <c r="E251">
        <f>IF($A251="","",IFERROR(MATCH($C251,$R$2:$R$5,0),0))</f>
        <v/>
      </c>
      <c r="F251">
        <f>IF($A251="","",MOD(ROW(),34))</f>
        <v/>
      </c>
      <c r="G251">
        <f>IF($A251="",NA(),IF($C251="Action",$B251,NA()))</f>
        <v/>
      </c>
      <c r="H251">
        <f>IF($A251="",NA(),IF($C251="Action",1+$F251*0.023,NA()))</f>
        <v/>
      </c>
      <c r="I251">
        <f>IF($A251="",NA(),IF($C251="Strategy",$B251,NA()))</f>
        <v/>
      </c>
      <c r="J251">
        <f>IF($A251="",NA(),IF($C251="Strategy",2+$F251*0.023,NA()))</f>
        <v/>
      </c>
      <c r="K251">
        <f>IF($A251="",NA(),IF($C251="Deckbuilder",$B251,NA()))</f>
        <v/>
      </c>
      <c r="L251">
        <f>IF($A251="",NA(),IF($C251="Deckbuilder",3+$F251*0.023,NA()))</f>
        <v/>
      </c>
      <c r="M251">
        <f>IF($A251="",NA(),IF($C251="Traditional",$B251,NA()))</f>
        <v/>
      </c>
      <c r="N251">
        <f>IF($A251="",NA(),IF($C251="Traditional",4+$F251*0.023,NA()))</f>
        <v/>
      </c>
      <c r="O251">
        <f>IF($A251="","",$D251+ROW()/1000000)</f>
        <v/>
      </c>
      <c r="P251">
        <f>IF(OR($A251="",games!$H251=""),"",games!$H251)</f>
        <v/>
      </c>
      <c r="Q251">
        <f>IF(OR($A251="",$P251&lt;&gt;"Yes"),"",$D251+ROW()/1000000)</f>
        <v/>
      </c>
      <c r="T251">
        <f>IF(connections!$A251="","",IFERROR(INDEX(games!$B$2:$B$950,MATCH(connections!$A251,games!$A$2:$A$950,0)),""))</f>
        <v/>
      </c>
      <c r="U251">
        <f>IF(connections!$A251="","",IFERROR(INDEX(games!$B$2:$B$950,MATCH(connections!$B251,games!$A$2:$A$950,0)),""))</f>
        <v/>
      </c>
      <c r="V251">
        <f>IF(OR($T251="",$U251=""),"",$U251-$T251)</f>
        <v/>
      </c>
    </row>
    <row r="252">
      <c r="A252">
        <f>IF(games!$A252="","",games!$A252)</f>
        <v/>
      </c>
      <c r="B252">
        <f>IF($A252="","",games!$B252)</f>
        <v/>
      </c>
      <c r="C252">
        <f>IF($A252="","",games!$C252)</f>
        <v/>
      </c>
      <c r="D252">
        <f>IF($A252="","",COUNTIF(connections!$A$2:$A$1400,$A252)+COUNTIF(connections!$B$2:$B$1400,$A252))</f>
        <v/>
      </c>
      <c r="E252">
        <f>IF($A252="","",IFERROR(MATCH($C252,$R$2:$R$5,0),0))</f>
        <v/>
      </c>
      <c r="F252">
        <f>IF($A252="","",MOD(ROW(),34))</f>
        <v/>
      </c>
      <c r="G252">
        <f>IF($A252="",NA(),IF($C252="Action",$B252,NA()))</f>
        <v/>
      </c>
      <c r="H252">
        <f>IF($A252="",NA(),IF($C252="Action",1+$F252*0.023,NA()))</f>
        <v/>
      </c>
      <c r="I252">
        <f>IF($A252="",NA(),IF($C252="Strategy",$B252,NA()))</f>
        <v/>
      </c>
      <c r="J252">
        <f>IF($A252="",NA(),IF($C252="Strategy",2+$F252*0.023,NA()))</f>
        <v/>
      </c>
      <c r="K252">
        <f>IF($A252="",NA(),IF($C252="Deckbuilder",$B252,NA()))</f>
        <v/>
      </c>
      <c r="L252">
        <f>IF($A252="",NA(),IF($C252="Deckbuilder",3+$F252*0.023,NA()))</f>
        <v/>
      </c>
      <c r="M252">
        <f>IF($A252="",NA(),IF($C252="Traditional",$B252,NA()))</f>
        <v/>
      </c>
      <c r="N252">
        <f>IF($A252="",NA(),IF($C252="Traditional",4+$F252*0.023,NA()))</f>
        <v/>
      </c>
      <c r="O252">
        <f>IF($A252="","",$D252+ROW()/1000000)</f>
        <v/>
      </c>
      <c r="P252">
        <f>IF(OR($A252="",games!$H252=""),"",games!$H252)</f>
        <v/>
      </c>
      <c r="Q252">
        <f>IF(OR($A252="",$P252&lt;&gt;"Yes"),"",$D252+ROW()/1000000)</f>
        <v/>
      </c>
      <c r="T252">
        <f>IF(connections!$A252="","",IFERROR(INDEX(games!$B$2:$B$950,MATCH(connections!$A252,games!$A$2:$A$950,0)),""))</f>
        <v/>
      </c>
      <c r="U252">
        <f>IF(connections!$A252="","",IFERROR(INDEX(games!$B$2:$B$950,MATCH(connections!$B252,games!$A$2:$A$950,0)),""))</f>
        <v/>
      </c>
      <c r="V252">
        <f>IF(OR($T252="",$U252=""),"",$U252-$T252)</f>
        <v/>
      </c>
    </row>
    <row r="253">
      <c r="A253">
        <f>IF(games!$A253="","",games!$A253)</f>
        <v/>
      </c>
      <c r="B253">
        <f>IF($A253="","",games!$B253)</f>
        <v/>
      </c>
      <c r="C253">
        <f>IF($A253="","",games!$C253)</f>
        <v/>
      </c>
      <c r="D253">
        <f>IF($A253="","",COUNTIF(connections!$A$2:$A$1400,$A253)+COUNTIF(connections!$B$2:$B$1400,$A253))</f>
        <v/>
      </c>
      <c r="E253">
        <f>IF($A253="","",IFERROR(MATCH($C253,$R$2:$R$5,0),0))</f>
        <v/>
      </c>
      <c r="F253">
        <f>IF($A253="","",MOD(ROW(),34))</f>
        <v/>
      </c>
      <c r="G253">
        <f>IF($A253="",NA(),IF($C253="Action",$B253,NA()))</f>
        <v/>
      </c>
      <c r="H253">
        <f>IF($A253="",NA(),IF($C253="Action",1+$F253*0.023,NA()))</f>
        <v/>
      </c>
      <c r="I253">
        <f>IF($A253="",NA(),IF($C253="Strategy",$B253,NA()))</f>
        <v/>
      </c>
      <c r="J253">
        <f>IF($A253="",NA(),IF($C253="Strategy",2+$F253*0.023,NA()))</f>
        <v/>
      </c>
      <c r="K253">
        <f>IF($A253="",NA(),IF($C253="Deckbuilder",$B253,NA()))</f>
        <v/>
      </c>
      <c r="L253">
        <f>IF($A253="",NA(),IF($C253="Deckbuilder",3+$F253*0.023,NA()))</f>
        <v/>
      </c>
      <c r="M253">
        <f>IF($A253="",NA(),IF($C253="Traditional",$B253,NA()))</f>
        <v/>
      </c>
      <c r="N253">
        <f>IF($A253="",NA(),IF($C253="Traditional",4+$F253*0.023,NA()))</f>
        <v/>
      </c>
      <c r="O253">
        <f>IF($A253="","",$D253+ROW()/1000000)</f>
        <v/>
      </c>
      <c r="P253">
        <f>IF(OR($A253="",games!$H253=""),"",games!$H253)</f>
        <v/>
      </c>
      <c r="Q253">
        <f>IF(OR($A253="",$P253&lt;&gt;"Yes"),"",$D253+ROW()/1000000)</f>
        <v/>
      </c>
      <c r="T253">
        <f>IF(connections!$A253="","",IFERROR(INDEX(games!$B$2:$B$950,MATCH(connections!$A253,games!$A$2:$A$950,0)),""))</f>
        <v/>
      </c>
      <c r="U253">
        <f>IF(connections!$A253="","",IFERROR(INDEX(games!$B$2:$B$950,MATCH(connections!$B253,games!$A$2:$A$950,0)),""))</f>
        <v/>
      </c>
      <c r="V253">
        <f>IF(OR($T253="",$U253=""),"",$U253-$T253)</f>
        <v/>
      </c>
    </row>
    <row r="254">
      <c r="A254">
        <f>IF(games!$A254="","",games!$A254)</f>
        <v/>
      </c>
      <c r="B254">
        <f>IF($A254="","",games!$B254)</f>
        <v/>
      </c>
      <c r="C254">
        <f>IF($A254="","",games!$C254)</f>
        <v/>
      </c>
      <c r="D254">
        <f>IF($A254="","",COUNTIF(connections!$A$2:$A$1400,$A254)+COUNTIF(connections!$B$2:$B$1400,$A254))</f>
        <v/>
      </c>
      <c r="E254">
        <f>IF($A254="","",IFERROR(MATCH($C254,$R$2:$R$5,0),0))</f>
        <v/>
      </c>
      <c r="F254">
        <f>IF($A254="","",MOD(ROW(),34))</f>
        <v/>
      </c>
      <c r="G254">
        <f>IF($A254="",NA(),IF($C254="Action",$B254,NA()))</f>
        <v/>
      </c>
      <c r="H254">
        <f>IF($A254="",NA(),IF($C254="Action",1+$F254*0.023,NA()))</f>
        <v/>
      </c>
      <c r="I254">
        <f>IF($A254="",NA(),IF($C254="Strategy",$B254,NA()))</f>
        <v/>
      </c>
      <c r="J254">
        <f>IF($A254="",NA(),IF($C254="Strategy",2+$F254*0.023,NA()))</f>
        <v/>
      </c>
      <c r="K254">
        <f>IF($A254="",NA(),IF($C254="Deckbuilder",$B254,NA()))</f>
        <v/>
      </c>
      <c r="L254">
        <f>IF($A254="",NA(),IF($C254="Deckbuilder",3+$F254*0.023,NA()))</f>
        <v/>
      </c>
      <c r="M254">
        <f>IF($A254="",NA(),IF($C254="Traditional",$B254,NA()))</f>
        <v/>
      </c>
      <c r="N254">
        <f>IF($A254="",NA(),IF($C254="Traditional",4+$F254*0.023,NA()))</f>
        <v/>
      </c>
      <c r="O254">
        <f>IF($A254="","",$D254+ROW()/1000000)</f>
        <v/>
      </c>
      <c r="P254">
        <f>IF(OR($A254="",games!$H254=""),"",games!$H254)</f>
        <v/>
      </c>
      <c r="Q254">
        <f>IF(OR($A254="",$P254&lt;&gt;"Yes"),"",$D254+ROW()/1000000)</f>
        <v/>
      </c>
      <c r="T254">
        <f>IF(connections!$A254="","",IFERROR(INDEX(games!$B$2:$B$950,MATCH(connections!$A254,games!$A$2:$A$950,0)),""))</f>
        <v/>
      </c>
      <c r="U254">
        <f>IF(connections!$A254="","",IFERROR(INDEX(games!$B$2:$B$950,MATCH(connections!$B254,games!$A$2:$A$950,0)),""))</f>
        <v/>
      </c>
      <c r="V254">
        <f>IF(OR($T254="",$U254=""),"",$U254-$T254)</f>
        <v/>
      </c>
    </row>
    <row r="255">
      <c r="A255">
        <f>IF(games!$A255="","",games!$A255)</f>
        <v/>
      </c>
      <c r="B255">
        <f>IF($A255="","",games!$B255)</f>
        <v/>
      </c>
      <c r="C255">
        <f>IF($A255="","",games!$C255)</f>
        <v/>
      </c>
      <c r="D255">
        <f>IF($A255="","",COUNTIF(connections!$A$2:$A$1400,$A255)+COUNTIF(connections!$B$2:$B$1400,$A255))</f>
        <v/>
      </c>
      <c r="E255">
        <f>IF($A255="","",IFERROR(MATCH($C255,$R$2:$R$5,0),0))</f>
        <v/>
      </c>
      <c r="F255">
        <f>IF($A255="","",MOD(ROW(),34))</f>
        <v/>
      </c>
      <c r="G255">
        <f>IF($A255="",NA(),IF($C255="Action",$B255,NA()))</f>
        <v/>
      </c>
      <c r="H255">
        <f>IF($A255="",NA(),IF($C255="Action",1+$F255*0.023,NA()))</f>
        <v/>
      </c>
      <c r="I255">
        <f>IF($A255="",NA(),IF($C255="Strategy",$B255,NA()))</f>
        <v/>
      </c>
      <c r="J255">
        <f>IF($A255="",NA(),IF($C255="Strategy",2+$F255*0.023,NA()))</f>
        <v/>
      </c>
      <c r="K255">
        <f>IF($A255="",NA(),IF($C255="Deckbuilder",$B255,NA()))</f>
        <v/>
      </c>
      <c r="L255">
        <f>IF($A255="",NA(),IF($C255="Deckbuilder",3+$F255*0.023,NA()))</f>
        <v/>
      </c>
      <c r="M255">
        <f>IF($A255="",NA(),IF($C255="Traditional",$B255,NA()))</f>
        <v/>
      </c>
      <c r="N255">
        <f>IF($A255="",NA(),IF($C255="Traditional",4+$F255*0.023,NA()))</f>
        <v/>
      </c>
      <c r="O255">
        <f>IF($A255="","",$D255+ROW()/1000000)</f>
        <v/>
      </c>
      <c r="P255">
        <f>IF(OR($A255="",games!$H255=""),"",games!$H255)</f>
        <v/>
      </c>
      <c r="Q255">
        <f>IF(OR($A255="",$P255&lt;&gt;"Yes"),"",$D255+ROW()/1000000)</f>
        <v/>
      </c>
      <c r="T255">
        <f>IF(connections!$A255="","",IFERROR(INDEX(games!$B$2:$B$950,MATCH(connections!$A255,games!$A$2:$A$950,0)),""))</f>
        <v/>
      </c>
      <c r="U255">
        <f>IF(connections!$A255="","",IFERROR(INDEX(games!$B$2:$B$950,MATCH(connections!$B255,games!$A$2:$A$950,0)),""))</f>
        <v/>
      </c>
      <c r="V255">
        <f>IF(OR($T255="",$U255=""),"",$U255-$T255)</f>
        <v/>
      </c>
    </row>
    <row r="256">
      <c r="A256">
        <f>IF(games!$A256="","",games!$A256)</f>
        <v/>
      </c>
      <c r="B256">
        <f>IF($A256="","",games!$B256)</f>
        <v/>
      </c>
      <c r="C256">
        <f>IF($A256="","",games!$C256)</f>
        <v/>
      </c>
      <c r="D256">
        <f>IF($A256="","",COUNTIF(connections!$A$2:$A$1400,$A256)+COUNTIF(connections!$B$2:$B$1400,$A256))</f>
        <v/>
      </c>
      <c r="E256">
        <f>IF($A256="","",IFERROR(MATCH($C256,$R$2:$R$5,0),0))</f>
        <v/>
      </c>
      <c r="F256">
        <f>IF($A256="","",MOD(ROW(),34))</f>
        <v/>
      </c>
      <c r="G256">
        <f>IF($A256="",NA(),IF($C256="Action",$B256,NA()))</f>
        <v/>
      </c>
      <c r="H256">
        <f>IF($A256="",NA(),IF($C256="Action",1+$F256*0.023,NA()))</f>
        <v/>
      </c>
      <c r="I256">
        <f>IF($A256="",NA(),IF($C256="Strategy",$B256,NA()))</f>
        <v/>
      </c>
      <c r="J256">
        <f>IF($A256="",NA(),IF($C256="Strategy",2+$F256*0.023,NA()))</f>
        <v/>
      </c>
      <c r="K256">
        <f>IF($A256="",NA(),IF($C256="Deckbuilder",$B256,NA()))</f>
        <v/>
      </c>
      <c r="L256">
        <f>IF($A256="",NA(),IF($C256="Deckbuilder",3+$F256*0.023,NA()))</f>
        <v/>
      </c>
      <c r="M256">
        <f>IF($A256="",NA(),IF($C256="Traditional",$B256,NA()))</f>
        <v/>
      </c>
      <c r="N256">
        <f>IF($A256="",NA(),IF($C256="Traditional",4+$F256*0.023,NA()))</f>
        <v/>
      </c>
      <c r="O256">
        <f>IF($A256="","",$D256+ROW()/1000000)</f>
        <v/>
      </c>
      <c r="P256">
        <f>IF(OR($A256="",games!$H256=""),"",games!$H256)</f>
        <v/>
      </c>
      <c r="Q256">
        <f>IF(OR($A256="",$P256&lt;&gt;"Yes"),"",$D256+ROW()/1000000)</f>
        <v/>
      </c>
      <c r="T256">
        <f>IF(connections!$A256="","",IFERROR(INDEX(games!$B$2:$B$950,MATCH(connections!$A256,games!$A$2:$A$950,0)),""))</f>
        <v/>
      </c>
      <c r="U256">
        <f>IF(connections!$A256="","",IFERROR(INDEX(games!$B$2:$B$950,MATCH(connections!$B256,games!$A$2:$A$950,0)),""))</f>
        <v/>
      </c>
      <c r="V256">
        <f>IF(OR($T256="",$U256=""),"",$U256-$T256)</f>
        <v/>
      </c>
    </row>
    <row r="257">
      <c r="A257">
        <f>IF(games!$A257="","",games!$A257)</f>
        <v/>
      </c>
      <c r="B257">
        <f>IF($A257="","",games!$B257)</f>
        <v/>
      </c>
      <c r="C257">
        <f>IF($A257="","",games!$C257)</f>
        <v/>
      </c>
      <c r="D257">
        <f>IF($A257="","",COUNTIF(connections!$A$2:$A$1400,$A257)+COUNTIF(connections!$B$2:$B$1400,$A257))</f>
        <v/>
      </c>
      <c r="E257">
        <f>IF($A257="","",IFERROR(MATCH($C257,$R$2:$R$5,0),0))</f>
        <v/>
      </c>
      <c r="F257">
        <f>IF($A257="","",MOD(ROW(),34))</f>
        <v/>
      </c>
      <c r="G257">
        <f>IF($A257="",NA(),IF($C257="Action",$B257,NA()))</f>
        <v/>
      </c>
      <c r="H257">
        <f>IF($A257="",NA(),IF($C257="Action",1+$F257*0.023,NA()))</f>
        <v/>
      </c>
      <c r="I257">
        <f>IF($A257="",NA(),IF($C257="Strategy",$B257,NA()))</f>
        <v/>
      </c>
      <c r="J257">
        <f>IF($A257="",NA(),IF($C257="Strategy",2+$F257*0.023,NA()))</f>
        <v/>
      </c>
      <c r="K257">
        <f>IF($A257="",NA(),IF($C257="Deckbuilder",$B257,NA()))</f>
        <v/>
      </c>
      <c r="L257">
        <f>IF($A257="",NA(),IF($C257="Deckbuilder",3+$F257*0.023,NA()))</f>
        <v/>
      </c>
      <c r="M257">
        <f>IF($A257="",NA(),IF($C257="Traditional",$B257,NA()))</f>
        <v/>
      </c>
      <c r="N257">
        <f>IF($A257="",NA(),IF($C257="Traditional",4+$F257*0.023,NA()))</f>
        <v/>
      </c>
      <c r="O257">
        <f>IF($A257="","",$D257+ROW()/1000000)</f>
        <v/>
      </c>
      <c r="P257">
        <f>IF(OR($A257="",games!$H257=""),"",games!$H257)</f>
        <v/>
      </c>
      <c r="Q257">
        <f>IF(OR($A257="",$P257&lt;&gt;"Yes"),"",$D257+ROW()/1000000)</f>
        <v/>
      </c>
      <c r="T257">
        <f>IF(connections!$A257="","",IFERROR(INDEX(games!$B$2:$B$950,MATCH(connections!$A257,games!$A$2:$A$950,0)),""))</f>
        <v/>
      </c>
      <c r="U257">
        <f>IF(connections!$A257="","",IFERROR(INDEX(games!$B$2:$B$950,MATCH(connections!$B257,games!$A$2:$A$950,0)),""))</f>
        <v/>
      </c>
      <c r="V257">
        <f>IF(OR($T257="",$U257=""),"",$U257-$T257)</f>
        <v/>
      </c>
    </row>
    <row r="258">
      <c r="A258">
        <f>IF(games!$A258="","",games!$A258)</f>
        <v/>
      </c>
      <c r="B258">
        <f>IF($A258="","",games!$B258)</f>
        <v/>
      </c>
      <c r="C258">
        <f>IF($A258="","",games!$C258)</f>
        <v/>
      </c>
      <c r="D258">
        <f>IF($A258="","",COUNTIF(connections!$A$2:$A$1400,$A258)+COUNTIF(connections!$B$2:$B$1400,$A258))</f>
        <v/>
      </c>
      <c r="E258">
        <f>IF($A258="","",IFERROR(MATCH($C258,$R$2:$R$5,0),0))</f>
        <v/>
      </c>
      <c r="F258">
        <f>IF($A258="","",MOD(ROW(),34))</f>
        <v/>
      </c>
      <c r="G258">
        <f>IF($A258="",NA(),IF($C258="Action",$B258,NA()))</f>
        <v/>
      </c>
      <c r="H258">
        <f>IF($A258="",NA(),IF($C258="Action",1+$F258*0.023,NA()))</f>
        <v/>
      </c>
      <c r="I258">
        <f>IF($A258="",NA(),IF($C258="Strategy",$B258,NA()))</f>
        <v/>
      </c>
      <c r="J258">
        <f>IF($A258="",NA(),IF($C258="Strategy",2+$F258*0.023,NA()))</f>
        <v/>
      </c>
      <c r="K258">
        <f>IF($A258="",NA(),IF($C258="Deckbuilder",$B258,NA()))</f>
        <v/>
      </c>
      <c r="L258">
        <f>IF($A258="",NA(),IF($C258="Deckbuilder",3+$F258*0.023,NA()))</f>
        <v/>
      </c>
      <c r="M258">
        <f>IF($A258="",NA(),IF($C258="Traditional",$B258,NA()))</f>
        <v/>
      </c>
      <c r="N258">
        <f>IF($A258="",NA(),IF($C258="Traditional",4+$F258*0.023,NA()))</f>
        <v/>
      </c>
      <c r="O258">
        <f>IF($A258="","",$D258+ROW()/1000000)</f>
        <v/>
      </c>
      <c r="P258">
        <f>IF(OR($A258="",games!$H258=""),"",games!$H258)</f>
        <v/>
      </c>
      <c r="Q258">
        <f>IF(OR($A258="",$P258&lt;&gt;"Yes"),"",$D258+ROW()/1000000)</f>
        <v/>
      </c>
      <c r="T258">
        <f>IF(connections!$A258="","",IFERROR(INDEX(games!$B$2:$B$950,MATCH(connections!$A258,games!$A$2:$A$950,0)),""))</f>
        <v/>
      </c>
      <c r="U258">
        <f>IF(connections!$A258="","",IFERROR(INDEX(games!$B$2:$B$950,MATCH(connections!$B258,games!$A$2:$A$950,0)),""))</f>
        <v/>
      </c>
      <c r="V258">
        <f>IF(OR($T258="",$U258=""),"",$U258-$T258)</f>
        <v/>
      </c>
    </row>
    <row r="259">
      <c r="A259">
        <f>IF(games!$A259="","",games!$A259)</f>
        <v/>
      </c>
      <c r="B259">
        <f>IF($A259="","",games!$B259)</f>
        <v/>
      </c>
      <c r="C259">
        <f>IF($A259="","",games!$C259)</f>
        <v/>
      </c>
      <c r="D259">
        <f>IF($A259="","",COUNTIF(connections!$A$2:$A$1400,$A259)+COUNTIF(connections!$B$2:$B$1400,$A259))</f>
        <v/>
      </c>
      <c r="E259">
        <f>IF($A259="","",IFERROR(MATCH($C259,$R$2:$R$5,0),0))</f>
        <v/>
      </c>
      <c r="F259">
        <f>IF($A259="","",MOD(ROW(),34))</f>
        <v/>
      </c>
      <c r="G259">
        <f>IF($A259="",NA(),IF($C259="Action",$B259,NA()))</f>
        <v/>
      </c>
      <c r="H259">
        <f>IF($A259="",NA(),IF($C259="Action",1+$F259*0.023,NA()))</f>
        <v/>
      </c>
      <c r="I259">
        <f>IF($A259="",NA(),IF($C259="Strategy",$B259,NA()))</f>
        <v/>
      </c>
      <c r="J259">
        <f>IF($A259="",NA(),IF($C259="Strategy",2+$F259*0.023,NA()))</f>
        <v/>
      </c>
      <c r="K259">
        <f>IF($A259="",NA(),IF($C259="Deckbuilder",$B259,NA()))</f>
        <v/>
      </c>
      <c r="L259">
        <f>IF($A259="",NA(),IF($C259="Deckbuilder",3+$F259*0.023,NA()))</f>
        <v/>
      </c>
      <c r="M259">
        <f>IF($A259="",NA(),IF($C259="Traditional",$B259,NA()))</f>
        <v/>
      </c>
      <c r="N259">
        <f>IF($A259="",NA(),IF($C259="Traditional",4+$F259*0.023,NA()))</f>
        <v/>
      </c>
      <c r="O259">
        <f>IF($A259="","",$D259+ROW()/1000000)</f>
        <v/>
      </c>
      <c r="P259">
        <f>IF(OR($A259="",games!$H259=""),"",games!$H259)</f>
        <v/>
      </c>
      <c r="Q259">
        <f>IF(OR($A259="",$P259&lt;&gt;"Yes"),"",$D259+ROW()/1000000)</f>
        <v/>
      </c>
      <c r="T259">
        <f>IF(connections!$A259="","",IFERROR(INDEX(games!$B$2:$B$950,MATCH(connections!$A259,games!$A$2:$A$950,0)),""))</f>
        <v/>
      </c>
      <c r="U259">
        <f>IF(connections!$A259="","",IFERROR(INDEX(games!$B$2:$B$950,MATCH(connections!$B259,games!$A$2:$A$950,0)),""))</f>
        <v/>
      </c>
      <c r="V259">
        <f>IF(OR($T259="",$U259=""),"",$U259-$T259)</f>
        <v/>
      </c>
    </row>
    <row r="260">
      <c r="A260">
        <f>IF(games!$A260="","",games!$A260)</f>
        <v/>
      </c>
      <c r="B260">
        <f>IF($A260="","",games!$B260)</f>
        <v/>
      </c>
      <c r="C260">
        <f>IF($A260="","",games!$C260)</f>
        <v/>
      </c>
      <c r="D260">
        <f>IF($A260="","",COUNTIF(connections!$A$2:$A$1400,$A260)+COUNTIF(connections!$B$2:$B$1400,$A260))</f>
        <v/>
      </c>
      <c r="E260">
        <f>IF($A260="","",IFERROR(MATCH($C260,$R$2:$R$5,0),0))</f>
        <v/>
      </c>
      <c r="F260">
        <f>IF($A260="","",MOD(ROW(),34))</f>
        <v/>
      </c>
      <c r="G260">
        <f>IF($A260="",NA(),IF($C260="Action",$B260,NA()))</f>
        <v/>
      </c>
      <c r="H260">
        <f>IF($A260="",NA(),IF($C260="Action",1+$F260*0.023,NA()))</f>
        <v/>
      </c>
      <c r="I260">
        <f>IF($A260="",NA(),IF($C260="Strategy",$B260,NA()))</f>
        <v/>
      </c>
      <c r="J260">
        <f>IF($A260="",NA(),IF($C260="Strategy",2+$F260*0.023,NA()))</f>
        <v/>
      </c>
      <c r="K260">
        <f>IF($A260="",NA(),IF($C260="Deckbuilder",$B260,NA()))</f>
        <v/>
      </c>
      <c r="L260">
        <f>IF($A260="",NA(),IF($C260="Deckbuilder",3+$F260*0.023,NA()))</f>
        <v/>
      </c>
      <c r="M260">
        <f>IF($A260="",NA(),IF($C260="Traditional",$B260,NA()))</f>
        <v/>
      </c>
      <c r="N260">
        <f>IF($A260="",NA(),IF($C260="Traditional",4+$F260*0.023,NA()))</f>
        <v/>
      </c>
      <c r="O260">
        <f>IF($A260="","",$D260+ROW()/1000000)</f>
        <v/>
      </c>
      <c r="P260">
        <f>IF(OR($A260="",games!$H260=""),"",games!$H260)</f>
        <v/>
      </c>
      <c r="Q260">
        <f>IF(OR($A260="",$P260&lt;&gt;"Yes"),"",$D260+ROW()/1000000)</f>
        <v/>
      </c>
      <c r="T260">
        <f>IF(connections!$A260="","",IFERROR(INDEX(games!$B$2:$B$950,MATCH(connections!$A260,games!$A$2:$A$950,0)),""))</f>
        <v/>
      </c>
      <c r="U260">
        <f>IF(connections!$A260="","",IFERROR(INDEX(games!$B$2:$B$950,MATCH(connections!$B260,games!$A$2:$A$950,0)),""))</f>
        <v/>
      </c>
      <c r="V260">
        <f>IF(OR($T260="",$U260=""),"",$U260-$T260)</f>
        <v/>
      </c>
    </row>
    <row r="261">
      <c r="A261">
        <f>IF(games!$A261="","",games!$A261)</f>
        <v/>
      </c>
      <c r="B261">
        <f>IF($A261="","",games!$B261)</f>
        <v/>
      </c>
      <c r="C261">
        <f>IF($A261="","",games!$C261)</f>
        <v/>
      </c>
      <c r="D261">
        <f>IF($A261="","",COUNTIF(connections!$A$2:$A$1400,$A261)+COUNTIF(connections!$B$2:$B$1400,$A261))</f>
        <v/>
      </c>
      <c r="E261">
        <f>IF($A261="","",IFERROR(MATCH($C261,$R$2:$R$5,0),0))</f>
        <v/>
      </c>
      <c r="F261">
        <f>IF($A261="","",MOD(ROW(),34))</f>
        <v/>
      </c>
      <c r="G261">
        <f>IF($A261="",NA(),IF($C261="Action",$B261,NA()))</f>
        <v/>
      </c>
      <c r="H261">
        <f>IF($A261="",NA(),IF($C261="Action",1+$F261*0.023,NA()))</f>
        <v/>
      </c>
      <c r="I261">
        <f>IF($A261="",NA(),IF($C261="Strategy",$B261,NA()))</f>
        <v/>
      </c>
      <c r="J261">
        <f>IF($A261="",NA(),IF($C261="Strategy",2+$F261*0.023,NA()))</f>
        <v/>
      </c>
      <c r="K261">
        <f>IF($A261="",NA(),IF($C261="Deckbuilder",$B261,NA()))</f>
        <v/>
      </c>
      <c r="L261">
        <f>IF($A261="",NA(),IF($C261="Deckbuilder",3+$F261*0.023,NA()))</f>
        <v/>
      </c>
      <c r="M261">
        <f>IF($A261="",NA(),IF($C261="Traditional",$B261,NA()))</f>
        <v/>
      </c>
      <c r="N261">
        <f>IF($A261="",NA(),IF($C261="Traditional",4+$F261*0.023,NA()))</f>
        <v/>
      </c>
      <c r="O261">
        <f>IF($A261="","",$D261+ROW()/1000000)</f>
        <v/>
      </c>
      <c r="P261">
        <f>IF(OR($A261="",games!$H261=""),"",games!$H261)</f>
        <v/>
      </c>
      <c r="Q261">
        <f>IF(OR($A261="",$P261&lt;&gt;"Yes"),"",$D261+ROW()/1000000)</f>
        <v/>
      </c>
      <c r="T261">
        <f>IF(connections!$A261="","",IFERROR(INDEX(games!$B$2:$B$950,MATCH(connections!$A261,games!$A$2:$A$950,0)),""))</f>
        <v/>
      </c>
      <c r="U261">
        <f>IF(connections!$A261="","",IFERROR(INDEX(games!$B$2:$B$950,MATCH(connections!$B261,games!$A$2:$A$950,0)),""))</f>
        <v/>
      </c>
      <c r="V261">
        <f>IF(OR($T261="",$U261=""),"",$U261-$T261)</f>
        <v/>
      </c>
    </row>
    <row r="262">
      <c r="A262">
        <f>IF(games!$A262="","",games!$A262)</f>
        <v/>
      </c>
      <c r="B262">
        <f>IF($A262="","",games!$B262)</f>
        <v/>
      </c>
      <c r="C262">
        <f>IF($A262="","",games!$C262)</f>
        <v/>
      </c>
      <c r="D262">
        <f>IF($A262="","",COUNTIF(connections!$A$2:$A$1400,$A262)+COUNTIF(connections!$B$2:$B$1400,$A262))</f>
        <v/>
      </c>
      <c r="E262">
        <f>IF($A262="","",IFERROR(MATCH($C262,$R$2:$R$5,0),0))</f>
        <v/>
      </c>
      <c r="F262">
        <f>IF($A262="","",MOD(ROW(),34))</f>
        <v/>
      </c>
      <c r="G262">
        <f>IF($A262="",NA(),IF($C262="Action",$B262,NA()))</f>
        <v/>
      </c>
      <c r="H262">
        <f>IF($A262="",NA(),IF($C262="Action",1+$F262*0.023,NA()))</f>
        <v/>
      </c>
      <c r="I262">
        <f>IF($A262="",NA(),IF($C262="Strategy",$B262,NA()))</f>
        <v/>
      </c>
      <c r="J262">
        <f>IF($A262="",NA(),IF($C262="Strategy",2+$F262*0.023,NA()))</f>
        <v/>
      </c>
      <c r="K262">
        <f>IF($A262="",NA(),IF($C262="Deckbuilder",$B262,NA()))</f>
        <v/>
      </c>
      <c r="L262">
        <f>IF($A262="",NA(),IF($C262="Deckbuilder",3+$F262*0.023,NA()))</f>
        <v/>
      </c>
      <c r="M262">
        <f>IF($A262="",NA(),IF($C262="Traditional",$B262,NA()))</f>
        <v/>
      </c>
      <c r="N262">
        <f>IF($A262="",NA(),IF($C262="Traditional",4+$F262*0.023,NA()))</f>
        <v/>
      </c>
      <c r="O262">
        <f>IF($A262="","",$D262+ROW()/1000000)</f>
        <v/>
      </c>
      <c r="P262">
        <f>IF(OR($A262="",games!$H262=""),"",games!$H262)</f>
        <v/>
      </c>
      <c r="Q262">
        <f>IF(OR($A262="",$P262&lt;&gt;"Yes"),"",$D262+ROW()/1000000)</f>
        <v/>
      </c>
      <c r="T262">
        <f>IF(connections!$A262="","",IFERROR(INDEX(games!$B$2:$B$950,MATCH(connections!$A262,games!$A$2:$A$950,0)),""))</f>
        <v/>
      </c>
      <c r="U262">
        <f>IF(connections!$A262="","",IFERROR(INDEX(games!$B$2:$B$950,MATCH(connections!$B262,games!$A$2:$A$950,0)),""))</f>
        <v/>
      </c>
      <c r="V262">
        <f>IF(OR($T262="",$U262=""),"",$U262-$T262)</f>
        <v/>
      </c>
    </row>
    <row r="263">
      <c r="A263">
        <f>IF(games!$A263="","",games!$A263)</f>
        <v/>
      </c>
      <c r="B263">
        <f>IF($A263="","",games!$B263)</f>
        <v/>
      </c>
      <c r="C263">
        <f>IF($A263="","",games!$C263)</f>
        <v/>
      </c>
      <c r="D263">
        <f>IF($A263="","",COUNTIF(connections!$A$2:$A$1400,$A263)+COUNTIF(connections!$B$2:$B$1400,$A263))</f>
        <v/>
      </c>
      <c r="E263">
        <f>IF($A263="","",IFERROR(MATCH($C263,$R$2:$R$5,0),0))</f>
        <v/>
      </c>
      <c r="F263">
        <f>IF($A263="","",MOD(ROW(),34))</f>
        <v/>
      </c>
      <c r="G263">
        <f>IF($A263="",NA(),IF($C263="Action",$B263,NA()))</f>
        <v/>
      </c>
      <c r="H263">
        <f>IF($A263="",NA(),IF($C263="Action",1+$F263*0.023,NA()))</f>
        <v/>
      </c>
      <c r="I263">
        <f>IF($A263="",NA(),IF($C263="Strategy",$B263,NA()))</f>
        <v/>
      </c>
      <c r="J263">
        <f>IF($A263="",NA(),IF($C263="Strategy",2+$F263*0.023,NA()))</f>
        <v/>
      </c>
      <c r="K263">
        <f>IF($A263="",NA(),IF($C263="Deckbuilder",$B263,NA()))</f>
        <v/>
      </c>
      <c r="L263">
        <f>IF($A263="",NA(),IF($C263="Deckbuilder",3+$F263*0.023,NA()))</f>
        <v/>
      </c>
      <c r="M263">
        <f>IF($A263="",NA(),IF($C263="Traditional",$B263,NA()))</f>
        <v/>
      </c>
      <c r="N263">
        <f>IF($A263="",NA(),IF($C263="Traditional",4+$F263*0.023,NA()))</f>
        <v/>
      </c>
      <c r="O263">
        <f>IF($A263="","",$D263+ROW()/1000000)</f>
        <v/>
      </c>
      <c r="P263">
        <f>IF(OR($A263="",games!$H263=""),"",games!$H263)</f>
        <v/>
      </c>
      <c r="Q263">
        <f>IF(OR($A263="",$P263&lt;&gt;"Yes"),"",$D263+ROW()/1000000)</f>
        <v/>
      </c>
      <c r="T263">
        <f>IF(connections!$A263="","",IFERROR(INDEX(games!$B$2:$B$950,MATCH(connections!$A263,games!$A$2:$A$950,0)),""))</f>
        <v/>
      </c>
      <c r="U263">
        <f>IF(connections!$A263="","",IFERROR(INDEX(games!$B$2:$B$950,MATCH(connections!$B263,games!$A$2:$A$950,0)),""))</f>
        <v/>
      </c>
      <c r="V263">
        <f>IF(OR($T263="",$U263=""),"",$U263-$T263)</f>
        <v/>
      </c>
    </row>
    <row r="264">
      <c r="A264">
        <f>IF(games!$A264="","",games!$A264)</f>
        <v/>
      </c>
      <c r="B264">
        <f>IF($A264="","",games!$B264)</f>
        <v/>
      </c>
      <c r="C264">
        <f>IF($A264="","",games!$C264)</f>
        <v/>
      </c>
      <c r="D264">
        <f>IF($A264="","",COUNTIF(connections!$A$2:$A$1400,$A264)+COUNTIF(connections!$B$2:$B$1400,$A264))</f>
        <v/>
      </c>
      <c r="E264">
        <f>IF($A264="","",IFERROR(MATCH($C264,$R$2:$R$5,0),0))</f>
        <v/>
      </c>
      <c r="F264">
        <f>IF($A264="","",MOD(ROW(),34))</f>
        <v/>
      </c>
      <c r="G264">
        <f>IF($A264="",NA(),IF($C264="Action",$B264,NA()))</f>
        <v/>
      </c>
      <c r="H264">
        <f>IF($A264="",NA(),IF($C264="Action",1+$F264*0.023,NA()))</f>
        <v/>
      </c>
      <c r="I264">
        <f>IF($A264="",NA(),IF($C264="Strategy",$B264,NA()))</f>
        <v/>
      </c>
      <c r="J264">
        <f>IF($A264="",NA(),IF($C264="Strategy",2+$F264*0.023,NA()))</f>
        <v/>
      </c>
      <c r="K264">
        <f>IF($A264="",NA(),IF($C264="Deckbuilder",$B264,NA()))</f>
        <v/>
      </c>
      <c r="L264">
        <f>IF($A264="",NA(),IF($C264="Deckbuilder",3+$F264*0.023,NA()))</f>
        <v/>
      </c>
      <c r="M264">
        <f>IF($A264="",NA(),IF($C264="Traditional",$B264,NA()))</f>
        <v/>
      </c>
      <c r="N264">
        <f>IF($A264="",NA(),IF($C264="Traditional",4+$F264*0.023,NA()))</f>
        <v/>
      </c>
      <c r="O264">
        <f>IF($A264="","",$D264+ROW()/1000000)</f>
        <v/>
      </c>
      <c r="P264">
        <f>IF(OR($A264="",games!$H264=""),"",games!$H264)</f>
        <v/>
      </c>
      <c r="Q264">
        <f>IF(OR($A264="",$P264&lt;&gt;"Yes"),"",$D264+ROW()/1000000)</f>
        <v/>
      </c>
      <c r="T264">
        <f>IF(connections!$A264="","",IFERROR(INDEX(games!$B$2:$B$950,MATCH(connections!$A264,games!$A$2:$A$950,0)),""))</f>
        <v/>
      </c>
      <c r="U264">
        <f>IF(connections!$A264="","",IFERROR(INDEX(games!$B$2:$B$950,MATCH(connections!$B264,games!$A$2:$A$950,0)),""))</f>
        <v/>
      </c>
      <c r="V264">
        <f>IF(OR($T264="",$U264=""),"",$U264-$T264)</f>
        <v/>
      </c>
    </row>
    <row r="265">
      <c r="A265">
        <f>IF(games!$A265="","",games!$A265)</f>
        <v/>
      </c>
      <c r="B265">
        <f>IF($A265="","",games!$B265)</f>
        <v/>
      </c>
      <c r="C265">
        <f>IF($A265="","",games!$C265)</f>
        <v/>
      </c>
      <c r="D265">
        <f>IF($A265="","",COUNTIF(connections!$A$2:$A$1400,$A265)+COUNTIF(connections!$B$2:$B$1400,$A265))</f>
        <v/>
      </c>
      <c r="E265">
        <f>IF($A265="","",IFERROR(MATCH($C265,$R$2:$R$5,0),0))</f>
        <v/>
      </c>
      <c r="F265">
        <f>IF($A265="","",MOD(ROW(),34))</f>
        <v/>
      </c>
      <c r="G265">
        <f>IF($A265="",NA(),IF($C265="Action",$B265,NA()))</f>
        <v/>
      </c>
      <c r="H265">
        <f>IF($A265="",NA(),IF($C265="Action",1+$F265*0.023,NA()))</f>
        <v/>
      </c>
      <c r="I265">
        <f>IF($A265="",NA(),IF($C265="Strategy",$B265,NA()))</f>
        <v/>
      </c>
      <c r="J265">
        <f>IF($A265="",NA(),IF($C265="Strategy",2+$F265*0.023,NA()))</f>
        <v/>
      </c>
      <c r="K265">
        <f>IF($A265="",NA(),IF($C265="Deckbuilder",$B265,NA()))</f>
        <v/>
      </c>
      <c r="L265">
        <f>IF($A265="",NA(),IF($C265="Deckbuilder",3+$F265*0.023,NA()))</f>
        <v/>
      </c>
      <c r="M265">
        <f>IF($A265="",NA(),IF($C265="Traditional",$B265,NA()))</f>
        <v/>
      </c>
      <c r="N265">
        <f>IF($A265="",NA(),IF($C265="Traditional",4+$F265*0.023,NA()))</f>
        <v/>
      </c>
      <c r="O265">
        <f>IF($A265="","",$D265+ROW()/1000000)</f>
        <v/>
      </c>
      <c r="P265">
        <f>IF(OR($A265="",games!$H265=""),"",games!$H265)</f>
        <v/>
      </c>
      <c r="Q265">
        <f>IF(OR($A265="",$P265&lt;&gt;"Yes"),"",$D265+ROW()/1000000)</f>
        <v/>
      </c>
      <c r="T265">
        <f>IF(connections!$A265="","",IFERROR(INDEX(games!$B$2:$B$950,MATCH(connections!$A265,games!$A$2:$A$950,0)),""))</f>
        <v/>
      </c>
      <c r="U265">
        <f>IF(connections!$A265="","",IFERROR(INDEX(games!$B$2:$B$950,MATCH(connections!$B265,games!$A$2:$A$950,0)),""))</f>
        <v/>
      </c>
      <c r="V265">
        <f>IF(OR($T265="",$U265=""),"",$U265-$T265)</f>
        <v/>
      </c>
    </row>
    <row r="266">
      <c r="A266">
        <f>IF(games!$A266="","",games!$A266)</f>
        <v/>
      </c>
      <c r="B266">
        <f>IF($A266="","",games!$B266)</f>
        <v/>
      </c>
      <c r="C266">
        <f>IF($A266="","",games!$C266)</f>
        <v/>
      </c>
      <c r="D266">
        <f>IF($A266="","",COUNTIF(connections!$A$2:$A$1400,$A266)+COUNTIF(connections!$B$2:$B$1400,$A266))</f>
        <v/>
      </c>
      <c r="E266">
        <f>IF($A266="","",IFERROR(MATCH($C266,$R$2:$R$5,0),0))</f>
        <v/>
      </c>
      <c r="F266">
        <f>IF($A266="","",MOD(ROW(),34))</f>
        <v/>
      </c>
      <c r="G266">
        <f>IF($A266="",NA(),IF($C266="Action",$B266,NA()))</f>
        <v/>
      </c>
      <c r="H266">
        <f>IF($A266="",NA(),IF($C266="Action",1+$F266*0.023,NA()))</f>
        <v/>
      </c>
      <c r="I266">
        <f>IF($A266="",NA(),IF($C266="Strategy",$B266,NA()))</f>
        <v/>
      </c>
      <c r="J266">
        <f>IF($A266="",NA(),IF($C266="Strategy",2+$F266*0.023,NA()))</f>
        <v/>
      </c>
      <c r="K266">
        <f>IF($A266="",NA(),IF($C266="Deckbuilder",$B266,NA()))</f>
        <v/>
      </c>
      <c r="L266">
        <f>IF($A266="",NA(),IF($C266="Deckbuilder",3+$F266*0.023,NA()))</f>
        <v/>
      </c>
      <c r="M266">
        <f>IF($A266="",NA(),IF($C266="Traditional",$B266,NA()))</f>
        <v/>
      </c>
      <c r="N266">
        <f>IF($A266="",NA(),IF($C266="Traditional",4+$F266*0.023,NA()))</f>
        <v/>
      </c>
      <c r="O266">
        <f>IF($A266="","",$D266+ROW()/1000000)</f>
        <v/>
      </c>
      <c r="P266">
        <f>IF(OR($A266="",games!$H266=""),"",games!$H266)</f>
        <v/>
      </c>
      <c r="Q266">
        <f>IF(OR($A266="",$P266&lt;&gt;"Yes"),"",$D266+ROW()/1000000)</f>
        <v/>
      </c>
      <c r="T266">
        <f>IF(connections!$A266="","",IFERROR(INDEX(games!$B$2:$B$950,MATCH(connections!$A266,games!$A$2:$A$950,0)),""))</f>
        <v/>
      </c>
      <c r="U266">
        <f>IF(connections!$A266="","",IFERROR(INDEX(games!$B$2:$B$950,MATCH(connections!$B266,games!$A$2:$A$950,0)),""))</f>
        <v/>
      </c>
      <c r="V266">
        <f>IF(OR($T266="",$U266=""),"",$U266-$T266)</f>
        <v/>
      </c>
    </row>
    <row r="267">
      <c r="A267">
        <f>IF(games!$A267="","",games!$A267)</f>
        <v/>
      </c>
      <c r="B267">
        <f>IF($A267="","",games!$B267)</f>
        <v/>
      </c>
      <c r="C267">
        <f>IF($A267="","",games!$C267)</f>
        <v/>
      </c>
      <c r="D267">
        <f>IF($A267="","",COUNTIF(connections!$A$2:$A$1400,$A267)+COUNTIF(connections!$B$2:$B$1400,$A267))</f>
        <v/>
      </c>
      <c r="E267">
        <f>IF($A267="","",IFERROR(MATCH($C267,$R$2:$R$5,0),0))</f>
        <v/>
      </c>
      <c r="F267">
        <f>IF($A267="","",MOD(ROW(),34))</f>
        <v/>
      </c>
      <c r="G267">
        <f>IF($A267="",NA(),IF($C267="Action",$B267,NA()))</f>
        <v/>
      </c>
      <c r="H267">
        <f>IF($A267="",NA(),IF($C267="Action",1+$F267*0.023,NA()))</f>
        <v/>
      </c>
      <c r="I267">
        <f>IF($A267="",NA(),IF($C267="Strategy",$B267,NA()))</f>
        <v/>
      </c>
      <c r="J267">
        <f>IF($A267="",NA(),IF($C267="Strategy",2+$F267*0.023,NA()))</f>
        <v/>
      </c>
      <c r="K267">
        <f>IF($A267="",NA(),IF($C267="Deckbuilder",$B267,NA()))</f>
        <v/>
      </c>
      <c r="L267">
        <f>IF($A267="",NA(),IF($C267="Deckbuilder",3+$F267*0.023,NA()))</f>
        <v/>
      </c>
      <c r="M267">
        <f>IF($A267="",NA(),IF($C267="Traditional",$B267,NA()))</f>
        <v/>
      </c>
      <c r="N267">
        <f>IF($A267="",NA(),IF($C267="Traditional",4+$F267*0.023,NA()))</f>
        <v/>
      </c>
      <c r="O267">
        <f>IF($A267="","",$D267+ROW()/1000000)</f>
        <v/>
      </c>
      <c r="P267">
        <f>IF(OR($A267="",games!$H267=""),"",games!$H267)</f>
        <v/>
      </c>
      <c r="Q267">
        <f>IF(OR($A267="",$P267&lt;&gt;"Yes"),"",$D267+ROW()/1000000)</f>
        <v/>
      </c>
      <c r="T267">
        <f>IF(connections!$A267="","",IFERROR(INDEX(games!$B$2:$B$950,MATCH(connections!$A267,games!$A$2:$A$950,0)),""))</f>
        <v/>
      </c>
      <c r="U267">
        <f>IF(connections!$A267="","",IFERROR(INDEX(games!$B$2:$B$950,MATCH(connections!$B267,games!$A$2:$A$950,0)),""))</f>
        <v/>
      </c>
      <c r="V267">
        <f>IF(OR($T267="",$U267=""),"",$U267-$T267)</f>
        <v/>
      </c>
    </row>
    <row r="268">
      <c r="A268">
        <f>IF(games!$A268="","",games!$A268)</f>
        <v/>
      </c>
      <c r="B268">
        <f>IF($A268="","",games!$B268)</f>
        <v/>
      </c>
      <c r="C268">
        <f>IF($A268="","",games!$C268)</f>
        <v/>
      </c>
      <c r="D268">
        <f>IF($A268="","",COUNTIF(connections!$A$2:$A$1400,$A268)+COUNTIF(connections!$B$2:$B$1400,$A268))</f>
        <v/>
      </c>
      <c r="E268">
        <f>IF($A268="","",IFERROR(MATCH($C268,$R$2:$R$5,0),0))</f>
        <v/>
      </c>
      <c r="F268">
        <f>IF($A268="","",MOD(ROW(),34))</f>
        <v/>
      </c>
      <c r="G268">
        <f>IF($A268="",NA(),IF($C268="Action",$B268,NA()))</f>
        <v/>
      </c>
      <c r="H268">
        <f>IF($A268="",NA(),IF($C268="Action",1+$F268*0.023,NA()))</f>
        <v/>
      </c>
      <c r="I268">
        <f>IF($A268="",NA(),IF($C268="Strategy",$B268,NA()))</f>
        <v/>
      </c>
      <c r="J268">
        <f>IF($A268="",NA(),IF($C268="Strategy",2+$F268*0.023,NA()))</f>
        <v/>
      </c>
      <c r="K268">
        <f>IF($A268="",NA(),IF($C268="Deckbuilder",$B268,NA()))</f>
        <v/>
      </c>
      <c r="L268">
        <f>IF($A268="",NA(),IF($C268="Deckbuilder",3+$F268*0.023,NA()))</f>
        <v/>
      </c>
      <c r="M268">
        <f>IF($A268="",NA(),IF($C268="Traditional",$B268,NA()))</f>
        <v/>
      </c>
      <c r="N268">
        <f>IF($A268="",NA(),IF($C268="Traditional",4+$F268*0.023,NA()))</f>
        <v/>
      </c>
      <c r="O268">
        <f>IF($A268="","",$D268+ROW()/1000000)</f>
        <v/>
      </c>
      <c r="P268">
        <f>IF(OR($A268="",games!$H268=""),"",games!$H268)</f>
        <v/>
      </c>
      <c r="Q268">
        <f>IF(OR($A268="",$P268&lt;&gt;"Yes"),"",$D268+ROW()/1000000)</f>
        <v/>
      </c>
      <c r="T268">
        <f>IF(connections!$A268="","",IFERROR(INDEX(games!$B$2:$B$950,MATCH(connections!$A268,games!$A$2:$A$950,0)),""))</f>
        <v/>
      </c>
      <c r="U268">
        <f>IF(connections!$A268="","",IFERROR(INDEX(games!$B$2:$B$950,MATCH(connections!$B268,games!$A$2:$A$950,0)),""))</f>
        <v/>
      </c>
      <c r="V268">
        <f>IF(OR($T268="",$U268=""),"",$U268-$T268)</f>
        <v/>
      </c>
    </row>
    <row r="269">
      <c r="A269">
        <f>IF(games!$A269="","",games!$A269)</f>
        <v/>
      </c>
      <c r="B269">
        <f>IF($A269="","",games!$B269)</f>
        <v/>
      </c>
      <c r="C269">
        <f>IF($A269="","",games!$C269)</f>
        <v/>
      </c>
      <c r="D269">
        <f>IF($A269="","",COUNTIF(connections!$A$2:$A$1400,$A269)+COUNTIF(connections!$B$2:$B$1400,$A269))</f>
        <v/>
      </c>
      <c r="E269">
        <f>IF($A269="","",IFERROR(MATCH($C269,$R$2:$R$5,0),0))</f>
        <v/>
      </c>
      <c r="F269">
        <f>IF($A269="","",MOD(ROW(),34))</f>
        <v/>
      </c>
      <c r="G269">
        <f>IF($A269="",NA(),IF($C269="Action",$B269,NA()))</f>
        <v/>
      </c>
      <c r="H269">
        <f>IF($A269="",NA(),IF($C269="Action",1+$F269*0.023,NA()))</f>
        <v/>
      </c>
      <c r="I269">
        <f>IF($A269="",NA(),IF($C269="Strategy",$B269,NA()))</f>
        <v/>
      </c>
      <c r="J269">
        <f>IF($A269="",NA(),IF($C269="Strategy",2+$F269*0.023,NA()))</f>
        <v/>
      </c>
      <c r="K269">
        <f>IF($A269="",NA(),IF($C269="Deckbuilder",$B269,NA()))</f>
        <v/>
      </c>
      <c r="L269">
        <f>IF($A269="",NA(),IF($C269="Deckbuilder",3+$F269*0.023,NA()))</f>
        <v/>
      </c>
      <c r="M269">
        <f>IF($A269="",NA(),IF($C269="Traditional",$B269,NA()))</f>
        <v/>
      </c>
      <c r="N269">
        <f>IF($A269="",NA(),IF($C269="Traditional",4+$F269*0.023,NA()))</f>
        <v/>
      </c>
      <c r="O269">
        <f>IF($A269="","",$D269+ROW()/1000000)</f>
        <v/>
      </c>
      <c r="P269">
        <f>IF(OR($A269="",games!$H269=""),"",games!$H269)</f>
        <v/>
      </c>
      <c r="Q269">
        <f>IF(OR($A269="",$P269&lt;&gt;"Yes"),"",$D269+ROW()/1000000)</f>
        <v/>
      </c>
      <c r="T269">
        <f>IF(connections!$A269="","",IFERROR(INDEX(games!$B$2:$B$950,MATCH(connections!$A269,games!$A$2:$A$950,0)),""))</f>
        <v/>
      </c>
      <c r="U269">
        <f>IF(connections!$A269="","",IFERROR(INDEX(games!$B$2:$B$950,MATCH(connections!$B269,games!$A$2:$A$950,0)),""))</f>
        <v/>
      </c>
      <c r="V269">
        <f>IF(OR($T269="",$U269=""),"",$U269-$T269)</f>
        <v/>
      </c>
    </row>
    <row r="270">
      <c r="A270">
        <f>IF(games!$A270="","",games!$A270)</f>
        <v/>
      </c>
      <c r="B270">
        <f>IF($A270="","",games!$B270)</f>
        <v/>
      </c>
      <c r="C270">
        <f>IF($A270="","",games!$C270)</f>
        <v/>
      </c>
      <c r="D270">
        <f>IF($A270="","",COUNTIF(connections!$A$2:$A$1400,$A270)+COUNTIF(connections!$B$2:$B$1400,$A270))</f>
        <v/>
      </c>
      <c r="E270">
        <f>IF($A270="","",IFERROR(MATCH($C270,$R$2:$R$5,0),0))</f>
        <v/>
      </c>
      <c r="F270">
        <f>IF($A270="","",MOD(ROW(),34))</f>
        <v/>
      </c>
      <c r="G270">
        <f>IF($A270="",NA(),IF($C270="Action",$B270,NA()))</f>
        <v/>
      </c>
      <c r="H270">
        <f>IF($A270="",NA(),IF($C270="Action",1+$F270*0.023,NA()))</f>
        <v/>
      </c>
      <c r="I270">
        <f>IF($A270="",NA(),IF($C270="Strategy",$B270,NA()))</f>
        <v/>
      </c>
      <c r="J270">
        <f>IF($A270="",NA(),IF($C270="Strategy",2+$F270*0.023,NA()))</f>
        <v/>
      </c>
      <c r="K270">
        <f>IF($A270="",NA(),IF($C270="Deckbuilder",$B270,NA()))</f>
        <v/>
      </c>
      <c r="L270">
        <f>IF($A270="",NA(),IF($C270="Deckbuilder",3+$F270*0.023,NA()))</f>
        <v/>
      </c>
      <c r="M270">
        <f>IF($A270="",NA(),IF($C270="Traditional",$B270,NA()))</f>
        <v/>
      </c>
      <c r="N270">
        <f>IF($A270="",NA(),IF($C270="Traditional",4+$F270*0.023,NA()))</f>
        <v/>
      </c>
      <c r="O270">
        <f>IF($A270="","",$D270+ROW()/1000000)</f>
        <v/>
      </c>
      <c r="P270">
        <f>IF(OR($A270="",games!$H270=""),"",games!$H270)</f>
        <v/>
      </c>
      <c r="Q270">
        <f>IF(OR($A270="",$P270&lt;&gt;"Yes"),"",$D270+ROW()/1000000)</f>
        <v/>
      </c>
      <c r="T270">
        <f>IF(connections!$A270="","",IFERROR(INDEX(games!$B$2:$B$950,MATCH(connections!$A270,games!$A$2:$A$950,0)),""))</f>
        <v/>
      </c>
      <c r="U270">
        <f>IF(connections!$A270="","",IFERROR(INDEX(games!$B$2:$B$950,MATCH(connections!$B270,games!$A$2:$A$950,0)),""))</f>
        <v/>
      </c>
      <c r="V270">
        <f>IF(OR($T270="",$U270=""),"",$U270-$T270)</f>
        <v/>
      </c>
    </row>
    <row r="271">
      <c r="A271">
        <f>IF(games!$A271="","",games!$A271)</f>
        <v/>
      </c>
      <c r="B271">
        <f>IF($A271="","",games!$B271)</f>
        <v/>
      </c>
      <c r="C271">
        <f>IF($A271="","",games!$C271)</f>
        <v/>
      </c>
      <c r="D271">
        <f>IF($A271="","",COUNTIF(connections!$A$2:$A$1400,$A271)+COUNTIF(connections!$B$2:$B$1400,$A271))</f>
        <v/>
      </c>
      <c r="E271">
        <f>IF($A271="","",IFERROR(MATCH($C271,$R$2:$R$5,0),0))</f>
        <v/>
      </c>
      <c r="F271">
        <f>IF($A271="","",MOD(ROW(),34))</f>
        <v/>
      </c>
      <c r="G271">
        <f>IF($A271="",NA(),IF($C271="Action",$B271,NA()))</f>
        <v/>
      </c>
      <c r="H271">
        <f>IF($A271="",NA(),IF($C271="Action",1+$F271*0.023,NA()))</f>
        <v/>
      </c>
      <c r="I271">
        <f>IF($A271="",NA(),IF($C271="Strategy",$B271,NA()))</f>
        <v/>
      </c>
      <c r="J271">
        <f>IF($A271="",NA(),IF($C271="Strategy",2+$F271*0.023,NA()))</f>
        <v/>
      </c>
      <c r="K271">
        <f>IF($A271="",NA(),IF($C271="Deckbuilder",$B271,NA()))</f>
        <v/>
      </c>
      <c r="L271">
        <f>IF($A271="",NA(),IF($C271="Deckbuilder",3+$F271*0.023,NA()))</f>
        <v/>
      </c>
      <c r="M271">
        <f>IF($A271="",NA(),IF($C271="Traditional",$B271,NA()))</f>
        <v/>
      </c>
      <c r="N271">
        <f>IF($A271="",NA(),IF($C271="Traditional",4+$F271*0.023,NA()))</f>
        <v/>
      </c>
      <c r="O271">
        <f>IF($A271="","",$D271+ROW()/1000000)</f>
        <v/>
      </c>
      <c r="P271">
        <f>IF(OR($A271="",games!$H271=""),"",games!$H271)</f>
        <v/>
      </c>
      <c r="Q271">
        <f>IF(OR($A271="",$P271&lt;&gt;"Yes"),"",$D271+ROW()/1000000)</f>
        <v/>
      </c>
      <c r="T271">
        <f>IF(connections!$A271="","",IFERROR(INDEX(games!$B$2:$B$950,MATCH(connections!$A271,games!$A$2:$A$950,0)),""))</f>
        <v/>
      </c>
      <c r="U271">
        <f>IF(connections!$A271="","",IFERROR(INDEX(games!$B$2:$B$950,MATCH(connections!$B271,games!$A$2:$A$950,0)),""))</f>
        <v/>
      </c>
      <c r="V271">
        <f>IF(OR($T271="",$U271=""),"",$U271-$T271)</f>
        <v/>
      </c>
    </row>
    <row r="272">
      <c r="A272">
        <f>IF(games!$A272="","",games!$A272)</f>
        <v/>
      </c>
      <c r="B272">
        <f>IF($A272="","",games!$B272)</f>
        <v/>
      </c>
      <c r="C272">
        <f>IF($A272="","",games!$C272)</f>
        <v/>
      </c>
      <c r="D272">
        <f>IF($A272="","",COUNTIF(connections!$A$2:$A$1400,$A272)+COUNTIF(connections!$B$2:$B$1400,$A272))</f>
        <v/>
      </c>
      <c r="E272">
        <f>IF($A272="","",IFERROR(MATCH($C272,$R$2:$R$5,0),0))</f>
        <v/>
      </c>
      <c r="F272">
        <f>IF($A272="","",MOD(ROW(),34))</f>
        <v/>
      </c>
      <c r="G272">
        <f>IF($A272="",NA(),IF($C272="Action",$B272,NA()))</f>
        <v/>
      </c>
      <c r="H272">
        <f>IF($A272="",NA(),IF($C272="Action",1+$F272*0.023,NA()))</f>
        <v/>
      </c>
      <c r="I272">
        <f>IF($A272="",NA(),IF($C272="Strategy",$B272,NA()))</f>
        <v/>
      </c>
      <c r="J272">
        <f>IF($A272="",NA(),IF($C272="Strategy",2+$F272*0.023,NA()))</f>
        <v/>
      </c>
      <c r="K272">
        <f>IF($A272="",NA(),IF($C272="Deckbuilder",$B272,NA()))</f>
        <v/>
      </c>
      <c r="L272">
        <f>IF($A272="",NA(),IF($C272="Deckbuilder",3+$F272*0.023,NA()))</f>
        <v/>
      </c>
      <c r="M272">
        <f>IF($A272="",NA(),IF($C272="Traditional",$B272,NA()))</f>
        <v/>
      </c>
      <c r="N272">
        <f>IF($A272="",NA(),IF($C272="Traditional",4+$F272*0.023,NA()))</f>
        <v/>
      </c>
      <c r="O272">
        <f>IF($A272="","",$D272+ROW()/1000000)</f>
        <v/>
      </c>
      <c r="P272">
        <f>IF(OR($A272="",games!$H272=""),"",games!$H272)</f>
        <v/>
      </c>
      <c r="Q272">
        <f>IF(OR($A272="",$P272&lt;&gt;"Yes"),"",$D272+ROW()/1000000)</f>
        <v/>
      </c>
      <c r="T272">
        <f>IF(connections!$A272="","",IFERROR(INDEX(games!$B$2:$B$950,MATCH(connections!$A272,games!$A$2:$A$950,0)),""))</f>
        <v/>
      </c>
      <c r="U272">
        <f>IF(connections!$A272="","",IFERROR(INDEX(games!$B$2:$B$950,MATCH(connections!$B272,games!$A$2:$A$950,0)),""))</f>
        <v/>
      </c>
      <c r="V272">
        <f>IF(OR($T272="",$U272=""),"",$U272-$T272)</f>
        <v/>
      </c>
    </row>
    <row r="273">
      <c r="A273">
        <f>IF(games!$A273="","",games!$A273)</f>
        <v/>
      </c>
      <c r="B273">
        <f>IF($A273="","",games!$B273)</f>
        <v/>
      </c>
      <c r="C273">
        <f>IF($A273="","",games!$C273)</f>
        <v/>
      </c>
      <c r="D273">
        <f>IF($A273="","",COUNTIF(connections!$A$2:$A$1400,$A273)+COUNTIF(connections!$B$2:$B$1400,$A273))</f>
        <v/>
      </c>
      <c r="E273">
        <f>IF($A273="","",IFERROR(MATCH($C273,$R$2:$R$5,0),0))</f>
        <v/>
      </c>
      <c r="F273">
        <f>IF($A273="","",MOD(ROW(),34))</f>
        <v/>
      </c>
      <c r="G273">
        <f>IF($A273="",NA(),IF($C273="Action",$B273,NA()))</f>
        <v/>
      </c>
      <c r="H273">
        <f>IF($A273="",NA(),IF($C273="Action",1+$F273*0.023,NA()))</f>
        <v/>
      </c>
      <c r="I273">
        <f>IF($A273="",NA(),IF($C273="Strategy",$B273,NA()))</f>
        <v/>
      </c>
      <c r="J273">
        <f>IF($A273="",NA(),IF($C273="Strategy",2+$F273*0.023,NA()))</f>
        <v/>
      </c>
      <c r="K273">
        <f>IF($A273="",NA(),IF($C273="Deckbuilder",$B273,NA()))</f>
        <v/>
      </c>
      <c r="L273">
        <f>IF($A273="",NA(),IF($C273="Deckbuilder",3+$F273*0.023,NA()))</f>
        <v/>
      </c>
      <c r="M273">
        <f>IF($A273="",NA(),IF($C273="Traditional",$B273,NA()))</f>
        <v/>
      </c>
      <c r="N273">
        <f>IF($A273="",NA(),IF($C273="Traditional",4+$F273*0.023,NA()))</f>
        <v/>
      </c>
      <c r="O273">
        <f>IF($A273="","",$D273+ROW()/1000000)</f>
        <v/>
      </c>
      <c r="P273">
        <f>IF(OR($A273="",games!$H273=""),"",games!$H273)</f>
        <v/>
      </c>
      <c r="Q273">
        <f>IF(OR($A273="",$P273&lt;&gt;"Yes"),"",$D273+ROW()/1000000)</f>
        <v/>
      </c>
      <c r="T273">
        <f>IF(connections!$A273="","",IFERROR(INDEX(games!$B$2:$B$950,MATCH(connections!$A273,games!$A$2:$A$950,0)),""))</f>
        <v/>
      </c>
      <c r="U273">
        <f>IF(connections!$A273="","",IFERROR(INDEX(games!$B$2:$B$950,MATCH(connections!$B273,games!$A$2:$A$950,0)),""))</f>
        <v/>
      </c>
      <c r="V273">
        <f>IF(OR($T273="",$U273=""),"",$U273-$T273)</f>
        <v/>
      </c>
    </row>
    <row r="274">
      <c r="A274">
        <f>IF(games!$A274="","",games!$A274)</f>
        <v/>
      </c>
      <c r="B274">
        <f>IF($A274="","",games!$B274)</f>
        <v/>
      </c>
      <c r="C274">
        <f>IF($A274="","",games!$C274)</f>
        <v/>
      </c>
      <c r="D274">
        <f>IF($A274="","",COUNTIF(connections!$A$2:$A$1400,$A274)+COUNTIF(connections!$B$2:$B$1400,$A274))</f>
        <v/>
      </c>
      <c r="E274">
        <f>IF($A274="","",IFERROR(MATCH($C274,$R$2:$R$5,0),0))</f>
        <v/>
      </c>
      <c r="F274">
        <f>IF($A274="","",MOD(ROW(),34))</f>
        <v/>
      </c>
      <c r="G274">
        <f>IF($A274="",NA(),IF($C274="Action",$B274,NA()))</f>
        <v/>
      </c>
      <c r="H274">
        <f>IF($A274="",NA(),IF($C274="Action",1+$F274*0.023,NA()))</f>
        <v/>
      </c>
      <c r="I274">
        <f>IF($A274="",NA(),IF($C274="Strategy",$B274,NA()))</f>
        <v/>
      </c>
      <c r="J274">
        <f>IF($A274="",NA(),IF($C274="Strategy",2+$F274*0.023,NA()))</f>
        <v/>
      </c>
      <c r="K274">
        <f>IF($A274="",NA(),IF($C274="Deckbuilder",$B274,NA()))</f>
        <v/>
      </c>
      <c r="L274">
        <f>IF($A274="",NA(),IF($C274="Deckbuilder",3+$F274*0.023,NA()))</f>
        <v/>
      </c>
      <c r="M274">
        <f>IF($A274="",NA(),IF($C274="Traditional",$B274,NA()))</f>
        <v/>
      </c>
      <c r="N274">
        <f>IF($A274="",NA(),IF($C274="Traditional",4+$F274*0.023,NA()))</f>
        <v/>
      </c>
      <c r="O274">
        <f>IF($A274="","",$D274+ROW()/1000000)</f>
        <v/>
      </c>
      <c r="P274">
        <f>IF(OR($A274="",games!$H274=""),"",games!$H274)</f>
        <v/>
      </c>
      <c r="Q274">
        <f>IF(OR($A274="",$P274&lt;&gt;"Yes"),"",$D274+ROW()/1000000)</f>
        <v/>
      </c>
      <c r="T274">
        <f>IF(connections!$A274="","",IFERROR(INDEX(games!$B$2:$B$950,MATCH(connections!$A274,games!$A$2:$A$950,0)),""))</f>
        <v/>
      </c>
      <c r="U274">
        <f>IF(connections!$A274="","",IFERROR(INDEX(games!$B$2:$B$950,MATCH(connections!$B274,games!$A$2:$A$950,0)),""))</f>
        <v/>
      </c>
      <c r="V274">
        <f>IF(OR($T274="",$U274=""),"",$U274-$T274)</f>
        <v/>
      </c>
    </row>
    <row r="275">
      <c r="A275">
        <f>IF(games!$A275="","",games!$A275)</f>
        <v/>
      </c>
      <c r="B275">
        <f>IF($A275="","",games!$B275)</f>
        <v/>
      </c>
      <c r="C275">
        <f>IF($A275="","",games!$C275)</f>
        <v/>
      </c>
      <c r="D275">
        <f>IF($A275="","",COUNTIF(connections!$A$2:$A$1400,$A275)+COUNTIF(connections!$B$2:$B$1400,$A275))</f>
        <v/>
      </c>
      <c r="E275">
        <f>IF($A275="","",IFERROR(MATCH($C275,$R$2:$R$5,0),0))</f>
        <v/>
      </c>
      <c r="F275">
        <f>IF($A275="","",MOD(ROW(),34))</f>
        <v/>
      </c>
      <c r="G275">
        <f>IF($A275="",NA(),IF($C275="Action",$B275,NA()))</f>
        <v/>
      </c>
      <c r="H275">
        <f>IF($A275="",NA(),IF($C275="Action",1+$F275*0.023,NA()))</f>
        <v/>
      </c>
      <c r="I275">
        <f>IF($A275="",NA(),IF($C275="Strategy",$B275,NA()))</f>
        <v/>
      </c>
      <c r="J275">
        <f>IF($A275="",NA(),IF($C275="Strategy",2+$F275*0.023,NA()))</f>
        <v/>
      </c>
      <c r="K275">
        <f>IF($A275="",NA(),IF($C275="Deckbuilder",$B275,NA()))</f>
        <v/>
      </c>
      <c r="L275">
        <f>IF($A275="",NA(),IF($C275="Deckbuilder",3+$F275*0.023,NA()))</f>
        <v/>
      </c>
      <c r="M275">
        <f>IF($A275="",NA(),IF($C275="Traditional",$B275,NA()))</f>
        <v/>
      </c>
      <c r="N275">
        <f>IF($A275="",NA(),IF($C275="Traditional",4+$F275*0.023,NA()))</f>
        <v/>
      </c>
      <c r="O275">
        <f>IF($A275="","",$D275+ROW()/1000000)</f>
        <v/>
      </c>
      <c r="P275">
        <f>IF(OR($A275="",games!$H275=""),"",games!$H275)</f>
        <v/>
      </c>
      <c r="Q275">
        <f>IF(OR($A275="",$P275&lt;&gt;"Yes"),"",$D275+ROW()/1000000)</f>
        <v/>
      </c>
      <c r="T275">
        <f>IF(connections!$A275="","",IFERROR(INDEX(games!$B$2:$B$950,MATCH(connections!$A275,games!$A$2:$A$950,0)),""))</f>
        <v/>
      </c>
      <c r="U275">
        <f>IF(connections!$A275="","",IFERROR(INDEX(games!$B$2:$B$950,MATCH(connections!$B275,games!$A$2:$A$950,0)),""))</f>
        <v/>
      </c>
      <c r="V275">
        <f>IF(OR($T275="",$U275=""),"",$U275-$T275)</f>
        <v/>
      </c>
    </row>
    <row r="276">
      <c r="A276">
        <f>IF(games!$A276="","",games!$A276)</f>
        <v/>
      </c>
      <c r="B276">
        <f>IF($A276="","",games!$B276)</f>
        <v/>
      </c>
      <c r="C276">
        <f>IF($A276="","",games!$C276)</f>
        <v/>
      </c>
      <c r="D276">
        <f>IF($A276="","",COUNTIF(connections!$A$2:$A$1400,$A276)+COUNTIF(connections!$B$2:$B$1400,$A276))</f>
        <v/>
      </c>
      <c r="E276">
        <f>IF($A276="","",IFERROR(MATCH($C276,$R$2:$R$5,0),0))</f>
        <v/>
      </c>
      <c r="F276">
        <f>IF($A276="","",MOD(ROW(),34))</f>
        <v/>
      </c>
      <c r="G276">
        <f>IF($A276="",NA(),IF($C276="Action",$B276,NA()))</f>
        <v/>
      </c>
      <c r="H276">
        <f>IF($A276="",NA(),IF($C276="Action",1+$F276*0.023,NA()))</f>
        <v/>
      </c>
      <c r="I276">
        <f>IF($A276="",NA(),IF($C276="Strategy",$B276,NA()))</f>
        <v/>
      </c>
      <c r="J276">
        <f>IF($A276="",NA(),IF($C276="Strategy",2+$F276*0.023,NA()))</f>
        <v/>
      </c>
      <c r="K276">
        <f>IF($A276="",NA(),IF($C276="Deckbuilder",$B276,NA()))</f>
        <v/>
      </c>
      <c r="L276">
        <f>IF($A276="",NA(),IF($C276="Deckbuilder",3+$F276*0.023,NA()))</f>
        <v/>
      </c>
      <c r="M276">
        <f>IF($A276="",NA(),IF($C276="Traditional",$B276,NA()))</f>
        <v/>
      </c>
      <c r="N276">
        <f>IF($A276="",NA(),IF($C276="Traditional",4+$F276*0.023,NA()))</f>
        <v/>
      </c>
      <c r="O276">
        <f>IF($A276="","",$D276+ROW()/1000000)</f>
        <v/>
      </c>
      <c r="P276">
        <f>IF(OR($A276="",games!$H276=""),"",games!$H276)</f>
        <v/>
      </c>
      <c r="Q276">
        <f>IF(OR($A276="",$P276&lt;&gt;"Yes"),"",$D276+ROW()/1000000)</f>
        <v/>
      </c>
      <c r="T276">
        <f>IF(connections!$A276="","",IFERROR(INDEX(games!$B$2:$B$950,MATCH(connections!$A276,games!$A$2:$A$950,0)),""))</f>
        <v/>
      </c>
      <c r="U276">
        <f>IF(connections!$A276="","",IFERROR(INDEX(games!$B$2:$B$950,MATCH(connections!$B276,games!$A$2:$A$950,0)),""))</f>
        <v/>
      </c>
      <c r="V276">
        <f>IF(OR($T276="",$U276=""),"",$U276-$T276)</f>
        <v/>
      </c>
    </row>
    <row r="277">
      <c r="A277">
        <f>IF(games!$A277="","",games!$A277)</f>
        <v/>
      </c>
      <c r="B277">
        <f>IF($A277="","",games!$B277)</f>
        <v/>
      </c>
      <c r="C277">
        <f>IF($A277="","",games!$C277)</f>
        <v/>
      </c>
      <c r="D277">
        <f>IF($A277="","",COUNTIF(connections!$A$2:$A$1400,$A277)+COUNTIF(connections!$B$2:$B$1400,$A277))</f>
        <v/>
      </c>
      <c r="E277">
        <f>IF($A277="","",IFERROR(MATCH($C277,$R$2:$R$5,0),0))</f>
        <v/>
      </c>
      <c r="F277">
        <f>IF($A277="","",MOD(ROW(),34))</f>
        <v/>
      </c>
      <c r="G277">
        <f>IF($A277="",NA(),IF($C277="Action",$B277,NA()))</f>
        <v/>
      </c>
      <c r="H277">
        <f>IF($A277="",NA(),IF($C277="Action",1+$F277*0.023,NA()))</f>
        <v/>
      </c>
      <c r="I277">
        <f>IF($A277="",NA(),IF($C277="Strategy",$B277,NA()))</f>
        <v/>
      </c>
      <c r="J277">
        <f>IF($A277="",NA(),IF($C277="Strategy",2+$F277*0.023,NA()))</f>
        <v/>
      </c>
      <c r="K277">
        <f>IF($A277="",NA(),IF($C277="Deckbuilder",$B277,NA()))</f>
        <v/>
      </c>
      <c r="L277">
        <f>IF($A277="",NA(),IF($C277="Deckbuilder",3+$F277*0.023,NA()))</f>
        <v/>
      </c>
      <c r="M277">
        <f>IF($A277="",NA(),IF($C277="Traditional",$B277,NA()))</f>
        <v/>
      </c>
      <c r="N277">
        <f>IF($A277="",NA(),IF($C277="Traditional",4+$F277*0.023,NA()))</f>
        <v/>
      </c>
      <c r="O277">
        <f>IF($A277="","",$D277+ROW()/1000000)</f>
        <v/>
      </c>
      <c r="P277">
        <f>IF(OR($A277="",games!$H277=""),"",games!$H277)</f>
        <v/>
      </c>
      <c r="Q277">
        <f>IF(OR($A277="",$P277&lt;&gt;"Yes"),"",$D277+ROW()/1000000)</f>
        <v/>
      </c>
      <c r="T277">
        <f>IF(connections!$A277="","",IFERROR(INDEX(games!$B$2:$B$950,MATCH(connections!$A277,games!$A$2:$A$950,0)),""))</f>
        <v/>
      </c>
      <c r="U277">
        <f>IF(connections!$A277="","",IFERROR(INDEX(games!$B$2:$B$950,MATCH(connections!$B277,games!$A$2:$A$950,0)),""))</f>
        <v/>
      </c>
      <c r="V277">
        <f>IF(OR($T277="",$U277=""),"",$U277-$T277)</f>
        <v/>
      </c>
    </row>
    <row r="278">
      <c r="A278">
        <f>IF(games!$A278="","",games!$A278)</f>
        <v/>
      </c>
      <c r="B278">
        <f>IF($A278="","",games!$B278)</f>
        <v/>
      </c>
      <c r="C278">
        <f>IF($A278="","",games!$C278)</f>
        <v/>
      </c>
      <c r="D278">
        <f>IF($A278="","",COUNTIF(connections!$A$2:$A$1400,$A278)+COUNTIF(connections!$B$2:$B$1400,$A278))</f>
        <v/>
      </c>
      <c r="E278">
        <f>IF($A278="","",IFERROR(MATCH($C278,$R$2:$R$5,0),0))</f>
        <v/>
      </c>
      <c r="F278">
        <f>IF($A278="","",MOD(ROW(),34))</f>
        <v/>
      </c>
      <c r="G278">
        <f>IF($A278="",NA(),IF($C278="Action",$B278,NA()))</f>
        <v/>
      </c>
      <c r="H278">
        <f>IF($A278="",NA(),IF($C278="Action",1+$F278*0.023,NA()))</f>
        <v/>
      </c>
      <c r="I278">
        <f>IF($A278="",NA(),IF($C278="Strategy",$B278,NA()))</f>
        <v/>
      </c>
      <c r="J278">
        <f>IF($A278="",NA(),IF($C278="Strategy",2+$F278*0.023,NA()))</f>
        <v/>
      </c>
      <c r="K278">
        <f>IF($A278="",NA(),IF($C278="Deckbuilder",$B278,NA()))</f>
        <v/>
      </c>
      <c r="L278">
        <f>IF($A278="",NA(),IF($C278="Deckbuilder",3+$F278*0.023,NA()))</f>
        <v/>
      </c>
      <c r="M278">
        <f>IF($A278="",NA(),IF($C278="Traditional",$B278,NA()))</f>
        <v/>
      </c>
      <c r="N278">
        <f>IF($A278="",NA(),IF($C278="Traditional",4+$F278*0.023,NA()))</f>
        <v/>
      </c>
      <c r="O278">
        <f>IF($A278="","",$D278+ROW()/1000000)</f>
        <v/>
      </c>
      <c r="P278">
        <f>IF(OR($A278="",games!$H278=""),"",games!$H278)</f>
        <v/>
      </c>
      <c r="Q278">
        <f>IF(OR($A278="",$P278&lt;&gt;"Yes"),"",$D278+ROW()/1000000)</f>
        <v/>
      </c>
      <c r="T278">
        <f>IF(connections!$A278="","",IFERROR(INDEX(games!$B$2:$B$950,MATCH(connections!$A278,games!$A$2:$A$950,0)),""))</f>
        <v/>
      </c>
      <c r="U278">
        <f>IF(connections!$A278="","",IFERROR(INDEX(games!$B$2:$B$950,MATCH(connections!$B278,games!$A$2:$A$950,0)),""))</f>
        <v/>
      </c>
      <c r="V278">
        <f>IF(OR($T278="",$U278=""),"",$U278-$T278)</f>
        <v/>
      </c>
    </row>
    <row r="279">
      <c r="A279">
        <f>IF(games!$A279="","",games!$A279)</f>
        <v/>
      </c>
      <c r="B279">
        <f>IF($A279="","",games!$B279)</f>
        <v/>
      </c>
      <c r="C279">
        <f>IF($A279="","",games!$C279)</f>
        <v/>
      </c>
      <c r="D279">
        <f>IF($A279="","",COUNTIF(connections!$A$2:$A$1400,$A279)+COUNTIF(connections!$B$2:$B$1400,$A279))</f>
        <v/>
      </c>
      <c r="E279">
        <f>IF($A279="","",IFERROR(MATCH($C279,$R$2:$R$5,0),0))</f>
        <v/>
      </c>
      <c r="F279">
        <f>IF($A279="","",MOD(ROW(),34))</f>
        <v/>
      </c>
      <c r="G279">
        <f>IF($A279="",NA(),IF($C279="Action",$B279,NA()))</f>
        <v/>
      </c>
      <c r="H279">
        <f>IF($A279="",NA(),IF($C279="Action",1+$F279*0.023,NA()))</f>
        <v/>
      </c>
      <c r="I279">
        <f>IF($A279="",NA(),IF($C279="Strategy",$B279,NA()))</f>
        <v/>
      </c>
      <c r="J279">
        <f>IF($A279="",NA(),IF($C279="Strategy",2+$F279*0.023,NA()))</f>
        <v/>
      </c>
      <c r="K279">
        <f>IF($A279="",NA(),IF($C279="Deckbuilder",$B279,NA()))</f>
        <v/>
      </c>
      <c r="L279">
        <f>IF($A279="",NA(),IF($C279="Deckbuilder",3+$F279*0.023,NA()))</f>
        <v/>
      </c>
      <c r="M279">
        <f>IF($A279="",NA(),IF($C279="Traditional",$B279,NA()))</f>
        <v/>
      </c>
      <c r="N279">
        <f>IF($A279="",NA(),IF($C279="Traditional",4+$F279*0.023,NA()))</f>
        <v/>
      </c>
      <c r="O279">
        <f>IF($A279="","",$D279+ROW()/1000000)</f>
        <v/>
      </c>
      <c r="P279">
        <f>IF(OR($A279="",games!$H279=""),"",games!$H279)</f>
        <v/>
      </c>
      <c r="Q279">
        <f>IF(OR($A279="",$P279&lt;&gt;"Yes"),"",$D279+ROW()/1000000)</f>
        <v/>
      </c>
      <c r="T279">
        <f>IF(connections!$A279="","",IFERROR(INDEX(games!$B$2:$B$950,MATCH(connections!$A279,games!$A$2:$A$950,0)),""))</f>
        <v/>
      </c>
      <c r="U279">
        <f>IF(connections!$A279="","",IFERROR(INDEX(games!$B$2:$B$950,MATCH(connections!$B279,games!$A$2:$A$950,0)),""))</f>
        <v/>
      </c>
      <c r="V279">
        <f>IF(OR($T279="",$U279=""),"",$U279-$T279)</f>
        <v/>
      </c>
    </row>
    <row r="280">
      <c r="A280">
        <f>IF(games!$A280="","",games!$A280)</f>
        <v/>
      </c>
      <c r="B280">
        <f>IF($A280="","",games!$B280)</f>
        <v/>
      </c>
      <c r="C280">
        <f>IF($A280="","",games!$C280)</f>
        <v/>
      </c>
      <c r="D280">
        <f>IF($A280="","",COUNTIF(connections!$A$2:$A$1400,$A280)+COUNTIF(connections!$B$2:$B$1400,$A280))</f>
        <v/>
      </c>
      <c r="E280">
        <f>IF($A280="","",IFERROR(MATCH($C280,$R$2:$R$5,0),0))</f>
        <v/>
      </c>
      <c r="F280">
        <f>IF($A280="","",MOD(ROW(),34))</f>
        <v/>
      </c>
      <c r="G280">
        <f>IF($A280="",NA(),IF($C280="Action",$B280,NA()))</f>
        <v/>
      </c>
      <c r="H280">
        <f>IF($A280="",NA(),IF($C280="Action",1+$F280*0.023,NA()))</f>
        <v/>
      </c>
      <c r="I280">
        <f>IF($A280="",NA(),IF($C280="Strategy",$B280,NA()))</f>
        <v/>
      </c>
      <c r="J280">
        <f>IF($A280="",NA(),IF($C280="Strategy",2+$F280*0.023,NA()))</f>
        <v/>
      </c>
      <c r="K280">
        <f>IF($A280="",NA(),IF($C280="Deckbuilder",$B280,NA()))</f>
        <v/>
      </c>
      <c r="L280">
        <f>IF($A280="",NA(),IF($C280="Deckbuilder",3+$F280*0.023,NA()))</f>
        <v/>
      </c>
      <c r="M280">
        <f>IF($A280="",NA(),IF($C280="Traditional",$B280,NA()))</f>
        <v/>
      </c>
      <c r="N280">
        <f>IF($A280="",NA(),IF($C280="Traditional",4+$F280*0.023,NA()))</f>
        <v/>
      </c>
      <c r="O280">
        <f>IF($A280="","",$D280+ROW()/1000000)</f>
        <v/>
      </c>
      <c r="P280">
        <f>IF(OR($A280="",games!$H280=""),"",games!$H280)</f>
        <v/>
      </c>
      <c r="Q280">
        <f>IF(OR($A280="",$P280&lt;&gt;"Yes"),"",$D280+ROW()/1000000)</f>
        <v/>
      </c>
      <c r="T280">
        <f>IF(connections!$A280="","",IFERROR(INDEX(games!$B$2:$B$950,MATCH(connections!$A280,games!$A$2:$A$950,0)),""))</f>
        <v/>
      </c>
      <c r="U280">
        <f>IF(connections!$A280="","",IFERROR(INDEX(games!$B$2:$B$950,MATCH(connections!$B280,games!$A$2:$A$950,0)),""))</f>
        <v/>
      </c>
      <c r="V280">
        <f>IF(OR($T280="",$U280=""),"",$U280-$T280)</f>
        <v/>
      </c>
    </row>
    <row r="281">
      <c r="A281">
        <f>IF(games!$A281="","",games!$A281)</f>
        <v/>
      </c>
      <c r="B281">
        <f>IF($A281="","",games!$B281)</f>
        <v/>
      </c>
      <c r="C281">
        <f>IF($A281="","",games!$C281)</f>
        <v/>
      </c>
      <c r="D281">
        <f>IF($A281="","",COUNTIF(connections!$A$2:$A$1400,$A281)+COUNTIF(connections!$B$2:$B$1400,$A281))</f>
        <v/>
      </c>
      <c r="E281">
        <f>IF($A281="","",IFERROR(MATCH($C281,$R$2:$R$5,0),0))</f>
        <v/>
      </c>
      <c r="F281">
        <f>IF($A281="","",MOD(ROW(),34))</f>
        <v/>
      </c>
      <c r="G281">
        <f>IF($A281="",NA(),IF($C281="Action",$B281,NA()))</f>
        <v/>
      </c>
      <c r="H281">
        <f>IF($A281="",NA(),IF($C281="Action",1+$F281*0.023,NA()))</f>
        <v/>
      </c>
      <c r="I281">
        <f>IF($A281="",NA(),IF($C281="Strategy",$B281,NA()))</f>
        <v/>
      </c>
      <c r="J281">
        <f>IF($A281="",NA(),IF($C281="Strategy",2+$F281*0.023,NA()))</f>
        <v/>
      </c>
      <c r="K281">
        <f>IF($A281="",NA(),IF($C281="Deckbuilder",$B281,NA()))</f>
        <v/>
      </c>
      <c r="L281">
        <f>IF($A281="",NA(),IF($C281="Deckbuilder",3+$F281*0.023,NA()))</f>
        <v/>
      </c>
      <c r="M281">
        <f>IF($A281="",NA(),IF($C281="Traditional",$B281,NA()))</f>
        <v/>
      </c>
      <c r="N281">
        <f>IF($A281="",NA(),IF($C281="Traditional",4+$F281*0.023,NA()))</f>
        <v/>
      </c>
      <c r="O281">
        <f>IF($A281="","",$D281+ROW()/1000000)</f>
        <v/>
      </c>
      <c r="P281">
        <f>IF(OR($A281="",games!$H281=""),"",games!$H281)</f>
        <v/>
      </c>
      <c r="Q281">
        <f>IF(OR($A281="",$P281&lt;&gt;"Yes"),"",$D281+ROW()/1000000)</f>
        <v/>
      </c>
      <c r="T281">
        <f>IF(connections!$A281="","",IFERROR(INDEX(games!$B$2:$B$950,MATCH(connections!$A281,games!$A$2:$A$950,0)),""))</f>
        <v/>
      </c>
      <c r="U281">
        <f>IF(connections!$A281="","",IFERROR(INDEX(games!$B$2:$B$950,MATCH(connections!$B281,games!$A$2:$A$950,0)),""))</f>
        <v/>
      </c>
      <c r="V281">
        <f>IF(OR($T281="",$U281=""),"",$U281-$T281)</f>
        <v/>
      </c>
    </row>
    <row r="282">
      <c r="A282">
        <f>IF(games!$A282="","",games!$A282)</f>
        <v/>
      </c>
      <c r="B282">
        <f>IF($A282="","",games!$B282)</f>
        <v/>
      </c>
      <c r="C282">
        <f>IF($A282="","",games!$C282)</f>
        <v/>
      </c>
      <c r="D282">
        <f>IF($A282="","",COUNTIF(connections!$A$2:$A$1400,$A282)+COUNTIF(connections!$B$2:$B$1400,$A282))</f>
        <v/>
      </c>
      <c r="E282">
        <f>IF($A282="","",IFERROR(MATCH($C282,$R$2:$R$5,0),0))</f>
        <v/>
      </c>
      <c r="F282">
        <f>IF($A282="","",MOD(ROW(),34))</f>
        <v/>
      </c>
      <c r="G282">
        <f>IF($A282="",NA(),IF($C282="Action",$B282,NA()))</f>
        <v/>
      </c>
      <c r="H282">
        <f>IF($A282="",NA(),IF($C282="Action",1+$F282*0.023,NA()))</f>
        <v/>
      </c>
      <c r="I282">
        <f>IF($A282="",NA(),IF($C282="Strategy",$B282,NA()))</f>
        <v/>
      </c>
      <c r="J282">
        <f>IF($A282="",NA(),IF($C282="Strategy",2+$F282*0.023,NA()))</f>
        <v/>
      </c>
      <c r="K282">
        <f>IF($A282="",NA(),IF($C282="Deckbuilder",$B282,NA()))</f>
        <v/>
      </c>
      <c r="L282">
        <f>IF($A282="",NA(),IF($C282="Deckbuilder",3+$F282*0.023,NA()))</f>
        <v/>
      </c>
      <c r="M282">
        <f>IF($A282="",NA(),IF($C282="Traditional",$B282,NA()))</f>
        <v/>
      </c>
      <c r="N282">
        <f>IF($A282="",NA(),IF($C282="Traditional",4+$F282*0.023,NA()))</f>
        <v/>
      </c>
      <c r="O282">
        <f>IF($A282="","",$D282+ROW()/1000000)</f>
        <v/>
      </c>
      <c r="P282">
        <f>IF(OR($A282="",games!$H282=""),"",games!$H282)</f>
        <v/>
      </c>
      <c r="Q282">
        <f>IF(OR($A282="",$P282&lt;&gt;"Yes"),"",$D282+ROW()/1000000)</f>
        <v/>
      </c>
      <c r="T282">
        <f>IF(connections!$A282="","",IFERROR(INDEX(games!$B$2:$B$950,MATCH(connections!$A282,games!$A$2:$A$950,0)),""))</f>
        <v/>
      </c>
      <c r="U282">
        <f>IF(connections!$A282="","",IFERROR(INDEX(games!$B$2:$B$950,MATCH(connections!$B282,games!$A$2:$A$950,0)),""))</f>
        <v/>
      </c>
      <c r="V282">
        <f>IF(OR($T282="",$U282=""),"",$U282-$T282)</f>
        <v/>
      </c>
    </row>
    <row r="283">
      <c r="A283">
        <f>IF(games!$A283="","",games!$A283)</f>
        <v/>
      </c>
      <c r="B283">
        <f>IF($A283="","",games!$B283)</f>
        <v/>
      </c>
      <c r="C283">
        <f>IF($A283="","",games!$C283)</f>
        <v/>
      </c>
      <c r="D283">
        <f>IF($A283="","",COUNTIF(connections!$A$2:$A$1400,$A283)+COUNTIF(connections!$B$2:$B$1400,$A283))</f>
        <v/>
      </c>
      <c r="E283">
        <f>IF($A283="","",IFERROR(MATCH($C283,$R$2:$R$5,0),0))</f>
        <v/>
      </c>
      <c r="F283">
        <f>IF($A283="","",MOD(ROW(),34))</f>
        <v/>
      </c>
      <c r="G283">
        <f>IF($A283="",NA(),IF($C283="Action",$B283,NA()))</f>
        <v/>
      </c>
      <c r="H283">
        <f>IF($A283="",NA(),IF($C283="Action",1+$F283*0.023,NA()))</f>
        <v/>
      </c>
      <c r="I283">
        <f>IF($A283="",NA(),IF($C283="Strategy",$B283,NA()))</f>
        <v/>
      </c>
      <c r="J283">
        <f>IF($A283="",NA(),IF($C283="Strategy",2+$F283*0.023,NA()))</f>
        <v/>
      </c>
      <c r="K283">
        <f>IF($A283="",NA(),IF($C283="Deckbuilder",$B283,NA()))</f>
        <v/>
      </c>
      <c r="L283">
        <f>IF($A283="",NA(),IF($C283="Deckbuilder",3+$F283*0.023,NA()))</f>
        <v/>
      </c>
      <c r="M283">
        <f>IF($A283="",NA(),IF($C283="Traditional",$B283,NA()))</f>
        <v/>
      </c>
      <c r="N283">
        <f>IF($A283="",NA(),IF($C283="Traditional",4+$F283*0.023,NA()))</f>
        <v/>
      </c>
      <c r="O283">
        <f>IF($A283="","",$D283+ROW()/1000000)</f>
        <v/>
      </c>
      <c r="P283">
        <f>IF(OR($A283="",games!$H283=""),"",games!$H283)</f>
        <v/>
      </c>
      <c r="Q283">
        <f>IF(OR($A283="",$P283&lt;&gt;"Yes"),"",$D283+ROW()/1000000)</f>
        <v/>
      </c>
      <c r="T283">
        <f>IF(connections!$A283="","",IFERROR(INDEX(games!$B$2:$B$950,MATCH(connections!$A283,games!$A$2:$A$950,0)),""))</f>
        <v/>
      </c>
      <c r="U283">
        <f>IF(connections!$A283="","",IFERROR(INDEX(games!$B$2:$B$950,MATCH(connections!$B283,games!$A$2:$A$950,0)),""))</f>
        <v/>
      </c>
      <c r="V283">
        <f>IF(OR($T283="",$U283=""),"",$U283-$T283)</f>
        <v/>
      </c>
    </row>
    <row r="284">
      <c r="A284">
        <f>IF(games!$A284="","",games!$A284)</f>
        <v/>
      </c>
      <c r="B284">
        <f>IF($A284="","",games!$B284)</f>
        <v/>
      </c>
      <c r="C284">
        <f>IF($A284="","",games!$C284)</f>
        <v/>
      </c>
      <c r="D284">
        <f>IF($A284="","",COUNTIF(connections!$A$2:$A$1400,$A284)+COUNTIF(connections!$B$2:$B$1400,$A284))</f>
        <v/>
      </c>
      <c r="E284">
        <f>IF($A284="","",IFERROR(MATCH($C284,$R$2:$R$5,0),0))</f>
        <v/>
      </c>
      <c r="F284">
        <f>IF($A284="","",MOD(ROW(),34))</f>
        <v/>
      </c>
      <c r="G284">
        <f>IF($A284="",NA(),IF($C284="Action",$B284,NA()))</f>
        <v/>
      </c>
      <c r="H284">
        <f>IF($A284="",NA(),IF($C284="Action",1+$F284*0.023,NA()))</f>
        <v/>
      </c>
      <c r="I284">
        <f>IF($A284="",NA(),IF($C284="Strategy",$B284,NA()))</f>
        <v/>
      </c>
      <c r="J284">
        <f>IF($A284="",NA(),IF($C284="Strategy",2+$F284*0.023,NA()))</f>
        <v/>
      </c>
      <c r="K284">
        <f>IF($A284="",NA(),IF($C284="Deckbuilder",$B284,NA()))</f>
        <v/>
      </c>
      <c r="L284">
        <f>IF($A284="",NA(),IF($C284="Deckbuilder",3+$F284*0.023,NA()))</f>
        <v/>
      </c>
      <c r="M284">
        <f>IF($A284="",NA(),IF($C284="Traditional",$B284,NA()))</f>
        <v/>
      </c>
      <c r="N284">
        <f>IF($A284="",NA(),IF($C284="Traditional",4+$F284*0.023,NA()))</f>
        <v/>
      </c>
      <c r="O284">
        <f>IF($A284="","",$D284+ROW()/1000000)</f>
        <v/>
      </c>
      <c r="P284">
        <f>IF(OR($A284="",games!$H284=""),"",games!$H284)</f>
        <v/>
      </c>
      <c r="Q284">
        <f>IF(OR($A284="",$P284&lt;&gt;"Yes"),"",$D284+ROW()/1000000)</f>
        <v/>
      </c>
      <c r="T284">
        <f>IF(connections!$A284="","",IFERROR(INDEX(games!$B$2:$B$950,MATCH(connections!$A284,games!$A$2:$A$950,0)),""))</f>
        <v/>
      </c>
      <c r="U284">
        <f>IF(connections!$A284="","",IFERROR(INDEX(games!$B$2:$B$950,MATCH(connections!$B284,games!$A$2:$A$950,0)),""))</f>
        <v/>
      </c>
      <c r="V284">
        <f>IF(OR($T284="",$U284=""),"",$U284-$T284)</f>
        <v/>
      </c>
    </row>
    <row r="285">
      <c r="A285">
        <f>IF(games!$A285="","",games!$A285)</f>
        <v/>
      </c>
      <c r="B285">
        <f>IF($A285="","",games!$B285)</f>
        <v/>
      </c>
      <c r="C285">
        <f>IF($A285="","",games!$C285)</f>
        <v/>
      </c>
      <c r="D285">
        <f>IF($A285="","",COUNTIF(connections!$A$2:$A$1400,$A285)+COUNTIF(connections!$B$2:$B$1400,$A285))</f>
        <v/>
      </c>
      <c r="E285">
        <f>IF($A285="","",IFERROR(MATCH($C285,$R$2:$R$5,0),0))</f>
        <v/>
      </c>
      <c r="F285">
        <f>IF($A285="","",MOD(ROW(),34))</f>
        <v/>
      </c>
      <c r="G285">
        <f>IF($A285="",NA(),IF($C285="Action",$B285,NA()))</f>
        <v/>
      </c>
      <c r="H285">
        <f>IF($A285="",NA(),IF($C285="Action",1+$F285*0.023,NA()))</f>
        <v/>
      </c>
      <c r="I285">
        <f>IF($A285="",NA(),IF($C285="Strategy",$B285,NA()))</f>
        <v/>
      </c>
      <c r="J285">
        <f>IF($A285="",NA(),IF($C285="Strategy",2+$F285*0.023,NA()))</f>
        <v/>
      </c>
      <c r="K285">
        <f>IF($A285="",NA(),IF($C285="Deckbuilder",$B285,NA()))</f>
        <v/>
      </c>
      <c r="L285">
        <f>IF($A285="",NA(),IF($C285="Deckbuilder",3+$F285*0.023,NA()))</f>
        <v/>
      </c>
      <c r="M285">
        <f>IF($A285="",NA(),IF($C285="Traditional",$B285,NA()))</f>
        <v/>
      </c>
      <c r="N285">
        <f>IF($A285="",NA(),IF($C285="Traditional",4+$F285*0.023,NA()))</f>
        <v/>
      </c>
      <c r="O285">
        <f>IF($A285="","",$D285+ROW()/1000000)</f>
        <v/>
      </c>
      <c r="P285">
        <f>IF(OR($A285="",games!$H285=""),"",games!$H285)</f>
        <v/>
      </c>
      <c r="Q285">
        <f>IF(OR($A285="",$P285&lt;&gt;"Yes"),"",$D285+ROW()/1000000)</f>
        <v/>
      </c>
      <c r="T285">
        <f>IF(connections!$A285="","",IFERROR(INDEX(games!$B$2:$B$950,MATCH(connections!$A285,games!$A$2:$A$950,0)),""))</f>
        <v/>
      </c>
      <c r="U285">
        <f>IF(connections!$A285="","",IFERROR(INDEX(games!$B$2:$B$950,MATCH(connections!$B285,games!$A$2:$A$950,0)),""))</f>
        <v/>
      </c>
      <c r="V285">
        <f>IF(OR($T285="",$U285=""),"",$U285-$T285)</f>
        <v/>
      </c>
    </row>
    <row r="286">
      <c r="A286">
        <f>IF(games!$A286="","",games!$A286)</f>
        <v/>
      </c>
      <c r="B286">
        <f>IF($A286="","",games!$B286)</f>
        <v/>
      </c>
      <c r="C286">
        <f>IF($A286="","",games!$C286)</f>
        <v/>
      </c>
      <c r="D286">
        <f>IF($A286="","",COUNTIF(connections!$A$2:$A$1400,$A286)+COUNTIF(connections!$B$2:$B$1400,$A286))</f>
        <v/>
      </c>
      <c r="E286">
        <f>IF($A286="","",IFERROR(MATCH($C286,$R$2:$R$5,0),0))</f>
        <v/>
      </c>
      <c r="F286">
        <f>IF($A286="","",MOD(ROW(),34))</f>
        <v/>
      </c>
      <c r="G286">
        <f>IF($A286="",NA(),IF($C286="Action",$B286,NA()))</f>
        <v/>
      </c>
      <c r="H286">
        <f>IF($A286="",NA(),IF($C286="Action",1+$F286*0.023,NA()))</f>
        <v/>
      </c>
      <c r="I286">
        <f>IF($A286="",NA(),IF($C286="Strategy",$B286,NA()))</f>
        <v/>
      </c>
      <c r="J286">
        <f>IF($A286="",NA(),IF($C286="Strategy",2+$F286*0.023,NA()))</f>
        <v/>
      </c>
      <c r="K286">
        <f>IF($A286="",NA(),IF($C286="Deckbuilder",$B286,NA()))</f>
        <v/>
      </c>
      <c r="L286">
        <f>IF($A286="",NA(),IF($C286="Deckbuilder",3+$F286*0.023,NA()))</f>
        <v/>
      </c>
      <c r="M286">
        <f>IF($A286="",NA(),IF($C286="Traditional",$B286,NA()))</f>
        <v/>
      </c>
      <c r="N286">
        <f>IF($A286="",NA(),IF($C286="Traditional",4+$F286*0.023,NA()))</f>
        <v/>
      </c>
      <c r="O286">
        <f>IF($A286="","",$D286+ROW()/1000000)</f>
        <v/>
      </c>
      <c r="P286">
        <f>IF(OR($A286="",games!$H286=""),"",games!$H286)</f>
        <v/>
      </c>
      <c r="Q286">
        <f>IF(OR($A286="",$P286&lt;&gt;"Yes"),"",$D286+ROW()/1000000)</f>
        <v/>
      </c>
      <c r="T286">
        <f>IF(connections!$A286="","",IFERROR(INDEX(games!$B$2:$B$950,MATCH(connections!$A286,games!$A$2:$A$950,0)),""))</f>
        <v/>
      </c>
      <c r="U286">
        <f>IF(connections!$A286="","",IFERROR(INDEX(games!$B$2:$B$950,MATCH(connections!$B286,games!$A$2:$A$950,0)),""))</f>
        <v/>
      </c>
      <c r="V286">
        <f>IF(OR($T286="",$U286=""),"",$U286-$T286)</f>
        <v/>
      </c>
    </row>
    <row r="287">
      <c r="A287">
        <f>IF(games!$A287="","",games!$A287)</f>
        <v/>
      </c>
      <c r="B287">
        <f>IF($A287="","",games!$B287)</f>
        <v/>
      </c>
      <c r="C287">
        <f>IF($A287="","",games!$C287)</f>
        <v/>
      </c>
      <c r="D287">
        <f>IF($A287="","",COUNTIF(connections!$A$2:$A$1400,$A287)+COUNTIF(connections!$B$2:$B$1400,$A287))</f>
        <v/>
      </c>
      <c r="E287">
        <f>IF($A287="","",IFERROR(MATCH($C287,$R$2:$R$5,0),0))</f>
        <v/>
      </c>
      <c r="F287">
        <f>IF($A287="","",MOD(ROW(),34))</f>
        <v/>
      </c>
      <c r="G287">
        <f>IF($A287="",NA(),IF($C287="Action",$B287,NA()))</f>
        <v/>
      </c>
      <c r="H287">
        <f>IF($A287="",NA(),IF($C287="Action",1+$F287*0.023,NA()))</f>
        <v/>
      </c>
      <c r="I287">
        <f>IF($A287="",NA(),IF($C287="Strategy",$B287,NA()))</f>
        <v/>
      </c>
      <c r="J287">
        <f>IF($A287="",NA(),IF($C287="Strategy",2+$F287*0.023,NA()))</f>
        <v/>
      </c>
      <c r="K287">
        <f>IF($A287="",NA(),IF($C287="Deckbuilder",$B287,NA()))</f>
        <v/>
      </c>
      <c r="L287">
        <f>IF($A287="",NA(),IF($C287="Deckbuilder",3+$F287*0.023,NA()))</f>
        <v/>
      </c>
      <c r="M287">
        <f>IF($A287="",NA(),IF($C287="Traditional",$B287,NA()))</f>
        <v/>
      </c>
      <c r="N287">
        <f>IF($A287="",NA(),IF($C287="Traditional",4+$F287*0.023,NA()))</f>
        <v/>
      </c>
      <c r="O287">
        <f>IF($A287="","",$D287+ROW()/1000000)</f>
        <v/>
      </c>
      <c r="P287">
        <f>IF(OR($A287="",games!$H287=""),"",games!$H287)</f>
        <v/>
      </c>
      <c r="Q287">
        <f>IF(OR($A287="",$P287&lt;&gt;"Yes"),"",$D287+ROW()/1000000)</f>
        <v/>
      </c>
      <c r="T287">
        <f>IF(connections!$A287="","",IFERROR(INDEX(games!$B$2:$B$950,MATCH(connections!$A287,games!$A$2:$A$950,0)),""))</f>
        <v/>
      </c>
      <c r="U287">
        <f>IF(connections!$A287="","",IFERROR(INDEX(games!$B$2:$B$950,MATCH(connections!$B287,games!$A$2:$A$950,0)),""))</f>
        <v/>
      </c>
      <c r="V287">
        <f>IF(OR($T287="",$U287=""),"",$U287-$T287)</f>
        <v/>
      </c>
    </row>
    <row r="288">
      <c r="A288">
        <f>IF(games!$A288="","",games!$A288)</f>
        <v/>
      </c>
      <c r="B288">
        <f>IF($A288="","",games!$B288)</f>
        <v/>
      </c>
      <c r="C288">
        <f>IF($A288="","",games!$C288)</f>
        <v/>
      </c>
      <c r="D288">
        <f>IF($A288="","",COUNTIF(connections!$A$2:$A$1400,$A288)+COUNTIF(connections!$B$2:$B$1400,$A288))</f>
        <v/>
      </c>
      <c r="E288">
        <f>IF($A288="","",IFERROR(MATCH($C288,$R$2:$R$5,0),0))</f>
        <v/>
      </c>
      <c r="F288">
        <f>IF($A288="","",MOD(ROW(),34))</f>
        <v/>
      </c>
      <c r="G288">
        <f>IF($A288="",NA(),IF($C288="Action",$B288,NA()))</f>
        <v/>
      </c>
      <c r="H288">
        <f>IF($A288="",NA(),IF($C288="Action",1+$F288*0.023,NA()))</f>
        <v/>
      </c>
      <c r="I288">
        <f>IF($A288="",NA(),IF($C288="Strategy",$B288,NA()))</f>
        <v/>
      </c>
      <c r="J288">
        <f>IF($A288="",NA(),IF($C288="Strategy",2+$F288*0.023,NA()))</f>
        <v/>
      </c>
      <c r="K288">
        <f>IF($A288="",NA(),IF($C288="Deckbuilder",$B288,NA()))</f>
        <v/>
      </c>
      <c r="L288">
        <f>IF($A288="",NA(),IF($C288="Deckbuilder",3+$F288*0.023,NA()))</f>
        <v/>
      </c>
      <c r="M288">
        <f>IF($A288="",NA(),IF($C288="Traditional",$B288,NA()))</f>
        <v/>
      </c>
      <c r="N288">
        <f>IF($A288="",NA(),IF($C288="Traditional",4+$F288*0.023,NA()))</f>
        <v/>
      </c>
      <c r="O288">
        <f>IF($A288="","",$D288+ROW()/1000000)</f>
        <v/>
      </c>
      <c r="P288">
        <f>IF(OR($A288="",games!$H288=""),"",games!$H288)</f>
        <v/>
      </c>
      <c r="Q288">
        <f>IF(OR($A288="",$P288&lt;&gt;"Yes"),"",$D288+ROW()/1000000)</f>
        <v/>
      </c>
      <c r="T288">
        <f>IF(connections!$A288="","",IFERROR(INDEX(games!$B$2:$B$950,MATCH(connections!$A288,games!$A$2:$A$950,0)),""))</f>
        <v/>
      </c>
      <c r="U288">
        <f>IF(connections!$A288="","",IFERROR(INDEX(games!$B$2:$B$950,MATCH(connections!$B288,games!$A$2:$A$950,0)),""))</f>
        <v/>
      </c>
      <c r="V288">
        <f>IF(OR($T288="",$U288=""),"",$U288-$T288)</f>
        <v/>
      </c>
    </row>
    <row r="289">
      <c r="A289">
        <f>IF(games!$A289="","",games!$A289)</f>
        <v/>
      </c>
      <c r="B289">
        <f>IF($A289="","",games!$B289)</f>
        <v/>
      </c>
      <c r="C289">
        <f>IF($A289="","",games!$C289)</f>
        <v/>
      </c>
      <c r="D289">
        <f>IF($A289="","",COUNTIF(connections!$A$2:$A$1400,$A289)+COUNTIF(connections!$B$2:$B$1400,$A289))</f>
        <v/>
      </c>
      <c r="E289">
        <f>IF($A289="","",IFERROR(MATCH($C289,$R$2:$R$5,0),0))</f>
        <v/>
      </c>
      <c r="F289">
        <f>IF($A289="","",MOD(ROW(),34))</f>
        <v/>
      </c>
      <c r="G289">
        <f>IF($A289="",NA(),IF($C289="Action",$B289,NA()))</f>
        <v/>
      </c>
      <c r="H289">
        <f>IF($A289="",NA(),IF($C289="Action",1+$F289*0.023,NA()))</f>
        <v/>
      </c>
      <c r="I289">
        <f>IF($A289="",NA(),IF($C289="Strategy",$B289,NA()))</f>
        <v/>
      </c>
      <c r="J289">
        <f>IF($A289="",NA(),IF($C289="Strategy",2+$F289*0.023,NA()))</f>
        <v/>
      </c>
      <c r="K289">
        <f>IF($A289="",NA(),IF($C289="Deckbuilder",$B289,NA()))</f>
        <v/>
      </c>
      <c r="L289">
        <f>IF($A289="",NA(),IF($C289="Deckbuilder",3+$F289*0.023,NA()))</f>
        <v/>
      </c>
      <c r="M289">
        <f>IF($A289="",NA(),IF($C289="Traditional",$B289,NA()))</f>
        <v/>
      </c>
      <c r="N289">
        <f>IF($A289="",NA(),IF($C289="Traditional",4+$F289*0.023,NA()))</f>
        <v/>
      </c>
      <c r="O289">
        <f>IF($A289="","",$D289+ROW()/1000000)</f>
        <v/>
      </c>
      <c r="P289">
        <f>IF(OR($A289="",games!$H289=""),"",games!$H289)</f>
        <v/>
      </c>
      <c r="Q289">
        <f>IF(OR($A289="",$P289&lt;&gt;"Yes"),"",$D289+ROW()/1000000)</f>
        <v/>
      </c>
      <c r="T289">
        <f>IF(connections!$A289="","",IFERROR(INDEX(games!$B$2:$B$950,MATCH(connections!$A289,games!$A$2:$A$950,0)),""))</f>
        <v/>
      </c>
      <c r="U289">
        <f>IF(connections!$A289="","",IFERROR(INDEX(games!$B$2:$B$950,MATCH(connections!$B289,games!$A$2:$A$950,0)),""))</f>
        <v/>
      </c>
      <c r="V289">
        <f>IF(OR($T289="",$U289=""),"",$U289-$T289)</f>
        <v/>
      </c>
    </row>
    <row r="290">
      <c r="A290">
        <f>IF(games!$A290="","",games!$A290)</f>
        <v/>
      </c>
      <c r="B290">
        <f>IF($A290="","",games!$B290)</f>
        <v/>
      </c>
      <c r="C290">
        <f>IF($A290="","",games!$C290)</f>
        <v/>
      </c>
      <c r="D290">
        <f>IF($A290="","",COUNTIF(connections!$A$2:$A$1400,$A290)+COUNTIF(connections!$B$2:$B$1400,$A290))</f>
        <v/>
      </c>
      <c r="E290">
        <f>IF($A290="","",IFERROR(MATCH($C290,$R$2:$R$5,0),0))</f>
        <v/>
      </c>
      <c r="F290">
        <f>IF($A290="","",MOD(ROW(),34))</f>
        <v/>
      </c>
      <c r="G290">
        <f>IF($A290="",NA(),IF($C290="Action",$B290,NA()))</f>
        <v/>
      </c>
      <c r="H290">
        <f>IF($A290="",NA(),IF($C290="Action",1+$F290*0.023,NA()))</f>
        <v/>
      </c>
      <c r="I290">
        <f>IF($A290="",NA(),IF($C290="Strategy",$B290,NA()))</f>
        <v/>
      </c>
      <c r="J290">
        <f>IF($A290="",NA(),IF($C290="Strategy",2+$F290*0.023,NA()))</f>
        <v/>
      </c>
      <c r="K290">
        <f>IF($A290="",NA(),IF($C290="Deckbuilder",$B290,NA()))</f>
        <v/>
      </c>
      <c r="L290">
        <f>IF($A290="",NA(),IF($C290="Deckbuilder",3+$F290*0.023,NA()))</f>
        <v/>
      </c>
      <c r="M290">
        <f>IF($A290="",NA(),IF($C290="Traditional",$B290,NA()))</f>
        <v/>
      </c>
      <c r="N290">
        <f>IF($A290="",NA(),IF($C290="Traditional",4+$F290*0.023,NA()))</f>
        <v/>
      </c>
      <c r="O290">
        <f>IF($A290="","",$D290+ROW()/1000000)</f>
        <v/>
      </c>
      <c r="P290">
        <f>IF(OR($A290="",games!$H290=""),"",games!$H290)</f>
        <v/>
      </c>
      <c r="Q290">
        <f>IF(OR($A290="",$P290&lt;&gt;"Yes"),"",$D290+ROW()/1000000)</f>
        <v/>
      </c>
      <c r="T290">
        <f>IF(connections!$A290="","",IFERROR(INDEX(games!$B$2:$B$950,MATCH(connections!$A290,games!$A$2:$A$950,0)),""))</f>
        <v/>
      </c>
      <c r="U290">
        <f>IF(connections!$A290="","",IFERROR(INDEX(games!$B$2:$B$950,MATCH(connections!$B290,games!$A$2:$A$950,0)),""))</f>
        <v/>
      </c>
      <c r="V290">
        <f>IF(OR($T290="",$U290=""),"",$U290-$T290)</f>
        <v/>
      </c>
    </row>
    <row r="291">
      <c r="A291">
        <f>IF(games!$A291="","",games!$A291)</f>
        <v/>
      </c>
      <c r="B291">
        <f>IF($A291="","",games!$B291)</f>
        <v/>
      </c>
      <c r="C291">
        <f>IF($A291="","",games!$C291)</f>
        <v/>
      </c>
      <c r="D291">
        <f>IF($A291="","",COUNTIF(connections!$A$2:$A$1400,$A291)+COUNTIF(connections!$B$2:$B$1400,$A291))</f>
        <v/>
      </c>
      <c r="E291">
        <f>IF($A291="","",IFERROR(MATCH($C291,$R$2:$R$5,0),0))</f>
        <v/>
      </c>
      <c r="F291">
        <f>IF($A291="","",MOD(ROW(),34))</f>
        <v/>
      </c>
      <c r="G291">
        <f>IF($A291="",NA(),IF($C291="Action",$B291,NA()))</f>
        <v/>
      </c>
      <c r="H291">
        <f>IF($A291="",NA(),IF($C291="Action",1+$F291*0.023,NA()))</f>
        <v/>
      </c>
      <c r="I291">
        <f>IF($A291="",NA(),IF($C291="Strategy",$B291,NA()))</f>
        <v/>
      </c>
      <c r="J291">
        <f>IF($A291="",NA(),IF($C291="Strategy",2+$F291*0.023,NA()))</f>
        <v/>
      </c>
      <c r="K291">
        <f>IF($A291="",NA(),IF($C291="Deckbuilder",$B291,NA()))</f>
        <v/>
      </c>
      <c r="L291">
        <f>IF($A291="",NA(),IF($C291="Deckbuilder",3+$F291*0.023,NA()))</f>
        <v/>
      </c>
      <c r="M291">
        <f>IF($A291="",NA(),IF($C291="Traditional",$B291,NA()))</f>
        <v/>
      </c>
      <c r="N291">
        <f>IF($A291="",NA(),IF($C291="Traditional",4+$F291*0.023,NA()))</f>
        <v/>
      </c>
      <c r="O291">
        <f>IF($A291="","",$D291+ROW()/1000000)</f>
        <v/>
      </c>
      <c r="P291">
        <f>IF(OR($A291="",games!$H291=""),"",games!$H291)</f>
        <v/>
      </c>
      <c r="Q291">
        <f>IF(OR($A291="",$P291&lt;&gt;"Yes"),"",$D291+ROW()/1000000)</f>
        <v/>
      </c>
      <c r="T291">
        <f>IF(connections!$A291="","",IFERROR(INDEX(games!$B$2:$B$950,MATCH(connections!$A291,games!$A$2:$A$950,0)),""))</f>
        <v/>
      </c>
      <c r="U291">
        <f>IF(connections!$A291="","",IFERROR(INDEX(games!$B$2:$B$950,MATCH(connections!$B291,games!$A$2:$A$950,0)),""))</f>
        <v/>
      </c>
      <c r="V291">
        <f>IF(OR($T291="",$U291=""),"",$U291-$T291)</f>
        <v/>
      </c>
    </row>
    <row r="292">
      <c r="A292">
        <f>IF(games!$A292="","",games!$A292)</f>
        <v/>
      </c>
      <c r="B292">
        <f>IF($A292="","",games!$B292)</f>
        <v/>
      </c>
      <c r="C292">
        <f>IF($A292="","",games!$C292)</f>
        <v/>
      </c>
      <c r="D292">
        <f>IF($A292="","",COUNTIF(connections!$A$2:$A$1400,$A292)+COUNTIF(connections!$B$2:$B$1400,$A292))</f>
        <v/>
      </c>
      <c r="E292">
        <f>IF($A292="","",IFERROR(MATCH($C292,$R$2:$R$5,0),0))</f>
        <v/>
      </c>
      <c r="F292">
        <f>IF($A292="","",MOD(ROW(),34))</f>
        <v/>
      </c>
      <c r="G292">
        <f>IF($A292="",NA(),IF($C292="Action",$B292,NA()))</f>
        <v/>
      </c>
      <c r="H292">
        <f>IF($A292="",NA(),IF($C292="Action",1+$F292*0.023,NA()))</f>
        <v/>
      </c>
      <c r="I292">
        <f>IF($A292="",NA(),IF($C292="Strategy",$B292,NA()))</f>
        <v/>
      </c>
      <c r="J292">
        <f>IF($A292="",NA(),IF($C292="Strategy",2+$F292*0.023,NA()))</f>
        <v/>
      </c>
      <c r="K292">
        <f>IF($A292="",NA(),IF($C292="Deckbuilder",$B292,NA()))</f>
        <v/>
      </c>
      <c r="L292">
        <f>IF($A292="",NA(),IF($C292="Deckbuilder",3+$F292*0.023,NA()))</f>
        <v/>
      </c>
      <c r="M292">
        <f>IF($A292="",NA(),IF($C292="Traditional",$B292,NA()))</f>
        <v/>
      </c>
      <c r="N292">
        <f>IF($A292="",NA(),IF($C292="Traditional",4+$F292*0.023,NA()))</f>
        <v/>
      </c>
      <c r="O292">
        <f>IF($A292="","",$D292+ROW()/1000000)</f>
        <v/>
      </c>
      <c r="P292">
        <f>IF(OR($A292="",games!$H292=""),"",games!$H292)</f>
        <v/>
      </c>
      <c r="Q292">
        <f>IF(OR($A292="",$P292&lt;&gt;"Yes"),"",$D292+ROW()/1000000)</f>
        <v/>
      </c>
      <c r="T292">
        <f>IF(connections!$A292="","",IFERROR(INDEX(games!$B$2:$B$950,MATCH(connections!$A292,games!$A$2:$A$950,0)),""))</f>
        <v/>
      </c>
      <c r="U292">
        <f>IF(connections!$A292="","",IFERROR(INDEX(games!$B$2:$B$950,MATCH(connections!$B292,games!$A$2:$A$950,0)),""))</f>
        <v/>
      </c>
      <c r="V292">
        <f>IF(OR($T292="",$U292=""),"",$U292-$T292)</f>
        <v/>
      </c>
    </row>
    <row r="293">
      <c r="A293">
        <f>IF(games!$A293="","",games!$A293)</f>
        <v/>
      </c>
      <c r="B293">
        <f>IF($A293="","",games!$B293)</f>
        <v/>
      </c>
      <c r="C293">
        <f>IF($A293="","",games!$C293)</f>
        <v/>
      </c>
      <c r="D293">
        <f>IF($A293="","",COUNTIF(connections!$A$2:$A$1400,$A293)+COUNTIF(connections!$B$2:$B$1400,$A293))</f>
        <v/>
      </c>
      <c r="E293">
        <f>IF($A293="","",IFERROR(MATCH($C293,$R$2:$R$5,0),0))</f>
        <v/>
      </c>
      <c r="F293">
        <f>IF($A293="","",MOD(ROW(),34))</f>
        <v/>
      </c>
      <c r="G293">
        <f>IF($A293="",NA(),IF($C293="Action",$B293,NA()))</f>
        <v/>
      </c>
      <c r="H293">
        <f>IF($A293="",NA(),IF($C293="Action",1+$F293*0.023,NA()))</f>
        <v/>
      </c>
      <c r="I293">
        <f>IF($A293="",NA(),IF($C293="Strategy",$B293,NA()))</f>
        <v/>
      </c>
      <c r="J293">
        <f>IF($A293="",NA(),IF($C293="Strategy",2+$F293*0.023,NA()))</f>
        <v/>
      </c>
      <c r="K293">
        <f>IF($A293="",NA(),IF($C293="Deckbuilder",$B293,NA()))</f>
        <v/>
      </c>
      <c r="L293">
        <f>IF($A293="",NA(),IF($C293="Deckbuilder",3+$F293*0.023,NA()))</f>
        <v/>
      </c>
      <c r="M293">
        <f>IF($A293="",NA(),IF($C293="Traditional",$B293,NA()))</f>
        <v/>
      </c>
      <c r="N293">
        <f>IF($A293="",NA(),IF($C293="Traditional",4+$F293*0.023,NA()))</f>
        <v/>
      </c>
      <c r="O293">
        <f>IF($A293="","",$D293+ROW()/1000000)</f>
        <v/>
      </c>
      <c r="P293">
        <f>IF(OR($A293="",games!$H293=""),"",games!$H293)</f>
        <v/>
      </c>
      <c r="Q293">
        <f>IF(OR($A293="",$P293&lt;&gt;"Yes"),"",$D293+ROW()/1000000)</f>
        <v/>
      </c>
      <c r="T293">
        <f>IF(connections!$A293="","",IFERROR(INDEX(games!$B$2:$B$950,MATCH(connections!$A293,games!$A$2:$A$950,0)),""))</f>
        <v/>
      </c>
      <c r="U293">
        <f>IF(connections!$A293="","",IFERROR(INDEX(games!$B$2:$B$950,MATCH(connections!$B293,games!$A$2:$A$950,0)),""))</f>
        <v/>
      </c>
      <c r="V293">
        <f>IF(OR($T293="",$U293=""),"",$U293-$T293)</f>
        <v/>
      </c>
    </row>
    <row r="294">
      <c r="A294">
        <f>IF(games!$A294="","",games!$A294)</f>
        <v/>
      </c>
      <c r="B294">
        <f>IF($A294="","",games!$B294)</f>
        <v/>
      </c>
      <c r="C294">
        <f>IF($A294="","",games!$C294)</f>
        <v/>
      </c>
      <c r="D294">
        <f>IF($A294="","",COUNTIF(connections!$A$2:$A$1400,$A294)+COUNTIF(connections!$B$2:$B$1400,$A294))</f>
        <v/>
      </c>
      <c r="E294">
        <f>IF($A294="","",IFERROR(MATCH($C294,$R$2:$R$5,0),0))</f>
        <v/>
      </c>
      <c r="F294">
        <f>IF($A294="","",MOD(ROW(),34))</f>
        <v/>
      </c>
      <c r="G294">
        <f>IF($A294="",NA(),IF($C294="Action",$B294,NA()))</f>
        <v/>
      </c>
      <c r="H294">
        <f>IF($A294="",NA(),IF($C294="Action",1+$F294*0.023,NA()))</f>
        <v/>
      </c>
      <c r="I294">
        <f>IF($A294="",NA(),IF($C294="Strategy",$B294,NA()))</f>
        <v/>
      </c>
      <c r="J294">
        <f>IF($A294="",NA(),IF($C294="Strategy",2+$F294*0.023,NA()))</f>
        <v/>
      </c>
      <c r="K294">
        <f>IF($A294="",NA(),IF($C294="Deckbuilder",$B294,NA()))</f>
        <v/>
      </c>
      <c r="L294">
        <f>IF($A294="",NA(),IF($C294="Deckbuilder",3+$F294*0.023,NA()))</f>
        <v/>
      </c>
      <c r="M294">
        <f>IF($A294="",NA(),IF($C294="Traditional",$B294,NA()))</f>
        <v/>
      </c>
      <c r="N294">
        <f>IF($A294="",NA(),IF($C294="Traditional",4+$F294*0.023,NA()))</f>
        <v/>
      </c>
      <c r="O294">
        <f>IF($A294="","",$D294+ROW()/1000000)</f>
        <v/>
      </c>
      <c r="P294">
        <f>IF(OR($A294="",games!$H294=""),"",games!$H294)</f>
        <v/>
      </c>
      <c r="Q294">
        <f>IF(OR($A294="",$P294&lt;&gt;"Yes"),"",$D294+ROW()/1000000)</f>
        <v/>
      </c>
      <c r="T294">
        <f>IF(connections!$A294="","",IFERROR(INDEX(games!$B$2:$B$950,MATCH(connections!$A294,games!$A$2:$A$950,0)),""))</f>
        <v/>
      </c>
      <c r="U294">
        <f>IF(connections!$A294="","",IFERROR(INDEX(games!$B$2:$B$950,MATCH(connections!$B294,games!$A$2:$A$950,0)),""))</f>
        <v/>
      </c>
      <c r="V294">
        <f>IF(OR($T294="",$U294=""),"",$U294-$T294)</f>
        <v/>
      </c>
    </row>
    <row r="295">
      <c r="A295">
        <f>IF(games!$A295="","",games!$A295)</f>
        <v/>
      </c>
      <c r="B295">
        <f>IF($A295="","",games!$B295)</f>
        <v/>
      </c>
      <c r="C295">
        <f>IF($A295="","",games!$C295)</f>
        <v/>
      </c>
      <c r="D295">
        <f>IF($A295="","",COUNTIF(connections!$A$2:$A$1400,$A295)+COUNTIF(connections!$B$2:$B$1400,$A295))</f>
        <v/>
      </c>
      <c r="E295">
        <f>IF($A295="","",IFERROR(MATCH($C295,$R$2:$R$5,0),0))</f>
        <v/>
      </c>
      <c r="F295">
        <f>IF($A295="","",MOD(ROW(),34))</f>
        <v/>
      </c>
      <c r="G295">
        <f>IF($A295="",NA(),IF($C295="Action",$B295,NA()))</f>
        <v/>
      </c>
      <c r="H295">
        <f>IF($A295="",NA(),IF($C295="Action",1+$F295*0.023,NA()))</f>
        <v/>
      </c>
      <c r="I295">
        <f>IF($A295="",NA(),IF($C295="Strategy",$B295,NA()))</f>
        <v/>
      </c>
      <c r="J295">
        <f>IF($A295="",NA(),IF($C295="Strategy",2+$F295*0.023,NA()))</f>
        <v/>
      </c>
      <c r="K295">
        <f>IF($A295="",NA(),IF($C295="Deckbuilder",$B295,NA()))</f>
        <v/>
      </c>
      <c r="L295">
        <f>IF($A295="",NA(),IF($C295="Deckbuilder",3+$F295*0.023,NA()))</f>
        <v/>
      </c>
      <c r="M295">
        <f>IF($A295="",NA(),IF($C295="Traditional",$B295,NA()))</f>
        <v/>
      </c>
      <c r="N295">
        <f>IF($A295="",NA(),IF($C295="Traditional",4+$F295*0.023,NA()))</f>
        <v/>
      </c>
      <c r="O295">
        <f>IF($A295="","",$D295+ROW()/1000000)</f>
        <v/>
      </c>
      <c r="P295">
        <f>IF(OR($A295="",games!$H295=""),"",games!$H295)</f>
        <v/>
      </c>
      <c r="Q295">
        <f>IF(OR($A295="",$P295&lt;&gt;"Yes"),"",$D295+ROW()/1000000)</f>
        <v/>
      </c>
      <c r="T295">
        <f>IF(connections!$A295="","",IFERROR(INDEX(games!$B$2:$B$950,MATCH(connections!$A295,games!$A$2:$A$950,0)),""))</f>
        <v/>
      </c>
      <c r="U295">
        <f>IF(connections!$A295="","",IFERROR(INDEX(games!$B$2:$B$950,MATCH(connections!$B295,games!$A$2:$A$950,0)),""))</f>
        <v/>
      </c>
      <c r="V295">
        <f>IF(OR($T295="",$U295=""),"",$U295-$T295)</f>
        <v/>
      </c>
    </row>
    <row r="296">
      <c r="A296">
        <f>IF(games!$A296="","",games!$A296)</f>
        <v/>
      </c>
      <c r="B296">
        <f>IF($A296="","",games!$B296)</f>
        <v/>
      </c>
      <c r="C296">
        <f>IF($A296="","",games!$C296)</f>
        <v/>
      </c>
      <c r="D296">
        <f>IF($A296="","",COUNTIF(connections!$A$2:$A$1400,$A296)+COUNTIF(connections!$B$2:$B$1400,$A296))</f>
        <v/>
      </c>
      <c r="E296">
        <f>IF($A296="","",IFERROR(MATCH($C296,$R$2:$R$5,0),0))</f>
        <v/>
      </c>
      <c r="F296">
        <f>IF($A296="","",MOD(ROW(),34))</f>
        <v/>
      </c>
      <c r="G296">
        <f>IF($A296="",NA(),IF($C296="Action",$B296,NA()))</f>
        <v/>
      </c>
      <c r="H296">
        <f>IF($A296="",NA(),IF($C296="Action",1+$F296*0.023,NA()))</f>
        <v/>
      </c>
      <c r="I296">
        <f>IF($A296="",NA(),IF($C296="Strategy",$B296,NA()))</f>
        <v/>
      </c>
      <c r="J296">
        <f>IF($A296="",NA(),IF($C296="Strategy",2+$F296*0.023,NA()))</f>
        <v/>
      </c>
      <c r="K296">
        <f>IF($A296="",NA(),IF($C296="Deckbuilder",$B296,NA()))</f>
        <v/>
      </c>
      <c r="L296">
        <f>IF($A296="",NA(),IF($C296="Deckbuilder",3+$F296*0.023,NA()))</f>
        <v/>
      </c>
      <c r="M296">
        <f>IF($A296="",NA(),IF($C296="Traditional",$B296,NA()))</f>
        <v/>
      </c>
      <c r="N296">
        <f>IF($A296="",NA(),IF($C296="Traditional",4+$F296*0.023,NA()))</f>
        <v/>
      </c>
      <c r="O296">
        <f>IF($A296="","",$D296+ROW()/1000000)</f>
        <v/>
      </c>
      <c r="P296">
        <f>IF(OR($A296="",games!$H296=""),"",games!$H296)</f>
        <v/>
      </c>
      <c r="Q296">
        <f>IF(OR($A296="",$P296&lt;&gt;"Yes"),"",$D296+ROW()/1000000)</f>
        <v/>
      </c>
      <c r="T296">
        <f>IF(connections!$A296="","",IFERROR(INDEX(games!$B$2:$B$950,MATCH(connections!$A296,games!$A$2:$A$950,0)),""))</f>
        <v/>
      </c>
      <c r="U296">
        <f>IF(connections!$A296="","",IFERROR(INDEX(games!$B$2:$B$950,MATCH(connections!$B296,games!$A$2:$A$950,0)),""))</f>
        <v/>
      </c>
      <c r="V296">
        <f>IF(OR($T296="",$U296=""),"",$U296-$T296)</f>
        <v/>
      </c>
    </row>
    <row r="297">
      <c r="A297">
        <f>IF(games!$A297="","",games!$A297)</f>
        <v/>
      </c>
      <c r="B297">
        <f>IF($A297="","",games!$B297)</f>
        <v/>
      </c>
      <c r="C297">
        <f>IF($A297="","",games!$C297)</f>
        <v/>
      </c>
      <c r="D297">
        <f>IF($A297="","",COUNTIF(connections!$A$2:$A$1400,$A297)+COUNTIF(connections!$B$2:$B$1400,$A297))</f>
        <v/>
      </c>
      <c r="E297">
        <f>IF($A297="","",IFERROR(MATCH($C297,$R$2:$R$5,0),0))</f>
        <v/>
      </c>
      <c r="F297">
        <f>IF($A297="","",MOD(ROW(),34))</f>
        <v/>
      </c>
      <c r="G297">
        <f>IF($A297="",NA(),IF($C297="Action",$B297,NA()))</f>
        <v/>
      </c>
      <c r="H297">
        <f>IF($A297="",NA(),IF($C297="Action",1+$F297*0.023,NA()))</f>
        <v/>
      </c>
      <c r="I297">
        <f>IF($A297="",NA(),IF($C297="Strategy",$B297,NA()))</f>
        <v/>
      </c>
      <c r="J297">
        <f>IF($A297="",NA(),IF($C297="Strategy",2+$F297*0.023,NA()))</f>
        <v/>
      </c>
      <c r="K297">
        <f>IF($A297="",NA(),IF($C297="Deckbuilder",$B297,NA()))</f>
        <v/>
      </c>
      <c r="L297">
        <f>IF($A297="",NA(),IF($C297="Deckbuilder",3+$F297*0.023,NA()))</f>
        <v/>
      </c>
      <c r="M297">
        <f>IF($A297="",NA(),IF($C297="Traditional",$B297,NA()))</f>
        <v/>
      </c>
      <c r="N297">
        <f>IF($A297="",NA(),IF($C297="Traditional",4+$F297*0.023,NA()))</f>
        <v/>
      </c>
      <c r="O297">
        <f>IF($A297="","",$D297+ROW()/1000000)</f>
        <v/>
      </c>
      <c r="P297">
        <f>IF(OR($A297="",games!$H297=""),"",games!$H297)</f>
        <v/>
      </c>
      <c r="Q297">
        <f>IF(OR($A297="",$P297&lt;&gt;"Yes"),"",$D297+ROW()/1000000)</f>
        <v/>
      </c>
      <c r="T297">
        <f>IF(connections!$A297="","",IFERROR(INDEX(games!$B$2:$B$950,MATCH(connections!$A297,games!$A$2:$A$950,0)),""))</f>
        <v/>
      </c>
      <c r="U297">
        <f>IF(connections!$A297="","",IFERROR(INDEX(games!$B$2:$B$950,MATCH(connections!$B297,games!$A$2:$A$950,0)),""))</f>
        <v/>
      </c>
      <c r="V297">
        <f>IF(OR($T297="",$U297=""),"",$U297-$T297)</f>
        <v/>
      </c>
    </row>
    <row r="298">
      <c r="A298">
        <f>IF(games!$A298="","",games!$A298)</f>
        <v/>
      </c>
      <c r="B298">
        <f>IF($A298="","",games!$B298)</f>
        <v/>
      </c>
      <c r="C298">
        <f>IF($A298="","",games!$C298)</f>
        <v/>
      </c>
      <c r="D298">
        <f>IF($A298="","",COUNTIF(connections!$A$2:$A$1400,$A298)+COUNTIF(connections!$B$2:$B$1400,$A298))</f>
        <v/>
      </c>
      <c r="E298">
        <f>IF($A298="","",IFERROR(MATCH($C298,$R$2:$R$5,0),0))</f>
        <v/>
      </c>
      <c r="F298">
        <f>IF($A298="","",MOD(ROW(),34))</f>
        <v/>
      </c>
      <c r="G298">
        <f>IF($A298="",NA(),IF($C298="Action",$B298,NA()))</f>
        <v/>
      </c>
      <c r="H298">
        <f>IF($A298="",NA(),IF($C298="Action",1+$F298*0.023,NA()))</f>
        <v/>
      </c>
      <c r="I298">
        <f>IF($A298="",NA(),IF($C298="Strategy",$B298,NA()))</f>
        <v/>
      </c>
      <c r="J298">
        <f>IF($A298="",NA(),IF($C298="Strategy",2+$F298*0.023,NA()))</f>
        <v/>
      </c>
      <c r="K298">
        <f>IF($A298="",NA(),IF($C298="Deckbuilder",$B298,NA()))</f>
        <v/>
      </c>
      <c r="L298">
        <f>IF($A298="",NA(),IF($C298="Deckbuilder",3+$F298*0.023,NA()))</f>
        <v/>
      </c>
      <c r="M298">
        <f>IF($A298="",NA(),IF($C298="Traditional",$B298,NA()))</f>
        <v/>
      </c>
      <c r="N298">
        <f>IF($A298="",NA(),IF($C298="Traditional",4+$F298*0.023,NA()))</f>
        <v/>
      </c>
      <c r="O298">
        <f>IF($A298="","",$D298+ROW()/1000000)</f>
        <v/>
      </c>
      <c r="P298">
        <f>IF(OR($A298="",games!$H298=""),"",games!$H298)</f>
        <v/>
      </c>
      <c r="Q298">
        <f>IF(OR($A298="",$P298&lt;&gt;"Yes"),"",$D298+ROW()/1000000)</f>
        <v/>
      </c>
      <c r="T298">
        <f>IF(connections!$A298="","",IFERROR(INDEX(games!$B$2:$B$950,MATCH(connections!$A298,games!$A$2:$A$950,0)),""))</f>
        <v/>
      </c>
      <c r="U298">
        <f>IF(connections!$A298="","",IFERROR(INDEX(games!$B$2:$B$950,MATCH(connections!$B298,games!$A$2:$A$950,0)),""))</f>
        <v/>
      </c>
      <c r="V298">
        <f>IF(OR($T298="",$U298=""),"",$U298-$T298)</f>
        <v/>
      </c>
    </row>
    <row r="299">
      <c r="A299">
        <f>IF(games!$A299="","",games!$A299)</f>
        <v/>
      </c>
      <c r="B299">
        <f>IF($A299="","",games!$B299)</f>
        <v/>
      </c>
      <c r="C299">
        <f>IF($A299="","",games!$C299)</f>
        <v/>
      </c>
      <c r="D299">
        <f>IF($A299="","",COUNTIF(connections!$A$2:$A$1400,$A299)+COUNTIF(connections!$B$2:$B$1400,$A299))</f>
        <v/>
      </c>
      <c r="E299">
        <f>IF($A299="","",IFERROR(MATCH($C299,$R$2:$R$5,0),0))</f>
        <v/>
      </c>
      <c r="F299">
        <f>IF($A299="","",MOD(ROW(),34))</f>
        <v/>
      </c>
      <c r="G299">
        <f>IF($A299="",NA(),IF($C299="Action",$B299,NA()))</f>
        <v/>
      </c>
      <c r="H299">
        <f>IF($A299="",NA(),IF($C299="Action",1+$F299*0.023,NA()))</f>
        <v/>
      </c>
      <c r="I299">
        <f>IF($A299="",NA(),IF($C299="Strategy",$B299,NA()))</f>
        <v/>
      </c>
      <c r="J299">
        <f>IF($A299="",NA(),IF($C299="Strategy",2+$F299*0.023,NA()))</f>
        <v/>
      </c>
      <c r="K299">
        <f>IF($A299="",NA(),IF($C299="Deckbuilder",$B299,NA()))</f>
        <v/>
      </c>
      <c r="L299">
        <f>IF($A299="",NA(),IF($C299="Deckbuilder",3+$F299*0.023,NA()))</f>
        <v/>
      </c>
      <c r="M299">
        <f>IF($A299="",NA(),IF($C299="Traditional",$B299,NA()))</f>
        <v/>
      </c>
      <c r="N299">
        <f>IF($A299="",NA(),IF($C299="Traditional",4+$F299*0.023,NA()))</f>
        <v/>
      </c>
      <c r="O299">
        <f>IF($A299="","",$D299+ROW()/1000000)</f>
        <v/>
      </c>
      <c r="P299">
        <f>IF(OR($A299="",games!$H299=""),"",games!$H299)</f>
        <v/>
      </c>
      <c r="Q299">
        <f>IF(OR($A299="",$P299&lt;&gt;"Yes"),"",$D299+ROW()/1000000)</f>
        <v/>
      </c>
      <c r="T299">
        <f>IF(connections!$A299="","",IFERROR(INDEX(games!$B$2:$B$950,MATCH(connections!$A299,games!$A$2:$A$950,0)),""))</f>
        <v/>
      </c>
      <c r="U299">
        <f>IF(connections!$A299="","",IFERROR(INDEX(games!$B$2:$B$950,MATCH(connections!$B299,games!$A$2:$A$950,0)),""))</f>
        <v/>
      </c>
      <c r="V299">
        <f>IF(OR($T299="",$U299=""),"",$U299-$T299)</f>
        <v/>
      </c>
    </row>
    <row r="300">
      <c r="A300">
        <f>IF(games!$A300="","",games!$A300)</f>
        <v/>
      </c>
      <c r="B300">
        <f>IF($A300="","",games!$B300)</f>
        <v/>
      </c>
      <c r="C300">
        <f>IF($A300="","",games!$C300)</f>
        <v/>
      </c>
      <c r="D300">
        <f>IF($A300="","",COUNTIF(connections!$A$2:$A$1400,$A300)+COUNTIF(connections!$B$2:$B$1400,$A300))</f>
        <v/>
      </c>
      <c r="E300">
        <f>IF($A300="","",IFERROR(MATCH($C300,$R$2:$R$5,0),0))</f>
        <v/>
      </c>
      <c r="F300">
        <f>IF($A300="","",MOD(ROW(),34))</f>
        <v/>
      </c>
      <c r="G300">
        <f>IF($A300="",NA(),IF($C300="Action",$B300,NA()))</f>
        <v/>
      </c>
      <c r="H300">
        <f>IF($A300="",NA(),IF($C300="Action",1+$F300*0.023,NA()))</f>
        <v/>
      </c>
      <c r="I300">
        <f>IF($A300="",NA(),IF($C300="Strategy",$B300,NA()))</f>
        <v/>
      </c>
      <c r="J300">
        <f>IF($A300="",NA(),IF($C300="Strategy",2+$F300*0.023,NA()))</f>
        <v/>
      </c>
      <c r="K300">
        <f>IF($A300="",NA(),IF($C300="Deckbuilder",$B300,NA()))</f>
        <v/>
      </c>
      <c r="L300">
        <f>IF($A300="",NA(),IF($C300="Deckbuilder",3+$F300*0.023,NA()))</f>
        <v/>
      </c>
      <c r="M300">
        <f>IF($A300="",NA(),IF($C300="Traditional",$B300,NA()))</f>
        <v/>
      </c>
      <c r="N300">
        <f>IF($A300="",NA(),IF($C300="Traditional",4+$F300*0.023,NA()))</f>
        <v/>
      </c>
      <c r="O300">
        <f>IF($A300="","",$D300+ROW()/1000000)</f>
        <v/>
      </c>
      <c r="P300">
        <f>IF(OR($A300="",games!$H300=""),"",games!$H300)</f>
        <v/>
      </c>
      <c r="Q300">
        <f>IF(OR($A300="",$P300&lt;&gt;"Yes"),"",$D300+ROW()/1000000)</f>
        <v/>
      </c>
      <c r="T300">
        <f>IF(connections!$A300="","",IFERROR(INDEX(games!$B$2:$B$950,MATCH(connections!$A300,games!$A$2:$A$950,0)),""))</f>
        <v/>
      </c>
      <c r="U300">
        <f>IF(connections!$A300="","",IFERROR(INDEX(games!$B$2:$B$950,MATCH(connections!$B300,games!$A$2:$A$950,0)),""))</f>
        <v/>
      </c>
      <c r="V300">
        <f>IF(OR($T300="",$U300=""),"",$U300-$T300)</f>
        <v/>
      </c>
    </row>
    <row r="301">
      <c r="A301">
        <f>IF(games!$A301="","",games!$A301)</f>
        <v/>
      </c>
      <c r="B301">
        <f>IF($A301="","",games!$B301)</f>
        <v/>
      </c>
      <c r="C301">
        <f>IF($A301="","",games!$C301)</f>
        <v/>
      </c>
      <c r="D301">
        <f>IF($A301="","",COUNTIF(connections!$A$2:$A$1400,$A301)+COUNTIF(connections!$B$2:$B$1400,$A301))</f>
        <v/>
      </c>
      <c r="E301">
        <f>IF($A301="","",IFERROR(MATCH($C301,$R$2:$R$5,0),0))</f>
        <v/>
      </c>
      <c r="F301">
        <f>IF($A301="","",MOD(ROW(),34))</f>
        <v/>
      </c>
      <c r="G301">
        <f>IF($A301="",NA(),IF($C301="Action",$B301,NA()))</f>
        <v/>
      </c>
      <c r="H301">
        <f>IF($A301="",NA(),IF($C301="Action",1+$F301*0.023,NA()))</f>
        <v/>
      </c>
      <c r="I301">
        <f>IF($A301="",NA(),IF($C301="Strategy",$B301,NA()))</f>
        <v/>
      </c>
      <c r="J301">
        <f>IF($A301="",NA(),IF($C301="Strategy",2+$F301*0.023,NA()))</f>
        <v/>
      </c>
      <c r="K301">
        <f>IF($A301="",NA(),IF($C301="Deckbuilder",$B301,NA()))</f>
        <v/>
      </c>
      <c r="L301">
        <f>IF($A301="",NA(),IF($C301="Deckbuilder",3+$F301*0.023,NA()))</f>
        <v/>
      </c>
      <c r="M301">
        <f>IF($A301="",NA(),IF($C301="Traditional",$B301,NA()))</f>
        <v/>
      </c>
      <c r="N301">
        <f>IF($A301="",NA(),IF($C301="Traditional",4+$F301*0.023,NA()))</f>
        <v/>
      </c>
      <c r="O301">
        <f>IF($A301="","",$D301+ROW()/1000000)</f>
        <v/>
      </c>
      <c r="P301">
        <f>IF(OR($A301="",games!$H301=""),"",games!$H301)</f>
        <v/>
      </c>
      <c r="Q301">
        <f>IF(OR($A301="",$P301&lt;&gt;"Yes"),"",$D301+ROW()/1000000)</f>
        <v/>
      </c>
      <c r="T301">
        <f>IF(connections!$A301="","",IFERROR(INDEX(games!$B$2:$B$950,MATCH(connections!$A301,games!$A$2:$A$950,0)),""))</f>
        <v/>
      </c>
      <c r="U301">
        <f>IF(connections!$A301="","",IFERROR(INDEX(games!$B$2:$B$950,MATCH(connections!$B301,games!$A$2:$A$950,0)),""))</f>
        <v/>
      </c>
      <c r="V301">
        <f>IF(OR($T301="",$U301=""),"",$U301-$T301)</f>
        <v/>
      </c>
    </row>
    <row r="302">
      <c r="A302">
        <f>IF(games!$A302="","",games!$A302)</f>
        <v/>
      </c>
      <c r="B302">
        <f>IF($A302="","",games!$B302)</f>
        <v/>
      </c>
      <c r="C302">
        <f>IF($A302="","",games!$C302)</f>
        <v/>
      </c>
      <c r="D302">
        <f>IF($A302="","",COUNTIF(connections!$A$2:$A$1400,$A302)+COUNTIF(connections!$B$2:$B$1400,$A302))</f>
        <v/>
      </c>
      <c r="E302">
        <f>IF($A302="","",IFERROR(MATCH($C302,$R$2:$R$5,0),0))</f>
        <v/>
      </c>
      <c r="F302">
        <f>IF($A302="","",MOD(ROW(),34))</f>
        <v/>
      </c>
      <c r="G302">
        <f>IF($A302="",NA(),IF($C302="Action",$B302,NA()))</f>
        <v/>
      </c>
      <c r="H302">
        <f>IF($A302="",NA(),IF($C302="Action",1+$F302*0.023,NA()))</f>
        <v/>
      </c>
      <c r="I302">
        <f>IF($A302="",NA(),IF($C302="Strategy",$B302,NA()))</f>
        <v/>
      </c>
      <c r="J302">
        <f>IF($A302="",NA(),IF($C302="Strategy",2+$F302*0.023,NA()))</f>
        <v/>
      </c>
      <c r="K302">
        <f>IF($A302="",NA(),IF($C302="Deckbuilder",$B302,NA()))</f>
        <v/>
      </c>
      <c r="L302">
        <f>IF($A302="",NA(),IF($C302="Deckbuilder",3+$F302*0.023,NA()))</f>
        <v/>
      </c>
      <c r="M302">
        <f>IF($A302="",NA(),IF($C302="Traditional",$B302,NA()))</f>
        <v/>
      </c>
      <c r="N302">
        <f>IF($A302="",NA(),IF($C302="Traditional",4+$F302*0.023,NA()))</f>
        <v/>
      </c>
      <c r="O302">
        <f>IF($A302="","",$D302+ROW()/1000000)</f>
        <v/>
      </c>
      <c r="P302">
        <f>IF(OR($A302="",games!$H302=""),"",games!$H302)</f>
        <v/>
      </c>
      <c r="Q302">
        <f>IF(OR($A302="",$P302&lt;&gt;"Yes"),"",$D302+ROW()/1000000)</f>
        <v/>
      </c>
      <c r="T302">
        <f>IF(connections!$A302="","",IFERROR(INDEX(games!$B$2:$B$950,MATCH(connections!$A302,games!$A$2:$A$950,0)),""))</f>
        <v/>
      </c>
      <c r="U302">
        <f>IF(connections!$A302="","",IFERROR(INDEX(games!$B$2:$B$950,MATCH(connections!$B302,games!$A$2:$A$950,0)),""))</f>
        <v/>
      </c>
      <c r="V302">
        <f>IF(OR($T302="",$U302=""),"",$U302-$T302)</f>
        <v/>
      </c>
    </row>
    <row r="303">
      <c r="A303">
        <f>IF(games!$A303="","",games!$A303)</f>
        <v/>
      </c>
      <c r="B303">
        <f>IF($A303="","",games!$B303)</f>
        <v/>
      </c>
      <c r="C303">
        <f>IF($A303="","",games!$C303)</f>
        <v/>
      </c>
      <c r="D303">
        <f>IF($A303="","",COUNTIF(connections!$A$2:$A$1400,$A303)+COUNTIF(connections!$B$2:$B$1400,$A303))</f>
        <v/>
      </c>
      <c r="E303">
        <f>IF($A303="","",IFERROR(MATCH($C303,$R$2:$R$5,0),0))</f>
        <v/>
      </c>
      <c r="F303">
        <f>IF($A303="","",MOD(ROW(),34))</f>
        <v/>
      </c>
      <c r="G303">
        <f>IF($A303="",NA(),IF($C303="Action",$B303,NA()))</f>
        <v/>
      </c>
      <c r="H303">
        <f>IF($A303="",NA(),IF($C303="Action",1+$F303*0.023,NA()))</f>
        <v/>
      </c>
      <c r="I303">
        <f>IF($A303="",NA(),IF($C303="Strategy",$B303,NA()))</f>
        <v/>
      </c>
      <c r="J303">
        <f>IF($A303="",NA(),IF($C303="Strategy",2+$F303*0.023,NA()))</f>
        <v/>
      </c>
      <c r="K303">
        <f>IF($A303="",NA(),IF($C303="Deckbuilder",$B303,NA()))</f>
        <v/>
      </c>
      <c r="L303">
        <f>IF($A303="",NA(),IF($C303="Deckbuilder",3+$F303*0.023,NA()))</f>
        <v/>
      </c>
      <c r="M303">
        <f>IF($A303="",NA(),IF($C303="Traditional",$B303,NA()))</f>
        <v/>
      </c>
      <c r="N303">
        <f>IF($A303="",NA(),IF($C303="Traditional",4+$F303*0.023,NA()))</f>
        <v/>
      </c>
      <c r="O303">
        <f>IF($A303="","",$D303+ROW()/1000000)</f>
        <v/>
      </c>
      <c r="P303">
        <f>IF(OR($A303="",games!$H303=""),"",games!$H303)</f>
        <v/>
      </c>
      <c r="Q303">
        <f>IF(OR($A303="",$P303&lt;&gt;"Yes"),"",$D303+ROW()/1000000)</f>
        <v/>
      </c>
      <c r="T303">
        <f>IF(connections!$A303="","",IFERROR(INDEX(games!$B$2:$B$950,MATCH(connections!$A303,games!$A$2:$A$950,0)),""))</f>
        <v/>
      </c>
      <c r="U303">
        <f>IF(connections!$A303="","",IFERROR(INDEX(games!$B$2:$B$950,MATCH(connections!$B303,games!$A$2:$A$950,0)),""))</f>
        <v/>
      </c>
      <c r="V303">
        <f>IF(OR($T303="",$U303=""),"",$U303-$T303)</f>
        <v/>
      </c>
    </row>
    <row r="304">
      <c r="A304">
        <f>IF(games!$A304="","",games!$A304)</f>
        <v/>
      </c>
      <c r="B304">
        <f>IF($A304="","",games!$B304)</f>
        <v/>
      </c>
      <c r="C304">
        <f>IF($A304="","",games!$C304)</f>
        <v/>
      </c>
      <c r="D304">
        <f>IF($A304="","",COUNTIF(connections!$A$2:$A$1400,$A304)+COUNTIF(connections!$B$2:$B$1400,$A304))</f>
        <v/>
      </c>
      <c r="E304">
        <f>IF($A304="","",IFERROR(MATCH($C304,$R$2:$R$5,0),0))</f>
        <v/>
      </c>
      <c r="F304">
        <f>IF($A304="","",MOD(ROW(),34))</f>
        <v/>
      </c>
      <c r="G304">
        <f>IF($A304="",NA(),IF($C304="Action",$B304,NA()))</f>
        <v/>
      </c>
      <c r="H304">
        <f>IF($A304="",NA(),IF($C304="Action",1+$F304*0.023,NA()))</f>
        <v/>
      </c>
      <c r="I304">
        <f>IF($A304="",NA(),IF($C304="Strategy",$B304,NA()))</f>
        <v/>
      </c>
      <c r="J304">
        <f>IF($A304="",NA(),IF($C304="Strategy",2+$F304*0.023,NA()))</f>
        <v/>
      </c>
      <c r="K304">
        <f>IF($A304="",NA(),IF($C304="Deckbuilder",$B304,NA()))</f>
        <v/>
      </c>
      <c r="L304">
        <f>IF($A304="",NA(),IF($C304="Deckbuilder",3+$F304*0.023,NA()))</f>
        <v/>
      </c>
      <c r="M304">
        <f>IF($A304="",NA(),IF($C304="Traditional",$B304,NA()))</f>
        <v/>
      </c>
      <c r="N304">
        <f>IF($A304="",NA(),IF($C304="Traditional",4+$F304*0.023,NA()))</f>
        <v/>
      </c>
      <c r="O304">
        <f>IF($A304="","",$D304+ROW()/1000000)</f>
        <v/>
      </c>
      <c r="P304">
        <f>IF(OR($A304="",games!$H304=""),"",games!$H304)</f>
        <v/>
      </c>
      <c r="Q304">
        <f>IF(OR($A304="",$P304&lt;&gt;"Yes"),"",$D304+ROW()/1000000)</f>
        <v/>
      </c>
      <c r="T304">
        <f>IF(connections!$A304="","",IFERROR(INDEX(games!$B$2:$B$950,MATCH(connections!$A304,games!$A$2:$A$950,0)),""))</f>
        <v/>
      </c>
      <c r="U304">
        <f>IF(connections!$A304="","",IFERROR(INDEX(games!$B$2:$B$950,MATCH(connections!$B304,games!$A$2:$A$950,0)),""))</f>
        <v/>
      </c>
      <c r="V304">
        <f>IF(OR($T304="",$U304=""),"",$U304-$T304)</f>
        <v/>
      </c>
    </row>
    <row r="305">
      <c r="A305">
        <f>IF(games!$A305="","",games!$A305)</f>
        <v/>
      </c>
      <c r="B305">
        <f>IF($A305="","",games!$B305)</f>
        <v/>
      </c>
      <c r="C305">
        <f>IF($A305="","",games!$C305)</f>
        <v/>
      </c>
      <c r="D305">
        <f>IF($A305="","",COUNTIF(connections!$A$2:$A$1400,$A305)+COUNTIF(connections!$B$2:$B$1400,$A305))</f>
        <v/>
      </c>
      <c r="E305">
        <f>IF($A305="","",IFERROR(MATCH($C305,$R$2:$R$5,0),0))</f>
        <v/>
      </c>
      <c r="F305">
        <f>IF($A305="","",MOD(ROW(),34))</f>
        <v/>
      </c>
      <c r="G305">
        <f>IF($A305="",NA(),IF($C305="Action",$B305,NA()))</f>
        <v/>
      </c>
      <c r="H305">
        <f>IF($A305="",NA(),IF($C305="Action",1+$F305*0.023,NA()))</f>
        <v/>
      </c>
      <c r="I305">
        <f>IF($A305="",NA(),IF($C305="Strategy",$B305,NA()))</f>
        <v/>
      </c>
      <c r="J305">
        <f>IF($A305="",NA(),IF($C305="Strategy",2+$F305*0.023,NA()))</f>
        <v/>
      </c>
      <c r="K305">
        <f>IF($A305="",NA(),IF($C305="Deckbuilder",$B305,NA()))</f>
        <v/>
      </c>
      <c r="L305">
        <f>IF($A305="",NA(),IF($C305="Deckbuilder",3+$F305*0.023,NA()))</f>
        <v/>
      </c>
      <c r="M305">
        <f>IF($A305="",NA(),IF($C305="Traditional",$B305,NA()))</f>
        <v/>
      </c>
      <c r="N305">
        <f>IF($A305="",NA(),IF($C305="Traditional",4+$F305*0.023,NA()))</f>
        <v/>
      </c>
      <c r="O305">
        <f>IF($A305="","",$D305+ROW()/1000000)</f>
        <v/>
      </c>
      <c r="P305">
        <f>IF(OR($A305="",games!$H305=""),"",games!$H305)</f>
        <v/>
      </c>
      <c r="Q305">
        <f>IF(OR($A305="",$P305&lt;&gt;"Yes"),"",$D305+ROW()/1000000)</f>
        <v/>
      </c>
      <c r="T305">
        <f>IF(connections!$A305="","",IFERROR(INDEX(games!$B$2:$B$950,MATCH(connections!$A305,games!$A$2:$A$950,0)),""))</f>
        <v/>
      </c>
      <c r="U305">
        <f>IF(connections!$A305="","",IFERROR(INDEX(games!$B$2:$B$950,MATCH(connections!$B305,games!$A$2:$A$950,0)),""))</f>
        <v/>
      </c>
      <c r="V305">
        <f>IF(OR($T305="",$U305=""),"",$U305-$T305)</f>
        <v/>
      </c>
    </row>
    <row r="306">
      <c r="A306">
        <f>IF(games!$A306="","",games!$A306)</f>
        <v/>
      </c>
      <c r="B306">
        <f>IF($A306="","",games!$B306)</f>
        <v/>
      </c>
      <c r="C306">
        <f>IF($A306="","",games!$C306)</f>
        <v/>
      </c>
      <c r="D306">
        <f>IF($A306="","",COUNTIF(connections!$A$2:$A$1400,$A306)+COUNTIF(connections!$B$2:$B$1400,$A306))</f>
        <v/>
      </c>
      <c r="E306">
        <f>IF($A306="","",IFERROR(MATCH($C306,$R$2:$R$5,0),0))</f>
        <v/>
      </c>
      <c r="F306">
        <f>IF($A306="","",MOD(ROW(),34))</f>
        <v/>
      </c>
      <c r="G306">
        <f>IF($A306="",NA(),IF($C306="Action",$B306,NA()))</f>
        <v/>
      </c>
      <c r="H306">
        <f>IF($A306="",NA(),IF($C306="Action",1+$F306*0.023,NA()))</f>
        <v/>
      </c>
      <c r="I306">
        <f>IF($A306="",NA(),IF($C306="Strategy",$B306,NA()))</f>
        <v/>
      </c>
      <c r="J306">
        <f>IF($A306="",NA(),IF($C306="Strategy",2+$F306*0.023,NA()))</f>
        <v/>
      </c>
      <c r="K306">
        <f>IF($A306="",NA(),IF($C306="Deckbuilder",$B306,NA()))</f>
        <v/>
      </c>
      <c r="L306">
        <f>IF($A306="",NA(),IF($C306="Deckbuilder",3+$F306*0.023,NA()))</f>
        <v/>
      </c>
      <c r="M306">
        <f>IF($A306="",NA(),IF($C306="Traditional",$B306,NA()))</f>
        <v/>
      </c>
      <c r="N306">
        <f>IF($A306="",NA(),IF($C306="Traditional",4+$F306*0.023,NA()))</f>
        <v/>
      </c>
      <c r="O306">
        <f>IF($A306="","",$D306+ROW()/1000000)</f>
        <v/>
      </c>
      <c r="P306">
        <f>IF(OR($A306="",games!$H306=""),"",games!$H306)</f>
        <v/>
      </c>
      <c r="Q306">
        <f>IF(OR($A306="",$P306&lt;&gt;"Yes"),"",$D306+ROW()/1000000)</f>
        <v/>
      </c>
      <c r="T306">
        <f>IF(connections!$A306="","",IFERROR(INDEX(games!$B$2:$B$950,MATCH(connections!$A306,games!$A$2:$A$950,0)),""))</f>
        <v/>
      </c>
      <c r="U306">
        <f>IF(connections!$A306="","",IFERROR(INDEX(games!$B$2:$B$950,MATCH(connections!$B306,games!$A$2:$A$950,0)),""))</f>
        <v/>
      </c>
      <c r="V306">
        <f>IF(OR($T306="",$U306=""),"",$U306-$T306)</f>
        <v/>
      </c>
    </row>
    <row r="307">
      <c r="A307">
        <f>IF(games!$A307="","",games!$A307)</f>
        <v/>
      </c>
      <c r="B307">
        <f>IF($A307="","",games!$B307)</f>
        <v/>
      </c>
      <c r="C307">
        <f>IF($A307="","",games!$C307)</f>
        <v/>
      </c>
      <c r="D307">
        <f>IF($A307="","",COUNTIF(connections!$A$2:$A$1400,$A307)+COUNTIF(connections!$B$2:$B$1400,$A307))</f>
        <v/>
      </c>
      <c r="E307">
        <f>IF($A307="","",IFERROR(MATCH($C307,$R$2:$R$5,0),0))</f>
        <v/>
      </c>
      <c r="F307">
        <f>IF($A307="","",MOD(ROW(),34))</f>
        <v/>
      </c>
      <c r="G307">
        <f>IF($A307="",NA(),IF($C307="Action",$B307,NA()))</f>
        <v/>
      </c>
      <c r="H307">
        <f>IF($A307="",NA(),IF($C307="Action",1+$F307*0.023,NA()))</f>
        <v/>
      </c>
      <c r="I307">
        <f>IF($A307="",NA(),IF($C307="Strategy",$B307,NA()))</f>
        <v/>
      </c>
      <c r="J307">
        <f>IF($A307="",NA(),IF($C307="Strategy",2+$F307*0.023,NA()))</f>
        <v/>
      </c>
      <c r="K307">
        <f>IF($A307="",NA(),IF($C307="Deckbuilder",$B307,NA()))</f>
        <v/>
      </c>
      <c r="L307">
        <f>IF($A307="",NA(),IF($C307="Deckbuilder",3+$F307*0.023,NA()))</f>
        <v/>
      </c>
      <c r="M307">
        <f>IF($A307="",NA(),IF($C307="Traditional",$B307,NA()))</f>
        <v/>
      </c>
      <c r="N307">
        <f>IF($A307="",NA(),IF($C307="Traditional",4+$F307*0.023,NA()))</f>
        <v/>
      </c>
      <c r="O307">
        <f>IF($A307="","",$D307+ROW()/1000000)</f>
        <v/>
      </c>
      <c r="P307">
        <f>IF(OR($A307="",games!$H307=""),"",games!$H307)</f>
        <v/>
      </c>
      <c r="Q307">
        <f>IF(OR($A307="",$P307&lt;&gt;"Yes"),"",$D307+ROW()/1000000)</f>
        <v/>
      </c>
      <c r="T307">
        <f>IF(connections!$A307="","",IFERROR(INDEX(games!$B$2:$B$950,MATCH(connections!$A307,games!$A$2:$A$950,0)),""))</f>
        <v/>
      </c>
      <c r="U307">
        <f>IF(connections!$A307="","",IFERROR(INDEX(games!$B$2:$B$950,MATCH(connections!$B307,games!$A$2:$A$950,0)),""))</f>
        <v/>
      </c>
      <c r="V307">
        <f>IF(OR($T307="",$U307=""),"",$U307-$T307)</f>
        <v/>
      </c>
    </row>
    <row r="308">
      <c r="A308">
        <f>IF(games!$A308="","",games!$A308)</f>
        <v/>
      </c>
      <c r="B308">
        <f>IF($A308="","",games!$B308)</f>
        <v/>
      </c>
      <c r="C308">
        <f>IF($A308="","",games!$C308)</f>
        <v/>
      </c>
      <c r="D308">
        <f>IF($A308="","",COUNTIF(connections!$A$2:$A$1400,$A308)+COUNTIF(connections!$B$2:$B$1400,$A308))</f>
        <v/>
      </c>
      <c r="E308">
        <f>IF($A308="","",IFERROR(MATCH($C308,$R$2:$R$5,0),0))</f>
        <v/>
      </c>
      <c r="F308">
        <f>IF($A308="","",MOD(ROW(),34))</f>
        <v/>
      </c>
      <c r="G308">
        <f>IF($A308="",NA(),IF($C308="Action",$B308,NA()))</f>
        <v/>
      </c>
      <c r="H308">
        <f>IF($A308="",NA(),IF($C308="Action",1+$F308*0.023,NA()))</f>
        <v/>
      </c>
      <c r="I308">
        <f>IF($A308="",NA(),IF($C308="Strategy",$B308,NA()))</f>
        <v/>
      </c>
      <c r="J308">
        <f>IF($A308="",NA(),IF($C308="Strategy",2+$F308*0.023,NA()))</f>
        <v/>
      </c>
      <c r="K308">
        <f>IF($A308="",NA(),IF($C308="Deckbuilder",$B308,NA()))</f>
        <v/>
      </c>
      <c r="L308">
        <f>IF($A308="",NA(),IF($C308="Deckbuilder",3+$F308*0.023,NA()))</f>
        <v/>
      </c>
      <c r="M308">
        <f>IF($A308="",NA(),IF($C308="Traditional",$B308,NA()))</f>
        <v/>
      </c>
      <c r="N308">
        <f>IF($A308="",NA(),IF($C308="Traditional",4+$F308*0.023,NA()))</f>
        <v/>
      </c>
      <c r="O308">
        <f>IF($A308="","",$D308+ROW()/1000000)</f>
        <v/>
      </c>
      <c r="P308">
        <f>IF(OR($A308="",games!$H308=""),"",games!$H308)</f>
        <v/>
      </c>
      <c r="Q308">
        <f>IF(OR($A308="",$P308&lt;&gt;"Yes"),"",$D308+ROW()/1000000)</f>
        <v/>
      </c>
      <c r="T308">
        <f>IF(connections!$A308="","",IFERROR(INDEX(games!$B$2:$B$950,MATCH(connections!$A308,games!$A$2:$A$950,0)),""))</f>
        <v/>
      </c>
      <c r="U308">
        <f>IF(connections!$A308="","",IFERROR(INDEX(games!$B$2:$B$950,MATCH(connections!$B308,games!$A$2:$A$950,0)),""))</f>
        <v/>
      </c>
      <c r="V308">
        <f>IF(OR($T308="",$U308=""),"",$U308-$T308)</f>
        <v/>
      </c>
    </row>
    <row r="309">
      <c r="A309">
        <f>IF(games!$A309="","",games!$A309)</f>
        <v/>
      </c>
      <c r="B309">
        <f>IF($A309="","",games!$B309)</f>
        <v/>
      </c>
      <c r="C309">
        <f>IF($A309="","",games!$C309)</f>
        <v/>
      </c>
      <c r="D309">
        <f>IF($A309="","",COUNTIF(connections!$A$2:$A$1400,$A309)+COUNTIF(connections!$B$2:$B$1400,$A309))</f>
        <v/>
      </c>
      <c r="E309">
        <f>IF($A309="","",IFERROR(MATCH($C309,$R$2:$R$5,0),0))</f>
        <v/>
      </c>
      <c r="F309">
        <f>IF($A309="","",MOD(ROW(),34))</f>
        <v/>
      </c>
      <c r="G309">
        <f>IF($A309="",NA(),IF($C309="Action",$B309,NA()))</f>
        <v/>
      </c>
      <c r="H309">
        <f>IF($A309="",NA(),IF($C309="Action",1+$F309*0.023,NA()))</f>
        <v/>
      </c>
      <c r="I309">
        <f>IF($A309="",NA(),IF($C309="Strategy",$B309,NA()))</f>
        <v/>
      </c>
      <c r="J309">
        <f>IF($A309="",NA(),IF($C309="Strategy",2+$F309*0.023,NA()))</f>
        <v/>
      </c>
      <c r="K309">
        <f>IF($A309="",NA(),IF($C309="Deckbuilder",$B309,NA()))</f>
        <v/>
      </c>
      <c r="L309">
        <f>IF($A309="",NA(),IF($C309="Deckbuilder",3+$F309*0.023,NA()))</f>
        <v/>
      </c>
      <c r="M309">
        <f>IF($A309="",NA(),IF($C309="Traditional",$B309,NA()))</f>
        <v/>
      </c>
      <c r="N309">
        <f>IF($A309="",NA(),IF($C309="Traditional",4+$F309*0.023,NA()))</f>
        <v/>
      </c>
      <c r="O309">
        <f>IF($A309="","",$D309+ROW()/1000000)</f>
        <v/>
      </c>
      <c r="P309">
        <f>IF(OR($A309="",games!$H309=""),"",games!$H309)</f>
        <v/>
      </c>
      <c r="Q309">
        <f>IF(OR($A309="",$P309&lt;&gt;"Yes"),"",$D309+ROW()/1000000)</f>
        <v/>
      </c>
      <c r="T309">
        <f>IF(connections!$A309="","",IFERROR(INDEX(games!$B$2:$B$950,MATCH(connections!$A309,games!$A$2:$A$950,0)),""))</f>
        <v/>
      </c>
      <c r="U309">
        <f>IF(connections!$A309="","",IFERROR(INDEX(games!$B$2:$B$950,MATCH(connections!$B309,games!$A$2:$A$950,0)),""))</f>
        <v/>
      </c>
      <c r="V309">
        <f>IF(OR($T309="",$U309=""),"",$U309-$T309)</f>
        <v/>
      </c>
    </row>
    <row r="310">
      <c r="A310">
        <f>IF(games!$A310="","",games!$A310)</f>
        <v/>
      </c>
      <c r="B310">
        <f>IF($A310="","",games!$B310)</f>
        <v/>
      </c>
      <c r="C310">
        <f>IF($A310="","",games!$C310)</f>
        <v/>
      </c>
      <c r="D310">
        <f>IF($A310="","",COUNTIF(connections!$A$2:$A$1400,$A310)+COUNTIF(connections!$B$2:$B$1400,$A310))</f>
        <v/>
      </c>
      <c r="E310">
        <f>IF($A310="","",IFERROR(MATCH($C310,$R$2:$R$5,0),0))</f>
        <v/>
      </c>
      <c r="F310">
        <f>IF($A310="","",MOD(ROW(),34))</f>
        <v/>
      </c>
      <c r="G310">
        <f>IF($A310="",NA(),IF($C310="Action",$B310,NA()))</f>
        <v/>
      </c>
      <c r="H310">
        <f>IF($A310="",NA(),IF($C310="Action",1+$F310*0.023,NA()))</f>
        <v/>
      </c>
      <c r="I310">
        <f>IF($A310="",NA(),IF($C310="Strategy",$B310,NA()))</f>
        <v/>
      </c>
      <c r="J310">
        <f>IF($A310="",NA(),IF($C310="Strategy",2+$F310*0.023,NA()))</f>
        <v/>
      </c>
      <c r="K310">
        <f>IF($A310="",NA(),IF($C310="Deckbuilder",$B310,NA()))</f>
        <v/>
      </c>
      <c r="L310">
        <f>IF($A310="",NA(),IF($C310="Deckbuilder",3+$F310*0.023,NA()))</f>
        <v/>
      </c>
      <c r="M310">
        <f>IF($A310="",NA(),IF($C310="Traditional",$B310,NA()))</f>
        <v/>
      </c>
      <c r="N310">
        <f>IF($A310="",NA(),IF($C310="Traditional",4+$F310*0.023,NA()))</f>
        <v/>
      </c>
      <c r="O310">
        <f>IF($A310="","",$D310+ROW()/1000000)</f>
        <v/>
      </c>
      <c r="P310">
        <f>IF(OR($A310="",games!$H310=""),"",games!$H310)</f>
        <v/>
      </c>
      <c r="Q310">
        <f>IF(OR($A310="",$P310&lt;&gt;"Yes"),"",$D310+ROW()/1000000)</f>
        <v/>
      </c>
      <c r="T310">
        <f>IF(connections!$A310="","",IFERROR(INDEX(games!$B$2:$B$950,MATCH(connections!$A310,games!$A$2:$A$950,0)),""))</f>
        <v/>
      </c>
      <c r="U310">
        <f>IF(connections!$A310="","",IFERROR(INDEX(games!$B$2:$B$950,MATCH(connections!$B310,games!$A$2:$A$950,0)),""))</f>
        <v/>
      </c>
      <c r="V310">
        <f>IF(OR($T310="",$U310=""),"",$U310-$T310)</f>
        <v/>
      </c>
    </row>
    <row r="311">
      <c r="A311">
        <f>IF(games!$A311="","",games!$A311)</f>
        <v/>
      </c>
      <c r="B311">
        <f>IF($A311="","",games!$B311)</f>
        <v/>
      </c>
      <c r="C311">
        <f>IF($A311="","",games!$C311)</f>
        <v/>
      </c>
      <c r="D311">
        <f>IF($A311="","",COUNTIF(connections!$A$2:$A$1400,$A311)+COUNTIF(connections!$B$2:$B$1400,$A311))</f>
        <v/>
      </c>
      <c r="E311">
        <f>IF($A311="","",IFERROR(MATCH($C311,$R$2:$R$5,0),0))</f>
        <v/>
      </c>
      <c r="F311">
        <f>IF($A311="","",MOD(ROW(),34))</f>
        <v/>
      </c>
      <c r="G311">
        <f>IF($A311="",NA(),IF($C311="Action",$B311,NA()))</f>
        <v/>
      </c>
      <c r="H311">
        <f>IF($A311="",NA(),IF($C311="Action",1+$F311*0.023,NA()))</f>
        <v/>
      </c>
      <c r="I311">
        <f>IF($A311="",NA(),IF($C311="Strategy",$B311,NA()))</f>
        <v/>
      </c>
      <c r="J311">
        <f>IF($A311="",NA(),IF($C311="Strategy",2+$F311*0.023,NA()))</f>
        <v/>
      </c>
      <c r="K311">
        <f>IF($A311="",NA(),IF($C311="Deckbuilder",$B311,NA()))</f>
        <v/>
      </c>
      <c r="L311">
        <f>IF($A311="",NA(),IF($C311="Deckbuilder",3+$F311*0.023,NA()))</f>
        <v/>
      </c>
      <c r="M311">
        <f>IF($A311="",NA(),IF($C311="Traditional",$B311,NA()))</f>
        <v/>
      </c>
      <c r="N311">
        <f>IF($A311="",NA(),IF($C311="Traditional",4+$F311*0.023,NA()))</f>
        <v/>
      </c>
      <c r="O311">
        <f>IF($A311="","",$D311+ROW()/1000000)</f>
        <v/>
      </c>
      <c r="P311">
        <f>IF(OR($A311="",games!$H311=""),"",games!$H311)</f>
        <v/>
      </c>
      <c r="Q311">
        <f>IF(OR($A311="",$P311&lt;&gt;"Yes"),"",$D311+ROW()/1000000)</f>
        <v/>
      </c>
      <c r="T311">
        <f>IF(connections!$A311="","",IFERROR(INDEX(games!$B$2:$B$950,MATCH(connections!$A311,games!$A$2:$A$950,0)),""))</f>
        <v/>
      </c>
      <c r="U311">
        <f>IF(connections!$A311="","",IFERROR(INDEX(games!$B$2:$B$950,MATCH(connections!$B311,games!$A$2:$A$950,0)),""))</f>
        <v/>
      </c>
      <c r="V311">
        <f>IF(OR($T311="",$U311=""),"",$U311-$T311)</f>
        <v/>
      </c>
    </row>
    <row r="312">
      <c r="A312">
        <f>IF(games!$A312="","",games!$A312)</f>
        <v/>
      </c>
      <c r="B312">
        <f>IF($A312="","",games!$B312)</f>
        <v/>
      </c>
      <c r="C312">
        <f>IF($A312="","",games!$C312)</f>
        <v/>
      </c>
      <c r="D312">
        <f>IF($A312="","",COUNTIF(connections!$A$2:$A$1400,$A312)+COUNTIF(connections!$B$2:$B$1400,$A312))</f>
        <v/>
      </c>
      <c r="E312">
        <f>IF($A312="","",IFERROR(MATCH($C312,$R$2:$R$5,0),0))</f>
        <v/>
      </c>
      <c r="F312">
        <f>IF($A312="","",MOD(ROW(),34))</f>
        <v/>
      </c>
      <c r="G312">
        <f>IF($A312="",NA(),IF($C312="Action",$B312,NA()))</f>
        <v/>
      </c>
      <c r="H312">
        <f>IF($A312="",NA(),IF($C312="Action",1+$F312*0.023,NA()))</f>
        <v/>
      </c>
      <c r="I312">
        <f>IF($A312="",NA(),IF($C312="Strategy",$B312,NA()))</f>
        <v/>
      </c>
      <c r="J312">
        <f>IF($A312="",NA(),IF($C312="Strategy",2+$F312*0.023,NA()))</f>
        <v/>
      </c>
      <c r="K312">
        <f>IF($A312="",NA(),IF($C312="Deckbuilder",$B312,NA()))</f>
        <v/>
      </c>
      <c r="L312">
        <f>IF($A312="",NA(),IF($C312="Deckbuilder",3+$F312*0.023,NA()))</f>
        <v/>
      </c>
      <c r="M312">
        <f>IF($A312="",NA(),IF($C312="Traditional",$B312,NA()))</f>
        <v/>
      </c>
      <c r="N312">
        <f>IF($A312="",NA(),IF($C312="Traditional",4+$F312*0.023,NA()))</f>
        <v/>
      </c>
      <c r="O312">
        <f>IF($A312="","",$D312+ROW()/1000000)</f>
        <v/>
      </c>
      <c r="P312">
        <f>IF(OR($A312="",games!$H312=""),"",games!$H312)</f>
        <v/>
      </c>
      <c r="Q312">
        <f>IF(OR($A312="",$P312&lt;&gt;"Yes"),"",$D312+ROW()/1000000)</f>
        <v/>
      </c>
      <c r="T312">
        <f>IF(connections!$A312="","",IFERROR(INDEX(games!$B$2:$B$950,MATCH(connections!$A312,games!$A$2:$A$950,0)),""))</f>
        <v/>
      </c>
      <c r="U312">
        <f>IF(connections!$A312="","",IFERROR(INDEX(games!$B$2:$B$950,MATCH(connections!$B312,games!$A$2:$A$950,0)),""))</f>
        <v/>
      </c>
      <c r="V312">
        <f>IF(OR($T312="",$U312=""),"",$U312-$T312)</f>
        <v/>
      </c>
    </row>
    <row r="313">
      <c r="A313">
        <f>IF(games!$A313="","",games!$A313)</f>
        <v/>
      </c>
      <c r="B313">
        <f>IF($A313="","",games!$B313)</f>
        <v/>
      </c>
      <c r="C313">
        <f>IF($A313="","",games!$C313)</f>
        <v/>
      </c>
      <c r="D313">
        <f>IF($A313="","",COUNTIF(connections!$A$2:$A$1400,$A313)+COUNTIF(connections!$B$2:$B$1400,$A313))</f>
        <v/>
      </c>
      <c r="E313">
        <f>IF($A313="","",IFERROR(MATCH($C313,$R$2:$R$5,0),0))</f>
        <v/>
      </c>
      <c r="F313">
        <f>IF($A313="","",MOD(ROW(),34))</f>
        <v/>
      </c>
      <c r="G313">
        <f>IF($A313="",NA(),IF($C313="Action",$B313,NA()))</f>
        <v/>
      </c>
      <c r="H313">
        <f>IF($A313="",NA(),IF($C313="Action",1+$F313*0.023,NA()))</f>
        <v/>
      </c>
      <c r="I313">
        <f>IF($A313="",NA(),IF($C313="Strategy",$B313,NA()))</f>
        <v/>
      </c>
      <c r="J313">
        <f>IF($A313="",NA(),IF($C313="Strategy",2+$F313*0.023,NA()))</f>
        <v/>
      </c>
      <c r="K313">
        <f>IF($A313="",NA(),IF($C313="Deckbuilder",$B313,NA()))</f>
        <v/>
      </c>
      <c r="L313">
        <f>IF($A313="",NA(),IF($C313="Deckbuilder",3+$F313*0.023,NA()))</f>
        <v/>
      </c>
      <c r="M313">
        <f>IF($A313="",NA(),IF($C313="Traditional",$B313,NA()))</f>
        <v/>
      </c>
      <c r="N313">
        <f>IF($A313="",NA(),IF($C313="Traditional",4+$F313*0.023,NA()))</f>
        <v/>
      </c>
      <c r="O313">
        <f>IF($A313="","",$D313+ROW()/1000000)</f>
        <v/>
      </c>
      <c r="P313">
        <f>IF(OR($A313="",games!$H313=""),"",games!$H313)</f>
        <v/>
      </c>
      <c r="Q313">
        <f>IF(OR($A313="",$P313&lt;&gt;"Yes"),"",$D313+ROW()/1000000)</f>
        <v/>
      </c>
      <c r="T313">
        <f>IF(connections!$A313="","",IFERROR(INDEX(games!$B$2:$B$950,MATCH(connections!$A313,games!$A$2:$A$950,0)),""))</f>
        <v/>
      </c>
      <c r="U313">
        <f>IF(connections!$A313="","",IFERROR(INDEX(games!$B$2:$B$950,MATCH(connections!$B313,games!$A$2:$A$950,0)),""))</f>
        <v/>
      </c>
      <c r="V313">
        <f>IF(OR($T313="",$U313=""),"",$U313-$T313)</f>
        <v/>
      </c>
    </row>
    <row r="314">
      <c r="A314">
        <f>IF(games!$A314="","",games!$A314)</f>
        <v/>
      </c>
      <c r="B314">
        <f>IF($A314="","",games!$B314)</f>
        <v/>
      </c>
      <c r="C314">
        <f>IF($A314="","",games!$C314)</f>
        <v/>
      </c>
      <c r="D314">
        <f>IF($A314="","",COUNTIF(connections!$A$2:$A$1400,$A314)+COUNTIF(connections!$B$2:$B$1400,$A314))</f>
        <v/>
      </c>
      <c r="E314">
        <f>IF($A314="","",IFERROR(MATCH($C314,$R$2:$R$5,0),0))</f>
        <v/>
      </c>
      <c r="F314">
        <f>IF($A314="","",MOD(ROW(),34))</f>
        <v/>
      </c>
      <c r="G314">
        <f>IF($A314="",NA(),IF($C314="Action",$B314,NA()))</f>
        <v/>
      </c>
      <c r="H314">
        <f>IF($A314="",NA(),IF($C314="Action",1+$F314*0.023,NA()))</f>
        <v/>
      </c>
      <c r="I314">
        <f>IF($A314="",NA(),IF($C314="Strategy",$B314,NA()))</f>
        <v/>
      </c>
      <c r="J314">
        <f>IF($A314="",NA(),IF($C314="Strategy",2+$F314*0.023,NA()))</f>
        <v/>
      </c>
      <c r="K314">
        <f>IF($A314="",NA(),IF($C314="Deckbuilder",$B314,NA()))</f>
        <v/>
      </c>
      <c r="L314">
        <f>IF($A314="",NA(),IF($C314="Deckbuilder",3+$F314*0.023,NA()))</f>
        <v/>
      </c>
      <c r="M314">
        <f>IF($A314="",NA(),IF($C314="Traditional",$B314,NA()))</f>
        <v/>
      </c>
      <c r="N314">
        <f>IF($A314="",NA(),IF($C314="Traditional",4+$F314*0.023,NA()))</f>
        <v/>
      </c>
      <c r="O314">
        <f>IF($A314="","",$D314+ROW()/1000000)</f>
        <v/>
      </c>
      <c r="P314">
        <f>IF(OR($A314="",games!$H314=""),"",games!$H314)</f>
        <v/>
      </c>
      <c r="Q314">
        <f>IF(OR($A314="",$P314&lt;&gt;"Yes"),"",$D314+ROW()/1000000)</f>
        <v/>
      </c>
      <c r="T314">
        <f>IF(connections!$A314="","",IFERROR(INDEX(games!$B$2:$B$950,MATCH(connections!$A314,games!$A$2:$A$950,0)),""))</f>
        <v/>
      </c>
      <c r="U314">
        <f>IF(connections!$A314="","",IFERROR(INDEX(games!$B$2:$B$950,MATCH(connections!$B314,games!$A$2:$A$950,0)),""))</f>
        <v/>
      </c>
      <c r="V314">
        <f>IF(OR($T314="",$U314=""),"",$U314-$T314)</f>
        <v/>
      </c>
    </row>
    <row r="315">
      <c r="A315">
        <f>IF(games!$A315="","",games!$A315)</f>
        <v/>
      </c>
      <c r="B315">
        <f>IF($A315="","",games!$B315)</f>
        <v/>
      </c>
      <c r="C315">
        <f>IF($A315="","",games!$C315)</f>
        <v/>
      </c>
      <c r="D315">
        <f>IF($A315="","",COUNTIF(connections!$A$2:$A$1400,$A315)+COUNTIF(connections!$B$2:$B$1400,$A315))</f>
        <v/>
      </c>
      <c r="E315">
        <f>IF($A315="","",IFERROR(MATCH($C315,$R$2:$R$5,0),0))</f>
        <v/>
      </c>
      <c r="F315">
        <f>IF($A315="","",MOD(ROW(),34))</f>
        <v/>
      </c>
      <c r="G315">
        <f>IF($A315="",NA(),IF($C315="Action",$B315,NA()))</f>
        <v/>
      </c>
      <c r="H315">
        <f>IF($A315="",NA(),IF($C315="Action",1+$F315*0.023,NA()))</f>
        <v/>
      </c>
      <c r="I315">
        <f>IF($A315="",NA(),IF($C315="Strategy",$B315,NA()))</f>
        <v/>
      </c>
      <c r="J315">
        <f>IF($A315="",NA(),IF($C315="Strategy",2+$F315*0.023,NA()))</f>
        <v/>
      </c>
      <c r="K315">
        <f>IF($A315="",NA(),IF($C315="Deckbuilder",$B315,NA()))</f>
        <v/>
      </c>
      <c r="L315">
        <f>IF($A315="",NA(),IF($C315="Deckbuilder",3+$F315*0.023,NA()))</f>
        <v/>
      </c>
      <c r="M315">
        <f>IF($A315="",NA(),IF($C315="Traditional",$B315,NA()))</f>
        <v/>
      </c>
      <c r="N315">
        <f>IF($A315="",NA(),IF($C315="Traditional",4+$F315*0.023,NA()))</f>
        <v/>
      </c>
      <c r="O315">
        <f>IF($A315="","",$D315+ROW()/1000000)</f>
        <v/>
      </c>
      <c r="P315">
        <f>IF(OR($A315="",games!$H315=""),"",games!$H315)</f>
        <v/>
      </c>
      <c r="Q315">
        <f>IF(OR($A315="",$P315&lt;&gt;"Yes"),"",$D315+ROW()/1000000)</f>
        <v/>
      </c>
      <c r="T315">
        <f>IF(connections!$A315="","",IFERROR(INDEX(games!$B$2:$B$950,MATCH(connections!$A315,games!$A$2:$A$950,0)),""))</f>
        <v/>
      </c>
      <c r="U315">
        <f>IF(connections!$A315="","",IFERROR(INDEX(games!$B$2:$B$950,MATCH(connections!$B315,games!$A$2:$A$950,0)),""))</f>
        <v/>
      </c>
      <c r="V315">
        <f>IF(OR($T315="",$U315=""),"",$U315-$T315)</f>
        <v/>
      </c>
    </row>
    <row r="316">
      <c r="A316">
        <f>IF(games!$A316="","",games!$A316)</f>
        <v/>
      </c>
      <c r="B316">
        <f>IF($A316="","",games!$B316)</f>
        <v/>
      </c>
      <c r="C316">
        <f>IF($A316="","",games!$C316)</f>
        <v/>
      </c>
      <c r="D316">
        <f>IF($A316="","",COUNTIF(connections!$A$2:$A$1400,$A316)+COUNTIF(connections!$B$2:$B$1400,$A316))</f>
        <v/>
      </c>
      <c r="E316">
        <f>IF($A316="","",IFERROR(MATCH($C316,$R$2:$R$5,0),0))</f>
        <v/>
      </c>
      <c r="F316">
        <f>IF($A316="","",MOD(ROW(),34))</f>
        <v/>
      </c>
      <c r="G316">
        <f>IF($A316="",NA(),IF($C316="Action",$B316,NA()))</f>
        <v/>
      </c>
      <c r="H316">
        <f>IF($A316="",NA(),IF($C316="Action",1+$F316*0.023,NA()))</f>
        <v/>
      </c>
      <c r="I316">
        <f>IF($A316="",NA(),IF($C316="Strategy",$B316,NA()))</f>
        <v/>
      </c>
      <c r="J316">
        <f>IF($A316="",NA(),IF($C316="Strategy",2+$F316*0.023,NA()))</f>
        <v/>
      </c>
      <c r="K316">
        <f>IF($A316="",NA(),IF($C316="Deckbuilder",$B316,NA()))</f>
        <v/>
      </c>
      <c r="L316">
        <f>IF($A316="",NA(),IF($C316="Deckbuilder",3+$F316*0.023,NA()))</f>
        <v/>
      </c>
      <c r="M316">
        <f>IF($A316="",NA(),IF($C316="Traditional",$B316,NA()))</f>
        <v/>
      </c>
      <c r="N316">
        <f>IF($A316="",NA(),IF($C316="Traditional",4+$F316*0.023,NA()))</f>
        <v/>
      </c>
      <c r="O316">
        <f>IF($A316="","",$D316+ROW()/1000000)</f>
        <v/>
      </c>
      <c r="P316">
        <f>IF(OR($A316="",games!$H316=""),"",games!$H316)</f>
        <v/>
      </c>
      <c r="Q316">
        <f>IF(OR($A316="",$P316&lt;&gt;"Yes"),"",$D316+ROW()/1000000)</f>
        <v/>
      </c>
      <c r="T316">
        <f>IF(connections!$A316="","",IFERROR(INDEX(games!$B$2:$B$950,MATCH(connections!$A316,games!$A$2:$A$950,0)),""))</f>
        <v/>
      </c>
      <c r="U316">
        <f>IF(connections!$A316="","",IFERROR(INDEX(games!$B$2:$B$950,MATCH(connections!$B316,games!$A$2:$A$950,0)),""))</f>
        <v/>
      </c>
      <c r="V316">
        <f>IF(OR($T316="",$U316=""),"",$U316-$T316)</f>
        <v/>
      </c>
    </row>
    <row r="317">
      <c r="A317">
        <f>IF(games!$A317="","",games!$A317)</f>
        <v/>
      </c>
      <c r="B317">
        <f>IF($A317="","",games!$B317)</f>
        <v/>
      </c>
      <c r="C317">
        <f>IF($A317="","",games!$C317)</f>
        <v/>
      </c>
      <c r="D317">
        <f>IF($A317="","",COUNTIF(connections!$A$2:$A$1400,$A317)+COUNTIF(connections!$B$2:$B$1400,$A317))</f>
        <v/>
      </c>
      <c r="E317">
        <f>IF($A317="","",IFERROR(MATCH($C317,$R$2:$R$5,0),0))</f>
        <v/>
      </c>
      <c r="F317">
        <f>IF($A317="","",MOD(ROW(),34))</f>
        <v/>
      </c>
      <c r="G317">
        <f>IF($A317="",NA(),IF($C317="Action",$B317,NA()))</f>
        <v/>
      </c>
      <c r="H317">
        <f>IF($A317="",NA(),IF($C317="Action",1+$F317*0.023,NA()))</f>
        <v/>
      </c>
      <c r="I317">
        <f>IF($A317="",NA(),IF($C317="Strategy",$B317,NA()))</f>
        <v/>
      </c>
      <c r="J317">
        <f>IF($A317="",NA(),IF($C317="Strategy",2+$F317*0.023,NA()))</f>
        <v/>
      </c>
      <c r="K317">
        <f>IF($A317="",NA(),IF($C317="Deckbuilder",$B317,NA()))</f>
        <v/>
      </c>
      <c r="L317">
        <f>IF($A317="",NA(),IF($C317="Deckbuilder",3+$F317*0.023,NA()))</f>
        <v/>
      </c>
      <c r="M317">
        <f>IF($A317="",NA(),IF($C317="Traditional",$B317,NA()))</f>
        <v/>
      </c>
      <c r="N317">
        <f>IF($A317="",NA(),IF($C317="Traditional",4+$F317*0.023,NA()))</f>
        <v/>
      </c>
      <c r="O317">
        <f>IF($A317="","",$D317+ROW()/1000000)</f>
        <v/>
      </c>
      <c r="P317">
        <f>IF(OR($A317="",games!$H317=""),"",games!$H317)</f>
        <v/>
      </c>
      <c r="Q317">
        <f>IF(OR($A317="",$P317&lt;&gt;"Yes"),"",$D317+ROW()/1000000)</f>
        <v/>
      </c>
      <c r="T317">
        <f>IF(connections!$A317="","",IFERROR(INDEX(games!$B$2:$B$950,MATCH(connections!$A317,games!$A$2:$A$950,0)),""))</f>
        <v/>
      </c>
      <c r="U317">
        <f>IF(connections!$A317="","",IFERROR(INDEX(games!$B$2:$B$950,MATCH(connections!$B317,games!$A$2:$A$950,0)),""))</f>
        <v/>
      </c>
      <c r="V317">
        <f>IF(OR($T317="",$U317=""),"",$U317-$T317)</f>
        <v/>
      </c>
    </row>
    <row r="318">
      <c r="A318">
        <f>IF(games!$A318="","",games!$A318)</f>
        <v/>
      </c>
      <c r="B318">
        <f>IF($A318="","",games!$B318)</f>
        <v/>
      </c>
      <c r="C318">
        <f>IF($A318="","",games!$C318)</f>
        <v/>
      </c>
      <c r="D318">
        <f>IF($A318="","",COUNTIF(connections!$A$2:$A$1400,$A318)+COUNTIF(connections!$B$2:$B$1400,$A318))</f>
        <v/>
      </c>
      <c r="E318">
        <f>IF($A318="","",IFERROR(MATCH($C318,$R$2:$R$5,0),0))</f>
        <v/>
      </c>
      <c r="F318">
        <f>IF($A318="","",MOD(ROW(),34))</f>
        <v/>
      </c>
      <c r="G318">
        <f>IF($A318="",NA(),IF($C318="Action",$B318,NA()))</f>
        <v/>
      </c>
      <c r="H318">
        <f>IF($A318="",NA(),IF($C318="Action",1+$F318*0.023,NA()))</f>
        <v/>
      </c>
      <c r="I318">
        <f>IF($A318="",NA(),IF($C318="Strategy",$B318,NA()))</f>
        <v/>
      </c>
      <c r="J318">
        <f>IF($A318="",NA(),IF($C318="Strategy",2+$F318*0.023,NA()))</f>
        <v/>
      </c>
      <c r="K318">
        <f>IF($A318="",NA(),IF($C318="Deckbuilder",$B318,NA()))</f>
        <v/>
      </c>
      <c r="L318">
        <f>IF($A318="",NA(),IF($C318="Deckbuilder",3+$F318*0.023,NA()))</f>
        <v/>
      </c>
      <c r="M318">
        <f>IF($A318="",NA(),IF($C318="Traditional",$B318,NA()))</f>
        <v/>
      </c>
      <c r="N318">
        <f>IF($A318="",NA(),IF($C318="Traditional",4+$F318*0.023,NA()))</f>
        <v/>
      </c>
      <c r="O318">
        <f>IF($A318="","",$D318+ROW()/1000000)</f>
        <v/>
      </c>
      <c r="P318">
        <f>IF(OR($A318="",games!$H318=""),"",games!$H318)</f>
        <v/>
      </c>
      <c r="Q318">
        <f>IF(OR($A318="",$P318&lt;&gt;"Yes"),"",$D318+ROW()/1000000)</f>
        <v/>
      </c>
      <c r="T318">
        <f>IF(connections!$A318="","",IFERROR(INDEX(games!$B$2:$B$950,MATCH(connections!$A318,games!$A$2:$A$950,0)),""))</f>
        <v/>
      </c>
      <c r="U318">
        <f>IF(connections!$A318="","",IFERROR(INDEX(games!$B$2:$B$950,MATCH(connections!$B318,games!$A$2:$A$950,0)),""))</f>
        <v/>
      </c>
      <c r="V318">
        <f>IF(OR($T318="",$U318=""),"",$U318-$T318)</f>
        <v/>
      </c>
    </row>
    <row r="319">
      <c r="A319">
        <f>IF(games!$A319="","",games!$A319)</f>
        <v/>
      </c>
      <c r="B319">
        <f>IF($A319="","",games!$B319)</f>
        <v/>
      </c>
      <c r="C319">
        <f>IF($A319="","",games!$C319)</f>
        <v/>
      </c>
      <c r="D319">
        <f>IF($A319="","",COUNTIF(connections!$A$2:$A$1400,$A319)+COUNTIF(connections!$B$2:$B$1400,$A319))</f>
        <v/>
      </c>
      <c r="E319">
        <f>IF($A319="","",IFERROR(MATCH($C319,$R$2:$R$5,0),0))</f>
        <v/>
      </c>
      <c r="F319">
        <f>IF($A319="","",MOD(ROW(),34))</f>
        <v/>
      </c>
      <c r="G319">
        <f>IF($A319="",NA(),IF($C319="Action",$B319,NA()))</f>
        <v/>
      </c>
      <c r="H319">
        <f>IF($A319="",NA(),IF($C319="Action",1+$F319*0.023,NA()))</f>
        <v/>
      </c>
      <c r="I319">
        <f>IF($A319="",NA(),IF($C319="Strategy",$B319,NA()))</f>
        <v/>
      </c>
      <c r="J319">
        <f>IF($A319="",NA(),IF($C319="Strategy",2+$F319*0.023,NA()))</f>
        <v/>
      </c>
      <c r="K319">
        <f>IF($A319="",NA(),IF($C319="Deckbuilder",$B319,NA()))</f>
        <v/>
      </c>
      <c r="L319">
        <f>IF($A319="",NA(),IF($C319="Deckbuilder",3+$F319*0.023,NA()))</f>
        <v/>
      </c>
      <c r="M319">
        <f>IF($A319="",NA(),IF($C319="Traditional",$B319,NA()))</f>
        <v/>
      </c>
      <c r="N319">
        <f>IF($A319="",NA(),IF($C319="Traditional",4+$F319*0.023,NA()))</f>
        <v/>
      </c>
      <c r="O319">
        <f>IF($A319="","",$D319+ROW()/1000000)</f>
        <v/>
      </c>
      <c r="P319">
        <f>IF(OR($A319="",games!$H319=""),"",games!$H319)</f>
        <v/>
      </c>
      <c r="Q319">
        <f>IF(OR($A319="",$P319&lt;&gt;"Yes"),"",$D319+ROW()/1000000)</f>
        <v/>
      </c>
      <c r="T319">
        <f>IF(connections!$A319="","",IFERROR(INDEX(games!$B$2:$B$950,MATCH(connections!$A319,games!$A$2:$A$950,0)),""))</f>
        <v/>
      </c>
      <c r="U319">
        <f>IF(connections!$A319="","",IFERROR(INDEX(games!$B$2:$B$950,MATCH(connections!$B319,games!$A$2:$A$950,0)),""))</f>
        <v/>
      </c>
      <c r="V319">
        <f>IF(OR($T319="",$U319=""),"",$U319-$T319)</f>
        <v/>
      </c>
    </row>
    <row r="320">
      <c r="A320">
        <f>IF(games!$A320="","",games!$A320)</f>
        <v/>
      </c>
      <c r="B320">
        <f>IF($A320="","",games!$B320)</f>
        <v/>
      </c>
      <c r="C320">
        <f>IF($A320="","",games!$C320)</f>
        <v/>
      </c>
      <c r="D320">
        <f>IF($A320="","",COUNTIF(connections!$A$2:$A$1400,$A320)+COUNTIF(connections!$B$2:$B$1400,$A320))</f>
        <v/>
      </c>
      <c r="E320">
        <f>IF($A320="","",IFERROR(MATCH($C320,$R$2:$R$5,0),0))</f>
        <v/>
      </c>
      <c r="F320">
        <f>IF($A320="","",MOD(ROW(),34))</f>
        <v/>
      </c>
      <c r="G320">
        <f>IF($A320="",NA(),IF($C320="Action",$B320,NA()))</f>
        <v/>
      </c>
      <c r="H320">
        <f>IF($A320="",NA(),IF($C320="Action",1+$F320*0.023,NA()))</f>
        <v/>
      </c>
      <c r="I320">
        <f>IF($A320="",NA(),IF($C320="Strategy",$B320,NA()))</f>
        <v/>
      </c>
      <c r="J320">
        <f>IF($A320="",NA(),IF($C320="Strategy",2+$F320*0.023,NA()))</f>
        <v/>
      </c>
      <c r="K320">
        <f>IF($A320="",NA(),IF($C320="Deckbuilder",$B320,NA()))</f>
        <v/>
      </c>
      <c r="L320">
        <f>IF($A320="",NA(),IF($C320="Deckbuilder",3+$F320*0.023,NA()))</f>
        <v/>
      </c>
      <c r="M320">
        <f>IF($A320="",NA(),IF($C320="Traditional",$B320,NA()))</f>
        <v/>
      </c>
      <c r="N320">
        <f>IF($A320="",NA(),IF($C320="Traditional",4+$F320*0.023,NA()))</f>
        <v/>
      </c>
      <c r="O320">
        <f>IF($A320="","",$D320+ROW()/1000000)</f>
        <v/>
      </c>
      <c r="P320">
        <f>IF(OR($A320="",games!$H320=""),"",games!$H320)</f>
        <v/>
      </c>
      <c r="Q320">
        <f>IF(OR($A320="",$P320&lt;&gt;"Yes"),"",$D320+ROW()/1000000)</f>
        <v/>
      </c>
      <c r="T320">
        <f>IF(connections!$A320="","",IFERROR(INDEX(games!$B$2:$B$950,MATCH(connections!$A320,games!$A$2:$A$950,0)),""))</f>
        <v/>
      </c>
      <c r="U320">
        <f>IF(connections!$A320="","",IFERROR(INDEX(games!$B$2:$B$950,MATCH(connections!$B320,games!$A$2:$A$950,0)),""))</f>
        <v/>
      </c>
      <c r="V320">
        <f>IF(OR($T320="",$U320=""),"",$U320-$T320)</f>
        <v/>
      </c>
    </row>
    <row r="321">
      <c r="A321">
        <f>IF(games!$A321="","",games!$A321)</f>
        <v/>
      </c>
      <c r="B321">
        <f>IF($A321="","",games!$B321)</f>
        <v/>
      </c>
      <c r="C321">
        <f>IF($A321="","",games!$C321)</f>
        <v/>
      </c>
      <c r="D321">
        <f>IF($A321="","",COUNTIF(connections!$A$2:$A$1400,$A321)+COUNTIF(connections!$B$2:$B$1400,$A321))</f>
        <v/>
      </c>
      <c r="E321">
        <f>IF($A321="","",IFERROR(MATCH($C321,$R$2:$R$5,0),0))</f>
        <v/>
      </c>
      <c r="F321">
        <f>IF($A321="","",MOD(ROW(),34))</f>
        <v/>
      </c>
      <c r="G321">
        <f>IF($A321="",NA(),IF($C321="Action",$B321,NA()))</f>
        <v/>
      </c>
      <c r="H321">
        <f>IF($A321="",NA(),IF($C321="Action",1+$F321*0.023,NA()))</f>
        <v/>
      </c>
      <c r="I321">
        <f>IF($A321="",NA(),IF($C321="Strategy",$B321,NA()))</f>
        <v/>
      </c>
      <c r="J321">
        <f>IF($A321="",NA(),IF($C321="Strategy",2+$F321*0.023,NA()))</f>
        <v/>
      </c>
      <c r="K321">
        <f>IF($A321="",NA(),IF($C321="Deckbuilder",$B321,NA()))</f>
        <v/>
      </c>
      <c r="L321">
        <f>IF($A321="",NA(),IF($C321="Deckbuilder",3+$F321*0.023,NA()))</f>
        <v/>
      </c>
      <c r="M321">
        <f>IF($A321="",NA(),IF($C321="Traditional",$B321,NA()))</f>
        <v/>
      </c>
      <c r="N321">
        <f>IF($A321="",NA(),IF($C321="Traditional",4+$F321*0.023,NA()))</f>
        <v/>
      </c>
      <c r="O321">
        <f>IF($A321="","",$D321+ROW()/1000000)</f>
        <v/>
      </c>
      <c r="P321">
        <f>IF(OR($A321="",games!$H321=""),"",games!$H321)</f>
        <v/>
      </c>
      <c r="Q321">
        <f>IF(OR($A321="",$P321&lt;&gt;"Yes"),"",$D321+ROW()/1000000)</f>
        <v/>
      </c>
      <c r="T321">
        <f>IF(connections!$A321="","",IFERROR(INDEX(games!$B$2:$B$950,MATCH(connections!$A321,games!$A$2:$A$950,0)),""))</f>
        <v/>
      </c>
      <c r="U321">
        <f>IF(connections!$A321="","",IFERROR(INDEX(games!$B$2:$B$950,MATCH(connections!$B321,games!$A$2:$A$950,0)),""))</f>
        <v/>
      </c>
      <c r="V321">
        <f>IF(OR($T321="",$U321=""),"",$U321-$T321)</f>
        <v/>
      </c>
    </row>
    <row r="322">
      <c r="A322">
        <f>IF(games!$A322="","",games!$A322)</f>
        <v/>
      </c>
      <c r="B322">
        <f>IF($A322="","",games!$B322)</f>
        <v/>
      </c>
      <c r="C322">
        <f>IF($A322="","",games!$C322)</f>
        <v/>
      </c>
      <c r="D322">
        <f>IF($A322="","",COUNTIF(connections!$A$2:$A$1400,$A322)+COUNTIF(connections!$B$2:$B$1400,$A322))</f>
        <v/>
      </c>
      <c r="E322">
        <f>IF($A322="","",IFERROR(MATCH($C322,$R$2:$R$5,0),0))</f>
        <v/>
      </c>
      <c r="F322">
        <f>IF($A322="","",MOD(ROW(),34))</f>
        <v/>
      </c>
      <c r="G322">
        <f>IF($A322="",NA(),IF($C322="Action",$B322,NA()))</f>
        <v/>
      </c>
      <c r="H322">
        <f>IF($A322="",NA(),IF($C322="Action",1+$F322*0.023,NA()))</f>
        <v/>
      </c>
      <c r="I322">
        <f>IF($A322="",NA(),IF($C322="Strategy",$B322,NA()))</f>
        <v/>
      </c>
      <c r="J322">
        <f>IF($A322="",NA(),IF($C322="Strategy",2+$F322*0.023,NA()))</f>
        <v/>
      </c>
      <c r="K322">
        <f>IF($A322="",NA(),IF($C322="Deckbuilder",$B322,NA()))</f>
        <v/>
      </c>
      <c r="L322">
        <f>IF($A322="",NA(),IF($C322="Deckbuilder",3+$F322*0.023,NA()))</f>
        <v/>
      </c>
      <c r="M322">
        <f>IF($A322="",NA(),IF($C322="Traditional",$B322,NA()))</f>
        <v/>
      </c>
      <c r="N322">
        <f>IF($A322="",NA(),IF($C322="Traditional",4+$F322*0.023,NA()))</f>
        <v/>
      </c>
      <c r="O322">
        <f>IF($A322="","",$D322+ROW()/1000000)</f>
        <v/>
      </c>
      <c r="P322">
        <f>IF(OR($A322="",games!$H322=""),"",games!$H322)</f>
        <v/>
      </c>
      <c r="Q322">
        <f>IF(OR($A322="",$P322&lt;&gt;"Yes"),"",$D322+ROW()/1000000)</f>
        <v/>
      </c>
      <c r="T322">
        <f>IF(connections!$A322="","",IFERROR(INDEX(games!$B$2:$B$950,MATCH(connections!$A322,games!$A$2:$A$950,0)),""))</f>
        <v/>
      </c>
      <c r="U322">
        <f>IF(connections!$A322="","",IFERROR(INDEX(games!$B$2:$B$950,MATCH(connections!$B322,games!$A$2:$A$950,0)),""))</f>
        <v/>
      </c>
      <c r="V322">
        <f>IF(OR($T322="",$U322=""),"",$U322-$T322)</f>
        <v/>
      </c>
    </row>
    <row r="323">
      <c r="A323">
        <f>IF(games!$A323="","",games!$A323)</f>
        <v/>
      </c>
      <c r="B323">
        <f>IF($A323="","",games!$B323)</f>
        <v/>
      </c>
      <c r="C323">
        <f>IF($A323="","",games!$C323)</f>
        <v/>
      </c>
      <c r="D323">
        <f>IF($A323="","",COUNTIF(connections!$A$2:$A$1400,$A323)+COUNTIF(connections!$B$2:$B$1400,$A323))</f>
        <v/>
      </c>
      <c r="E323">
        <f>IF($A323="","",IFERROR(MATCH($C323,$R$2:$R$5,0),0))</f>
        <v/>
      </c>
      <c r="F323">
        <f>IF($A323="","",MOD(ROW(),34))</f>
        <v/>
      </c>
      <c r="G323">
        <f>IF($A323="",NA(),IF($C323="Action",$B323,NA()))</f>
        <v/>
      </c>
      <c r="H323">
        <f>IF($A323="",NA(),IF($C323="Action",1+$F323*0.023,NA()))</f>
        <v/>
      </c>
      <c r="I323">
        <f>IF($A323="",NA(),IF($C323="Strategy",$B323,NA()))</f>
        <v/>
      </c>
      <c r="J323">
        <f>IF($A323="",NA(),IF($C323="Strategy",2+$F323*0.023,NA()))</f>
        <v/>
      </c>
      <c r="K323">
        <f>IF($A323="",NA(),IF($C323="Deckbuilder",$B323,NA()))</f>
        <v/>
      </c>
      <c r="L323">
        <f>IF($A323="",NA(),IF($C323="Deckbuilder",3+$F323*0.023,NA()))</f>
        <v/>
      </c>
      <c r="M323">
        <f>IF($A323="",NA(),IF($C323="Traditional",$B323,NA()))</f>
        <v/>
      </c>
      <c r="N323">
        <f>IF($A323="",NA(),IF($C323="Traditional",4+$F323*0.023,NA()))</f>
        <v/>
      </c>
      <c r="O323">
        <f>IF($A323="","",$D323+ROW()/1000000)</f>
        <v/>
      </c>
      <c r="P323">
        <f>IF(OR($A323="",games!$H323=""),"",games!$H323)</f>
        <v/>
      </c>
      <c r="Q323">
        <f>IF(OR($A323="",$P323&lt;&gt;"Yes"),"",$D323+ROW()/1000000)</f>
        <v/>
      </c>
      <c r="T323">
        <f>IF(connections!$A323="","",IFERROR(INDEX(games!$B$2:$B$950,MATCH(connections!$A323,games!$A$2:$A$950,0)),""))</f>
        <v/>
      </c>
      <c r="U323">
        <f>IF(connections!$A323="","",IFERROR(INDEX(games!$B$2:$B$950,MATCH(connections!$B323,games!$A$2:$A$950,0)),""))</f>
        <v/>
      </c>
      <c r="V323">
        <f>IF(OR($T323="",$U323=""),"",$U323-$T323)</f>
        <v/>
      </c>
    </row>
    <row r="324">
      <c r="A324">
        <f>IF(games!$A324="","",games!$A324)</f>
        <v/>
      </c>
      <c r="B324">
        <f>IF($A324="","",games!$B324)</f>
        <v/>
      </c>
      <c r="C324">
        <f>IF($A324="","",games!$C324)</f>
        <v/>
      </c>
      <c r="D324">
        <f>IF($A324="","",COUNTIF(connections!$A$2:$A$1400,$A324)+COUNTIF(connections!$B$2:$B$1400,$A324))</f>
        <v/>
      </c>
      <c r="E324">
        <f>IF($A324="","",IFERROR(MATCH($C324,$R$2:$R$5,0),0))</f>
        <v/>
      </c>
      <c r="F324">
        <f>IF($A324="","",MOD(ROW(),34))</f>
        <v/>
      </c>
      <c r="G324">
        <f>IF($A324="",NA(),IF($C324="Action",$B324,NA()))</f>
        <v/>
      </c>
      <c r="H324">
        <f>IF($A324="",NA(),IF($C324="Action",1+$F324*0.023,NA()))</f>
        <v/>
      </c>
      <c r="I324">
        <f>IF($A324="",NA(),IF($C324="Strategy",$B324,NA()))</f>
        <v/>
      </c>
      <c r="J324">
        <f>IF($A324="",NA(),IF($C324="Strategy",2+$F324*0.023,NA()))</f>
        <v/>
      </c>
      <c r="K324">
        <f>IF($A324="",NA(),IF($C324="Deckbuilder",$B324,NA()))</f>
        <v/>
      </c>
      <c r="L324">
        <f>IF($A324="",NA(),IF($C324="Deckbuilder",3+$F324*0.023,NA()))</f>
        <v/>
      </c>
      <c r="M324">
        <f>IF($A324="",NA(),IF($C324="Traditional",$B324,NA()))</f>
        <v/>
      </c>
      <c r="N324">
        <f>IF($A324="",NA(),IF($C324="Traditional",4+$F324*0.023,NA()))</f>
        <v/>
      </c>
      <c r="O324">
        <f>IF($A324="","",$D324+ROW()/1000000)</f>
        <v/>
      </c>
      <c r="P324">
        <f>IF(OR($A324="",games!$H324=""),"",games!$H324)</f>
        <v/>
      </c>
      <c r="Q324">
        <f>IF(OR($A324="",$P324&lt;&gt;"Yes"),"",$D324+ROW()/1000000)</f>
        <v/>
      </c>
      <c r="T324">
        <f>IF(connections!$A324="","",IFERROR(INDEX(games!$B$2:$B$950,MATCH(connections!$A324,games!$A$2:$A$950,0)),""))</f>
        <v/>
      </c>
      <c r="U324">
        <f>IF(connections!$A324="","",IFERROR(INDEX(games!$B$2:$B$950,MATCH(connections!$B324,games!$A$2:$A$950,0)),""))</f>
        <v/>
      </c>
      <c r="V324">
        <f>IF(OR($T324="",$U324=""),"",$U324-$T324)</f>
        <v/>
      </c>
    </row>
    <row r="325">
      <c r="A325">
        <f>IF(games!$A325="","",games!$A325)</f>
        <v/>
      </c>
      <c r="B325">
        <f>IF($A325="","",games!$B325)</f>
        <v/>
      </c>
      <c r="C325">
        <f>IF($A325="","",games!$C325)</f>
        <v/>
      </c>
      <c r="D325">
        <f>IF($A325="","",COUNTIF(connections!$A$2:$A$1400,$A325)+COUNTIF(connections!$B$2:$B$1400,$A325))</f>
        <v/>
      </c>
      <c r="E325">
        <f>IF($A325="","",IFERROR(MATCH($C325,$R$2:$R$5,0),0))</f>
        <v/>
      </c>
      <c r="F325">
        <f>IF($A325="","",MOD(ROW(),34))</f>
        <v/>
      </c>
      <c r="G325">
        <f>IF($A325="",NA(),IF($C325="Action",$B325,NA()))</f>
        <v/>
      </c>
      <c r="H325">
        <f>IF($A325="",NA(),IF($C325="Action",1+$F325*0.023,NA()))</f>
        <v/>
      </c>
      <c r="I325">
        <f>IF($A325="",NA(),IF($C325="Strategy",$B325,NA()))</f>
        <v/>
      </c>
      <c r="J325">
        <f>IF($A325="",NA(),IF($C325="Strategy",2+$F325*0.023,NA()))</f>
        <v/>
      </c>
      <c r="K325">
        <f>IF($A325="",NA(),IF($C325="Deckbuilder",$B325,NA()))</f>
        <v/>
      </c>
      <c r="L325">
        <f>IF($A325="",NA(),IF($C325="Deckbuilder",3+$F325*0.023,NA()))</f>
        <v/>
      </c>
      <c r="M325">
        <f>IF($A325="",NA(),IF($C325="Traditional",$B325,NA()))</f>
        <v/>
      </c>
      <c r="N325">
        <f>IF($A325="",NA(),IF($C325="Traditional",4+$F325*0.023,NA()))</f>
        <v/>
      </c>
      <c r="O325">
        <f>IF($A325="","",$D325+ROW()/1000000)</f>
        <v/>
      </c>
      <c r="P325">
        <f>IF(OR($A325="",games!$H325=""),"",games!$H325)</f>
        <v/>
      </c>
      <c r="Q325">
        <f>IF(OR($A325="",$P325&lt;&gt;"Yes"),"",$D325+ROW()/1000000)</f>
        <v/>
      </c>
      <c r="T325">
        <f>IF(connections!$A325="","",IFERROR(INDEX(games!$B$2:$B$950,MATCH(connections!$A325,games!$A$2:$A$950,0)),""))</f>
        <v/>
      </c>
      <c r="U325">
        <f>IF(connections!$A325="","",IFERROR(INDEX(games!$B$2:$B$950,MATCH(connections!$B325,games!$A$2:$A$950,0)),""))</f>
        <v/>
      </c>
      <c r="V325">
        <f>IF(OR($T325="",$U325=""),"",$U325-$T325)</f>
        <v/>
      </c>
    </row>
    <row r="326">
      <c r="A326">
        <f>IF(games!$A326="","",games!$A326)</f>
        <v/>
      </c>
      <c r="B326">
        <f>IF($A326="","",games!$B326)</f>
        <v/>
      </c>
      <c r="C326">
        <f>IF($A326="","",games!$C326)</f>
        <v/>
      </c>
      <c r="D326">
        <f>IF($A326="","",COUNTIF(connections!$A$2:$A$1400,$A326)+COUNTIF(connections!$B$2:$B$1400,$A326))</f>
        <v/>
      </c>
      <c r="E326">
        <f>IF($A326="","",IFERROR(MATCH($C326,$R$2:$R$5,0),0))</f>
        <v/>
      </c>
      <c r="F326">
        <f>IF($A326="","",MOD(ROW(),34))</f>
        <v/>
      </c>
      <c r="G326">
        <f>IF($A326="",NA(),IF($C326="Action",$B326,NA()))</f>
        <v/>
      </c>
      <c r="H326">
        <f>IF($A326="",NA(),IF($C326="Action",1+$F326*0.023,NA()))</f>
        <v/>
      </c>
      <c r="I326">
        <f>IF($A326="",NA(),IF($C326="Strategy",$B326,NA()))</f>
        <v/>
      </c>
      <c r="J326">
        <f>IF($A326="",NA(),IF($C326="Strategy",2+$F326*0.023,NA()))</f>
        <v/>
      </c>
      <c r="K326">
        <f>IF($A326="",NA(),IF($C326="Deckbuilder",$B326,NA()))</f>
        <v/>
      </c>
      <c r="L326">
        <f>IF($A326="",NA(),IF($C326="Deckbuilder",3+$F326*0.023,NA()))</f>
        <v/>
      </c>
      <c r="M326">
        <f>IF($A326="",NA(),IF($C326="Traditional",$B326,NA()))</f>
        <v/>
      </c>
      <c r="N326">
        <f>IF($A326="",NA(),IF($C326="Traditional",4+$F326*0.023,NA()))</f>
        <v/>
      </c>
      <c r="O326">
        <f>IF($A326="","",$D326+ROW()/1000000)</f>
        <v/>
      </c>
      <c r="P326">
        <f>IF(OR($A326="",games!$H326=""),"",games!$H326)</f>
        <v/>
      </c>
      <c r="Q326">
        <f>IF(OR($A326="",$P326&lt;&gt;"Yes"),"",$D326+ROW()/1000000)</f>
        <v/>
      </c>
      <c r="T326">
        <f>IF(connections!$A326="","",IFERROR(INDEX(games!$B$2:$B$950,MATCH(connections!$A326,games!$A$2:$A$950,0)),""))</f>
        <v/>
      </c>
      <c r="U326">
        <f>IF(connections!$A326="","",IFERROR(INDEX(games!$B$2:$B$950,MATCH(connections!$B326,games!$A$2:$A$950,0)),""))</f>
        <v/>
      </c>
      <c r="V326">
        <f>IF(OR($T326="",$U326=""),"",$U326-$T326)</f>
        <v/>
      </c>
    </row>
    <row r="327">
      <c r="A327">
        <f>IF(games!$A327="","",games!$A327)</f>
        <v/>
      </c>
      <c r="B327">
        <f>IF($A327="","",games!$B327)</f>
        <v/>
      </c>
      <c r="C327">
        <f>IF($A327="","",games!$C327)</f>
        <v/>
      </c>
      <c r="D327">
        <f>IF($A327="","",COUNTIF(connections!$A$2:$A$1400,$A327)+COUNTIF(connections!$B$2:$B$1400,$A327))</f>
        <v/>
      </c>
      <c r="E327">
        <f>IF($A327="","",IFERROR(MATCH($C327,$R$2:$R$5,0),0))</f>
        <v/>
      </c>
      <c r="F327">
        <f>IF($A327="","",MOD(ROW(),34))</f>
        <v/>
      </c>
      <c r="G327">
        <f>IF($A327="",NA(),IF($C327="Action",$B327,NA()))</f>
        <v/>
      </c>
      <c r="H327">
        <f>IF($A327="",NA(),IF($C327="Action",1+$F327*0.023,NA()))</f>
        <v/>
      </c>
      <c r="I327">
        <f>IF($A327="",NA(),IF($C327="Strategy",$B327,NA()))</f>
        <v/>
      </c>
      <c r="J327">
        <f>IF($A327="",NA(),IF($C327="Strategy",2+$F327*0.023,NA()))</f>
        <v/>
      </c>
      <c r="K327">
        <f>IF($A327="",NA(),IF($C327="Deckbuilder",$B327,NA()))</f>
        <v/>
      </c>
      <c r="L327">
        <f>IF($A327="",NA(),IF($C327="Deckbuilder",3+$F327*0.023,NA()))</f>
        <v/>
      </c>
      <c r="M327">
        <f>IF($A327="",NA(),IF($C327="Traditional",$B327,NA()))</f>
        <v/>
      </c>
      <c r="N327">
        <f>IF($A327="",NA(),IF($C327="Traditional",4+$F327*0.023,NA()))</f>
        <v/>
      </c>
      <c r="O327">
        <f>IF($A327="","",$D327+ROW()/1000000)</f>
        <v/>
      </c>
      <c r="P327">
        <f>IF(OR($A327="",games!$H327=""),"",games!$H327)</f>
        <v/>
      </c>
      <c r="Q327">
        <f>IF(OR($A327="",$P327&lt;&gt;"Yes"),"",$D327+ROW()/1000000)</f>
        <v/>
      </c>
      <c r="T327">
        <f>IF(connections!$A327="","",IFERROR(INDEX(games!$B$2:$B$950,MATCH(connections!$A327,games!$A$2:$A$950,0)),""))</f>
        <v/>
      </c>
      <c r="U327">
        <f>IF(connections!$A327="","",IFERROR(INDEX(games!$B$2:$B$950,MATCH(connections!$B327,games!$A$2:$A$950,0)),""))</f>
        <v/>
      </c>
      <c r="V327">
        <f>IF(OR($T327="",$U327=""),"",$U327-$T327)</f>
        <v/>
      </c>
    </row>
    <row r="328">
      <c r="A328">
        <f>IF(games!$A328="","",games!$A328)</f>
        <v/>
      </c>
      <c r="B328">
        <f>IF($A328="","",games!$B328)</f>
        <v/>
      </c>
      <c r="C328">
        <f>IF($A328="","",games!$C328)</f>
        <v/>
      </c>
      <c r="D328">
        <f>IF($A328="","",COUNTIF(connections!$A$2:$A$1400,$A328)+COUNTIF(connections!$B$2:$B$1400,$A328))</f>
        <v/>
      </c>
      <c r="E328">
        <f>IF($A328="","",IFERROR(MATCH($C328,$R$2:$R$5,0),0))</f>
        <v/>
      </c>
      <c r="F328">
        <f>IF($A328="","",MOD(ROW(),34))</f>
        <v/>
      </c>
      <c r="G328">
        <f>IF($A328="",NA(),IF($C328="Action",$B328,NA()))</f>
        <v/>
      </c>
      <c r="H328">
        <f>IF($A328="",NA(),IF($C328="Action",1+$F328*0.023,NA()))</f>
        <v/>
      </c>
      <c r="I328">
        <f>IF($A328="",NA(),IF($C328="Strategy",$B328,NA()))</f>
        <v/>
      </c>
      <c r="J328">
        <f>IF($A328="",NA(),IF($C328="Strategy",2+$F328*0.023,NA()))</f>
        <v/>
      </c>
      <c r="K328">
        <f>IF($A328="",NA(),IF($C328="Deckbuilder",$B328,NA()))</f>
        <v/>
      </c>
      <c r="L328">
        <f>IF($A328="",NA(),IF($C328="Deckbuilder",3+$F328*0.023,NA()))</f>
        <v/>
      </c>
      <c r="M328">
        <f>IF($A328="",NA(),IF($C328="Traditional",$B328,NA()))</f>
        <v/>
      </c>
      <c r="N328">
        <f>IF($A328="",NA(),IF($C328="Traditional",4+$F328*0.023,NA()))</f>
        <v/>
      </c>
      <c r="O328">
        <f>IF($A328="","",$D328+ROW()/1000000)</f>
        <v/>
      </c>
      <c r="P328">
        <f>IF(OR($A328="",games!$H328=""),"",games!$H328)</f>
        <v/>
      </c>
      <c r="Q328">
        <f>IF(OR($A328="",$P328&lt;&gt;"Yes"),"",$D328+ROW()/1000000)</f>
        <v/>
      </c>
      <c r="T328">
        <f>IF(connections!$A328="","",IFERROR(INDEX(games!$B$2:$B$950,MATCH(connections!$A328,games!$A$2:$A$950,0)),""))</f>
        <v/>
      </c>
      <c r="U328">
        <f>IF(connections!$A328="","",IFERROR(INDEX(games!$B$2:$B$950,MATCH(connections!$B328,games!$A$2:$A$950,0)),""))</f>
        <v/>
      </c>
      <c r="V328">
        <f>IF(OR($T328="",$U328=""),"",$U328-$T328)</f>
        <v/>
      </c>
    </row>
    <row r="329">
      <c r="A329">
        <f>IF(games!$A329="","",games!$A329)</f>
        <v/>
      </c>
      <c r="B329">
        <f>IF($A329="","",games!$B329)</f>
        <v/>
      </c>
      <c r="C329">
        <f>IF($A329="","",games!$C329)</f>
        <v/>
      </c>
      <c r="D329">
        <f>IF($A329="","",COUNTIF(connections!$A$2:$A$1400,$A329)+COUNTIF(connections!$B$2:$B$1400,$A329))</f>
        <v/>
      </c>
      <c r="E329">
        <f>IF($A329="","",IFERROR(MATCH($C329,$R$2:$R$5,0),0))</f>
        <v/>
      </c>
      <c r="F329">
        <f>IF($A329="","",MOD(ROW(),34))</f>
        <v/>
      </c>
      <c r="G329">
        <f>IF($A329="",NA(),IF($C329="Action",$B329,NA()))</f>
        <v/>
      </c>
      <c r="H329">
        <f>IF($A329="",NA(),IF($C329="Action",1+$F329*0.023,NA()))</f>
        <v/>
      </c>
      <c r="I329">
        <f>IF($A329="",NA(),IF($C329="Strategy",$B329,NA()))</f>
        <v/>
      </c>
      <c r="J329">
        <f>IF($A329="",NA(),IF($C329="Strategy",2+$F329*0.023,NA()))</f>
        <v/>
      </c>
      <c r="K329">
        <f>IF($A329="",NA(),IF($C329="Deckbuilder",$B329,NA()))</f>
        <v/>
      </c>
      <c r="L329">
        <f>IF($A329="",NA(),IF($C329="Deckbuilder",3+$F329*0.023,NA()))</f>
        <v/>
      </c>
      <c r="M329">
        <f>IF($A329="",NA(),IF($C329="Traditional",$B329,NA()))</f>
        <v/>
      </c>
      <c r="N329">
        <f>IF($A329="",NA(),IF($C329="Traditional",4+$F329*0.023,NA()))</f>
        <v/>
      </c>
      <c r="O329">
        <f>IF($A329="","",$D329+ROW()/1000000)</f>
        <v/>
      </c>
      <c r="P329">
        <f>IF(OR($A329="",games!$H329=""),"",games!$H329)</f>
        <v/>
      </c>
      <c r="Q329">
        <f>IF(OR($A329="",$P329&lt;&gt;"Yes"),"",$D329+ROW()/1000000)</f>
        <v/>
      </c>
      <c r="T329">
        <f>IF(connections!$A329="","",IFERROR(INDEX(games!$B$2:$B$950,MATCH(connections!$A329,games!$A$2:$A$950,0)),""))</f>
        <v/>
      </c>
      <c r="U329">
        <f>IF(connections!$A329="","",IFERROR(INDEX(games!$B$2:$B$950,MATCH(connections!$B329,games!$A$2:$A$950,0)),""))</f>
        <v/>
      </c>
      <c r="V329">
        <f>IF(OR($T329="",$U329=""),"",$U329-$T329)</f>
        <v/>
      </c>
    </row>
    <row r="330">
      <c r="A330">
        <f>IF(games!$A330="","",games!$A330)</f>
        <v/>
      </c>
      <c r="B330">
        <f>IF($A330="","",games!$B330)</f>
        <v/>
      </c>
      <c r="C330">
        <f>IF($A330="","",games!$C330)</f>
        <v/>
      </c>
      <c r="D330">
        <f>IF($A330="","",COUNTIF(connections!$A$2:$A$1400,$A330)+COUNTIF(connections!$B$2:$B$1400,$A330))</f>
        <v/>
      </c>
      <c r="E330">
        <f>IF($A330="","",IFERROR(MATCH($C330,$R$2:$R$5,0),0))</f>
        <v/>
      </c>
      <c r="F330">
        <f>IF($A330="","",MOD(ROW(),34))</f>
        <v/>
      </c>
      <c r="G330">
        <f>IF($A330="",NA(),IF($C330="Action",$B330,NA()))</f>
        <v/>
      </c>
      <c r="H330">
        <f>IF($A330="",NA(),IF($C330="Action",1+$F330*0.023,NA()))</f>
        <v/>
      </c>
      <c r="I330">
        <f>IF($A330="",NA(),IF($C330="Strategy",$B330,NA()))</f>
        <v/>
      </c>
      <c r="J330">
        <f>IF($A330="",NA(),IF($C330="Strategy",2+$F330*0.023,NA()))</f>
        <v/>
      </c>
      <c r="K330">
        <f>IF($A330="",NA(),IF($C330="Deckbuilder",$B330,NA()))</f>
        <v/>
      </c>
      <c r="L330">
        <f>IF($A330="",NA(),IF($C330="Deckbuilder",3+$F330*0.023,NA()))</f>
        <v/>
      </c>
      <c r="M330">
        <f>IF($A330="",NA(),IF($C330="Traditional",$B330,NA()))</f>
        <v/>
      </c>
      <c r="N330">
        <f>IF($A330="",NA(),IF($C330="Traditional",4+$F330*0.023,NA()))</f>
        <v/>
      </c>
      <c r="O330">
        <f>IF($A330="","",$D330+ROW()/1000000)</f>
        <v/>
      </c>
      <c r="P330">
        <f>IF(OR($A330="",games!$H330=""),"",games!$H330)</f>
        <v/>
      </c>
      <c r="Q330">
        <f>IF(OR($A330="",$P330&lt;&gt;"Yes"),"",$D330+ROW()/1000000)</f>
        <v/>
      </c>
      <c r="T330">
        <f>IF(connections!$A330="","",IFERROR(INDEX(games!$B$2:$B$950,MATCH(connections!$A330,games!$A$2:$A$950,0)),""))</f>
        <v/>
      </c>
      <c r="U330">
        <f>IF(connections!$A330="","",IFERROR(INDEX(games!$B$2:$B$950,MATCH(connections!$B330,games!$A$2:$A$950,0)),""))</f>
        <v/>
      </c>
      <c r="V330">
        <f>IF(OR($T330="",$U330=""),"",$U330-$T330)</f>
        <v/>
      </c>
    </row>
    <row r="331">
      <c r="A331">
        <f>IF(games!$A331="","",games!$A331)</f>
        <v/>
      </c>
      <c r="B331">
        <f>IF($A331="","",games!$B331)</f>
        <v/>
      </c>
      <c r="C331">
        <f>IF($A331="","",games!$C331)</f>
        <v/>
      </c>
      <c r="D331">
        <f>IF($A331="","",COUNTIF(connections!$A$2:$A$1400,$A331)+COUNTIF(connections!$B$2:$B$1400,$A331))</f>
        <v/>
      </c>
      <c r="E331">
        <f>IF($A331="","",IFERROR(MATCH($C331,$R$2:$R$5,0),0))</f>
        <v/>
      </c>
      <c r="F331">
        <f>IF($A331="","",MOD(ROW(),34))</f>
        <v/>
      </c>
      <c r="G331">
        <f>IF($A331="",NA(),IF($C331="Action",$B331,NA()))</f>
        <v/>
      </c>
      <c r="H331">
        <f>IF($A331="",NA(),IF($C331="Action",1+$F331*0.023,NA()))</f>
        <v/>
      </c>
      <c r="I331">
        <f>IF($A331="",NA(),IF($C331="Strategy",$B331,NA()))</f>
        <v/>
      </c>
      <c r="J331">
        <f>IF($A331="",NA(),IF($C331="Strategy",2+$F331*0.023,NA()))</f>
        <v/>
      </c>
      <c r="K331">
        <f>IF($A331="",NA(),IF($C331="Deckbuilder",$B331,NA()))</f>
        <v/>
      </c>
      <c r="L331">
        <f>IF($A331="",NA(),IF($C331="Deckbuilder",3+$F331*0.023,NA()))</f>
        <v/>
      </c>
      <c r="M331">
        <f>IF($A331="",NA(),IF($C331="Traditional",$B331,NA()))</f>
        <v/>
      </c>
      <c r="N331">
        <f>IF($A331="",NA(),IF($C331="Traditional",4+$F331*0.023,NA()))</f>
        <v/>
      </c>
      <c r="O331">
        <f>IF($A331="","",$D331+ROW()/1000000)</f>
        <v/>
      </c>
      <c r="P331">
        <f>IF(OR($A331="",games!$H331=""),"",games!$H331)</f>
        <v/>
      </c>
      <c r="Q331">
        <f>IF(OR($A331="",$P331&lt;&gt;"Yes"),"",$D331+ROW()/1000000)</f>
        <v/>
      </c>
      <c r="T331">
        <f>IF(connections!$A331="","",IFERROR(INDEX(games!$B$2:$B$950,MATCH(connections!$A331,games!$A$2:$A$950,0)),""))</f>
        <v/>
      </c>
      <c r="U331">
        <f>IF(connections!$A331="","",IFERROR(INDEX(games!$B$2:$B$950,MATCH(connections!$B331,games!$A$2:$A$950,0)),""))</f>
        <v/>
      </c>
      <c r="V331">
        <f>IF(OR($T331="",$U331=""),"",$U331-$T331)</f>
        <v/>
      </c>
    </row>
    <row r="332">
      <c r="A332">
        <f>IF(games!$A332="","",games!$A332)</f>
        <v/>
      </c>
      <c r="B332">
        <f>IF($A332="","",games!$B332)</f>
        <v/>
      </c>
      <c r="C332">
        <f>IF($A332="","",games!$C332)</f>
        <v/>
      </c>
      <c r="D332">
        <f>IF($A332="","",COUNTIF(connections!$A$2:$A$1400,$A332)+COUNTIF(connections!$B$2:$B$1400,$A332))</f>
        <v/>
      </c>
      <c r="E332">
        <f>IF($A332="","",IFERROR(MATCH($C332,$R$2:$R$5,0),0))</f>
        <v/>
      </c>
      <c r="F332">
        <f>IF($A332="","",MOD(ROW(),34))</f>
        <v/>
      </c>
      <c r="G332">
        <f>IF($A332="",NA(),IF($C332="Action",$B332,NA()))</f>
        <v/>
      </c>
      <c r="H332">
        <f>IF($A332="",NA(),IF($C332="Action",1+$F332*0.023,NA()))</f>
        <v/>
      </c>
      <c r="I332">
        <f>IF($A332="",NA(),IF($C332="Strategy",$B332,NA()))</f>
        <v/>
      </c>
      <c r="J332">
        <f>IF($A332="",NA(),IF($C332="Strategy",2+$F332*0.023,NA()))</f>
        <v/>
      </c>
      <c r="K332">
        <f>IF($A332="",NA(),IF($C332="Deckbuilder",$B332,NA()))</f>
        <v/>
      </c>
      <c r="L332">
        <f>IF($A332="",NA(),IF($C332="Deckbuilder",3+$F332*0.023,NA()))</f>
        <v/>
      </c>
      <c r="M332">
        <f>IF($A332="",NA(),IF($C332="Traditional",$B332,NA()))</f>
        <v/>
      </c>
      <c r="N332">
        <f>IF($A332="",NA(),IF($C332="Traditional",4+$F332*0.023,NA()))</f>
        <v/>
      </c>
      <c r="O332">
        <f>IF($A332="","",$D332+ROW()/1000000)</f>
        <v/>
      </c>
      <c r="P332">
        <f>IF(OR($A332="",games!$H332=""),"",games!$H332)</f>
        <v/>
      </c>
      <c r="Q332">
        <f>IF(OR($A332="",$P332&lt;&gt;"Yes"),"",$D332+ROW()/1000000)</f>
        <v/>
      </c>
      <c r="T332">
        <f>IF(connections!$A332="","",IFERROR(INDEX(games!$B$2:$B$950,MATCH(connections!$A332,games!$A$2:$A$950,0)),""))</f>
        <v/>
      </c>
      <c r="U332">
        <f>IF(connections!$A332="","",IFERROR(INDEX(games!$B$2:$B$950,MATCH(connections!$B332,games!$A$2:$A$950,0)),""))</f>
        <v/>
      </c>
      <c r="V332">
        <f>IF(OR($T332="",$U332=""),"",$U332-$T332)</f>
        <v/>
      </c>
    </row>
    <row r="333">
      <c r="A333">
        <f>IF(games!$A333="","",games!$A333)</f>
        <v/>
      </c>
      <c r="B333">
        <f>IF($A333="","",games!$B333)</f>
        <v/>
      </c>
      <c r="C333">
        <f>IF($A333="","",games!$C333)</f>
        <v/>
      </c>
      <c r="D333">
        <f>IF($A333="","",COUNTIF(connections!$A$2:$A$1400,$A333)+COUNTIF(connections!$B$2:$B$1400,$A333))</f>
        <v/>
      </c>
      <c r="E333">
        <f>IF($A333="","",IFERROR(MATCH($C333,$R$2:$R$5,0),0))</f>
        <v/>
      </c>
      <c r="F333">
        <f>IF($A333="","",MOD(ROW(),34))</f>
        <v/>
      </c>
      <c r="G333">
        <f>IF($A333="",NA(),IF($C333="Action",$B333,NA()))</f>
        <v/>
      </c>
      <c r="H333">
        <f>IF($A333="",NA(),IF($C333="Action",1+$F333*0.023,NA()))</f>
        <v/>
      </c>
      <c r="I333">
        <f>IF($A333="",NA(),IF($C333="Strategy",$B333,NA()))</f>
        <v/>
      </c>
      <c r="J333">
        <f>IF($A333="",NA(),IF($C333="Strategy",2+$F333*0.023,NA()))</f>
        <v/>
      </c>
      <c r="K333">
        <f>IF($A333="",NA(),IF($C333="Deckbuilder",$B333,NA()))</f>
        <v/>
      </c>
      <c r="L333">
        <f>IF($A333="",NA(),IF($C333="Deckbuilder",3+$F333*0.023,NA()))</f>
        <v/>
      </c>
      <c r="M333">
        <f>IF($A333="",NA(),IF($C333="Traditional",$B333,NA()))</f>
        <v/>
      </c>
      <c r="N333">
        <f>IF($A333="",NA(),IF($C333="Traditional",4+$F333*0.023,NA()))</f>
        <v/>
      </c>
      <c r="O333">
        <f>IF($A333="","",$D333+ROW()/1000000)</f>
        <v/>
      </c>
      <c r="P333">
        <f>IF(OR($A333="",games!$H333=""),"",games!$H333)</f>
        <v/>
      </c>
      <c r="Q333">
        <f>IF(OR($A333="",$P333&lt;&gt;"Yes"),"",$D333+ROW()/1000000)</f>
        <v/>
      </c>
      <c r="T333">
        <f>IF(connections!$A333="","",IFERROR(INDEX(games!$B$2:$B$950,MATCH(connections!$A333,games!$A$2:$A$950,0)),""))</f>
        <v/>
      </c>
      <c r="U333">
        <f>IF(connections!$A333="","",IFERROR(INDEX(games!$B$2:$B$950,MATCH(connections!$B333,games!$A$2:$A$950,0)),""))</f>
        <v/>
      </c>
      <c r="V333">
        <f>IF(OR($T333="",$U333=""),"",$U333-$T333)</f>
        <v/>
      </c>
    </row>
    <row r="334">
      <c r="A334">
        <f>IF(games!$A334="","",games!$A334)</f>
        <v/>
      </c>
      <c r="B334">
        <f>IF($A334="","",games!$B334)</f>
        <v/>
      </c>
      <c r="C334">
        <f>IF($A334="","",games!$C334)</f>
        <v/>
      </c>
      <c r="D334">
        <f>IF($A334="","",COUNTIF(connections!$A$2:$A$1400,$A334)+COUNTIF(connections!$B$2:$B$1400,$A334))</f>
        <v/>
      </c>
      <c r="E334">
        <f>IF($A334="","",IFERROR(MATCH($C334,$R$2:$R$5,0),0))</f>
        <v/>
      </c>
      <c r="F334">
        <f>IF($A334="","",MOD(ROW(),34))</f>
        <v/>
      </c>
      <c r="G334">
        <f>IF($A334="",NA(),IF($C334="Action",$B334,NA()))</f>
        <v/>
      </c>
      <c r="H334">
        <f>IF($A334="",NA(),IF($C334="Action",1+$F334*0.023,NA()))</f>
        <v/>
      </c>
      <c r="I334">
        <f>IF($A334="",NA(),IF($C334="Strategy",$B334,NA()))</f>
        <v/>
      </c>
      <c r="J334">
        <f>IF($A334="",NA(),IF($C334="Strategy",2+$F334*0.023,NA()))</f>
        <v/>
      </c>
      <c r="K334">
        <f>IF($A334="",NA(),IF($C334="Deckbuilder",$B334,NA()))</f>
        <v/>
      </c>
      <c r="L334">
        <f>IF($A334="",NA(),IF($C334="Deckbuilder",3+$F334*0.023,NA()))</f>
        <v/>
      </c>
      <c r="M334">
        <f>IF($A334="",NA(),IF($C334="Traditional",$B334,NA()))</f>
        <v/>
      </c>
      <c r="N334">
        <f>IF($A334="",NA(),IF($C334="Traditional",4+$F334*0.023,NA()))</f>
        <v/>
      </c>
      <c r="O334">
        <f>IF($A334="","",$D334+ROW()/1000000)</f>
        <v/>
      </c>
      <c r="P334">
        <f>IF(OR($A334="",games!$H334=""),"",games!$H334)</f>
        <v/>
      </c>
      <c r="Q334">
        <f>IF(OR($A334="",$P334&lt;&gt;"Yes"),"",$D334+ROW()/1000000)</f>
        <v/>
      </c>
      <c r="T334">
        <f>IF(connections!$A334="","",IFERROR(INDEX(games!$B$2:$B$950,MATCH(connections!$A334,games!$A$2:$A$950,0)),""))</f>
        <v/>
      </c>
      <c r="U334">
        <f>IF(connections!$A334="","",IFERROR(INDEX(games!$B$2:$B$950,MATCH(connections!$B334,games!$A$2:$A$950,0)),""))</f>
        <v/>
      </c>
      <c r="V334">
        <f>IF(OR($T334="",$U334=""),"",$U334-$T334)</f>
        <v/>
      </c>
    </row>
    <row r="335">
      <c r="A335">
        <f>IF(games!$A335="","",games!$A335)</f>
        <v/>
      </c>
      <c r="B335">
        <f>IF($A335="","",games!$B335)</f>
        <v/>
      </c>
      <c r="C335">
        <f>IF($A335="","",games!$C335)</f>
        <v/>
      </c>
      <c r="D335">
        <f>IF($A335="","",COUNTIF(connections!$A$2:$A$1400,$A335)+COUNTIF(connections!$B$2:$B$1400,$A335))</f>
        <v/>
      </c>
      <c r="E335">
        <f>IF($A335="","",IFERROR(MATCH($C335,$R$2:$R$5,0),0))</f>
        <v/>
      </c>
      <c r="F335">
        <f>IF($A335="","",MOD(ROW(),34))</f>
        <v/>
      </c>
      <c r="G335">
        <f>IF($A335="",NA(),IF($C335="Action",$B335,NA()))</f>
        <v/>
      </c>
      <c r="H335">
        <f>IF($A335="",NA(),IF($C335="Action",1+$F335*0.023,NA()))</f>
        <v/>
      </c>
      <c r="I335">
        <f>IF($A335="",NA(),IF($C335="Strategy",$B335,NA()))</f>
        <v/>
      </c>
      <c r="J335">
        <f>IF($A335="",NA(),IF($C335="Strategy",2+$F335*0.023,NA()))</f>
        <v/>
      </c>
      <c r="K335">
        <f>IF($A335="",NA(),IF($C335="Deckbuilder",$B335,NA()))</f>
        <v/>
      </c>
      <c r="L335">
        <f>IF($A335="",NA(),IF($C335="Deckbuilder",3+$F335*0.023,NA()))</f>
        <v/>
      </c>
      <c r="M335">
        <f>IF($A335="",NA(),IF($C335="Traditional",$B335,NA()))</f>
        <v/>
      </c>
      <c r="N335">
        <f>IF($A335="",NA(),IF($C335="Traditional",4+$F335*0.023,NA()))</f>
        <v/>
      </c>
      <c r="O335">
        <f>IF($A335="","",$D335+ROW()/1000000)</f>
        <v/>
      </c>
      <c r="P335">
        <f>IF(OR($A335="",games!$H335=""),"",games!$H335)</f>
        <v/>
      </c>
      <c r="Q335">
        <f>IF(OR($A335="",$P335&lt;&gt;"Yes"),"",$D335+ROW()/1000000)</f>
        <v/>
      </c>
      <c r="T335">
        <f>IF(connections!$A335="","",IFERROR(INDEX(games!$B$2:$B$950,MATCH(connections!$A335,games!$A$2:$A$950,0)),""))</f>
        <v/>
      </c>
      <c r="U335">
        <f>IF(connections!$A335="","",IFERROR(INDEX(games!$B$2:$B$950,MATCH(connections!$B335,games!$A$2:$A$950,0)),""))</f>
        <v/>
      </c>
      <c r="V335">
        <f>IF(OR($T335="",$U335=""),"",$U335-$T335)</f>
        <v/>
      </c>
    </row>
    <row r="336">
      <c r="A336">
        <f>IF(games!$A336="","",games!$A336)</f>
        <v/>
      </c>
      <c r="B336">
        <f>IF($A336="","",games!$B336)</f>
        <v/>
      </c>
      <c r="C336">
        <f>IF($A336="","",games!$C336)</f>
        <v/>
      </c>
      <c r="D336">
        <f>IF($A336="","",COUNTIF(connections!$A$2:$A$1400,$A336)+COUNTIF(connections!$B$2:$B$1400,$A336))</f>
        <v/>
      </c>
      <c r="E336">
        <f>IF($A336="","",IFERROR(MATCH($C336,$R$2:$R$5,0),0))</f>
        <v/>
      </c>
      <c r="F336">
        <f>IF($A336="","",MOD(ROW(),34))</f>
        <v/>
      </c>
      <c r="G336">
        <f>IF($A336="",NA(),IF($C336="Action",$B336,NA()))</f>
        <v/>
      </c>
      <c r="H336">
        <f>IF($A336="",NA(),IF($C336="Action",1+$F336*0.023,NA()))</f>
        <v/>
      </c>
      <c r="I336">
        <f>IF($A336="",NA(),IF($C336="Strategy",$B336,NA()))</f>
        <v/>
      </c>
      <c r="J336">
        <f>IF($A336="",NA(),IF($C336="Strategy",2+$F336*0.023,NA()))</f>
        <v/>
      </c>
      <c r="K336">
        <f>IF($A336="",NA(),IF($C336="Deckbuilder",$B336,NA()))</f>
        <v/>
      </c>
      <c r="L336">
        <f>IF($A336="",NA(),IF($C336="Deckbuilder",3+$F336*0.023,NA()))</f>
        <v/>
      </c>
      <c r="M336">
        <f>IF($A336="",NA(),IF($C336="Traditional",$B336,NA()))</f>
        <v/>
      </c>
      <c r="N336">
        <f>IF($A336="",NA(),IF($C336="Traditional",4+$F336*0.023,NA()))</f>
        <v/>
      </c>
      <c r="O336">
        <f>IF($A336="","",$D336+ROW()/1000000)</f>
        <v/>
      </c>
      <c r="P336">
        <f>IF(OR($A336="",games!$H336=""),"",games!$H336)</f>
        <v/>
      </c>
      <c r="Q336">
        <f>IF(OR($A336="",$P336&lt;&gt;"Yes"),"",$D336+ROW()/1000000)</f>
        <v/>
      </c>
      <c r="T336">
        <f>IF(connections!$A336="","",IFERROR(INDEX(games!$B$2:$B$950,MATCH(connections!$A336,games!$A$2:$A$950,0)),""))</f>
        <v/>
      </c>
      <c r="U336">
        <f>IF(connections!$A336="","",IFERROR(INDEX(games!$B$2:$B$950,MATCH(connections!$B336,games!$A$2:$A$950,0)),""))</f>
        <v/>
      </c>
      <c r="V336">
        <f>IF(OR($T336="",$U336=""),"",$U336-$T336)</f>
        <v/>
      </c>
    </row>
    <row r="337">
      <c r="A337">
        <f>IF(games!$A337="","",games!$A337)</f>
        <v/>
      </c>
      <c r="B337">
        <f>IF($A337="","",games!$B337)</f>
        <v/>
      </c>
      <c r="C337">
        <f>IF($A337="","",games!$C337)</f>
        <v/>
      </c>
      <c r="D337">
        <f>IF($A337="","",COUNTIF(connections!$A$2:$A$1400,$A337)+COUNTIF(connections!$B$2:$B$1400,$A337))</f>
        <v/>
      </c>
      <c r="E337">
        <f>IF($A337="","",IFERROR(MATCH($C337,$R$2:$R$5,0),0))</f>
        <v/>
      </c>
      <c r="F337">
        <f>IF($A337="","",MOD(ROW(),34))</f>
        <v/>
      </c>
      <c r="G337">
        <f>IF($A337="",NA(),IF($C337="Action",$B337,NA()))</f>
        <v/>
      </c>
      <c r="H337">
        <f>IF($A337="",NA(),IF($C337="Action",1+$F337*0.023,NA()))</f>
        <v/>
      </c>
      <c r="I337">
        <f>IF($A337="",NA(),IF($C337="Strategy",$B337,NA()))</f>
        <v/>
      </c>
      <c r="J337">
        <f>IF($A337="",NA(),IF($C337="Strategy",2+$F337*0.023,NA()))</f>
        <v/>
      </c>
      <c r="K337">
        <f>IF($A337="",NA(),IF($C337="Deckbuilder",$B337,NA()))</f>
        <v/>
      </c>
      <c r="L337">
        <f>IF($A337="",NA(),IF($C337="Deckbuilder",3+$F337*0.023,NA()))</f>
        <v/>
      </c>
      <c r="M337">
        <f>IF($A337="",NA(),IF($C337="Traditional",$B337,NA()))</f>
        <v/>
      </c>
      <c r="N337">
        <f>IF($A337="",NA(),IF($C337="Traditional",4+$F337*0.023,NA()))</f>
        <v/>
      </c>
      <c r="O337">
        <f>IF($A337="","",$D337+ROW()/1000000)</f>
        <v/>
      </c>
      <c r="P337">
        <f>IF(OR($A337="",games!$H337=""),"",games!$H337)</f>
        <v/>
      </c>
      <c r="Q337">
        <f>IF(OR($A337="",$P337&lt;&gt;"Yes"),"",$D337+ROW()/1000000)</f>
        <v/>
      </c>
      <c r="T337">
        <f>IF(connections!$A337="","",IFERROR(INDEX(games!$B$2:$B$950,MATCH(connections!$A337,games!$A$2:$A$950,0)),""))</f>
        <v/>
      </c>
      <c r="U337">
        <f>IF(connections!$A337="","",IFERROR(INDEX(games!$B$2:$B$950,MATCH(connections!$B337,games!$A$2:$A$950,0)),""))</f>
        <v/>
      </c>
      <c r="V337">
        <f>IF(OR($T337="",$U337=""),"",$U337-$T337)</f>
        <v/>
      </c>
    </row>
    <row r="338">
      <c r="A338">
        <f>IF(games!$A338="","",games!$A338)</f>
        <v/>
      </c>
      <c r="B338">
        <f>IF($A338="","",games!$B338)</f>
        <v/>
      </c>
      <c r="C338">
        <f>IF($A338="","",games!$C338)</f>
        <v/>
      </c>
      <c r="D338">
        <f>IF($A338="","",COUNTIF(connections!$A$2:$A$1400,$A338)+COUNTIF(connections!$B$2:$B$1400,$A338))</f>
        <v/>
      </c>
      <c r="E338">
        <f>IF($A338="","",IFERROR(MATCH($C338,$R$2:$R$5,0),0))</f>
        <v/>
      </c>
      <c r="F338">
        <f>IF($A338="","",MOD(ROW(),34))</f>
        <v/>
      </c>
      <c r="G338">
        <f>IF($A338="",NA(),IF($C338="Action",$B338,NA()))</f>
        <v/>
      </c>
      <c r="H338">
        <f>IF($A338="",NA(),IF($C338="Action",1+$F338*0.023,NA()))</f>
        <v/>
      </c>
      <c r="I338">
        <f>IF($A338="",NA(),IF($C338="Strategy",$B338,NA()))</f>
        <v/>
      </c>
      <c r="J338">
        <f>IF($A338="",NA(),IF($C338="Strategy",2+$F338*0.023,NA()))</f>
        <v/>
      </c>
      <c r="K338">
        <f>IF($A338="",NA(),IF($C338="Deckbuilder",$B338,NA()))</f>
        <v/>
      </c>
      <c r="L338">
        <f>IF($A338="",NA(),IF($C338="Deckbuilder",3+$F338*0.023,NA()))</f>
        <v/>
      </c>
      <c r="M338">
        <f>IF($A338="",NA(),IF($C338="Traditional",$B338,NA()))</f>
        <v/>
      </c>
      <c r="N338">
        <f>IF($A338="",NA(),IF($C338="Traditional",4+$F338*0.023,NA()))</f>
        <v/>
      </c>
      <c r="O338">
        <f>IF($A338="","",$D338+ROW()/1000000)</f>
        <v/>
      </c>
      <c r="P338">
        <f>IF(OR($A338="",games!$H338=""),"",games!$H338)</f>
        <v/>
      </c>
      <c r="Q338">
        <f>IF(OR($A338="",$P338&lt;&gt;"Yes"),"",$D338+ROW()/1000000)</f>
        <v/>
      </c>
      <c r="T338">
        <f>IF(connections!$A338="","",IFERROR(INDEX(games!$B$2:$B$950,MATCH(connections!$A338,games!$A$2:$A$950,0)),""))</f>
        <v/>
      </c>
      <c r="U338">
        <f>IF(connections!$A338="","",IFERROR(INDEX(games!$B$2:$B$950,MATCH(connections!$B338,games!$A$2:$A$950,0)),""))</f>
        <v/>
      </c>
      <c r="V338">
        <f>IF(OR($T338="",$U338=""),"",$U338-$T338)</f>
        <v/>
      </c>
    </row>
    <row r="339">
      <c r="A339">
        <f>IF(games!$A339="","",games!$A339)</f>
        <v/>
      </c>
      <c r="B339">
        <f>IF($A339="","",games!$B339)</f>
        <v/>
      </c>
      <c r="C339">
        <f>IF($A339="","",games!$C339)</f>
        <v/>
      </c>
      <c r="D339">
        <f>IF($A339="","",COUNTIF(connections!$A$2:$A$1400,$A339)+COUNTIF(connections!$B$2:$B$1400,$A339))</f>
        <v/>
      </c>
      <c r="E339">
        <f>IF($A339="","",IFERROR(MATCH($C339,$R$2:$R$5,0),0))</f>
        <v/>
      </c>
      <c r="F339">
        <f>IF($A339="","",MOD(ROW(),34))</f>
        <v/>
      </c>
      <c r="G339">
        <f>IF($A339="",NA(),IF($C339="Action",$B339,NA()))</f>
        <v/>
      </c>
      <c r="H339">
        <f>IF($A339="",NA(),IF($C339="Action",1+$F339*0.023,NA()))</f>
        <v/>
      </c>
      <c r="I339">
        <f>IF($A339="",NA(),IF($C339="Strategy",$B339,NA()))</f>
        <v/>
      </c>
      <c r="J339">
        <f>IF($A339="",NA(),IF($C339="Strategy",2+$F339*0.023,NA()))</f>
        <v/>
      </c>
      <c r="K339">
        <f>IF($A339="",NA(),IF($C339="Deckbuilder",$B339,NA()))</f>
        <v/>
      </c>
      <c r="L339">
        <f>IF($A339="",NA(),IF($C339="Deckbuilder",3+$F339*0.023,NA()))</f>
        <v/>
      </c>
      <c r="M339">
        <f>IF($A339="",NA(),IF($C339="Traditional",$B339,NA()))</f>
        <v/>
      </c>
      <c r="N339">
        <f>IF($A339="",NA(),IF($C339="Traditional",4+$F339*0.023,NA()))</f>
        <v/>
      </c>
      <c r="O339">
        <f>IF($A339="","",$D339+ROW()/1000000)</f>
        <v/>
      </c>
      <c r="P339">
        <f>IF(OR($A339="",games!$H339=""),"",games!$H339)</f>
        <v/>
      </c>
      <c r="Q339">
        <f>IF(OR($A339="",$P339&lt;&gt;"Yes"),"",$D339+ROW()/1000000)</f>
        <v/>
      </c>
      <c r="T339">
        <f>IF(connections!$A339="","",IFERROR(INDEX(games!$B$2:$B$950,MATCH(connections!$A339,games!$A$2:$A$950,0)),""))</f>
        <v/>
      </c>
      <c r="U339">
        <f>IF(connections!$A339="","",IFERROR(INDEX(games!$B$2:$B$950,MATCH(connections!$B339,games!$A$2:$A$950,0)),""))</f>
        <v/>
      </c>
      <c r="V339">
        <f>IF(OR($T339="",$U339=""),"",$U339-$T339)</f>
        <v/>
      </c>
    </row>
    <row r="340">
      <c r="A340">
        <f>IF(games!$A340="","",games!$A340)</f>
        <v/>
      </c>
      <c r="B340">
        <f>IF($A340="","",games!$B340)</f>
        <v/>
      </c>
      <c r="C340">
        <f>IF($A340="","",games!$C340)</f>
        <v/>
      </c>
      <c r="D340">
        <f>IF($A340="","",COUNTIF(connections!$A$2:$A$1400,$A340)+COUNTIF(connections!$B$2:$B$1400,$A340))</f>
        <v/>
      </c>
      <c r="E340">
        <f>IF($A340="","",IFERROR(MATCH($C340,$R$2:$R$5,0),0))</f>
        <v/>
      </c>
      <c r="F340">
        <f>IF($A340="","",MOD(ROW(),34))</f>
        <v/>
      </c>
      <c r="G340">
        <f>IF($A340="",NA(),IF($C340="Action",$B340,NA()))</f>
        <v/>
      </c>
      <c r="H340">
        <f>IF($A340="",NA(),IF($C340="Action",1+$F340*0.023,NA()))</f>
        <v/>
      </c>
      <c r="I340">
        <f>IF($A340="",NA(),IF($C340="Strategy",$B340,NA()))</f>
        <v/>
      </c>
      <c r="J340">
        <f>IF($A340="",NA(),IF($C340="Strategy",2+$F340*0.023,NA()))</f>
        <v/>
      </c>
      <c r="K340">
        <f>IF($A340="",NA(),IF($C340="Deckbuilder",$B340,NA()))</f>
        <v/>
      </c>
      <c r="L340">
        <f>IF($A340="",NA(),IF($C340="Deckbuilder",3+$F340*0.023,NA()))</f>
        <v/>
      </c>
      <c r="M340">
        <f>IF($A340="",NA(),IF($C340="Traditional",$B340,NA()))</f>
        <v/>
      </c>
      <c r="N340">
        <f>IF($A340="",NA(),IF($C340="Traditional",4+$F340*0.023,NA()))</f>
        <v/>
      </c>
      <c r="O340">
        <f>IF($A340="","",$D340+ROW()/1000000)</f>
        <v/>
      </c>
      <c r="P340">
        <f>IF(OR($A340="",games!$H340=""),"",games!$H340)</f>
        <v/>
      </c>
      <c r="Q340">
        <f>IF(OR($A340="",$P340&lt;&gt;"Yes"),"",$D340+ROW()/1000000)</f>
        <v/>
      </c>
      <c r="T340">
        <f>IF(connections!$A340="","",IFERROR(INDEX(games!$B$2:$B$950,MATCH(connections!$A340,games!$A$2:$A$950,0)),""))</f>
        <v/>
      </c>
      <c r="U340">
        <f>IF(connections!$A340="","",IFERROR(INDEX(games!$B$2:$B$950,MATCH(connections!$B340,games!$A$2:$A$950,0)),""))</f>
        <v/>
      </c>
      <c r="V340">
        <f>IF(OR($T340="",$U340=""),"",$U340-$T340)</f>
        <v/>
      </c>
    </row>
    <row r="341">
      <c r="A341">
        <f>IF(games!$A341="","",games!$A341)</f>
        <v/>
      </c>
      <c r="B341">
        <f>IF($A341="","",games!$B341)</f>
        <v/>
      </c>
      <c r="C341">
        <f>IF($A341="","",games!$C341)</f>
        <v/>
      </c>
      <c r="D341">
        <f>IF($A341="","",COUNTIF(connections!$A$2:$A$1400,$A341)+COUNTIF(connections!$B$2:$B$1400,$A341))</f>
        <v/>
      </c>
      <c r="E341">
        <f>IF($A341="","",IFERROR(MATCH($C341,$R$2:$R$5,0),0))</f>
        <v/>
      </c>
      <c r="F341">
        <f>IF($A341="","",MOD(ROW(),34))</f>
        <v/>
      </c>
      <c r="G341">
        <f>IF($A341="",NA(),IF($C341="Action",$B341,NA()))</f>
        <v/>
      </c>
      <c r="H341">
        <f>IF($A341="",NA(),IF($C341="Action",1+$F341*0.023,NA()))</f>
        <v/>
      </c>
      <c r="I341">
        <f>IF($A341="",NA(),IF($C341="Strategy",$B341,NA()))</f>
        <v/>
      </c>
      <c r="J341">
        <f>IF($A341="",NA(),IF($C341="Strategy",2+$F341*0.023,NA()))</f>
        <v/>
      </c>
      <c r="K341">
        <f>IF($A341="",NA(),IF($C341="Deckbuilder",$B341,NA()))</f>
        <v/>
      </c>
      <c r="L341">
        <f>IF($A341="",NA(),IF($C341="Deckbuilder",3+$F341*0.023,NA()))</f>
        <v/>
      </c>
      <c r="M341">
        <f>IF($A341="",NA(),IF($C341="Traditional",$B341,NA()))</f>
        <v/>
      </c>
      <c r="N341">
        <f>IF($A341="",NA(),IF($C341="Traditional",4+$F341*0.023,NA()))</f>
        <v/>
      </c>
      <c r="O341">
        <f>IF($A341="","",$D341+ROW()/1000000)</f>
        <v/>
      </c>
      <c r="P341">
        <f>IF(OR($A341="",games!$H341=""),"",games!$H341)</f>
        <v/>
      </c>
      <c r="Q341">
        <f>IF(OR($A341="",$P341&lt;&gt;"Yes"),"",$D341+ROW()/1000000)</f>
        <v/>
      </c>
      <c r="T341">
        <f>IF(connections!$A341="","",IFERROR(INDEX(games!$B$2:$B$950,MATCH(connections!$A341,games!$A$2:$A$950,0)),""))</f>
        <v/>
      </c>
      <c r="U341">
        <f>IF(connections!$A341="","",IFERROR(INDEX(games!$B$2:$B$950,MATCH(connections!$B341,games!$A$2:$A$950,0)),""))</f>
        <v/>
      </c>
      <c r="V341">
        <f>IF(OR($T341="",$U341=""),"",$U341-$T341)</f>
        <v/>
      </c>
    </row>
    <row r="342">
      <c r="A342">
        <f>IF(games!$A342="","",games!$A342)</f>
        <v/>
      </c>
      <c r="B342">
        <f>IF($A342="","",games!$B342)</f>
        <v/>
      </c>
      <c r="C342">
        <f>IF($A342="","",games!$C342)</f>
        <v/>
      </c>
      <c r="D342">
        <f>IF($A342="","",COUNTIF(connections!$A$2:$A$1400,$A342)+COUNTIF(connections!$B$2:$B$1400,$A342))</f>
        <v/>
      </c>
      <c r="E342">
        <f>IF($A342="","",IFERROR(MATCH($C342,$R$2:$R$5,0),0))</f>
        <v/>
      </c>
      <c r="F342">
        <f>IF($A342="","",MOD(ROW(),34))</f>
        <v/>
      </c>
      <c r="G342">
        <f>IF($A342="",NA(),IF($C342="Action",$B342,NA()))</f>
        <v/>
      </c>
      <c r="H342">
        <f>IF($A342="",NA(),IF($C342="Action",1+$F342*0.023,NA()))</f>
        <v/>
      </c>
      <c r="I342">
        <f>IF($A342="",NA(),IF($C342="Strategy",$B342,NA()))</f>
        <v/>
      </c>
      <c r="J342">
        <f>IF($A342="",NA(),IF($C342="Strategy",2+$F342*0.023,NA()))</f>
        <v/>
      </c>
      <c r="K342">
        <f>IF($A342="",NA(),IF($C342="Deckbuilder",$B342,NA()))</f>
        <v/>
      </c>
      <c r="L342">
        <f>IF($A342="",NA(),IF($C342="Deckbuilder",3+$F342*0.023,NA()))</f>
        <v/>
      </c>
      <c r="M342">
        <f>IF($A342="",NA(),IF($C342="Traditional",$B342,NA()))</f>
        <v/>
      </c>
      <c r="N342">
        <f>IF($A342="",NA(),IF($C342="Traditional",4+$F342*0.023,NA()))</f>
        <v/>
      </c>
      <c r="O342">
        <f>IF($A342="","",$D342+ROW()/1000000)</f>
        <v/>
      </c>
      <c r="P342">
        <f>IF(OR($A342="",games!$H342=""),"",games!$H342)</f>
        <v/>
      </c>
      <c r="Q342">
        <f>IF(OR($A342="",$P342&lt;&gt;"Yes"),"",$D342+ROW()/1000000)</f>
        <v/>
      </c>
      <c r="T342">
        <f>IF(connections!$A342="","",IFERROR(INDEX(games!$B$2:$B$950,MATCH(connections!$A342,games!$A$2:$A$950,0)),""))</f>
        <v/>
      </c>
      <c r="U342">
        <f>IF(connections!$A342="","",IFERROR(INDEX(games!$B$2:$B$950,MATCH(connections!$B342,games!$A$2:$A$950,0)),""))</f>
        <v/>
      </c>
      <c r="V342">
        <f>IF(OR($T342="",$U342=""),"",$U342-$T342)</f>
        <v/>
      </c>
    </row>
    <row r="343">
      <c r="A343">
        <f>IF(games!$A343="","",games!$A343)</f>
        <v/>
      </c>
      <c r="B343">
        <f>IF($A343="","",games!$B343)</f>
        <v/>
      </c>
      <c r="C343">
        <f>IF($A343="","",games!$C343)</f>
        <v/>
      </c>
      <c r="D343">
        <f>IF($A343="","",COUNTIF(connections!$A$2:$A$1400,$A343)+COUNTIF(connections!$B$2:$B$1400,$A343))</f>
        <v/>
      </c>
      <c r="E343">
        <f>IF($A343="","",IFERROR(MATCH($C343,$R$2:$R$5,0),0))</f>
        <v/>
      </c>
      <c r="F343">
        <f>IF($A343="","",MOD(ROW(),34))</f>
        <v/>
      </c>
      <c r="G343">
        <f>IF($A343="",NA(),IF($C343="Action",$B343,NA()))</f>
        <v/>
      </c>
      <c r="H343">
        <f>IF($A343="",NA(),IF($C343="Action",1+$F343*0.023,NA()))</f>
        <v/>
      </c>
      <c r="I343">
        <f>IF($A343="",NA(),IF($C343="Strategy",$B343,NA()))</f>
        <v/>
      </c>
      <c r="J343">
        <f>IF($A343="",NA(),IF($C343="Strategy",2+$F343*0.023,NA()))</f>
        <v/>
      </c>
      <c r="K343">
        <f>IF($A343="",NA(),IF($C343="Deckbuilder",$B343,NA()))</f>
        <v/>
      </c>
      <c r="L343">
        <f>IF($A343="",NA(),IF($C343="Deckbuilder",3+$F343*0.023,NA()))</f>
        <v/>
      </c>
      <c r="M343">
        <f>IF($A343="",NA(),IF($C343="Traditional",$B343,NA()))</f>
        <v/>
      </c>
      <c r="N343">
        <f>IF($A343="",NA(),IF($C343="Traditional",4+$F343*0.023,NA()))</f>
        <v/>
      </c>
      <c r="O343">
        <f>IF($A343="","",$D343+ROW()/1000000)</f>
        <v/>
      </c>
      <c r="P343">
        <f>IF(OR($A343="",games!$H343=""),"",games!$H343)</f>
        <v/>
      </c>
      <c r="Q343">
        <f>IF(OR($A343="",$P343&lt;&gt;"Yes"),"",$D343+ROW()/1000000)</f>
        <v/>
      </c>
      <c r="T343">
        <f>IF(connections!$A343="","",IFERROR(INDEX(games!$B$2:$B$950,MATCH(connections!$A343,games!$A$2:$A$950,0)),""))</f>
        <v/>
      </c>
      <c r="U343">
        <f>IF(connections!$A343="","",IFERROR(INDEX(games!$B$2:$B$950,MATCH(connections!$B343,games!$A$2:$A$950,0)),""))</f>
        <v/>
      </c>
      <c r="V343">
        <f>IF(OR($T343="",$U343=""),"",$U343-$T343)</f>
        <v/>
      </c>
    </row>
    <row r="344">
      <c r="A344">
        <f>IF(games!$A344="","",games!$A344)</f>
        <v/>
      </c>
      <c r="B344">
        <f>IF($A344="","",games!$B344)</f>
        <v/>
      </c>
      <c r="C344">
        <f>IF($A344="","",games!$C344)</f>
        <v/>
      </c>
      <c r="D344">
        <f>IF($A344="","",COUNTIF(connections!$A$2:$A$1400,$A344)+COUNTIF(connections!$B$2:$B$1400,$A344))</f>
        <v/>
      </c>
      <c r="E344">
        <f>IF($A344="","",IFERROR(MATCH($C344,$R$2:$R$5,0),0))</f>
        <v/>
      </c>
      <c r="F344">
        <f>IF($A344="","",MOD(ROW(),34))</f>
        <v/>
      </c>
      <c r="G344">
        <f>IF($A344="",NA(),IF($C344="Action",$B344,NA()))</f>
        <v/>
      </c>
      <c r="H344">
        <f>IF($A344="",NA(),IF($C344="Action",1+$F344*0.023,NA()))</f>
        <v/>
      </c>
      <c r="I344">
        <f>IF($A344="",NA(),IF($C344="Strategy",$B344,NA()))</f>
        <v/>
      </c>
      <c r="J344">
        <f>IF($A344="",NA(),IF($C344="Strategy",2+$F344*0.023,NA()))</f>
        <v/>
      </c>
      <c r="K344">
        <f>IF($A344="",NA(),IF($C344="Deckbuilder",$B344,NA()))</f>
        <v/>
      </c>
      <c r="L344">
        <f>IF($A344="",NA(),IF($C344="Deckbuilder",3+$F344*0.023,NA()))</f>
        <v/>
      </c>
      <c r="M344">
        <f>IF($A344="",NA(),IF($C344="Traditional",$B344,NA()))</f>
        <v/>
      </c>
      <c r="N344">
        <f>IF($A344="",NA(),IF($C344="Traditional",4+$F344*0.023,NA()))</f>
        <v/>
      </c>
      <c r="O344">
        <f>IF($A344="","",$D344+ROW()/1000000)</f>
        <v/>
      </c>
      <c r="P344">
        <f>IF(OR($A344="",games!$H344=""),"",games!$H344)</f>
        <v/>
      </c>
      <c r="Q344">
        <f>IF(OR($A344="",$P344&lt;&gt;"Yes"),"",$D344+ROW()/1000000)</f>
        <v/>
      </c>
      <c r="T344">
        <f>IF(connections!$A344="","",IFERROR(INDEX(games!$B$2:$B$950,MATCH(connections!$A344,games!$A$2:$A$950,0)),""))</f>
        <v/>
      </c>
      <c r="U344">
        <f>IF(connections!$A344="","",IFERROR(INDEX(games!$B$2:$B$950,MATCH(connections!$B344,games!$A$2:$A$950,0)),""))</f>
        <v/>
      </c>
      <c r="V344">
        <f>IF(OR($T344="",$U344=""),"",$U344-$T344)</f>
        <v/>
      </c>
    </row>
    <row r="345">
      <c r="A345">
        <f>IF(games!$A345="","",games!$A345)</f>
        <v/>
      </c>
      <c r="B345">
        <f>IF($A345="","",games!$B345)</f>
        <v/>
      </c>
      <c r="C345">
        <f>IF($A345="","",games!$C345)</f>
        <v/>
      </c>
      <c r="D345">
        <f>IF($A345="","",COUNTIF(connections!$A$2:$A$1400,$A345)+COUNTIF(connections!$B$2:$B$1400,$A345))</f>
        <v/>
      </c>
      <c r="E345">
        <f>IF($A345="","",IFERROR(MATCH($C345,$R$2:$R$5,0),0))</f>
        <v/>
      </c>
      <c r="F345">
        <f>IF($A345="","",MOD(ROW(),34))</f>
        <v/>
      </c>
      <c r="G345">
        <f>IF($A345="",NA(),IF($C345="Action",$B345,NA()))</f>
        <v/>
      </c>
      <c r="H345">
        <f>IF($A345="",NA(),IF($C345="Action",1+$F345*0.023,NA()))</f>
        <v/>
      </c>
      <c r="I345">
        <f>IF($A345="",NA(),IF($C345="Strategy",$B345,NA()))</f>
        <v/>
      </c>
      <c r="J345">
        <f>IF($A345="",NA(),IF($C345="Strategy",2+$F345*0.023,NA()))</f>
        <v/>
      </c>
      <c r="K345">
        <f>IF($A345="",NA(),IF($C345="Deckbuilder",$B345,NA()))</f>
        <v/>
      </c>
      <c r="L345">
        <f>IF($A345="",NA(),IF($C345="Deckbuilder",3+$F345*0.023,NA()))</f>
        <v/>
      </c>
      <c r="M345">
        <f>IF($A345="",NA(),IF($C345="Traditional",$B345,NA()))</f>
        <v/>
      </c>
      <c r="N345">
        <f>IF($A345="",NA(),IF($C345="Traditional",4+$F345*0.023,NA()))</f>
        <v/>
      </c>
      <c r="O345">
        <f>IF($A345="","",$D345+ROW()/1000000)</f>
        <v/>
      </c>
      <c r="P345">
        <f>IF(OR($A345="",games!$H345=""),"",games!$H345)</f>
        <v/>
      </c>
      <c r="Q345">
        <f>IF(OR($A345="",$P345&lt;&gt;"Yes"),"",$D345+ROW()/1000000)</f>
        <v/>
      </c>
      <c r="T345">
        <f>IF(connections!$A345="","",IFERROR(INDEX(games!$B$2:$B$950,MATCH(connections!$A345,games!$A$2:$A$950,0)),""))</f>
        <v/>
      </c>
      <c r="U345">
        <f>IF(connections!$A345="","",IFERROR(INDEX(games!$B$2:$B$950,MATCH(connections!$B345,games!$A$2:$A$950,0)),""))</f>
        <v/>
      </c>
      <c r="V345">
        <f>IF(OR($T345="",$U345=""),"",$U345-$T345)</f>
        <v/>
      </c>
    </row>
    <row r="346">
      <c r="A346">
        <f>IF(games!$A346="","",games!$A346)</f>
        <v/>
      </c>
      <c r="B346">
        <f>IF($A346="","",games!$B346)</f>
        <v/>
      </c>
      <c r="C346">
        <f>IF($A346="","",games!$C346)</f>
        <v/>
      </c>
      <c r="D346">
        <f>IF($A346="","",COUNTIF(connections!$A$2:$A$1400,$A346)+COUNTIF(connections!$B$2:$B$1400,$A346))</f>
        <v/>
      </c>
      <c r="E346">
        <f>IF($A346="","",IFERROR(MATCH($C346,$R$2:$R$5,0),0))</f>
        <v/>
      </c>
      <c r="F346">
        <f>IF($A346="","",MOD(ROW(),34))</f>
        <v/>
      </c>
      <c r="G346">
        <f>IF($A346="",NA(),IF($C346="Action",$B346,NA()))</f>
        <v/>
      </c>
      <c r="H346">
        <f>IF($A346="",NA(),IF($C346="Action",1+$F346*0.023,NA()))</f>
        <v/>
      </c>
      <c r="I346">
        <f>IF($A346="",NA(),IF($C346="Strategy",$B346,NA()))</f>
        <v/>
      </c>
      <c r="J346">
        <f>IF($A346="",NA(),IF($C346="Strategy",2+$F346*0.023,NA()))</f>
        <v/>
      </c>
      <c r="K346">
        <f>IF($A346="",NA(),IF($C346="Deckbuilder",$B346,NA()))</f>
        <v/>
      </c>
      <c r="L346">
        <f>IF($A346="",NA(),IF($C346="Deckbuilder",3+$F346*0.023,NA()))</f>
        <v/>
      </c>
      <c r="M346">
        <f>IF($A346="",NA(),IF($C346="Traditional",$B346,NA()))</f>
        <v/>
      </c>
      <c r="N346">
        <f>IF($A346="",NA(),IF($C346="Traditional",4+$F346*0.023,NA()))</f>
        <v/>
      </c>
      <c r="O346">
        <f>IF($A346="","",$D346+ROW()/1000000)</f>
        <v/>
      </c>
      <c r="P346">
        <f>IF(OR($A346="",games!$H346=""),"",games!$H346)</f>
        <v/>
      </c>
      <c r="Q346">
        <f>IF(OR($A346="",$P346&lt;&gt;"Yes"),"",$D346+ROW()/1000000)</f>
        <v/>
      </c>
      <c r="T346">
        <f>IF(connections!$A346="","",IFERROR(INDEX(games!$B$2:$B$950,MATCH(connections!$A346,games!$A$2:$A$950,0)),""))</f>
        <v/>
      </c>
      <c r="U346">
        <f>IF(connections!$A346="","",IFERROR(INDEX(games!$B$2:$B$950,MATCH(connections!$B346,games!$A$2:$A$950,0)),""))</f>
        <v/>
      </c>
      <c r="V346">
        <f>IF(OR($T346="",$U346=""),"",$U346-$T346)</f>
        <v/>
      </c>
    </row>
    <row r="347">
      <c r="A347">
        <f>IF(games!$A347="","",games!$A347)</f>
        <v/>
      </c>
      <c r="B347">
        <f>IF($A347="","",games!$B347)</f>
        <v/>
      </c>
      <c r="C347">
        <f>IF($A347="","",games!$C347)</f>
        <v/>
      </c>
      <c r="D347">
        <f>IF($A347="","",COUNTIF(connections!$A$2:$A$1400,$A347)+COUNTIF(connections!$B$2:$B$1400,$A347))</f>
        <v/>
      </c>
      <c r="E347">
        <f>IF($A347="","",IFERROR(MATCH($C347,$R$2:$R$5,0),0))</f>
        <v/>
      </c>
      <c r="F347">
        <f>IF($A347="","",MOD(ROW(),34))</f>
        <v/>
      </c>
      <c r="G347">
        <f>IF($A347="",NA(),IF($C347="Action",$B347,NA()))</f>
        <v/>
      </c>
      <c r="H347">
        <f>IF($A347="",NA(),IF($C347="Action",1+$F347*0.023,NA()))</f>
        <v/>
      </c>
      <c r="I347">
        <f>IF($A347="",NA(),IF($C347="Strategy",$B347,NA()))</f>
        <v/>
      </c>
      <c r="J347">
        <f>IF($A347="",NA(),IF($C347="Strategy",2+$F347*0.023,NA()))</f>
        <v/>
      </c>
      <c r="K347">
        <f>IF($A347="",NA(),IF($C347="Deckbuilder",$B347,NA()))</f>
        <v/>
      </c>
      <c r="L347">
        <f>IF($A347="",NA(),IF($C347="Deckbuilder",3+$F347*0.023,NA()))</f>
        <v/>
      </c>
      <c r="M347">
        <f>IF($A347="",NA(),IF($C347="Traditional",$B347,NA()))</f>
        <v/>
      </c>
      <c r="N347">
        <f>IF($A347="",NA(),IF($C347="Traditional",4+$F347*0.023,NA()))</f>
        <v/>
      </c>
      <c r="O347">
        <f>IF($A347="","",$D347+ROW()/1000000)</f>
        <v/>
      </c>
      <c r="P347">
        <f>IF(OR($A347="",games!$H347=""),"",games!$H347)</f>
        <v/>
      </c>
      <c r="Q347">
        <f>IF(OR($A347="",$P347&lt;&gt;"Yes"),"",$D347+ROW()/1000000)</f>
        <v/>
      </c>
      <c r="T347">
        <f>IF(connections!$A347="","",IFERROR(INDEX(games!$B$2:$B$950,MATCH(connections!$A347,games!$A$2:$A$950,0)),""))</f>
        <v/>
      </c>
      <c r="U347">
        <f>IF(connections!$A347="","",IFERROR(INDEX(games!$B$2:$B$950,MATCH(connections!$B347,games!$A$2:$A$950,0)),""))</f>
        <v/>
      </c>
      <c r="V347">
        <f>IF(OR($T347="",$U347=""),"",$U347-$T347)</f>
        <v/>
      </c>
    </row>
    <row r="348">
      <c r="A348">
        <f>IF(games!$A348="","",games!$A348)</f>
        <v/>
      </c>
      <c r="B348">
        <f>IF($A348="","",games!$B348)</f>
        <v/>
      </c>
      <c r="C348">
        <f>IF($A348="","",games!$C348)</f>
        <v/>
      </c>
      <c r="D348">
        <f>IF($A348="","",COUNTIF(connections!$A$2:$A$1400,$A348)+COUNTIF(connections!$B$2:$B$1400,$A348))</f>
        <v/>
      </c>
      <c r="E348">
        <f>IF($A348="","",IFERROR(MATCH($C348,$R$2:$R$5,0),0))</f>
        <v/>
      </c>
      <c r="F348">
        <f>IF($A348="","",MOD(ROW(),34))</f>
        <v/>
      </c>
      <c r="G348">
        <f>IF($A348="",NA(),IF($C348="Action",$B348,NA()))</f>
        <v/>
      </c>
      <c r="H348">
        <f>IF($A348="",NA(),IF($C348="Action",1+$F348*0.023,NA()))</f>
        <v/>
      </c>
      <c r="I348">
        <f>IF($A348="",NA(),IF($C348="Strategy",$B348,NA()))</f>
        <v/>
      </c>
      <c r="J348">
        <f>IF($A348="",NA(),IF($C348="Strategy",2+$F348*0.023,NA()))</f>
        <v/>
      </c>
      <c r="K348">
        <f>IF($A348="",NA(),IF($C348="Deckbuilder",$B348,NA()))</f>
        <v/>
      </c>
      <c r="L348">
        <f>IF($A348="",NA(),IF($C348="Deckbuilder",3+$F348*0.023,NA()))</f>
        <v/>
      </c>
      <c r="M348">
        <f>IF($A348="",NA(),IF($C348="Traditional",$B348,NA()))</f>
        <v/>
      </c>
      <c r="N348">
        <f>IF($A348="",NA(),IF($C348="Traditional",4+$F348*0.023,NA()))</f>
        <v/>
      </c>
      <c r="O348">
        <f>IF($A348="","",$D348+ROW()/1000000)</f>
        <v/>
      </c>
      <c r="P348">
        <f>IF(OR($A348="",games!$H348=""),"",games!$H348)</f>
        <v/>
      </c>
      <c r="Q348">
        <f>IF(OR($A348="",$P348&lt;&gt;"Yes"),"",$D348+ROW()/1000000)</f>
        <v/>
      </c>
      <c r="T348">
        <f>IF(connections!$A348="","",IFERROR(INDEX(games!$B$2:$B$950,MATCH(connections!$A348,games!$A$2:$A$950,0)),""))</f>
        <v/>
      </c>
      <c r="U348">
        <f>IF(connections!$A348="","",IFERROR(INDEX(games!$B$2:$B$950,MATCH(connections!$B348,games!$A$2:$A$950,0)),""))</f>
        <v/>
      </c>
      <c r="V348">
        <f>IF(OR($T348="",$U348=""),"",$U348-$T348)</f>
        <v/>
      </c>
    </row>
    <row r="349">
      <c r="A349">
        <f>IF(games!$A349="","",games!$A349)</f>
        <v/>
      </c>
      <c r="B349">
        <f>IF($A349="","",games!$B349)</f>
        <v/>
      </c>
      <c r="C349">
        <f>IF($A349="","",games!$C349)</f>
        <v/>
      </c>
      <c r="D349">
        <f>IF($A349="","",COUNTIF(connections!$A$2:$A$1400,$A349)+COUNTIF(connections!$B$2:$B$1400,$A349))</f>
        <v/>
      </c>
      <c r="E349">
        <f>IF($A349="","",IFERROR(MATCH($C349,$R$2:$R$5,0),0))</f>
        <v/>
      </c>
      <c r="F349">
        <f>IF($A349="","",MOD(ROW(),34))</f>
        <v/>
      </c>
      <c r="G349">
        <f>IF($A349="",NA(),IF($C349="Action",$B349,NA()))</f>
        <v/>
      </c>
      <c r="H349">
        <f>IF($A349="",NA(),IF($C349="Action",1+$F349*0.023,NA()))</f>
        <v/>
      </c>
      <c r="I349">
        <f>IF($A349="",NA(),IF($C349="Strategy",$B349,NA()))</f>
        <v/>
      </c>
      <c r="J349">
        <f>IF($A349="",NA(),IF($C349="Strategy",2+$F349*0.023,NA()))</f>
        <v/>
      </c>
      <c r="K349">
        <f>IF($A349="",NA(),IF($C349="Deckbuilder",$B349,NA()))</f>
        <v/>
      </c>
      <c r="L349">
        <f>IF($A349="",NA(),IF($C349="Deckbuilder",3+$F349*0.023,NA()))</f>
        <v/>
      </c>
      <c r="M349">
        <f>IF($A349="",NA(),IF($C349="Traditional",$B349,NA()))</f>
        <v/>
      </c>
      <c r="N349">
        <f>IF($A349="",NA(),IF($C349="Traditional",4+$F349*0.023,NA()))</f>
        <v/>
      </c>
      <c r="O349">
        <f>IF($A349="","",$D349+ROW()/1000000)</f>
        <v/>
      </c>
      <c r="P349">
        <f>IF(OR($A349="",games!$H349=""),"",games!$H349)</f>
        <v/>
      </c>
      <c r="Q349">
        <f>IF(OR($A349="",$P349&lt;&gt;"Yes"),"",$D349+ROW()/1000000)</f>
        <v/>
      </c>
      <c r="T349">
        <f>IF(connections!$A349="","",IFERROR(INDEX(games!$B$2:$B$950,MATCH(connections!$A349,games!$A$2:$A$950,0)),""))</f>
        <v/>
      </c>
      <c r="U349">
        <f>IF(connections!$A349="","",IFERROR(INDEX(games!$B$2:$B$950,MATCH(connections!$B349,games!$A$2:$A$950,0)),""))</f>
        <v/>
      </c>
      <c r="V349">
        <f>IF(OR($T349="",$U349=""),"",$U349-$T349)</f>
        <v/>
      </c>
    </row>
    <row r="350">
      <c r="A350">
        <f>IF(games!$A350="","",games!$A350)</f>
        <v/>
      </c>
      <c r="B350">
        <f>IF($A350="","",games!$B350)</f>
        <v/>
      </c>
      <c r="C350">
        <f>IF($A350="","",games!$C350)</f>
        <v/>
      </c>
      <c r="D350">
        <f>IF($A350="","",COUNTIF(connections!$A$2:$A$1400,$A350)+COUNTIF(connections!$B$2:$B$1400,$A350))</f>
        <v/>
      </c>
      <c r="E350">
        <f>IF($A350="","",IFERROR(MATCH($C350,$R$2:$R$5,0),0))</f>
        <v/>
      </c>
      <c r="F350">
        <f>IF($A350="","",MOD(ROW(),34))</f>
        <v/>
      </c>
      <c r="G350">
        <f>IF($A350="",NA(),IF($C350="Action",$B350,NA()))</f>
        <v/>
      </c>
      <c r="H350">
        <f>IF($A350="",NA(),IF($C350="Action",1+$F350*0.023,NA()))</f>
        <v/>
      </c>
      <c r="I350">
        <f>IF($A350="",NA(),IF($C350="Strategy",$B350,NA()))</f>
        <v/>
      </c>
      <c r="J350">
        <f>IF($A350="",NA(),IF($C350="Strategy",2+$F350*0.023,NA()))</f>
        <v/>
      </c>
      <c r="K350">
        <f>IF($A350="",NA(),IF($C350="Deckbuilder",$B350,NA()))</f>
        <v/>
      </c>
      <c r="L350">
        <f>IF($A350="",NA(),IF($C350="Deckbuilder",3+$F350*0.023,NA()))</f>
        <v/>
      </c>
      <c r="M350">
        <f>IF($A350="",NA(),IF($C350="Traditional",$B350,NA()))</f>
        <v/>
      </c>
      <c r="N350">
        <f>IF($A350="",NA(),IF($C350="Traditional",4+$F350*0.023,NA()))</f>
        <v/>
      </c>
      <c r="O350">
        <f>IF($A350="","",$D350+ROW()/1000000)</f>
        <v/>
      </c>
      <c r="P350">
        <f>IF(OR($A350="",games!$H350=""),"",games!$H350)</f>
        <v/>
      </c>
      <c r="Q350">
        <f>IF(OR($A350="",$P350&lt;&gt;"Yes"),"",$D350+ROW()/1000000)</f>
        <v/>
      </c>
      <c r="T350">
        <f>IF(connections!$A350="","",IFERROR(INDEX(games!$B$2:$B$950,MATCH(connections!$A350,games!$A$2:$A$950,0)),""))</f>
        <v/>
      </c>
      <c r="U350">
        <f>IF(connections!$A350="","",IFERROR(INDEX(games!$B$2:$B$950,MATCH(connections!$B350,games!$A$2:$A$950,0)),""))</f>
        <v/>
      </c>
      <c r="V350">
        <f>IF(OR($T350="",$U350=""),"",$U350-$T350)</f>
        <v/>
      </c>
    </row>
    <row r="351">
      <c r="A351">
        <f>IF(games!$A351="","",games!$A351)</f>
        <v/>
      </c>
      <c r="B351">
        <f>IF($A351="","",games!$B351)</f>
        <v/>
      </c>
      <c r="C351">
        <f>IF($A351="","",games!$C351)</f>
        <v/>
      </c>
      <c r="D351">
        <f>IF($A351="","",COUNTIF(connections!$A$2:$A$1400,$A351)+COUNTIF(connections!$B$2:$B$1400,$A351))</f>
        <v/>
      </c>
      <c r="E351">
        <f>IF($A351="","",IFERROR(MATCH($C351,$R$2:$R$5,0),0))</f>
        <v/>
      </c>
      <c r="F351">
        <f>IF($A351="","",MOD(ROW(),34))</f>
        <v/>
      </c>
      <c r="G351">
        <f>IF($A351="",NA(),IF($C351="Action",$B351,NA()))</f>
        <v/>
      </c>
      <c r="H351">
        <f>IF($A351="",NA(),IF($C351="Action",1+$F351*0.023,NA()))</f>
        <v/>
      </c>
      <c r="I351">
        <f>IF($A351="",NA(),IF($C351="Strategy",$B351,NA()))</f>
        <v/>
      </c>
      <c r="J351">
        <f>IF($A351="",NA(),IF($C351="Strategy",2+$F351*0.023,NA()))</f>
        <v/>
      </c>
      <c r="K351">
        <f>IF($A351="",NA(),IF($C351="Deckbuilder",$B351,NA()))</f>
        <v/>
      </c>
      <c r="L351">
        <f>IF($A351="",NA(),IF($C351="Deckbuilder",3+$F351*0.023,NA()))</f>
        <v/>
      </c>
      <c r="M351">
        <f>IF($A351="",NA(),IF($C351="Traditional",$B351,NA()))</f>
        <v/>
      </c>
      <c r="N351">
        <f>IF($A351="",NA(),IF($C351="Traditional",4+$F351*0.023,NA()))</f>
        <v/>
      </c>
      <c r="O351">
        <f>IF($A351="","",$D351+ROW()/1000000)</f>
        <v/>
      </c>
      <c r="P351">
        <f>IF(OR($A351="",games!$H351=""),"",games!$H351)</f>
        <v/>
      </c>
      <c r="Q351">
        <f>IF(OR($A351="",$P351&lt;&gt;"Yes"),"",$D351+ROW()/1000000)</f>
        <v/>
      </c>
      <c r="T351">
        <f>IF(connections!$A351="","",IFERROR(INDEX(games!$B$2:$B$950,MATCH(connections!$A351,games!$A$2:$A$950,0)),""))</f>
        <v/>
      </c>
      <c r="U351">
        <f>IF(connections!$A351="","",IFERROR(INDEX(games!$B$2:$B$950,MATCH(connections!$B351,games!$A$2:$A$950,0)),""))</f>
        <v/>
      </c>
      <c r="V351">
        <f>IF(OR($T351="",$U351=""),"",$U351-$T351)</f>
        <v/>
      </c>
    </row>
    <row r="352">
      <c r="A352">
        <f>IF(games!$A352="","",games!$A352)</f>
        <v/>
      </c>
      <c r="B352">
        <f>IF($A352="","",games!$B352)</f>
        <v/>
      </c>
      <c r="C352">
        <f>IF($A352="","",games!$C352)</f>
        <v/>
      </c>
      <c r="D352">
        <f>IF($A352="","",COUNTIF(connections!$A$2:$A$1400,$A352)+COUNTIF(connections!$B$2:$B$1400,$A352))</f>
        <v/>
      </c>
      <c r="E352">
        <f>IF($A352="","",IFERROR(MATCH($C352,$R$2:$R$5,0),0))</f>
        <v/>
      </c>
      <c r="F352">
        <f>IF($A352="","",MOD(ROW(),34))</f>
        <v/>
      </c>
      <c r="G352">
        <f>IF($A352="",NA(),IF($C352="Action",$B352,NA()))</f>
        <v/>
      </c>
      <c r="H352">
        <f>IF($A352="",NA(),IF($C352="Action",1+$F352*0.023,NA()))</f>
        <v/>
      </c>
      <c r="I352">
        <f>IF($A352="",NA(),IF($C352="Strategy",$B352,NA()))</f>
        <v/>
      </c>
      <c r="J352">
        <f>IF($A352="",NA(),IF($C352="Strategy",2+$F352*0.023,NA()))</f>
        <v/>
      </c>
      <c r="K352">
        <f>IF($A352="",NA(),IF($C352="Deckbuilder",$B352,NA()))</f>
        <v/>
      </c>
      <c r="L352">
        <f>IF($A352="",NA(),IF($C352="Deckbuilder",3+$F352*0.023,NA()))</f>
        <v/>
      </c>
      <c r="M352">
        <f>IF($A352="",NA(),IF($C352="Traditional",$B352,NA()))</f>
        <v/>
      </c>
      <c r="N352">
        <f>IF($A352="",NA(),IF($C352="Traditional",4+$F352*0.023,NA()))</f>
        <v/>
      </c>
      <c r="O352">
        <f>IF($A352="","",$D352+ROW()/1000000)</f>
        <v/>
      </c>
      <c r="P352">
        <f>IF(OR($A352="",games!$H352=""),"",games!$H352)</f>
        <v/>
      </c>
      <c r="Q352">
        <f>IF(OR($A352="",$P352&lt;&gt;"Yes"),"",$D352+ROW()/1000000)</f>
        <v/>
      </c>
      <c r="T352">
        <f>IF(connections!$A352="","",IFERROR(INDEX(games!$B$2:$B$950,MATCH(connections!$A352,games!$A$2:$A$950,0)),""))</f>
        <v/>
      </c>
      <c r="U352">
        <f>IF(connections!$A352="","",IFERROR(INDEX(games!$B$2:$B$950,MATCH(connections!$B352,games!$A$2:$A$950,0)),""))</f>
        <v/>
      </c>
      <c r="V352">
        <f>IF(OR($T352="",$U352=""),"",$U352-$T352)</f>
        <v/>
      </c>
    </row>
    <row r="353">
      <c r="A353">
        <f>IF(games!$A353="","",games!$A353)</f>
        <v/>
      </c>
      <c r="B353">
        <f>IF($A353="","",games!$B353)</f>
        <v/>
      </c>
      <c r="C353">
        <f>IF($A353="","",games!$C353)</f>
        <v/>
      </c>
      <c r="D353">
        <f>IF($A353="","",COUNTIF(connections!$A$2:$A$1400,$A353)+COUNTIF(connections!$B$2:$B$1400,$A353))</f>
        <v/>
      </c>
      <c r="E353">
        <f>IF($A353="","",IFERROR(MATCH($C353,$R$2:$R$5,0),0))</f>
        <v/>
      </c>
      <c r="F353">
        <f>IF($A353="","",MOD(ROW(),34))</f>
        <v/>
      </c>
      <c r="G353">
        <f>IF($A353="",NA(),IF($C353="Action",$B353,NA()))</f>
        <v/>
      </c>
      <c r="H353">
        <f>IF($A353="",NA(),IF($C353="Action",1+$F353*0.023,NA()))</f>
        <v/>
      </c>
      <c r="I353">
        <f>IF($A353="",NA(),IF($C353="Strategy",$B353,NA()))</f>
        <v/>
      </c>
      <c r="J353">
        <f>IF($A353="",NA(),IF($C353="Strategy",2+$F353*0.023,NA()))</f>
        <v/>
      </c>
      <c r="K353">
        <f>IF($A353="",NA(),IF($C353="Deckbuilder",$B353,NA()))</f>
        <v/>
      </c>
      <c r="L353">
        <f>IF($A353="",NA(),IF($C353="Deckbuilder",3+$F353*0.023,NA()))</f>
        <v/>
      </c>
      <c r="M353">
        <f>IF($A353="",NA(),IF($C353="Traditional",$B353,NA()))</f>
        <v/>
      </c>
      <c r="N353">
        <f>IF($A353="",NA(),IF($C353="Traditional",4+$F353*0.023,NA()))</f>
        <v/>
      </c>
      <c r="O353">
        <f>IF($A353="","",$D353+ROW()/1000000)</f>
        <v/>
      </c>
      <c r="P353">
        <f>IF(OR($A353="",games!$H353=""),"",games!$H353)</f>
        <v/>
      </c>
      <c r="Q353">
        <f>IF(OR($A353="",$P353&lt;&gt;"Yes"),"",$D353+ROW()/1000000)</f>
        <v/>
      </c>
      <c r="T353">
        <f>IF(connections!$A353="","",IFERROR(INDEX(games!$B$2:$B$950,MATCH(connections!$A353,games!$A$2:$A$950,0)),""))</f>
        <v/>
      </c>
      <c r="U353">
        <f>IF(connections!$A353="","",IFERROR(INDEX(games!$B$2:$B$950,MATCH(connections!$B353,games!$A$2:$A$950,0)),""))</f>
        <v/>
      </c>
      <c r="V353">
        <f>IF(OR($T353="",$U353=""),"",$U353-$T353)</f>
        <v/>
      </c>
    </row>
    <row r="354">
      <c r="A354">
        <f>IF(games!$A354="","",games!$A354)</f>
        <v/>
      </c>
      <c r="B354">
        <f>IF($A354="","",games!$B354)</f>
        <v/>
      </c>
      <c r="C354">
        <f>IF($A354="","",games!$C354)</f>
        <v/>
      </c>
      <c r="D354">
        <f>IF($A354="","",COUNTIF(connections!$A$2:$A$1400,$A354)+COUNTIF(connections!$B$2:$B$1400,$A354))</f>
        <v/>
      </c>
      <c r="E354">
        <f>IF($A354="","",IFERROR(MATCH($C354,$R$2:$R$5,0),0))</f>
        <v/>
      </c>
      <c r="F354">
        <f>IF($A354="","",MOD(ROW(),34))</f>
        <v/>
      </c>
      <c r="G354">
        <f>IF($A354="",NA(),IF($C354="Action",$B354,NA()))</f>
        <v/>
      </c>
      <c r="H354">
        <f>IF($A354="",NA(),IF($C354="Action",1+$F354*0.023,NA()))</f>
        <v/>
      </c>
      <c r="I354">
        <f>IF($A354="",NA(),IF($C354="Strategy",$B354,NA()))</f>
        <v/>
      </c>
      <c r="J354">
        <f>IF($A354="",NA(),IF($C354="Strategy",2+$F354*0.023,NA()))</f>
        <v/>
      </c>
      <c r="K354">
        <f>IF($A354="",NA(),IF($C354="Deckbuilder",$B354,NA()))</f>
        <v/>
      </c>
      <c r="L354">
        <f>IF($A354="",NA(),IF($C354="Deckbuilder",3+$F354*0.023,NA()))</f>
        <v/>
      </c>
      <c r="M354">
        <f>IF($A354="",NA(),IF($C354="Traditional",$B354,NA()))</f>
        <v/>
      </c>
      <c r="N354">
        <f>IF($A354="",NA(),IF($C354="Traditional",4+$F354*0.023,NA()))</f>
        <v/>
      </c>
      <c r="O354">
        <f>IF($A354="","",$D354+ROW()/1000000)</f>
        <v/>
      </c>
      <c r="P354">
        <f>IF(OR($A354="",games!$H354=""),"",games!$H354)</f>
        <v/>
      </c>
      <c r="Q354">
        <f>IF(OR($A354="",$P354&lt;&gt;"Yes"),"",$D354+ROW()/1000000)</f>
        <v/>
      </c>
      <c r="T354">
        <f>IF(connections!$A354="","",IFERROR(INDEX(games!$B$2:$B$950,MATCH(connections!$A354,games!$A$2:$A$950,0)),""))</f>
        <v/>
      </c>
      <c r="U354">
        <f>IF(connections!$A354="","",IFERROR(INDEX(games!$B$2:$B$950,MATCH(connections!$B354,games!$A$2:$A$950,0)),""))</f>
        <v/>
      </c>
      <c r="V354">
        <f>IF(OR($T354="",$U354=""),"",$U354-$T354)</f>
        <v/>
      </c>
    </row>
    <row r="355">
      <c r="A355">
        <f>IF(games!$A355="","",games!$A355)</f>
        <v/>
      </c>
      <c r="B355">
        <f>IF($A355="","",games!$B355)</f>
        <v/>
      </c>
      <c r="C355">
        <f>IF($A355="","",games!$C355)</f>
        <v/>
      </c>
      <c r="D355">
        <f>IF($A355="","",COUNTIF(connections!$A$2:$A$1400,$A355)+COUNTIF(connections!$B$2:$B$1400,$A355))</f>
        <v/>
      </c>
      <c r="E355">
        <f>IF($A355="","",IFERROR(MATCH($C355,$R$2:$R$5,0),0))</f>
        <v/>
      </c>
      <c r="F355">
        <f>IF($A355="","",MOD(ROW(),34))</f>
        <v/>
      </c>
      <c r="G355">
        <f>IF($A355="",NA(),IF($C355="Action",$B355,NA()))</f>
        <v/>
      </c>
      <c r="H355">
        <f>IF($A355="",NA(),IF($C355="Action",1+$F355*0.023,NA()))</f>
        <v/>
      </c>
      <c r="I355">
        <f>IF($A355="",NA(),IF($C355="Strategy",$B355,NA()))</f>
        <v/>
      </c>
      <c r="J355">
        <f>IF($A355="",NA(),IF($C355="Strategy",2+$F355*0.023,NA()))</f>
        <v/>
      </c>
      <c r="K355">
        <f>IF($A355="",NA(),IF($C355="Deckbuilder",$B355,NA()))</f>
        <v/>
      </c>
      <c r="L355">
        <f>IF($A355="",NA(),IF($C355="Deckbuilder",3+$F355*0.023,NA()))</f>
        <v/>
      </c>
      <c r="M355">
        <f>IF($A355="",NA(),IF($C355="Traditional",$B355,NA()))</f>
        <v/>
      </c>
      <c r="N355">
        <f>IF($A355="",NA(),IF($C355="Traditional",4+$F355*0.023,NA()))</f>
        <v/>
      </c>
      <c r="O355">
        <f>IF($A355="","",$D355+ROW()/1000000)</f>
        <v/>
      </c>
      <c r="P355">
        <f>IF(OR($A355="",games!$H355=""),"",games!$H355)</f>
        <v/>
      </c>
      <c r="Q355">
        <f>IF(OR($A355="",$P355&lt;&gt;"Yes"),"",$D355+ROW()/1000000)</f>
        <v/>
      </c>
      <c r="T355">
        <f>IF(connections!$A355="","",IFERROR(INDEX(games!$B$2:$B$950,MATCH(connections!$A355,games!$A$2:$A$950,0)),""))</f>
        <v/>
      </c>
      <c r="U355">
        <f>IF(connections!$A355="","",IFERROR(INDEX(games!$B$2:$B$950,MATCH(connections!$B355,games!$A$2:$A$950,0)),""))</f>
        <v/>
      </c>
      <c r="V355">
        <f>IF(OR($T355="",$U355=""),"",$U355-$T355)</f>
        <v/>
      </c>
    </row>
    <row r="356">
      <c r="A356">
        <f>IF(games!$A356="","",games!$A356)</f>
        <v/>
      </c>
      <c r="B356">
        <f>IF($A356="","",games!$B356)</f>
        <v/>
      </c>
      <c r="C356">
        <f>IF($A356="","",games!$C356)</f>
        <v/>
      </c>
      <c r="D356">
        <f>IF($A356="","",COUNTIF(connections!$A$2:$A$1400,$A356)+COUNTIF(connections!$B$2:$B$1400,$A356))</f>
        <v/>
      </c>
      <c r="E356">
        <f>IF($A356="","",IFERROR(MATCH($C356,$R$2:$R$5,0),0))</f>
        <v/>
      </c>
      <c r="F356">
        <f>IF($A356="","",MOD(ROW(),34))</f>
        <v/>
      </c>
      <c r="G356">
        <f>IF($A356="",NA(),IF($C356="Action",$B356,NA()))</f>
        <v/>
      </c>
      <c r="H356">
        <f>IF($A356="",NA(),IF($C356="Action",1+$F356*0.023,NA()))</f>
        <v/>
      </c>
      <c r="I356">
        <f>IF($A356="",NA(),IF($C356="Strategy",$B356,NA()))</f>
        <v/>
      </c>
      <c r="J356">
        <f>IF($A356="",NA(),IF($C356="Strategy",2+$F356*0.023,NA()))</f>
        <v/>
      </c>
      <c r="K356">
        <f>IF($A356="",NA(),IF($C356="Deckbuilder",$B356,NA()))</f>
        <v/>
      </c>
      <c r="L356">
        <f>IF($A356="",NA(),IF($C356="Deckbuilder",3+$F356*0.023,NA()))</f>
        <v/>
      </c>
      <c r="M356">
        <f>IF($A356="",NA(),IF($C356="Traditional",$B356,NA()))</f>
        <v/>
      </c>
      <c r="N356">
        <f>IF($A356="",NA(),IF($C356="Traditional",4+$F356*0.023,NA()))</f>
        <v/>
      </c>
      <c r="O356">
        <f>IF($A356="","",$D356+ROW()/1000000)</f>
        <v/>
      </c>
      <c r="P356">
        <f>IF(OR($A356="",games!$H356=""),"",games!$H356)</f>
        <v/>
      </c>
      <c r="Q356">
        <f>IF(OR($A356="",$P356&lt;&gt;"Yes"),"",$D356+ROW()/1000000)</f>
        <v/>
      </c>
      <c r="T356">
        <f>IF(connections!$A356="","",IFERROR(INDEX(games!$B$2:$B$950,MATCH(connections!$A356,games!$A$2:$A$950,0)),""))</f>
        <v/>
      </c>
      <c r="U356">
        <f>IF(connections!$A356="","",IFERROR(INDEX(games!$B$2:$B$950,MATCH(connections!$B356,games!$A$2:$A$950,0)),""))</f>
        <v/>
      </c>
      <c r="V356">
        <f>IF(OR($T356="",$U356=""),"",$U356-$T356)</f>
        <v/>
      </c>
    </row>
    <row r="357">
      <c r="A357">
        <f>IF(games!$A357="","",games!$A357)</f>
        <v/>
      </c>
      <c r="B357">
        <f>IF($A357="","",games!$B357)</f>
        <v/>
      </c>
      <c r="C357">
        <f>IF($A357="","",games!$C357)</f>
        <v/>
      </c>
      <c r="D357">
        <f>IF($A357="","",COUNTIF(connections!$A$2:$A$1400,$A357)+COUNTIF(connections!$B$2:$B$1400,$A357))</f>
        <v/>
      </c>
      <c r="E357">
        <f>IF($A357="","",IFERROR(MATCH($C357,$R$2:$R$5,0),0))</f>
        <v/>
      </c>
      <c r="F357">
        <f>IF($A357="","",MOD(ROW(),34))</f>
        <v/>
      </c>
      <c r="G357">
        <f>IF($A357="",NA(),IF($C357="Action",$B357,NA()))</f>
        <v/>
      </c>
      <c r="H357">
        <f>IF($A357="",NA(),IF($C357="Action",1+$F357*0.023,NA()))</f>
        <v/>
      </c>
      <c r="I357">
        <f>IF($A357="",NA(),IF($C357="Strategy",$B357,NA()))</f>
        <v/>
      </c>
      <c r="J357">
        <f>IF($A357="",NA(),IF($C357="Strategy",2+$F357*0.023,NA()))</f>
        <v/>
      </c>
      <c r="K357">
        <f>IF($A357="",NA(),IF($C357="Deckbuilder",$B357,NA()))</f>
        <v/>
      </c>
      <c r="L357">
        <f>IF($A357="",NA(),IF($C357="Deckbuilder",3+$F357*0.023,NA()))</f>
        <v/>
      </c>
      <c r="M357">
        <f>IF($A357="",NA(),IF($C357="Traditional",$B357,NA()))</f>
        <v/>
      </c>
      <c r="N357">
        <f>IF($A357="",NA(),IF($C357="Traditional",4+$F357*0.023,NA()))</f>
        <v/>
      </c>
      <c r="O357">
        <f>IF($A357="","",$D357+ROW()/1000000)</f>
        <v/>
      </c>
      <c r="P357">
        <f>IF(OR($A357="",games!$H357=""),"",games!$H357)</f>
        <v/>
      </c>
      <c r="Q357">
        <f>IF(OR($A357="",$P357&lt;&gt;"Yes"),"",$D357+ROW()/1000000)</f>
        <v/>
      </c>
      <c r="T357">
        <f>IF(connections!$A357="","",IFERROR(INDEX(games!$B$2:$B$950,MATCH(connections!$A357,games!$A$2:$A$950,0)),""))</f>
        <v/>
      </c>
      <c r="U357">
        <f>IF(connections!$A357="","",IFERROR(INDEX(games!$B$2:$B$950,MATCH(connections!$B357,games!$A$2:$A$950,0)),""))</f>
        <v/>
      </c>
      <c r="V357">
        <f>IF(OR($T357="",$U357=""),"",$U357-$T357)</f>
        <v/>
      </c>
    </row>
    <row r="358">
      <c r="A358">
        <f>IF(games!$A358="","",games!$A358)</f>
        <v/>
      </c>
      <c r="B358">
        <f>IF($A358="","",games!$B358)</f>
        <v/>
      </c>
      <c r="C358">
        <f>IF($A358="","",games!$C358)</f>
        <v/>
      </c>
      <c r="D358">
        <f>IF($A358="","",COUNTIF(connections!$A$2:$A$1400,$A358)+COUNTIF(connections!$B$2:$B$1400,$A358))</f>
        <v/>
      </c>
      <c r="E358">
        <f>IF($A358="","",IFERROR(MATCH($C358,$R$2:$R$5,0),0))</f>
        <v/>
      </c>
      <c r="F358">
        <f>IF($A358="","",MOD(ROW(),34))</f>
        <v/>
      </c>
      <c r="G358">
        <f>IF($A358="",NA(),IF($C358="Action",$B358,NA()))</f>
        <v/>
      </c>
      <c r="H358">
        <f>IF($A358="",NA(),IF($C358="Action",1+$F358*0.023,NA()))</f>
        <v/>
      </c>
      <c r="I358">
        <f>IF($A358="",NA(),IF($C358="Strategy",$B358,NA()))</f>
        <v/>
      </c>
      <c r="J358">
        <f>IF($A358="",NA(),IF($C358="Strategy",2+$F358*0.023,NA()))</f>
        <v/>
      </c>
      <c r="K358">
        <f>IF($A358="",NA(),IF($C358="Deckbuilder",$B358,NA()))</f>
        <v/>
      </c>
      <c r="L358">
        <f>IF($A358="",NA(),IF($C358="Deckbuilder",3+$F358*0.023,NA()))</f>
        <v/>
      </c>
      <c r="M358">
        <f>IF($A358="",NA(),IF($C358="Traditional",$B358,NA()))</f>
        <v/>
      </c>
      <c r="N358">
        <f>IF($A358="",NA(),IF($C358="Traditional",4+$F358*0.023,NA()))</f>
        <v/>
      </c>
      <c r="O358">
        <f>IF($A358="","",$D358+ROW()/1000000)</f>
        <v/>
      </c>
      <c r="P358">
        <f>IF(OR($A358="",games!$H358=""),"",games!$H358)</f>
        <v/>
      </c>
      <c r="Q358">
        <f>IF(OR($A358="",$P358&lt;&gt;"Yes"),"",$D358+ROW()/1000000)</f>
        <v/>
      </c>
      <c r="T358">
        <f>IF(connections!$A358="","",IFERROR(INDEX(games!$B$2:$B$950,MATCH(connections!$A358,games!$A$2:$A$950,0)),""))</f>
        <v/>
      </c>
      <c r="U358">
        <f>IF(connections!$A358="","",IFERROR(INDEX(games!$B$2:$B$950,MATCH(connections!$B358,games!$A$2:$A$950,0)),""))</f>
        <v/>
      </c>
      <c r="V358">
        <f>IF(OR($T358="",$U358=""),"",$U358-$T358)</f>
        <v/>
      </c>
    </row>
    <row r="359">
      <c r="A359">
        <f>IF(games!$A359="","",games!$A359)</f>
        <v/>
      </c>
      <c r="B359">
        <f>IF($A359="","",games!$B359)</f>
        <v/>
      </c>
      <c r="C359">
        <f>IF($A359="","",games!$C359)</f>
        <v/>
      </c>
      <c r="D359">
        <f>IF($A359="","",COUNTIF(connections!$A$2:$A$1400,$A359)+COUNTIF(connections!$B$2:$B$1400,$A359))</f>
        <v/>
      </c>
      <c r="E359">
        <f>IF($A359="","",IFERROR(MATCH($C359,$R$2:$R$5,0),0))</f>
        <v/>
      </c>
      <c r="F359">
        <f>IF($A359="","",MOD(ROW(),34))</f>
        <v/>
      </c>
      <c r="G359">
        <f>IF($A359="",NA(),IF($C359="Action",$B359,NA()))</f>
        <v/>
      </c>
      <c r="H359">
        <f>IF($A359="",NA(),IF($C359="Action",1+$F359*0.023,NA()))</f>
        <v/>
      </c>
      <c r="I359">
        <f>IF($A359="",NA(),IF($C359="Strategy",$B359,NA()))</f>
        <v/>
      </c>
      <c r="J359">
        <f>IF($A359="",NA(),IF($C359="Strategy",2+$F359*0.023,NA()))</f>
        <v/>
      </c>
      <c r="K359">
        <f>IF($A359="",NA(),IF($C359="Deckbuilder",$B359,NA()))</f>
        <v/>
      </c>
      <c r="L359">
        <f>IF($A359="",NA(),IF($C359="Deckbuilder",3+$F359*0.023,NA()))</f>
        <v/>
      </c>
      <c r="M359">
        <f>IF($A359="",NA(),IF($C359="Traditional",$B359,NA()))</f>
        <v/>
      </c>
      <c r="N359">
        <f>IF($A359="",NA(),IF($C359="Traditional",4+$F359*0.023,NA()))</f>
        <v/>
      </c>
      <c r="O359">
        <f>IF($A359="","",$D359+ROW()/1000000)</f>
        <v/>
      </c>
      <c r="P359">
        <f>IF(OR($A359="",games!$H359=""),"",games!$H359)</f>
        <v/>
      </c>
      <c r="Q359">
        <f>IF(OR($A359="",$P359&lt;&gt;"Yes"),"",$D359+ROW()/1000000)</f>
        <v/>
      </c>
      <c r="T359">
        <f>IF(connections!$A359="","",IFERROR(INDEX(games!$B$2:$B$950,MATCH(connections!$A359,games!$A$2:$A$950,0)),""))</f>
        <v/>
      </c>
      <c r="U359">
        <f>IF(connections!$A359="","",IFERROR(INDEX(games!$B$2:$B$950,MATCH(connections!$B359,games!$A$2:$A$950,0)),""))</f>
        <v/>
      </c>
      <c r="V359">
        <f>IF(OR($T359="",$U359=""),"",$U359-$T359)</f>
        <v/>
      </c>
    </row>
    <row r="360">
      <c r="A360">
        <f>IF(games!$A360="","",games!$A360)</f>
        <v/>
      </c>
      <c r="B360">
        <f>IF($A360="","",games!$B360)</f>
        <v/>
      </c>
      <c r="C360">
        <f>IF($A360="","",games!$C360)</f>
        <v/>
      </c>
      <c r="D360">
        <f>IF($A360="","",COUNTIF(connections!$A$2:$A$1400,$A360)+COUNTIF(connections!$B$2:$B$1400,$A360))</f>
        <v/>
      </c>
      <c r="E360">
        <f>IF($A360="","",IFERROR(MATCH($C360,$R$2:$R$5,0),0))</f>
        <v/>
      </c>
      <c r="F360">
        <f>IF($A360="","",MOD(ROW(),34))</f>
        <v/>
      </c>
      <c r="G360">
        <f>IF($A360="",NA(),IF($C360="Action",$B360,NA()))</f>
        <v/>
      </c>
      <c r="H360">
        <f>IF($A360="",NA(),IF($C360="Action",1+$F360*0.023,NA()))</f>
        <v/>
      </c>
      <c r="I360">
        <f>IF($A360="",NA(),IF($C360="Strategy",$B360,NA()))</f>
        <v/>
      </c>
      <c r="J360">
        <f>IF($A360="",NA(),IF($C360="Strategy",2+$F360*0.023,NA()))</f>
        <v/>
      </c>
      <c r="K360">
        <f>IF($A360="",NA(),IF($C360="Deckbuilder",$B360,NA()))</f>
        <v/>
      </c>
      <c r="L360">
        <f>IF($A360="",NA(),IF($C360="Deckbuilder",3+$F360*0.023,NA()))</f>
        <v/>
      </c>
      <c r="M360">
        <f>IF($A360="",NA(),IF($C360="Traditional",$B360,NA()))</f>
        <v/>
      </c>
      <c r="N360">
        <f>IF($A360="",NA(),IF($C360="Traditional",4+$F360*0.023,NA()))</f>
        <v/>
      </c>
      <c r="O360">
        <f>IF($A360="","",$D360+ROW()/1000000)</f>
        <v/>
      </c>
      <c r="P360">
        <f>IF(OR($A360="",games!$H360=""),"",games!$H360)</f>
        <v/>
      </c>
      <c r="Q360">
        <f>IF(OR($A360="",$P360&lt;&gt;"Yes"),"",$D360+ROW()/1000000)</f>
        <v/>
      </c>
      <c r="T360">
        <f>IF(connections!$A360="","",IFERROR(INDEX(games!$B$2:$B$950,MATCH(connections!$A360,games!$A$2:$A$950,0)),""))</f>
        <v/>
      </c>
      <c r="U360">
        <f>IF(connections!$A360="","",IFERROR(INDEX(games!$B$2:$B$950,MATCH(connections!$B360,games!$A$2:$A$950,0)),""))</f>
        <v/>
      </c>
      <c r="V360">
        <f>IF(OR($T360="",$U360=""),"",$U360-$T360)</f>
        <v/>
      </c>
    </row>
    <row r="361">
      <c r="A361">
        <f>IF(games!$A361="","",games!$A361)</f>
        <v/>
      </c>
      <c r="B361">
        <f>IF($A361="","",games!$B361)</f>
        <v/>
      </c>
      <c r="C361">
        <f>IF($A361="","",games!$C361)</f>
        <v/>
      </c>
      <c r="D361">
        <f>IF($A361="","",COUNTIF(connections!$A$2:$A$1400,$A361)+COUNTIF(connections!$B$2:$B$1400,$A361))</f>
        <v/>
      </c>
      <c r="E361">
        <f>IF($A361="","",IFERROR(MATCH($C361,$R$2:$R$5,0),0))</f>
        <v/>
      </c>
      <c r="F361">
        <f>IF($A361="","",MOD(ROW(),34))</f>
        <v/>
      </c>
      <c r="G361">
        <f>IF($A361="",NA(),IF($C361="Action",$B361,NA()))</f>
        <v/>
      </c>
      <c r="H361">
        <f>IF($A361="",NA(),IF($C361="Action",1+$F361*0.023,NA()))</f>
        <v/>
      </c>
      <c r="I361">
        <f>IF($A361="",NA(),IF($C361="Strategy",$B361,NA()))</f>
        <v/>
      </c>
      <c r="J361">
        <f>IF($A361="",NA(),IF($C361="Strategy",2+$F361*0.023,NA()))</f>
        <v/>
      </c>
      <c r="K361">
        <f>IF($A361="",NA(),IF($C361="Deckbuilder",$B361,NA()))</f>
        <v/>
      </c>
      <c r="L361">
        <f>IF($A361="",NA(),IF($C361="Deckbuilder",3+$F361*0.023,NA()))</f>
        <v/>
      </c>
      <c r="M361">
        <f>IF($A361="",NA(),IF($C361="Traditional",$B361,NA()))</f>
        <v/>
      </c>
      <c r="N361">
        <f>IF($A361="",NA(),IF($C361="Traditional",4+$F361*0.023,NA()))</f>
        <v/>
      </c>
      <c r="O361">
        <f>IF($A361="","",$D361+ROW()/1000000)</f>
        <v/>
      </c>
      <c r="P361">
        <f>IF(OR($A361="",games!$H361=""),"",games!$H361)</f>
        <v/>
      </c>
      <c r="Q361">
        <f>IF(OR($A361="",$P361&lt;&gt;"Yes"),"",$D361+ROW()/1000000)</f>
        <v/>
      </c>
      <c r="T361">
        <f>IF(connections!$A361="","",IFERROR(INDEX(games!$B$2:$B$950,MATCH(connections!$A361,games!$A$2:$A$950,0)),""))</f>
        <v/>
      </c>
      <c r="U361">
        <f>IF(connections!$A361="","",IFERROR(INDEX(games!$B$2:$B$950,MATCH(connections!$B361,games!$A$2:$A$950,0)),""))</f>
        <v/>
      </c>
      <c r="V361">
        <f>IF(OR($T361="",$U361=""),"",$U361-$T361)</f>
        <v/>
      </c>
    </row>
    <row r="362">
      <c r="A362">
        <f>IF(games!$A362="","",games!$A362)</f>
        <v/>
      </c>
      <c r="B362">
        <f>IF($A362="","",games!$B362)</f>
        <v/>
      </c>
      <c r="C362">
        <f>IF($A362="","",games!$C362)</f>
        <v/>
      </c>
      <c r="D362">
        <f>IF($A362="","",COUNTIF(connections!$A$2:$A$1400,$A362)+COUNTIF(connections!$B$2:$B$1400,$A362))</f>
        <v/>
      </c>
      <c r="E362">
        <f>IF($A362="","",IFERROR(MATCH($C362,$R$2:$R$5,0),0))</f>
        <v/>
      </c>
      <c r="F362">
        <f>IF($A362="","",MOD(ROW(),34))</f>
        <v/>
      </c>
      <c r="G362">
        <f>IF($A362="",NA(),IF($C362="Action",$B362,NA()))</f>
        <v/>
      </c>
      <c r="H362">
        <f>IF($A362="",NA(),IF($C362="Action",1+$F362*0.023,NA()))</f>
        <v/>
      </c>
      <c r="I362">
        <f>IF($A362="",NA(),IF($C362="Strategy",$B362,NA()))</f>
        <v/>
      </c>
      <c r="J362">
        <f>IF($A362="",NA(),IF($C362="Strategy",2+$F362*0.023,NA()))</f>
        <v/>
      </c>
      <c r="K362">
        <f>IF($A362="",NA(),IF($C362="Deckbuilder",$B362,NA()))</f>
        <v/>
      </c>
      <c r="L362">
        <f>IF($A362="",NA(),IF($C362="Deckbuilder",3+$F362*0.023,NA()))</f>
        <v/>
      </c>
      <c r="M362">
        <f>IF($A362="",NA(),IF($C362="Traditional",$B362,NA()))</f>
        <v/>
      </c>
      <c r="N362">
        <f>IF($A362="",NA(),IF($C362="Traditional",4+$F362*0.023,NA()))</f>
        <v/>
      </c>
      <c r="O362">
        <f>IF($A362="","",$D362+ROW()/1000000)</f>
        <v/>
      </c>
      <c r="P362">
        <f>IF(OR($A362="",games!$H362=""),"",games!$H362)</f>
        <v/>
      </c>
      <c r="Q362">
        <f>IF(OR($A362="",$P362&lt;&gt;"Yes"),"",$D362+ROW()/1000000)</f>
        <v/>
      </c>
      <c r="T362">
        <f>IF(connections!$A362="","",IFERROR(INDEX(games!$B$2:$B$950,MATCH(connections!$A362,games!$A$2:$A$950,0)),""))</f>
        <v/>
      </c>
      <c r="U362">
        <f>IF(connections!$A362="","",IFERROR(INDEX(games!$B$2:$B$950,MATCH(connections!$B362,games!$A$2:$A$950,0)),""))</f>
        <v/>
      </c>
      <c r="V362">
        <f>IF(OR($T362="",$U362=""),"",$U362-$T362)</f>
        <v/>
      </c>
    </row>
    <row r="363">
      <c r="A363">
        <f>IF(games!$A363="","",games!$A363)</f>
        <v/>
      </c>
      <c r="B363">
        <f>IF($A363="","",games!$B363)</f>
        <v/>
      </c>
      <c r="C363">
        <f>IF($A363="","",games!$C363)</f>
        <v/>
      </c>
      <c r="D363">
        <f>IF($A363="","",COUNTIF(connections!$A$2:$A$1400,$A363)+COUNTIF(connections!$B$2:$B$1400,$A363))</f>
        <v/>
      </c>
      <c r="E363">
        <f>IF($A363="","",IFERROR(MATCH($C363,$R$2:$R$5,0),0))</f>
        <v/>
      </c>
      <c r="F363">
        <f>IF($A363="","",MOD(ROW(),34))</f>
        <v/>
      </c>
      <c r="G363">
        <f>IF($A363="",NA(),IF($C363="Action",$B363,NA()))</f>
        <v/>
      </c>
      <c r="H363">
        <f>IF($A363="",NA(),IF($C363="Action",1+$F363*0.023,NA()))</f>
        <v/>
      </c>
      <c r="I363">
        <f>IF($A363="",NA(),IF($C363="Strategy",$B363,NA()))</f>
        <v/>
      </c>
      <c r="J363">
        <f>IF($A363="",NA(),IF($C363="Strategy",2+$F363*0.023,NA()))</f>
        <v/>
      </c>
      <c r="K363">
        <f>IF($A363="",NA(),IF($C363="Deckbuilder",$B363,NA()))</f>
        <v/>
      </c>
      <c r="L363">
        <f>IF($A363="",NA(),IF($C363="Deckbuilder",3+$F363*0.023,NA()))</f>
        <v/>
      </c>
      <c r="M363">
        <f>IF($A363="",NA(),IF($C363="Traditional",$B363,NA()))</f>
        <v/>
      </c>
      <c r="N363">
        <f>IF($A363="",NA(),IF($C363="Traditional",4+$F363*0.023,NA()))</f>
        <v/>
      </c>
      <c r="O363">
        <f>IF($A363="","",$D363+ROW()/1000000)</f>
        <v/>
      </c>
      <c r="P363">
        <f>IF(OR($A363="",games!$H363=""),"",games!$H363)</f>
        <v/>
      </c>
      <c r="Q363">
        <f>IF(OR($A363="",$P363&lt;&gt;"Yes"),"",$D363+ROW()/1000000)</f>
        <v/>
      </c>
      <c r="T363">
        <f>IF(connections!$A363="","",IFERROR(INDEX(games!$B$2:$B$950,MATCH(connections!$A363,games!$A$2:$A$950,0)),""))</f>
        <v/>
      </c>
      <c r="U363">
        <f>IF(connections!$A363="","",IFERROR(INDEX(games!$B$2:$B$950,MATCH(connections!$B363,games!$A$2:$A$950,0)),""))</f>
        <v/>
      </c>
      <c r="V363">
        <f>IF(OR($T363="",$U363=""),"",$U363-$T363)</f>
        <v/>
      </c>
    </row>
    <row r="364">
      <c r="A364">
        <f>IF(games!$A364="","",games!$A364)</f>
        <v/>
      </c>
      <c r="B364">
        <f>IF($A364="","",games!$B364)</f>
        <v/>
      </c>
      <c r="C364">
        <f>IF($A364="","",games!$C364)</f>
        <v/>
      </c>
      <c r="D364">
        <f>IF($A364="","",COUNTIF(connections!$A$2:$A$1400,$A364)+COUNTIF(connections!$B$2:$B$1400,$A364))</f>
        <v/>
      </c>
      <c r="E364">
        <f>IF($A364="","",IFERROR(MATCH($C364,$R$2:$R$5,0),0))</f>
        <v/>
      </c>
      <c r="F364">
        <f>IF($A364="","",MOD(ROW(),34))</f>
        <v/>
      </c>
      <c r="G364">
        <f>IF($A364="",NA(),IF($C364="Action",$B364,NA()))</f>
        <v/>
      </c>
      <c r="H364">
        <f>IF($A364="",NA(),IF($C364="Action",1+$F364*0.023,NA()))</f>
        <v/>
      </c>
      <c r="I364">
        <f>IF($A364="",NA(),IF($C364="Strategy",$B364,NA()))</f>
        <v/>
      </c>
      <c r="J364">
        <f>IF($A364="",NA(),IF($C364="Strategy",2+$F364*0.023,NA()))</f>
        <v/>
      </c>
      <c r="K364">
        <f>IF($A364="",NA(),IF($C364="Deckbuilder",$B364,NA()))</f>
        <v/>
      </c>
      <c r="L364">
        <f>IF($A364="",NA(),IF($C364="Deckbuilder",3+$F364*0.023,NA()))</f>
        <v/>
      </c>
      <c r="M364">
        <f>IF($A364="",NA(),IF($C364="Traditional",$B364,NA()))</f>
        <v/>
      </c>
      <c r="N364">
        <f>IF($A364="",NA(),IF($C364="Traditional",4+$F364*0.023,NA()))</f>
        <v/>
      </c>
      <c r="O364">
        <f>IF($A364="","",$D364+ROW()/1000000)</f>
        <v/>
      </c>
      <c r="P364">
        <f>IF(OR($A364="",games!$H364=""),"",games!$H364)</f>
        <v/>
      </c>
      <c r="Q364">
        <f>IF(OR($A364="",$P364&lt;&gt;"Yes"),"",$D364+ROW()/1000000)</f>
        <v/>
      </c>
      <c r="T364">
        <f>IF(connections!$A364="","",IFERROR(INDEX(games!$B$2:$B$950,MATCH(connections!$A364,games!$A$2:$A$950,0)),""))</f>
        <v/>
      </c>
      <c r="U364">
        <f>IF(connections!$A364="","",IFERROR(INDEX(games!$B$2:$B$950,MATCH(connections!$B364,games!$A$2:$A$950,0)),""))</f>
        <v/>
      </c>
      <c r="V364">
        <f>IF(OR($T364="",$U364=""),"",$U364-$T364)</f>
        <v/>
      </c>
    </row>
    <row r="365">
      <c r="A365">
        <f>IF(games!$A365="","",games!$A365)</f>
        <v/>
      </c>
      <c r="B365">
        <f>IF($A365="","",games!$B365)</f>
        <v/>
      </c>
      <c r="C365">
        <f>IF($A365="","",games!$C365)</f>
        <v/>
      </c>
      <c r="D365">
        <f>IF($A365="","",COUNTIF(connections!$A$2:$A$1400,$A365)+COUNTIF(connections!$B$2:$B$1400,$A365))</f>
        <v/>
      </c>
      <c r="E365">
        <f>IF($A365="","",IFERROR(MATCH($C365,$R$2:$R$5,0),0))</f>
        <v/>
      </c>
      <c r="F365">
        <f>IF($A365="","",MOD(ROW(),34))</f>
        <v/>
      </c>
      <c r="G365">
        <f>IF($A365="",NA(),IF($C365="Action",$B365,NA()))</f>
        <v/>
      </c>
      <c r="H365">
        <f>IF($A365="",NA(),IF($C365="Action",1+$F365*0.023,NA()))</f>
        <v/>
      </c>
      <c r="I365">
        <f>IF($A365="",NA(),IF($C365="Strategy",$B365,NA()))</f>
        <v/>
      </c>
      <c r="J365">
        <f>IF($A365="",NA(),IF($C365="Strategy",2+$F365*0.023,NA()))</f>
        <v/>
      </c>
      <c r="K365">
        <f>IF($A365="",NA(),IF($C365="Deckbuilder",$B365,NA()))</f>
        <v/>
      </c>
      <c r="L365">
        <f>IF($A365="",NA(),IF($C365="Deckbuilder",3+$F365*0.023,NA()))</f>
        <v/>
      </c>
      <c r="M365">
        <f>IF($A365="",NA(),IF($C365="Traditional",$B365,NA()))</f>
        <v/>
      </c>
      <c r="N365">
        <f>IF($A365="",NA(),IF($C365="Traditional",4+$F365*0.023,NA()))</f>
        <v/>
      </c>
      <c r="O365">
        <f>IF($A365="","",$D365+ROW()/1000000)</f>
        <v/>
      </c>
      <c r="P365">
        <f>IF(OR($A365="",games!$H365=""),"",games!$H365)</f>
        <v/>
      </c>
      <c r="Q365">
        <f>IF(OR($A365="",$P365&lt;&gt;"Yes"),"",$D365+ROW()/1000000)</f>
        <v/>
      </c>
      <c r="T365">
        <f>IF(connections!$A365="","",IFERROR(INDEX(games!$B$2:$B$950,MATCH(connections!$A365,games!$A$2:$A$950,0)),""))</f>
        <v/>
      </c>
      <c r="U365">
        <f>IF(connections!$A365="","",IFERROR(INDEX(games!$B$2:$B$950,MATCH(connections!$B365,games!$A$2:$A$950,0)),""))</f>
        <v/>
      </c>
      <c r="V365">
        <f>IF(OR($T365="",$U365=""),"",$U365-$T365)</f>
        <v/>
      </c>
    </row>
    <row r="366">
      <c r="A366">
        <f>IF(games!$A366="","",games!$A366)</f>
        <v/>
      </c>
      <c r="B366">
        <f>IF($A366="","",games!$B366)</f>
        <v/>
      </c>
      <c r="C366">
        <f>IF($A366="","",games!$C366)</f>
        <v/>
      </c>
      <c r="D366">
        <f>IF($A366="","",COUNTIF(connections!$A$2:$A$1400,$A366)+COUNTIF(connections!$B$2:$B$1400,$A366))</f>
        <v/>
      </c>
      <c r="E366">
        <f>IF($A366="","",IFERROR(MATCH($C366,$R$2:$R$5,0),0))</f>
        <v/>
      </c>
      <c r="F366">
        <f>IF($A366="","",MOD(ROW(),34))</f>
        <v/>
      </c>
      <c r="G366">
        <f>IF($A366="",NA(),IF($C366="Action",$B366,NA()))</f>
        <v/>
      </c>
      <c r="H366">
        <f>IF($A366="",NA(),IF($C366="Action",1+$F366*0.023,NA()))</f>
        <v/>
      </c>
      <c r="I366">
        <f>IF($A366="",NA(),IF($C366="Strategy",$B366,NA()))</f>
        <v/>
      </c>
      <c r="J366">
        <f>IF($A366="",NA(),IF($C366="Strategy",2+$F366*0.023,NA()))</f>
        <v/>
      </c>
      <c r="K366">
        <f>IF($A366="",NA(),IF($C366="Deckbuilder",$B366,NA()))</f>
        <v/>
      </c>
      <c r="L366">
        <f>IF($A366="",NA(),IF($C366="Deckbuilder",3+$F366*0.023,NA()))</f>
        <v/>
      </c>
      <c r="M366">
        <f>IF($A366="",NA(),IF($C366="Traditional",$B366,NA()))</f>
        <v/>
      </c>
      <c r="N366">
        <f>IF($A366="",NA(),IF($C366="Traditional",4+$F366*0.023,NA()))</f>
        <v/>
      </c>
      <c r="O366">
        <f>IF($A366="","",$D366+ROW()/1000000)</f>
        <v/>
      </c>
      <c r="P366">
        <f>IF(OR($A366="",games!$H366=""),"",games!$H366)</f>
        <v/>
      </c>
      <c r="Q366">
        <f>IF(OR($A366="",$P366&lt;&gt;"Yes"),"",$D366+ROW()/1000000)</f>
        <v/>
      </c>
      <c r="T366">
        <f>IF(connections!$A366="","",IFERROR(INDEX(games!$B$2:$B$950,MATCH(connections!$A366,games!$A$2:$A$950,0)),""))</f>
        <v/>
      </c>
      <c r="U366">
        <f>IF(connections!$A366="","",IFERROR(INDEX(games!$B$2:$B$950,MATCH(connections!$B366,games!$A$2:$A$950,0)),""))</f>
        <v/>
      </c>
      <c r="V366">
        <f>IF(OR($T366="",$U366=""),"",$U366-$T366)</f>
        <v/>
      </c>
    </row>
    <row r="367">
      <c r="A367">
        <f>IF(games!$A367="","",games!$A367)</f>
        <v/>
      </c>
      <c r="B367">
        <f>IF($A367="","",games!$B367)</f>
        <v/>
      </c>
      <c r="C367">
        <f>IF($A367="","",games!$C367)</f>
        <v/>
      </c>
      <c r="D367">
        <f>IF($A367="","",COUNTIF(connections!$A$2:$A$1400,$A367)+COUNTIF(connections!$B$2:$B$1400,$A367))</f>
        <v/>
      </c>
      <c r="E367">
        <f>IF($A367="","",IFERROR(MATCH($C367,$R$2:$R$5,0),0))</f>
        <v/>
      </c>
      <c r="F367">
        <f>IF($A367="","",MOD(ROW(),34))</f>
        <v/>
      </c>
      <c r="G367">
        <f>IF($A367="",NA(),IF($C367="Action",$B367,NA()))</f>
        <v/>
      </c>
      <c r="H367">
        <f>IF($A367="",NA(),IF($C367="Action",1+$F367*0.023,NA()))</f>
        <v/>
      </c>
      <c r="I367">
        <f>IF($A367="",NA(),IF($C367="Strategy",$B367,NA()))</f>
        <v/>
      </c>
      <c r="J367">
        <f>IF($A367="",NA(),IF($C367="Strategy",2+$F367*0.023,NA()))</f>
        <v/>
      </c>
      <c r="K367">
        <f>IF($A367="",NA(),IF($C367="Deckbuilder",$B367,NA()))</f>
        <v/>
      </c>
      <c r="L367">
        <f>IF($A367="",NA(),IF($C367="Deckbuilder",3+$F367*0.023,NA()))</f>
        <v/>
      </c>
      <c r="M367">
        <f>IF($A367="",NA(),IF($C367="Traditional",$B367,NA()))</f>
        <v/>
      </c>
      <c r="N367">
        <f>IF($A367="",NA(),IF($C367="Traditional",4+$F367*0.023,NA()))</f>
        <v/>
      </c>
      <c r="O367">
        <f>IF($A367="","",$D367+ROW()/1000000)</f>
        <v/>
      </c>
      <c r="P367">
        <f>IF(OR($A367="",games!$H367=""),"",games!$H367)</f>
        <v/>
      </c>
      <c r="Q367">
        <f>IF(OR($A367="",$P367&lt;&gt;"Yes"),"",$D367+ROW()/1000000)</f>
        <v/>
      </c>
      <c r="T367">
        <f>IF(connections!$A367="","",IFERROR(INDEX(games!$B$2:$B$950,MATCH(connections!$A367,games!$A$2:$A$950,0)),""))</f>
        <v/>
      </c>
      <c r="U367">
        <f>IF(connections!$A367="","",IFERROR(INDEX(games!$B$2:$B$950,MATCH(connections!$B367,games!$A$2:$A$950,0)),""))</f>
        <v/>
      </c>
      <c r="V367">
        <f>IF(OR($T367="",$U367=""),"",$U367-$T367)</f>
        <v/>
      </c>
    </row>
    <row r="368">
      <c r="A368">
        <f>IF(games!$A368="","",games!$A368)</f>
        <v/>
      </c>
      <c r="B368">
        <f>IF($A368="","",games!$B368)</f>
        <v/>
      </c>
      <c r="C368">
        <f>IF($A368="","",games!$C368)</f>
        <v/>
      </c>
      <c r="D368">
        <f>IF($A368="","",COUNTIF(connections!$A$2:$A$1400,$A368)+COUNTIF(connections!$B$2:$B$1400,$A368))</f>
        <v/>
      </c>
      <c r="E368">
        <f>IF($A368="","",IFERROR(MATCH($C368,$R$2:$R$5,0),0))</f>
        <v/>
      </c>
      <c r="F368">
        <f>IF($A368="","",MOD(ROW(),34))</f>
        <v/>
      </c>
      <c r="G368">
        <f>IF($A368="",NA(),IF($C368="Action",$B368,NA()))</f>
        <v/>
      </c>
      <c r="H368">
        <f>IF($A368="",NA(),IF($C368="Action",1+$F368*0.023,NA()))</f>
        <v/>
      </c>
      <c r="I368">
        <f>IF($A368="",NA(),IF($C368="Strategy",$B368,NA()))</f>
        <v/>
      </c>
      <c r="J368">
        <f>IF($A368="",NA(),IF($C368="Strategy",2+$F368*0.023,NA()))</f>
        <v/>
      </c>
      <c r="K368">
        <f>IF($A368="",NA(),IF($C368="Deckbuilder",$B368,NA()))</f>
        <v/>
      </c>
      <c r="L368">
        <f>IF($A368="",NA(),IF($C368="Deckbuilder",3+$F368*0.023,NA()))</f>
        <v/>
      </c>
      <c r="M368">
        <f>IF($A368="",NA(),IF($C368="Traditional",$B368,NA()))</f>
        <v/>
      </c>
      <c r="N368">
        <f>IF($A368="",NA(),IF($C368="Traditional",4+$F368*0.023,NA()))</f>
        <v/>
      </c>
      <c r="O368">
        <f>IF($A368="","",$D368+ROW()/1000000)</f>
        <v/>
      </c>
      <c r="P368">
        <f>IF(OR($A368="",games!$H368=""),"",games!$H368)</f>
        <v/>
      </c>
      <c r="Q368">
        <f>IF(OR($A368="",$P368&lt;&gt;"Yes"),"",$D368+ROW()/1000000)</f>
        <v/>
      </c>
      <c r="T368">
        <f>IF(connections!$A368="","",IFERROR(INDEX(games!$B$2:$B$950,MATCH(connections!$A368,games!$A$2:$A$950,0)),""))</f>
        <v/>
      </c>
      <c r="U368">
        <f>IF(connections!$A368="","",IFERROR(INDEX(games!$B$2:$B$950,MATCH(connections!$B368,games!$A$2:$A$950,0)),""))</f>
        <v/>
      </c>
      <c r="V368">
        <f>IF(OR($T368="",$U368=""),"",$U368-$T368)</f>
        <v/>
      </c>
    </row>
    <row r="369">
      <c r="A369">
        <f>IF(games!$A369="","",games!$A369)</f>
        <v/>
      </c>
      <c r="B369">
        <f>IF($A369="","",games!$B369)</f>
        <v/>
      </c>
      <c r="C369">
        <f>IF($A369="","",games!$C369)</f>
        <v/>
      </c>
      <c r="D369">
        <f>IF($A369="","",COUNTIF(connections!$A$2:$A$1400,$A369)+COUNTIF(connections!$B$2:$B$1400,$A369))</f>
        <v/>
      </c>
      <c r="E369">
        <f>IF($A369="","",IFERROR(MATCH($C369,$R$2:$R$5,0),0))</f>
        <v/>
      </c>
      <c r="F369">
        <f>IF($A369="","",MOD(ROW(),34))</f>
        <v/>
      </c>
      <c r="G369">
        <f>IF($A369="",NA(),IF($C369="Action",$B369,NA()))</f>
        <v/>
      </c>
      <c r="H369">
        <f>IF($A369="",NA(),IF($C369="Action",1+$F369*0.023,NA()))</f>
        <v/>
      </c>
      <c r="I369">
        <f>IF($A369="",NA(),IF($C369="Strategy",$B369,NA()))</f>
        <v/>
      </c>
      <c r="J369">
        <f>IF($A369="",NA(),IF($C369="Strategy",2+$F369*0.023,NA()))</f>
        <v/>
      </c>
      <c r="K369">
        <f>IF($A369="",NA(),IF($C369="Deckbuilder",$B369,NA()))</f>
        <v/>
      </c>
      <c r="L369">
        <f>IF($A369="",NA(),IF($C369="Deckbuilder",3+$F369*0.023,NA()))</f>
        <v/>
      </c>
      <c r="M369">
        <f>IF($A369="",NA(),IF($C369="Traditional",$B369,NA()))</f>
        <v/>
      </c>
      <c r="N369">
        <f>IF($A369="",NA(),IF($C369="Traditional",4+$F369*0.023,NA()))</f>
        <v/>
      </c>
      <c r="O369">
        <f>IF($A369="","",$D369+ROW()/1000000)</f>
        <v/>
      </c>
      <c r="P369">
        <f>IF(OR($A369="",games!$H369=""),"",games!$H369)</f>
        <v/>
      </c>
      <c r="Q369">
        <f>IF(OR($A369="",$P369&lt;&gt;"Yes"),"",$D369+ROW()/1000000)</f>
        <v/>
      </c>
      <c r="T369">
        <f>IF(connections!$A369="","",IFERROR(INDEX(games!$B$2:$B$950,MATCH(connections!$A369,games!$A$2:$A$950,0)),""))</f>
        <v/>
      </c>
      <c r="U369">
        <f>IF(connections!$A369="","",IFERROR(INDEX(games!$B$2:$B$950,MATCH(connections!$B369,games!$A$2:$A$950,0)),""))</f>
        <v/>
      </c>
      <c r="V369">
        <f>IF(OR($T369="",$U369=""),"",$U369-$T369)</f>
        <v/>
      </c>
    </row>
    <row r="370">
      <c r="A370">
        <f>IF(games!$A370="","",games!$A370)</f>
        <v/>
      </c>
      <c r="B370">
        <f>IF($A370="","",games!$B370)</f>
        <v/>
      </c>
      <c r="C370">
        <f>IF($A370="","",games!$C370)</f>
        <v/>
      </c>
      <c r="D370">
        <f>IF($A370="","",COUNTIF(connections!$A$2:$A$1400,$A370)+COUNTIF(connections!$B$2:$B$1400,$A370))</f>
        <v/>
      </c>
      <c r="E370">
        <f>IF($A370="","",IFERROR(MATCH($C370,$R$2:$R$5,0),0))</f>
        <v/>
      </c>
      <c r="F370">
        <f>IF($A370="","",MOD(ROW(),34))</f>
        <v/>
      </c>
      <c r="G370">
        <f>IF($A370="",NA(),IF($C370="Action",$B370,NA()))</f>
        <v/>
      </c>
      <c r="H370">
        <f>IF($A370="",NA(),IF($C370="Action",1+$F370*0.023,NA()))</f>
        <v/>
      </c>
      <c r="I370">
        <f>IF($A370="",NA(),IF($C370="Strategy",$B370,NA()))</f>
        <v/>
      </c>
      <c r="J370">
        <f>IF($A370="",NA(),IF($C370="Strategy",2+$F370*0.023,NA()))</f>
        <v/>
      </c>
      <c r="K370">
        <f>IF($A370="",NA(),IF($C370="Deckbuilder",$B370,NA()))</f>
        <v/>
      </c>
      <c r="L370">
        <f>IF($A370="",NA(),IF($C370="Deckbuilder",3+$F370*0.023,NA()))</f>
        <v/>
      </c>
      <c r="M370">
        <f>IF($A370="",NA(),IF($C370="Traditional",$B370,NA()))</f>
        <v/>
      </c>
      <c r="N370">
        <f>IF($A370="",NA(),IF($C370="Traditional",4+$F370*0.023,NA()))</f>
        <v/>
      </c>
      <c r="O370">
        <f>IF($A370="","",$D370+ROW()/1000000)</f>
        <v/>
      </c>
      <c r="P370">
        <f>IF(OR($A370="",games!$H370=""),"",games!$H370)</f>
        <v/>
      </c>
      <c r="Q370">
        <f>IF(OR($A370="",$P370&lt;&gt;"Yes"),"",$D370+ROW()/1000000)</f>
        <v/>
      </c>
      <c r="T370">
        <f>IF(connections!$A370="","",IFERROR(INDEX(games!$B$2:$B$950,MATCH(connections!$A370,games!$A$2:$A$950,0)),""))</f>
        <v/>
      </c>
      <c r="U370">
        <f>IF(connections!$A370="","",IFERROR(INDEX(games!$B$2:$B$950,MATCH(connections!$B370,games!$A$2:$A$950,0)),""))</f>
        <v/>
      </c>
      <c r="V370">
        <f>IF(OR($T370="",$U370=""),"",$U370-$T370)</f>
        <v/>
      </c>
    </row>
    <row r="371">
      <c r="A371">
        <f>IF(games!$A371="","",games!$A371)</f>
        <v/>
      </c>
      <c r="B371">
        <f>IF($A371="","",games!$B371)</f>
        <v/>
      </c>
      <c r="C371">
        <f>IF($A371="","",games!$C371)</f>
        <v/>
      </c>
      <c r="D371">
        <f>IF($A371="","",COUNTIF(connections!$A$2:$A$1400,$A371)+COUNTIF(connections!$B$2:$B$1400,$A371))</f>
        <v/>
      </c>
      <c r="E371">
        <f>IF($A371="","",IFERROR(MATCH($C371,$R$2:$R$5,0),0))</f>
        <v/>
      </c>
      <c r="F371">
        <f>IF($A371="","",MOD(ROW(),34))</f>
        <v/>
      </c>
      <c r="G371">
        <f>IF($A371="",NA(),IF($C371="Action",$B371,NA()))</f>
        <v/>
      </c>
      <c r="H371">
        <f>IF($A371="",NA(),IF($C371="Action",1+$F371*0.023,NA()))</f>
        <v/>
      </c>
      <c r="I371">
        <f>IF($A371="",NA(),IF($C371="Strategy",$B371,NA()))</f>
        <v/>
      </c>
      <c r="J371">
        <f>IF($A371="",NA(),IF($C371="Strategy",2+$F371*0.023,NA()))</f>
        <v/>
      </c>
      <c r="K371">
        <f>IF($A371="",NA(),IF($C371="Deckbuilder",$B371,NA()))</f>
        <v/>
      </c>
      <c r="L371">
        <f>IF($A371="",NA(),IF($C371="Deckbuilder",3+$F371*0.023,NA()))</f>
        <v/>
      </c>
      <c r="M371">
        <f>IF($A371="",NA(),IF($C371="Traditional",$B371,NA()))</f>
        <v/>
      </c>
      <c r="N371">
        <f>IF($A371="",NA(),IF($C371="Traditional",4+$F371*0.023,NA()))</f>
        <v/>
      </c>
      <c r="O371">
        <f>IF($A371="","",$D371+ROW()/1000000)</f>
        <v/>
      </c>
      <c r="P371">
        <f>IF(OR($A371="",games!$H371=""),"",games!$H371)</f>
        <v/>
      </c>
      <c r="Q371">
        <f>IF(OR($A371="",$P371&lt;&gt;"Yes"),"",$D371+ROW()/1000000)</f>
        <v/>
      </c>
      <c r="T371">
        <f>IF(connections!$A371="","",IFERROR(INDEX(games!$B$2:$B$950,MATCH(connections!$A371,games!$A$2:$A$950,0)),""))</f>
        <v/>
      </c>
      <c r="U371">
        <f>IF(connections!$A371="","",IFERROR(INDEX(games!$B$2:$B$950,MATCH(connections!$B371,games!$A$2:$A$950,0)),""))</f>
        <v/>
      </c>
      <c r="V371">
        <f>IF(OR($T371="",$U371=""),"",$U371-$T371)</f>
        <v/>
      </c>
    </row>
    <row r="372">
      <c r="A372">
        <f>IF(games!$A372="","",games!$A372)</f>
        <v/>
      </c>
      <c r="B372">
        <f>IF($A372="","",games!$B372)</f>
        <v/>
      </c>
      <c r="C372">
        <f>IF($A372="","",games!$C372)</f>
        <v/>
      </c>
      <c r="D372">
        <f>IF($A372="","",COUNTIF(connections!$A$2:$A$1400,$A372)+COUNTIF(connections!$B$2:$B$1400,$A372))</f>
        <v/>
      </c>
      <c r="E372">
        <f>IF($A372="","",IFERROR(MATCH($C372,$R$2:$R$5,0),0))</f>
        <v/>
      </c>
      <c r="F372">
        <f>IF($A372="","",MOD(ROW(),34))</f>
        <v/>
      </c>
      <c r="G372">
        <f>IF($A372="",NA(),IF($C372="Action",$B372,NA()))</f>
        <v/>
      </c>
      <c r="H372">
        <f>IF($A372="",NA(),IF($C372="Action",1+$F372*0.023,NA()))</f>
        <v/>
      </c>
      <c r="I372">
        <f>IF($A372="",NA(),IF($C372="Strategy",$B372,NA()))</f>
        <v/>
      </c>
      <c r="J372">
        <f>IF($A372="",NA(),IF($C372="Strategy",2+$F372*0.023,NA()))</f>
        <v/>
      </c>
      <c r="K372">
        <f>IF($A372="",NA(),IF($C372="Deckbuilder",$B372,NA()))</f>
        <v/>
      </c>
      <c r="L372">
        <f>IF($A372="",NA(),IF($C372="Deckbuilder",3+$F372*0.023,NA()))</f>
        <v/>
      </c>
      <c r="M372">
        <f>IF($A372="",NA(),IF($C372="Traditional",$B372,NA()))</f>
        <v/>
      </c>
      <c r="N372">
        <f>IF($A372="",NA(),IF($C372="Traditional",4+$F372*0.023,NA()))</f>
        <v/>
      </c>
      <c r="O372">
        <f>IF($A372="","",$D372+ROW()/1000000)</f>
        <v/>
      </c>
      <c r="P372">
        <f>IF(OR($A372="",games!$H372=""),"",games!$H372)</f>
        <v/>
      </c>
      <c r="Q372">
        <f>IF(OR($A372="",$P372&lt;&gt;"Yes"),"",$D372+ROW()/1000000)</f>
        <v/>
      </c>
      <c r="T372">
        <f>IF(connections!$A372="","",IFERROR(INDEX(games!$B$2:$B$950,MATCH(connections!$A372,games!$A$2:$A$950,0)),""))</f>
        <v/>
      </c>
      <c r="U372">
        <f>IF(connections!$A372="","",IFERROR(INDEX(games!$B$2:$B$950,MATCH(connections!$B372,games!$A$2:$A$950,0)),""))</f>
        <v/>
      </c>
      <c r="V372">
        <f>IF(OR($T372="",$U372=""),"",$U372-$T372)</f>
        <v/>
      </c>
    </row>
    <row r="373">
      <c r="A373">
        <f>IF(games!$A373="","",games!$A373)</f>
        <v/>
      </c>
      <c r="B373">
        <f>IF($A373="","",games!$B373)</f>
        <v/>
      </c>
      <c r="C373">
        <f>IF($A373="","",games!$C373)</f>
        <v/>
      </c>
      <c r="D373">
        <f>IF($A373="","",COUNTIF(connections!$A$2:$A$1400,$A373)+COUNTIF(connections!$B$2:$B$1400,$A373))</f>
        <v/>
      </c>
      <c r="E373">
        <f>IF($A373="","",IFERROR(MATCH($C373,$R$2:$R$5,0),0))</f>
        <v/>
      </c>
      <c r="F373">
        <f>IF($A373="","",MOD(ROW(),34))</f>
        <v/>
      </c>
      <c r="G373">
        <f>IF($A373="",NA(),IF($C373="Action",$B373,NA()))</f>
        <v/>
      </c>
      <c r="H373">
        <f>IF($A373="",NA(),IF($C373="Action",1+$F373*0.023,NA()))</f>
        <v/>
      </c>
      <c r="I373">
        <f>IF($A373="",NA(),IF($C373="Strategy",$B373,NA()))</f>
        <v/>
      </c>
      <c r="J373">
        <f>IF($A373="",NA(),IF($C373="Strategy",2+$F373*0.023,NA()))</f>
        <v/>
      </c>
      <c r="K373">
        <f>IF($A373="",NA(),IF($C373="Deckbuilder",$B373,NA()))</f>
        <v/>
      </c>
      <c r="L373">
        <f>IF($A373="",NA(),IF($C373="Deckbuilder",3+$F373*0.023,NA()))</f>
        <v/>
      </c>
      <c r="M373">
        <f>IF($A373="",NA(),IF($C373="Traditional",$B373,NA()))</f>
        <v/>
      </c>
      <c r="N373">
        <f>IF($A373="",NA(),IF($C373="Traditional",4+$F373*0.023,NA()))</f>
        <v/>
      </c>
      <c r="O373">
        <f>IF($A373="","",$D373+ROW()/1000000)</f>
        <v/>
      </c>
      <c r="P373">
        <f>IF(OR($A373="",games!$H373=""),"",games!$H373)</f>
        <v/>
      </c>
      <c r="Q373">
        <f>IF(OR($A373="",$P373&lt;&gt;"Yes"),"",$D373+ROW()/1000000)</f>
        <v/>
      </c>
      <c r="T373">
        <f>IF(connections!$A373="","",IFERROR(INDEX(games!$B$2:$B$950,MATCH(connections!$A373,games!$A$2:$A$950,0)),""))</f>
        <v/>
      </c>
      <c r="U373">
        <f>IF(connections!$A373="","",IFERROR(INDEX(games!$B$2:$B$950,MATCH(connections!$B373,games!$A$2:$A$950,0)),""))</f>
        <v/>
      </c>
      <c r="V373">
        <f>IF(OR($T373="",$U373=""),"",$U373-$T373)</f>
        <v/>
      </c>
    </row>
    <row r="374">
      <c r="A374">
        <f>IF(games!$A374="","",games!$A374)</f>
        <v/>
      </c>
      <c r="B374">
        <f>IF($A374="","",games!$B374)</f>
        <v/>
      </c>
      <c r="C374">
        <f>IF($A374="","",games!$C374)</f>
        <v/>
      </c>
      <c r="D374">
        <f>IF($A374="","",COUNTIF(connections!$A$2:$A$1400,$A374)+COUNTIF(connections!$B$2:$B$1400,$A374))</f>
        <v/>
      </c>
      <c r="E374">
        <f>IF($A374="","",IFERROR(MATCH($C374,$R$2:$R$5,0),0))</f>
        <v/>
      </c>
      <c r="F374">
        <f>IF($A374="","",MOD(ROW(),34))</f>
        <v/>
      </c>
      <c r="G374">
        <f>IF($A374="",NA(),IF($C374="Action",$B374,NA()))</f>
        <v/>
      </c>
      <c r="H374">
        <f>IF($A374="",NA(),IF($C374="Action",1+$F374*0.023,NA()))</f>
        <v/>
      </c>
      <c r="I374">
        <f>IF($A374="",NA(),IF($C374="Strategy",$B374,NA()))</f>
        <v/>
      </c>
      <c r="J374">
        <f>IF($A374="",NA(),IF($C374="Strategy",2+$F374*0.023,NA()))</f>
        <v/>
      </c>
      <c r="K374">
        <f>IF($A374="",NA(),IF($C374="Deckbuilder",$B374,NA()))</f>
        <v/>
      </c>
      <c r="L374">
        <f>IF($A374="",NA(),IF($C374="Deckbuilder",3+$F374*0.023,NA()))</f>
        <v/>
      </c>
      <c r="M374">
        <f>IF($A374="",NA(),IF($C374="Traditional",$B374,NA()))</f>
        <v/>
      </c>
      <c r="N374">
        <f>IF($A374="",NA(),IF($C374="Traditional",4+$F374*0.023,NA()))</f>
        <v/>
      </c>
      <c r="O374">
        <f>IF($A374="","",$D374+ROW()/1000000)</f>
        <v/>
      </c>
      <c r="P374">
        <f>IF(OR($A374="",games!$H374=""),"",games!$H374)</f>
        <v/>
      </c>
      <c r="Q374">
        <f>IF(OR($A374="",$P374&lt;&gt;"Yes"),"",$D374+ROW()/1000000)</f>
        <v/>
      </c>
      <c r="T374">
        <f>IF(connections!$A374="","",IFERROR(INDEX(games!$B$2:$B$950,MATCH(connections!$A374,games!$A$2:$A$950,0)),""))</f>
        <v/>
      </c>
      <c r="U374">
        <f>IF(connections!$A374="","",IFERROR(INDEX(games!$B$2:$B$950,MATCH(connections!$B374,games!$A$2:$A$950,0)),""))</f>
        <v/>
      </c>
      <c r="V374">
        <f>IF(OR($T374="",$U374=""),"",$U374-$T374)</f>
        <v/>
      </c>
    </row>
    <row r="375">
      <c r="A375">
        <f>IF(games!$A375="","",games!$A375)</f>
        <v/>
      </c>
      <c r="B375">
        <f>IF($A375="","",games!$B375)</f>
        <v/>
      </c>
      <c r="C375">
        <f>IF($A375="","",games!$C375)</f>
        <v/>
      </c>
      <c r="D375">
        <f>IF($A375="","",COUNTIF(connections!$A$2:$A$1400,$A375)+COUNTIF(connections!$B$2:$B$1400,$A375))</f>
        <v/>
      </c>
      <c r="E375">
        <f>IF($A375="","",IFERROR(MATCH($C375,$R$2:$R$5,0),0))</f>
        <v/>
      </c>
      <c r="F375">
        <f>IF($A375="","",MOD(ROW(),34))</f>
        <v/>
      </c>
      <c r="G375">
        <f>IF($A375="",NA(),IF($C375="Action",$B375,NA()))</f>
        <v/>
      </c>
      <c r="H375">
        <f>IF($A375="",NA(),IF($C375="Action",1+$F375*0.023,NA()))</f>
        <v/>
      </c>
      <c r="I375">
        <f>IF($A375="",NA(),IF($C375="Strategy",$B375,NA()))</f>
        <v/>
      </c>
      <c r="J375">
        <f>IF($A375="",NA(),IF($C375="Strategy",2+$F375*0.023,NA()))</f>
        <v/>
      </c>
      <c r="K375">
        <f>IF($A375="",NA(),IF($C375="Deckbuilder",$B375,NA()))</f>
        <v/>
      </c>
      <c r="L375">
        <f>IF($A375="",NA(),IF($C375="Deckbuilder",3+$F375*0.023,NA()))</f>
        <v/>
      </c>
      <c r="M375">
        <f>IF($A375="",NA(),IF($C375="Traditional",$B375,NA()))</f>
        <v/>
      </c>
      <c r="N375">
        <f>IF($A375="",NA(),IF($C375="Traditional",4+$F375*0.023,NA()))</f>
        <v/>
      </c>
      <c r="O375">
        <f>IF($A375="","",$D375+ROW()/1000000)</f>
        <v/>
      </c>
      <c r="P375">
        <f>IF(OR($A375="",games!$H375=""),"",games!$H375)</f>
        <v/>
      </c>
      <c r="Q375">
        <f>IF(OR($A375="",$P375&lt;&gt;"Yes"),"",$D375+ROW()/1000000)</f>
        <v/>
      </c>
      <c r="T375">
        <f>IF(connections!$A375="","",IFERROR(INDEX(games!$B$2:$B$950,MATCH(connections!$A375,games!$A$2:$A$950,0)),""))</f>
        <v/>
      </c>
      <c r="U375">
        <f>IF(connections!$A375="","",IFERROR(INDEX(games!$B$2:$B$950,MATCH(connections!$B375,games!$A$2:$A$950,0)),""))</f>
        <v/>
      </c>
      <c r="V375">
        <f>IF(OR($T375="",$U375=""),"",$U375-$T375)</f>
        <v/>
      </c>
    </row>
    <row r="376">
      <c r="A376">
        <f>IF(games!$A376="","",games!$A376)</f>
        <v/>
      </c>
      <c r="B376">
        <f>IF($A376="","",games!$B376)</f>
        <v/>
      </c>
      <c r="C376">
        <f>IF($A376="","",games!$C376)</f>
        <v/>
      </c>
      <c r="D376">
        <f>IF($A376="","",COUNTIF(connections!$A$2:$A$1400,$A376)+COUNTIF(connections!$B$2:$B$1400,$A376))</f>
        <v/>
      </c>
      <c r="E376">
        <f>IF($A376="","",IFERROR(MATCH($C376,$R$2:$R$5,0),0))</f>
        <v/>
      </c>
      <c r="F376">
        <f>IF($A376="","",MOD(ROW(),34))</f>
        <v/>
      </c>
      <c r="G376">
        <f>IF($A376="",NA(),IF($C376="Action",$B376,NA()))</f>
        <v/>
      </c>
      <c r="H376">
        <f>IF($A376="",NA(),IF($C376="Action",1+$F376*0.023,NA()))</f>
        <v/>
      </c>
      <c r="I376">
        <f>IF($A376="",NA(),IF($C376="Strategy",$B376,NA()))</f>
        <v/>
      </c>
      <c r="J376">
        <f>IF($A376="",NA(),IF($C376="Strategy",2+$F376*0.023,NA()))</f>
        <v/>
      </c>
      <c r="K376">
        <f>IF($A376="",NA(),IF($C376="Deckbuilder",$B376,NA()))</f>
        <v/>
      </c>
      <c r="L376">
        <f>IF($A376="",NA(),IF($C376="Deckbuilder",3+$F376*0.023,NA()))</f>
        <v/>
      </c>
      <c r="M376">
        <f>IF($A376="",NA(),IF($C376="Traditional",$B376,NA()))</f>
        <v/>
      </c>
      <c r="N376">
        <f>IF($A376="",NA(),IF($C376="Traditional",4+$F376*0.023,NA()))</f>
        <v/>
      </c>
      <c r="O376">
        <f>IF($A376="","",$D376+ROW()/1000000)</f>
        <v/>
      </c>
      <c r="P376">
        <f>IF(OR($A376="",games!$H376=""),"",games!$H376)</f>
        <v/>
      </c>
      <c r="Q376">
        <f>IF(OR($A376="",$P376&lt;&gt;"Yes"),"",$D376+ROW()/1000000)</f>
        <v/>
      </c>
      <c r="T376">
        <f>IF(connections!$A376="","",IFERROR(INDEX(games!$B$2:$B$950,MATCH(connections!$A376,games!$A$2:$A$950,0)),""))</f>
        <v/>
      </c>
      <c r="U376">
        <f>IF(connections!$A376="","",IFERROR(INDEX(games!$B$2:$B$950,MATCH(connections!$B376,games!$A$2:$A$950,0)),""))</f>
        <v/>
      </c>
      <c r="V376">
        <f>IF(OR($T376="",$U376=""),"",$U376-$T376)</f>
        <v/>
      </c>
    </row>
    <row r="377">
      <c r="A377">
        <f>IF(games!$A377="","",games!$A377)</f>
        <v/>
      </c>
      <c r="B377">
        <f>IF($A377="","",games!$B377)</f>
        <v/>
      </c>
      <c r="C377">
        <f>IF($A377="","",games!$C377)</f>
        <v/>
      </c>
      <c r="D377">
        <f>IF($A377="","",COUNTIF(connections!$A$2:$A$1400,$A377)+COUNTIF(connections!$B$2:$B$1400,$A377))</f>
        <v/>
      </c>
      <c r="E377">
        <f>IF($A377="","",IFERROR(MATCH($C377,$R$2:$R$5,0),0))</f>
        <v/>
      </c>
      <c r="F377">
        <f>IF($A377="","",MOD(ROW(),34))</f>
        <v/>
      </c>
      <c r="G377">
        <f>IF($A377="",NA(),IF($C377="Action",$B377,NA()))</f>
        <v/>
      </c>
      <c r="H377">
        <f>IF($A377="",NA(),IF($C377="Action",1+$F377*0.023,NA()))</f>
        <v/>
      </c>
      <c r="I377">
        <f>IF($A377="",NA(),IF($C377="Strategy",$B377,NA()))</f>
        <v/>
      </c>
      <c r="J377">
        <f>IF($A377="",NA(),IF($C377="Strategy",2+$F377*0.023,NA()))</f>
        <v/>
      </c>
      <c r="K377">
        <f>IF($A377="",NA(),IF($C377="Deckbuilder",$B377,NA()))</f>
        <v/>
      </c>
      <c r="L377">
        <f>IF($A377="",NA(),IF($C377="Deckbuilder",3+$F377*0.023,NA()))</f>
        <v/>
      </c>
      <c r="M377">
        <f>IF($A377="",NA(),IF($C377="Traditional",$B377,NA()))</f>
        <v/>
      </c>
      <c r="N377">
        <f>IF($A377="",NA(),IF($C377="Traditional",4+$F377*0.023,NA()))</f>
        <v/>
      </c>
      <c r="O377">
        <f>IF($A377="","",$D377+ROW()/1000000)</f>
        <v/>
      </c>
      <c r="P377">
        <f>IF(OR($A377="",games!$H377=""),"",games!$H377)</f>
        <v/>
      </c>
      <c r="Q377">
        <f>IF(OR($A377="",$P377&lt;&gt;"Yes"),"",$D377+ROW()/1000000)</f>
        <v/>
      </c>
      <c r="T377">
        <f>IF(connections!$A377="","",IFERROR(INDEX(games!$B$2:$B$950,MATCH(connections!$A377,games!$A$2:$A$950,0)),""))</f>
        <v/>
      </c>
      <c r="U377">
        <f>IF(connections!$A377="","",IFERROR(INDEX(games!$B$2:$B$950,MATCH(connections!$B377,games!$A$2:$A$950,0)),""))</f>
        <v/>
      </c>
      <c r="V377">
        <f>IF(OR($T377="",$U377=""),"",$U377-$T377)</f>
        <v/>
      </c>
    </row>
    <row r="378">
      <c r="A378">
        <f>IF(games!$A378="","",games!$A378)</f>
        <v/>
      </c>
      <c r="B378">
        <f>IF($A378="","",games!$B378)</f>
        <v/>
      </c>
      <c r="C378">
        <f>IF($A378="","",games!$C378)</f>
        <v/>
      </c>
      <c r="D378">
        <f>IF($A378="","",COUNTIF(connections!$A$2:$A$1400,$A378)+COUNTIF(connections!$B$2:$B$1400,$A378))</f>
        <v/>
      </c>
      <c r="E378">
        <f>IF($A378="","",IFERROR(MATCH($C378,$R$2:$R$5,0),0))</f>
        <v/>
      </c>
      <c r="F378">
        <f>IF($A378="","",MOD(ROW(),34))</f>
        <v/>
      </c>
      <c r="G378">
        <f>IF($A378="",NA(),IF($C378="Action",$B378,NA()))</f>
        <v/>
      </c>
      <c r="H378">
        <f>IF($A378="",NA(),IF($C378="Action",1+$F378*0.023,NA()))</f>
        <v/>
      </c>
      <c r="I378">
        <f>IF($A378="",NA(),IF($C378="Strategy",$B378,NA()))</f>
        <v/>
      </c>
      <c r="J378">
        <f>IF($A378="",NA(),IF($C378="Strategy",2+$F378*0.023,NA()))</f>
        <v/>
      </c>
      <c r="K378">
        <f>IF($A378="",NA(),IF($C378="Deckbuilder",$B378,NA()))</f>
        <v/>
      </c>
      <c r="L378">
        <f>IF($A378="",NA(),IF($C378="Deckbuilder",3+$F378*0.023,NA()))</f>
        <v/>
      </c>
      <c r="M378">
        <f>IF($A378="",NA(),IF($C378="Traditional",$B378,NA()))</f>
        <v/>
      </c>
      <c r="N378">
        <f>IF($A378="",NA(),IF($C378="Traditional",4+$F378*0.023,NA()))</f>
        <v/>
      </c>
      <c r="O378">
        <f>IF($A378="","",$D378+ROW()/1000000)</f>
        <v/>
      </c>
      <c r="P378">
        <f>IF(OR($A378="",games!$H378=""),"",games!$H378)</f>
        <v/>
      </c>
      <c r="Q378">
        <f>IF(OR($A378="",$P378&lt;&gt;"Yes"),"",$D378+ROW()/1000000)</f>
        <v/>
      </c>
      <c r="T378">
        <f>IF(connections!$A378="","",IFERROR(INDEX(games!$B$2:$B$950,MATCH(connections!$A378,games!$A$2:$A$950,0)),""))</f>
        <v/>
      </c>
      <c r="U378">
        <f>IF(connections!$A378="","",IFERROR(INDEX(games!$B$2:$B$950,MATCH(connections!$B378,games!$A$2:$A$950,0)),""))</f>
        <v/>
      </c>
      <c r="V378">
        <f>IF(OR($T378="",$U378=""),"",$U378-$T378)</f>
        <v/>
      </c>
    </row>
    <row r="379">
      <c r="A379">
        <f>IF(games!$A379="","",games!$A379)</f>
        <v/>
      </c>
      <c r="B379">
        <f>IF($A379="","",games!$B379)</f>
        <v/>
      </c>
      <c r="C379">
        <f>IF($A379="","",games!$C379)</f>
        <v/>
      </c>
      <c r="D379">
        <f>IF($A379="","",COUNTIF(connections!$A$2:$A$1400,$A379)+COUNTIF(connections!$B$2:$B$1400,$A379))</f>
        <v/>
      </c>
      <c r="E379">
        <f>IF($A379="","",IFERROR(MATCH($C379,$R$2:$R$5,0),0))</f>
        <v/>
      </c>
      <c r="F379">
        <f>IF($A379="","",MOD(ROW(),34))</f>
        <v/>
      </c>
      <c r="G379">
        <f>IF($A379="",NA(),IF($C379="Action",$B379,NA()))</f>
        <v/>
      </c>
      <c r="H379">
        <f>IF($A379="",NA(),IF($C379="Action",1+$F379*0.023,NA()))</f>
        <v/>
      </c>
      <c r="I379">
        <f>IF($A379="",NA(),IF($C379="Strategy",$B379,NA()))</f>
        <v/>
      </c>
      <c r="J379">
        <f>IF($A379="",NA(),IF($C379="Strategy",2+$F379*0.023,NA()))</f>
        <v/>
      </c>
      <c r="K379">
        <f>IF($A379="",NA(),IF($C379="Deckbuilder",$B379,NA()))</f>
        <v/>
      </c>
      <c r="L379">
        <f>IF($A379="",NA(),IF($C379="Deckbuilder",3+$F379*0.023,NA()))</f>
        <v/>
      </c>
      <c r="M379">
        <f>IF($A379="",NA(),IF($C379="Traditional",$B379,NA()))</f>
        <v/>
      </c>
      <c r="N379">
        <f>IF($A379="",NA(),IF($C379="Traditional",4+$F379*0.023,NA()))</f>
        <v/>
      </c>
      <c r="O379">
        <f>IF($A379="","",$D379+ROW()/1000000)</f>
        <v/>
      </c>
      <c r="P379">
        <f>IF(OR($A379="",games!$H379=""),"",games!$H379)</f>
        <v/>
      </c>
      <c r="Q379">
        <f>IF(OR($A379="",$P379&lt;&gt;"Yes"),"",$D379+ROW()/1000000)</f>
        <v/>
      </c>
      <c r="T379">
        <f>IF(connections!$A379="","",IFERROR(INDEX(games!$B$2:$B$950,MATCH(connections!$A379,games!$A$2:$A$950,0)),""))</f>
        <v/>
      </c>
      <c r="U379">
        <f>IF(connections!$A379="","",IFERROR(INDEX(games!$B$2:$B$950,MATCH(connections!$B379,games!$A$2:$A$950,0)),""))</f>
        <v/>
      </c>
      <c r="V379">
        <f>IF(OR($T379="",$U379=""),"",$U379-$T379)</f>
        <v/>
      </c>
    </row>
    <row r="380">
      <c r="A380">
        <f>IF(games!$A380="","",games!$A380)</f>
        <v/>
      </c>
      <c r="B380">
        <f>IF($A380="","",games!$B380)</f>
        <v/>
      </c>
      <c r="C380">
        <f>IF($A380="","",games!$C380)</f>
        <v/>
      </c>
      <c r="D380">
        <f>IF($A380="","",COUNTIF(connections!$A$2:$A$1400,$A380)+COUNTIF(connections!$B$2:$B$1400,$A380))</f>
        <v/>
      </c>
      <c r="E380">
        <f>IF($A380="","",IFERROR(MATCH($C380,$R$2:$R$5,0),0))</f>
        <v/>
      </c>
      <c r="F380">
        <f>IF($A380="","",MOD(ROW(),34))</f>
        <v/>
      </c>
      <c r="G380">
        <f>IF($A380="",NA(),IF($C380="Action",$B380,NA()))</f>
        <v/>
      </c>
      <c r="H380">
        <f>IF($A380="",NA(),IF($C380="Action",1+$F380*0.023,NA()))</f>
        <v/>
      </c>
      <c r="I380">
        <f>IF($A380="",NA(),IF($C380="Strategy",$B380,NA()))</f>
        <v/>
      </c>
      <c r="J380">
        <f>IF($A380="",NA(),IF($C380="Strategy",2+$F380*0.023,NA()))</f>
        <v/>
      </c>
      <c r="K380">
        <f>IF($A380="",NA(),IF($C380="Deckbuilder",$B380,NA()))</f>
        <v/>
      </c>
      <c r="L380">
        <f>IF($A380="",NA(),IF($C380="Deckbuilder",3+$F380*0.023,NA()))</f>
        <v/>
      </c>
      <c r="M380">
        <f>IF($A380="",NA(),IF($C380="Traditional",$B380,NA()))</f>
        <v/>
      </c>
      <c r="N380">
        <f>IF($A380="",NA(),IF($C380="Traditional",4+$F380*0.023,NA()))</f>
        <v/>
      </c>
      <c r="O380">
        <f>IF($A380="","",$D380+ROW()/1000000)</f>
        <v/>
      </c>
      <c r="P380">
        <f>IF(OR($A380="",games!$H380=""),"",games!$H380)</f>
        <v/>
      </c>
      <c r="Q380">
        <f>IF(OR($A380="",$P380&lt;&gt;"Yes"),"",$D380+ROW()/1000000)</f>
        <v/>
      </c>
      <c r="T380">
        <f>IF(connections!$A380="","",IFERROR(INDEX(games!$B$2:$B$950,MATCH(connections!$A380,games!$A$2:$A$950,0)),""))</f>
        <v/>
      </c>
      <c r="U380">
        <f>IF(connections!$A380="","",IFERROR(INDEX(games!$B$2:$B$950,MATCH(connections!$B380,games!$A$2:$A$950,0)),""))</f>
        <v/>
      </c>
      <c r="V380">
        <f>IF(OR($T380="",$U380=""),"",$U380-$T380)</f>
        <v/>
      </c>
    </row>
    <row r="381">
      <c r="A381">
        <f>IF(games!$A381="","",games!$A381)</f>
        <v/>
      </c>
      <c r="B381">
        <f>IF($A381="","",games!$B381)</f>
        <v/>
      </c>
      <c r="C381">
        <f>IF($A381="","",games!$C381)</f>
        <v/>
      </c>
      <c r="D381">
        <f>IF($A381="","",COUNTIF(connections!$A$2:$A$1400,$A381)+COUNTIF(connections!$B$2:$B$1400,$A381))</f>
        <v/>
      </c>
      <c r="E381">
        <f>IF($A381="","",IFERROR(MATCH($C381,$R$2:$R$5,0),0))</f>
        <v/>
      </c>
      <c r="F381">
        <f>IF($A381="","",MOD(ROW(),34))</f>
        <v/>
      </c>
      <c r="G381">
        <f>IF($A381="",NA(),IF($C381="Action",$B381,NA()))</f>
        <v/>
      </c>
      <c r="H381">
        <f>IF($A381="",NA(),IF($C381="Action",1+$F381*0.023,NA()))</f>
        <v/>
      </c>
      <c r="I381">
        <f>IF($A381="",NA(),IF($C381="Strategy",$B381,NA()))</f>
        <v/>
      </c>
      <c r="J381">
        <f>IF($A381="",NA(),IF($C381="Strategy",2+$F381*0.023,NA()))</f>
        <v/>
      </c>
      <c r="K381">
        <f>IF($A381="",NA(),IF($C381="Deckbuilder",$B381,NA()))</f>
        <v/>
      </c>
      <c r="L381">
        <f>IF($A381="",NA(),IF($C381="Deckbuilder",3+$F381*0.023,NA()))</f>
        <v/>
      </c>
      <c r="M381">
        <f>IF($A381="",NA(),IF($C381="Traditional",$B381,NA()))</f>
        <v/>
      </c>
      <c r="N381">
        <f>IF($A381="",NA(),IF($C381="Traditional",4+$F381*0.023,NA()))</f>
        <v/>
      </c>
      <c r="O381">
        <f>IF($A381="","",$D381+ROW()/1000000)</f>
        <v/>
      </c>
      <c r="P381">
        <f>IF(OR($A381="",games!$H381=""),"",games!$H381)</f>
        <v/>
      </c>
      <c r="Q381">
        <f>IF(OR($A381="",$P381&lt;&gt;"Yes"),"",$D381+ROW()/1000000)</f>
        <v/>
      </c>
      <c r="T381">
        <f>IF(connections!$A381="","",IFERROR(INDEX(games!$B$2:$B$950,MATCH(connections!$A381,games!$A$2:$A$950,0)),""))</f>
        <v/>
      </c>
      <c r="U381">
        <f>IF(connections!$A381="","",IFERROR(INDEX(games!$B$2:$B$950,MATCH(connections!$B381,games!$A$2:$A$950,0)),""))</f>
        <v/>
      </c>
      <c r="V381">
        <f>IF(OR($T381="",$U381=""),"",$U381-$T381)</f>
        <v/>
      </c>
    </row>
    <row r="382">
      <c r="A382">
        <f>IF(games!$A382="","",games!$A382)</f>
        <v/>
      </c>
      <c r="B382">
        <f>IF($A382="","",games!$B382)</f>
        <v/>
      </c>
      <c r="C382">
        <f>IF($A382="","",games!$C382)</f>
        <v/>
      </c>
      <c r="D382">
        <f>IF($A382="","",COUNTIF(connections!$A$2:$A$1400,$A382)+COUNTIF(connections!$B$2:$B$1400,$A382))</f>
        <v/>
      </c>
      <c r="E382">
        <f>IF($A382="","",IFERROR(MATCH($C382,$R$2:$R$5,0),0))</f>
        <v/>
      </c>
      <c r="F382">
        <f>IF($A382="","",MOD(ROW(),34))</f>
        <v/>
      </c>
      <c r="G382">
        <f>IF($A382="",NA(),IF($C382="Action",$B382,NA()))</f>
        <v/>
      </c>
      <c r="H382">
        <f>IF($A382="",NA(),IF($C382="Action",1+$F382*0.023,NA()))</f>
        <v/>
      </c>
      <c r="I382">
        <f>IF($A382="",NA(),IF($C382="Strategy",$B382,NA()))</f>
        <v/>
      </c>
      <c r="J382">
        <f>IF($A382="",NA(),IF($C382="Strategy",2+$F382*0.023,NA()))</f>
        <v/>
      </c>
      <c r="K382">
        <f>IF($A382="",NA(),IF($C382="Deckbuilder",$B382,NA()))</f>
        <v/>
      </c>
      <c r="L382">
        <f>IF($A382="",NA(),IF($C382="Deckbuilder",3+$F382*0.023,NA()))</f>
        <v/>
      </c>
      <c r="M382">
        <f>IF($A382="",NA(),IF($C382="Traditional",$B382,NA()))</f>
        <v/>
      </c>
      <c r="N382">
        <f>IF($A382="",NA(),IF($C382="Traditional",4+$F382*0.023,NA()))</f>
        <v/>
      </c>
      <c r="O382">
        <f>IF($A382="","",$D382+ROW()/1000000)</f>
        <v/>
      </c>
      <c r="P382">
        <f>IF(OR($A382="",games!$H382=""),"",games!$H382)</f>
        <v/>
      </c>
      <c r="Q382">
        <f>IF(OR($A382="",$P382&lt;&gt;"Yes"),"",$D382+ROW()/1000000)</f>
        <v/>
      </c>
      <c r="T382">
        <f>IF(connections!$A382="","",IFERROR(INDEX(games!$B$2:$B$950,MATCH(connections!$A382,games!$A$2:$A$950,0)),""))</f>
        <v/>
      </c>
      <c r="U382">
        <f>IF(connections!$A382="","",IFERROR(INDEX(games!$B$2:$B$950,MATCH(connections!$B382,games!$A$2:$A$950,0)),""))</f>
        <v/>
      </c>
      <c r="V382">
        <f>IF(OR($T382="",$U382=""),"",$U382-$T382)</f>
        <v/>
      </c>
    </row>
    <row r="383">
      <c r="A383">
        <f>IF(games!$A383="","",games!$A383)</f>
        <v/>
      </c>
      <c r="B383">
        <f>IF($A383="","",games!$B383)</f>
        <v/>
      </c>
      <c r="C383">
        <f>IF($A383="","",games!$C383)</f>
        <v/>
      </c>
      <c r="D383">
        <f>IF($A383="","",COUNTIF(connections!$A$2:$A$1400,$A383)+COUNTIF(connections!$B$2:$B$1400,$A383))</f>
        <v/>
      </c>
      <c r="E383">
        <f>IF($A383="","",IFERROR(MATCH($C383,$R$2:$R$5,0),0))</f>
        <v/>
      </c>
      <c r="F383">
        <f>IF($A383="","",MOD(ROW(),34))</f>
        <v/>
      </c>
      <c r="G383">
        <f>IF($A383="",NA(),IF($C383="Action",$B383,NA()))</f>
        <v/>
      </c>
      <c r="H383">
        <f>IF($A383="",NA(),IF($C383="Action",1+$F383*0.023,NA()))</f>
        <v/>
      </c>
      <c r="I383">
        <f>IF($A383="",NA(),IF($C383="Strategy",$B383,NA()))</f>
        <v/>
      </c>
      <c r="J383">
        <f>IF($A383="",NA(),IF($C383="Strategy",2+$F383*0.023,NA()))</f>
        <v/>
      </c>
      <c r="K383">
        <f>IF($A383="",NA(),IF($C383="Deckbuilder",$B383,NA()))</f>
        <v/>
      </c>
      <c r="L383">
        <f>IF($A383="",NA(),IF($C383="Deckbuilder",3+$F383*0.023,NA()))</f>
        <v/>
      </c>
      <c r="M383">
        <f>IF($A383="",NA(),IF($C383="Traditional",$B383,NA()))</f>
        <v/>
      </c>
      <c r="N383">
        <f>IF($A383="",NA(),IF($C383="Traditional",4+$F383*0.023,NA()))</f>
        <v/>
      </c>
      <c r="O383">
        <f>IF($A383="","",$D383+ROW()/1000000)</f>
        <v/>
      </c>
      <c r="P383">
        <f>IF(OR($A383="",games!$H383=""),"",games!$H383)</f>
        <v/>
      </c>
      <c r="Q383">
        <f>IF(OR($A383="",$P383&lt;&gt;"Yes"),"",$D383+ROW()/1000000)</f>
        <v/>
      </c>
      <c r="T383">
        <f>IF(connections!$A383="","",IFERROR(INDEX(games!$B$2:$B$950,MATCH(connections!$A383,games!$A$2:$A$950,0)),""))</f>
        <v/>
      </c>
      <c r="U383">
        <f>IF(connections!$A383="","",IFERROR(INDEX(games!$B$2:$B$950,MATCH(connections!$B383,games!$A$2:$A$950,0)),""))</f>
        <v/>
      </c>
      <c r="V383">
        <f>IF(OR($T383="",$U383=""),"",$U383-$T383)</f>
        <v/>
      </c>
    </row>
    <row r="384">
      <c r="A384">
        <f>IF(games!$A384="","",games!$A384)</f>
        <v/>
      </c>
      <c r="B384">
        <f>IF($A384="","",games!$B384)</f>
        <v/>
      </c>
      <c r="C384">
        <f>IF($A384="","",games!$C384)</f>
        <v/>
      </c>
      <c r="D384">
        <f>IF($A384="","",COUNTIF(connections!$A$2:$A$1400,$A384)+COUNTIF(connections!$B$2:$B$1400,$A384))</f>
        <v/>
      </c>
      <c r="E384">
        <f>IF($A384="","",IFERROR(MATCH($C384,$R$2:$R$5,0),0))</f>
        <v/>
      </c>
      <c r="F384">
        <f>IF($A384="","",MOD(ROW(),34))</f>
        <v/>
      </c>
      <c r="G384">
        <f>IF($A384="",NA(),IF($C384="Action",$B384,NA()))</f>
        <v/>
      </c>
      <c r="H384">
        <f>IF($A384="",NA(),IF($C384="Action",1+$F384*0.023,NA()))</f>
        <v/>
      </c>
      <c r="I384">
        <f>IF($A384="",NA(),IF($C384="Strategy",$B384,NA()))</f>
        <v/>
      </c>
      <c r="J384">
        <f>IF($A384="",NA(),IF($C384="Strategy",2+$F384*0.023,NA()))</f>
        <v/>
      </c>
      <c r="K384">
        <f>IF($A384="",NA(),IF($C384="Deckbuilder",$B384,NA()))</f>
        <v/>
      </c>
      <c r="L384">
        <f>IF($A384="",NA(),IF($C384="Deckbuilder",3+$F384*0.023,NA()))</f>
        <v/>
      </c>
      <c r="M384">
        <f>IF($A384="",NA(),IF($C384="Traditional",$B384,NA()))</f>
        <v/>
      </c>
      <c r="N384">
        <f>IF($A384="",NA(),IF($C384="Traditional",4+$F384*0.023,NA()))</f>
        <v/>
      </c>
      <c r="O384">
        <f>IF($A384="","",$D384+ROW()/1000000)</f>
        <v/>
      </c>
      <c r="P384">
        <f>IF(OR($A384="",games!$H384=""),"",games!$H384)</f>
        <v/>
      </c>
      <c r="Q384">
        <f>IF(OR($A384="",$P384&lt;&gt;"Yes"),"",$D384+ROW()/1000000)</f>
        <v/>
      </c>
      <c r="T384">
        <f>IF(connections!$A384="","",IFERROR(INDEX(games!$B$2:$B$950,MATCH(connections!$A384,games!$A$2:$A$950,0)),""))</f>
        <v/>
      </c>
      <c r="U384">
        <f>IF(connections!$A384="","",IFERROR(INDEX(games!$B$2:$B$950,MATCH(connections!$B384,games!$A$2:$A$950,0)),""))</f>
        <v/>
      </c>
      <c r="V384">
        <f>IF(OR($T384="",$U384=""),"",$U384-$T384)</f>
        <v/>
      </c>
    </row>
    <row r="385">
      <c r="A385">
        <f>IF(games!$A385="","",games!$A385)</f>
        <v/>
      </c>
      <c r="B385">
        <f>IF($A385="","",games!$B385)</f>
        <v/>
      </c>
      <c r="C385">
        <f>IF($A385="","",games!$C385)</f>
        <v/>
      </c>
      <c r="D385">
        <f>IF($A385="","",COUNTIF(connections!$A$2:$A$1400,$A385)+COUNTIF(connections!$B$2:$B$1400,$A385))</f>
        <v/>
      </c>
      <c r="E385">
        <f>IF($A385="","",IFERROR(MATCH($C385,$R$2:$R$5,0),0))</f>
        <v/>
      </c>
      <c r="F385">
        <f>IF($A385="","",MOD(ROW(),34))</f>
        <v/>
      </c>
      <c r="G385">
        <f>IF($A385="",NA(),IF($C385="Action",$B385,NA()))</f>
        <v/>
      </c>
      <c r="H385">
        <f>IF($A385="",NA(),IF($C385="Action",1+$F385*0.023,NA()))</f>
        <v/>
      </c>
      <c r="I385">
        <f>IF($A385="",NA(),IF($C385="Strategy",$B385,NA()))</f>
        <v/>
      </c>
      <c r="J385">
        <f>IF($A385="",NA(),IF($C385="Strategy",2+$F385*0.023,NA()))</f>
        <v/>
      </c>
      <c r="K385">
        <f>IF($A385="",NA(),IF($C385="Deckbuilder",$B385,NA()))</f>
        <v/>
      </c>
      <c r="L385">
        <f>IF($A385="",NA(),IF($C385="Deckbuilder",3+$F385*0.023,NA()))</f>
        <v/>
      </c>
      <c r="M385">
        <f>IF($A385="",NA(),IF($C385="Traditional",$B385,NA()))</f>
        <v/>
      </c>
      <c r="N385">
        <f>IF($A385="",NA(),IF($C385="Traditional",4+$F385*0.023,NA()))</f>
        <v/>
      </c>
      <c r="O385">
        <f>IF($A385="","",$D385+ROW()/1000000)</f>
        <v/>
      </c>
      <c r="P385">
        <f>IF(OR($A385="",games!$H385=""),"",games!$H385)</f>
        <v/>
      </c>
      <c r="Q385">
        <f>IF(OR($A385="",$P385&lt;&gt;"Yes"),"",$D385+ROW()/1000000)</f>
        <v/>
      </c>
      <c r="T385">
        <f>IF(connections!$A385="","",IFERROR(INDEX(games!$B$2:$B$950,MATCH(connections!$A385,games!$A$2:$A$950,0)),""))</f>
        <v/>
      </c>
      <c r="U385">
        <f>IF(connections!$A385="","",IFERROR(INDEX(games!$B$2:$B$950,MATCH(connections!$B385,games!$A$2:$A$950,0)),""))</f>
        <v/>
      </c>
      <c r="V385">
        <f>IF(OR($T385="",$U385=""),"",$U385-$T385)</f>
        <v/>
      </c>
    </row>
    <row r="386">
      <c r="A386">
        <f>IF(games!$A386="","",games!$A386)</f>
        <v/>
      </c>
      <c r="B386">
        <f>IF($A386="","",games!$B386)</f>
        <v/>
      </c>
      <c r="C386">
        <f>IF($A386="","",games!$C386)</f>
        <v/>
      </c>
      <c r="D386">
        <f>IF($A386="","",COUNTIF(connections!$A$2:$A$1400,$A386)+COUNTIF(connections!$B$2:$B$1400,$A386))</f>
        <v/>
      </c>
      <c r="E386">
        <f>IF($A386="","",IFERROR(MATCH($C386,$R$2:$R$5,0),0))</f>
        <v/>
      </c>
      <c r="F386">
        <f>IF($A386="","",MOD(ROW(),34))</f>
        <v/>
      </c>
      <c r="G386">
        <f>IF($A386="",NA(),IF($C386="Action",$B386,NA()))</f>
        <v/>
      </c>
      <c r="H386">
        <f>IF($A386="",NA(),IF($C386="Action",1+$F386*0.023,NA()))</f>
        <v/>
      </c>
      <c r="I386">
        <f>IF($A386="",NA(),IF($C386="Strategy",$B386,NA()))</f>
        <v/>
      </c>
      <c r="J386">
        <f>IF($A386="",NA(),IF($C386="Strategy",2+$F386*0.023,NA()))</f>
        <v/>
      </c>
      <c r="K386">
        <f>IF($A386="",NA(),IF($C386="Deckbuilder",$B386,NA()))</f>
        <v/>
      </c>
      <c r="L386">
        <f>IF($A386="",NA(),IF($C386="Deckbuilder",3+$F386*0.023,NA()))</f>
        <v/>
      </c>
      <c r="M386">
        <f>IF($A386="",NA(),IF($C386="Traditional",$B386,NA()))</f>
        <v/>
      </c>
      <c r="N386">
        <f>IF($A386="",NA(),IF($C386="Traditional",4+$F386*0.023,NA()))</f>
        <v/>
      </c>
      <c r="O386">
        <f>IF($A386="","",$D386+ROW()/1000000)</f>
        <v/>
      </c>
      <c r="P386">
        <f>IF(OR($A386="",games!$H386=""),"",games!$H386)</f>
        <v/>
      </c>
      <c r="Q386">
        <f>IF(OR($A386="",$P386&lt;&gt;"Yes"),"",$D386+ROW()/1000000)</f>
        <v/>
      </c>
      <c r="T386">
        <f>IF(connections!$A386="","",IFERROR(INDEX(games!$B$2:$B$950,MATCH(connections!$A386,games!$A$2:$A$950,0)),""))</f>
        <v/>
      </c>
      <c r="U386">
        <f>IF(connections!$A386="","",IFERROR(INDEX(games!$B$2:$B$950,MATCH(connections!$B386,games!$A$2:$A$950,0)),""))</f>
        <v/>
      </c>
      <c r="V386">
        <f>IF(OR($T386="",$U386=""),"",$U386-$T386)</f>
        <v/>
      </c>
    </row>
    <row r="387">
      <c r="A387">
        <f>IF(games!$A387="","",games!$A387)</f>
        <v/>
      </c>
      <c r="B387">
        <f>IF($A387="","",games!$B387)</f>
        <v/>
      </c>
      <c r="C387">
        <f>IF($A387="","",games!$C387)</f>
        <v/>
      </c>
      <c r="D387">
        <f>IF($A387="","",COUNTIF(connections!$A$2:$A$1400,$A387)+COUNTIF(connections!$B$2:$B$1400,$A387))</f>
        <v/>
      </c>
      <c r="E387">
        <f>IF($A387="","",IFERROR(MATCH($C387,$R$2:$R$5,0),0))</f>
        <v/>
      </c>
      <c r="F387">
        <f>IF($A387="","",MOD(ROW(),34))</f>
        <v/>
      </c>
      <c r="G387">
        <f>IF($A387="",NA(),IF($C387="Action",$B387,NA()))</f>
        <v/>
      </c>
      <c r="H387">
        <f>IF($A387="",NA(),IF($C387="Action",1+$F387*0.023,NA()))</f>
        <v/>
      </c>
      <c r="I387">
        <f>IF($A387="",NA(),IF($C387="Strategy",$B387,NA()))</f>
        <v/>
      </c>
      <c r="J387">
        <f>IF($A387="",NA(),IF($C387="Strategy",2+$F387*0.023,NA()))</f>
        <v/>
      </c>
      <c r="K387">
        <f>IF($A387="",NA(),IF($C387="Deckbuilder",$B387,NA()))</f>
        <v/>
      </c>
      <c r="L387">
        <f>IF($A387="",NA(),IF($C387="Deckbuilder",3+$F387*0.023,NA()))</f>
        <v/>
      </c>
      <c r="M387">
        <f>IF($A387="",NA(),IF($C387="Traditional",$B387,NA()))</f>
        <v/>
      </c>
      <c r="N387">
        <f>IF($A387="",NA(),IF($C387="Traditional",4+$F387*0.023,NA()))</f>
        <v/>
      </c>
      <c r="O387">
        <f>IF($A387="","",$D387+ROW()/1000000)</f>
        <v/>
      </c>
      <c r="P387">
        <f>IF(OR($A387="",games!$H387=""),"",games!$H387)</f>
        <v/>
      </c>
      <c r="Q387">
        <f>IF(OR($A387="",$P387&lt;&gt;"Yes"),"",$D387+ROW()/1000000)</f>
        <v/>
      </c>
      <c r="T387">
        <f>IF(connections!$A387="","",IFERROR(INDEX(games!$B$2:$B$950,MATCH(connections!$A387,games!$A$2:$A$950,0)),""))</f>
        <v/>
      </c>
      <c r="U387">
        <f>IF(connections!$A387="","",IFERROR(INDEX(games!$B$2:$B$950,MATCH(connections!$B387,games!$A$2:$A$950,0)),""))</f>
        <v/>
      </c>
      <c r="V387">
        <f>IF(OR($T387="",$U387=""),"",$U387-$T387)</f>
        <v/>
      </c>
    </row>
    <row r="388">
      <c r="A388">
        <f>IF(games!$A388="","",games!$A388)</f>
        <v/>
      </c>
      <c r="B388">
        <f>IF($A388="","",games!$B388)</f>
        <v/>
      </c>
      <c r="C388">
        <f>IF($A388="","",games!$C388)</f>
        <v/>
      </c>
      <c r="D388">
        <f>IF($A388="","",COUNTIF(connections!$A$2:$A$1400,$A388)+COUNTIF(connections!$B$2:$B$1400,$A388))</f>
        <v/>
      </c>
      <c r="E388">
        <f>IF($A388="","",IFERROR(MATCH($C388,$R$2:$R$5,0),0))</f>
        <v/>
      </c>
      <c r="F388">
        <f>IF($A388="","",MOD(ROW(),34))</f>
        <v/>
      </c>
      <c r="G388">
        <f>IF($A388="",NA(),IF($C388="Action",$B388,NA()))</f>
        <v/>
      </c>
      <c r="H388">
        <f>IF($A388="",NA(),IF($C388="Action",1+$F388*0.023,NA()))</f>
        <v/>
      </c>
      <c r="I388">
        <f>IF($A388="",NA(),IF($C388="Strategy",$B388,NA()))</f>
        <v/>
      </c>
      <c r="J388">
        <f>IF($A388="",NA(),IF($C388="Strategy",2+$F388*0.023,NA()))</f>
        <v/>
      </c>
      <c r="K388">
        <f>IF($A388="",NA(),IF($C388="Deckbuilder",$B388,NA()))</f>
        <v/>
      </c>
      <c r="L388">
        <f>IF($A388="",NA(),IF($C388="Deckbuilder",3+$F388*0.023,NA()))</f>
        <v/>
      </c>
      <c r="M388">
        <f>IF($A388="",NA(),IF($C388="Traditional",$B388,NA()))</f>
        <v/>
      </c>
      <c r="N388">
        <f>IF($A388="",NA(),IF($C388="Traditional",4+$F388*0.023,NA()))</f>
        <v/>
      </c>
      <c r="O388">
        <f>IF($A388="","",$D388+ROW()/1000000)</f>
        <v/>
      </c>
      <c r="P388">
        <f>IF(OR($A388="",games!$H388=""),"",games!$H388)</f>
        <v/>
      </c>
      <c r="Q388">
        <f>IF(OR($A388="",$P388&lt;&gt;"Yes"),"",$D388+ROW()/1000000)</f>
        <v/>
      </c>
      <c r="T388">
        <f>IF(connections!$A388="","",IFERROR(INDEX(games!$B$2:$B$950,MATCH(connections!$A388,games!$A$2:$A$950,0)),""))</f>
        <v/>
      </c>
      <c r="U388">
        <f>IF(connections!$A388="","",IFERROR(INDEX(games!$B$2:$B$950,MATCH(connections!$B388,games!$A$2:$A$950,0)),""))</f>
        <v/>
      </c>
      <c r="V388">
        <f>IF(OR($T388="",$U388=""),"",$U388-$T388)</f>
        <v/>
      </c>
    </row>
    <row r="389">
      <c r="A389">
        <f>IF(games!$A389="","",games!$A389)</f>
        <v/>
      </c>
      <c r="B389">
        <f>IF($A389="","",games!$B389)</f>
        <v/>
      </c>
      <c r="C389">
        <f>IF($A389="","",games!$C389)</f>
        <v/>
      </c>
      <c r="D389">
        <f>IF($A389="","",COUNTIF(connections!$A$2:$A$1400,$A389)+COUNTIF(connections!$B$2:$B$1400,$A389))</f>
        <v/>
      </c>
      <c r="E389">
        <f>IF($A389="","",IFERROR(MATCH($C389,$R$2:$R$5,0),0))</f>
        <v/>
      </c>
      <c r="F389">
        <f>IF($A389="","",MOD(ROW(),34))</f>
        <v/>
      </c>
      <c r="G389">
        <f>IF($A389="",NA(),IF($C389="Action",$B389,NA()))</f>
        <v/>
      </c>
      <c r="H389">
        <f>IF($A389="",NA(),IF($C389="Action",1+$F389*0.023,NA()))</f>
        <v/>
      </c>
      <c r="I389">
        <f>IF($A389="",NA(),IF($C389="Strategy",$B389,NA()))</f>
        <v/>
      </c>
      <c r="J389">
        <f>IF($A389="",NA(),IF($C389="Strategy",2+$F389*0.023,NA()))</f>
        <v/>
      </c>
      <c r="K389">
        <f>IF($A389="",NA(),IF($C389="Deckbuilder",$B389,NA()))</f>
        <v/>
      </c>
      <c r="L389">
        <f>IF($A389="",NA(),IF($C389="Deckbuilder",3+$F389*0.023,NA()))</f>
        <v/>
      </c>
      <c r="M389">
        <f>IF($A389="",NA(),IF($C389="Traditional",$B389,NA()))</f>
        <v/>
      </c>
      <c r="N389">
        <f>IF($A389="",NA(),IF($C389="Traditional",4+$F389*0.023,NA()))</f>
        <v/>
      </c>
      <c r="O389">
        <f>IF($A389="","",$D389+ROW()/1000000)</f>
        <v/>
      </c>
      <c r="P389">
        <f>IF(OR($A389="",games!$H389=""),"",games!$H389)</f>
        <v/>
      </c>
      <c r="Q389">
        <f>IF(OR($A389="",$P389&lt;&gt;"Yes"),"",$D389+ROW()/1000000)</f>
        <v/>
      </c>
      <c r="T389">
        <f>IF(connections!$A389="","",IFERROR(INDEX(games!$B$2:$B$950,MATCH(connections!$A389,games!$A$2:$A$950,0)),""))</f>
        <v/>
      </c>
      <c r="U389">
        <f>IF(connections!$A389="","",IFERROR(INDEX(games!$B$2:$B$950,MATCH(connections!$B389,games!$A$2:$A$950,0)),""))</f>
        <v/>
      </c>
      <c r="V389">
        <f>IF(OR($T389="",$U389=""),"",$U389-$T389)</f>
        <v/>
      </c>
    </row>
    <row r="390">
      <c r="A390">
        <f>IF(games!$A390="","",games!$A390)</f>
        <v/>
      </c>
      <c r="B390">
        <f>IF($A390="","",games!$B390)</f>
        <v/>
      </c>
      <c r="C390">
        <f>IF($A390="","",games!$C390)</f>
        <v/>
      </c>
      <c r="D390">
        <f>IF($A390="","",COUNTIF(connections!$A$2:$A$1400,$A390)+COUNTIF(connections!$B$2:$B$1400,$A390))</f>
        <v/>
      </c>
      <c r="E390">
        <f>IF($A390="","",IFERROR(MATCH($C390,$R$2:$R$5,0),0))</f>
        <v/>
      </c>
      <c r="F390">
        <f>IF($A390="","",MOD(ROW(),34))</f>
        <v/>
      </c>
      <c r="G390">
        <f>IF($A390="",NA(),IF($C390="Action",$B390,NA()))</f>
        <v/>
      </c>
      <c r="H390">
        <f>IF($A390="",NA(),IF($C390="Action",1+$F390*0.023,NA()))</f>
        <v/>
      </c>
      <c r="I390">
        <f>IF($A390="",NA(),IF($C390="Strategy",$B390,NA()))</f>
        <v/>
      </c>
      <c r="J390">
        <f>IF($A390="",NA(),IF($C390="Strategy",2+$F390*0.023,NA()))</f>
        <v/>
      </c>
      <c r="K390">
        <f>IF($A390="",NA(),IF($C390="Deckbuilder",$B390,NA()))</f>
        <v/>
      </c>
      <c r="L390">
        <f>IF($A390="",NA(),IF($C390="Deckbuilder",3+$F390*0.023,NA()))</f>
        <v/>
      </c>
      <c r="M390">
        <f>IF($A390="",NA(),IF($C390="Traditional",$B390,NA()))</f>
        <v/>
      </c>
      <c r="N390">
        <f>IF($A390="",NA(),IF($C390="Traditional",4+$F390*0.023,NA()))</f>
        <v/>
      </c>
      <c r="O390">
        <f>IF($A390="","",$D390+ROW()/1000000)</f>
        <v/>
      </c>
      <c r="P390">
        <f>IF(OR($A390="",games!$H390=""),"",games!$H390)</f>
        <v/>
      </c>
      <c r="Q390">
        <f>IF(OR($A390="",$P390&lt;&gt;"Yes"),"",$D390+ROW()/1000000)</f>
        <v/>
      </c>
      <c r="T390">
        <f>IF(connections!$A390="","",IFERROR(INDEX(games!$B$2:$B$950,MATCH(connections!$A390,games!$A$2:$A$950,0)),""))</f>
        <v/>
      </c>
      <c r="U390">
        <f>IF(connections!$A390="","",IFERROR(INDEX(games!$B$2:$B$950,MATCH(connections!$B390,games!$A$2:$A$950,0)),""))</f>
        <v/>
      </c>
      <c r="V390">
        <f>IF(OR($T390="",$U390=""),"",$U390-$T390)</f>
        <v/>
      </c>
    </row>
    <row r="391">
      <c r="A391">
        <f>IF(games!$A391="","",games!$A391)</f>
        <v/>
      </c>
      <c r="B391">
        <f>IF($A391="","",games!$B391)</f>
        <v/>
      </c>
      <c r="C391">
        <f>IF($A391="","",games!$C391)</f>
        <v/>
      </c>
      <c r="D391">
        <f>IF($A391="","",COUNTIF(connections!$A$2:$A$1400,$A391)+COUNTIF(connections!$B$2:$B$1400,$A391))</f>
        <v/>
      </c>
      <c r="E391">
        <f>IF($A391="","",IFERROR(MATCH($C391,$R$2:$R$5,0),0))</f>
        <v/>
      </c>
      <c r="F391">
        <f>IF($A391="","",MOD(ROW(),34))</f>
        <v/>
      </c>
      <c r="G391">
        <f>IF($A391="",NA(),IF($C391="Action",$B391,NA()))</f>
        <v/>
      </c>
      <c r="H391">
        <f>IF($A391="",NA(),IF($C391="Action",1+$F391*0.023,NA()))</f>
        <v/>
      </c>
      <c r="I391">
        <f>IF($A391="",NA(),IF($C391="Strategy",$B391,NA()))</f>
        <v/>
      </c>
      <c r="J391">
        <f>IF($A391="",NA(),IF($C391="Strategy",2+$F391*0.023,NA()))</f>
        <v/>
      </c>
      <c r="K391">
        <f>IF($A391="",NA(),IF($C391="Deckbuilder",$B391,NA()))</f>
        <v/>
      </c>
      <c r="L391">
        <f>IF($A391="",NA(),IF($C391="Deckbuilder",3+$F391*0.023,NA()))</f>
        <v/>
      </c>
      <c r="M391">
        <f>IF($A391="",NA(),IF($C391="Traditional",$B391,NA()))</f>
        <v/>
      </c>
      <c r="N391">
        <f>IF($A391="",NA(),IF($C391="Traditional",4+$F391*0.023,NA()))</f>
        <v/>
      </c>
      <c r="O391">
        <f>IF($A391="","",$D391+ROW()/1000000)</f>
        <v/>
      </c>
      <c r="P391">
        <f>IF(OR($A391="",games!$H391=""),"",games!$H391)</f>
        <v/>
      </c>
      <c r="Q391">
        <f>IF(OR($A391="",$P391&lt;&gt;"Yes"),"",$D391+ROW()/1000000)</f>
        <v/>
      </c>
      <c r="T391">
        <f>IF(connections!$A391="","",IFERROR(INDEX(games!$B$2:$B$950,MATCH(connections!$A391,games!$A$2:$A$950,0)),""))</f>
        <v/>
      </c>
      <c r="U391">
        <f>IF(connections!$A391="","",IFERROR(INDEX(games!$B$2:$B$950,MATCH(connections!$B391,games!$A$2:$A$950,0)),""))</f>
        <v/>
      </c>
      <c r="V391">
        <f>IF(OR($T391="",$U391=""),"",$U391-$T391)</f>
        <v/>
      </c>
    </row>
    <row r="392">
      <c r="A392">
        <f>IF(games!$A392="","",games!$A392)</f>
        <v/>
      </c>
      <c r="B392">
        <f>IF($A392="","",games!$B392)</f>
        <v/>
      </c>
      <c r="C392">
        <f>IF($A392="","",games!$C392)</f>
        <v/>
      </c>
      <c r="D392">
        <f>IF($A392="","",COUNTIF(connections!$A$2:$A$1400,$A392)+COUNTIF(connections!$B$2:$B$1400,$A392))</f>
        <v/>
      </c>
      <c r="E392">
        <f>IF($A392="","",IFERROR(MATCH($C392,$R$2:$R$5,0),0))</f>
        <v/>
      </c>
      <c r="F392">
        <f>IF($A392="","",MOD(ROW(),34))</f>
        <v/>
      </c>
      <c r="G392">
        <f>IF($A392="",NA(),IF($C392="Action",$B392,NA()))</f>
        <v/>
      </c>
      <c r="H392">
        <f>IF($A392="",NA(),IF($C392="Action",1+$F392*0.023,NA()))</f>
        <v/>
      </c>
      <c r="I392">
        <f>IF($A392="",NA(),IF($C392="Strategy",$B392,NA()))</f>
        <v/>
      </c>
      <c r="J392">
        <f>IF($A392="",NA(),IF($C392="Strategy",2+$F392*0.023,NA()))</f>
        <v/>
      </c>
      <c r="K392">
        <f>IF($A392="",NA(),IF($C392="Deckbuilder",$B392,NA()))</f>
        <v/>
      </c>
      <c r="L392">
        <f>IF($A392="",NA(),IF($C392="Deckbuilder",3+$F392*0.023,NA()))</f>
        <v/>
      </c>
      <c r="M392">
        <f>IF($A392="",NA(),IF($C392="Traditional",$B392,NA()))</f>
        <v/>
      </c>
      <c r="N392">
        <f>IF($A392="",NA(),IF($C392="Traditional",4+$F392*0.023,NA()))</f>
        <v/>
      </c>
      <c r="O392">
        <f>IF($A392="","",$D392+ROW()/1000000)</f>
        <v/>
      </c>
      <c r="P392">
        <f>IF(OR($A392="",games!$H392=""),"",games!$H392)</f>
        <v/>
      </c>
      <c r="Q392">
        <f>IF(OR($A392="",$P392&lt;&gt;"Yes"),"",$D392+ROW()/1000000)</f>
        <v/>
      </c>
      <c r="T392">
        <f>IF(connections!$A392="","",IFERROR(INDEX(games!$B$2:$B$950,MATCH(connections!$A392,games!$A$2:$A$950,0)),""))</f>
        <v/>
      </c>
      <c r="U392">
        <f>IF(connections!$A392="","",IFERROR(INDEX(games!$B$2:$B$950,MATCH(connections!$B392,games!$A$2:$A$950,0)),""))</f>
        <v/>
      </c>
      <c r="V392">
        <f>IF(OR($T392="",$U392=""),"",$U392-$T392)</f>
        <v/>
      </c>
    </row>
    <row r="393">
      <c r="A393">
        <f>IF(games!$A393="","",games!$A393)</f>
        <v/>
      </c>
      <c r="B393">
        <f>IF($A393="","",games!$B393)</f>
        <v/>
      </c>
      <c r="C393">
        <f>IF($A393="","",games!$C393)</f>
        <v/>
      </c>
      <c r="D393">
        <f>IF($A393="","",COUNTIF(connections!$A$2:$A$1400,$A393)+COUNTIF(connections!$B$2:$B$1400,$A393))</f>
        <v/>
      </c>
      <c r="E393">
        <f>IF($A393="","",IFERROR(MATCH($C393,$R$2:$R$5,0),0))</f>
        <v/>
      </c>
      <c r="F393">
        <f>IF($A393="","",MOD(ROW(),34))</f>
        <v/>
      </c>
      <c r="G393">
        <f>IF($A393="",NA(),IF($C393="Action",$B393,NA()))</f>
        <v/>
      </c>
      <c r="H393">
        <f>IF($A393="",NA(),IF($C393="Action",1+$F393*0.023,NA()))</f>
        <v/>
      </c>
      <c r="I393">
        <f>IF($A393="",NA(),IF($C393="Strategy",$B393,NA()))</f>
        <v/>
      </c>
      <c r="J393">
        <f>IF($A393="",NA(),IF($C393="Strategy",2+$F393*0.023,NA()))</f>
        <v/>
      </c>
      <c r="K393">
        <f>IF($A393="",NA(),IF($C393="Deckbuilder",$B393,NA()))</f>
        <v/>
      </c>
      <c r="L393">
        <f>IF($A393="",NA(),IF($C393="Deckbuilder",3+$F393*0.023,NA()))</f>
        <v/>
      </c>
      <c r="M393">
        <f>IF($A393="",NA(),IF($C393="Traditional",$B393,NA()))</f>
        <v/>
      </c>
      <c r="N393">
        <f>IF($A393="",NA(),IF($C393="Traditional",4+$F393*0.023,NA()))</f>
        <v/>
      </c>
      <c r="O393">
        <f>IF($A393="","",$D393+ROW()/1000000)</f>
        <v/>
      </c>
      <c r="P393">
        <f>IF(OR($A393="",games!$H393=""),"",games!$H393)</f>
        <v/>
      </c>
      <c r="Q393">
        <f>IF(OR($A393="",$P393&lt;&gt;"Yes"),"",$D393+ROW()/1000000)</f>
        <v/>
      </c>
      <c r="T393">
        <f>IF(connections!$A393="","",IFERROR(INDEX(games!$B$2:$B$950,MATCH(connections!$A393,games!$A$2:$A$950,0)),""))</f>
        <v/>
      </c>
      <c r="U393">
        <f>IF(connections!$A393="","",IFERROR(INDEX(games!$B$2:$B$950,MATCH(connections!$B393,games!$A$2:$A$950,0)),""))</f>
        <v/>
      </c>
      <c r="V393">
        <f>IF(OR($T393="",$U393=""),"",$U393-$T393)</f>
        <v/>
      </c>
    </row>
    <row r="394">
      <c r="A394">
        <f>IF(games!$A394="","",games!$A394)</f>
        <v/>
      </c>
      <c r="B394">
        <f>IF($A394="","",games!$B394)</f>
        <v/>
      </c>
      <c r="C394">
        <f>IF($A394="","",games!$C394)</f>
        <v/>
      </c>
      <c r="D394">
        <f>IF($A394="","",COUNTIF(connections!$A$2:$A$1400,$A394)+COUNTIF(connections!$B$2:$B$1400,$A394))</f>
        <v/>
      </c>
      <c r="E394">
        <f>IF($A394="","",IFERROR(MATCH($C394,$R$2:$R$5,0),0))</f>
        <v/>
      </c>
      <c r="F394">
        <f>IF($A394="","",MOD(ROW(),34))</f>
        <v/>
      </c>
      <c r="G394">
        <f>IF($A394="",NA(),IF($C394="Action",$B394,NA()))</f>
        <v/>
      </c>
      <c r="H394">
        <f>IF($A394="",NA(),IF($C394="Action",1+$F394*0.023,NA()))</f>
        <v/>
      </c>
      <c r="I394">
        <f>IF($A394="",NA(),IF($C394="Strategy",$B394,NA()))</f>
        <v/>
      </c>
      <c r="J394">
        <f>IF($A394="",NA(),IF($C394="Strategy",2+$F394*0.023,NA()))</f>
        <v/>
      </c>
      <c r="K394">
        <f>IF($A394="",NA(),IF($C394="Deckbuilder",$B394,NA()))</f>
        <v/>
      </c>
      <c r="L394">
        <f>IF($A394="",NA(),IF($C394="Deckbuilder",3+$F394*0.023,NA()))</f>
        <v/>
      </c>
      <c r="M394">
        <f>IF($A394="",NA(),IF($C394="Traditional",$B394,NA()))</f>
        <v/>
      </c>
      <c r="N394">
        <f>IF($A394="",NA(),IF($C394="Traditional",4+$F394*0.023,NA()))</f>
        <v/>
      </c>
      <c r="O394">
        <f>IF($A394="","",$D394+ROW()/1000000)</f>
        <v/>
      </c>
      <c r="P394">
        <f>IF(OR($A394="",games!$H394=""),"",games!$H394)</f>
        <v/>
      </c>
      <c r="Q394">
        <f>IF(OR($A394="",$P394&lt;&gt;"Yes"),"",$D394+ROW()/1000000)</f>
        <v/>
      </c>
      <c r="T394">
        <f>IF(connections!$A394="","",IFERROR(INDEX(games!$B$2:$B$950,MATCH(connections!$A394,games!$A$2:$A$950,0)),""))</f>
        <v/>
      </c>
      <c r="U394">
        <f>IF(connections!$A394="","",IFERROR(INDEX(games!$B$2:$B$950,MATCH(connections!$B394,games!$A$2:$A$950,0)),""))</f>
        <v/>
      </c>
      <c r="V394">
        <f>IF(OR($T394="",$U394=""),"",$U394-$T394)</f>
        <v/>
      </c>
    </row>
    <row r="395">
      <c r="A395">
        <f>IF(games!$A395="","",games!$A395)</f>
        <v/>
      </c>
      <c r="B395">
        <f>IF($A395="","",games!$B395)</f>
        <v/>
      </c>
      <c r="C395">
        <f>IF($A395="","",games!$C395)</f>
        <v/>
      </c>
      <c r="D395">
        <f>IF($A395="","",COUNTIF(connections!$A$2:$A$1400,$A395)+COUNTIF(connections!$B$2:$B$1400,$A395))</f>
        <v/>
      </c>
      <c r="E395">
        <f>IF($A395="","",IFERROR(MATCH($C395,$R$2:$R$5,0),0))</f>
        <v/>
      </c>
      <c r="F395">
        <f>IF($A395="","",MOD(ROW(),34))</f>
        <v/>
      </c>
      <c r="G395">
        <f>IF($A395="",NA(),IF($C395="Action",$B395,NA()))</f>
        <v/>
      </c>
      <c r="H395">
        <f>IF($A395="",NA(),IF($C395="Action",1+$F395*0.023,NA()))</f>
        <v/>
      </c>
      <c r="I395">
        <f>IF($A395="",NA(),IF($C395="Strategy",$B395,NA()))</f>
        <v/>
      </c>
      <c r="J395">
        <f>IF($A395="",NA(),IF($C395="Strategy",2+$F395*0.023,NA()))</f>
        <v/>
      </c>
      <c r="K395">
        <f>IF($A395="",NA(),IF($C395="Deckbuilder",$B395,NA()))</f>
        <v/>
      </c>
      <c r="L395">
        <f>IF($A395="",NA(),IF($C395="Deckbuilder",3+$F395*0.023,NA()))</f>
        <v/>
      </c>
      <c r="M395">
        <f>IF($A395="",NA(),IF($C395="Traditional",$B395,NA()))</f>
        <v/>
      </c>
      <c r="N395">
        <f>IF($A395="",NA(),IF($C395="Traditional",4+$F395*0.023,NA()))</f>
        <v/>
      </c>
      <c r="O395">
        <f>IF($A395="","",$D395+ROW()/1000000)</f>
        <v/>
      </c>
      <c r="P395">
        <f>IF(OR($A395="",games!$H395=""),"",games!$H395)</f>
        <v/>
      </c>
      <c r="Q395">
        <f>IF(OR($A395="",$P395&lt;&gt;"Yes"),"",$D395+ROW()/1000000)</f>
        <v/>
      </c>
      <c r="T395">
        <f>IF(connections!$A395="","",IFERROR(INDEX(games!$B$2:$B$950,MATCH(connections!$A395,games!$A$2:$A$950,0)),""))</f>
        <v/>
      </c>
      <c r="U395">
        <f>IF(connections!$A395="","",IFERROR(INDEX(games!$B$2:$B$950,MATCH(connections!$B395,games!$A$2:$A$950,0)),""))</f>
        <v/>
      </c>
      <c r="V395">
        <f>IF(OR($T395="",$U395=""),"",$U395-$T395)</f>
        <v/>
      </c>
    </row>
    <row r="396">
      <c r="A396">
        <f>IF(games!$A396="","",games!$A396)</f>
        <v/>
      </c>
      <c r="B396">
        <f>IF($A396="","",games!$B396)</f>
        <v/>
      </c>
      <c r="C396">
        <f>IF($A396="","",games!$C396)</f>
        <v/>
      </c>
      <c r="D396">
        <f>IF($A396="","",COUNTIF(connections!$A$2:$A$1400,$A396)+COUNTIF(connections!$B$2:$B$1400,$A396))</f>
        <v/>
      </c>
      <c r="E396">
        <f>IF($A396="","",IFERROR(MATCH($C396,$R$2:$R$5,0),0))</f>
        <v/>
      </c>
      <c r="F396">
        <f>IF($A396="","",MOD(ROW(),34))</f>
        <v/>
      </c>
      <c r="G396">
        <f>IF($A396="",NA(),IF($C396="Action",$B396,NA()))</f>
        <v/>
      </c>
      <c r="H396">
        <f>IF($A396="",NA(),IF($C396="Action",1+$F396*0.023,NA()))</f>
        <v/>
      </c>
      <c r="I396">
        <f>IF($A396="",NA(),IF($C396="Strategy",$B396,NA()))</f>
        <v/>
      </c>
      <c r="J396">
        <f>IF($A396="",NA(),IF($C396="Strategy",2+$F396*0.023,NA()))</f>
        <v/>
      </c>
      <c r="K396">
        <f>IF($A396="",NA(),IF($C396="Deckbuilder",$B396,NA()))</f>
        <v/>
      </c>
      <c r="L396">
        <f>IF($A396="",NA(),IF($C396="Deckbuilder",3+$F396*0.023,NA()))</f>
        <v/>
      </c>
      <c r="M396">
        <f>IF($A396="",NA(),IF($C396="Traditional",$B396,NA()))</f>
        <v/>
      </c>
      <c r="N396">
        <f>IF($A396="",NA(),IF($C396="Traditional",4+$F396*0.023,NA()))</f>
        <v/>
      </c>
      <c r="O396">
        <f>IF($A396="","",$D396+ROW()/1000000)</f>
        <v/>
      </c>
      <c r="P396">
        <f>IF(OR($A396="",games!$H396=""),"",games!$H396)</f>
        <v/>
      </c>
      <c r="Q396">
        <f>IF(OR($A396="",$P396&lt;&gt;"Yes"),"",$D396+ROW()/1000000)</f>
        <v/>
      </c>
      <c r="T396">
        <f>IF(connections!$A396="","",IFERROR(INDEX(games!$B$2:$B$950,MATCH(connections!$A396,games!$A$2:$A$950,0)),""))</f>
        <v/>
      </c>
      <c r="U396">
        <f>IF(connections!$A396="","",IFERROR(INDEX(games!$B$2:$B$950,MATCH(connections!$B396,games!$A$2:$A$950,0)),""))</f>
        <v/>
      </c>
      <c r="V396">
        <f>IF(OR($T396="",$U396=""),"",$U396-$T396)</f>
        <v/>
      </c>
    </row>
    <row r="397">
      <c r="A397">
        <f>IF(games!$A397="","",games!$A397)</f>
        <v/>
      </c>
      <c r="B397">
        <f>IF($A397="","",games!$B397)</f>
        <v/>
      </c>
      <c r="C397">
        <f>IF($A397="","",games!$C397)</f>
        <v/>
      </c>
      <c r="D397">
        <f>IF($A397="","",COUNTIF(connections!$A$2:$A$1400,$A397)+COUNTIF(connections!$B$2:$B$1400,$A397))</f>
        <v/>
      </c>
      <c r="E397">
        <f>IF($A397="","",IFERROR(MATCH($C397,$R$2:$R$5,0),0))</f>
        <v/>
      </c>
      <c r="F397">
        <f>IF($A397="","",MOD(ROW(),34))</f>
        <v/>
      </c>
      <c r="G397">
        <f>IF($A397="",NA(),IF($C397="Action",$B397,NA()))</f>
        <v/>
      </c>
      <c r="H397">
        <f>IF($A397="",NA(),IF($C397="Action",1+$F397*0.023,NA()))</f>
        <v/>
      </c>
      <c r="I397">
        <f>IF($A397="",NA(),IF($C397="Strategy",$B397,NA()))</f>
        <v/>
      </c>
      <c r="J397">
        <f>IF($A397="",NA(),IF($C397="Strategy",2+$F397*0.023,NA()))</f>
        <v/>
      </c>
      <c r="K397">
        <f>IF($A397="",NA(),IF($C397="Deckbuilder",$B397,NA()))</f>
        <v/>
      </c>
      <c r="L397">
        <f>IF($A397="",NA(),IF($C397="Deckbuilder",3+$F397*0.023,NA()))</f>
        <v/>
      </c>
      <c r="M397">
        <f>IF($A397="",NA(),IF($C397="Traditional",$B397,NA()))</f>
        <v/>
      </c>
      <c r="N397">
        <f>IF($A397="",NA(),IF($C397="Traditional",4+$F397*0.023,NA()))</f>
        <v/>
      </c>
      <c r="O397">
        <f>IF($A397="","",$D397+ROW()/1000000)</f>
        <v/>
      </c>
      <c r="P397">
        <f>IF(OR($A397="",games!$H397=""),"",games!$H397)</f>
        <v/>
      </c>
      <c r="Q397">
        <f>IF(OR($A397="",$P397&lt;&gt;"Yes"),"",$D397+ROW()/1000000)</f>
        <v/>
      </c>
      <c r="T397">
        <f>IF(connections!$A397="","",IFERROR(INDEX(games!$B$2:$B$950,MATCH(connections!$A397,games!$A$2:$A$950,0)),""))</f>
        <v/>
      </c>
      <c r="U397">
        <f>IF(connections!$A397="","",IFERROR(INDEX(games!$B$2:$B$950,MATCH(connections!$B397,games!$A$2:$A$950,0)),""))</f>
        <v/>
      </c>
      <c r="V397">
        <f>IF(OR($T397="",$U397=""),"",$U397-$T397)</f>
        <v/>
      </c>
    </row>
    <row r="398">
      <c r="A398">
        <f>IF(games!$A398="","",games!$A398)</f>
        <v/>
      </c>
      <c r="B398">
        <f>IF($A398="","",games!$B398)</f>
        <v/>
      </c>
      <c r="C398">
        <f>IF($A398="","",games!$C398)</f>
        <v/>
      </c>
      <c r="D398">
        <f>IF($A398="","",COUNTIF(connections!$A$2:$A$1400,$A398)+COUNTIF(connections!$B$2:$B$1400,$A398))</f>
        <v/>
      </c>
      <c r="E398">
        <f>IF($A398="","",IFERROR(MATCH($C398,$R$2:$R$5,0),0))</f>
        <v/>
      </c>
      <c r="F398">
        <f>IF($A398="","",MOD(ROW(),34))</f>
        <v/>
      </c>
      <c r="G398">
        <f>IF($A398="",NA(),IF($C398="Action",$B398,NA()))</f>
        <v/>
      </c>
      <c r="H398">
        <f>IF($A398="",NA(),IF($C398="Action",1+$F398*0.023,NA()))</f>
        <v/>
      </c>
      <c r="I398">
        <f>IF($A398="",NA(),IF($C398="Strategy",$B398,NA()))</f>
        <v/>
      </c>
      <c r="J398">
        <f>IF($A398="",NA(),IF($C398="Strategy",2+$F398*0.023,NA()))</f>
        <v/>
      </c>
      <c r="K398">
        <f>IF($A398="",NA(),IF($C398="Deckbuilder",$B398,NA()))</f>
        <v/>
      </c>
      <c r="L398">
        <f>IF($A398="",NA(),IF($C398="Deckbuilder",3+$F398*0.023,NA()))</f>
        <v/>
      </c>
      <c r="M398">
        <f>IF($A398="",NA(),IF($C398="Traditional",$B398,NA()))</f>
        <v/>
      </c>
      <c r="N398">
        <f>IF($A398="",NA(),IF($C398="Traditional",4+$F398*0.023,NA()))</f>
        <v/>
      </c>
      <c r="O398">
        <f>IF($A398="","",$D398+ROW()/1000000)</f>
        <v/>
      </c>
      <c r="P398">
        <f>IF(OR($A398="",games!$H398=""),"",games!$H398)</f>
        <v/>
      </c>
      <c r="Q398">
        <f>IF(OR($A398="",$P398&lt;&gt;"Yes"),"",$D398+ROW()/1000000)</f>
        <v/>
      </c>
      <c r="T398">
        <f>IF(connections!$A398="","",IFERROR(INDEX(games!$B$2:$B$950,MATCH(connections!$A398,games!$A$2:$A$950,0)),""))</f>
        <v/>
      </c>
      <c r="U398">
        <f>IF(connections!$A398="","",IFERROR(INDEX(games!$B$2:$B$950,MATCH(connections!$B398,games!$A$2:$A$950,0)),""))</f>
        <v/>
      </c>
      <c r="V398">
        <f>IF(OR($T398="",$U398=""),"",$U398-$T398)</f>
        <v/>
      </c>
    </row>
    <row r="399">
      <c r="A399">
        <f>IF(games!$A399="","",games!$A399)</f>
        <v/>
      </c>
      <c r="B399">
        <f>IF($A399="","",games!$B399)</f>
        <v/>
      </c>
      <c r="C399">
        <f>IF($A399="","",games!$C399)</f>
        <v/>
      </c>
      <c r="D399">
        <f>IF($A399="","",COUNTIF(connections!$A$2:$A$1400,$A399)+COUNTIF(connections!$B$2:$B$1400,$A399))</f>
        <v/>
      </c>
      <c r="E399">
        <f>IF($A399="","",IFERROR(MATCH($C399,$R$2:$R$5,0),0))</f>
        <v/>
      </c>
      <c r="F399">
        <f>IF($A399="","",MOD(ROW(),34))</f>
        <v/>
      </c>
      <c r="G399">
        <f>IF($A399="",NA(),IF($C399="Action",$B399,NA()))</f>
        <v/>
      </c>
      <c r="H399">
        <f>IF($A399="",NA(),IF($C399="Action",1+$F399*0.023,NA()))</f>
        <v/>
      </c>
      <c r="I399">
        <f>IF($A399="",NA(),IF($C399="Strategy",$B399,NA()))</f>
        <v/>
      </c>
      <c r="J399">
        <f>IF($A399="",NA(),IF($C399="Strategy",2+$F399*0.023,NA()))</f>
        <v/>
      </c>
      <c r="K399">
        <f>IF($A399="",NA(),IF($C399="Deckbuilder",$B399,NA()))</f>
        <v/>
      </c>
      <c r="L399">
        <f>IF($A399="",NA(),IF($C399="Deckbuilder",3+$F399*0.023,NA()))</f>
        <v/>
      </c>
      <c r="M399">
        <f>IF($A399="",NA(),IF($C399="Traditional",$B399,NA()))</f>
        <v/>
      </c>
      <c r="N399">
        <f>IF($A399="",NA(),IF($C399="Traditional",4+$F399*0.023,NA()))</f>
        <v/>
      </c>
      <c r="O399">
        <f>IF($A399="","",$D399+ROW()/1000000)</f>
        <v/>
      </c>
      <c r="P399">
        <f>IF(OR($A399="",games!$H399=""),"",games!$H399)</f>
        <v/>
      </c>
      <c r="Q399">
        <f>IF(OR($A399="",$P399&lt;&gt;"Yes"),"",$D399+ROW()/1000000)</f>
        <v/>
      </c>
      <c r="T399">
        <f>IF(connections!$A399="","",IFERROR(INDEX(games!$B$2:$B$950,MATCH(connections!$A399,games!$A$2:$A$950,0)),""))</f>
        <v/>
      </c>
      <c r="U399">
        <f>IF(connections!$A399="","",IFERROR(INDEX(games!$B$2:$B$950,MATCH(connections!$B399,games!$A$2:$A$950,0)),""))</f>
        <v/>
      </c>
      <c r="V399">
        <f>IF(OR($T399="",$U399=""),"",$U399-$T399)</f>
        <v/>
      </c>
    </row>
    <row r="400">
      <c r="A400">
        <f>IF(games!$A400="","",games!$A400)</f>
        <v/>
      </c>
      <c r="B400">
        <f>IF($A400="","",games!$B400)</f>
        <v/>
      </c>
      <c r="C400">
        <f>IF($A400="","",games!$C400)</f>
        <v/>
      </c>
      <c r="D400">
        <f>IF($A400="","",COUNTIF(connections!$A$2:$A$1400,$A400)+COUNTIF(connections!$B$2:$B$1400,$A400))</f>
        <v/>
      </c>
      <c r="E400">
        <f>IF($A400="","",IFERROR(MATCH($C400,$R$2:$R$5,0),0))</f>
        <v/>
      </c>
      <c r="F400">
        <f>IF($A400="","",MOD(ROW(),34))</f>
        <v/>
      </c>
      <c r="G400">
        <f>IF($A400="",NA(),IF($C400="Action",$B400,NA()))</f>
        <v/>
      </c>
      <c r="H400">
        <f>IF($A400="",NA(),IF($C400="Action",1+$F400*0.023,NA()))</f>
        <v/>
      </c>
      <c r="I400">
        <f>IF($A400="",NA(),IF($C400="Strategy",$B400,NA()))</f>
        <v/>
      </c>
      <c r="J400">
        <f>IF($A400="",NA(),IF($C400="Strategy",2+$F400*0.023,NA()))</f>
        <v/>
      </c>
      <c r="K400">
        <f>IF($A400="",NA(),IF($C400="Deckbuilder",$B400,NA()))</f>
        <v/>
      </c>
      <c r="L400">
        <f>IF($A400="",NA(),IF($C400="Deckbuilder",3+$F400*0.023,NA()))</f>
        <v/>
      </c>
      <c r="M400">
        <f>IF($A400="",NA(),IF($C400="Traditional",$B400,NA()))</f>
        <v/>
      </c>
      <c r="N400">
        <f>IF($A400="",NA(),IF($C400="Traditional",4+$F400*0.023,NA()))</f>
        <v/>
      </c>
      <c r="O400">
        <f>IF($A400="","",$D400+ROW()/1000000)</f>
        <v/>
      </c>
      <c r="P400">
        <f>IF(OR($A400="",games!$H400=""),"",games!$H400)</f>
        <v/>
      </c>
      <c r="Q400">
        <f>IF(OR($A400="",$P400&lt;&gt;"Yes"),"",$D400+ROW()/1000000)</f>
        <v/>
      </c>
      <c r="T400">
        <f>IF(connections!$A400="","",IFERROR(INDEX(games!$B$2:$B$950,MATCH(connections!$A400,games!$A$2:$A$950,0)),""))</f>
        <v/>
      </c>
      <c r="U400">
        <f>IF(connections!$A400="","",IFERROR(INDEX(games!$B$2:$B$950,MATCH(connections!$B400,games!$A$2:$A$950,0)),""))</f>
        <v/>
      </c>
      <c r="V400">
        <f>IF(OR($T400="",$U400=""),"",$U400-$T400)</f>
        <v/>
      </c>
    </row>
    <row r="401">
      <c r="A401">
        <f>IF(games!$A401="","",games!$A401)</f>
        <v/>
      </c>
      <c r="B401">
        <f>IF($A401="","",games!$B401)</f>
        <v/>
      </c>
      <c r="C401">
        <f>IF($A401="","",games!$C401)</f>
        <v/>
      </c>
      <c r="D401">
        <f>IF($A401="","",COUNTIF(connections!$A$2:$A$1400,$A401)+COUNTIF(connections!$B$2:$B$1400,$A401))</f>
        <v/>
      </c>
      <c r="E401">
        <f>IF($A401="","",IFERROR(MATCH($C401,$R$2:$R$5,0),0))</f>
        <v/>
      </c>
      <c r="F401">
        <f>IF($A401="","",MOD(ROW(),34))</f>
        <v/>
      </c>
      <c r="G401">
        <f>IF($A401="",NA(),IF($C401="Action",$B401,NA()))</f>
        <v/>
      </c>
      <c r="H401">
        <f>IF($A401="",NA(),IF($C401="Action",1+$F401*0.023,NA()))</f>
        <v/>
      </c>
      <c r="I401">
        <f>IF($A401="",NA(),IF($C401="Strategy",$B401,NA()))</f>
        <v/>
      </c>
      <c r="J401">
        <f>IF($A401="",NA(),IF($C401="Strategy",2+$F401*0.023,NA()))</f>
        <v/>
      </c>
      <c r="K401">
        <f>IF($A401="",NA(),IF($C401="Deckbuilder",$B401,NA()))</f>
        <v/>
      </c>
      <c r="L401">
        <f>IF($A401="",NA(),IF($C401="Deckbuilder",3+$F401*0.023,NA()))</f>
        <v/>
      </c>
      <c r="M401">
        <f>IF($A401="",NA(),IF($C401="Traditional",$B401,NA()))</f>
        <v/>
      </c>
      <c r="N401">
        <f>IF($A401="",NA(),IF($C401="Traditional",4+$F401*0.023,NA()))</f>
        <v/>
      </c>
      <c r="O401">
        <f>IF($A401="","",$D401+ROW()/1000000)</f>
        <v/>
      </c>
      <c r="P401">
        <f>IF(OR($A401="",games!$H401=""),"",games!$H401)</f>
        <v/>
      </c>
      <c r="Q401">
        <f>IF(OR($A401="",$P401&lt;&gt;"Yes"),"",$D401+ROW()/1000000)</f>
        <v/>
      </c>
      <c r="T401">
        <f>IF(connections!$A401="","",IFERROR(INDEX(games!$B$2:$B$950,MATCH(connections!$A401,games!$A$2:$A$950,0)),""))</f>
        <v/>
      </c>
      <c r="U401">
        <f>IF(connections!$A401="","",IFERROR(INDEX(games!$B$2:$B$950,MATCH(connections!$B401,games!$A$2:$A$950,0)),""))</f>
        <v/>
      </c>
      <c r="V401">
        <f>IF(OR($T401="",$U401=""),"",$U401-$T401)</f>
        <v/>
      </c>
    </row>
    <row r="402">
      <c r="A402">
        <f>IF(games!$A402="","",games!$A402)</f>
        <v/>
      </c>
      <c r="B402">
        <f>IF($A402="","",games!$B402)</f>
        <v/>
      </c>
      <c r="C402">
        <f>IF($A402="","",games!$C402)</f>
        <v/>
      </c>
      <c r="D402">
        <f>IF($A402="","",COUNTIF(connections!$A$2:$A$1400,$A402)+COUNTIF(connections!$B$2:$B$1400,$A402))</f>
        <v/>
      </c>
      <c r="E402">
        <f>IF($A402="","",IFERROR(MATCH($C402,$R$2:$R$5,0),0))</f>
        <v/>
      </c>
      <c r="F402">
        <f>IF($A402="","",MOD(ROW(),34))</f>
        <v/>
      </c>
      <c r="G402">
        <f>IF($A402="",NA(),IF($C402="Action",$B402,NA()))</f>
        <v/>
      </c>
      <c r="H402">
        <f>IF($A402="",NA(),IF($C402="Action",1+$F402*0.023,NA()))</f>
        <v/>
      </c>
      <c r="I402">
        <f>IF($A402="",NA(),IF($C402="Strategy",$B402,NA()))</f>
        <v/>
      </c>
      <c r="J402">
        <f>IF($A402="",NA(),IF($C402="Strategy",2+$F402*0.023,NA()))</f>
        <v/>
      </c>
      <c r="K402">
        <f>IF($A402="",NA(),IF($C402="Deckbuilder",$B402,NA()))</f>
        <v/>
      </c>
      <c r="L402">
        <f>IF($A402="",NA(),IF($C402="Deckbuilder",3+$F402*0.023,NA()))</f>
        <v/>
      </c>
      <c r="M402">
        <f>IF($A402="",NA(),IF($C402="Traditional",$B402,NA()))</f>
        <v/>
      </c>
      <c r="N402">
        <f>IF($A402="",NA(),IF($C402="Traditional",4+$F402*0.023,NA()))</f>
        <v/>
      </c>
      <c r="O402">
        <f>IF($A402="","",$D402+ROW()/1000000)</f>
        <v/>
      </c>
      <c r="P402">
        <f>IF(OR($A402="",games!$H402=""),"",games!$H402)</f>
        <v/>
      </c>
      <c r="Q402">
        <f>IF(OR($A402="",$P402&lt;&gt;"Yes"),"",$D402+ROW()/1000000)</f>
        <v/>
      </c>
      <c r="T402">
        <f>IF(connections!$A402="","",IFERROR(INDEX(games!$B$2:$B$950,MATCH(connections!$A402,games!$A$2:$A$950,0)),""))</f>
        <v/>
      </c>
      <c r="U402">
        <f>IF(connections!$A402="","",IFERROR(INDEX(games!$B$2:$B$950,MATCH(connections!$B402,games!$A$2:$A$950,0)),""))</f>
        <v/>
      </c>
      <c r="V402">
        <f>IF(OR($T402="",$U402=""),"",$U402-$T402)</f>
        <v/>
      </c>
    </row>
    <row r="403">
      <c r="A403">
        <f>IF(games!$A403="","",games!$A403)</f>
        <v/>
      </c>
      <c r="B403">
        <f>IF($A403="","",games!$B403)</f>
        <v/>
      </c>
      <c r="C403">
        <f>IF($A403="","",games!$C403)</f>
        <v/>
      </c>
      <c r="D403">
        <f>IF($A403="","",COUNTIF(connections!$A$2:$A$1400,$A403)+COUNTIF(connections!$B$2:$B$1400,$A403))</f>
        <v/>
      </c>
      <c r="E403">
        <f>IF($A403="","",IFERROR(MATCH($C403,$R$2:$R$5,0),0))</f>
        <v/>
      </c>
      <c r="F403">
        <f>IF($A403="","",MOD(ROW(),34))</f>
        <v/>
      </c>
      <c r="G403">
        <f>IF($A403="",NA(),IF($C403="Action",$B403,NA()))</f>
        <v/>
      </c>
      <c r="H403">
        <f>IF($A403="",NA(),IF($C403="Action",1+$F403*0.023,NA()))</f>
        <v/>
      </c>
      <c r="I403">
        <f>IF($A403="",NA(),IF($C403="Strategy",$B403,NA()))</f>
        <v/>
      </c>
      <c r="J403">
        <f>IF($A403="",NA(),IF($C403="Strategy",2+$F403*0.023,NA()))</f>
        <v/>
      </c>
      <c r="K403">
        <f>IF($A403="",NA(),IF($C403="Deckbuilder",$B403,NA()))</f>
        <v/>
      </c>
      <c r="L403">
        <f>IF($A403="",NA(),IF($C403="Deckbuilder",3+$F403*0.023,NA()))</f>
        <v/>
      </c>
      <c r="M403">
        <f>IF($A403="",NA(),IF($C403="Traditional",$B403,NA()))</f>
        <v/>
      </c>
      <c r="N403">
        <f>IF($A403="",NA(),IF($C403="Traditional",4+$F403*0.023,NA()))</f>
        <v/>
      </c>
      <c r="O403">
        <f>IF($A403="","",$D403+ROW()/1000000)</f>
        <v/>
      </c>
      <c r="P403">
        <f>IF(OR($A403="",games!$H403=""),"",games!$H403)</f>
        <v/>
      </c>
      <c r="Q403">
        <f>IF(OR($A403="",$P403&lt;&gt;"Yes"),"",$D403+ROW()/1000000)</f>
        <v/>
      </c>
      <c r="T403">
        <f>IF(connections!$A403="","",IFERROR(INDEX(games!$B$2:$B$950,MATCH(connections!$A403,games!$A$2:$A$950,0)),""))</f>
        <v/>
      </c>
      <c r="U403">
        <f>IF(connections!$A403="","",IFERROR(INDEX(games!$B$2:$B$950,MATCH(connections!$B403,games!$A$2:$A$950,0)),""))</f>
        <v/>
      </c>
      <c r="V403">
        <f>IF(OR($T403="",$U403=""),"",$U403-$T403)</f>
        <v/>
      </c>
    </row>
    <row r="404">
      <c r="A404">
        <f>IF(games!$A404="","",games!$A404)</f>
        <v/>
      </c>
      <c r="B404">
        <f>IF($A404="","",games!$B404)</f>
        <v/>
      </c>
      <c r="C404">
        <f>IF($A404="","",games!$C404)</f>
        <v/>
      </c>
      <c r="D404">
        <f>IF($A404="","",COUNTIF(connections!$A$2:$A$1400,$A404)+COUNTIF(connections!$B$2:$B$1400,$A404))</f>
        <v/>
      </c>
      <c r="E404">
        <f>IF($A404="","",IFERROR(MATCH($C404,$R$2:$R$5,0),0))</f>
        <v/>
      </c>
      <c r="F404">
        <f>IF($A404="","",MOD(ROW(),34))</f>
        <v/>
      </c>
      <c r="G404">
        <f>IF($A404="",NA(),IF($C404="Action",$B404,NA()))</f>
        <v/>
      </c>
      <c r="H404">
        <f>IF($A404="",NA(),IF($C404="Action",1+$F404*0.023,NA()))</f>
        <v/>
      </c>
      <c r="I404">
        <f>IF($A404="",NA(),IF($C404="Strategy",$B404,NA()))</f>
        <v/>
      </c>
      <c r="J404">
        <f>IF($A404="",NA(),IF($C404="Strategy",2+$F404*0.023,NA()))</f>
        <v/>
      </c>
      <c r="K404">
        <f>IF($A404="",NA(),IF($C404="Deckbuilder",$B404,NA()))</f>
        <v/>
      </c>
      <c r="L404">
        <f>IF($A404="",NA(),IF($C404="Deckbuilder",3+$F404*0.023,NA()))</f>
        <v/>
      </c>
      <c r="M404">
        <f>IF($A404="",NA(),IF($C404="Traditional",$B404,NA()))</f>
        <v/>
      </c>
      <c r="N404">
        <f>IF($A404="",NA(),IF($C404="Traditional",4+$F404*0.023,NA()))</f>
        <v/>
      </c>
      <c r="O404">
        <f>IF($A404="","",$D404+ROW()/1000000)</f>
        <v/>
      </c>
      <c r="P404">
        <f>IF(OR($A404="",games!$H404=""),"",games!$H404)</f>
        <v/>
      </c>
      <c r="Q404">
        <f>IF(OR($A404="",$P404&lt;&gt;"Yes"),"",$D404+ROW()/1000000)</f>
        <v/>
      </c>
      <c r="T404">
        <f>IF(connections!$A404="","",IFERROR(INDEX(games!$B$2:$B$950,MATCH(connections!$A404,games!$A$2:$A$950,0)),""))</f>
        <v/>
      </c>
      <c r="U404">
        <f>IF(connections!$A404="","",IFERROR(INDEX(games!$B$2:$B$950,MATCH(connections!$B404,games!$A$2:$A$950,0)),""))</f>
        <v/>
      </c>
      <c r="V404">
        <f>IF(OR($T404="",$U404=""),"",$U404-$T404)</f>
        <v/>
      </c>
    </row>
    <row r="405">
      <c r="A405">
        <f>IF(games!$A405="","",games!$A405)</f>
        <v/>
      </c>
      <c r="B405">
        <f>IF($A405="","",games!$B405)</f>
        <v/>
      </c>
      <c r="C405">
        <f>IF($A405="","",games!$C405)</f>
        <v/>
      </c>
      <c r="D405">
        <f>IF($A405="","",COUNTIF(connections!$A$2:$A$1400,$A405)+COUNTIF(connections!$B$2:$B$1400,$A405))</f>
        <v/>
      </c>
      <c r="E405">
        <f>IF($A405="","",IFERROR(MATCH($C405,$R$2:$R$5,0),0))</f>
        <v/>
      </c>
      <c r="F405">
        <f>IF($A405="","",MOD(ROW(),34))</f>
        <v/>
      </c>
      <c r="G405">
        <f>IF($A405="",NA(),IF($C405="Action",$B405,NA()))</f>
        <v/>
      </c>
      <c r="H405">
        <f>IF($A405="",NA(),IF($C405="Action",1+$F405*0.023,NA()))</f>
        <v/>
      </c>
      <c r="I405">
        <f>IF($A405="",NA(),IF($C405="Strategy",$B405,NA()))</f>
        <v/>
      </c>
      <c r="J405">
        <f>IF($A405="",NA(),IF($C405="Strategy",2+$F405*0.023,NA()))</f>
        <v/>
      </c>
      <c r="K405">
        <f>IF($A405="",NA(),IF($C405="Deckbuilder",$B405,NA()))</f>
        <v/>
      </c>
      <c r="L405">
        <f>IF($A405="",NA(),IF($C405="Deckbuilder",3+$F405*0.023,NA()))</f>
        <v/>
      </c>
      <c r="M405">
        <f>IF($A405="",NA(),IF($C405="Traditional",$B405,NA()))</f>
        <v/>
      </c>
      <c r="N405">
        <f>IF($A405="",NA(),IF($C405="Traditional",4+$F405*0.023,NA()))</f>
        <v/>
      </c>
      <c r="O405">
        <f>IF($A405="","",$D405+ROW()/1000000)</f>
        <v/>
      </c>
      <c r="P405">
        <f>IF(OR($A405="",games!$H405=""),"",games!$H405)</f>
        <v/>
      </c>
      <c r="Q405">
        <f>IF(OR($A405="",$P405&lt;&gt;"Yes"),"",$D405+ROW()/1000000)</f>
        <v/>
      </c>
      <c r="T405">
        <f>IF(connections!$A405="","",IFERROR(INDEX(games!$B$2:$B$950,MATCH(connections!$A405,games!$A$2:$A$950,0)),""))</f>
        <v/>
      </c>
      <c r="U405">
        <f>IF(connections!$A405="","",IFERROR(INDEX(games!$B$2:$B$950,MATCH(connections!$B405,games!$A$2:$A$950,0)),""))</f>
        <v/>
      </c>
      <c r="V405">
        <f>IF(OR($T405="",$U405=""),"",$U405-$T405)</f>
        <v/>
      </c>
    </row>
    <row r="406">
      <c r="A406">
        <f>IF(games!$A406="","",games!$A406)</f>
        <v/>
      </c>
      <c r="B406">
        <f>IF($A406="","",games!$B406)</f>
        <v/>
      </c>
      <c r="C406">
        <f>IF($A406="","",games!$C406)</f>
        <v/>
      </c>
      <c r="D406">
        <f>IF($A406="","",COUNTIF(connections!$A$2:$A$1400,$A406)+COUNTIF(connections!$B$2:$B$1400,$A406))</f>
        <v/>
      </c>
      <c r="E406">
        <f>IF($A406="","",IFERROR(MATCH($C406,$R$2:$R$5,0),0))</f>
        <v/>
      </c>
      <c r="F406">
        <f>IF($A406="","",MOD(ROW(),34))</f>
        <v/>
      </c>
      <c r="G406">
        <f>IF($A406="",NA(),IF($C406="Action",$B406,NA()))</f>
        <v/>
      </c>
      <c r="H406">
        <f>IF($A406="",NA(),IF($C406="Action",1+$F406*0.023,NA()))</f>
        <v/>
      </c>
      <c r="I406">
        <f>IF($A406="",NA(),IF($C406="Strategy",$B406,NA()))</f>
        <v/>
      </c>
      <c r="J406">
        <f>IF($A406="",NA(),IF($C406="Strategy",2+$F406*0.023,NA()))</f>
        <v/>
      </c>
      <c r="K406">
        <f>IF($A406="",NA(),IF($C406="Deckbuilder",$B406,NA()))</f>
        <v/>
      </c>
      <c r="L406">
        <f>IF($A406="",NA(),IF($C406="Deckbuilder",3+$F406*0.023,NA()))</f>
        <v/>
      </c>
      <c r="M406">
        <f>IF($A406="",NA(),IF($C406="Traditional",$B406,NA()))</f>
        <v/>
      </c>
      <c r="N406">
        <f>IF($A406="",NA(),IF($C406="Traditional",4+$F406*0.023,NA()))</f>
        <v/>
      </c>
      <c r="O406">
        <f>IF($A406="","",$D406+ROW()/1000000)</f>
        <v/>
      </c>
      <c r="P406">
        <f>IF(OR($A406="",games!$H406=""),"",games!$H406)</f>
        <v/>
      </c>
      <c r="Q406">
        <f>IF(OR($A406="",$P406&lt;&gt;"Yes"),"",$D406+ROW()/1000000)</f>
        <v/>
      </c>
      <c r="T406">
        <f>IF(connections!$A406="","",IFERROR(INDEX(games!$B$2:$B$950,MATCH(connections!$A406,games!$A$2:$A$950,0)),""))</f>
        <v/>
      </c>
      <c r="U406">
        <f>IF(connections!$A406="","",IFERROR(INDEX(games!$B$2:$B$950,MATCH(connections!$B406,games!$A$2:$A$950,0)),""))</f>
        <v/>
      </c>
      <c r="V406">
        <f>IF(OR($T406="",$U406=""),"",$U406-$T406)</f>
        <v/>
      </c>
    </row>
    <row r="407">
      <c r="A407">
        <f>IF(games!$A407="","",games!$A407)</f>
        <v/>
      </c>
      <c r="B407">
        <f>IF($A407="","",games!$B407)</f>
        <v/>
      </c>
      <c r="C407">
        <f>IF($A407="","",games!$C407)</f>
        <v/>
      </c>
      <c r="D407">
        <f>IF($A407="","",COUNTIF(connections!$A$2:$A$1400,$A407)+COUNTIF(connections!$B$2:$B$1400,$A407))</f>
        <v/>
      </c>
      <c r="E407">
        <f>IF($A407="","",IFERROR(MATCH($C407,$R$2:$R$5,0),0))</f>
        <v/>
      </c>
      <c r="F407">
        <f>IF($A407="","",MOD(ROW(),34))</f>
        <v/>
      </c>
      <c r="G407">
        <f>IF($A407="",NA(),IF($C407="Action",$B407,NA()))</f>
        <v/>
      </c>
      <c r="H407">
        <f>IF($A407="",NA(),IF($C407="Action",1+$F407*0.023,NA()))</f>
        <v/>
      </c>
      <c r="I407">
        <f>IF($A407="",NA(),IF($C407="Strategy",$B407,NA()))</f>
        <v/>
      </c>
      <c r="J407">
        <f>IF($A407="",NA(),IF($C407="Strategy",2+$F407*0.023,NA()))</f>
        <v/>
      </c>
      <c r="K407">
        <f>IF($A407="",NA(),IF($C407="Deckbuilder",$B407,NA()))</f>
        <v/>
      </c>
      <c r="L407">
        <f>IF($A407="",NA(),IF($C407="Deckbuilder",3+$F407*0.023,NA()))</f>
        <v/>
      </c>
      <c r="M407">
        <f>IF($A407="",NA(),IF($C407="Traditional",$B407,NA()))</f>
        <v/>
      </c>
      <c r="N407">
        <f>IF($A407="",NA(),IF($C407="Traditional",4+$F407*0.023,NA()))</f>
        <v/>
      </c>
      <c r="O407">
        <f>IF($A407="","",$D407+ROW()/1000000)</f>
        <v/>
      </c>
      <c r="P407">
        <f>IF(OR($A407="",games!$H407=""),"",games!$H407)</f>
        <v/>
      </c>
      <c r="Q407">
        <f>IF(OR($A407="",$P407&lt;&gt;"Yes"),"",$D407+ROW()/1000000)</f>
        <v/>
      </c>
      <c r="T407">
        <f>IF(connections!$A407="","",IFERROR(INDEX(games!$B$2:$B$950,MATCH(connections!$A407,games!$A$2:$A$950,0)),""))</f>
        <v/>
      </c>
      <c r="U407">
        <f>IF(connections!$A407="","",IFERROR(INDEX(games!$B$2:$B$950,MATCH(connections!$B407,games!$A$2:$A$950,0)),""))</f>
        <v/>
      </c>
      <c r="V407">
        <f>IF(OR($T407="",$U407=""),"",$U407-$T407)</f>
        <v/>
      </c>
    </row>
    <row r="408">
      <c r="A408">
        <f>IF(games!$A408="","",games!$A408)</f>
        <v/>
      </c>
      <c r="B408">
        <f>IF($A408="","",games!$B408)</f>
        <v/>
      </c>
      <c r="C408">
        <f>IF($A408="","",games!$C408)</f>
        <v/>
      </c>
      <c r="D408">
        <f>IF($A408="","",COUNTIF(connections!$A$2:$A$1400,$A408)+COUNTIF(connections!$B$2:$B$1400,$A408))</f>
        <v/>
      </c>
      <c r="E408">
        <f>IF($A408="","",IFERROR(MATCH($C408,$R$2:$R$5,0),0))</f>
        <v/>
      </c>
      <c r="F408">
        <f>IF($A408="","",MOD(ROW(),34))</f>
        <v/>
      </c>
      <c r="G408">
        <f>IF($A408="",NA(),IF($C408="Action",$B408,NA()))</f>
        <v/>
      </c>
      <c r="H408">
        <f>IF($A408="",NA(),IF($C408="Action",1+$F408*0.023,NA()))</f>
        <v/>
      </c>
      <c r="I408">
        <f>IF($A408="",NA(),IF($C408="Strategy",$B408,NA()))</f>
        <v/>
      </c>
      <c r="J408">
        <f>IF($A408="",NA(),IF($C408="Strategy",2+$F408*0.023,NA()))</f>
        <v/>
      </c>
      <c r="K408">
        <f>IF($A408="",NA(),IF($C408="Deckbuilder",$B408,NA()))</f>
        <v/>
      </c>
      <c r="L408">
        <f>IF($A408="",NA(),IF($C408="Deckbuilder",3+$F408*0.023,NA()))</f>
        <v/>
      </c>
      <c r="M408">
        <f>IF($A408="",NA(),IF($C408="Traditional",$B408,NA()))</f>
        <v/>
      </c>
      <c r="N408">
        <f>IF($A408="",NA(),IF($C408="Traditional",4+$F408*0.023,NA()))</f>
        <v/>
      </c>
      <c r="O408">
        <f>IF($A408="","",$D408+ROW()/1000000)</f>
        <v/>
      </c>
      <c r="P408">
        <f>IF(OR($A408="",games!$H408=""),"",games!$H408)</f>
        <v/>
      </c>
      <c r="Q408">
        <f>IF(OR($A408="",$P408&lt;&gt;"Yes"),"",$D408+ROW()/1000000)</f>
        <v/>
      </c>
      <c r="T408">
        <f>IF(connections!$A408="","",IFERROR(INDEX(games!$B$2:$B$950,MATCH(connections!$A408,games!$A$2:$A$950,0)),""))</f>
        <v/>
      </c>
      <c r="U408">
        <f>IF(connections!$A408="","",IFERROR(INDEX(games!$B$2:$B$950,MATCH(connections!$B408,games!$A$2:$A$950,0)),""))</f>
        <v/>
      </c>
      <c r="V408">
        <f>IF(OR($T408="",$U408=""),"",$U408-$T408)</f>
        <v/>
      </c>
    </row>
    <row r="409">
      <c r="A409">
        <f>IF(games!$A409="","",games!$A409)</f>
        <v/>
      </c>
      <c r="B409">
        <f>IF($A409="","",games!$B409)</f>
        <v/>
      </c>
      <c r="C409">
        <f>IF($A409="","",games!$C409)</f>
        <v/>
      </c>
      <c r="D409">
        <f>IF($A409="","",COUNTIF(connections!$A$2:$A$1400,$A409)+COUNTIF(connections!$B$2:$B$1400,$A409))</f>
        <v/>
      </c>
      <c r="E409">
        <f>IF($A409="","",IFERROR(MATCH($C409,$R$2:$R$5,0),0))</f>
        <v/>
      </c>
      <c r="F409">
        <f>IF($A409="","",MOD(ROW(),34))</f>
        <v/>
      </c>
      <c r="G409">
        <f>IF($A409="",NA(),IF($C409="Action",$B409,NA()))</f>
        <v/>
      </c>
      <c r="H409">
        <f>IF($A409="",NA(),IF($C409="Action",1+$F409*0.023,NA()))</f>
        <v/>
      </c>
      <c r="I409">
        <f>IF($A409="",NA(),IF($C409="Strategy",$B409,NA()))</f>
        <v/>
      </c>
      <c r="J409">
        <f>IF($A409="",NA(),IF($C409="Strategy",2+$F409*0.023,NA()))</f>
        <v/>
      </c>
      <c r="K409">
        <f>IF($A409="",NA(),IF($C409="Deckbuilder",$B409,NA()))</f>
        <v/>
      </c>
      <c r="L409">
        <f>IF($A409="",NA(),IF($C409="Deckbuilder",3+$F409*0.023,NA()))</f>
        <v/>
      </c>
      <c r="M409">
        <f>IF($A409="",NA(),IF($C409="Traditional",$B409,NA()))</f>
        <v/>
      </c>
      <c r="N409">
        <f>IF($A409="",NA(),IF($C409="Traditional",4+$F409*0.023,NA()))</f>
        <v/>
      </c>
      <c r="O409">
        <f>IF($A409="","",$D409+ROW()/1000000)</f>
        <v/>
      </c>
      <c r="P409">
        <f>IF(OR($A409="",games!$H409=""),"",games!$H409)</f>
        <v/>
      </c>
      <c r="Q409">
        <f>IF(OR($A409="",$P409&lt;&gt;"Yes"),"",$D409+ROW()/1000000)</f>
        <v/>
      </c>
      <c r="T409">
        <f>IF(connections!$A409="","",IFERROR(INDEX(games!$B$2:$B$950,MATCH(connections!$A409,games!$A$2:$A$950,0)),""))</f>
        <v/>
      </c>
      <c r="U409">
        <f>IF(connections!$A409="","",IFERROR(INDEX(games!$B$2:$B$950,MATCH(connections!$B409,games!$A$2:$A$950,0)),""))</f>
        <v/>
      </c>
      <c r="V409">
        <f>IF(OR($T409="",$U409=""),"",$U409-$T409)</f>
        <v/>
      </c>
    </row>
    <row r="410">
      <c r="A410">
        <f>IF(games!$A410="","",games!$A410)</f>
        <v/>
      </c>
      <c r="B410">
        <f>IF($A410="","",games!$B410)</f>
        <v/>
      </c>
      <c r="C410">
        <f>IF($A410="","",games!$C410)</f>
        <v/>
      </c>
      <c r="D410">
        <f>IF($A410="","",COUNTIF(connections!$A$2:$A$1400,$A410)+COUNTIF(connections!$B$2:$B$1400,$A410))</f>
        <v/>
      </c>
      <c r="E410">
        <f>IF($A410="","",IFERROR(MATCH($C410,$R$2:$R$5,0),0))</f>
        <v/>
      </c>
      <c r="F410">
        <f>IF($A410="","",MOD(ROW(),34))</f>
        <v/>
      </c>
      <c r="G410">
        <f>IF($A410="",NA(),IF($C410="Action",$B410,NA()))</f>
        <v/>
      </c>
      <c r="H410">
        <f>IF($A410="",NA(),IF($C410="Action",1+$F410*0.023,NA()))</f>
        <v/>
      </c>
      <c r="I410">
        <f>IF($A410="",NA(),IF($C410="Strategy",$B410,NA()))</f>
        <v/>
      </c>
      <c r="J410">
        <f>IF($A410="",NA(),IF($C410="Strategy",2+$F410*0.023,NA()))</f>
        <v/>
      </c>
      <c r="K410">
        <f>IF($A410="",NA(),IF($C410="Deckbuilder",$B410,NA()))</f>
        <v/>
      </c>
      <c r="L410">
        <f>IF($A410="",NA(),IF($C410="Deckbuilder",3+$F410*0.023,NA()))</f>
        <v/>
      </c>
      <c r="M410">
        <f>IF($A410="",NA(),IF($C410="Traditional",$B410,NA()))</f>
        <v/>
      </c>
      <c r="N410">
        <f>IF($A410="",NA(),IF($C410="Traditional",4+$F410*0.023,NA()))</f>
        <v/>
      </c>
      <c r="O410">
        <f>IF($A410="","",$D410+ROW()/1000000)</f>
        <v/>
      </c>
      <c r="P410">
        <f>IF(OR($A410="",games!$H410=""),"",games!$H410)</f>
        <v/>
      </c>
      <c r="Q410">
        <f>IF(OR($A410="",$P410&lt;&gt;"Yes"),"",$D410+ROW()/1000000)</f>
        <v/>
      </c>
      <c r="T410">
        <f>IF(connections!$A410="","",IFERROR(INDEX(games!$B$2:$B$950,MATCH(connections!$A410,games!$A$2:$A$950,0)),""))</f>
        <v/>
      </c>
      <c r="U410">
        <f>IF(connections!$A410="","",IFERROR(INDEX(games!$B$2:$B$950,MATCH(connections!$B410,games!$A$2:$A$950,0)),""))</f>
        <v/>
      </c>
      <c r="V410">
        <f>IF(OR($T410="",$U410=""),"",$U410-$T410)</f>
        <v/>
      </c>
    </row>
    <row r="411">
      <c r="A411">
        <f>IF(games!$A411="","",games!$A411)</f>
        <v/>
      </c>
      <c r="B411">
        <f>IF($A411="","",games!$B411)</f>
        <v/>
      </c>
      <c r="C411">
        <f>IF($A411="","",games!$C411)</f>
        <v/>
      </c>
      <c r="D411">
        <f>IF($A411="","",COUNTIF(connections!$A$2:$A$1400,$A411)+COUNTIF(connections!$B$2:$B$1400,$A411))</f>
        <v/>
      </c>
      <c r="E411">
        <f>IF($A411="","",IFERROR(MATCH($C411,$R$2:$R$5,0),0))</f>
        <v/>
      </c>
      <c r="F411">
        <f>IF($A411="","",MOD(ROW(),34))</f>
        <v/>
      </c>
      <c r="G411">
        <f>IF($A411="",NA(),IF($C411="Action",$B411,NA()))</f>
        <v/>
      </c>
      <c r="H411">
        <f>IF($A411="",NA(),IF($C411="Action",1+$F411*0.023,NA()))</f>
        <v/>
      </c>
      <c r="I411">
        <f>IF($A411="",NA(),IF($C411="Strategy",$B411,NA()))</f>
        <v/>
      </c>
      <c r="J411">
        <f>IF($A411="",NA(),IF($C411="Strategy",2+$F411*0.023,NA()))</f>
        <v/>
      </c>
      <c r="K411">
        <f>IF($A411="",NA(),IF($C411="Deckbuilder",$B411,NA()))</f>
        <v/>
      </c>
      <c r="L411">
        <f>IF($A411="",NA(),IF($C411="Deckbuilder",3+$F411*0.023,NA()))</f>
        <v/>
      </c>
      <c r="M411">
        <f>IF($A411="",NA(),IF($C411="Traditional",$B411,NA()))</f>
        <v/>
      </c>
      <c r="N411">
        <f>IF($A411="",NA(),IF($C411="Traditional",4+$F411*0.023,NA()))</f>
        <v/>
      </c>
      <c r="O411">
        <f>IF($A411="","",$D411+ROW()/1000000)</f>
        <v/>
      </c>
      <c r="P411">
        <f>IF(OR($A411="",games!$H411=""),"",games!$H411)</f>
        <v/>
      </c>
      <c r="Q411">
        <f>IF(OR($A411="",$P411&lt;&gt;"Yes"),"",$D411+ROW()/1000000)</f>
        <v/>
      </c>
      <c r="T411">
        <f>IF(connections!$A411="","",IFERROR(INDEX(games!$B$2:$B$950,MATCH(connections!$A411,games!$A$2:$A$950,0)),""))</f>
        <v/>
      </c>
      <c r="U411">
        <f>IF(connections!$A411="","",IFERROR(INDEX(games!$B$2:$B$950,MATCH(connections!$B411,games!$A$2:$A$950,0)),""))</f>
        <v/>
      </c>
      <c r="V411">
        <f>IF(OR($T411="",$U411=""),"",$U411-$T411)</f>
        <v/>
      </c>
    </row>
    <row r="412">
      <c r="A412">
        <f>IF(games!$A412="","",games!$A412)</f>
        <v/>
      </c>
      <c r="B412">
        <f>IF($A412="","",games!$B412)</f>
        <v/>
      </c>
      <c r="C412">
        <f>IF($A412="","",games!$C412)</f>
        <v/>
      </c>
      <c r="D412">
        <f>IF($A412="","",COUNTIF(connections!$A$2:$A$1400,$A412)+COUNTIF(connections!$B$2:$B$1400,$A412))</f>
        <v/>
      </c>
      <c r="E412">
        <f>IF($A412="","",IFERROR(MATCH($C412,$R$2:$R$5,0),0))</f>
        <v/>
      </c>
      <c r="F412">
        <f>IF($A412="","",MOD(ROW(),34))</f>
        <v/>
      </c>
      <c r="G412">
        <f>IF($A412="",NA(),IF($C412="Action",$B412,NA()))</f>
        <v/>
      </c>
      <c r="H412">
        <f>IF($A412="",NA(),IF($C412="Action",1+$F412*0.023,NA()))</f>
        <v/>
      </c>
      <c r="I412">
        <f>IF($A412="",NA(),IF($C412="Strategy",$B412,NA()))</f>
        <v/>
      </c>
      <c r="J412">
        <f>IF($A412="",NA(),IF($C412="Strategy",2+$F412*0.023,NA()))</f>
        <v/>
      </c>
      <c r="K412">
        <f>IF($A412="",NA(),IF($C412="Deckbuilder",$B412,NA()))</f>
        <v/>
      </c>
      <c r="L412">
        <f>IF($A412="",NA(),IF($C412="Deckbuilder",3+$F412*0.023,NA()))</f>
        <v/>
      </c>
      <c r="M412">
        <f>IF($A412="",NA(),IF($C412="Traditional",$B412,NA()))</f>
        <v/>
      </c>
      <c r="N412">
        <f>IF($A412="",NA(),IF($C412="Traditional",4+$F412*0.023,NA()))</f>
        <v/>
      </c>
      <c r="O412">
        <f>IF($A412="","",$D412+ROW()/1000000)</f>
        <v/>
      </c>
      <c r="P412">
        <f>IF(OR($A412="",games!$H412=""),"",games!$H412)</f>
        <v/>
      </c>
      <c r="Q412">
        <f>IF(OR($A412="",$P412&lt;&gt;"Yes"),"",$D412+ROW()/1000000)</f>
        <v/>
      </c>
      <c r="T412">
        <f>IF(connections!$A412="","",IFERROR(INDEX(games!$B$2:$B$950,MATCH(connections!$A412,games!$A$2:$A$950,0)),""))</f>
        <v/>
      </c>
      <c r="U412">
        <f>IF(connections!$A412="","",IFERROR(INDEX(games!$B$2:$B$950,MATCH(connections!$B412,games!$A$2:$A$950,0)),""))</f>
        <v/>
      </c>
      <c r="V412">
        <f>IF(OR($T412="",$U412=""),"",$U412-$T412)</f>
        <v/>
      </c>
    </row>
    <row r="413">
      <c r="A413">
        <f>IF(games!$A413="","",games!$A413)</f>
        <v/>
      </c>
      <c r="B413">
        <f>IF($A413="","",games!$B413)</f>
        <v/>
      </c>
      <c r="C413">
        <f>IF($A413="","",games!$C413)</f>
        <v/>
      </c>
      <c r="D413">
        <f>IF($A413="","",COUNTIF(connections!$A$2:$A$1400,$A413)+COUNTIF(connections!$B$2:$B$1400,$A413))</f>
        <v/>
      </c>
      <c r="E413">
        <f>IF($A413="","",IFERROR(MATCH($C413,$R$2:$R$5,0),0))</f>
        <v/>
      </c>
      <c r="F413">
        <f>IF($A413="","",MOD(ROW(),34))</f>
        <v/>
      </c>
      <c r="G413">
        <f>IF($A413="",NA(),IF($C413="Action",$B413,NA()))</f>
        <v/>
      </c>
      <c r="H413">
        <f>IF($A413="",NA(),IF($C413="Action",1+$F413*0.023,NA()))</f>
        <v/>
      </c>
      <c r="I413">
        <f>IF($A413="",NA(),IF($C413="Strategy",$B413,NA()))</f>
        <v/>
      </c>
      <c r="J413">
        <f>IF($A413="",NA(),IF($C413="Strategy",2+$F413*0.023,NA()))</f>
        <v/>
      </c>
      <c r="K413">
        <f>IF($A413="",NA(),IF($C413="Deckbuilder",$B413,NA()))</f>
        <v/>
      </c>
      <c r="L413">
        <f>IF($A413="",NA(),IF($C413="Deckbuilder",3+$F413*0.023,NA()))</f>
        <v/>
      </c>
      <c r="M413">
        <f>IF($A413="",NA(),IF($C413="Traditional",$B413,NA()))</f>
        <v/>
      </c>
      <c r="N413">
        <f>IF($A413="",NA(),IF($C413="Traditional",4+$F413*0.023,NA()))</f>
        <v/>
      </c>
      <c r="O413">
        <f>IF($A413="","",$D413+ROW()/1000000)</f>
        <v/>
      </c>
      <c r="P413">
        <f>IF(OR($A413="",games!$H413=""),"",games!$H413)</f>
        <v/>
      </c>
      <c r="Q413">
        <f>IF(OR($A413="",$P413&lt;&gt;"Yes"),"",$D413+ROW()/1000000)</f>
        <v/>
      </c>
      <c r="T413">
        <f>IF(connections!$A413="","",IFERROR(INDEX(games!$B$2:$B$950,MATCH(connections!$A413,games!$A$2:$A$950,0)),""))</f>
        <v/>
      </c>
      <c r="U413">
        <f>IF(connections!$A413="","",IFERROR(INDEX(games!$B$2:$B$950,MATCH(connections!$B413,games!$A$2:$A$950,0)),""))</f>
        <v/>
      </c>
      <c r="V413">
        <f>IF(OR($T413="",$U413=""),"",$U413-$T413)</f>
        <v/>
      </c>
    </row>
    <row r="414">
      <c r="A414">
        <f>IF(games!$A414="","",games!$A414)</f>
        <v/>
      </c>
      <c r="B414">
        <f>IF($A414="","",games!$B414)</f>
        <v/>
      </c>
      <c r="C414">
        <f>IF($A414="","",games!$C414)</f>
        <v/>
      </c>
      <c r="D414">
        <f>IF($A414="","",COUNTIF(connections!$A$2:$A$1400,$A414)+COUNTIF(connections!$B$2:$B$1400,$A414))</f>
        <v/>
      </c>
      <c r="E414">
        <f>IF($A414="","",IFERROR(MATCH($C414,$R$2:$R$5,0),0))</f>
        <v/>
      </c>
      <c r="F414">
        <f>IF($A414="","",MOD(ROW(),34))</f>
        <v/>
      </c>
      <c r="G414">
        <f>IF($A414="",NA(),IF($C414="Action",$B414,NA()))</f>
        <v/>
      </c>
      <c r="H414">
        <f>IF($A414="",NA(),IF($C414="Action",1+$F414*0.023,NA()))</f>
        <v/>
      </c>
      <c r="I414">
        <f>IF($A414="",NA(),IF($C414="Strategy",$B414,NA()))</f>
        <v/>
      </c>
      <c r="J414">
        <f>IF($A414="",NA(),IF($C414="Strategy",2+$F414*0.023,NA()))</f>
        <v/>
      </c>
      <c r="K414">
        <f>IF($A414="",NA(),IF($C414="Deckbuilder",$B414,NA()))</f>
        <v/>
      </c>
      <c r="L414">
        <f>IF($A414="",NA(),IF($C414="Deckbuilder",3+$F414*0.023,NA()))</f>
        <v/>
      </c>
      <c r="M414">
        <f>IF($A414="",NA(),IF($C414="Traditional",$B414,NA()))</f>
        <v/>
      </c>
      <c r="N414">
        <f>IF($A414="",NA(),IF($C414="Traditional",4+$F414*0.023,NA()))</f>
        <v/>
      </c>
      <c r="O414">
        <f>IF($A414="","",$D414+ROW()/1000000)</f>
        <v/>
      </c>
      <c r="P414">
        <f>IF(OR($A414="",games!$H414=""),"",games!$H414)</f>
        <v/>
      </c>
      <c r="Q414">
        <f>IF(OR($A414="",$P414&lt;&gt;"Yes"),"",$D414+ROW()/1000000)</f>
        <v/>
      </c>
      <c r="T414">
        <f>IF(connections!$A414="","",IFERROR(INDEX(games!$B$2:$B$950,MATCH(connections!$A414,games!$A$2:$A$950,0)),""))</f>
        <v/>
      </c>
      <c r="U414">
        <f>IF(connections!$A414="","",IFERROR(INDEX(games!$B$2:$B$950,MATCH(connections!$B414,games!$A$2:$A$950,0)),""))</f>
        <v/>
      </c>
      <c r="V414">
        <f>IF(OR($T414="",$U414=""),"",$U414-$T414)</f>
        <v/>
      </c>
    </row>
    <row r="415">
      <c r="A415">
        <f>IF(games!$A415="","",games!$A415)</f>
        <v/>
      </c>
      <c r="B415">
        <f>IF($A415="","",games!$B415)</f>
        <v/>
      </c>
      <c r="C415">
        <f>IF($A415="","",games!$C415)</f>
        <v/>
      </c>
      <c r="D415">
        <f>IF($A415="","",COUNTIF(connections!$A$2:$A$1400,$A415)+COUNTIF(connections!$B$2:$B$1400,$A415))</f>
        <v/>
      </c>
      <c r="E415">
        <f>IF($A415="","",IFERROR(MATCH($C415,$R$2:$R$5,0),0))</f>
        <v/>
      </c>
      <c r="F415">
        <f>IF($A415="","",MOD(ROW(),34))</f>
        <v/>
      </c>
      <c r="G415">
        <f>IF($A415="",NA(),IF($C415="Action",$B415,NA()))</f>
        <v/>
      </c>
      <c r="H415">
        <f>IF($A415="",NA(),IF($C415="Action",1+$F415*0.023,NA()))</f>
        <v/>
      </c>
      <c r="I415">
        <f>IF($A415="",NA(),IF($C415="Strategy",$B415,NA()))</f>
        <v/>
      </c>
      <c r="J415">
        <f>IF($A415="",NA(),IF($C415="Strategy",2+$F415*0.023,NA()))</f>
        <v/>
      </c>
      <c r="K415">
        <f>IF($A415="",NA(),IF($C415="Deckbuilder",$B415,NA()))</f>
        <v/>
      </c>
      <c r="L415">
        <f>IF($A415="",NA(),IF($C415="Deckbuilder",3+$F415*0.023,NA()))</f>
        <v/>
      </c>
      <c r="M415">
        <f>IF($A415="",NA(),IF($C415="Traditional",$B415,NA()))</f>
        <v/>
      </c>
      <c r="N415">
        <f>IF($A415="",NA(),IF($C415="Traditional",4+$F415*0.023,NA()))</f>
        <v/>
      </c>
      <c r="O415">
        <f>IF($A415="","",$D415+ROW()/1000000)</f>
        <v/>
      </c>
      <c r="P415">
        <f>IF(OR($A415="",games!$H415=""),"",games!$H415)</f>
        <v/>
      </c>
      <c r="Q415">
        <f>IF(OR($A415="",$P415&lt;&gt;"Yes"),"",$D415+ROW()/1000000)</f>
        <v/>
      </c>
      <c r="T415">
        <f>IF(connections!$A415="","",IFERROR(INDEX(games!$B$2:$B$950,MATCH(connections!$A415,games!$A$2:$A$950,0)),""))</f>
        <v/>
      </c>
      <c r="U415">
        <f>IF(connections!$A415="","",IFERROR(INDEX(games!$B$2:$B$950,MATCH(connections!$B415,games!$A$2:$A$950,0)),""))</f>
        <v/>
      </c>
      <c r="V415">
        <f>IF(OR($T415="",$U415=""),"",$U415-$T415)</f>
        <v/>
      </c>
    </row>
    <row r="416">
      <c r="A416">
        <f>IF(games!$A416="","",games!$A416)</f>
        <v/>
      </c>
      <c r="B416">
        <f>IF($A416="","",games!$B416)</f>
        <v/>
      </c>
      <c r="C416">
        <f>IF($A416="","",games!$C416)</f>
        <v/>
      </c>
      <c r="D416">
        <f>IF($A416="","",COUNTIF(connections!$A$2:$A$1400,$A416)+COUNTIF(connections!$B$2:$B$1400,$A416))</f>
        <v/>
      </c>
      <c r="E416">
        <f>IF($A416="","",IFERROR(MATCH($C416,$R$2:$R$5,0),0))</f>
        <v/>
      </c>
      <c r="F416">
        <f>IF($A416="","",MOD(ROW(),34))</f>
        <v/>
      </c>
      <c r="G416">
        <f>IF($A416="",NA(),IF($C416="Action",$B416,NA()))</f>
        <v/>
      </c>
      <c r="H416">
        <f>IF($A416="",NA(),IF($C416="Action",1+$F416*0.023,NA()))</f>
        <v/>
      </c>
      <c r="I416">
        <f>IF($A416="",NA(),IF($C416="Strategy",$B416,NA()))</f>
        <v/>
      </c>
      <c r="J416">
        <f>IF($A416="",NA(),IF($C416="Strategy",2+$F416*0.023,NA()))</f>
        <v/>
      </c>
      <c r="K416">
        <f>IF($A416="",NA(),IF($C416="Deckbuilder",$B416,NA()))</f>
        <v/>
      </c>
      <c r="L416">
        <f>IF($A416="",NA(),IF($C416="Deckbuilder",3+$F416*0.023,NA()))</f>
        <v/>
      </c>
      <c r="M416">
        <f>IF($A416="",NA(),IF($C416="Traditional",$B416,NA()))</f>
        <v/>
      </c>
      <c r="N416">
        <f>IF($A416="",NA(),IF($C416="Traditional",4+$F416*0.023,NA()))</f>
        <v/>
      </c>
      <c r="O416">
        <f>IF($A416="","",$D416+ROW()/1000000)</f>
        <v/>
      </c>
      <c r="P416">
        <f>IF(OR($A416="",games!$H416=""),"",games!$H416)</f>
        <v/>
      </c>
      <c r="Q416">
        <f>IF(OR($A416="",$P416&lt;&gt;"Yes"),"",$D416+ROW()/1000000)</f>
        <v/>
      </c>
      <c r="T416">
        <f>IF(connections!$A416="","",IFERROR(INDEX(games!$B$2:$B$950,MATCH(connections!$A416,games!$A$2:$A$950,0)),""))</f>
        <v/>
      </c>
      <c r="U416">
        <f>IF(connections!$A416="","",IFERROR(INDEX(games!$B$2:$B$950,MATCH(connections!$B416,games!$A$2:$A$950,0)),""))</f>
        <v/>
      </c>
      <c r="V416">
        <f>IF(OR($T416="",$U416=""),"",$U416-$T416)</f>
        <v/>
      </c>
    </row>
    <row r="417">
      <c r="A417">
        <f>IF(games!$A417="","",games!$A417)</f>
        <v/>
      </c>
      <c r="B417">
        <f>IF($A417="","",games!$B417)</f>
        <v/>
      </c>
      <c r="C417">
        <f>IF($A417="","",games!$C417)</f>
        <v/>
      </c>
      <c r="D417">
        <f>IF($A417="","",COUNTIF(connections!$A$2:$A$1400,$A417)+COUNTIF(connections!$B$2:$B$1400,$A417))</f>
        <v/>
      </c>
      <c r="E417">
        <f>IF($A417="","",IFERROR(MATCH($C417,$R$2:$R$5,0),0))</f>
        <v/>
      </c>
      <c r="F417">
        <f>IF($A417="","",MOD(ROW(),34))</f>
        <v/>
      </c>
      <c r="G417">
        <f>IF($A417="",NA(),IF($C417="Action",$B417,NA()))</f>
        <v/>
      </c>
      <c r="H417">
        <f>IF($A417="",NA(),IF($C417="Action",1+$F417*0.023,NA()))</f>
        <v/>
      </c>
      <c r="I417">
        <f>IF($A417="",NA(),IF($C417="Strategy",$B417,NA()))</f>
        <v/>
      </c>
      <c r="J417">
        <f>IF($A417="",NA(),IF($C417="Strategy",2+$F417*0.023,NA()))</f>
        <v/>
      </c>
      <c r="K417">
        <f>IF($A417="",NA(),IF($C417="Deckbuilder",$B417,NA()))</f>
        <v/>
      </c>
      <c r="L417">
        <f>IF($A417="",NA(),IF($C417="Deckbuilder",3+$F417*0.023,NA()))</f>
        <v/>
      </c>
      <c r="M417">
        <f>IF($A417="",NA(),IF($C417="Traditional",$B417,NA()))</f>
        <v/>
      </c>
      <c r="N417">
        <f>IF($A417="",NA(),IF($C417="Traditional",4+$F417*0.023,NA()))</f>
        <v/>
      </c>
      <c r="O417">
        <f>IF($A417="","",$D417+ROW()/1000000)</f>
        <v/>
      </c>
      <c r="P417">
        <f>IF(OR($A417="",games!$H417=""),"",games!$H417)</f>
        <v/>
      </c>
      <c r="Q417">
        <f>IF(OR($A417="",$P417&lt;&gt;"Yes"),"",$D417+ROW()/1000000)</f>
        <v/>
      </c>
      <c r="T417">
        <f>IF(connections!$A417="","",IFERROR(INDEX(games!$B$2:$B$950,MATCH(connections!$A417,games!$A$2:$A$950,0)),""))</f>
        <v/>
      </c>
      <c r="U417">
        <f>IF(connections!$A417="","",IFERROR(INDEX(games!$B$2:$B$950,MATCH(connections!$B417,games!$A$2:$A$950,0)),""))</f>
        <v/>
      </c>
      <c r="V417">
        <f>IF(OR($T417="",$U417=""),"",$U417-$T417)</f>
        <v/>
      </c>
    </row>
    <row r="418">
      <c r="A418">
        <f>IF(games!$A418="","",games!$A418)</f>
        <v/>
      </c>
      <c r="B418">
        <f>IF($A418="","",games!$B418)</f>
        <v/>
      </c>
      <c r="C418">
        <f>IF($A418="","",games!$C418)</f>
        <v/>
      </c>
      <c r="D418">
        <f>IF($A418="","",COUNTIF(connections!$A$2:$A$1400,$A418)+COUNTIF(connections!$B$2:$B$1400,$A418))</f>
        <v/>
      </c>
      <c r="E418">
        <f>IF($A418="","",IFERROR(MATCH($C418,$R$2:$R$5,0),0))</f>
        <v/>
      </c>
      <c r="F418">
        <f>IF($A418="","",MOD(ROW(),34))</f>
        <v/>
      </c>
      <c r="G418">
        <f>IF($A418="",NA(),IF($C418="Action",$B418,NA()))</f>
        <v/>
      </c>
      <c r="H418">
        <f>IF($A418="",NA(),IF($C418="Action",1+$F418*0.023,NA()))</f>
        <v/>
      </c>
      <c r="I418">
        <f>IF($A418="",NA(),IF($C418="Strategy",$B418,NA()))</f>
        <v/>
      </c>
      <c r="J418">
        <f>IF($A418="",NA(),IF($C418="Strategy",2+$F418*0.023,NA()))</f>
        <v/>
      </c>
      <c r="K418">
        <f>IF($A418="",NA(),IF($C418="Deckbuilder",$B418,NA()))</f>
        <v/>
      </c>
      <c r="L418">
        <f>IF($A418="",NA(),IF($C418="Deckbuilder",3+$F418*0.023,NA()))</f>
        <v/>
      </c>
      <c r="M418">
        <f>IF($A418="",NA(),IF($C418="Traditional",$B418,NA()))</f>
        <v/>
      </c>
      <c r="N418">
        <f>IF($A418="",NA(),IF($C418="Traditional",4+$F418*0.023,NA()))</f>
        <v/>
      </c>
      <c r="O418">
        <f>IF($A418="","",$D418+ROW()/1000000)</f>
        <v/>
      </c>
      <c r="P418">
        <f>IF(OR($A418="",games!$H418=""),"",games!$H418)</f>
        <v/>
      </c>
      <c r="Q418">
        <f>IF(OR($A418="",$P418&lt;&gt;"Yes"),"",$D418+ROW()/1000000)</f>
        <v/>
      </c>
      <c r="T418">
        <f>IF(connections!$A418="","",IFERROR(INDEX(games!$B$2:$B$950,MATCH(connections!$A418,games!$A$2:$A$950,0)),""))</f>
        <v/>
      </c>
      <c r="U418">
        <f>IF(connections!$A418="","",IFERROR(INDEX(games!$B$2:$B$950,MATCH(connections!$B418,games!$A$2:$A$950,0)),""))</f>
        <v/>
      </c>
      <c r="V418">
        <f>IF(OR($T418="",$U418=""),"",$U418-$T418)</f>
        <v/>
      </c>
    </row>
    <row r="419">
      <c r="A419">
        <f>IF(games!$A419="","",games!$A419)</f>
        <v/>
      </c>
      <c r="B419">
        <f>IF($A419="","",games!$B419)</f>
        <v/>
      </c>
      <c r="C419">
        <f>IF($A419="","",games!$C419)</f>
        <v/>
      </c>
      <c r="D419">
        <f>IF($A419="","",COUNTIF(connections!$A$2:$A$1400,$A419)+COUNTIF(connections!$B$2:$B$1400,$A419))</f>
        <v/>
      </c>
      <c r="E419">
        <f>IF($A419="","",IFERROR(MATCH($C419,$R$2:$R$5,0),0))</f>
        <v/>
      </c>
      <c r="F419">
        <f>IF($A419="","",MOD(ROW(),34))</f>
        <v/>
      </c>
      <c r="G419">
        <f>IF($A419="",NA(),IF($C419="Action",$B419,NA()))</f>
        <v/>
      </c>
      <c r="H419">
        <f>IF($A419="",NA(),IF($C419="Action",1+$F419*0.023,NA()))</f>
        <v/>
      </c>
      <c r="I419">
        <f>IF($A419="",NA(),IF($C419="Strategy",$B419,NA()))</f>
        <v/>
      </c>
      <c r="J419">
        <f>IF($A419="",NA(),IF($C419="Strategy",2+$F419*0.023,NA()))</f>
        <v/>
      </c>
      <c r="K419">
        <f>IF($A419="",NA(),IF($C419="Deckbuilder",$B419,NA()))</f>
        <v/>
      </c>
      <c r="L419">
        <f>IF($A419="",NA(),IF($C419="Deckbuilder",3+$F419*0.023,NA()))</f>
        <v/>
      </c>
      <c r="M419">
        <f>IF($A419="",NA(),IF($C419="Traditional",$B419,NA()))</f>
        <v/>
      </c>
      <c r="N419">
        <f>IF($A419="",NA(),IF($C419="Traditional",4+$F419*0.023,NA()))</f>
        <v/>
      </c>
      <c r="O419">
        <f>IF($A419="","",$D419+ROW()/1000000)</f>
        <v/>
      </c>
      <c r="P419">
        <f>IF(OR($A419="",games!$H419=""),"",games!$H419)</f>
        <v/>
      </c>
      <c r="Q419">
        <f>IF(OR($A419="",$P419&lt;&gt;"Yes"),"",$D419+ROW()/1000000)</f>
        <v/>
      </c>
      <c r="T419">
        <f>IF(connections!$A419="","",IFERROR(INDEX(games!$B$2:$B$950,MATCH(connections!$A419,games!$A$2:$A$950,0)),""))</f>
        <v/>
      </c>
      <c r="U419">
        <f>IF(connections!$A419="","",IFERROR(INDEX(games!$B$2:$B$950,MATCH(connections!$B419,games!$A$2:$A$950,0)),""))</f>
        <v/>
      </c>
      <c r="V419">
        <f>IF(OR($T419="",$U419=""),"",$U419-$T419)</f>
        <v/>
      </c>
    </row>
    <row r="420">
      <c r="A420">
        <f>IF(games!$A420="","",games!$A420)</f>
        <v/>
      </c>
      <c r="B420">
        <f>IF($A420="","",games!$B420)</f>
        <v/>
      </c>
      <c r="C420">
        <f>IF($A420="","",games!$C420)</f>
        <v/>
      </c>
      <c r="D420">
        <f>IF($A420="","",COUNTIF(connections!$A$2:$A$1400,$A420)+COUNTIF(connections!$B$2:$B$1400,$A420))</f>
        <v/>
      </c>
      <c r="E420">
        <f>IF($A420="","",IFERROR(MATCH($C420,$R$2:$R$5,0),0))</f>
        <v/>
      </c>
      <c r="F420">
        <f>IF($A420="","",MOD(ROW(),34))</f>
        <v/>
      </c>
      <c r="G420">
        <f>IF($A420="",NA(),IF($C420="Action",$B420,NA()))</f>
        <v/>
      </c>
      <c r="H420">
        <f>IF($A420="",NA(),IF($C420="Action",1+$F420*0.023,NA()))</f>
        <v/>
      </c>
      <c r="I420">
        <f>IF($A420="",NA(),IF($C420="Strategy",$B420,NA()))</f>
        <v/>
      </c>
      <c r="J420">
        <f>IF($A420="",NA(),IF($C420="Strategy",2+$F420*0.023,NA()))</f>
        <v/>
      </c>
      <c r="K420">
        <f>IF($A420="",NA(),IF($C420="Deckbuilder",$B420,NA()))</f>
        <v/>
      </c>
      <c r="L420">
        <f>IF($A420="",NA(),IF($C420="Deckbuilder",3+$F420*0.023,NA()))</f>
        <v/>
      </c>
      <c r="M420">
        <f>IF($A420="",NA(),IF($C420="Traditional",$B420,NA()))</f>
        <v/>
      </c>
      <c r="N420">
        <f>IF($A420="",NA(),IF($C420="Traditional",4+$F420*0.023,NA()))</f>
        <v/>
      </c>
      <c r="O420">
        <f>IF($A420="","",$D420+ROW()/1000000)</f>
        <v/>
      </c>
      <c r="P420">
        <f>IF(OR($A420="",games!$H420=""),"",games!$H420)</f>
        <v/>
      </c>
      <c r="Q420">
        <f>IF(OR($A420="",$P420&lt;&gt;"Yes"),"",$D420+ROW()/1000000)</f>
        <v/>
      </c>
      <c r="T420">
        <f>IF(connections!$A420="","",IFERROR(INDEX(games!$B$2:$B$950,MATCH(connections!$A420,games!$A$2:$A$950,0)),""))</f>
        <v/>
      </c>
      <c r="U420">
        <f>IF(connections!$A420="","",IFERROR(INDEX(games!$B$2:$B$950,MATCH(connections!$B420,games!$A$2:$A$950,0)),""))</f>
        <v/>
      </c>
      <c r="V420">
        <f>IF(OR($T420="",$U420=""),"",$U420-$T420)</f>
        <v/>
      </c>
    </row>
    <row r="421">
      <c r="A421">
        <f>IF(games!$A421="","",games!$A421)</f>
        <v/>
      </c>
      <c r="B421">
        <f>IF($A421="","",games!$B421)</f>
        <v/>
      </c>
      <c r="C421">
        <f>IF($A421="","",games!$C421)</f>
        <v/>
      </c>
      <c r="D421">
        <f>IF($A421="","",COUNTIF(connections!$A$2:$A$1400,$A421)+COUNTIF(connections!$B$2:$B$1400,$A421))</f>
        <v/>
      </c>
      <c r="E421">
        <f>IF($A421="","",IFERROR(MATCH($C421,$R$2:$R$5,0),0))</f>
        <v/>
      </c>
      <c r="F421">
        <f>IF($A421="","",MOD(ROW(),34))</f>
        <v/>
      </c>
      <c r="G421">
        <f>IF($A421="",NA(),IF($C421="Action",$B421,NA()))</f>
        <v/>
      </c>
      <c r="H421">
        <f>IF($A421="",NA(),IF($C421="Action",1+$F421*0.023,NA()))</f>
        <v/>
      </c>
      <c r="I421">
        <f>IF($A421="",NA(),IF($C421="Strategy",$B421,NA()))</f>
        <v/>
      </c>
      <c r="J421">
        <f>IF($A421="",NA(),IF($C421="Strategy",2+$F421*0.023,NA()))</f>
        <v/>
      </c>
      <c r="K421">
        <f>IF($A421="",NA(),IF($C421="Deckbuilder",$B421,NA()))</f>
        <v/>
      </c>
      <c r="L421">
        <f>IF($A421="",NA(),IF($C421="Deckbuilder",3+$F421*0.023,NA()))</f>
        <v/>
      </c>
      <c r="M421">
        <f>IF($A421="",NA(),IF($C421="Traditional",$B421,NA()))</f>
        <v/>
      </c>
      <c r="N421">
        <f>IF($A421="",NA(),IF($C421="Traditional",4+$F421*0.023,NA()))</f>
        <v/>
      </c>
      <c r="O421">
        <f>IF($A421="","",$D421+ROW()/1000000)</f>
        <v/>
      </c>
      <c r="P421">
        <f>IF(OR($A421="",games!$H421=""),"",games!$H421)</f>
        <v/>
      </c>
      <c r="Q421">
        <f>IF(OR($A421="",$P421&lt;&gt;"Yes"),"",$D421+ROW()/1000000)</f>
        <v/>
      </c>
      <c r="T421">
        <f>IF(connections!$A421="","",IFERROR(INDEX(games!$B$2:$B$950,MATCH(connections!$A421,games!$A$2:$A$950,0)),""))</f>
        <v/>
      </c>
      <c r="U421">
        <f>IF(connections!$A421="","",IFERROR(INDEX(games!$B$2:$B$950,MATCH(connections!$B421,games!$A$2:$A$950,0)),""))</f>
        <v/>
      </c>
      <c r="V421">
        <f>IF(OR($T421="",$U421=""),"",$U421-$T421)</f>
        <v/>
      </c>
    </row>
    <row r="422">
      <c r="A422">
        <f>IF(games!$A422="","",games!$A422)</f>
        <v/>
      </c>
      <c r="B422">
        <f>IF($A422="","",games!$B422)</f>
        <v/>
      </c>
      <c r="C422">
        <f>IF($A422="","",games!$C422)</f>
        <v/>
      </c>
      <c r="D422">
        <f>IF($A422="","",COUNTIF(connections!$A$2:$A$1400,$A422)+COUNTIF(connections!$B$2:$B$1400,$A422))</f>
        <v/>
      </c>
      <c r="E422">
        <f>IF($A422="","",IFERROR(MATCH($C422,$R$2:$R$5,0),0))</f>
        <v/>
      </c>
      <c r="F422">
        <f>IF($A422="","",MOD(ROW(),34))</f>
        <v/>
      </c>
      <c r="G422">
        <f>IF($A422="",NA(),IF($C422="Action",$B422,NA()))</f>
        <v/>
      </c>
      <c r="H422">
        <f>IF($A422="",NA(),IF($C422="Action",1+$F422*0.023,NA()))</f>
        <v/>
      </c>
      <c r="I422">
        <f>IF($A422="",NA(),IF($C422="Strategy",$B422,NA()))</f>
        <v/>
      </c>
      <c r="J422">
        <f>IF($A422="",NA(),IF($C422="Strategy",2+$F422*0.023,NA()))</f>
        <v/>
      </c>
      <c r="K422">
        <f>IF($A422="",NA(),IF($C422="Deckbuilder",$B422,NA()))</f>
        <v/>
      </c>
      <c r="L422">
        <f>IF($A422="",NA(),IF($C422="Deckbuilder",3+$F422*0.023,NA()))</f>
        <v/>
      </c>
      <c r="M422">
        <f>IF($A422="",NA(),IF($C422="Traditional",$B422,NA()))</f>
        <v/>
      </c>
      <c r="N422">
        <f>IF($A422="",NA(),IF($C422="Traditional",4+$F422*0.023,NA()))</f>
        <v/>
      </c>
      <c r="O422">
        <f>IF($A422="","",$D422+ROW()/1000000)</f>
        <v/>
      </c>
      <c r="P422">
        <f>IF(OR($A422="",games!$H422=""),"",games!$H422)</f>
        <v/>
      </c>
      <c r="Q422">
        <f>IF(OR($A422="",$P422&lt;&gt;"Yes"),"",$D422+ROW()/1000000)</f>
        <v/>
      </c>
      <c r="T422">
        <f>IF(connections!$A422="","",IFERROR(INDEX(games!$B$2:$B$950,MATCH(connections!$A422,games!$A$2:$A$950,0)),""))</f>
        <v/>
      </c>
      <c r="U422">
        <f>IF(connections!$A422="","",IFERROR(INDEX(games!$B$2:$B$950,MATCH(connections!$B422,games!$A$2:$A$950,0)),""))</f>
        <v/>
      </c>
      <c r="V422">
        <f>IF(OR($T422="",$U422=""),"",$U422-$T422)</f>
        <v/>
      </c>
    </row>
    <row r="423">
      <c r="A423">
        <f>IF(games!$A423="","",games!$A423)</f>
        <v/>
      </c>
      <c r="B423">
        <f>IF($A423="","",games!$B423)</f>
        <v/>
      </c>
      <c r="C423">
        <f>IF($A423="","",games!$C423)</f>
        <v/>
      </c>
      <c r="D423">
        <f>IF($A423="","",COUNTIF(connections!$A$2:$A$1400,$A423)+COUNTIF(connections!$B$2:$B$1400,$A423))</f>
        <v/>
      </c>
      <c r="E423">
        <f>IF($A423="","",IFERROR(MATCH($C423,$R$2:$R$5,0),0))</f>
        <v/>
      </c>
      <c r="F423">
        <f>IF($A423="","",MOD(ROW(),34))</f>
        <v/>
      </c>
      <c r="G423">
        <f>IF($A423="",NA(),IF($C423="Action",$B423,NA()))</f>
        <v/>
      </c>
      <c r="H423">
        <f>IF($A423="",NA(),IF($C423="Action",1+$F423*0.023,NA()))</f>
        <v/>
      </c>
      <c r="I423">
        <f>IF($A423="",NA(),IF($C423="Strategy",$B423,NA()))</f>
        <v/>
      </c>
      <c r="J423">
        <f>IF($A423="",NA(),IF($C423="Strategy",2+$F423*0.023,NA()))</f>
        <v/>
      </c>
      <c r="K423">
        <f>IF($A423="",NA(),IF($C423="Deckbuilder",$B423,NA()))</f>
        <v/>
      </c>
      <c r="L423">
        <f>IF($A423="",NA(),IF($C423="Deckbuilder",3+$F423*0.023,NA()))</f>
        <v/>
      </c>
      <c r="M423">
        <f>IF($A423="",NA(),IF($C423="Traditional",$B423,NA()))</f>
        <v/>
      </c>
      <c r="N423">
        <f>IF($A423="",NA(),IF($C423="Traditional",4+$F423*0.023,NA()))</f>
        <v/>
      </c>
      <c r="O423">
        <f>IF($A423="","",$D423+ROW()/1000000)</f>
        <v/>
      </c>
      <c r="P423">
        <f>IF(OR($A423="",games!$H423=""),"",games!$H423)</f>
        <v/>
      </c>
      <c r="Q423">
        <f>IF(OR($A423="",$P423&lt;&gt;"Yes"),"",$D423+ROW()/1000000)</f>
        <v/>
      </c>
      <c r="T423">
        <f>IF(connections!$A423="","",IFERROR(INDEX(games!$B$2:$B$950,MATCH(connections!$A423,games!$A$2:$A$950,0)),""))</f>
        <v/>
      </c>
      <c r="U423">
        <f>IF(connections!$A423="","",IFERROR(INDEX(games!$B$2:$B$950,MATCH(connections!$B423,games!$A$2:$A$950,0)),""))</f>
        <v/>
      </c>
      <c r="V423">
        <f>IF(OR($T423="",$U423=""),"",$U423-$T423)</f>
        <v/>
      </c>
    </row>
    <row r="424">
      <c r="A424">
        <f>IF(games!$A424="","",games!$A424)</f>
        <v/>
      </c>
      <c r="B424">
        <f>IF($A424="","",games!$B424)</f>
        <v/>
      </c>
      <c r="C424">
        <f>IF($A424="","",games!$C424)</f>
        <v/>
      </c>
      <c r="D424">
        <f>IF($A424="","",COUNTIF(connections!$A$2:$A$1400,$A424)+COUNTIF(connections!$B$2:$B$1400,$A424))</f>
        <v/>
      </c>
      <c r="E424">
        <f>IF($A424="","",IFERROR(MATCH($C424,$R$2:$R$5,0),0))</f>
        <v/>
      </c>
      <c r="F424">
        <f>IF($A424="","",MOD(ROW(),34))</f>
        <v/>
      </c>
      <c r="G424">
        <f>IF($A424="",NA(),IF($C424="Action",$B424,NA()))</f>
        <v/>
      </c>
      <c r="H424">
        <f>IF($A424="",NA(),IF($C424="Action",1+$F424*0.023,NA()))</f>
        <v/>
      </c>
      <c r="I424">
        <f>IF($A424="",NA(),IF($C424="Strategy",$B424,NA()))</f>
        <v/>
      </c>
      <c r="J424">
        <f>IF($A424="",NA(),IF($C424="Strategy",2+$F424*0.023,NA()))</f>
        <v/>
      </c>
      <c r="K424">
        <f>IF($A424="",NA(),IF($C424="Deckbuilder",$B424,NA()))</f>
        <v/>
      </c>
      <c r="L424">
        <f>IF($A424="",NA(),IF($C424="Deckbuilder",3+$F424*0.023,NA()))</f>
        <v/>
      </c>
      <c r="M424">
        <f>IF($A424="",NA(),IF($C424="Traditional",$B424,NA()))</f>
        <v/>
      </c>
      <c r="N424">
        <f>IF($A424="",NA(),IF($C424="Traditional",4+$F424*0.023,NA()))</f>
        <v/>
      </c>
      <c r="O424">
        <f>IF($A424="","",$D424+ROW()/1000000)</f>
        <v/>
      </c>
      <c r="P424">
        <f>IF(OR($A424="",games!$H424=""),"",games!$H424)</f>
        <v/>
      </c>
      <c r="Q424">
        <f>IF(OR($A424="",$P424&lt;&gt;"Yes"),"",$D424+ROW()/1000000)</f>
        <v/>
      </c>
      <c r="T424">
        <f>IF(connections!$A424="","",IFERROR(INDEX(games!$B$2:$B$950,MATCH(connections!$A424,games!$A$2:$A$950,0)),""))</f>
        <v/>
      </c>
      <c r="U424">
        <f>IF(connections!$A424="","",IFERROR(INDEX(games!$B$2:$B$950,MATCH(connections!$B424,games!$A$2:$A$950,0)),""))</f>
        <v/>
      </c>
      <c r="V424">
        <f>IF(OR($T424="",$U424=""),"",$U424-$T424)</f>
        <v/>
      </c>
    </row>
    <row r="425">
      <c r="A425">
        <f>IF(games!$A425="","",games!$A425)</f>
        <v/>
      </c>
      <c r="B425">
        <f>IF($A425="","",games!$B425)</f>
        <v/>
      </c>
      <c r="C425">
        <f>IF($A425="","",games!$C425)</f>
        <v/>
      </c>
      <c r="D425">
        <f>IF($A425="","",COUNTIF(connections!$A$2:$A$1400,$A425)+COUNTIF(connections!$B$2:$B$1400,$A425))</f>
        <v/>
      </c>
      <c r="E425">
        <f>IF($A425="","",IFERROR(MATCH($C425,$R$2:$R$5,0),0))</f>
        <v/>
      </c>
      <c r="F425">
        <f>IF($A425="","",MOD(ROW(),34))</f>
        <v/>
      </c>
      <c r="G425">
        <f>IF($A425="",NA(),IF($C425="Action",$B425,NA()))</f>
        <v/>
      </c>
      <c r="H425">
        <f>IF($A425="",NA(),IF($C425="Action",1+$F425*0.023,NA()))</f>
        <v/>
      </c>
      <c r="I425">
        <f>IF($A425="",NA(),IF($C425="Strategy",$B425,NA()))</f>
        <v/>
      </c>
      <c r="J425">
        <f>IF($A425="",NA(),IF($C425="Strategy",2+$F425*0.023,NA()))</f>
        <v/>
      </c>
      <c r="K425">
        <f>IF($A425="",NA(),IF($C425="Deckbuilder",$B425,NA()))</f>
        <v/>
      </c>
      <c r="L425">
        <f>IF($A425="",NA(),IF($C425="Deckbuilder",3+$F425*0.023,NA()))</f>
        <v/>
      </c>
      <c r="M425">
        <f>IF($A425="",NA(),IF($C425="Traditional",$B425,NA()))</f>
        <v/>
      </c>
      <c r="N425">
        <f>IF($A425="",NA(),IF($C425="Traditional",4+$F425*0.023,NA()))</f>
        <v/>
      </c>
      <c r="O425">
        <f>IF($A425="","",$D425+ROW()/1000000)</f>
        <v/>
      </c>
      <c r="P425">
        <f>IF(OR($A425="",games!$H425=""),"",games!$H425)</f>
        <v/>
      </c>
      <c r="Q425">
        <f>IF(OR($A425="",$P425&lt;&gt;"Yes"),"",$D425+ROW()/1000000)</f>
        <v/>
      </c>
      <c r="T425">
        <f>IF(connections!$A425="","",IFERROR(INDEX(games!$B$2:$B$950,MATCH(connections!$A425,games!$A$2:$A$950,0)),""))</f>
        <v/>
      </c>
      <c r="U425">
        <f>IF(connections!$A425="","",IFERROR(INDEX(games!$B$2:$B$950,MATCH(connections!$B425,games!$A$2:$A$950,0)),""))</f>
        <v/>
      </c>
      <c r="V425">
        <f>IF(OR($T425="",$U425=""),"",$U425-$T425)</f>
        <v/>
      </c>
    </row>
    <row r="426">
      <c r="A426">
        <f>IF(games!$A426="","",games!$A426)</f>
        <v/>
      </c>
      <c r="B426">
        <f>IF($A426="","",games!$B426)</f>
        <v/>
      </c>
      <c r="C426">
        <f>IF($A426="","",games!$C426)</f>
        <v/>
      </c>
      <c r="D426">
        <f>IF($A426="","",COUNTIF(connections!$A$2:$A$1400,$A426)+COUNTIF(connections!$B$2:$B$1400,$A426))</f>
        <v/>
      </c>
      <c r="E426">
        <f>IF($A426="","",IFERROR(MATCH($C426,$R$2:$R$5,0),0))</f>
        <v/>
      </c>
      <c r="F426">
        <f>IF($A426="","",MOD(ROW(),34))</f>
        <v/>
      </c>
      <c r="G426">
        <f>IF($A426="",NA(),IF($C426="Action",$B426,NA()))</f>
        <v/>
      </c>
      <c r="H426">
        <f>IF($A426="",NA(),IF($C426="Action",1+$F426*0.023,NA()))</f>
        <v/>
      </c>
      <c r="I426">
        <f>IF($A426="",NA(),IF($C426="Strategy",$B426,NA()))</f>
        <v/>
      </c>
      <c r="J426">
        <f>IF($A426="",NA(),IF($C426="Strategy",2+$F426*0.023,NA()))</f>
        <v/>
      </c>
      <c r="K426">
        <f>IF($A426="",NA(),IF($C426="Deckbuilder",$B426,NA()))</f>
        <v/>
      </c>
      <c r="L426">
        <f>IF($A426="",NA(),IF($C426="Deckbuilder",3+$F426*0.023,NA()))</f>
        <v/>
      </c>
      <c r="M426">
        <f>IF($A426="",NA(),IF($C426="Traditional",$B426,NA()))</f>
        <v/>
      </c>
      <c r="N426">
        <f>IF($A426="",NA(),IF($C426="Traditional",4+$F426*0.023,NA()))</f>
        <v/>
      </c>
      <c r="O426">
        <f>IF($A426="","",$D426+ROW()/1000000)</f>
        <v/>
      </c>
      <c r="P426">
        <f>IF(OR($A426="",games!$H426=""),"",games!$H426)</f>
        <v/>
      </c>
      <c r="Q426">
        <f>IF(OR($A426="",$P426&lt;&gt;"Yes"),"",$D426+ROW()/1000000)</f>
        <v/>
      </c>
      <c r="T426">
        <f>IF(connections!$A426="","",IFERROR(INDEX(games!$B$2:$B$950,MATCH(connections!$A426,games!$A$2:$A$950,0)),""))</f>
        <v/>
      </c>
      <c r="U426">
        <f>IF(connections!$A426="","",IFERROR(INDEX(games!$B$2:$B$950,MATCH(connections!$B426,games!$A$2:$A$950,0)),""))</f>
        <v/>
      </c>
      <c r="V426">
        <f>IF(OR($T426="",$U426=""),"",$U426-$T426)</f>
        <v/>
      </c>
    </row>
    <row r="427">
      <c r="A427">
        <f>IF(games!$A427="","",games!$A427)</f>
        <v/>
      </c>
      <c r="B427">
        <f>IF($A427="","",games!$B427)</f>
        <v/>
      </c>
      <c r="C427">
        <f>IF($A427="","",games!$C427)</f>
        <v/>
      </c>
      <c r="D427">
        <f>IF($A427="","",COUNTIF(connections!$A$2:$A$1400,$A427)+COUNTIF(connections!$B$2:$B$1400,$A427))</f>
        <v/>
      </c>
      <c r="E427">
        <f>IF($A427="","",IFERROR(MATCH($C427,$R$2:$R$5,0),0))</f>
        <v/>
      </c>
      <c r="F427">
        <f>IF($A427="","",MOD(ROW(),34))</f>
        <v/>
      </c>
      <c r="G427">
        <f>IF($A427="",NA(),IF($C427="Action",$B427,NA()))</f>
        <v/>
      </c>
      <c r="H427">
        <f>IF($A427="",NA(),IF($C427="Action",1+$F427*0.023,NA()))</f>
        <v/>
      </c>
      <c r="I427">
        <f>IF($A427="",NA(),IF($C427="Strategy",$B427,NA()))</f>
        <v/>
      </c>
      <c r="J427">
        <f>IF($A427="",NA(),IF($C427="Strategy",2+$F427*0.023,NA()))</f>
        <v/>
      </c>
      <c r="K427">
        <f>IF($A427="",NA(),IF($C427="Deckbuilder",$B427,NA()))</f>
        <v/>
      </c>
      <c r="L427">
        <f>IF($A427="",NA(),IF($C427="Deckbuilder",3+$F427*0.023,NA()))</f>
        <v/>
      </c>
      <c r="M427">
        <f>IF($A427="",NA(),IF($C427="Traditional",$B427,NA()))</f>
        <v/>
      </c>
      <c r="N427">
        <f>IF($A427="",NA(),IF($C427="Traditional",4+$F427*0.023,NA()))</f>
        <v/>
      </c>
      <c r="O427">
        <f>IF($A427="","",$D427+ROW()/1000000)</f>
        <v/>
      </c>
      <c r="P427">
        <f>IF(OR($A427="",games!$H427=""),"",games!$H427)</f>
        <v/>
      </c>
      <c r="Q427">
        <f>IF(OR($A427="",$P427&lt;&gt;"Yes"),"",$D427+ROW()/1000000)</f>
        <v/>
      </c>
      <c r="T427">
        <f>IF(connections!$A427="","",IFERROR(INDEX(games!$B$2:$B$950,MATCH(connections!$A427,games!$A$2:$A$950,0)),""))</f>
        <v/>
      </c>
      <c r="U427">
        <f>IF(connections!$A427="","",IFERROR(INDEX(games!$B$2:$B$950,MATCH(connections!$B427,games!$A$2:$A$950,0)),""))</f>
        <v/>
      </c>
      <c r="V427">
        <f>IF(OR($T427="",$U427=""),"",$U427-$T427)</f>
        <v/>
      </c>
    </row>
    <row r="428">
      <c r="A428">
        <f>IF(games!$A428="","",games!$A428)</f>
        <v/>
      </c>
      <c r="B428">
        <f>IF($A428="","",games!$B428)</f>
        <v/>
      </c>
      <c r="C428">
        <f>IF($A428="","",games!$C428)</f>
        <v/>
      </c>
      <c r="D428">
        <f>IF($A428="","",COUNTIF(connections!$A$2:$A$1400,$A428)+COUNTIF(connections!$B$2:$B$1400,$A428))</f>
        <v/>
      </c>
      <c r="E428">
        <f>IF($A428="","",IFERROR(MATCH($C428,$R$2:$R$5,0),0))</f>
        <v/>
      </c>
      <c r="F428">
        <f>IF($A428="","",MOD(ROW(),34))</f>
        <v/>
      </c>
      <c r="G428">
        <f>IF($A428="",NA(),IF($C428="Action",$B428,NA()))</f>
        <v/>
      </c>
      <c r="H428">
        <f>IF($A428="",NA(),IF($C428="Action",1+$F428*0.023,NA()))</f>
        <v/>
      </c>
      <c r="I428">
        <f>IF($A428="",NA(),IF($C428="Strategy",$B428,NA()))</f>
        <v/>
      </c>
      <c r="J428">
        <f>IF($A428="",NA(),IF($C428="Strategy",2+$F428*0.023,NA()))</f>
        <v/>
      </c>
      <c r="K428">
        <f>IF($A428="",NA(),IF($C428="Deckbuilder",$B428,NA()))</f>
        <v/>
      </c>
      <c r="L428">
        <f>IF($A428="",NA(),IF($C428="Deckbuilder",3+$F428*0.023,NA()))</f>
        <v/>
      </c>
      <c r="M428">
        <f>IF($A428="",NA(),IF($C428="Traditional",$B428,NA()))</f>
        <v/>
      </c>
      <c r="N428">
        <f>IF($A428="",NA(),IF($C428="Traditional",4+$F428*0.023,NA()))</f>
        <v/>
      </c>
      <c r="O428">
        <f>IF($A428="","",$D428+ROW()/1000000)</f>
        <v/>
      </c>
      <c r="P428">
        <f>IF(OR($A428="",games!$H428=""),"",games!$H428)</f>
        <v/>
      </c>
      <c r="Q428">
        <f>IF(OR($A428="",$P428&lt;&gt;"Yes"),"",$D428+ROW()/1000000)</f>
        <v/>
      </c>
      <c r="T428">
        <f>IF(connections!$A428="","",IFERROR(INDEX(games!$B$2:$B$950,MATCH(connections!$A428,games!$A$2:$A$950,0)),""))</f>
        <v/>
      </c>
      <c r="U428">
        <f>IF(connections!$A428="","",IFERROR(INDEX(games!$B$2:$B$950,MATCH(connections!$B428,games!$A$2:$A$950,0)),""))</f>
        <v/>
      </c>
      <c r="V428">
        <f>IF(OR($T428="",$U428=""),"",$U428-$T428)</f>
        <v/>
      </c>
    </row>
    <row r="429">
      <c r="A429">
        <f>IF(games!$A429="","",games!$A429)</f>
        <v/>
      </c>
      <c r="B429">
        <f>IF($A429="","",games!$B429)</f>
        <v/>
      </c>
      <c r="C429">
        <f>IF($A429="","",games!$C429)</f>
        <v/>
      </c>
      <c r="D429">
        <f>IF($A429="","",COUNTIF(connections!$A$2:$A$1400,$A429)+COUNTIF(connections!$B$2:$B$1400,$A429))</f>
        <v/>
      </c>
      <c r="E429">
        <f>IF($A429="","",IFERROR(MATCH($C429,$R$2:$R$5,0),0))</f>
        <v/>
      </c>
      <c r="F429">
        <f>IF($A429="","",MOD(ROW(),34))</f>
        <v/>
      </c>
      <c r="G429">
        <f>IF($A429="",NA(),IF($C429="Action",$B429,NA()))</f>
        <v/>
      </c>
      <c r="H429">
        <f>IF($A429="",NA(),IF($C429="Action",1+$F429*0.023,NA()))</f>
        <v/>
      </c>
      <c r="I429">
        <f>IF($A429="",NA(),IF($C429="Strategy",$B429,NA()))</f>
        <v/>
      </c>
      <c r="J429">
        <f>IF($A429="",NA(),IF($C429="Strategy",2+$F429*0.023,NA()))</f>
        <v/>
      </c>
      <c r="K429">
        <f>IF($A429="",NA(),IF($C429="Deckbuilder",$B429,NA()))</f>
        <v/>
      </c>
      <c r="L429">
        <f>IF($A429="",NA(),IF($C429="Deckbuilder",3+$F429*0.023,NA()))</f>
        <v/>
      </c>
      <c r="M429">
        <f>IF($A429="",NA(),IF($C429="Traditional",$B429,NA()))</f>
        <v/>
      </c>
      <c r="N429">
        <f>IF($A429="",NA(),IF($C429="Traditional",4+$F429*0.023,NA()))</f>
        <v/>
      </c>
      <c r="O429">
        <f>IF($A429="","",$D429+ROW()/1000000)</f>
        <v/>
      </c>
      <c r="P429">
        <f>IF(OR($A429="",games!$H429=""),"",games!$H429)</f>
        <v/>
      </c>
      <c r="Q429">
        <f>IF(OR($A429="",$P429&lt;&gt;"Yes"),"",$D429+ROW()/1000000)</f>
        <v/>
      </c>
      <c r="T429">
        <f>IF(connections!$A429="","",IFERROR(INDEX(games!$B$2:$B$950,MATCH(connections!$A429,games!$A$2:$A$950,0)),""))</f>
        <v/>
      </c>
      <c r="U429">
        <f>IF(connections!$A429="","",IFERROR(INDEX(games!$B$2:$B$950,MATCH(connections!$B429,games!$A$2:$A$950,0)),""))</f>
        <v/>
      </c>
      <c r="V429">
        <f>IF(OR($T429="",$U429=""),"",$U429-$T429)</f>
        <v/>
      </c>
    </row>
    <row r="430">
      <c r="A430">
        <f>IF(games!$A430="","",games!$A430)</f>
        <v/>
      </c>
      <c r="B430">
        <f>IF($A430="","",games!$B430)</f>
        <v/>
      </c>
      <c r="C430">
        <f>IF($A430="","",games!$C430)</f>
        <v/>
      </c>
      <c r="D430">
        <f>IF($A430="","",COUNTIF(connections!$A$2:$A$1400,$A430)+COUNTIF(connections!$B$2:$B$1400,$A430))</f>
        <v/>
      </c>
      <c r="E430">
        <f>IF($A430="","",IFERROR(MATCH($C430,$R$2:$R$5,0),0))</f>
        <v/>
      </c>
      <c r="F430">
        <f>IF($A430="","",MOD(ROW(),34))</f>
        <v/>
      </c>
      <c r="G430">
        <f>IF($A430="",NA(),IF($C430="Action",$B430,NA()))</f>
        <v/>
      </c>
      <c r="H430">
        <f>IF($A430="",NA(),IF($C430="Action",1+$F430*0.023,NA()))</f>
        <v/>
      </c>
      <c r="I430">
        <f>IF($A430="",NA(),IF($C430="Strategy",$B430,NA()))</f>
        <v/>
      </c>
      <c r="J430">
        <f>IF($A430="",NA(),IF($C430="Strategy",2+$F430*0.023,NA()))</f>
        <v/>
      </c>
      <c r="K430">
        <f>IF($A430="",NA(),IF($C430="Deckbuilder",$B430,NA()))</f>
        <v/>
      </c>
      <c r="L430">
        <f>IF($A430="",NA(),IF($C430="Deckbuilder",3+$F430*0.023,NA()))</f>
        <v/>
      </c>
      <c r="M430">
        <f>IF($A430="",NA(),IF($C430="Traditional",$B430,NA()))</f>
        <v/>
      </c>
      <c r="N430">
        <f>IF($A430="",NA(),IF($C430="Traditional",4+$F430*0.023,NA()))</f>
        <v/>
      </c>
      <c r="O430">
        <f>IF($A430="","",$D430+ROW()/1000000)</f>
        <v/>
      </c>
      <c r="P430">
        <f>IF(OR($A430="",games!$H430=""),"",games!$H430)</f>
        <v/>
      </c>
      <c r="Q430">
        <f>IF(OR($A430="",$P430&lt;&gt;"Yes"),"",$D430+ROW()/1000000)</f>
        <v/>
      </c>
      <c r="T430">
        <f>IF(connections!$A430="","",IFERROR(INDEX(games!$B$2:$B$950,MATCH(connections!$A430,games!$A$2:$A$950,0)),""))</f>
        <v/>
      </c>
      <c r="U430">
        <f>IF(connections!$A430="","",IFERROR(INDEX(games!$B$2:$B$950,MATCH(connections!$B430,games!$A$2:$A$950,0)),""))</f>
        <v/>
      </c>
      <c r="V430">
        <f>IF(OR($T430="",$U430=""),"",$U430-$T430)</f>
        <v/>
      </c>
    </row>
    <row r="431">
      <c r="A431">
        <f>IF(games!$A431="","",games!$A431)</f>
        <v/>
      </c>
      <c r="B431">
        <f>IF($A431="","",games!$B431)</f>
        <v/>
      </c>
      <c r="C431">
        <f>IF($A431="","",games!$C431)</f>
        <v/>
      </c>
      <c r="D431">
        <f>IF($A431="","",COUNTIF(connections!$A$2:$A$1400,$A431)+COUNTIF(connections!$B$2:$B$1400,$A431))</f>
        <v/>
      </c>
      <c r="E431">
        <f>IF($A431="","",IFERROR(MATCH($C431,$R$2:$R$5,0),0))</f>
        <v/>
      </c>
      <c r="F431">
        <f>IF($A431="","",MOD(ROW(),34))</f>
        <v/>
      </c>
      <c r="G431">
        <f>IF($A431="",NA(),IF($C431="Action",$B431,NA()))</f>
        <v/>
      </c>
      <c r="H431">
        <f>IF($A431="",NA(),IF($C431="Action",1+$F431*0.023,NA()))</f>
        <v/>
      </c>
      <c r="I431">
        <f>IF($A431="",NA(),IF($C431="Strategy",$B431,NA()))</f>
        <v/>
      </c>
      <c r="J431">
        <f>IF($A431="",NA(),IF($C431="Strategy",2+$F431*0.023,NA()))</f>
        <v/>
      </c>
      <c r="K431">
        <f>IF($A431="",NA(),IF($C431="Deckbuilder",$B431,NA()))</f>
        <v/>
      </c>
      <c r="L431">
        <f>IF($A431="",NA(),IF($C431="Deckbuilder",3+$F431*0.023,NA()))</f>
        <v/>
      </c>
      <c r="M431">
        <f>IF($A431="",NA(),IF($C431="Traditional",$B431,NA()))</f>
        <v/>
      </c>
      <c r="N431">
        <f>IF($A431="",NA(),IF($C431="Traditional",4+$F431*0.023,NA()))</f>
        <v/>
      </c>
      <c r="O431">
        <f>IF($A431="","",$D431+ROW()/1000000)</f>
        <v/>
      </c>
      <c r="P431">
        <f>IF(OR($A431="",games!$H431=""),"",games!$H431)</f>
        <v/>
      </c>
      <c r="Q431">
        <f>IF(OR($A431="",$P431&lt;&gt;"Yes"),"",$D431+ROW()/1000000)</f>
        <v/>
      </c>
      <c r="T431">
        <f>IF(connections!$A431="","",IFERROR(INDEX(games!$B$2:$B$950,MATCH(connections!$A431,games!$A$2:$A$950,0)),""))</f>
        <v/>
      </c>
      <c r="U431">
        <f>IF(connections!$A431="","",IFERROR(INDEX(games!$B$2:$B$950,MATCH(connections!$B431,games!$A$2:$A$950,0)),""))</f>
        <v/>
      </c>
      <c r="V431">
        <f>IF(OR($T431="",$U431=""),"",$U431-$T431)</f>
        <v/>
      </c>
    </row>
    <row r="432">
      <c r="A432">
        <f>IF(games!$A432="","",games!$A432)</f>
        <v/>
      </c>
      <c r="B432">
        <f>IF($A432="","",games!$B432)</f>
        <v/>
      </c>
      <c r="C432">
        <f>IF($A432="","",games!$C432)</f>
        <v/>
      </c>
      <c r="D432">
        <f>IF($A432="","",COUNTIF(connections!$A$2:$A$1400,$A432)+COUNTIF(connections!$B$2:$B$1400,$A432))</f>
        <v/>
      </c>
      <c r="E432">
        <f>IF($A432="","",IFERROR(MATCH($C432,$R$2:$R$5,0),0))</f>
        <v/>
      </c>
      <c r="F432">
        <f>IF($A432="","",MOD(ROW(),34))</f>
        <v/>
      </c>
      <c r="G432">
        <f>IF($A432="",NA(),IF($C432="Action",$B432,NA()))</f>
        <v/>
      </c>
      <c r="H432">
        <f>IF($A432="",NA(),IF($C432="Action",1+$F432*0.023,NA()))</f>
        <v/>
      </c>
      <c r="I432">
        <f>IF($A432="",NA(),IF($C432="Strategy",$B432,NA()))</f>
        <v/>
      </c>
      <c r="J432">
        <f>IF($A432="",NA(),IF($C432="Strategy",2+$F432*0.023,NA()))</f>
        <v/>
      </c>
      <c r="K432">
        <f>IF($A432="",NA(),IF($C432="Deckbuilder",$B432,NA()))</f>
        <v/>
      </c>
      <c r="L432">
        <f>IF($A432="",NA(),IF($C432="Deckbuilder",3+$F432*0.023,NA()))</f>
        <v/>
      </c>
      <c r="M432">
        <f>IF($A432="",NA(),IF($C432="Traditional",$B432,NA()))</f>
        <v/>
      </c>
      <c r="N432">
        <f>IF($A432="",NA(),IF($C432="Traditional",4+$F432*0.023,NA()))</f>
        <v/>
      </c>
      <c r="O432">
        <f>IF($A432="","",$D432+ROW()/1000000)</f>
        <v/>
      </c>
      <c r="P432">
        <f>IF(OR($A432="",games!$H432=""),"",games!$H432)</f>
        <v/>
      </c>
      <c r="Q432">
        <f>IF(OR($A432="",$P432&lt;&gt;"Yes"),"",$D432+ROW()/1000000)</f>
        <v/>
      </c>
      <c r="T432">
        <f>IF(connections!$A432="","",IFERROR(INDEX(games!$B$2:$B$950,MATCH(connections!$A432,games!$A$2:$A$950,0)),""))</f>
        <v/>
      </c>
      <c r="U432">
        <f>IF(connections!$A432="","",IFERROR(INDEX(games!$B$2:$B$950,MATCH(connections!$B432,games!$A$2:$A$950,0)),""))</f>
        <v/>
      </c>
      <c r="V432">
        <f>IF(OR($T432="",$U432=""),"",$U432-$T432)</f>
        <v/>
      </c>
    </row>
    <row r="433">
      <c r="A433">
        <f>IF(games!$A433="","",games!$A433)</f>
        <v/>
      </c>
      <c r="B433">
        <f>IF($A433="","",games!$B433)</f>
        <v/>
      </c>
      <c r="C433">
        <f>IF($A433="","",games!$C433)</f>
        <v/>
      </c>
      <c r="D433">
        <f>IF($A433="","",COUNTIF(connections!$A$2:$A$1400,$A433)+COUNTIF(connections!$B$2:$B$1400,$A433))</f>
        <v/>
      </c>
      <c r="E433">
        <f>IF($A433="","",IFERROR(MATCH($C433,$R$2:$R$5,0),0))</f>
        <v/>
      </c>
      <c r="F433">
        <f>IF($A433="","",MOD(ROW(),34))</f>
        <v/>
      </c>
      <c r="G433">
        <f>IF($A433="",NA(),IF($C433="Action",$B433,NA()))</f>
        <v/>
      </c>
      <c r="H433">
        <f>IF($A433="",NA(),IF($C433="Action",1+$F433*0.023,NA()))</f>
        <v/>
      </c>
      <c r="I433">
        <f>IF($A433="",NA(),IF($C433="Strategy",$B433,NA()))</f>
        <v/>
      </c>
      <c r="J433">
        <f>IF($A433="",NA(),IF($C433="Strategy",2+$F433*0.023,NA()))</f>
        <v/>
      </c>
      <c r="K433">
        <f>IF($A433="",NA(),IF($C433="Deckbuilder",$B433,NA()))</f>
        <v/>
      </c>
      <c r="L433">
        <f>IF($A433="",NA(),IF($C433="Deckbuilder",3+$F433*0.023,NA()))</f>
        <v/>
      </c>
      <c r="M433">
        <f>IF($A433="",NA(),IF($C433="Traditional",$B433,NA()))</f>
        <v/>
      </c>
      <c r="N433">
        <f>IF($A433="",NA(),IF($C433="Traditional",4+$F433*0.023,NA()))</f>
        <v/>
      </c>
      <c r="O433">
        <f>IF($A433="","",$D433+ROW()/1000000)</f>
        <v/>
      </c>
      <c r="P433">
        <f>IF(OR($A433="",games!$H433=""),"",games!$H433)</f>
        <v/>
      </c>
      <c r="Q433">
        <f>IF(OR($A433="",$P433&lt;&gt;"Yes"),"",$D433+ROW()/1000000)</f>
        <v/>
      </c>
      <c r="T433">
        <f>IF(connections!$A433="","",IFERROR(INDEX(games!$B$2:$B$950,MATCH(connections!$A433,games!$A$2:$A$950,0)),""))</f>
        <v/>
      </c>
      <c r="U433">
        <f>IF(connections!$A433="","",IFERROR(INDEX(games!$B$2:$B$950,MATCH(connections!$B433,games!$A$2:$A$950,0)),""))</f>
        <v/>
      </c>
      <c r="V433">
        <f>IF(OR($T433="",$U433=""),"",$U433-$T433)</f>
        <v/>
      </c>
    </row>
    <row r="434">
      <c r="A434">
        <f>IF(games!$A434="","",games!$A434)</f>
        <v/>
      </c>
      <c r="B434">
        <f>IF($A434="","",games!$B434)</f>
        <v/>
      </c>
      <c r="C434">
        <f>IF($A434="","",games!$C434)</f>
        <v/>
      </c>
      <c r="D434">
        <f>IF($A434="","",COUNTIF(connections!$A$2:$A$1400,$A434)+COUNTIF(connections!$B$2:$B$1400,$A434))</f>
        <v/>
      </c>
      <c r="E434">
        <f>IF($A434="","",IFERROR(MATCH($C434,$R$2:$R$5,0),0))</f>
        <v/>
      </c>
      <c r="F434">
        <f>IF($A434="","",MOD(ROW(),34))</f>
        <v/>
      </c>
      <c r="G434">
        <f>IF($A434="",NA(),IF($C434="Action",$B434,NA()))</f>
        <v/>
      </c>
      <c r="H434">
        <f>IF($A434="",NA(),IF($C434="Action",1+$F434*0.023,NA()))</f>
        <v/>
      </c>
      <c r="I434">
        <f>IF($A434="",NA(),IF($C434="Strategy",$B434,NA()))</f>
        <v/>
      </c>
      <c r="J434">
        <f>IF($A434="",NA(),IF($C434="Strategy",2+$F434*0.023,NA()))</f>
        <v/>
      </c>
      <c r="K434">
        <f>IF($A434="",NA(),IF($C434="Deckbuilder",$B434,NA()))</f>
        <v/>
      </c>
      <c r="L434">
        <f>IF($A434="",NA(),IF($C434="Deckbuilder",3+$F434*0.023,NA()))</f>
        <v/>
      </c>
      <c r="M434">
        <f>IF($A434="",NA(),IF($C434="Traditional",$B434,NA()))</f>
        <v/>
      </c>
      <c r="N434">
        <f>IF($A434="",NA(),IF($C434="Traditional",4+$F434*0.023,NA()))</f>
        <v/>
      </c>
      <c r="O434">
        <f>IF($A434="","",$D434+ROW()/1000000)</f>
        <v/>
      </c>
      <c r="P434">
        <f>IF(OR($A434="",games!$H434=""),"",games!$H434)</f>
        <v/>
      </c>
      <c r="Q434">
        <f>IF(OR($A434="",$P434&lt;&gt;"Yes"),"",$D434+ROW()/1000000)</f>
        <v/>
      </c>
      <c r="T434">
        <f>IF(connections!$A434="","",IFERROR(INDEX(games!$B$2:$B$950,MATCH(connections!$A434,games!$A$2:$A$950,0)),""))</f>
        <v/>
      </c>
      <c r="U434">
        <f>IF(connections!$A434="","",IFERROR(INDEX(games!$B$2:$B$950,MATCH(connections!$B434,games!$A$2:$A$950,0)),""))</f>
        <v/>
      </c>
      <c r="V434">
        <f>IF(OR($T434="",$U434=""),"",$U434-$T434)</f>
        <v/>
      </c>
    </row>
    <row r="435">
      <c r="A435">
        <f>IF(games!$A435="","",games!$A435)</f>
        <v/>
      </c>
      <c r="B435">
        <f>IF($A435="","",games!$B435)</f>
        <v/>
      </c>
      <c r="C435">
        <f>IF($A435="","",games!$C435)</f>
        <v/>
      </c>
      <c r="D435">
        <f>IF($A435="","",COUNTIF(connections!$A$2:$A$1400,$A435)+COUNTIF(connections!$B$2:$B$1400,$A435))</f>
        <v/>
      </c>
      <c r="E435">
        <f>IF($A435="","",IFERROR(MATCH($C435,$R$2:$R$5,0),0))</f>
        <v/>
      </c>
      <c r="F435">
        <f>IF($A435="","",MOD(ROW(),34))</f>
        <v/>
      </c>
      <c r="G435">
        <f>IF($A435="",NA(),IF($C435="Action",$B435,NA()))</f>
        <v/>
      </c>
      <c r="H435">
        <f>IF($A435="",NA(),IF($C435="Action",1+$F435*0.023,NA()))</f>
        <v/>
      </c>
      <c r="I435">
        <f>IF($A435="",NA(),IF($C435="Strategy",$B435,NA()))</f>
        <v/>
      </c>
      <c r="J435">
        <f>IF($A435="",NA(),IF($C435="Strategy",2+$F435*0.023,NA()))</f>
        <v/>
      </c>
      <c r="K435">
        <f>IF($A435="",NA(),IF($C435="Deckbuilder",$B435,NA()))</f>
        <v/>
      </c>
      <c r="L435">
        <f>IF($A435="",NA(),IF($C435="Deckbuilder",3+$F435*0.023,NA()))</f>
        <v/>
      </c>
      <c r="M435">
        <f>IF($A435="",NA(),IF($C435="Traditional",$B435,NA()))</f>
        <v/>
      </c>
      <c r="N435">
        <f>IF($A435="",NA(),IF($C435="Traditional",4+$F435*0.023,NA()))</f>
        <v/>
      </c>
      <c r="O435">
        <f>IF($A435="","",$D435+ROW()/1000000)</f>
        <v/>
      </c>
      <c r="P435">
        <f>IF(OR($A435="",games!$H435=""),"",games!$H435)</f>
        <v/>
      </c>
      <c r="Q435">
        <f>IF(OR($A435="",$P435&lt;&gt;"Yes"),"",$D435+ROW()/1000000)</f>
        <v/>
      </c>
      <c r="T435">
        <f>IF(connections!$A435="","",IFERROR(INDEX(games!$B$2:$B$950,MATCH(connections!$A435,games!$A$2:$A$950,0)),""))</f>
        <v/>
      </c>
      <c r="U435">
        <f>IF(connections!$A435="","",IFERROR(INDEX(games!$B$2:$B$950,MATCH(connections!$B435,games!$A$2:$A$950,0)),""))</f>
        <v/>
      </c>
      <c r="V435">
        <f>IF(OR($T435="",$U435=""),"",$U435-$T435)</f>
        <v/>
      </c>
    </row>
    <row r="436">
      <c r="A436">
        <f>IF(games!$A436="","",games!$A436)</f>
        <v/>
      </c>
      <c r="B436">
        <f>IF($A436="","",games!$B436)</f>
        <v/>
      </c>
      <c r="C436">
        <f>IF($A436="","",games!$C436)</f>
        <v/>
      </c>
      <c r="D436">
        <f>IF($A436="","",COUNTIF(connections!$A$2:$A$1400,$A436)+COUNTIF(connections!$B$2:$B$1400,$A436))</f>
        <v/>
      </c>
      <c r="E436">
        <f>IF($A436="","",IFERROR(MATCH($C436,$R$2:$R$5,0),0))</f>
        <v/>
      </c>
      <c r="F436">
        <f>IF($A436="","",MOD(ROW(),34))</f>
        <v/>
      </c>
      <c r="G436">
        <f>IF($A436="",NA(),IF($C436="Action",$B436,NA()))</f>
        <v/>
      </c>
      <c r="H436">
        <f>IF($A436="",NA(),IF($C436="Action",1+$F436*0.023,NA()))</f>
        <v/>
      </c>
      <c r="I436">
        <f>IF($A436="",NA(),IF($C436="Strategy",$B436,NA()))</f>
        <v/>
      </c>
      <c r="J436">
        <f>IF($A436="",NA(),IF($C436="Strategy",2+$F436*0.023,NA()))</f>
        <v/>
      </c>
      <c r="K436">
        <f>IF($A436="",NA(),IF($C436="Deckbuilder",$B436,NA()))</f>
        <v/>
      </c>
      <c r="L436">
        <f>IF($A436="",NA(),IF($C436="Deckbuilder",3+$F436*0.023,NA()))</f>
        <v/>
      </c>
      <c r="M436">
        <f>IF($A436="",NA(),IF($C436="Traditional",$B436,NA()))</f>
        <v/>
      </c>
      <c r="N436">
        <f>IF($A436="",NA(),IF($C436="Traditional",4+$F436*0.023,NA()))</f>
        <v/>
      </c>
      <c r="O436">
        <f>IF($A436="","",$D436+ROW()/1000000)</f>
        <v/>
      </c>
      <c r="P436">
        <f>IF(OR($A436="",games!$H436=""),"",games!$H436)</f>
        <v/>
      </c>
      <c r="Q436">
        <f>IF(OR($A436="",$P436&lt;&gt;"Yes"),"",$D436+ROW()/1000000)</f>
        <v/>
      </c>
      <c r="T436">
        <f>IF(connections!$A436="","",IFERROR(INDEX(games!$B$2:$B$950,MATCH(connections!$A436,games!$A$2:$A$950,0)),""))</f>
        <v/>
      </c>
      <c r="U436">
        <f>IF(connections!$A436="","",IFERROR(INDEX(games!$B$2:$B$950,MATCH(connections!$B436,games!$A$2:$A$950,0)),""))</f>
        <v/>
      </c>
      <c r="V436">
        <f>IF(OR($T436="",$U436=""),"",$U436-$T436)</f>
        <v/>
      </c>
    </row>
    <row r="437">
      <c r="A437">
        <f>IF(games!$A437="","",games!$A437)</f>
        <v/>
      </c>
      <c r="B437">
        <f>IF($A437="","",games!$B437)</f>
        <v/>
      </c>
      <c r="C437">
        <f>IF($A437="","",games!$C437)</f>
        <v/>
      </c>
      <c r="D437">
        <f>IF($A437="","",COUNTIF(connections!$A$2:$A$1400,$A437)+COUNTIF(connections!$B$2:$B$1400,$A437))</f>
        <v/>
      </c>
      <c r="E437">
        <f>IF($A437="","",IFERROR(MATCH($C437,$R$2:$R$5,0),0))</f>
        <v/>
      </c>
      <c r="F437">
        <f>IF($A437="","",MOD(ROW(),34))</f>
        <v/>
      </c>
      <c r="G437">
        <f>IF($A437="",NA(),IF($C437="Action",$B437,NA()))</f>
        <v/>
      </c>
      <c r="H437">
        <f>IF($A437="",NA(),IF($C437="Action",1+$F437*0.023,NA()))</f>
        <v/>
      </c>
      <c r="I437">
        <f>IF($A437="",NA(),IF($C437="Strategy",$B437,NA()))</f>
        <v/>
      </c>
      <c r="J437">
        <f>IF($A437="",NA(),IF($C437="Strategy",2+$F437*0.023,NA()))</f>
        <v/>
      </c>
      <c r="K437">
        <f>IF($A437="",NA(),IF($C437="Deckbuilder",$B437,NA()))</f>
        <v/>
      </c>
      <c r="L437">
        <f>IF($A437="",NA(),IF($C437="Deckbuilder",3+$F437*0.023,NA()))</f>
        <v/>
      </c>
      <c r="M437">
        <f>IF($A437="",NA(),IF($C437="Traditional",$B437,NA()))</f>
        <v/>
      </c>
      <c r="N437">
        <f>IF($A437="",NA(),IF($C437="Traditional",4+$F437*0.023,NA()))</f>
        <v/>
      </c>
      <c r="O437">
        <f>IF($A437="","",$D437+ROW()/1000000)</f>
        <v/>
      </c>
      <c r="P437">
        <f>IF(OR($A437="",games!$H437=""),"",games!$H437)</f>
        <v/>
      </c>
      <c r="Q437">
        <f>IF(OR($A437="",$P437&lt;&gt;"Yes"),"",$D437+ROW()/1000000)</f>
        <v/>
      </c>
      <c r="T437">
        <f>IF(connections!$A437="","",IFERROR(INDEX(games!$B$2:$B$950,MATCH(connections!$A437,games!$A$2:$A$950,0)),""))</f>
        <v/>
      </c>
      <c r="U437">
        <f>IF(connections!$A437="","",IFERROR(INDEX(games!$B$2:$B$950,MATCH(connections!$B437,games!$A$2:$A$950,0)),""))</f>
        <v/>
      </c>
      <c r="V437">
        <f>IF(OR($T437="",$U437=""),"",$U437-$T437)</f>
        <v/>
      </c>
    </row>
    <row r="438">
      <c r="A438">
        <f>IF(games!$A438="","",games!$A438)</f>
        <v/>
      </c>
      <c r="B438">
        <f>IF($A438="","",games!$B438)</f>
        <v/>
      </c>
      <c r="C438">
        <f>IF($A438="","",games!$C438)</f>
        <v/>
      </c>
      <c r="D438">
        <f>IF($A438="","",COUNTIF(connections!$A$2:$A$1400,$A438)+COUNTIF(connections!$B$2:$B$1400,$A438))</f>
        <v/>
      </c>
      <c r="E438">
        <f>IF($A438="","",IFERROR(MATCH($C438,$R$2:$R$5,0),0))</f>
        <v/>
      </c>
      <c r="F438">
        <f>IF($A438="","",MOD(ROW(),34))</f>
        <v/>
      </c>
      <c r="G438">
        <f>IF($A438="",NA(),IF($C438="Action",$B438,NA()))</f>
        <v/>
      </c>
      <c r="H438">
        <f>IF($A438="",NA(),IF($C438="Action",1+$F438*0.023,NA()))</f>
        <v/>
      </c>
      <c r="I438">
        <f>IF($A438="",NA(),IF($C438="Strategy",$B438,NA()))</f>
        <v/>
      </c>
      <c r="J438">
        <f>IF($A438="",NA(),IF($C438="Strategy",2+$F438*0.023,NA()))</f>
        <v/>
      </c>
      <c r="K438">
        <f>IF($A438="",NA(),IF($C438="Deckbuilder",$B438,NA()))</f>
        <v/>
      </c>
      <c r="L438">
        <f>IF($A438="",NA(),IF($C438="Deckbuilder",3+$F438*0.023,NA()))</f>
        <v/>
      </c>
      <c r="M438">
        <f>IF($A438="",NA(),IF($C438="Traditional",$B438,NA()))</f>
        <v/>
      </c>
      <c r="N438">
        <f>IF($A438="",NA(),IF($C438="Traditional",4+$F438*0.023,NA()))</f>
        <v/>
      </c>
      <c r="O438">
        <f>IF($A438="","",$D438+ROW()/1000000)</f>
        <v/>
      </c>
      <c r="P438">
        <f>IF(OR($A438="",games!$H438=""),"",games!$H438)</f>
        <v/>
      </c>
      <c r="Q438">
        <f>IF(OR($A438="",$P438&lt;&gt;"Yes"),"",$D438+ROW()/1000000)</f>
        <v/>
      </c>
      <c r="T438">
        <f>IF(connections!$A438="","",IFERROR(INDEX(games!$B$2:$B$950,MATCH(connections!$A438,games!$A$2:$A$950,0)),""))</f>
        <v/>
      </c>
      <c r="U438">
        <f>IF(connections!$A438="","",IFERROR(INDEX(games!$B$2:$B$950,MATCH(connections!$B438,games!$A$2:$A$950,0)),""))</f>
        <v/>
      </c>
      <c r="V438">
        <f>IF(OR($T438="",$U438=""),"",$U438-$T438)</f>
        <v/>
      </c>
    </row>
    <row r="439">
      <c r="A439">
        <f>IF(games!$A439="","",games!$A439)</f>
        <v/>
      </c>
      <c r="B439">
        <f>IF($A439="","",games!$B439)</f>
        <v/>
      </c>
      <c r="C439">
        <f>IF($A439="","",games!$C439)</f>
        <v/>
      </c>
      <c r="D439">
        <f>IF($A439="","",COUNTIF(connections!$A$2:$A$1400,$A439)+COUNTIF(connections!$B$2:$B$1400,$A439))</f>
        <v/>
      </c>
      <c r="E439">
        <f>IF($A439="","",IFERROR(MATCH($C439,$R$2:$R$5,0),0))</f>
        <v/>
      </c>
      <c r="F439">
        <f>IF($A439="","",MOD(ROW(),34))</f>
        <v/>
      </c>
      <c r="G439">
        <f>IF($A439="",NA(),IF($C439="Action",$B439,NA()))</f>
        <v/>
      </c>
      <c r="H439">
        <f>IF($A439="",NA(),IF($C439="Action",1+$F439*0.023,NA()))</f>
        <v/>
      </c>
      <c r="I439">
        <f>IF($A439="",NA(),IF($C439="Strategy",$B439,NA()))</f>
        <v/>
      </c>
      <c r="J439">
        <f>IF($A439="",NA(),IF($C439="Strategy",2+$F439*0.023,NA()))</f>
        <v/>
      </c>
      <c r="K439">
        <f>IF($A439="",NA(),IF($C439="Deckbuilder",$B439,NA()))</f>
        <v/>
      </c>
      <c r="L439">
        <f>IF($A439="",NA(),IF($C439="Deckbuilder",3+$F439*0.023,NA()))</f>
        <v/>
      </c>
      <c r="M439">
        <f>IF($A439="",NA(),IF($C439="Traditional",$B439,NA()))</f>
        <v/>
      </c>
      <c r="N439">
        <f>IF($A439="",NA(),IF($C439="Traditional",4+$F439*0.023,NA()))</f>
        <v/>
      </c>
      <c r="O439">
        <f>IF($A439="","",$D439+ROW()/1000000)</f>
        <v/>
      </c>
      <c r="P439">
        <f>IF(OR($A439="",games!$H439=""),"",games!$H439)</f>
        <v/>
      </c>
      <c r="Q439">
        <f>IF(OR($A439="",$P439&lt;&gt;"Yes"),"",$D439+ROW()/1000000)</f>
        <v/>
      </c>
      <c r="T439">
        <f>IF(connections!$A439="","",IFERROR(INDEX(games!$B$2:$B$950,MATCH(connections!$A439,games!$A$2:$A$950,0)),""))</f>
        <v/>
      </c>
      <c r="U439">
        <f>IF(connections!$A439="","",IFERROR(INDEX(games!$B$2:$B$950,MATCH(connections!$B439,games!$A$2:$A$950,0)),""))</f>
        <v/>
      </c>
      <c r="V439">
        <f>IF(OR($T439="",$U439=""),"",$U439-$T439)</f>
        <v/>
      </c>
    </row>
    <row r="440">
      <c r="A440">
        <f>IF(games!$A440="","",games!$A440)</f>
        <v/>
      </c>
      <c r="B440">
        <f>IF($A440="","",games!$B440)</f>
        <v/>
      </c>
      <c r="C440">
        <f>IF($A440="","",games!$C440)</f>
        <v/>
      </c>
      <c r="D440">
        <f>IF($A440="","",COUNTIF(connections!$A$2:$A$1400,$A440)+COUNTIF(connections!$B$2:$B$1400,$A440))</f>
        <v/>
      </c>
      <c r="E440">
        <f>IF($A440="","",IFERROR(MATCH($C440,$R$2:$R$5,0),0))</f>
        <v/>
      </c>
      <c r="F440">
        <f>IF($A440="","",MOD(ROW(),34))</f>
        <v/>
      </c>
      <c r="G440">
        <f>IF($A440="",NA(),IF($C440="Action",$B440,NA()))</f>
        <v/>
      </c>
      <c r="H440">
        <f>IF($A440="",NA(),IF($C440="Action",1+$F440*0.023,NA()))</f>
        <v/>
      </c>
      <c r="I440">
        <f>IF($A440="",NA(),IF($C440="Strategy",$B440,NA()))</f>
        <v/>
      </c>
      <c r="J440">
        <f>IF($A440="",NA(),IF($C440="Strategy",2+$F440*0.023,NA()))</f>
        <v/>
      </c>
      <c r="K440">
        <f>IF($A440="",NA(),IF($C440="Deckbuilder",$B440,NA()))</f>
        <v/>
      </c>
      <c r="L440">
        <f>IF($A440="",NA(),IF($C440="Deckbuilder",3+$F440*0.023,NA()))</f>
        <v/>
      </c>
      <c r="M440">
        <f>IF($A440="",NA(),IF($C440="Traditional",$B440,NA()))</f>
        <v/>
      </c>
      <c r="N440">
        <f>IF($A440="",NA(),IF($C440="Traditional",4+$F440*0.023,NA()))</f>
        <v/>
      </c>
      <c r="O440">
        <f>IF($A440="","",$D440+ROW()/1000000)</f>
        <v/>
      </c>
      <c r="P440">
        <f>IF(OR($A440="",games!$H440=""),"",games!$H440)</f>
        <v/>
      </c>
      <c r="Q440">
        <f>IF(OR($A440="",$P440&lt;&gt;"Yes"),"",$D440+ROW()/1000000)</f>
        <v/>
      </c>
      <c r="T440">
        <f>IF(connections!$A440="","",IFERROR(INDEX(games!$B$2:$B$950,MATCH(connections!$A440,games!$A$2:$A$950,0)),""))</f>
        <v/>
      </c>
      <c r="U440">
        <f>IF(connections!$A440="","",IFERROR(INDEX(games!$B$2:$B$950,MATCH(connections!$B440,games!$A$2:$A$950,0)),""))</f>
        <v/>
      </c>
      <c r="V440">
        <f>IF(OR($T440="",$U440=""),"",$U440-$T440)</f>
        <v/>
      </c>
    </row>
    <row r="441">
      <c r="A441">
        <f>IF(games!$A441="","",games!$A441)</f>
        <v/>
      </c>
      <c r="B441">
        <f>IF($A441="","",games!$B441)</f>
        <v/>
      </c>
      <c r="C441">
        <f>IF($A441="","",games!$C441)</f>
        <v/>
      </c>
      <c r="D441">
        <f>IF($A441="","",COUNTIF(connections!$A$2:$A$1400,$A441)+COUNTIF(connections!$B$2:$B$1400,$A441))</f>
        <v/>
      </c>
      <c r="E441">
        <f>IF($A441="","",IFERROR(MATCH($C441,$R$2:$R$5,0),0))</f>
        <v/>
      </c>
      <c r="F441">
        <f>IF($A441="","",MOD(ROW(),34))</f>
        <v/>
      </c>
      <c r="G441">
        <f>IF($A441="",NA(),IF($C441="Action",$B441,NA()))</f>
        <v/>
      </c>
      <c r="H441">
        <f>IF($A441="",NA(),IF($C441="Action",1+$F441*0.023,NA()))</f>
        <v/>
      </c>
      <c r="I441">
        <f>IF($A441="",NA(),IF($C441="Strategy",$B441,NA()))</f>
        <v/>
      </c>
      <c r="J441">
        <f>IF($A441="",NA(),IF($C441="Strategy",2+$F441*0.023,NA()))</f>
        <v/>
      </c>
      <c r="K441">
        <f>IF($A441="",NA(),IF($C441="Deckbuilder",$B441,NA()))</f>
        <v/>
      </c>
      <c r="L441">
        <f>IF($A441="",NA(),IF($C441="Deckbuilder",3+$F441*0.023,NA()))</f>
        <v/>
      </c>
      <c r="M441">
        <f>IF($A441="",NA(),IF($C441="Traditional",$B441,NA()))</f>
        <v/>
      </c>
      <c r="N441">
        <f>IF($A441="",NA(),IF($C441="Traditional",4+$F441*0.023,NA()))</f>
        <v/>
      </c>
      <c r="O441">
        <f>IF($A441="","",$D441+ROW()/1000000)</f>
        <v/>
      </c>
      <c r="P441">
        <f>IF(OR($A441="",games!$H441=""),"",games!$H441)</f>
        <v/>
      </c>
      <c r="Q441">
        <f>IF(OR($A441="",$P441&lt;&gt;"Yes"),"",$D441+ROW()/1000000)</f>
        <v/>
      </c>
      <c r="T441">
        <f>IF(connections!$A441="","",IFERROR(INDEX(games!$B$2:$B$950,MATCH(connections!$A441,games!$A$2:$A$950,0)),""))</f>
        <v/>
      </c>
      <c r="U441">
        <f>IF(connections!$A441="","",IFERROR(INDEX(games!$B$2:$B$950,MATCH(connections!$B441,games!$A$2:$A$950,0)),""))</f>
        <v/>
      </c>
      <c r="V441">
        <f>IF(OR($T441="",$U441=""),"",$U441-$T441)</f>
        <v/>
      </c>
    </row>
    <row r="442">
      <c r="A442">
        <f>IF(games!$A442="","",games!$A442)</f>
        <v/>
      </c>
      <c r="B442">
        <f>IF($A442="","",games!$B442)</f>
        <v/>
      </c>
      <c r="C442">
        <f>IF($A442="","",games!$C442)</f>
        <v/>
      </c>
      <c r="D442">
        <f>IF($A442="","",COUNTIF(connections!$A$2:$A$1400,$A442)+COUNTIF(connections!$B$2:$B$1400,$A442))</f>
        <v/>
      </c>
      <c r="E442">
        <f>IF($A442="","",IFERROR(MATCH($C442,$R$2:$R$5,0),0))</f>
        <v/>
      </c>
      <c r="F442">
        <f>IF($A442="","",MOD(ROW(),34))</f>
        <v/>
      </c>
      <c r="G442">
        <f>IF($A442="",NA(),IF($C442="Action",$B442,NA()))</f>
        <v/>
      </c>
      <c r="H442">
        <f>IF($A442="",NA(),IF($C442="Action",1+$F442*0.023,NA()))</f>
        <v/>
      </c>
      <c r="I442">
        <f>IF($A442="",NA(),IF($C442="Strategy",$B442,NA()))</f>
        <v/>
      </c>
      <c r="J442">
        <f>IF($A442="",NA(),IF($C442="Strategy",2+$F442*0.023,NA()))</f>
        <v/>
      </c>
      <c r="K442">
        <f>IF($A442="",NA(),IF($C442="Deckbuilder",$B442,NA()))</f>
        <v/>
      </c>
      <c r="L442">
        <f>IF($A442="",NA(),IF($C442="Deckbuilder",3+$F442*0.023,NA()))</f>
        <v/>
      </c>
      <c r="M442">
        <f>IF($A442="",NA(),IF($C442="Traditional",$B442,NA()))</f>
        <v/>
      </c>
      <c r="N442">
        <f>IF($A442="",NA(),IF($C442="Traditional",4+$F442*0.023,NA()))</f>
        <v/>
      </c>
      <c r="O442">
        <f>IF($A442="","",$D442+ROW()/1000000)</f>
        <v/>
      </c>
      <c r="P442">
        <f>IF(OR($A442="",games!$H442=""),"",games!$H442)</f>
        <v/>
      </c>
      <c r="Q442">
        <f>IF(OR($A442="",$P442&lt;&gt;"Yes"),"",$D442+ROW()/1000000)</f>
        <v/>
      </c>
      <c r="T442">
        <f>IF(connections!$A442="","",IFERROR(INDEX(games!$B$2:$B$950,MATCH(connections!$A442,games!$A$2:$A$950,0)),""))</f>
        <v/>
      </c>
      <c r="U442">
        <f>IF(connections!$A442="","",IFERROR(INDEX(games!$B$2:$B$950,MATCH(connections!$B442,games!$A$2:$A$950,0)),""))</f>
        <v/>
      </c>
      <c r="V442">
        <f>IF(OR($T442="",$U442=""),"",$U442-$T442)</f>
        <v/>
      </c>
    </row>
    <row r="443">
      <c r="A443">
        <f>IF(games!$A443="","",games!$A443)</f>
        <v/>
      </c>
      <c r="B443">
        <f>IF($A443="","",games!$B443)</f>
        <v/>
      </c>
      <c r="C443">
        <f>IF($A443="","",games!$C443)</f>
        <v/>
      </c>
      <c r="D443">
        <f>IF($A443="","",COUNTIF(connections!$A$2:$A$1400,$A443)+COUNTIF(connections!$B$2:$B$1400,$A443))</f>
        <v/>
      </c>
      <c r="E443">
        <f>IF($A443="","",IFERROR(MATCH($C443,$R$2:$R$5,0),0))</f>
        <v/>
      </c>
      <c r="F443">
        <f>IF($A443="","",MOD(ROW(),34))</f>
        <v/>
      </c>
      <c r="G443">
        <f>IF($A443="",NA(),IF($C443="Action",$B443,NA()))</f>
        <v/>
      </c>
      <c r="H443">
        <f>IF($A443="",NA(),IF($C443="Action",1+$F443*0.023,NA()))</f>
        <v/>
      </c>
      <c r="I443">
        <f>IF($A443="",NA(),IF($C443="Strategy",$B443,NA()))</f>
        <v/>
      </c>
      <c r="J443">
        <f>IF($A443="",NA(),IF($C443="Strategy",2+$F443*0.023,NA()))</f>
        <v/>
      </c>
      <c r="K443">
        <f>IF($A443="",NA(),IF($C443="Deckbuilder",$B443,NA()))</f>
        <v/>
      </c>
      <c r="L443">
        <f>IF($A443="",NA(),IF($C443="Deckbuilder",3+$F443*0.023,NA()))</f>
        <v/>
      </c>
      <c r="M443">
        <f>IF($A443="",NA(),IF($C443="Traditional",$B443,NA()))</f>
        <v/>
      </c>
      <c r="N443">
        <f>IF($A443="",NA(),IF($C443="Traditional",4+$F443*0.023,NA()))</f>
        <v/>
      </c>
      <c r="O443">
        <f>IF($A443="","",$D443+ROW()/1000000)</f>
        <v/>
      </c>
      <c r="P443">
        <f>IF(OR($A443="",games!$H443=""),"",games!$H443)</f>
        <v/>
      </c>
      <c r="Q443">
        <f>IF(OR($A443="",$P443&lt;&gt;"Yes"),"",$D443+ROW()/1000000)</f>
        <v/>
      </c>
      <c r="T443">
        <f>IF(connections!$A443="","",IFERROR(INDEX(games!$B$2:$B$950,MATCH(connections!$A443,games!$A$2:$A$950,0)),""))</f>
        <v/>
      </c>
      <c r="U443">
        <f>IF(connections!$A443="","",IFERROR(INDEX(games!$B$2:$B$950,MATCH(connections!$B443,games!$A$2:$A$950,0)),""))</f>
        <v/>
      </c>
      <c r="V443">
        <f>IF(OR($T443="",$U443=""),"",$U443-$T443)</f>
        <v/>
      </c>
    </row>
    <row r="444">
      <c r="A444">
        <f>IF(games!$A444="","",games!$A444)</f>
        <v/>
      </c>
      <c r="B444">
        <f>IF($A444="","",games!$B444)</f>
        <v/>
      </c>
      <c r="C444">
        <f>IF($A444="","",games!$C444)</f>
        <v/>
      </c>
      <c r="D444">
        <f>IF($A444="","",COUNTIF(connections!$A$2:$A$1400,$A444)+COUNTIF(connections!$B$2:$B$1400,$A444))</f>
        <v/>
      </c>
      <c r="E444">
        <f>IF($A444="","",IFERROR(MATCH($C444,$R$2:$R$5,0),0))</f>
        <v/>
      </c>
      <c r="F444">
        <f>IF($A444="","",MOD(ROW(),34))</f>
        <v/>
      </c>
      <c r="G444">
        <f>IF($A444="",NA(),IF($C444="Action",$B444,NA()))</f>
        <v/>
      </c>
      <c r="H444">
        <f>IF($A444="",NA(),IF($C444="Action",1+$F444*0.023,NA()))</f>
        <v/>
      </c>
      <c r="I444">
        <f>IF($A444="",NA(),IF($C444="Strategy",$B444,NA()))</f>
        <v/>
      </c>
      <c r="J444">
        <f>IF($A444="",NA(),IF($C444="Strategy",2+$F444*0.023,NA()))</f>
        <v/>
      </c>
      <c r="K444">
        <f>IF($A444="",NA(),IF($C444="Deckbuilder",$B444,NA()))</f>
        <v/>
      </c>
      <c r="L444">
        <f>IF($A444="",NA(),IF($C444="Deckbuilder",3+$F444*0.023,NA()))</f>
        <v/>
      </c>
      <c r="M444">
        <f>IF($A444="",NA(),IF($C444="Traditional",$B444,NA()))</f>
        <v/>
      </c>
      <c r="N444">
        <f>IF($A444="",NA(),IF($C444="Traditional",4+$F444*0.023,NA()))</f>
        <v/>
      </c>
      <c r="O444">
        <f>IF($A444="","",$D444+ROW()/1000000)</f>
        <v/>
      </c>
      <c r="P444">
        <f>IF(OR($A444="",games!$H444=""),"",games!$H444)</f>
        <v/>
      </c>
      <c r="Q444">
        <f>IF(OR($A444="",$P444&lt;&gt;"Yes"),"",$D444+ROW()/1000000)</f>
        <v/>
      </c>
      <c r="T444">
        <f>IF(connections!$A444="","",IFERROR(INDEX(games!$B$2:$B$950,MATCH(connections!$A444,games!$A$2:$A$950,0)),""))</f>
        <v/>
      </c>
      <c r="U444">
        <f>IF(connections!$A444="","",IFERROR(INDEX(games!$B$2:$B$950,MATCH(connections!$B444,games!$A$2:$A$950,0)),""))</f>
        <v/>
      </c>
      <c r="V444">
        <f>IF(OR($T444="",$U444=""),"",$U444-$T444)</f>
        <v/>
      </c>
    </row>
    <row r="445">
      <c r="A445">
        <f>IF(games!$A445="","",games!$A445)</f>
        <v/>
      </c>
      <c r="B445">
        <f>IF($A445="","",games!$B445)</f>
        <v/>
      </c>
      <c r="C445">
        <f>IF($A445="","",games!$C445)</f>
        <v/>
      </c>
      <c r="D445">
        <f>IF($A445="","",COUNTIF(connections!$A$2:$A$1400,$A445)+COUNTIF(connections!$B$2:$B$1400,$A445))</f>
        <v/>
      </c>
      <c r="E445">
        <f>IF($A445="","",IFERROR(MATCH($C445,$R$2:$R$5,0),0))</f>
        <v/>
      </c>
      <c r="F445">
        <f>IF($A445="","",MOD(ROW(),34))</f>
        <v/>
      </c>
      <c r="G445">
        <f>IF($A445="",NA(),IF($C445="Action",$B445,NA()))</f>
        <v/>
      </c>
      <c r="H445">
        <f>IF($A445="",NA(),IF($C445="Action",1+$F445*0.023,NA()))</f>
        <v/>
      </c>
      <c r="I445">
        <f>IF($A445="",NA(),IF($C445="Strategy",$B445,NA()))</f>
        <v/>
      </c>
      <c r="J445">
        <f>IF($A445="",NA(),IF($C445="Strategy",2+$F445*0.023,NA()))</f>
        <v/>
      </c>
      <c r="K445">
        <f>IF($A445="",NA(),IF($C445="Deckbuilder",$B445,NA()))</f>
        <v/>
      </c>
      <c r="L445">
        <f>IF($A445="",NA(),IF($C445="Deckbuilder",3+$F445*0.023,NA()))</f>
        <v/>
      </c>
      <c r="M445">
        <f>IF($A445="",NA(),IF($C445="Traditional",$B445,NA()))</f>
        <v/>
      </c>
      <c r="N445">
        <f>IF($A445="",NA(),IF($C445="Traditional",4+$F445*0.023,NA()))</f>
        <v/>
      </c>
      <c r="O445">
        <f>IF($A445="","",$D445+ROW()/1000000)</f>
        <v/>
      </c>
      <c r="P445">
        <f>IF(OR($A445="",games!$H445=""),"",games!$H445)</f>
        <v/>
      </c>
      <c r="Q445">
        <f>IF(OR($A445="",$P445&lt;&gt;"Yes"),"",$D445+ROW()/1000000)</f>
        <v/>
      </c>
      <c r="T445">
        <f>IF(connections!$A445="","",IFERROR(INDEX(games!$B$2:$B$950,MATCH(connections!$A445,games!$A$2:$A$950,0)),""))</f>
        <v/>
      </c>
      <c r="U445">
        <f>IF(connections!$A445="","",IFERROR(INDEX(games!$B$2:$B$950,MATCH(connections!$B445,games!$A$2:$A$950,0)),""))</f>
        <v/>
      </c>
      <c r="V445">
        <f>IF(OR($T445="",$U445=""),"",$U445-$T445)</f>
        <v/>
      </c>
    </row>
    <row r="446">
      <c r="A446">
        <f>IF(games!$A446="","",games!$A446)</f>
        <v/>
      </c>
      <c r="B446">
        <f>IF($A446="","",games!$B446)</f>
        <v/>
      </c>
      <c r="C446">
        <f>IF($A446="","",games!$C446)</f>
        <v/>
      </c>
      <c r="D446">
        <f>IF($A446="","",COUNTIF(connections!$A$2:$A$1400,$A446)+COUNTIF(connections!$B$2:$B$1400,$A446))</f>
        <v/>
      </c>
      <c r="E446">
        <f>IF($A446="","",IFERROR(MATCH($C446,$R$2:$R$5,0),0))</f>
        <v/>
      </c>
      <c r="F446">
        <f>IF($A446="","",MOD(ROW(),34))</f>
        <v/>
      </c>
      <c r="G446">
        <f>IF($A446="",NA(),IF($C446="Action",$B446,NA()))</f>
        <v/>
      </c>
      <c r="H446">
        <f>IF($A446="",NA(),IF($C446="Action",1+$F446*0.023,NA()))</f>
        <v/>
      </c>
      <c r="I446">
        <f>IF($A446="",NA(),IF($C446="Strategy",$B446,NA()))</f>
        <v/>
      </c>
      <c r="J446">
        <f>IF($A446="",NA(),IF($C446="Strategy",2+$F446*0.023,NA()))</f>
        <v/>
      </c>
      <c r="K446">
        <f>IF($A446="",NA(),IF($C446="Deckbuilder",$B446,NA()))</f>
        <v/>
      </c>
      <c r="L446">
        <f>IF($A446="",NA(),IF($C446="Deckbuilder",3+$F446*0.023,NA()))</f>
        <v/>
      </c>
      <c r="M446">
        <f>IF($A446="",NA(),IF($C446="Traditional",$B446,NA()))</f>
        <v/>
      </c>
      <c r="N446">
        <f>IF($A446="",NA(),IF($C446="Traditional",4+$F446*0.023,NA()))</f>
        <v/>
      </c>
      <c r="O446">
        <f>IF($A446="","",$D446+ROW()/1000000)</f>
        <v/>
      </c>
      <c r="P446">
        <f>IF(OR($A446="",games!$H446=""),"",games!$H446)</f>
        <v/>
      </c>
      <c r="Q446">
        <f>IF(OR($A446="",$P446&lt;&gt;"Yes"),"",$D446+ROW()/1000000)</f>
        <v/>
      </c>
      <c r="T446">
        <f>IF(connections!$A446="","",IFERROR(INDEX(games!$B$2:$B$950,MATCH(connections!$A446,games!$A$2:$A$950,0)),""))</f>
        <v/>
      </c>
      <c r="U446">
        <f>IF(connections!$A446="","",IFERROR(INDEX(games!$B$2:$B$950,MATCH(connections!$B446,games!$A$2:$A$950,0)),""))</f>
        <v/>
      </c>
      <c r="V446">
        <f>IF(OR($T446="",$U446=""),"",$U446-$T446)</f>
        <v/>
      </c>
    </row>
    <row r="447">
      <c r="A447">
        <f>IF(games!$A447="","",games!$A447)</f>
        <v/>
      </c>
      <c r="B447">
        <f>IF($A447="","",games!$B447)</f>
        <v/>
      </c>
      <c r="C447">
        <f>IF($A447="","",games!$C447)</f>
        <v/>
      </c>
      <c r="D447">
        <f>IF($A447="","",COUNTIF(connections!$A$2:$A$1400,$A447)+COUNTIF(connections!$B$2:$B$1400,$A447))</f>
        <v/>
      </c>
      <c r="E447">
        <f>IF($A447="","",IFERROR(MATCH($C447,$R$2:$R$5,0),0))</f>
        <v/>
      </c>
      <c r="F447">
        <f>IF($A447="","",MOD(ROW(),34))</f>
        <v/>
      </c>
      <c r="G447">
        <f>IF($A447="",NA(),IF($C447="Action",$B447,NA()))</f>
        <v/>
      </c>
      <c r="H447">
        <f>IF($A447="",NA(),IF($C447="Action",1+$F447*0.023,NA()))</f>
        <v/>
      </c>
      <c r="I447">
        <f>IF($A447="",NA(),IF($C447="Strategy",$B447,NA()))</f>
        <v/>
      </c>
      <c r="J447">
        <f>IF($A447="",NA(),IF($C447="Strategy",2+$F447*0.023,NA()))</f>
        <v/>
      </c>
      <c r="K447">
        <f>IF($A447="",NA(),IF($C447="Deckbuilder",$B447,NA()))</f>
        <v/>
      </c>
      <c r="L447">
        <f>IF($A447="",NA(),IF($C447="Deckbuilder",3+$F447*0.023,NA()))</f>
        <v/>
      </c>
      <c r="M447">
        <f>IF($A447="",NA(),IF($C447="Traditional",$B447,NA()))</f>
        <v/>
      </c>
      <c r="N447">
        <f>IF($A447="",NA(),IF($C447="Traditional",4+$F447*0.023,NA()))</f>
        <v/>
      </c>
      <c r="O447">
        <f>IF($A447="","",$D447+ROW()/1000000)</f>
        <v/>
      </c>
      <c r="P447">
        <f>IF(OR($A447="",games!$H447=""),"",games!$H447)</f>
        <v/>
      </c>
      <c r="Q447">
        <f>IF(OR($A447="",$P447&lt;&gt;"Yes"),"",$D447+ROW()/1000000)</f>
        <v/>
      </c>
      <c r="T447">
        <f>IF(connections!$A447="","",IFERROR(INDEX(games!$B$2:$B$950,MATCH(connections!$A447,games!$A$2:$A$950,0)),""))</f>
        <v/>
      </c>
      <c r="U447">
        <f>IF(connections!$A447="","",IFERROR(INDEX(games!$B$2:$B$950,MATCH(connections!$B447,games!$A$2:$A$950,0)),""))</f>
        <v/>
      </c>
      <c r="V447">
        <f>IF(OR($T447="",$U447=""),"",$U447-$T447)</f>
        <v/>
      </c>
    </row>
    <row r="448">
      <c r="A448">
        <f>IF(games!$A448="","",games!$A448)</f>
        <v/>
      </c>
      <c r="B448">
        <f>IF($A448="","",games!$B448)</f>
        <v/>
      </c>
      <c r="C448">
        <f>IF($A448="","",games!$C448)</f>
        <v/>
      </c>
      <c r="D448">
        <f>IF($A448="","",COUNTIF(connections!$A$2:$A$1400,$A448)+COUNTIF(connections!$B$2:$B$1400,$A448))</f>
        <v/>
      </c>
      <c r="E448">
        <f>IF($A448="","",IFERROR(MATCH($C448,$R$2:$R$5,0),0))</f>
        <v/>
      </c>
      <c r="F448">
        <f>IF($A448="","",MOD(ROW(),34))</f>
        <v/>
      </c>
      <c r="G448">
        <f>IF($A448="",NA(),IF($C448="Action",$B448,NA()))</f>
        <v/>
      </c>
      <c r="H448">
        <f>IF($A448="",NA(),IF($C448="Action",1+$F448*0.023,NA()))</f>
        <v/>
      </c>
      <c r="I448">
        <f>IF($A448="",NA(),IF($C448="Strategy",$B448,NA()))</f>
        <v/>
      </c>
      <c r="J448">
        <f>IF($A448="",NA(),IF($C448="Strategy",2+$F448*0.023,NA()))</f>
        <v/>
      </c>
      <c r="K448">
        <f>IF($A448="",NA(),IF($C448="Deckbuilder",$B448,NA()))</f>
        <v/>
      </c>
      <c r="L448">
        <f>IF($A448="",NA(),IF($C448="Deckbuilder",3+$F448*0.023,NA()))</f>
        <v/>
      </c>
      <c r="M448">
        <f>IF($A448="",NA(),IF($C448="Traditional",$B448,NA()))</f>
        <v/>
      </c>
      <c r="N448">
        <f>IF($A448="",NA(),IF($C448="Traditional",4+$F448*0.023,NA()))</f>
        <v/>
      </c>
      <c r="O448">
        <f>IF($A448="","",$D448+ROW()/1000000)</f>
        <v/>
      </c>
      <c r="P448">
        <f>IF(OR($A448="",games!$H448=""),"",games!$H448)</f>
        <v/>
      </c>
      <c r="Q448">
        <f>IF(OR($A448="",$P448&lt;&gt;"Yes"),"",$D448+ROW()/1000000)</f>
        <v/>
      </c>
      <c r="T448">
        <f>IF(connections!$A448="","",IFERROR(INDEX(games!$B$2:$B$950,MATCH(connections!$A448,games!$A$2:$A$950,0)),""))</f>
        <v/>
      </c>
      <c r="U448">
        <f>IF(connections!$A448="","",IFERROR(INDEX(games!$B$2:$B$950,MATCH(connections!$B448,games!$A$2:$A$950,0)),""))</f>
        <v/>
      </c>
      <c r="V448">
        <f>IF(OR($T448="",$U448=""),"",$U448-$T448)</f>
        <v/>
      </c>
    </row>
    <row r="449">
      <c r="A449">
        <f>IF(games!$A449="","",games!$A449)</f>
        <v/>
      </c>
      <c r="B449">
        <f>IF($A449="","",games!$B449)</f>
        <v/>
      </c>
      <c r="C449">
        <f>IF($A449="","",games!$C449)</f>
        <v/>
      </c>
      <c r="D449">
        <f>IF($A449="","",COUNTIF(connections!$A$2:$A$1400,$A449)+COUNTIF(connections!$B$2:$B$1400,$A449))</f>
        <v/>
      </c>
      <c r="E449">
        <f>IF($A449="","",IFERROR(MATCH($C449,$R$2:$R$5,0),0))</f>
        <v/>
      </c>
      <c r="F449">
        <f>IF($A449="","",MOD(ROW(),34))</f>
        <v/>
      </c>
      <c r="G449">
        <f>IF($A449="",NA(),IF($C449="Action",$B449,NA()))</f>
        <v/>
      </c>
      <c r="H449">
        <f>IF($A449="",NA(),IF($C449="Action",1+$F449*0.023,NA()))</f>
        <v/>
      </c>
      <c r="I449">
        <f>IF($A449="",NA(),IF($C449="Strategy",$B449,NA()))</f>
        <v/>
      </c>
      <c r="J449">
        <f>IF($A449="",NA(),IF($C449="Strategy",2+$F449*0.023,NA()))</f>
        <v/>
      </c>
      <c r="K449">
        <f>IF($A449="",NA(),IF($C449="Deckbuilder",$B449,NA()))</f>
        <v/>
      </c>
      <c r="L449">
        <f>IF($A449="",NA(),IF($C449="Deckbuilder",3+$F449*0.023,NA()))</f>
        <v/>
      </c>
      <c r="M449">
        <f>IF($A449="",NA(),IF($C449="Traditional",$B449,NA()))</f>
        <v/>
      </c>
      <c r="N449">
        <f>IF($A449="",NA(),IF($C449="Traditional",4+$F449*0.023,NA()))</f>
        <v/>
      </c>
      <c r="O449">
        <f>IF($A449="","",$D449+ROW()/1000000)</f>
        <v/>
      </c>
      <c r="P449">
        <f>IF(OR($A449="",games!$H449=""),"",games!$H449)</f>
        <v/>
      </c>
      <c r="Q449">
        <f>IF(OR($A449="",$P449&lt;&gt;"Yes"),"",$D449+ROW()/1000000)</f>
        <v/>
      </c>
      <c r="T449">
        <f>IF(connections!$A449="","",IFERROR(INDEX(games!$B$2:$B$950,MATCH(connections!$A449,games!$A$2:$A$950,0)),""))</f>
        <v/>
      </c>
      <c r="U449">
        <f>IF(connections!$A449="","",IFERROR(INDEX(games!$B$2:$B$950,MATCH(connections!$B449,games!$A$2:$A$950,0)),""))</f>
        <v/>
      </c>
      <c r="V449">
        <f>IF(OR($T449="",$U449=""),"",$U449-$T449)</f>
        <v/>
      </c>
    </row>
    <row r="450">
      <c r="A450">
        <f>IF(games!$A450="","",games!$A450)</f>
        <v/>
      </c>
      <c r="B450">
        <f>IF($A450="","",games!$B450)</f>
        <v/>
      </c>
      <c r="C450">
        <f>IF($A450="","",games!$C450)</f>
        <v/>
      </c>
      <c r="D450">
        <f>IF($A450="","",COUNTIF(connections!$A$2:$A$1400,$A450)+COUNTIF(connections!$B$2:$B$1400,$A450))</f>
        <v/>
      </c>
      <c r="E450">
        <f>IF($A450="","",IFERROR(MATCH($C450,$R$2:$R$5,0),0))</f>
        <v/>
      </c>
      <c r="F450">
        <f>IF($A450="","",MOD(ROW(),34))</f>
        <v/>
      </c>
      <c r="G450">
        <f>IF($A450="",NA(),IF($C450="Action",$B450,NA()))</f>
        <v/>
      </c>
      <c r="H450">
        <f>IF($A450="",NA(),IF($C450="Action",1+$F450*0.023,NA()))</f>
        <v/>
      </c>
      <c r="I450">
        <f>IF($A450="",NA(),IF($C450="Strategy",$B450,NA()))</f>
        <v/>
      </c>
      <c r="J450">
        <f>IF($A450="",NA(),IF($C450="Strategy",2+$F450*0.023,NA()))</f>
        <v/>
      </c>
      <c r="K450">
        <f>IF($A450="",NA(),IF($C450="Deckbuilder",$B450,NA()))</f>
        <v/>
      </c>
      <c r="L450">
        <f>IF($A450="",NA(),IF($C450="Deckbuilder",3+$F450*0.023,NA()))</f>
        <v/>
      </c>
      <c r="M450">
        <f>IF($A450="",NA(),IF($C450="Traditional",$B450,NA()))</f>
        <v/>
      </c>
      <c r="N450">
        <f>IF($A450="",NA(),IF($C450="Traditional",4+$F450*0.023,NA()))</f>
        <v/>
      </c>
      <c r="O450">
        <f>IF($A450="","",$D450+ROW()/1000000)</f>
        <v/>
      </c>
      <c r="P450">
        <f>IF(OR($A450="",games!$H450=""),"",games!$H450)</f>
        <v/>
      </c>
      <c r="Q450">
        <f>IF(OR($A450="",$P450&lt;&gt;"Yes"),"",$D450+ROW()/1000000)</f>
        <v/>
      </c>
      <c r="T450">
        <f>IF(connections!$A450="","",IFERROR(INDEX(games!$B$2:$B$950,MATCH(connections!$A450,games!$A$2:$A$950,0)),""))</f>
        <v/>
      </c>
      <c r="U450">
        <f>IF(connections!$A450="","",IFERROR(INDEX(games!$B$2:$B$950,MATCH(connections!$B450,games!$A$2:$A$950,0)),""))</f>
        <v/>
      </c>
      <c r="V450">
        <f>IF(OR($T450="",$U450=""),"",$U450-$T450)</f>
        <v/>
      </c>
    </row>
    <row r="451">
      <c r="A451">
        <f>IF(games!$A451="","",games!$A451)</f>
        <v/>
      </c>
      <c r="B451">
        <f>IF($A451="","",games!$B451)</f>
        <v/>
      </c>
      <c r="C451">
        <f>IF($A451="","",games!$C451)</f>
        <v/>
      </c>
      <c r="D451">
        <f>IF($A451="","",COUNTIF(connections!$A$2:$A$1400,$A451)+COUNTIF(connections!$B$2:$B$1400,$A451))</f>
        <v/>
      </c>
      <c r="E451">
        <f>IF($A451="","",IFERROR(MATCH($C451,$R$2:$R$5,0),0))</f>
        <v/>
      </c>
      <c r="F451">
        <f>IF($A451="","",MOD(ROW(),34))</f>
        <v/>
      </c>
      <c r="G451">
        <f>IF($A451="",NA(),IF($C451="Action",$B451,NA()))</f>
        <v/>
      </c>
      <c r="H451">
        <f>IF($A451="",NA(),IF($C451="Action",1+$F451*0.023,NA()))</f>
        <v/>
      </c>
      <c r="I451">
        <f>IF($A451="",NA(),IF($C451="Strategy",$B451,NA()))</f>
        <v/>
      </c>
      <c r="J451">
        <f>IF($A451="",NA(),IF($C451="Strategy",2+$F451*0.023,NA()))</f>
        <v/>
      </c>
      <c r="K451">
        <f>IF($A451="",NA(),IF($C451="Deckbuilder",$B451,NA()))</f>
        <v/>
      </c>
      <c r="L451">
        <f>IF($A451="",NA(),IF($C451="Deckbuilder",3+$F451*0.023,NA()))</f>
        <v/>
      </c>
      <c r="M451">
        <f>IF($A451="",NA(),IF($C451="Traditional",$B451,NA()))</f>
        <v/>
      </c>
      <c r="N451">
        <f>IF($A451="",NA(),IF($C451="Traditional",4+$F451*0.023,NA()))</f>
        <v/>
      </c>
      <c r="O451">
        <f>IF($A451="","",$D451+ROW()/1000000)</f>
        <v/>
      </c>
      <c r="P451">
        <f>IF(OR($A451="",games!$H451=""),"",games!$H451)</f>
        <v/>
      </c>
      <c r="Q451">
        <f>IF(OR($A451="",$P451&lt;&gt;"Yes"),"",$D451+ROW()/1000000)</f>
        <v/>
      </c>
      <c r="T451">
        <f>IF(connections!$A451="","",IFERROR(INDEX(games!$B$2:$B$950,MATCH(connections!$A451,games!$A$2:$A$950,0)),""))</f>
        <v/>
      </c>
      <c r="U451">
        <f>IF(connections!$A451="","",IFERROR(INDEX(games!$B$2:$B$950,MATCH(connections!$B451,games!$A$2:$A$950,0)),""))</f>
        <v/>
      </c>
      <c r="V451">
        <f>IF(OR($T451="",$U451=""),"",$U451-$T451)</f>
        <v/>
      </c>
    </row>
    <row r="452">
      <c r="A452">
        <f>IF(games!$A452="","",games!$A452)</f>
        <v/>
      </c>
      <c r="B452">
        <f>IF($A452="","",games!$B452)</f>
        <v/>
      </c>
      <c r="C452">
        <f>IF($A452="","",games!$C452)</f>
        <v/>
      </c>
      <c r="D452">
        <f>IF($A452="","",COUNTIF(connections!$A$2:$A$1400,$A452)+COUNTIF(connections!$B$2:$B$1400,$A452))</f>
        <v/>
      </c>
      <c r="E452">
        <f>IF($A452="","",IFERROR(MATCH($C452,$R$2:$R$5,0),0))</f>
        <v/>
      </c>
      <c r="F452">
        <f>IF($A452="","",MOD(ROW(),34))</f>
        <v/>
      </c>
      <c r="G452">
        <f>IF($A452="",NA(),IF($C452="Action",$B452,NA()))</f>
        <v/>
      </c>
      <c r="H452">
        <f>IF($A452="",NA(),IF($C452="Action",1+$F452*0.023,NA()))</f>
        <v/>
      </c>
      <c r="I452">
        <f>IF($A452="",NA(),IF($C452="Strategy",$B452,NA()))</f>
        <v/>
      </c>
      <c r="J452">
        <f>IF($A452="",NA(),IF($C452="Strategy",2+$F452*0.023,NA()))</f>
        <v/>
      </c>
      <c r="K452">
        <f>IF($A452="",NA(),IF($C452="Deckbuilder",$B452,NA()))</f>
        <v/>
      </c>
      <c r="L452">
        <f>IF($A452="",NA(),IF($C452="Deckbuilder",3+$F452*0.023,NA()))</f>
        <v/>
      </c>
      <c r="M452">
        <f>IF($A452="",NA(),IF($C452="Traditional",$B452,NA()))</f>
        <v/>
      </c>
      <c r="N452">
        <f>IF($A452="",NA(),IF($C452="Traditional",4+$F452*0.023,NA()))</f>
        <v/>
      </c>
      <c r="O452">
        <f>IF($A452="","",$D452+ROW()/1000000)</f>
        <v/>
      </c>
      <c r="P452">
        <f>IF(OR($A452="",games!$H452=""),"",games!$H452)</f>
        <v/>
      </c>
      <c r="Q452">
        <f>IF(OR($A452="",$P452&lt;&gt;"Yes"),"",$D452+ROW()/1000000)</f>
        <v/>
      </c>
      <c r="T452">
        <f>IF(connections!$A452="","",IFERROR(INDEX(games!$B$2:$B$950,MATCH(connections!$A452,games!$A$2:$A$950,0)),""))</f>
        <v/>
      </c>
      <c r="U452">
        <f>IF(connections!$A452="","",IFERROR(INDEX(games!$B$2:$B$950,MATCH(connections!$B452,games!$A$2:$A$950,0)),""))</f>
        <v/>
      </c>
      <c r="V452">
        <f>IF(OR($T452="",$U452=""),"",$U452-$T452)</f>
        <v/>
      </c>
    </row>
    <row r="453">
      <c r="A453">
        <f>IF(games!$A453="","",games!$A453)</f>
        <v/>
      </c>
      <c r="B453">
        <f>IF($A453="","",games!$B453)</f>
        <v/>
      </c>
      <c r="C453">
        <f>IF($A453="","",games!$C453)</f>
        <v/>
      </c>
      <c r="D453">
        <f>IF($A453="","",COUNTIF(connections!$A$2:$A$1400,$A453)+COUNTIF(connections!$B$2:$B$1400,$A453))</f>
        <v/>
      </c>
      <c r="E453">
        <f>IF($A453="","",IFERROR(MATCH($C453,$R$2:$R$5,0),0))</f>
        <v/>
      </c>
      <c r="F453">
        <f>IF($A453="","",MOD(ROW(),34))</f>
        <v/>
      </c>
      <c r="G453">
        <f>IF($A453="",NA(),IF($C453="Action",$B453,NA()))</f>
        <v/>
      </c>
      <c r="H453">
        <f>IF($A453="",NA(),IF($C453="Action",1+$F453*0.023,NA()))</f>
        <v/>
      </c>
      <c r="I453">
        <f>IF($A453="",NA(),IF($C453="Strategy",$B453,NA()))</f>
        <v/>
      </c>
      <c r="J453">
        <f>IF($A453="",NA(),IF($C453="Strategy",2+$F453*0.023,NA()))</f>
        <v/>
      </c>
      <c r="K453">
        <f>IF($A453="",NA(),IF($C453="Deckbuilder",$B453,NA()))</f>
        <v/>
      </c>
      <c r="L453">
        <f>IF($A453="",NA(),IF($C453="Deckbuilder",3+$F453*0.023,NA()))</f>
        <v/>
      </c>
      <c r="M453">
        <f>IF($A453="",NA(),IF($C453="Traditional",$B453,NA()))</f>
        <v/>
      </c>
      <c r="N453">
        <f>IF($A453="",NA(),IF($C453="Traditional",4+$F453*0.023,NA()))</f>
        <v/>
      </c>
      <c r="O453">
        <f>IF($A453="","",$D453+ROW()/1000000)</f>
        <v/>
      </c>
      <c r="P453">
        <f>IF(OR($A453="",games!$H453=""),"",games!$H453)</f>
        <v/>
      </c>
      <c r="Q453">
        <f>IF(OR($A453="",$P453&lt;&gt;"Yes"),"",$D453+ROW()/1000000)</f>
        <v/>
      </c>
      <c r="T453">
        <f>IF(connections!$A453="","",IFERROR(INDEX(games!$B$2:$B$950,MATCH(connections!$A453,games!$A$2:$A$950,0)),""))</f>
        <v/>
      </c>
      <c r="U453">
        <f>IF(connections!$A453="","",IFERROR(INDEX(games!$B$2:$B$950,MATCH(connections!$B453,games!$A$2:$A$950,0)),""))</f>
        <v/>
      </c>
      <c r="V453">
        <f>IF(OR($T453="",$U453=""),"",$U453-$T453)</f>
        <v/>
      </c>
    </row>
    <row r="454">
      <c r="A454">
        <f>IF(games!$A454="","",games!$A454)</f>
        <v/>
      </c>
      <c r="B454">
        <f>IF($A454="","",games!$B454)</f>
        <v/>
      </c>
      <c r="C454">
        <f>IF($A454="","",games!$C454)</f>
        <v/>
      </c>
      <c r="D454">
        <f>IF($A454="","",COUNTIF(connections!$A$2:$A$1400,$A454)+COUNTIF(connections!$B$2:$B$1400,$A454))</f>
        <v/>
      </c>
      <c r="E454">
        <f>IF($A454="","",IFERROR(MATCH($C454,$R$2:$R$5,0),0))</f>
        <v/>
      </c>
      <c r="F454">
        <f>IF($A454="","",MOD(ROW(),34))</f>
        <v/>
      </c>
      <c r="G454">
        <f>IF($A454="",NA(),IF($C454="Action",$B454,NA()))</f>
        <v/>
      </c>
      <c r="H454">
        <f>IF($A454="",NA(),IF($C454="Action",1+$F454*0.023,NA()))</f>
        <v/>
      </c>
      <c r="I454">
        <f>IF($A454="",NA(),IF($C454="Strategy",$B454,NA()))</f>
        <v/>
      </c>
      <c r="J454">
        <f>IF($A454="",NA(),IF($C454="Strategy",2+$F454*0.023,NA()))</f>
        <v/>
      </c>
      <c r="K454">
        <f>IF($A454="",NA(),IF($C454="Deckbuilder",$B454,NA()))</f>
        <v/>
      </c>
      <c r="L454">
        <f>IF($A454="",NA(),IF($C454="Deckbuilder",3+$F454*0.023,NA()))</f>
        <v/>
      </c>
      <c r="M454">
        <f>IF($A454="",NA(),IF($C454="Traditional",$B454,NA()))</f>
        <v/>
      </c>
      <c r="N454">
        <f>IF($A454="",NA(),IF($C454="Traditional",4+$F454*0.023,NA()))</f>
        <v/>
      </c>
      <c r="O454">
        <f>IF($A454="","",$D454+ROW()/1000000)</f>
        <v/>
      </c>
      <c r="P454">
        <f>IF(OR($A454="",games!$H454=""),"",games!$H454)</f>
        <v/>
      </c>
      <c r="Q454">
        <f>IF(OR($A454="",$P454&lt;&gt;"Yes"),"",$D454+ROW()/1000000)</f>
        <v/>
      </c>
      <c r="T454">
        <f>IF(connections!$A454="","",IFERROR(INDEX(games!$B$2:$B$950,MATCH(connections!$A454,games!$A$2:$A$950,0)),""))</f>
        <v/>
      </c>
      <c r="U454">
        <f>IF(connections!$A454="","",IFERROR(INDEX(games!$B$2:$B$950,MATCH(connections!$B454,games!$A$2:$A$950,0)),""))</f>
        <v/>
      </c>
      <c r="V454">
        <f>IF(OR($T454="",$U454=""),"",$U454-$T454)</f>
        <v/>
      </c>
    </row>
    <row r="455">
      <c r="A455">
        <f>IF(games!$A455="","",games!$A455)</f>
        <v/>
      </c>
      <c r="B455">
        <f>IF($A455="","",games!$B455)</f>
        <v/>
      </c>
      <c r="C455">
        <f>IF($A455="","",games!$C455)</f>
        <v/>
      </c>
      <c r="D455">
        <f>IF($A455="","",COUNTIF(connections!$A$2:$A$1400,$A455)+COUNTIF(connections!$B$2:$B$1400,$A455))</f>
        <v/>
      </c>
      <c r="E455">
        <f>IF($A455="","",IFERROR(MATCH($C455,$R$2:$R$5,0),0))</f>
        <v/>
      </c>
      <c r="F455">
        <f>IF($A455="","",MOD(ROW(),34))</f>
        <v/>
      </c>
      <c r="G455">
        <f>IF($A455="",NA(),IF($C455="Action",$B455,NA()))</f>
        <v/>
      </c>
      <c r="H455">
        <f>IF($A455="",NA(),IF($C455="Action",1+$F455*0.023,NA()))</f>
        <v/>
      </c>
      <c r="I455">
        <f>IF($A455="",NA(),IF($C455="Strategy",$B455,NA()))</f>
        <v/>
      </c>
      <c r="J455">
        <f>IF($A455="",NA(),IF($C455="Strategy",2+$F455*0.023,NA()))</f>
        <v/>
      </c>
      <c r="K455">
        <f>IF($A455="",NA(),IF($C455="Deckbuilder",$B455,NA()))</f>
        <v/>
      </c>
      <c r="L455">
        <f>IF($A455="",NA(),IF($C455="Deckbuilder",3+$F455*0.023,NA()))</f>
        <v/>
      </c>
      <c r="M455">
        <f>IF($A455="",NA(),IF($C455="Traditional",$B455,NA()))</f>
        <v/>
      </c>
      <c r="N455">
        <f>IF($A455="",NA(),IF($C455="Traditional",4+$F455*0.023,NA()))</f>
        <v/>
      </c>
      <c r="O455">
        <f>IF($A455="","",$D455+ROW()/1000000)</f>
        <v/>
      </c>
      <c r="P455">
        <f>IF(OR($A455="",games!$H455=""),"",games!$H455)</f>
        <v/>
      </c>
      <c r="Q455">
        <f>IF(OR($A455="",$P455&lt;&gt;"Yes"),"",$D455+ROW()/1000000)</f>
        <v/>
      </c>
      <c r="T455">
        <f>IF(connections!$A455="","",IFERROR(INDEX(games!$B$2:$B$950,MATCH(connections!$A455,games!$A$2:$A$950,0)),""))</f>
        <v/>
      </c>
      <c r="U455">
        <f>IF(connections!$A455="","",IFERROR(INDEX(games!$B$2:$B$950,MATCH(connections!$B455,games!$A$2:$A$950,0)),""))</f>
        <v/>
      </c>
      <c r="V455">
        <f>IF(OR($T455="",$U455=""),"",$U455-$T455)</f>
        <v/>
      </c>
    </row>
    <row r="456">
      <c r="A456">
        <f>IF(games!$A456="","",games!$A456)</f>
        <v/>
      </c>
      <c r="B456">
        <f>IF($A456="","",games!$B456)</f>
        <v/>
      </c>
      <c r="C456">
        <f>IF($A456="","",games!$C456)</f>
        <v/>
      </c>
      <c r="D456">
        <f>IF($A456="","",COUNTIF(connections!$A$2:$A$1400,$A456)+COUNTIF(connections!$B$2:$B$1400,$A456))</f>
        <v/>
      </c>
      <c r="E456">
        <f>IF($A456="","",IFERROR(MATCH($C456,$R$2:$R$5,0),0))</f>
        <v/>
      </c>
      <c r="F456">
        <f>IF($A456="","",MOD(ROW(),34))</f>
        <v/>
      </c>
      <c r="G456">
        <f>IF($A456="",NA(),IF($C456="Action",$B456,NA()))</f>
        <v/>
      </c>
      <c r="H456">
        <f>IF($A456="",NA(),IF($C456="Action",1+$F456*0.023,NA()))</f>
        <v/>
      </c>
      <c r="I456">
        <f>IF($A456="",NA(),IF($C456="Strategy",$B456,NA()))</f>
        <v/>
      </c>
      <c r="J456">
        <f>IF($A456="",NA(),IF($C456="Strategy",2+$F456*0.023,NA()))</f>
        <v/>
      </c>
      <c r="K456">
        <f>IF($A456="",NA(),IF($C456="Deckbuilder",$B456,NA()))</f>
        <v/>
      </c>
      <c r="L456">
        <f>IF($A456="",NA(),IF($C456="Deckbuilder",3+$F456*0.023,NA()))</f>
        <v/>
      </c>
      <c r="M456">
        <f>IF($A456="",NA(),IF($C456="Traditional",$B456,NA()))</f>
        <v/>
      </c>
      <c r="N456">
        <f>IF($A456="",NA(),IF($C456="Traditional",4+$F456*0.023,NA()))</f>
        <v/>
      </c>
      <c r="O456">
        <f>IF($A456="","",$D456+ROW()/1000000)</f>
        <v/>
      </c>
      <c r="P456">
        <f>IF(OR($A456="",games!$H456=""),"",games!$H456)</f>
        <v/>
      </c>
      <c r="Q456">
        <f>IF(OR($A456="",$P456&lt;&gt;"Yes"),"",$D456+ROW()/1000000)</f>
        <v/>
      </c>
      <c r="T456">
        <f>IF(connections!$A456="","",IFERROR(INDEX(games!$B$2:$B$950,MATCH(connections!$A456,games!$A$2:$A$950,0)),""))</f>
        <v/>
      </c>
      <c r="U456">
        <f>IF(connections!$A456="","",IFERROR(INDEX(games!$B$2:$B$950,MATCH(connections!$B456,games!$A$2:$A$950,0)),""))</f>
        <v/>
      </c>
      <c r="V456">
        <f>IF(OR($T456="",$U456=""),"",$U456-$T456)</f>
        <v/>
      </c>
    </row>
    <row r="457">
      <c r="A457">
        <f>IF(games!$A457="","",games!$A457)</f>
        <v/>
      </c>
      <c r="B457">
        <f>IF($A457="","",games!$B457)</f>
        <v/>
      </c>
      <c r="C457">
        <f>IF($A457="","",games!$C457)</f>
        <v/>
      </c>
      <c r="D457">
        <f>IF($A457="","",COUNTIF(connections!$A$2:$A$1400,$A457)+COUNTIF(connections!$B$2:$B$1400,$A457))</f>
        <v/>
      </c>
      <c r="E457">
        <f>IF($A457="","",IFERROR(MATCH($C457,$R$2:$R$5,0),0))</f>
        <v/>
      </c>
      <c r="F457">
        <f>IF($A457="","",MOD(ROW(),34))</f>
        <v/>
      </c>
      <c r="G457">
        <f>IF($A457="",NA(),IF($C457="Action",$B457,NA()))</f>
        <v/>
      </c>
      <c r="H457">
        <f>IF($A457="",NA(),IF($C457="Action",1+$F457*0.023,NA()))</f>
        <v/>
      </c>
      <c r="I457">
        <f>IF($A457="",NA(),IF($C457="Strategy",$B457,NA()))</f>
        <v/>
      </c>
      <c r="J457">
        <f>IF($A457="",NA(),IF($C457="Strategy",2+$F457*0.023,NA()))</f>
        <v/>
      </c>
      <c r="K457">
        <f>IF($A457="",NA(),IF($C457="Deckbuilder",$B457,NA()))</f>
        <v/>
      </c>
      <c r="L457">
        <f>IF($A457="",NA(),IF($C457="Deckbuilder",3+$F457*0.023,NA()))</f>
        <v/>
      </c>
      <c r="M457">
        <f>IF($A457="",NA(),IF($C457="Traditional",$B457,NA()))</f>
        <v/>
      </c>
      <c r="N457">
        <f>IF($A457="",NA(),IF($C457="Traditional",4+$F457*0.023,NA()))</f>
        <v/>
      </c>
      <c r="O457">
        <f>IF($A457="","",$D457+ROW()/1000000)</f>
        <v/>
      </c>
      <c r="P457">
        <f>IF(OR($A457="",games!$H457=""),"",games!$H457)</f>
        <v/>
      </c>
      <c r="Q457">
        <f>IF(OR($A457="",$P457&lt;&gt;"Yes"),"",$D457+ROW()/1000000)</f>
        <v/>
      </c>
      <c r="T457">
        <f>IF(connections!$A457="","",IFERROR(INDEX(games!$B$2:$B$950,MATCH(connections!$A457,games!$A$2:$A$950,0)),""))</f>
        <v/>
      </c>
      <c r="U457">
        <f>IF(connections!$A457="","",IFERROR(INDEX(games!$B$2:$B$950,MATCH(connections!$B457,games!$A$2:$A$950,0)),""))</f>
        <v/>
      </c>
      <c r="V457">
        <f>IF(OR($T457="",$U457=""),"",$U457-$T457)</f>
        <v/>
      </c>
    </row>
    <row r="458">
      <c r="A458">
        <f>IF(games!$A458="","",games!$A458)</f>
        <v/>
      </c>
      <c r="B458">
        <f>IF($A458="","",games!$B458)</f>
        <v/>
      </c>
      <c r="C458">
        <f>IF($A458="","",games!$C458)</f>
        <v/>
      </c>
      <c r="D458">
        <f>IF($A458="","",COUNTIF(connections!$A$2:$A$1400,$A458)+COUNTIF(connections!$B$2:$B$1400,$A458))</f>
        <v/>
      </c>
      <c r="E458">
        <f>IF($A458="","",IFERROR(MATCH($C458,$R$2:$R$5,0),0))</f>
        <v/>
      </c>
      <c r="F458">
        <f>IF($A458="","",MOD(ROW(),34))</f>
        <v/>
      </c>
      <c r="G458">
        <f>IF($A458="",NA(),IF($C458="Action",$B458,NA()))</f>
        <v/>
      </c>
      <c r="H458">
        <f>IF($A458="",NA(),IF($C458="Action",1+$F458*0.023,NA()))</f>
        <v/>
      </c>
      <c r="I458">
        <f>IF($A458="",NA(),IF($C458="Strategy",$B458,NA()))</f>
        <v/>
      </c>
      <c r="J458">
        <f>IF($A458="",NA(),IF($C458="Strategy",2+$F458*0.023,NA()))</f>
        <v/>
      </c>
      <c r="K458">
        <f>IF($A458="",NA(),IF($C458="Deckbuilder",$B458,NA()))</f>
        <v/>
      </c>
      <c r="L458">
        <f>IF($A458="",NA(),IF($C458="Deckbuilder",3+$F458*0.023,NA()))</f>
        <v/>
      </c>
      <c r="M458">
        <f>IF($A458="",NA(),IF($C458="Traditional",$B458,NA()))</f>
        <v/>
      </c>
      <c r="N458">
        <f>IF($A458="",NA(),IF($C458="Traditional",4+$F458*0.023,NA()))</f>
        <v/>
      </c>
      <c r="O458">
        <f>IF($A458="","",$D458+ROW()/1000000)</f>
        <v/>
      </c>
      <c r="P458">
        <f>IF(OR($A458="",games!$H458=""),"",games!$H458)</f>
        <v/>
      </c>
      <c r="Q458">
        <f>IF(OR($A458="",$P458&lt;&gt;"Yes"),"",$D458+ROW()/1000000)</f>
        <v/>
      </c>
      <c r="T458">
        <f>IF(connections!$A458="","",IFERROR(INDEX(games!$B$2:$B$950,MATCH(connections!$A458,games!$A$2:$A$950,0)),""))</f>
        <v/>
      </c>
      <c r="U458">
        <f>IF(connections!$A458="","",IFERROR(INDEX(games!$B$2:$B$950,MATCH(connections!$B458,games!$A$2:$A$950,0)),""))</f>
        <v/>
      </c>
      <c r="V458">
        <f>IF(OR($T458="",$U458=""),"",$U458-$T458)</f>
        <v/>
      </c>
    </row>
    <row r="459">
      <c r="A459">
        <f>IF(games!$A459="","",games!$A459)</f>
        <v/>
      </c>
      <c r="B459">
        <f>IF($A459="","",games!$B459)</f>
        <v/>
      </c>
      <c r="C459">
        <f>IF($A459="","",games!$C459)</f>
        <v/>
      </c>
      <c r="D459">
        <f>IF($A459="","",COUNTIF(connections!$A$2:$A$1400,$A459)+COUNTIF(connections!$B$2:$B$1400,$A459))</f>
        <v/>
      </c>
      <c r="E459">
        <f>IF($A459="","",IFERROR(MATCH($C459,$R$2:$R$5,0),0))</f>
        <v/>
      </c>
      <c r="F459">
        <f>IF($A459="","",MOD(ROW(),34))</f>
        <v/>
      </c>
      <c r="G459">
        <f>IF($A459="",NA(),IF($C459="Action",$B459,NA()))</f>
        <v/>
      </c>
      <c r="H459">
        <f>IF($A459="",NA(),IF($C459="Action",1+$F459*0.023,NA()))</f>
        <v/>
      </c>
      <c r="I459">
        <f>IF($A459="",NA(),IF($C459="Strategy",$B459,NA()))</f>
        <v/>
      </c>
      <c r="J459">
        <f>IF($A459="",NA(),IF($C459="Strategy",2+$F459*0.023,NA()))</f>
        <v/>
      </c>
      <c r="K459">
        <f>IF($A459="",NA(),IF($C459="Deckbuilder",$B459,NA()))</f>
        <v/>
      </c>
      <c r="L459">
        <f>IF($A459="",NA(),IF($C459="Deckbuilder",3+$F459*0.023,NA()))</f>
        <v/>
      </c>
      <c r="M459">
        <f>IF($A459="",NA(),IF($C459="Traditional",$B459,NA()))</f>
        <v/>
      </c>
      <c r="N459">
        <f>IF($A459="",NA(),IF($C459="Traditional",4+$F459*0.023,NA()))</f>
        <v/>
      </c>
      <c r="O459">
        <f>IF($A459="","",$D459+ROW()/1000000)</f>
        <v/>
      </c>
      <c r="P459">
        <f>IF(OR($A459="",games!$H459=""),"",games!$H459)</f>
        <v/>
      </c>
      <c r="Q459">
        <f>IF(OR($A459="",$P459&lt;&gt;"Yes"),"",$D459+ROW()/1000000)</f>
        <v/>
      </c>
      <c r="T459">
        <f>IF(connections!$A459="","",IFERROR(INDEX(games!$B$2:$B$950,MATCH(connections!$A459,games!$A$2:$A$950,0)),""))</f>
        <v/>
      </c>
      <c r="U459">
        <f>IF(connections!$A459="","",IFERROR(INDEX(games!$B$2:$B$950,MATCH(connections!$B459,games!$A$2:$A$950,0)),""))</f>
        <v/>
      </c>
      <c r="V459">
        <f>IF(OR($T459="",$U459=""),"",$U459-$T459)</f>
        <v/>
      </c>
    </row>
    <row r="460">
      <c r="A460">
        <f>IF(games!$A460="","",games!$A460)</f>
        <v/>
      </c>
      <c r="B460">
        <f>IF($A460="","",games!$B460)</f>
        <v/>
      </c>
      <c r="C460">
        <f>IF($A460="","",games!$C460)</f>
        <v/>
      </c>
      <c r="D460">
        <f>IF($A460="","",COUNTIF(connections!$A$2:$A$1400,$A460)+COUNTIF(connections!$B$2:$B$1400,$A460))</f>
        <v/>
      </c>
      <c r="E460">
        <f>IF($A460="","",IFERROR(MATCH($C460,$R$2:$R$5,0),0))</f>
        <v/>
      </c>
      <c r="F460">
        <f>IF($A460="","",MOD(ROW(),34))</f>
        <v/>
      </c>
      <c r="G460">
        <f>IF($A460="",NA(),IF($C460="Action",$B460,NA()))</f>
        <v/>
      </c>
      <c r="H460">
        <f>IF($A460="",NA(),IF($C460="Action",1+$F460*0.023,NA()))</f>
        <v/>
      </c>
      <c r="I460">
        <f>IF($A460="",NA(),IF($C460="Strategy",$B460,NA()))</f>
        <v/>
      </c>
      <c r="J460">
        <f>IF($A460="",NA(),IF($C460="Strategy",2+$F460*0.023,NA()))</f>
        <v/>
      </c>
      <c r="K460">
        <f>IF($A460="",NA(),IF($C460="Deckbuilder",$B460,NA()))</f>
        <v/>
      </c>
      <c r="L460">
        <f>IF($A460="",NA(),IF($C460="Deckbuilder",3+$F460*0.023,NA()))</f>
        <v/>
      </c>
      <c r="M460">
        <f>IF($A460="",NA(),IF($C460="Traditional",$B460,NA()))</f>
        <v/>
      </c>
      <c r="N460">
        <f>IF($A460="",NA(),IF($C460="Traditional",4+$F460*0.023,NA()))</f>
        <v/>
      </c>
      <c r="O460">
        <f>IF($A460="","",$D460+ROW()/1000000)</f>
        <v/>
      </c>
      <c r="P460">
        <f>IF(OR($A460="",games!$H460=""),"",games!$H460)</f>
        <v/>
      </c>
      <c r="Q460">
        <f>IF(OR($A460="",$P460&lt;&gt;"Yes"),"",$D460+ROW()/1000000)</f>
        <v/>
      </c>
      <c r="T460">
        <f>IF(connections!$A460="","",IFERROR(INDEX(games!$B$2:$B$950,MATCH(connections!$A460,games!$A$2:$A$950,0)),""))</f>
        <v/>
      </c>
      <c r="U460">
        <f>IF(connections!$A460="","",IFERROR(INDEX(games!$B$2:$B$950,MATCH(connections!$B460,games!$A$2:$A$950,0)),""))</f>
        <v/>
      </c>
      <c r="V460">
        <f>IF(OR($T460="",$U460=""),"",$U460-$T460)</f>
        <v/>
      </c>
    </row>
    <row r="461">
      <c r="A461">
        <f>IF(games!$A461="","",games!$A461)</f>
        <v/>
      </c>
      <c r="B461">
        <f>IF($A461="","",games!$B461)</f>
        <v/>
      </c>
      <c r="C461">
        <f>IF($A461="","",games!$C461)</f>
        <v/>
      </c>
      <c r="D461">
        <f>IF($A461="","",COUNTIF(connections!$A$2:$A$1400,$A461)+COUNTIF(connections!$B$2:$B$1400,$A461))</f>
        <v/>
      </c>
      <c r="E461">
        <f>IF($A461="","",IFERROR(MATCH($C461,$R$2:$R$5,0),0))</f>
        <v/>
      </c>
      <c r="F461">
        <f>IF($A461="","",MOD(ROW(),34))</f>
        <v/>
      </c>
      <c r="G461">
        <f>IF($A461="",NA(),IF($C461="Action",$B461,NA()))</f>
        <v/>
      </c>
      <c r="H461">
        <f>IF($A461="",NA(),IF($C461="Action",1+$F461*0.023,NA()))</f>
        <v/>
      </c>
      <c r="I461">
        <f>IF($A461="",NA(),IF($C461="Strategy",$B461,NA()))</f>
        <v/>
      </c>
      <c r="J461">
        <f>IF($A461="",NA(),IF($C461="Strategy",2+$F461*0.023,NA()))</f>
        <v/>
      </c>
      <c r="K461">
        <f>IF($A461="",NA(),IF($C461="Deckbuilder",$B461,NA()))</f>
        <v/>
      </c>
      <c r="L461">
        <f>IF($A461="",NA(),IF($C461="Deckbuilder",3+$F461*0.023,NA()))</f>
        <v/>
      </c>
      <c r="M461">
        <f>IF($A461="",NA(),IF($C461="Traditional",$B461,NA()))</f>
        <v/>
      </c>
      <c r="N461">
        <f>IF($A461="",NA(),IF($C461="Traditional",4+$F461*0.023,NA()))</f>
        <v/>
      </c>
      <c r="O461">
        <f>IF($A461="","",$D461+ROW()/1000000)</f>
        <v/>
      </c>
      <c r="P461">
        <f>IF(OR($A461="",games!$H461=""),"",games!$H461)</f>
        <v/>
      </c>
      <c r="Q461">
        <f>IF(OR($A461="",$P461&lt;&gt;"Yes"),"",$D461+ROW()/1000000)</f>
        <v/>
      </c>
      <c r="T461">
        <f>IF(connections!$A461="","",IFERROR(INDEX(games!$B$2:$B$950,MATCH(connections!$A461,games!$A$2:$A$950,0)),""))</f>
        <v/>
      </c>
      <c r="U461">
        <f>IF(connections!$A461="","",IFERROR(INDEX(games!$B$2:$B$950,MATCH(connections!$B461,games!$A$2:$A$950,0)),""))</f>
        <v/>
      </c>
      <c r="V461">
        <f>IF(OR($T461="",$U461=""),"",$U461-$T461)</f>
        <v/>
      </c>
    </row>
    <row r="462">
      <c r="A462">
        <f>IF(games!$A462="","",games!$A462)</f>
        <v/>
      </c>
      <c r="B462">
        <f>IF($A462="","",games!$B462)</f>
        <v/>
      </c>
      <c r="C462">
        <f>IF($A462="","",games!$C462)</f>
        <v/>
      </c>
      <c r="D462">
        <f>IF($A462="","",COUNTIF(connections!$A$2:$A$1400,$A462)+COUNTIF(connections!$B$2:$B$1400,$A462))</f>
        <v/>
      </c>
      <c r="E462">
        <f>IF($A462="","",IFERROR(MATCH($C462,$R$2:$R$5,0),0))</f>
        <v/>
      </c>
      <c r="F462">
        <f>IF($A462="","",MOD(ROW(),34))</f>
        <v/>
      </c>
      <c r="G462">
        <f>IF($A462="",NA(),IF($C462="Action",$B462,NA()))</f>
        <v/>
      </c>
      <c r="H462">
        <f>IF($A462="",NA(),IF($C462="Action",1+$F462*0.023,NA()))</f>
        <v/>
      </c>
      <c r="I462">
        <f>IF($A462="",NA(),IF($C462="Strategy",$B462,NA()))</f>
        <v/>
      </c>
      <c r="J462">
        <f>IF($A462="",NA(),IF($C462="Strategy",2+$F462*0.023,NA()))</f>
        <v/>
      </c>
      <c r="K462">
        <f>IF($A462="",NA(),IF($C462="Deckbuilder",$B462,NA()))</f>
        <v/>
      </c>
      <c r="L462">
        <f>IF($A462="",NA(),IF($C462="Deckbuilder",3+$F462*0.023,NA()))</f>
        <v/>
      </c>
      <c r="M462">
        <f>IF($A462="",NA(),IF($C462="Traditional",$B462,NA()))</f>
        <v/>
      </c>
      <c r="N462">
        <f>IF($A462="",NA(),IF($C462="Traditional",4+$F462*0.023,NA()))</f>
        <v/>
      </c>
      <c r="O462">
        <f>IF($A462="","",$D462+ROW()/1000000)</f>
        <v/>
      </c>
      <c r="P462">
        <f>IF(OR($A462="",games!$H462=""),"",games!$H462)</f>
        <v/>
      </c>
      <c r="Q462">
        <f>IF(OR($A462="",$P462&lt;&gt;"Yes"),"",$D462+ROW()/1000000)</f>
        <v/>
      </c>
      <c r="T462">
        <f>IF(connections!$A462="","",IFERROR(INDEX(games!$B$2:$B$950,MATCH(connections!$A462,games!$A$2:$A$950,0)),""))</f>
        <v/>
      </c>
      <c r="U462">
        <f>IF(connections!$A462="","",IFERROR(INDEX(games!$B$2:$B$950,MATCH(connections!$B462,games!$A$2:$A$950,0)),""))</f>
        <v/>
      </c>
      <c r="V462">
        <f>IF(OR($T462="",$U462=""),"",$U462-$T462)</f>
        <v/>
      </c>
    </row>
    <row r="463">
      <c r="A463">
        <f>IF(games!$A463="","",games!$A463)</f>
        <v/>
      </c>
      <c r="B463">
        <f>IF($A463="","",games!$B463)</f>
        <v/>
      </c>
      <c r="C463">
        <f>IF($A463="","",games!$C463)</f>
        <v/>
      </c>
      <c r="D463">
        <f>IF($A463="","",COUNTIF(connections!$A$2:$A$1400,$A463)+COUNTIF(connections!$B$2:$B$1400,$A463))</f>
        <v/>
      </c>
      <c r="E463">
        <f>IF($A463="","",IFERROR(MATCH($C463,$R$2:$R$5,0),0))</f>
        <v/>
      </c>
      <c r="F463">
        <f>IF($A463="","",MOD(ROW(),34))</f>
        <v/>
      </c>
      <c r="G463">
        <f>IF($A463="",NA(),IF($C463="Action",$B463,NA()))</f>
        <v/>
      </c>
      <c r="H463">
        <f>IF($A463="",NA(),IF($C463="Action",1+$F463*0.023,NA()))</f>
        <v/>
      </c>
      <c r="I463">
        <f>IF($A463="",NA(),IF($C463="Strategy",$B463,NA()))</f>
        <v/>
      </c>
      <c r="J463">
        <f>IF($A463="",NA(),IF($C463="Strategy",2+$F463*0.023,NA()))</f>
        <v/>
      </c>
      <c r="K463">
        <f>IF($A463="",NA(),IF($C463="Deckbuilder",$B463,NA()))</f>
        <v/>
      </c>
      <c r="L463">
        <f>IF($A463="",NA(),IF($C463="Deckbuilder",3+$F463*0.023,NA()))</f>
        <v/>
      </c>
      <c r="M463">
        <f>IF($A463="",NA(),IF($C463="Traditional",$B463,NA()))</f>
        <v/>
      </c>
      <c r="N463">
        <f>IF($A463="",NA(),IF($C463="Traditional",4+$F463*0.023,NA()))</f>
        <v/>
      </c>
      <c r="O463">
        <f>IF($A463="","",$D463+ROW()/1000000)</f>
        <v/>
      </c>
      <c r="P463">
        <f>IF(OR($A463="",games!$H463=""),"",games!$H463)</f>
        <v/>
      </c>
      <c r="Q463">
        <f>IF(OR($A463="",$P463&lt;&gt;"Yes"),"",$D463+ROW()/1000000)</f>
        <v/>
      </c>
      <c r="T463">
        <f>IF(connections!$A463="","",IFERROR(INDEX(games!$B$2:$B$950,MATCH(connections!$A463,games!$A$2:$A$950,0)),""))</f>
        <v/>
      </c>
      <c r="U463">
        <f>IF(connections!$A463="","",IFERROR(INDEX(games!$B$2:$B$950,MATCH(connections!$B463,games!$A$2:$A$950,0)),""))</f>
        <v/>
      </c>
      <c r="V463">
        <f>IF(OR($T463="",$U463=""),"",$U463-$T463)</f>
        <v/>
      </c>
    </row>
    <row r="464">
      <c r="A464">
        <f>IF(games!$A464="","",games!$A464)</f>
        <v/>
      </c>
      <c r="B464">
        <f>IF($A464="","",games!$B464)</f>
        <v/>
      </c>
      <c r="C464">
        <f>IF($A464="","",games!$C464)</f>
        <v/>
      </c>
      <c r="D464">
        <f>IF($A464="","",COUNTIF(connections!$A$2:$A$1400,$A464)+COUNTIF(connections!$B$2:$B$1400,$A464))</f>
        <v/>
      </c>
      <c r="E464">
        <f>IF($A464="","",IFERROR(MATCH($C464,$R$2:$R$5,0),0))</f>
        <v/>
      </c>
      <c r="F464">
        <f>IF($A464="","",MOD(ROW(),34))</f>
        <v/>
      </c>
      <c r="G464">
        <f>IF($A464="",NA(),IF($C464="Action",$B464,NA()))</f>
        <v/>
      </c>
      <c r="H464">
        <f>IF($A464="",NA(),IF($C464="Action",1+$F464*0.023,NA()))</f>
        <v/>
      </c>
      <c r="I464">
        <f>IF($A464="",NA(),IF($C464="Strategy",$B464,NA()))</f>
        <v/>
      </c>
      <c r="J464">
        <f>IF($A464="",NA(),IF($C464="Strategy",2+$F464*0.023,NA()))</f>
        <v/>
      </c>
      <c r="K464">
        <f>IF($A464="",NA(),IF($C464="Deckbuilder",$B464,NA()))</f>
        <v/>
      </c>
      <c r="L464">
        <f>IF($A464="",NA(),IF($C464="Deckbuilder",3+$F464*0.023,NA()))</f>
        <v/>
      </c>
      <c r="M464">
        <f>IF($A464="",NA(),IF($C464="Traditional",$B464,NA()))</f>
        <v/>
      </c>
      <c r="N464">
        <f>IF($A464="",NA(),IF($C464="Traditional",4+$F464*0.023,NA()))</f>
        <v/>
      </c>
      <c r="O464">
        <f>IF($A464="","",$D464+ROW()/1000000)</f>
        <v/>
      </c>
      <c r="P464">
        <f>IF(OR($A464="",games!$H464=""),"",games!$H464)</f>
        <v/>
      </c>
      <c r="Q464">
        <f>IF(OR($A464="",$P464&lt;&gt;"Yes"),"",$D464+ROW()/1000000)</f>
        <v/>
      </c>
      <c r="T464">
        <f>IF(connections!$A464="","",IFERROR(INDEX(games!$B$2:$B$950,MATCH(connections!$A464,games!$A$2:$A$950,0)),""))</f>
        <v/>
      </c>
      <c r="U464">
        <f>IF(connections!$A464="","",IFERROR(INDEX(games!$B$2:$B$950,MATCH(connections!$B464,games!$A$2:$A$950,0)),""))</f>
        <v/>
      </c>
      <c r="V464">
        <f>IF(OR($T464="",$U464=""),"",$U464-$T464)</f>
        <v/>
      </c>
    </row>
    <row r="465">
      <c r="A465">
        <f>IF(games!$A465="","",games!$A465)</f>
        <v/>
      </c>
      <c r="B465">
        <f>IF($A465="","",games!$B465)</f>
        <v/>
      </c>
      <c r="C465">
        <f>IF($A465="","",games!$C465)</f>
        <v/>
      </c>
      <c r="D465">
        <f>IF($A465="","",COUNTIF(connections!$A$2:$A$1400,$A465)+COUNTIF(connections!$B$2:$B$1400,$A465))</f>
        <v/>
      </c>
      <c r="E465">
        <f>IF($A465="","",IFERROR(MATCH($C465,$R$2:$R$5,0),0))</f>
        <v/>
      </c>
      <c r="F465">
        <f>IF($A465="","",MOD(ROW(),34))</f>
        <v/>
      </c>
      <c r="G465">
        <f>IF($A465="",NA(),IF($C465="Action",$B465,NA()))</f>
        <v/>
      </c>
      <c r="H465">
        <f>IF($A465="",NA(),IF($C465="Action",1+$F465*0.023,NA()))</f>
        <v/>
      </c>
      <c r="I465">
        <f>IF($A465="",NA(),IF($C465="Strategy",$B465,NA()))</f>
        <v/>
      </c>
      <c r="J465">
        <f>IF($A465="",NA(),IF($C465="Strategy",2+$F465*0.023,NA()))</f>
        <v/>
      </c>
      <c r="K465">
        <f>IF($A465="",NA(),IF($C465="Deckbuilder",$B465,NA()))</f>
        <v/>
      </c>
      <c r="L465">
        <f>IF($A465="",NA(),IF($C465="Deckbuilder",3+$F465*0.023,NA()))</f>
        <v/>
      </c>
      <c r="M465">
        <f>IF($A465="",NA(),IF($C465="Traditional",$B465,NA()))</f>
        <v/>
      </c>
      <c r="N465">
        <f>IF($A465="",NA(),IF($C465="Traditional",4+$F465*0.023,NA()))</f>
        <v/>
      </c>
      <c r="O465">
        <f>IF($A465="","",$D465+ROW()/1000000)</f>
        <v/>
      </c>
      <c r="P465">
        <f>IF(OR($A465="",games!$H465=""),"",games!$H465)</f>
        <v/>
      </c>
      <c r="Q465">
        <f>IF(OR($A465="",$P465&lt;&gt;"Yes"),"",$D465+ROW()/1000000)</f>
        <v/>
      </c>
      <c r="T465">
        <f>IF(connections!$A465="","",IFERROR(INDEX(games!$B$2:$B$950,MATCH(connections!$A465,games!$A$2:$A$950,0)),""))</f>
        <v/>
      </c>
      <c r="U465">
        <f>IF(connections!$A465="","",IFERROR(INDEX(games!$B$2:$B$950,MATCH(connections!$B465,games!$A$2:$A$950,0)),""))</f>
        <v/>
      </c>
      <c r="V465">
        <f>IF(OR($T465="",$U465=""),"",$U465-$T465)</f>
        <v/>
      </c>
    </row>
    <row r="466">
      <c r="A466">
        <f>IF(games!$A466="","",games!$A466)</f>
        <v/>
      </c>
      <c r="B466">
        <f>IF($A466="","",games!$B466)</f>
        <v/>
      </c>
      <c r="C466">
        <f>IF($A466="","",games!$C466)</f>
        <v/>
      </c>
      <c r="D466">
        <f>IF($A466="","",COUNTIF(connections!$A$2:$A$1400,$A466)+COUNTIF(connections!$B$2:$B$1400,$A466))</f>
        <v/>
      </c>
      <c r="E466">
        <f>IF($A466="","",IFERROR(MATCH($C466,$R$2:$R$5,0),0))</f>
        <v/>
      </c>
      <c r="F466">
        <f>IF($A466="","",MOD(ROW(),34))</f>
        <v/>
      </c>
      <c r="G466">
        <f>IF($A466="",NA(),IF($C466="Action",$B466,NA()))</f>
        <v/>
      </c>
      <c r="H466">
        <f>IF($A466="",NA(),IF($C466="Action",1+$F466*0.023,NA()))</f>
        <v/>
      </c>
      <c r="I466">
        <f>IF($A466="",NA(),IF($C466="Strategy",$B466,NA()))</f>
        <v/>
      </c>
      <c r="J466">
        <f>IF($A466="",NA(),IF($C466="Strategy",2+$F466*0.023,NA()))</f>
        <v/>
      </c>
      <c r="K466">
        <f>IF($A466="",NA(),IF($C466="Deckbuilder",$B466,NA()))</f>
        <v/>
      </c>
      <c r="L466">
        <f>IF($A466="",NA(),IF($C466="Deckbuilder",3+$F466*0.023,NA()))</f>
        <v/>
      </c>
      <c r="M466">
        <f>IF($A466="",NA(),IF($C466="Traditional",$B466,NA()))</f>
        <v/>
      </c>
      <c r="N466">
        <f>IF($A466="",NA(),IF($C466="Traditional",4+$F466*0.023,NA()))</f>
        <v/>
      </c>
      <c r="O466">
        <f>IF($A466="","",$D466+ROW()/1000000)</f>
        <v/>
      </c>
      <c r="P466">
        <f>IF(OR($A466="",games!$H466=""),"",games!$H466)</f>
        <v/>
      </c>
      <c r="Q466">
        <f>IF(OR($A466="",$P466&lt;&gt;"Yes"),"",$D466+ROW()/1000000)</f>
        <v/>
      </c>
      <c r="T466">
        <f>IF(connections!$A466="","",IFERROR(INDEX(games!$B$2:$B$950,MATCH(connections!$A466,games!$A$2:$A$950,0)),""))</f>
        <v/>
      </c>
      <c r="U466">
        <f>IF(connections!$A466="","",IFERROR(INDEX(games!$B$2:$B$950,MATCH(connections!$B466,games!$A$2:$A$950,0)),""))</f>
        <v/>
      </c>
      <c r="V466">
        <f>IF(OR($T466="",$U466=""),"",$U466-$T466)</f>
        <v/>
      </c>
    </row>
    <row r="467">
      <c r="A467">
        <f>IF(games!$A467="","",games!$A467)</f>
        <v/>
      </c>
      <c r="B467">
        <f>IF($A467="","",games!$B467)</f>
        <v/>
      </c>
      <c r="C467">
        <f>IF($A467="","",games!$C467)</f>
        <v/>
      </c>
      <c r="D467">
        <f>IF($A467="","",COUNTIF(connections!$A$2:$A$1400,$A467)+COUNTIF(connections!$B$2:$B$1400,$A467))</f>
        <v/>
      </c>
      <c r="E467">
        <f>IF($A467="","",IFERROR(MATCH($C467,$R$2:$R$5,0),0))</f>
        <v/>
      </c>
      <c r="F467">
        <f>IF($A467="","",MOD(ROW(),34))</f>
        <v/>
      </c>
      <c r="G467">
        <f>IF($A467="",NA(),IF($C467="Action",$B467,NA()))</f>
        <v/>
      </c>
      <c r="H467">
        <f>IF($A467="",NA(),IF($C467="Action",1+$F467*0.023,NA()))</f>
        <v/>
      </c>
      <c r="I467">
        <f>IF($A467="",NA(),IF($C467="Strategy",$B467,NA()))</f>
        <v/>
      </c>
      <c r="J467">
        <f>IF($A467="",NA(),IF($C467="Strategy",2+$F467*0.023,NA()))</f>
        <v/>
      </c>
      <c r="K467">
        <f>IF($A467="",NA(),IF($C467="Deckbuilder",$B467,NA()))</f>
        <v/>
      </c>
      <c r="L467">
        <f>IF($A467="",NA(),IF($C467="Deckbuilder",3+$F467*0.023,NA()))</f>
        <v/>
      </c>
      <c r="M467">
        <f>IF($A467="",NA(),IF($C467="Traditional",$B467,NA()))</f>
        <v/>
      </c>
      <c r="N467">
        <f>IF($A467="",NA(),IF($C467="Traditional",4+$F467*0.023,NA()))</f>
        <v/>
      </c>
      <c r="O467">
        <f>IF($A467="","",$D467+ROW()/1000000)</f>
        <v/>
      </c>
      <c r="P467">
        <f>IF(OR($A467="",games!$H467=""),"",games!$H467)</f>
        <v/>
      </c>
      <c r="Q467">
        <f>IF(OR($A467="",$P467&lt;&gt;"Yes"),"",$D467+ROW()/1000000)</f>
        <v/>
      </c>
      <c r="T467">
        <f>IF(connections!$A467="","",IFERROR(INDEX(games!$B$2:$B$950,MATCH(connections!$A467,games!$A$2:$A$950,0)),""))</f>
        <v/>
      </c>
      <c r="U467">
        <f>IF(connections!$A467="","",IFERROR(INDEX(games!$B$2:$B$950,MATCH(connections!$B467,games!$A$2:$A$950,0)),""))</f>
        <v/>
      </c>
      <c r="V467">
        <f>IF(OR($T467="",$U467=""),"",$U467-$T467)</f>
        <v/>
      </c>
    </row>
    <row r="468">
      <c r="A468">
        <f>IF(games!$A468="","",games!$A468)</f>
        <v/>
      </c>
      <c r="B468">
        <f>IF($A468="","",games!$B468)</f>
        <v/>
      </c>
      <c r="C468">
        <f>IF($A468="","",games!$C468)</f>
        <v/>
      </c>
      <c r="D468">
        <f>IF($A468="","",COUNTIF(connections!$A$2:$A$1400,$A468)+COUNTIF(connections!$B$2:$B$1400,$A468))</f>
        <v/>
      </c>
      <c r="E468">
        <f>IF($A468="","",IFERROR(MATCH($C468,$R$2:$R$5,0),0))</f>
        <v/>
      </c>
      <c r="F468">
        <f>IF($A468="","",MOD(ROW(),34))</f>
        <v/>
      </c>
      <c r="G468">
        <f>IF($A468="",NA(),IF($C468="Action",$B468,NA()))</f>
        <v/>
      </c>
      <c r="H468">
        <f>IF($A468="",NA(),IF($C468="Action",1+$F468*0.023,NA()))</f>
        <v/>
      </c>
      <c r="I468">
        <f>IF($A468="",NA(),IF($C468="Strategy",$B468,NA()))</f>
        <v/>
      </c>
      <c r="J468">
        <f>IF($A468="",NA(),IF($C468="Strategy",2+$F468*0.023,NA()))</f>
        <v/>
      </c>
      <c r="K468">
        <f>IF($A468="",NA(),IF($C468="Deckbuilder",$B468,NA()))</f>
        <v/>
      </c>
      <c r="L468">
        <f>IF($A468="",NA(),IF($C468="Deckbuilder",3+$F468*0.023,NA()))</f>
        <v/>
      </c>
      <c r="M468">
        <f>IF($A468="",NA(),IF($C468="Traditional",$B468,NA()))</f>
        <v/>
      </c>
      <c r="N468">
        <f>IF($A468="",NA(),IF($C468="Traditional",4+$F468*0.023,NA()))</f>
        <v/>
      </c>
      <c r="O468">
        <f>IF($A468="","",$D468+ROW()/1000000)</f>
        <v/>
      </c>
      <c r="P468">
        <f>IF(OR($A468="",games!$H468=""),"",games!$H468)</f>
        <v/>
      </c>
      <c r="Q468">
        <f>IF(OR($A468="",$P468&lt;&gt;"Yes"),"",$D468+ROW()/1000000)</f>
        <v/>
      </c>
      <c r="T468">
        <f>IF(connections!$A468="","",IFERROR(INDEX(games!$B$2:$B$950,MATCH(connections!$A468,games!$A$2:$A$950,0)),""))</f>
        <v/>
      </c>
      <c r="U468">
        <f>IF(connections!$A468="","",IFERROR(INDEX(games!$B$2:$B$950,MATCH(connections!$B468,games!$A$2:$A$950,0)),""))</f>
        <v/>
      </c>
      <c r="V468">
        <f>IF(OR($T468="",$U468=""),"",$U468-$T468)</f>
        <v/>
      </c>
    </row>
    <row r="469">
      <c r="A469">
        <f>IF(games!$A469="","",games!$A469)</f>
        <v/>
      </c>
      <c r="B469">
        <f>IF($A469="","",games!$B469)</f>
        <v/>
      </c>
      <c r="C469">
        <f>IF($A469="","",games!$C469)</f>
        <v/>
      </c>
      <c r="D469">
        <f>IF($A469="","",COUNTIF(connections!$A$2:$A$1400,$A469)+COUNTIF(connections!$B$2:$B$1400,$A469))</f>
        <v/>
      </c>
      <c r="E469">
        <f>IF($A469="","",IFERROR(MATCH($C469,$R$2:$R$5,0),0))</f>
        <v/>
      </c>
      <c r="F469">
        <f>IF($A469="","",MOD(ROW(),34))</f>
        <v/>
      </c>
      <c r="G469">
        <f>IF($A469="",NA(),IF($C469="Action",$B469,NA()))</f>
        <v/>
      </c>
      <c r="H469">
        <f>IF($A469="",NA(),IF($C469="Action",1+$F469*0.023,NA()))</f>
        <v/>
      </c>
      <c r="I469">
        <f>IF($A469="",NA(),IF($C469="Strategy",$B469,NA()))</f>
        <v/>
      </c>
      <c r="J469">
        <f>IF($A469="",NA(),IF($C469="Strategy",2+$F469*0.023,NA()))</f>
        <v/>
      </c>
      <c r="K469">
        <f>IF($A469="",NA(),IF($C469="Deckbuilder",$B469,NA()))</f>
        <v/>
      </c>
      <c r="L469">
        <f>IF($A469="",NA(),IF($C469="Deckbuilder",3+$F469*0.023,NA()))</f>
        <v/>
      </c>
      <c r="M469">
        <f>IF($A469="",NA(),IF($C469="Traditional",$B469,NA()))</f>
        <v/>
      </c>
      <c r="N469">
        <f>IF($A469="",NA(),IF($C469="Traditional",4+$F469*0.023,NA()))</f>
        <v/>
      </c>
      <c r="O469">
        <f>IF($A469="","",$D469+ROW()/1000000)</f>
        <v/>
      </c>
      <c r="P469">
        <f>IF(OR($A469="",games!$H469=""),"",games!$H469)</f>
        <v/>
      </c>
      <c r="Q469">
        <f>IF(OR($A469="",$P469&lt;&gt;"Yes"),"",$D469+ROW()/1000000)</f>
        <v/>
      </c>
      <c r="T469">
        <f>IF(connections!$A469="","",IFERROR(INDEX(games!$B$2:$B$950,MATCH(connections!$A469,games!$A$2:$A$950,0)),""))</f>
        <v/>
      </c>
      <c r="U469">
        <f>IF(connections!$A469="","",IFERROR(INDEX(games!$B$2:$B$950,MATCH(connections!$B469,games!$A$2:$A$950,0)),""))</f>
        <v/>
      </c>
      <c r="V469">
        <f>IF(OR($T469="",$U469=""),"",$U469-$T469)</f>
        <v/>
      </c>
    </row>
    <row r="470">
      <c r="A470">
        <f>IF(games!$A470="","",games!$A470)</f>
        <v/>
      </c>
      <c r="B470">
        <f>IF($A470="","",games!$B470)</f>
        <v/>
      </c>
      <c r="C470">
        <f>IF($A470="","",games!$C470)</f>
        <v/>
      </c>
      <c r="D470">
        <f>IF($A470="","",COUNTIF(connections!$A$2:$A$1400,$A470)+COUNTIF(connections!$B$2:$B$1400,$A470))</f>
        <v/>
      </c>
      <c r="E470">
        <f>IF($A470="","",IFERROR(MATCH($C470,$R$2:$R$5,0),0))</f>
        <v/>
      </c>
      <c r="F470">
        <f>IF($A470="","",MOD(ROW(),34))</f>
        <v/>
      </c>
      <c r="G470">
        <f>IF($A470="",NA(),IF($C470="Action",$B470,NA()))</f>
        <v/>
      </c>
      <c r="H470">
        <f>IF($A470="",NA(),IF($C470="Action",1+$F470*0.023,NA()))</f>
        <v/>
      </c>
      <c r="I470">
        <f>IF($A470="",NA(),IF($C470="Strategy",$B470,NA()))</f>
        <v/>
      </c>
      <c r="J470">
        <f>IF($A470="",NA(),IF($C470="Strategy",2+$F470*0.023,NA()))</f>
        <v/>
      </c>
      <c r="K470">
        <f>IF($A470="",NA(),IF($C470="Deckbuilder",$B470,NA()))</f>
        <v/>
      </c>
      <c r="L470">
        <f>IF($A470="",NA(),IF($C470="Deckbuilder",3+$F470*0.023,NA()))</f>
        <v/>
      </c>
      <c r="M470">
        <f>IF($A470="",NA(),IF($C470="Traditional",$B470,NA()))</f>
        <v/>
      </c>
      <c r="N470">
        <f>IF($A470="",NA(),IF($C470="Traditional",4+$F470*0.023,NA()))</f>
        <v/>
      </c>
      <c r="O470">
        <f>IF($A470="","",$D470+ROW()/1000000)</f>
        <v/>
      </c>
      <c r="P470">
        <f>IF(OR($A470="",games!$H470=""),"",games!$H470)</f>
        <v/>
      </c>
      <c r="Q470">
        <f>IF(OR($A470="",$P470&lt;&gt;"Yes"),"",$D470+ROW()/1000000)</f>
        <v/>
      </c>
      <c r="T470">
        <f>IF(connections!$A470="","",IFERROR(INDEX(games!$B$2:$B$950,MATCH(connections!$A470,games!$A$2:$A$950,0)),""))</f>
        <v/>
      </c>
      <c r="U470">
        <f>IF(connections!$A470="","",IFERROR(INDEX(games!$B$2:$B$950,MATCH(connections!$B470,games!$A$2:$A$950,0)),""))</f>
        <v/>
      </c>
      <c r="V470">
        <f>IF(OR($T470="",$U470=""),"",$U470-$T470)</f>
        <v/>
      </c>
    </row>
    <row r="471">
      <c r="A471">
        <f>IF(games!$A471="","",games!$A471)</f>
        <v/>
      </c>
      <c r="B471">
        <f>IF($A471="","",games!$B471)</f>
        <v/>
      </c>
      <c r="C471">
        <f>IF($A471="","",games!$C471)</f>
        <v/>
      </c>
      <c r="D471">
        <f>IF($A471="","",COUNTIF(connections!$A$2:$A$1400,$A471)+COUNTIF(connections!$B$2:$B$1400,$A471))</f>
        <v/>
      </c>
      <c r="E471">
        <f>IF($A471="","",IFERROR(MATCH($C471,$R$2:$R$5,0),0))</f>
        <v/>
      </c>
      <c r="F471">
        <f>IF($A471="","",MOD(ROW(),34))</f>
        <v/>
      </c>
      <c r="G471">
        <f>IF($A471="",NA(),IF($C471="Action",$B471,NA()))</f>
        <v/>
      </c>
      <c r="H471">
        <f>IF($A471="",NA(),IF($C471="Action",1+$F471*0.023,NA()))</f>
        <v/>
      </c>
      <c r="I471">
        <f>IF($A471="",NA(),IF($C471="Strategy",$B471,NA()))</f>
        <v/>
      </c>
      <c r="J471">
        <f>IF($A471="",NA(),IF($C471="Strategy",2+$F471*0.023,NA()))</f>
        <v/>
      </c>
      <c r="K471">
        <f>IF($A471="",NA(),IF($C471="Deckbuilder",$B471,NA()))</f>
        <v/>
      </c>
      <c r="L471">
        <f>IF($A471="",NA(),IF($C471="Deckbuilder",3+$F471*0.023,NA()))</f>
        <v/>
      </c>
      <c r="M471">
        <f>IF($A471="",NA(),IF($C471="Traditional",$B471,NA()))</f>
        <v/>
      </c>
      <c r="N471">
        <f>IF($A471="",NA(),IF($C471="Traditional",4+$F471*0.023,NA()))</f>
        <v/>
      </c>
      <c r="O471">
        <f>IF($A471="","",$D471+ROW()/1000000)</f>
        <v/>
      </c>
      <c r="P471">
        <f>IF(OR($A471="",games!$H471=""),"",games!$H471)</f>
        <v/>
      </c>
      <c r="Q471">
        <f>IF(OR($A471="",$P471&lt;&gt;"Yes"),"",$D471+ROW()/1000000)</f>
        <v/>
      </c>
      <c r="T471">
        <f>IF(connections!$A471="","",IFERROR(INDEX(games!$B$2:$B$950,MATCH(connections!$A471,games!$A$2:$A$950,0)),""))</f>
        <v/>
      </c>
      <c r="U471">
        <f>IF(connections!$A471="","",IFERROR(INDEX(games!$B$2:$B$950,MATCH(connections!$B471,games!$A$2:$A$950,0)),""))</f>
        <v/>
      </c>
      <c r="V471">
        <f>IF(OR($T471="",$U471=""),"",$U471-$T471)</f>
        <v/>
      </c>
    </row>
    <row r="472">
      <c r="A472">
        <f>IF(games!$A472="","",games!$A472)</f>
        <v/>
      </c>
      <c r="B472">
        <f>IF($A472="","",games!$B472)</f>
        <v/>
      </c>
      <c r="C472">
        <f>IF($A472="","",games!$C472)</f>
        <v/>
      </c>
      <c r="D472">
        <f>IF($A472="","",COUNTIF(connections!$A$2:$A$1400,$A472)+COUNTIF(connections!$B$2:$B$1400,$A472))</f>
        <v/>
      </c>
      <c r="E472">
        <f>IF($A472="","",IFERROR(MATCH($C472,$R$2:$R$5,0),0))</f>
        <v/>
      </c>
      <c r="F472">
        <f>IF($A472="","",MOD(ROW(),34))</f>
        <v/>
      </c>
      <c r="G472">
        <f>IF($A472="",NA(),IF($C472="Action",$B472,NA()))</f>
        <v/>
      </c>
      <c r="H472">
        <f>IF($A472="",NA(),IF($C472="Action",1+$F472*0.023,NA()))</f>
        <v/>
      </c>
      <c r="I472">
        <f>IF($A472="",NA(),IF($C472="Strategy",$B472,NA()))</f>
        <v/>
      </c>
      <c r="J472">
        <f>IF($A472="",NA(),IF($C472="Strategy",2+$F472*0.023,NA()))</f>
        <v/>
      </c>
      <c r="K472">
        <f>IF($A472="",NA(),IF($C472="Deckbuilder",$B472,NA()))</f>
        <v/>
      </c>
      <c r="L472">
        <f>IF($A472="",NA(),IF($C472="Deckbuilder",3+$F472*0.023,NA()))</f>
        <v/>
      </c>
      <c r="M472">
        <f>IF($A472="",NA(),IF($C472="Traditional",$B472,NA()))</f>
        <v/>
      </c>
      <c r="N472">
        <f>IF($A472="",NA(),IF($C472="Traditional",4+$F472*0.023,NA()))</f>
        <v/>
      </c>
      <c r="O472">
        <f>IF($A472="","",$D472+ROW()/1000000)</f>
        <v/>
      </c>
      <c r="P472">
        <f>IF(OR($A472="",games!$H472=""),"",games!$H472)</f>
        <v/>
      </c>
      <c r="Q472">
        <f>IF(OR($A472="",$P472&lt;&gt;"Yes"),"",$D472+ROW()/1000000)</f>
        <v/>
      </c>
      <c r="T472">
        <f>IF(connections!$A472="","",IFERROR(INDEX(games!$B$2:$B$950,MATCH(connections!$A472,games!$A$2:$A$950,0)),""))</f>
        <v/>
      </c>
      <c r="U472">
        <f>IF(connections!$A472="","",IFERROR(INDEX(games!$B$2:$B$950,MATCH(connections!$B472,games!$A$2:$A$950,0)),""))</f>
        <v/>
      </c>
      <c r="V472">
        <f>IF(OR($T472="",$U472=""),"",$U472-$T472)</f>
        <v/>
      </c>
    </row>
    <row r="473">
      <c r="A473">
        <f>IF(games!$A473="","",games!$A473)</f>
        <v/>
      </c>
      <c r="B473">
        <f>IF($A473="","",games!$B473)</f>
        <v/>
      </c>
      <c r="C473">
        <f>IF($A473="","",games!$C473)</f>
        <v/>
      </c>
      <c r="D473">
        <f>IF($A473="","",COUNTIF(connections!$A$2:$A$1400,$A473)+COUNTIF(connections!$B$2:$B$1400,$A473))</f>
        <v/>
      </c>
      <c r="E473">
        <f>IF($A473="","",IFERROR(MATCH($C473,$R$2:$R$5,0),0))</f>
        <v/>
      </c>
      <c r="F473">
        <f>IF($A473="","",MOD(ROW(),34))</f>
        <v/>
      </c>
      <c r="G473">
        <f>IF($A473="",NA(),IF($C473="Action",$B473,NA()))</f>
        <v/>
      </c>
      <c r="H473">
        <f>IF($A473="",NA(),IF($C473="Action",1+$F473*0.023,NA()))</f>
        <v/>
      </c>
      <c r="I473">
        <f>IF($A473="",NA(),IF($C473="Strategy",$B473,NA()))</f>
        <v/>
      </c>
      <c r="J473">
        <f>IF($A473="",NA(),IF($C473="Strategy",2+$F473*0.023,NA()))</f>
        <v/>
      </c>
      <c r="K473">
        <f>IF($A473="",NA(),IF($C473="Deckbuilder",$B473,NA()))</f>
        <v/>
      </c>
      <c r="L473">
        <f>IF($A473="",NA(),IF($C473="Deckbuilder",3+$F473*0.023,NA()))</f>
        <v/>
      </c>
      <c r="M473">
        <f>IF($A473="",NA(),IF($C473="Traditional",$B473,NA()))</f>
        <v/>
      </c>
      <c r="N473">
        <f>IF($A473="",NA(),IF($C473="Traditional",4+$F473*0.023,NA()))</f>
        <v/>
      </c>
      <c r="O473">
        <f>IF($A473="","",$D473+ROW()/1000000)</f>
        <v/>
      </c>
      <c r="P473">
        <f>IF(OR($A473="",games!$H473=""),"",games!$H473)</f>
        <v/>
      </c>
      <c r="Q473">
        <f>IF(OR($A473="",$P473&lt;&gt;"Yes"),"",$D473+ROW()/1000000)</f>
        <v/>
      </c>
      <c r="T473">
        <f>IF(connections!$A473="","",IFERROR(INDEX(games!$B$2:$B$950,MATCH(connections!$A473,games!$A$2:$A$950,0)),""))</f>
        <v/>
      </c>
      <c r="U473">
        <f>IF(connections!$A473="","",IFERROR(INDEX(games!$B$2:$B$950,MATCH(connections!$B473,games!$A$2:$A$950,0)),""))</f>
        <v/>
      </c>
      <c r="V473">
        <f>IF(OR($T473="",$U473=""),"",$U473-$T473)</f>
        <v/>
      </c>
    </row>
    <row r="474">
      <c r="A474">
        <f>IF(games!$A474="","",games!$A474)</f>
        <v/>
      </c>
      <c r="B474">
        <f>IF($A474="","",games!$B474)</f>
        <v/>
      </c>
      <c r="C474">
        <f>IF($A474="","",games!$C474)</f>
        <v/>
      </c>
      <c r="D474">
        <f>IF($A474="","",COUNTIF(connections!$A$2:$A$1400,$A474)+COUNTIF(connections!$B$2:$B$1400,$A474))</f>
        <v/>
      </c>
      <c r="E474">
        <f>IF($A474="","",IFERROR(MATCH($C474,$R$2:$R$5,0),0))</f>
        <v/>
      </c>
      <c r="F474">
        <f>IF($A474="","",MOD(ROW(),34))</f>
        <v/>
      </c>
      <c r="G474">
        <f>IF($A474="",NA(),IF($C474="Action",$B474,NA()))</f>
        <v/>
      </c>
      <c r="H474">
        <f>IF($A474="",NA(),IF($C474="Action",1+$F474*0.023,NA()))</f>
        <v/>
      </c>
      <c r="I474">
        <f>IF($A474="",NA(),IF($C474="Strategy",$B474,NA()))</f>
        <v/>
      </c>
      <c r="J474">
        <f>IF($A474="",NA(),IF($C474="Strategy",2+$F474*0.023,NA()))</f>
        <v/>
      </c>
      <c r="K474">
        <f>IF($A474="",NA(),IF($C474="Deckbuilder",$B474,NA()))</f>
        <v/>
      </c>
      <c r="L474">
        <f>IF($A474="",NA(),IF($C474="Deckbuilder",3+$F474*0.023,NA()))</f>
        <v/>
      </c>
      <c r="M474">
        <f>IF($A474="",NA(),IF($C474="Traditional",$B474,NA()))</f>
        <v/>
      </c>
      <c r="N474">
        <f>IF($A474="",NA(),IF($C474="Traditional",4+$F474*0.023,NA()))</f>
        <v/>
      </c>
      <c r="O474">
        <f>IF($A474="","",$D474+ROW()/1000000)</f>
        <v/>
      </c>
      <c r="P474">
        <f>IF(OR($A474="",games!$H474=""),"",games!$H474)</f>
        <v/>
      </c>
      <c r="Q474">
        <f>IF(OR($A474="",$P474&lt;&gt;"Yes"),"",$D474+ROW()/1000000)</f>
        <v/>
      </c>
      <c r="T474">
        <f>IF(connections!$A474="","",IFERROR(INDEX(games!$B$2:$B$950,MATCH(connections!$A474,games!$A$2:$A$950,0)),""))</f>
        <v/>
      </c>
      <c r="U474">
        <f>IF(connections!$A474="","",IFERROR(INDEX(games!$B$2:$B$950,MATCH(connections!$B474,games!$A$2:$A$950,0)),""))</f>
        <v/>
      </c>
      <c r="V474">
        <f>IF(OR($T474="",$U474=""),"",$U474-$T474)</f>
        <v/>
      </c>
    </row>
    <row r="475">
      <c r="A475">
        <f>IF(games!$A475="","",games!$A475)</f>
        <v/>
      </c>
      <c r="B475">
        <f>IF($A475="","",games!$B475)</f>
        <v/>
      </c>
      <c r="C475">
        <f>IF($A475="","",games!$C475)</f>
        <v/>
      </c>
      <c r="D475">
        <f>IF($A475="","",COUNTIF(connections!$A$2:$A$1400,$A475)+COUNTIF(connections!$B$2:$B$1400,$A475))</f>
        <v/>
      </c>
      <c r="E475">
        <f>IF($A475="","",IFERROR(MATCH($C475,$R$2:$R$5,0),0))</f>
        <v/>
      </c>
      <c r="F475">
        <f>IF($A475="","",MOD(ROW(),34))</f>
        <v/>
      </c>
      <c r="G475">
        <f>IF($A475="",NA(),IF($C475="Action",$B475,NA()))</f>
        <v/>
      </c>
      <c r="H475">
        <f>IF($A475="",NA(),IF($C475="Action",1+$F475*0.023,NA()))</f>
        <v/>
      </c>
      <c r="I475">
        <f>IF($A475="",NA(),IF($C475="Strategy",$B475,NA()))</f>
        <v/>
      </c>
      <c r="J475">
        <f>IF($A475="",NA(),IF($C475="Strategy",2+$F475*0.023,NA()))</f>
        <v/>
      </c>
      <c r="K475">
        <f>IF($A475="",NA(),IF($C475="Deckbuilder",$B475,NA()))</f>
        <v/>
      </c>
      <c r="L475">
        <f>IF($A475="",NA(),IF($C475="Deckbuilder",3+$F475*0.023,NA()))</f>
        <v/>
      </c>
      <c r="M475">
        <f>IF($A475="",NA(),IF($C475="Traditional",$B475,NA()))</f>
        <v/>
      </c>
      <c r="N475">
        <f>IF($A475="",NA(),IF($C475="Traditional",4+$F475*0.023,NA()))</f>
        <v/>
      </c>
      <c r="O475">
        <f>IF($A475="","",$D475+ROW()/1000000)</f>
        <v/>
      </c>
      <c r="P475">
        <f>IF(OR($A475="",games!$H475=""),"",games!$H475)</f>
        <v/>
      </c>
      <c r="Q475">
        <f>IF(OR($A475="",$P475&lt;&gt;"Yes"),"",$D475+ROW()/1000000)</f>
        <v/>
      </c>
      <c r="T475">
        <f>IF(connections!$A475="","",IFERROR(INDEX(games!$B$2:$B$950,MATCH(connections!$A475,games!$A$2:$A$950,0)),""))</f>
        <v/>
      </c>
      <c r="U475">
        <f>IF(connections!$A475="","",IFERROR(INDEX(games!$B$2:$B$950,MATCH(connections!$B475,games!$A$2:$A$950,0)),""))</f>
        <v/>
      </c>
      <c r="V475">
        <f>IF(OR($T475="",$U475=""),"",$U475-$T475)</f>
        <v/>
      </c>
    </row>
    <row r="476">
      <c r="A476">
        <f>IF(games!$A476="","",games!$A476)</f>
        <v/>
      </c>
      <c r="B476">
        <f>IF($A476="","",games!$B476)</f>
        <v/>
      </c>
      <c r="C476">
        <f>IF($A476="","",games!$C476)</f>
        <v/>
      </c>
      <c r="D476">
        <f>IF($A476="","",COUNTIF(connections!$A$2:$A$1400,$A476)+COUNTIF(connections!$B$2:$B$1400,$A476))</f>
        <v/>
      </c>
      <c r="E476">
        <f>IF($A476="","",IFERROR(MATCH($C476,$R$2:$R$5,0),0))</f>
        <v/>
      </c>
      <c r="F476">
        <f>IF($A476="","",MOD(ROW(),34))</f>
        <v/>
      </c>
      <c r="G476">
        <f>IF($A476="",NA(),IF($C476="Action",$B476,NA()))</f>
        <v/>
      </c>
      <c r="H476">
        <f>IF($A476="",NA(),IF($C476="Action",1+$F476*0.023,NA()))</f>
        <v/>
      </c>
      <c r="I476">
        <f>IF($A476="",NA(),IF($C476="Strategy",$B476,NA()))</f>
        <v/>
      </c>
      <c r="J476">
        <f>IF($A476="",NA(),IF($C476="Strategy",2+$F476*0.023,NA()))</f>
        <v/>
      </c>
      <c r="K476">
        <f>IF($A476="",NA(),IF($C476="Deckbuilder",$B476,NA()))</f>
        <v/>
      </c>
      <c r="L476">
        <f>IF($A476="",NA(),IF($C476="Deckbuilder",3+$F476*0.023,NA()))</f>
        <v/>
      </c>
      <c r="M476">
        <f>IF($A476="",NA(),IF($C476="Traditional",$B476,NA()))</f>
        <v/>
      </c>
      <c r="N476">
        <f>IF($A476="",NA(),IF($C476="Traditional",4+$F476*0.023,NA()))</f>
        <v/>
      </c>
      <c r="O476">
        <f>IF($A476="","",$D476+ROW()/1000000)</f>
        <v/>
      </c>
      <c r="P476">
        <f>IF(OR($A476="",games!$H476=""),"",games!$H476)</f>
        <v/>
      </c>
      <c r="Q476">
        <f>IF(OR($A476="",$P476&lt;&gt;"Yes"),"",$D476+ROW()/1000000)</f>
        <v/>
      </c>
      <c r="T476">
        <f>IF(connections!$A476="","",IFERROR(INDEX(games!$B$2:$B$950,MATCH(connections!$A476,games!$A$2:$A$950,0)),""))</f>
        <v/>
      </c>
      <c r="U476">
        <f>IF(connections!$A476="","",IFERROR(INDEX(games!$B$2:$B$950,MATCH(connections!$B476,games!$A$2:$A$950,0)),""))</f>
        <v/>
      </c>
      <c r="V476">
        <f>IF(OR($T476="",$U476=""),"",$U476-$T476)</f>
        <v/>
      </c>
    </row>
    <row r="477">
      <c r="A477">
        <f>IF(games!$A477="","",games!$A477)</f>
        <v/>
      </c>
      <c r="B477">
        <f>IF($A477="","",games!$B477)</f>
        <v/>
      </c>
      <c r="C477">
        <f>IF($A477="","",games!$C477)</f>
        <v/>
      </c>
      <c r="D477">
        <f>IF($A477="","",COUNTIF(connections!$A$2:$A$1400,$A477)+COUNTIF(connections!$B$2:$B$1400,$A477))</f>
        <v/>
      </c>
      <c r="E477">
        <f>IF($A477="","",IFERROR(MATCH($C477,$R$2:$R$5,0),0))</f>
        <v/>
      </c>
      <c r="F477">
        <f>IF($A477="","",MOD(ROW(),34))</f>
        <v/>
      </c>
      <c r="G477">
        <f>IF($A477="",NA(),IF($C477="Action",$B477,NA()))</f>
        <v/>
      </c>
      <c r="H477">
        <f>IF($A477="",NA(),IF($C477="Action",1+$F477*0.023,NA()))</f>
        <v/>
      </c>
      <c r="I477">
        <f>IF($A477="",NA(),IF($C477="Strategy",$B477,NA()))</f>
        <v/>
      </c>
      <c r="J477">
        <f>IF($A477="",NA(),IF($C477="Strategy",2+$F477*0.023,NA()))</f>
        <v/>
      </c>
      <c r="K477">
        <f>IF($A477="",NA(),IF($C477="Deckbuilder",$B477,NA()))</f>
        <v/>
      </c>
      <c r="L477">
        <f>IF($A477="",NA(),IF($C477="Deckbuilder",3+$F477*0.023,NA()))</f>
        <v/>
      </c>
      <c r="M477">
        <f>IF($A477="",NA(),IF($C477="Traditional",$B477,NA()))</f>
        <v/>
      </c>
      <c r="N477">
        <f>IF($A477="",NA(),IF($C477="Traditional",4+$F477*0.023,NA()))</f>
        <v/>
      </c>
      <c r="O477">
        <f>IF($A477="","",$D477+ROW()/1000000)</f>
        <v/>
      </c>
      <c r="P477">
        <f>IF(OR($A477="",games!$H477=""),"",games!$H477)</f>
        <v/>
      </c>
      <c r="Q477">
        <f>IF(OR($A477="",$P477&lt;&gt;"Yes"),"",$D477+ROW()/1000000)</f>
        <v/>
      </c>
      <c r="T477">
        <f>IF(connections!$A477="","",IFERROR(INDEX(games!$B$2:$B$950,MATCH(connections!$A477,games!$A$2:$A$950,0)),""))</f>
        <v/>
      </c>
      <c r="U477">
        <f>IF(connections!$A477="","",IFERROR(INDEX(games!$B$2:$B$950,MATCH(connections!$B477,games!$A$2:$A$950,0)),""))</f>
        <v/>
      </c>
      <c r="V477">
        <f>IF(OR($T477="",$U477=""),"",$U477-$T477)</f>
        <v/>
      </c>
    </row>
    <row r="478">
      <c r="A478">
        <f>IF(games!$A478="","",games!$A478)</f>
        <v/>
      </c>
      <c r="B478">
        <f>IF($A478="","",games!$B478)</f>
        <v/>
      </c>
      <c r="C478">
        <f>IF($A478="","",games!$C478)</f>
        <v/>
      </c>
      <c r="D478">
        <f>IF($A478="","",COUNTIF(connections!$A$2:$A$1400,$A478)+COUNTIF(connections!$B$2:$B$1400,$A478))</f>
        <v/>
      </c>
      <c r="E478">
        <f>IF($A478="","",IFERROR(MATCH($C478,$R$2:$R$5,0),0))</f>
        <v/>
      </c>
      <c r="F478">
        <f>IF($A478="","",MOD(ROW(),34))</f>
        <v/>
      </c>
      <c r="G478">
        <f>IF($A478="",NA(),IF($C478="Action",$B478,NA()))</f>
        <v/>
      </c>
      <c r="H478">
        <f>IF($A478="",NA(),IF($C478="Action",1+$F478*0.023,NA()))</f>
        <v/>
      </c>
      <c r="I478">
        <f>IF($A478="",NA(),IF($C478="Strategy",$B478,NA()))</f>
        <v/>
      </c>
      <c r="J478">
        <f>IF($A478="",NA(),IF($C478="Strategy",2+$F478*0.023,NA()))</f>
        <v/>
      </c>
      <c r="K478">
        <f>IF($A478="",NA(),IF($C478="Deckbuilder",$B478,NA()))</f>
        <v/>
      </c>
      <c r="L478">
        <f>IF($A478="",NA(),IF($C478="Deckbuilder",3+$F478*0.023,NA()))</f>
        <v/>
      </c>
      <c r="M478">
        <f>IF($A478="",NA(),IF($C478="Traditional",$B478,NA()))</f>
        <v/>
      </c>
      <c r="N478">
        <f>IF($A478="",NA(),IF($C478="Traditional",4+$F478*0.023,NA()))</f>
        <v/>
      </c>
      <c r="O478">
        <f>IF($A478="","",$D478+ROW()/1000000)</f>
        <v/>
      </c>
      <c r="P478">
        <f>IF(OR($A478="",games!$H478=""),"",games!$H478)</f>
        <v/>
      </c>
      <c r="Q478">
        <f>IF(OR($A478="",$P478&lt;&gt;"Yes"),"",$D478+ROW()/1000000)</f>
        <v/>
      </c>
      <c r="T478">
        <f>IF(connections!$A478="","",IFERROR(INDEX(games!$B$2:$B$950,MATCH(connections!$A478,games!$A$2:$A$950,0)),""))</f>
        <v/>
      </c>
      <c r="U478">
        <f>IF(connections!$A478="","",IFERROR(INDEX(games!$B$2:$B$950,MATCH(connections!$B478,games!$A$2:$A$950,0)),""))</f>
        <v/>
      </c>
      <c r="V478">
        <f>IF(OR($T478="",$U478=""),"",$U478-$T478)</f>
        <v/>
      </c>
    </row>
    <row r="479">
      <c r="A479">
        <f>IF(games!$A479="","",games!$A479)</f>
        <v/>
      </c>
      <c r="B479">
        <f>IF($A479="","",games!$B479)</f>
        <v/>
      </c>
      <c r="C479">
        <f>IF($A479="","",games!$C479)</f>
        <v/>
      </c>
      <c r="D479">
        <f>IF($A479="","",COUNTIF(connections!$A$2:$A$1400,$A479)+COUNTIF(connections!$B$2:$B$1400,$A479))</f>
        <v/>
      </c>
      <c r="E479">
        <f>IF($A479="","",IFERROR(MATCH($C479,$R$2:$R$5,0),0))</f>
        <v/>
      </c>
      <c r="F479">
        <f>IF($A479="","",MOD(ROW(),34))</f>
        <v/>
      </c>
      <c r="G479">
        <f>IF($A479="",NA(),IF($C479="Action",$B479,NA()))</f>
        <v/>
      </c>
      <c r="H479">
        <f>IF($A479="",NA(),IF($C479="Action",1+$F479*0.023,NA()))</f>
        <v/>
      </c>
      <c r="I479">
        <f>IF($A479="",NA(),IF($C479="Strategy",$B479,NA()))</f>
        <v/>
      </c>
      <c r="J479">
        <f>IF($A479="",NA(),IF($C479="Strategy",2+$F479*0.023,NA()))</f>
        <v/>
      </c>
      <c r="K479">
        <f>IF($A479="",NA(),IF($C479="Deckbuilder",$B479,NA()))</f>
        <v/>
      </c>
      <c r="L479">
        <f>IF($A479="",NA(),IF($C479="Deckbuilder",3+$F479*0.023,NA()))</f>
        <v/>
      </c>
      <c r="M479">
        <f>IF($A479="",NA(),IF($C479="Traditional",$B479,NA()))</f>
        <v/>
      </c>
      <c r="N479">
        <f>IF($A479="",NA(),IF($C479="Traditional",4+$F479*0.023,NA()))</f>
        <v/>
      </c>
      <c r="O479">
        <f>IF($A479="","",$D479+ROW()/1000000)</f>
        <v/>
      </c>
      <c r="P479">
        <f>IF(OR($A479="",games!$H479=""),"",games!$H479)</f>
        <v/>
      </c>
      <c r="Q479">
        <f>IF(OR($A479="",$P479&lt;&gt;"Yes"),"",$D479+ROW()/1000000)</f>
        <v/>
      </c>
      <c r="T479">
        <f>IF(connections!$A479="","",IFERROR(INDEX(games!$B$2:$B$950,MATCH(connections!$A479,games!$A$2:$A$950,0)),""))</f>
        <v/>
      </c>
      <c r="U479">
        <f>IF(connections!$A479="","",IFERROR(INDEX(games!$B$2:$B$950,MATCH(connections!$B479,games!$A$2:$A$950,0)),""))</f>
        <v/>
      </c>
      <c r="V479">
        <f>IF(OR($T479="",$U479=""),"",$U479-$T479)</f>
        <v/>
      </c>
    </row>
    <row r="480">
      <c r="A480">
        <f>IF(games!$A480="","",games!$A480)</f>
        <v/>
      </c>
      <c r="B480">
        <f>IF($A480="","",games!$B480)</f>
        <v/>
      </c>
      <c r="C480">
        <f>IF($A480="","",games!$C480)</f>
        <v/>
      </c>
      <c r="D480">
        <f>IF($A480="","",COUNTIF(connections!$A$2:$A$1400,$A480)+COUNTIF(connections!$B$2:$B$1400,$A480))</f>
        <v/>
      </c>
      <c r="E480">
        <f>IF($A480="","",IFERROR(MATCH($C480,$R$2:$R$5,0),0))</f>
        <v/>
      </c>
      <c r="F480">
        <f>IF($A480="","",MOD(ROW(),34))</f>
        <v/>
      </c>
      <c r="G480">
        <f>IF($A480="",NA(),IF($C480="Action",$B480,NA()))</f>
        <v/>
      </c>
      <c r="H480">
        <f>IF($A480="",NA(),IF($C480="Action",1+$F480*0.023,NA()))</f>
        <v/>
      </c>
      <c r="I480">
        <f>IF($A480="",NA(),IF($C480="Strategy",$B480,NA()))</f>
        <v/>
      </c>
      <c r="J480">
        <f>IF($A480="",NA(),IF($C480="Strategy",2+$F480*0.023,NA()))</f>
        <v/>
      </c>
      <c r="K480">
        <f>IF($A480="",NA(),IF($C480="Deckbuilder",$B480,NA()))</f>
        <v/>
      </c>
      <c r="L480">
        <f>IF($A480="",NA(),IF($C480="Deckbuilder",3+$F480*0.023,NA()))</f>
        <v/>
      </c>
      <c r="M480">
        <f>IF($A480="",NA(),IF($C480="Traditional",$B480,NA()))</f>
        <v/>
      </c>
      <c r="N480">
        <f>IF($A480="",NA(),IF($C480="Traditional",4+$F480*0.023,NA()))</f>
        <v/>
      </c>
      <c r="O480">
        <f>IF($A480="","",$D480+ROW()/1000000)</f>
        <v/>
      </c>
      <c r="P480">
        <f>IF(OR($A480="",games!$H480=""),"",games!$H480)</f>
        <v/>
      </c>
      <c r="Q480">
        <f>IF(OR($A480="",$P480&lt;&gt;"Yes"),"",$D480+ROW()/1000000)</f>
        <v/>
      </c>
      <c r="T480">
        <f>IF(connections!$A480="","",IFERROR(INDEX(games!$B$2:$B$950,MATCH(connections!$A480,games!$A$2:$A$950,0)),""))</f>
        <v/>
      </c>
      <c r="U480">
        <f>IF(connections!$A480="","",IFERROR(INDEX(games!$B$2:$B$950,MATCH(connections!$B480,games!$A$2:$A$950,0)),""))</f>
        <v/>
      </c>
      <c r="V480">
        <f>IF(OR($T480="",$U480=""),"",$U480-$T480)</f>
        <v/>
      </c>
    </row>
    <row r="481">
      <c r="A481">
        <f>IF(games!$A481="","",games!$A481)</f>
        <v/>
      </c>
      <c r="B481">
        <f>IF($A481="","",games!$B481)</f>
        <v/>
      </c>
      <c r="C481">
        <f>IF($A481="","",games!$C481)</f>
        <v/>
      </c>
      <c r="D481">
        <f>IF($A481="","",COUNTIF(connections!$A$2:$A$1400,$A481)+COUNTIF(connections!$B$2:$B$1400,$A481))</f>
        <v/>
      </c>
      <c r="E481">
        <f>IF($A481="","",IFERROR(MATCH($C481,$R$2:$R$5,0),0))</f>
        <v/>
      </c>
      <c r="F481">
        <f>IF($A481="","",MOD(ROW(),34))</f>
        <v/>
      </c>
      <c r="G481">
        <f>IF($A481="",NA(),IF($C481="Action",$B481,NA()))</f>
        <v/>
      </c>
      <c r="H481">
        <f>IF($A481="",NA(),IF($C481="Action",1+$F481*0.023,NA()))</f>
        <v/>
      </c>
      <c r="I481">
        <f>IF($A481="",NA(),IF($C481="Strategy",$B481,NA()))</f>
        <v/>
      </c>
      <c r="J481">
        <f>IF($A481="",NA(),IF($C481="Strategy",2+$F481*0.023,NA()))</f>
        <v/>
      </c>
      <c r="K481">
        <f>IF($A481="",NA(),IF($C481="Deckbuilder",$B481,NA()))</f>
        <v/>
      </c>
      <c r="L481">
        <f>IF($A481="",NA(),IF($C481="Deckbuilder",3+$F481*0.023,NA()))</f>
        <v/>
      </c>
      <c r="M481">
        <f>IF($A481="",NA(),IF($C481="Traditional",$B481,NA()))</f>
        <v/>
      </c>
      <c r="N481">
        <f>IF($A481="",NA(),IF($C481="Traditional",4+$F481*0.023,NA()))</f>
        <v/>
      </c>
      <c r="O481">
        <f>IF($A481="","",$D481+ROW()/1000000)</f>
        <v/>
      </c>
      <c r="P481">
        <f>IF(OR($A481="",games!$H481=""),"",games!$H481)</f>
        <v/>
      </c>
      <c r="Q481">
        <f>IF(OR($A481="",$P481&lt;&gt;"Yes"),"",$D481+ROW()/1000000)</f>
        <v/>
      </c>
      <c r="T481">
        <f>IF(connections!$A481="","",IFERROR(INDEX(games!$B$2:$B$950,MATCH(connections!$A481,games!$A$2:$A$950,0)),""))</f>
        <v/>
      </c>
      <c r="U481">
        <f>IF(connections!$A481="","",IFERROR(INDEX(games!$B$2:$B$950,MATCH(connections!$B481,games!$A$2:$A$950,0)),""))</f>
        <v/>
      </c>
      <c r="V481">
        <f>IF(OR($T481="",$U481=""),"",$U481-$T481)</f>
        <v/>
      </c>
    </row>
    <row r="482">
      <c r="A482">
        <f>IF(games!$A482="","",games!$A482)</f>
        <v/>
      </c>
      <c r="B482">
        <f>IF($A482="","",games!$B482)</f>
        <v/>
      </c>
      <c r="C482">
        <f>IF($A482="","",games!$C482)</f>
        <v/>
      </c>
      <c r="D482">
        <f>IF($A482="","",COUNTIF(connections!$A$2:$A$1400,$A482)+COUNTIF(connections!$B$2:$B$1400,$A482))</f>
        <v/>
      </c>
      <c r="E482">
        <f>IF($A482="","",IFERROR(MATCH($C482,$R$2:$R$5,0),0))</f>
        <v/>
      </c>
      <c r="F482">
        <f>IF($A482="","",MOD(ROW(),34))</f>
        <v/>
      </c>
      <c r="G482">
        <f>IF($A482="",NA(),IF($C482="Action",$B482,NA()))</f>
        <v/>
      </c>
      <c r="H482">
        <f>IF($A482="",NA(),IF($C482="Action",1+$F482*0.023,NA()))</f>
        <v/>
      </c>
      <c r="I482">
        <f>IF($A482="",NA(),IF($C482="Strategy",$B482,NA()))</f>
        <v/>
      </c>
      <c r="J482">
        <f>IF($A482="",NA(),IF($C482="Strategy",2+$F482*0.023,NA()))</f>
        <v/>
      </c>
      <c r="K482">
        <f>IF($A482="",NA(),IF($C482="Deckbuilder",$B482,NA()))</f>
        <v/>
      </c>
      <c r="L482">
        <f>IF($A482="",NA(),IF($C482="Deckbuilder",3+$F482*0.023,NA()))</f>
        <v/>
      </c>
      <c r="M482">
        <f>IF($A482="",NA(),IF($C482="Traditional",$B482,NA()))</f>
        <v/>
      </c>
      <c r="N482">
        <f>IF($A482="",NA(),IF($C482="Traditional",4+$F482*0.023,NA()))</f>
        <v/>
      </c>
      <c r="O482">
        <f>IF($A482="","",$D482+ROW()/1000000)</f>
        <v/>
      </c>
      <c r="P482">
        <f>IF(OR($A482="",games!$H482=""),"",games!$H482)</f>
        <v/>
      </c>
      <c r="Q482">
        <f>IF(OR($A482="",$P482&lt;&gt;"Yes"),"",$D482+ROW()/1000000)</f>
        <v/>
      </c>
      <c r="T482">
        <f>IF(connections!$A482="","",IFERROR(INDEX(games!$B$2:$B$950,MATCH(connections!$A482,games!$A$2:$A$950,0)),""))</f>
        <v/>
      </c>
      <c r="U482">
        <f>IF(connections!$A482="","",IFERROR(INDEX(games!$B$2:$B$950,MATCH(connections!$B482,games!$A$2:$A$950,0)),""))</f>
        <v/>
      </c>
      <c r="V482">
        <f>IF(OR($T482="",$U482=""),"",$U482-$T482)</f>
        <v/>
      </c>
    </row>
    <row r="483">
      <c r="A483">
        <f>IF(games!$A483="","",games!$A483)</f>
        <v/>
      </c>
      <c r="B483">
        <f>IF($A483="","",games!$B483)</f>
        <v/>
      </c>
      <c r="C483">
        <f>IF($A483="","",games!$C483)</f>
        <v/>
      </c>
      <c r="D483">
        <f>IF($A483="","",COUNTIF(connections!$A$2:$A$1400,$A483)+COUNTIF(connections!$B$2:$B$1400,$A483))</f>
        <v/>
      </c>
      <c r="E483">
        <f>IF($A483="","",IFERROR(MATCH($C483,$R$2:$R$5,0),0))</f>
        <v/>
      </c>
      <c r="F483">
        <f>IF($A483="","",MOD(ROW(),34))</f>
        <v/>
      </c>
      <c r="G483">
        <f>IF($A483="",NA(),IF($C483="Action",$B483,NA()))</f>
        <v/>
      </c>
      <c r="H483">
        <f>IF($A483="",NA(),IF($C483="Action",1+$F483*0.023,NA()))</f>
        <v/>
      </c>
      <c r="I483">
        <f>IF($A483="",NA(),IF($C483="Strategy",$B483,NA()))</f>
        <v/>
      </c>
      <c r="J483">
        <f>IF($A483="",NA(),IF($C483="Strategy",2+$F483*0.023,NA()))</f>
        <v/>
      </c>
      <c r="K483">
        <f>IF($A483="",NA(),IF($C483="Deckbuilder",$B483,NA()))</f>
        <v/>
      </c>
      <c r="L483">
        <f>IF($A483="",NA(),IF($C483="Deckbuilder",3+$F483*0.023,NA()))</f>
        <v/>
      </c>
      <c r="M483">
        <f>IF($A483="",NA(),IF($C483="Traditional",$B483,NA()))</f>
        <v/>
      </c>
      <c r="N483">
        <f>IF($A483="",NA(),IF($C483="Traditional",4+$F483*0.023,NA()))</f>
        <v/>
      </c>
      <c r="O483">
        <f>IF($A483="","",$D483+ROW()/1000000)</f>
        <v/>
      </c>
      <c r="P483">
        <f>IF(OR($A483="",games!$H483=""),"",games!$H483)</f>
        <v/>
      </c>
      <c r="Q483">
        <f>IF(OR($A483="",$P483&lt;&gt;"Yes"),"",$D483+ROW()/1000000)</f>
        <v/>
      </c>
      <c r="T483">
        <f>IF(connections!$A483="","",IFERROR(INDEX(games!$B$2:$B$950,MATCH(connections!$A483,games!$A$2:$A$950,0)),""))</f>
        <v/>
      </c>
      <c r="U483">
        <f>IF(connections!$A483="","",IFERROR(INDEX(games!$B$2:$B$950,MATCH(connections!$B483,games!$A$2:$A$950,0)),""))</f>
        <v/>
      </c>
      <c r="V483">
        <f>IF(OR($T483="",$U483=""),"",$U483-$T483)</f>
        <v/>
      </c>
    </row>
    <row r="484">
      <c r="A484">
        <f>IF(games!$A484="","",games!$A484)</f>
        <v/>
      </c>
      <c r="B484">
        <f>IF($A484="","",games!$B484)</f>
        <v/>
      </c>
      <c r="C484">
        <f>IF($A484="","",games!$C484)</f>
        <v/>
      </c>
      <c r="D484">
        <f>IF($A484="","",COUNTIF(connections!$A$2:$A$1400,$A484)+COUNTIF(connections!$B$2:$B$1400,$A484))</f>
        <v/>
      </c>
      <c r="E484">
        <f>IF($A484="","",IFERROR(MATCH($C484,$R$2:$R$5,0),0))</f>
        <v/>
      </c>
      <c r="F484">
        <f>IF($A484="","",MOD(ROW(),34))</f>
        <v/>
      </c>
      <c r="G484">
        <f>IF($A484="",NA(),IF($C484="Action",$B484,NA()))</f>
        <v/>
      </c>
      <c r="H484">
        <f>IF($A484="",NA(),IF($C484="Action",1+$F484*0.023,NA()))</f>
        <v/>
      </c>
      <c r="I484">
        <f>IF($A484="",NA(),IF($C484="Strategy",$B484,NA()))</f>
        <v/>
      </c>
      <c r="J484">
        <f>IF($A484="",NA(),IF($C484="Strategy",2+$F484*0.023,NA()))</f>
        <v/>
      </c>
      <c r="K484">
        <f>IF($A484="",NA(),IF($C484="Deckbuilder",$B484,NA()))</f>
        <v/>
      </c>
      <c r="L484">
        <f>IF($A484="",NA(),IF($C484="Deckbuilder",3+$F484*0.023,NA()))</f>
        <v/>
      </c>
      <c r="M484">
        <f>IF($A484="",NA(),IF($C484="Traditional",$B484,NA()))</f>
        <v/>
      </c>
      <c r="N484">
        <f>IF($A484="",NA(),IF($C484="Traditional",4+$F484*0.023,NA()))</f>
        <v/>
      </c>
      <c r="O484">
        <f>IF($A484="","",$D484+ROW()/1000000)</f>
        <v/>
      </c>
      <c r="P484">
        <f>IF(OR($A484="",games!$H484=""),"",games!$H484)</f>
        <v/>
      </c>
      <c r="Q484">
        <f>IF(OR($A484="",$P484&lt;&gt;"Yes"),"",$D484+ROW()/1000000)</f>
        <v/>
      </c>
      <c r="T484">
        <f>IF(connections!$A484="","",IFERROR(INDEX(games!$B$2:$B$950,MATCH(connections!$A484,games!$A$2:$A$950,0)),""))</f>
        <v/>
      </c>
      <c r="U484">
        <f>IF(connections!$A484="","",IFERROR(INDEX(games!$B$2:$B$950,MATCH(connections!$B484,games!$A$2:$A$950,0)),""))</f>
        <v/>
      </c>
      <c r="V484">
        <f>IF(OR($T484="",$U484=""),"",$U484-$T484)</f>
        <v/>
      </c>
    </row>
    <row r="485">
      <c r="A485">
        <f>IF(games!$A485="","",games!$A485)</f>
        <v/>
      </c>
      <c r="B485">
        <f>IF($A485="","",games!$B485)</f>
        <v/>
      </c>
      <c r="C485">
        <f>IF($A485="","",games!$C485)</f>
        <v/>
      </c>
      <c r="D485">
        <f>IF($A485="","",COUNTIF(connections!$A$2:$A$1400,$A485)+COUNTIF(connections!$B$2:$B$1400,$A485))</f>
        <v/>
      </c>
      <c r="E485">
        <f>IF($A485="","",IFERROR(MATCH($C485,$R$2:$R$5,0),0))</f>
        <v/>
      </c>
      <c r="F485">
        <f>IF($A485="","",MOD(ROW(),34))</f>
        <v/>
      </c>
      <c r="G485">
        <f>IF($A485="",NA(),IF($C485="Action",$B485,NA()))</f>
        <v/>
      </c>
      <c r="H485">
        <f>IF($A485="",NA(),IF($C485="Action",1+$F485*0.023,NA()))</f>
        <v/>
      </c>
      <c r="I485">
        <f>IF($A485="",NA(),IF($C485="Strategy",$B485,NA()))</f>
        <v/>
      </c>
      <c r="J485">
        <f>IF($A485="",NA(),IF($C485="Strategy",2+$F485*0.023,NA()))</f>
        <v/>
      </c>
      <c r="K485">
        <f>IF($A485="",NA(),IF($C485="Deckbuilder",$B485,NA()))</f>
        <v/>
      </c>
      <c r="L485">
        <f>IF($A485="",NA(),IF($C485="Deckbuilder",3+$F485*0.023,NA()))</f>
        <v/>
      </c>
      <c r="M485">
        <f>IF($A485="",NA(),IF($C485="Traditional",$B485,NA()))</f>
        <v/>
      </c>
      <c r="N485">
        <f>IF($A485="",NA(),IF($C485="Traditional",4+$F485*0.023,NA()))</f>
        <v/>
      </c>
      <c r="O485">
        <f>IF($A485="","",$D485+ROW()/1000000)</f>
        <v/>
      </c>
      <c r="P485">
        <f>IF(OR($A485="",games!$H485=""),"",games!$H485)</f>
        <v/>
      </c>
      <c r="Q485">
        <f>IF(OR($A485="",$P485&lt;&gt;"Yes"),"",$D485+ROW()/1000000)</f>
        <v/>
      </c>
      <c r="T485">
        <f>IF(connections!$A485="","",IFERROR(INDEX(games!$B$2:$B$950,MATCH(connections!$A485,games!$A$2:$A$950,0)),""))</f>
        <v/>
      </c>
      <c r="U485">
        <f>IF(connections!$A485="","",IFERROR(INDEX(games!$B$2:$B$950,MATCH(connections!$B485,games!$A$2:$A$950,0)),""))</f>
        <v/>
      </c>
      <c r="V485">
        <f>IF(OR($T485="",$U485=""),"",$U485-$T485)</f>
        <v/>
      </c>
    </row>
    <row r="486">
      <c r="A486">
        <f>IF(games!$A486="","",games!$A486)</f>
        <v/>
      </c>
      <c r="B486">
        <f>IF($A486="","",games!$B486)</f>
        <v/>
      </c>
      <c r="C486">
        <f>IF($A486="","",games!$C486)</f>
        <v/>
      </c>
      <c r="D486">
        <f>IF($A486="","",COUNTIF(connections!$A$2:$A$1400,$A486)+COUNTIF(connections!$B$2:$B$1400,$A486))</f>
        <v/>
      </c>
      <c r="E486">
        <f>IF($A486="","",IFERROR(MATCH($C486,$R$2:$R$5,0),0))</f>
        <v/>
      </c>
      <c r="F486">
        <f>IF($A486="","",MOD(ROW(),34))</f>
        <v/>
      </c>
      <c r="G486">
        <f>IF($A486="",NA(),IF($C486="Action",$B486,NA()))</f>
        <v/>
      </c>
      <c r="H486">
        <f>IF($A486="",NA(),IF($C486="Action",1+$F486*0.023,NA()))</f>
        <v/>
      </c>
      <c r="I486">
        <f>IF($A486="",NA(),IF($C486="Strategy",$B486,NA()))</f>
        <v/>
      </c>
      <c r="J486">
        <f>IF($A486="",NA(),IF($C486="Strategy",2+$F486*0.023,NA()))</f>
        <v/>
      </c>
      <c r="K486">
        <f>IF($A486="",NA(),IF($C486="Deckbuilder",$B486,NA()))</f>
        <v/>
      </c>
      <c r="L486">
        <f>IF($A486="",NA(),IF($C486="Deckbuilder",3+$F486*0.023,NA()))</f>
        <v/>
      </c>
      <c r="M486">
        <f>IF($A486="",NA(),IF($C486="Traditional",$B486,NA()))</f>
        <v/>
      </c>
      <c r="N486">
        <f>IF($A486="",NA(),IF($C486="Traditional",4+$F486*0.023,NA()))</f>
        <v/>
      </c>
      <c r="O486">
        <f>IF($A486="","",$D486+ROW()/1000000)</f>
        <v/>
      </c>
      <c r="P486">
        <f>IF(OR($A486="",games!$H486=""),"",games!$H486)</f>
        <v/>
      </c>
      <c r="Q486">
        <f>IF(OR($A486="",$P486&lt;&gt;"Yes"),"",$D486+ROW()/1000000)</f>
        <v/>
      </c>
      <c r="T486">
        <f>IF(connections!$A486="","",IFERROR(INDEX(games!$B$2:$B$950,MATCH(connections!$A486,games!$A$2:$A$950,0)),""))</f>
        <v/>
      </c>
      <c r="U486">
        <f>IF(connections!$A486="","",IFERROR(INDEX(games!$B$2:$B$950,MATCH(connections!$B486,games!$A$2:$A$950,0)),""))</f>
        <v/>
      </c>
      <c r="V486">
        <f>IF(OR($T486="",$U486=""),"",$U486-$T486)</f>
        <v/>
      </c>
    </row>
    <row r="487">
      <c r="A487">
        <f>IF(games!$A487="","",games!$A487)</f>
        <v/>
      </c>
      <c r="B487">
        <f>IF($A487="","",games!$B487)</f>
        <v/>
      </c>
      <c r="C487">
        <f>IF($A487="","",games!$C487)</f>
        <v/>
      </c>
      <c r="D487">
        <f>IF($A487="","",COUNTIF(connections!$A$2:$A$1400,$A487)+COUNTIF(connections!$B$2:$B$1400,$A487))</f>
        <v/>
      </c>
      <c r="E487">
        <f>IF($A487="","",IFERROR(MATCH($C487,$R$2:$R$5,0),0))</f>
        <v/>
      </c>
      <c r="F487">
        <f>IF($A487="","",MOD(ROW(),34))</f>
        <v/>
      </c>
      <c r="G487">
        <f>IF($A487="",NA(),IF($C487="Action",$B487,NA()))</f>
        <v/>
      </c>
      <c r="H487">
        <f>IF($A487="",NA(),IF($C487="Action",1+$F487*0.023,NA()))</f>
        <v/>
      </c>
      <c r="I487">
        <f>IF($A487="",NA(),IF($C487="Strategy",$B487,NA()))</f>
        <v/>
      </c>
      <c r="J487">
        <f>IF($A487="",NA(),IF($C487="Strategy",2+$F487*0.023,NA()))</f>
        <v/>
      </c>
      <c r="K487">
        <f>IF($A487="",NA(),IF($C487="Deckbuilder",$B487,NA()))</f>
        <v/>
      </c>
      <c r="L487">
        <f>IF($A487="",NA(),IF($C487="Deckbuilder",3+$F487*0.023,NA()))</f>
        <v/>
      </c>
      <c r="M487">
        <f>IF($A487="",NA(),IF($C487="Traditional",$B487,NA()))</f>
        <v/>
      </c>
      <c r="N487">
        <f>IF($A487="",NA(),IF($C487="Traditional",4+$F487*0.023,NA()))</f>
        <v/>
      </c>
      <c r="O487">
        <f>IF($A487="","",$D487+ROW()/1000000)</f>
        <v/>
      </c>
      <c r="P487">
        <f>IF(OR($A487="",games!$H487=""),"",games!$H487)</f>
        <v/>
      </c>
      <c r="Q487">
        <f>IF(OR($A487="",$P487&lt;&gt;"Yes"),"",$D487+ROW()/1000000)</f>
        <v/>
      </c>
      <c r="T487">
        <f>IF(connections!$A487="","",IFERROR(INDEX(games!$B$2:$B$950,MATCH(connections!$A487,games!$A$2:$A$950,0)),""))</f>
        <v/>
      </c>
      <c r="U487">
        <f>IF(connections!$A487="","",IFERROR(INDEX(games!$B$2:$B$950,MATCH(connections!$B487,games!$A$2:$A$950,0)),""))</f>
        <v/>
      </c>
      <c r="V487">
        <f>IF(OR($T487="",$U487=""),"",$U487-$T487)</f>
        <v/>
      </c>
    </row>
    <row r="488">
      <c r="A488">
        <f>IF(games!$A488="","",games!$A488)</f>
        <v/>
      </c>
      <c r="B488">
        <f>IF($A488="","",games!$B488)</f>
        <v/>
      </c>
      <c r="C488">
        <f>IF($A488="","",games!$C488)</f>
        <v/>
      </c>
      <c r="D488">
        <f>IF($A488="","",COUNTIF(connections!$A$2:$A$1400,$A488)+COUNTIF(connections!$B$2:$B$1400,$A488))</f>
        <v/>
      </c>
      <c r="E488">
        <f>IF($A488="","",IFERROR(MATCH($C488,$R$2:$R$5,0),0))</f>
        <v/>
      </c>
      <c r="F488">
        <f>IF($A488="","",MOD(ROW(),34))</f>
        <v/>
      </c>
      <c r="G488">
        <f>IF($A488="",NA(),IF($C488="Action",$B488,NA()))</f>
        <v/>
      </c>
      <c r="H488">
        <f>IF($A488="",NA(),IF($C488="Action",1+$F488*0.023,NA()))</f>
        <v/>
      </c>
      <c r="I488">
        <f>IF($A488="",NA(),IF($C488="Strategy",$B488,NA()))</f>
        <v/>
      </c>
      <c r="J488">
        <f>IF($A488="",NA(),IF($C488="Strategy",2+$F488*0.023,NA()))</f>
        <v/>
      </c>
      <c r="K488">
        <f>IF($A488="",NA(),IF($C488="Deckbuilder",$B488,NA()))</f>
        <v/>
      </c>
      <c r="L488">
        <f>IF($A488="",NA(),IF($C488="Deckbuilder",3+$F488*0.023,NA()))</f>
        <v/>
      </c>
      <c r="M488">
        <f>IF($A488="",NA(),IF($C488="Traditional",$B488,NA()))</f>
        <v/>
      </c>
      <c r="N488">
        <f>IF($A488="",NA(),IF($C488="Traditional",4+$F488*0.023,NA()))</f>
        <v/>
      </c>
      <c r="O488">
        <f>IF($A488="","",$D488+ROW()/1000000)</f>
        <v/>
      </c>
      <c r="P488">
        <f>IF(OR($A488="",games!$H488=""),"",games!$H488)</f>
        <v/>
      </c>
      <c r="Q488">
        <f>IF(OR($A488="",$P488&lt;&gt;"Yes"),"",$D488+ROW()/1000000)</f>
        <v/>
      </c>
      <c r="T488">
        <f>IF(connections!$A488="","",IFERROR(INDEX(games!$B$2:$B$950,MATCH(connections!$A488,games!$A$2:$A$950,0)),""))</f>
        <v/>
      </c>
      <c r="U488">
        <f>IF(connections!$A488="","",IFERROR(INDEX(games!$B$2:$B$950,MATCH(connections!$B488,games!$A$2:$A$950,0)),""))</f>
        <v/>
      </c>
      <c r="V488">
        <f>IF(OR($T488="",$U488=""),"",$U488-$T488)</f>
        <v/>
      </c>
    </row>
    <row r="489">
      <c r="A489">
        <f>IF(games!$A489="","",games!$A489)</f>
        <v/>
      </c>
      <c r="B489">
        <f>IF($A489="","",games!$B489)</f>
        <v/>
      </c>
      <c r="C489">
        <f>IF($A489="","",games!$C489)</f>
        <v/>
      </c>
      <c r="D489">
        <f>IF($A489="","",COUNTIF(connections!$A$2:$A$1400,$A489)+COUNTIF(connections!$B$2:$B$1400,$A489))</f>
        <v/>
      </c>
      <c r="E489">
        <f>IF($A489="","",IFERROR(MATCH($C489,$R$2:$R$5,0),0))</f>
        <v/>
      </c>
      <c r="F489">
        <f>IF($A489="","",MOD(ROW(),34))</f>
        <v/>
      </c>
      <c r="G489">
        <f>IF($A489="",NA(),IF($C489="Action",$B489,NA()))</f>
        <v/>
      </c>
      <c r="H489">
        <f>IF($A489="",NA(),IF($C489="Action",1+$F489*0.023,NA()))</f>
        <v/>
      </c>
      <c r="I489">
        <f>IF($A489="",NA(),IF($C489="Strategy",$B489,NA()))</f>
        <v/>
      </c>
      <c r="J489">
        <f>IF($A489="",NA(),IF($C489="Strategy",2+$F489*0.023,NA()))</f>
        <v/>
      </c>
      <c r="K489">
        <f>IF($A489="",NA(),IF($C489="Deckbuilder",$B489,NA()))</f>
        <v/>
      </c>
      <c r="L489">
        <f>IF($A489="",NA(),IF($C489="Deckbuilder",3+$F489*0.023,NA()))</f>
        <v/>
      </c>
      <c r="M489">
        <f>IF($A489="",NA(),IF($C489="Traditional",$B489,NA()))</f>
        <v/>
      </c>
      <c r="N489">
        <f>IF($A489="",NA(),IF($C489="Traditional",4+$F489*0.023,NA()))</f>
        <v/>
      </c>
      <c r="O489">
        <f>IF($A489="","",$D489+ROW()/1000000)</f>
        <v/>
      </c>
      <c r="P489">
        <f>IF(OR($A489="",games!$H489=""),"",games!$H489)</f>
        <v/>
      </c>
      <c r="Q489">
        <f>IF(OR($A489="",$P489&lt;&gt;"Yes"),"",$D489+ROW()/1000000)</f>
        <v/>
      </c>
      <c r="T489">
        <f>IF(connections!$A489="","",IFERROR(INDEX(games!$B$2:$B$950,MATCH(connections!$A489,games!$A$2:$A$950,0)),""))</f>
        <v/>
      </c>
      <c r="U489">
        <f>IF(connections!$A489="","",IFERROR(INDEX(games!$B$2:$B$950,MATCH(connections!$B489,games!$A$2:$A$950,0)),""))</f>
        <v/>
      </c>
      <c r="V489">
        <f>IF(OR($T489="",$U489=""),"",$U489-$T489)</f>
        <v/>
      </c>
    </row>
    <row r="490">
      <c r="A490">
        <f>IF(games!$A490="","",games!$A490)</f>
        <v/>
      </c>
      <c r="B490">
        <f>IF($A490="","",games!$B490)</f>
        <v/>
      </c>
      <c r="C490">
        <f>IF($A490="","",games!$C490)</f>
        <v/>
      </c>
      <c r="D490">
        <f>IF($A490="","",COUNTIF(connections!$A$2:$A$1400,$A490)+COUNTIF(connections!$B$2:$B$1400,$A490))</f>
        <v/>
      </c>
      <c r="E490">
        <f>IF($A490="","",IFERROR(MATCH($C490,$R$2:$R$5,0),0))</f>
        <v/>
      </c>
      <c r="F490">
        <f>IF($A490="","",MOD(ROW(),34))</f>
        <v/>
      </c>
      <c r="G490">
        <f>IF($A490="",NA(),IF($C490="Action",$B490,NA()))</f>
        <v/>
      </c>
      <c r="H490">
        <f>IF($A490="",NA(),IF($C490="Action",1+$F490*0.023,NA()))</f>
        <v/>
      </c>
      <c r="I490">
        <f>IF($A490="",NA(),IF($C490="Strategy",$B490,NA()))</f>
        <v/>
      </c>
      <c r="J490">
        <f>IF($A490="",NA(),IF($C490="Strategy",2+$F490*0.023,NA()))</f>
        <v/>
      </c>
      <c r="K490">
        <f>IF($A490="",NA(),IF($C490="Deckbuilder",$B490,NA()))</f>
        <v/>
      </c>
      <c r="L490">
        <f>IF($A490="",NA(),IF($C490="Deckbuilder",3+$F490*0.023,NA()))</f>
        <v/>
      </c>
      <c r="M490">
        <f>IF($A490="",NA(),IF($C490="Traditional",$B490,NA()))</f>
        <v/>
      </c>
      <c r="N490">
        <f>IF($A490="",NA(),IF($C490="Traditional",4+$F490*0.023,NA()))</f>
        <v/>
      </c>
      <c r="O490">
        <f>IF($A490="","",$D490+ROW()/1000000)</f>
        <v/>
      </c>
      <c r="P490">
        <f>IF(OR($A490="",games!$H490=""),"",games!$H490)</f>
        <v/>
      </c>
      <c r="Q490">
        <f>IF(OR($A490="",$P490&lt;&gt;"Yes"),"",$D490+ROW()/1000000)</f>
        <v/>
      </c>
      <c r="T490">
        <f>IF(connections!$A490="","",IFERROR(INDEX(games!$B$2:$B$950,MATCH(connections!$A490,games!$A$2:$A$950,0)),""))</f>
        <v/>
      </c>
      <c r="U490">
        <f>IF(connections!$A490="","",IFERROR(INDEX(games!$B$2:$B$950,MATCH(connections!$B490,games!$A$2:$A$950,0)),""))</f>
        <v/>
      </c>
      <c r="V490">
        <f>IF(OR($T490="",$U490=""),"",$U490-$T490)</f>
        <v/>
      </c>
    </row>
    <row r="491">
      <c r="A491">
        <f>IF(games!$A491="","",games!$A491)</f>
        <v/>
      </c>
      <c r="B491">
        <f>IF($A491="","",games!$B491)</f>
        <v/>
      </c>
      <c r="C491">
        <f>IF($A491="","",games!$C491)</f>
        <v/>
      </c>
      <c r="D491">
        <f>IF($A491="","",COUNTIF(connections!$A$2:$A$1400,$A491)+COUNTIF(connections!$B$2:$B$1400,$A491))</f>
        <v/>
      </c>
      <c r="E491">
        <f>IF($A491="","",IFERROR(MATCH($C491,$R$2:$R$5,0),0))</f>
        <v/>
      </c>
      <c r="F491">
        <f>IF($A491="","",MOD(ROW(),34))</f>
        <v/>
      </c>
      <c r="G491">
        <f>IF($A491="",NA(),IF($C491="Action",$B491,NA()))</f>
        <v/>
      </c>
      <c r="H491">
        <f>IF($A491="",NA(),IF($C491="Action",1+$F491*0.023,NA()))</f>
        <v/>
      </c>
      <c r="I491">
        <f>IF($A491="",NA(),IF($C491="Strategy",$B491,NA()))</f>
        <v/>
      </c>
      <c r="J491">
        <f>IF($A491="",NA(),IF($C491="Strategy",2+$F491*0.023,NA()))</f>
        <v/>
      </c>
      <c r="K491">
        <f>IF($A491="",NA(),IF($C491="Deckbuilder",$B491,NA()))</f>
        <v/>
      </c>
      <c r="L491">
        <f>IF($A491="",NA(),IF($C491="Deckbuilder",3+$F491*0.023,NA()))</f>
        <v/>
      </c>
      <c r="M491">
        <f>IF($A491="",NA(),IF($C491="Traditional",$B491,NA()))</f>
        <v/>
      </c>
      <c r="N491">
        <f>IF($A491="",NA(),IF($C491="Traditional",4+$F491*0.023,NA()))</f>
        <v/>
      </c>
      <c r="O491">
        <f>IF($A491="","",$D491+ROW()/1000000)</f>
        <v/>
      </c>
      <c r="P491">
        <f>IF(OR($A491="",games!$H491=""),"",games!$H491)</f>
        <v/>
      </c>
      <c r="Q491">
        <f>IF(OR($A491="",$P491&lt;&gt;"Yes"),"",$D491+ROW()/1000000)</f>
        <v/>
      </c>
      <c r="T491">
        <f>IF(connections!$A491="","",IFERROR(INDEX(games!$B$2:$B$950,MATCH(connections!$A491,games!$A$2:$A$950,0)),""))</f>
        <v/>
      </c>
      <c r="U491">
        <f>IF(connections!$A491="","",IFERROR(INDEX(games!$B$2:$B$950,MATCH(connections!$B491,games!$A$2:$A$950,0)),""))</f>
        <v/>
      </c>
      <c r="V491">
        <f>IF(OR($T491="",$U491=""),"",$U491-$T491)</f>
        <v/>
      </c>
    </row>
    <row r="492">
      <c r="A492">
        <f>IF(games!$A492="","",games!$A492)</f>
        <v/>
      </c>
      <c r="B492">
        <f>IF($A492="","",games!$B492)</f>
        <v/>
      </c>
      <c r="C492">
        <f>IF($A492="","",games!$C492)</f>
        <v/>
      </c>
      <c r="D492">
        <f>IF($A492="","",COUNTIF(connections!$A$2:$A$1400,$A492)+COUNTIF(connections!$B$2:$B$1400,$A492))</f>
        <v/>
      </c>
      <c r="E492">
        <f>IF($A492="","",IFERROR(MATCH($C492,$R$2:$R$5,0),0))</f>
        <v/>
      </c>
      <c r="F492">
        <f>IF($A492="","",MOD(ROW(),34))</f>
        <v/>
      </c>
      <c r="G492">
        <f>IF($A492="",NA(),IF($C492="Action",$B492,NA()))</f>
        <v/>
      </c>
      <c r="H492">
        <f>IF($A492="",NA(),IF($C492="Action",1+$F492*0.023,NA()))</f>
        <v/>
      </c>
      <c r="I492">
        <f>IF($A492="",NA(),IF($C492="Strategy",$B492,NA()))</f>
        <v/>
      </c>
      <c r="J492">
        <f>IF($A492="",NA(),IF($C492="Strategy",2+$F492*0.023,NA()))</f>
        <v/>
      </c>
      <c r="K492">
        <f>IF($A492="",NA(),IF($C492="Deckbuilder",$B492,NA()))</f>
        <v/>
      </c>
      <c r="L492">
        <f>IF($A492="",NA(),IF($C492="Deckbuilder",3+$F492*0.023,NA()))</f>
        <v/>
      </c>
      <c r="M492">
        <f>IF($A492="",NA(),IF($C492="Traditional",$B492,NA()))</f>
        <v/>
      </c>
      <c r="N492">
        <f>IF($A492="",NA(),IF($C492="Traditional",4+$F492*0.023,NA()))</f>
        <v/>
      </c>
      <c r="O492">
        <f>IF($A492="","",$D492+ROW()/1000000)</f>
        <v/>
      </c>
      <c r="P492">
        <f>IF(OR($A492="",games!$H492=""),"",games!$H492)</f>
        <v/>
      </c>
      <c r="Q492">
        <f>IF(OR($A492="",$P492&lt;&gt;"Yes"),"",$D492+ROW()/1000000)</f>
        <v/>
      </c>
      <c r="T492">
        <f>IF(connections!$A492="","",IFERROR(INDEX(games!$B$2:$B$950,MATCH(connections!$A492,games!$A$2:$A$950,0)),""))</f>
        <v/>
      </c>
      <c r="U492">
        <f>IF(connections!$A492="","",IFERROR(INDEX(games!$B$2:$B$950,MATCH(connections!$B492,games!$A$2:$A$950,0)),""))</f>
        <v/>
      </c>
      <c r="V492">
        <f>IF(OR($T492="",$U492=""),"",$U492-$T492)</f>
        <v/>
      </c>
    </row>
    <row r="493">
      <c r="A493">
        <f>IF(games!$A493="","",games!$A493)</f>
        <v/>
      </c>
      <c r="B493">
        <f>IF($A493="","",games!$B493)</f>
        <v/>
      </c>
      <c r="C493">
        <f>IF($A493="","",games!$C493)</f>
        <v/>
      </c>
      <c r="D493">
        <f>IF($A493="","",COUNTIF(connections!$A$2:$A$1400,$A493)+COUNTIF(connections!$B$2:$B$1400,$A493))</f>
        <v/>
      </c>
      <c r="E493">
        <f>IF($A493="","",IFERROR(MATCH($C493,$R$2:$R$5,0),0))</f>
        <v/>
      </c>
      <c r="F493">
        <f>IF($A493="","",MOD(ROW(),34))</f>
        <v/>
      </c>
      <c r="G493">
        <f>IF($A493="",NA(),IF($C493="Action",$B493,NA()))</f>
        <v/>
      </c>
      <c r="H493">
        <f>IF($A493="",NA(),IF($C493="Action",1+$F493*0.023,NA()))</f>
        <v/>
      </c>
      <c r="I493">
        <f>IF($A493="",NA(),IF($C493="Strategy",$B493,NA()))</f>
        <v/>
      </c>
      <c r="J493">
        <f>IF($A493="",NA(),IF($C493="Strategy",2+$F493*0.023,NA()))</f>
        <v/>
      </c>
      <c r="K493">
        <f>IF($A493="",NA(),IF($C493="Deckbuilder",$B493,NA()))</f>
        <v/>
      </c>
      <c r="L493">
        <f>IF($A493="",NA(),IF($C493="Deckbuilder",3+$F493*0.023,NA()))</f>
        <v/>
      </c>
      <c r="M493">
        <f>IF($A493="",NA(),IF($C493="Traditional",$B493,NA()))</f>
        <v/>
      </c>
      <c r="N493">
        <f>IF($A493="",NA(),IF($C493="Traditional",4+$F493*0.023,NA()))</f>
        <v/>
      </c>
      <c r="O493">
        <f>IF($A493="","",$D493+ROW()/1000000)</f>
        <v/>
      </c>
      <c r="P493">
        <f>IF(OR($A493="",games!$H493=""),"",games!$H493)</f>
        <v/>
      </c>
      <c r="Q493">
        <f>IF(OR($A493="",$P493&lt;&gt;"Yes"),"",$D493+ROW()/1000000)</f>
        <v/>
      </c>
      <c r="T493">
        <f>IF(connections!$A493="","",IFERROR(INDEX(games!$B$2:$B$950,MATCH(connections!$A493,games!$A$2:$A$950,0)),""))</f>
        <v/>
      </c>
      <c r="U493">
        <f>IF(connections!$A493="","",IFERROR(INDEX(games!$B$2:$B$950,MATCH(connections!$B493,games!$A$2:$A$950,0)),""))</f>
        <v/>
      </c>
      <c r="V493">
        <f>IF(OR($T493="",$U493=""),"",$U493-$T493)</f>
        <v/>
      </c>
    </row>
    <row r="494">
      <c r="A494">
        <f>IF(games!$A494="","",games!$A494)</f>
        <v/>
      </c>
      <c r="B494">
        <f>IF($A494="","",games!$B494)</f>
        <v/>
      </c>
      <c r="C494">
        <f>IF($A494="","",games!$C494)</f>
        <v/>
      </c>
      <c r="D494">
        <f>IF($A494="","",COUNTIF(connections!$A$2:$A$1400,$A494)+COUNTIF(connections!$B$2:$B$1400,$A494))</f>
        <v/>
      </c>
      <c r="E494">
        <f>IF($A494="","",IFERROR(MATCH($C494,$R$2:$R$5,0),0))</f>
        <v/>
      </c>
      <c r="F494">
        <f>IF($A494="","",MOD(ROW(),34))</f>
        <v/>
      </c>
      <c r="G494">
        <f>IF($A494="",NA(),IF($C494="Action",$B494,NA()))</f>
        <v/>
      </c>
      <c r="H494">
        <f>IF($A494="",NA(),IF($C494="Action",1+$F494*0.023,NA()))</f>
        <v/>
      </c>
      <c r="I494">
        <f>IF($A494="",NA(),IF($C494="Strategy",$B494,NA()))</f>
        <v/>
      </c>
      <c r="J494">
        <f>IF($A494="",NA(),IF($C494="Strategy",2+$F494*0.023,NA()))</f>
        <v/>
      </c>
      <c r="K494">
        <f>IF($A494="",NA(),IF($C494="Deckbuilder",$B494,NA()))</f>
        <v/>
      </c>
      <c r="L494">
        <f>IF($A494="",NA(),IF($C494="Deckbuilder",3+$F494*0.023,NA()))</f>
        <v/>
      </c>
      <c r="M494">
        <f>IF($A494="",NA(),IF($C494="Traditional",$B494,NA()))</f>
        <v/>
      </c>
      <c r="N494">
        <f>IF($A494="",NA(),IF($C494="Traditional",4+$F494*0.023,NA()))</f>
        <v/>
      </c>
      <c r="O494">
        <f>IF($A494="","",$D494+ROW()/1000000)</f>
        <v/>
      </c>
      <c r="P494">
        <f>IF(OR($A494="",games!$H494=""),"",games!$H494)</f>
        <v/>
      </c>
      <c r="Q494">
        <f>IF(OR($A494="",$P494&lt;&gt;"Yes"),"",$D494+ROW()/1000000)</f>
        <v/>
      </c>
      <c r="T494">
        <f>IF(connections!$A494="","",IFERROR(INDEX(games!$B$2:$B$950,MATCH(connections!$A494,games!$A$2:$A$950,0)),""))</f>
        <v/>
      </c>
      <c r="U494">
        <f>IF(connections!$A494="","",IFERROR(INDEX(games!$B$2:$B$950,MATCH(connections!$B494,games!$A$2:$A$950,0)),""))</f>
        <v/>
      </c>
      <c r="V494">
        <f>IF(OR($T494="",$U494=""),"",$U494-$T494)</f>
        <v/>
      </c>
    </row>
    <row r="495">
      <c r="A495">
        <f>IF(games!$A495="","",games!$A495)</f>
        <v/>
      </c>
      <c r="B495">
        <f>IF($A495="","",games!$B495)</f>
        <v/>
      </c>
      <c r="C495">
        <f>IF($A495="","",games!$C495)</f>
        <v/>
      </c>
      <c r="D495">
        <f>IF($A495="","",COUNTIF(connections!$A$2:$A$1400,$A495)+COUNTIF(connections!$B$2:$B$1400,$A495))</f>
        <v/>
      </c>
      <c r="E495">
        <f>IF($A495="","",IFERROR(MATCH($C495,$R$2:$R$5,0),0))</f>
        <v/>
      </c>
      <c r="F495">
        <f>IF($A495="","",MOD(ROW(),34))</f>
        <v/>
      </c>
      <c r="G495">
        <f>IF($A495="",NA(),IF($C495="Action",$B495,NA()))</f>
        <v/>
      </c>
      <c r="H495">
        <f>IF($A495="",NA(),IF($C495="Action",1+$F495*0.023,NA()))</f>
        <v/>
      </c>
      <c r="I495">
        <f>IF($A495="",NA(),IF($C495="Strategy",$B495,NA()))</f>
        <v/>
      </c>
      <c r="J495">
        <f>IF($A495="",NA(),IF($C495="Strategy",2+$F495*0.023,NA()))</f>
        <v/>
      </c>
      <c r="K495">
        <f>IF($A495="",NA(),IF($C495="Deckbuilder",$B495,NA()))</f>
        <v/>
      </c>
      <c r="L495">
        <f>IF($A495="",NA(),IF($C495="Deckbuilder",3+$F495*0.023,NA()))</f>
        <v/>
      </c>
      <c r="M495">
        <f>IF($A495="",NA(),IF($C495="Traditional",$B495,NA()))</f>
        <v/>
      </c>
      <c r="N495">
        <f>IF($A495="",NA(),IF($C495="Traditional",4+$F495*0.023,NA()))</f>
        <v/>
      </c>
      <c r="O495">
        <f>IF($A495="","",$D495+ROW()/1000000)</f>
        <v/>
      </c>
      <c r="P495">
        <f>IF(OR($A495="",games!$H495=""),"",games!$H495)</f>
        <v/>
      </c>
      <c r="Q495">
        <f>IF(OR($A495="",$P495&lt;&gt;"Yes"),"",$D495+ROW()/1000000)</f>
        <v/>
      </c>
      <c r="T495">
        <f>IF(connections!$A495="","",IFERROR(INDEX(games!$B$2:$B$950,MATCH(connections!$A495,games!$A$2:$A$950,0)),""))</f>
        <v/>
      </c>
      <c r="U495">
        <f>IF(connections!$A495="","",IFERROR(INDEX(games!$B$2:$B$950,MATCH(connections!$B495,games!$A$2:$A$950,0)),""))</f>
        <v/>
      </c>
      <c r="V495">
        <f>IF(OR($T495="",$U495=""),"",$U495-$T495)</f>
        <v/>
      </c>
    </row>
    <row r="496">
      <c r="A496">
        <f>IF(games!$A496="","",games!$A496)</f>
        <v/>
      </c>
      <c r="B496">
        <f>IF($A496="","",games!$B496)</f>
        <v/>
      </c>
      <c r="C496">
        <f>IF($A496="","",games!$C496)</f>
        <v/>
      </c>
      <c r="D496">
        <f>IF($A496="","",COUNTIF(connections!$A$2:$A$1400,$A496)+COUNTIF(connections!$B$2:$B$1400,$A496))</f>
        <v/>
      </c>
      <c r="E496">
        <f>IF($A496="","",IFERROR(MATCH($C496,$R$2:$R$5,0),0))</f>
        <v/>
      </c>
      <c r="F496">
        <f>IF($A496="","",MOD(ROW(),34))</f>
        <v/>
      </c>
      <c r="G496">
        <f>IF($A496="",NA(),IF($C496="Action",$B496,NA()))</f>
        <v/>
      </c>
      <c r="H496">
        <f>IF($A496="",NA(),IF($C496="Action",1+$F496*0.023,NA()))</f>
        <v/>
      </c>
      <c r="I496">
        <f>IF($A496="",NA(),IF($C496="Strategy",$B496,NA()))</f>
        <v/>
      </c>
      <c r="J496">
        <f>IF($A496="",NA(),IF($C496="Strategy",2+$F496*0.023,NA()))</f>
        <v/>
      </c>
      <c r="K496">
        <f>IF($A496="",NA(),IF($C496="Deckbuilder",$B496,NA()))</f>
        <v/>
      </c>
      <c r="L496">
        <f>IF($A496="",NA(),IF($C496="Deckbuilder",3+$F496*0.023,NA()))</f>
        <v/>
      </c>
      <c r="M496">
        <f>IF($A496="",NA(),IF($C496="Traditional",$B496,NA()))</f>
        <v/>
      </c>
      <c r="N496">
        <f>IF($A496="",NA(),IF($C496="Traditional",4+$F496*0.023,NA()))</f>
        <v/>
      </c>
      <c r="O496">
        <f>IF($A496="","",$D496+ROW()/1000000)</f>
        <v/>
      </c>
      <c r="P496">
        <f>IF(OR($A496="",games!$H496=""),"",games!$H496)</f>
        <v/>
      </c>
      <c r="Q496">
        <f>IF(OR($A496="",$P496&lt;&gt;"Yes"),"",$D496+ROW()/1000000)</f>
        <v/>
      </c>
      <c r="T496">
        <f>IF(connections!$A496="","",IFERROR(INDEX(games!$B$2:$B$950,MATCH(connections!$A496,games!$A$2:$A$950,0)),""))</f>
        <v/>
      </c>
      <c r="U496">
        <f>IF(connections!$A496="","",IFERROR(INDEX(games!$B$2:$B$950,MATCH(connections!$B496,games!$A$2:$A$950,0)),""))</f>
        <v/>
      </c>
      <c r="V496">
        <f>IF(OR($T496="",$U496=""),"",$U496-$T496)</f>
        <v/>
      </c>
    </row>
    <row r="497">
      <c r="A497">
        <f>IF(games!$A497="","",games!$A497)</f>
        <v/>
      </c>
      <c r="B497">
        <f>IF($A497="","",games!$B497)</f>
        <v/>
      </c>
      <c r="C497">
        <f>IF($A497="","",games!$C497)</f>
        <v/>
      </c>
      <c r="D497">
        <f>IF($A497="","",COUNTIF(connections!$A$2:$A$1400,$A497)+COUNTIF(connections!$B$2:$B$1400,$A497))</f>
        <v/>
      </c>
      <c r="E497">
        <f>IF($A497="","",IFERROR(MATCH($C497,$R$2:$R$5,0),0))</f>
        <v/>
      </c>
      <c r="F497">
        <f>IF($A497="","",MOD(ROW(),34))</f>
        <v/>
      </c>
      <c r="G497">
        <f>IF($A497="",NA(),IF($C497="Action",$B497,NA()))</f>
        <v/>
      </c>
      <c r="H497">
        <f>IF($A497="",NA(),IF($C497="Action",1+$F497*0.023,NA()))</f>
        <v/>
      </c>
      <c r="I497">
        <f>IF($A497="",NA(),IF($C497="Strategy",$B497,NA()))</f>
        <v/>
      </c>
      <c r="J497">
        <f>IF($A497="",NA(),IF($C497="Strategy",2+$F497*0.023,NA()))</f>
        <v/>
      </c>
      <c r="K497">
        <f>IF($A497="",NA(),IF($C497="Deckbuilder",$B497,NA()))</f>
        <v/>
      </c>
      <c r="L497">
        <f>IF($A497="",NA(),IF($C497="Deckbuilder",3+$F497*0.023,NA()))</f>
        <v/>
      </c>
      <c r="M497">
        <f>IF($A497="",NA(),IF($C497="Traditional",$B497,NA()))</f>
        <v/>
      </c>
      <c r="N497">
        <f>IF($A497="",NA(),IF($C497="Traditional",4+$F497*0.023,NA()))</f>
        <v/>
      </c>
      <c r="O497">
        <f>IF($A497="","",$D497+ROW()/1000000)</f>
        <v/>
      </c>
      <c r="P497">
        <f>IF(OR($A497="",games!$H497=""),"",games!$H497)</f>
        <v/>
      </c>
      <c r="Q497">
        <f>IF(OR($A497="",$P497&lt;&gt;"Yes"),"",$D497+ROW()/1000000)</f>
        <v/>
      </c>
      <c r="T497">
        <f>IF(connections!$A497="","",IFERROR(INDEX(games!$B$2:$B$950,MATCH(connections!$A497,games!$A$2:$A$950,0)),""))</f>
        <v/>
      </c>
      <c r="U497">
        <f>IF(connections!$A497="","",IFERROR(INDEX(games!$B$2:$B$950,MATCH(connections!$B497,games!$A$2:$A$950,0)),""))</f>
        <v/>
      </c>
      <c r="V497">
        <f>IF(OR($T497="",$U497=""),"",$U497-$T497)</f>
        <v/>
      </c>
    </row>
    <row r="498">
      <c r="A498">
        <f>IF(games!$A498="","",games!$A498)</f>
        <v/>
      </c>
      <c r="B498">
        <f>IF($A498="","",games!$B498)</f>
        <v/>
      </c>
      <c r="C498">
        <f>IF($A498="","",games!$C498)</f>
        <v/>
      </c>
      <c r="D498">
        <f>IF($A498="","",COUNTIF(connections!$A$2:$A$1400,$A498)+COUNTIF(connections!$B$2:$B$1400,$A498))</f>
        <v/>
      </c>
      <c r="E498">
        <f>IF($A498="","",IFERROR(MATCH($C498,$R$2:$R$5,0),0))</f>
        <v/>
      </c>
      <c r="F498">
        <f>IF($A498="","",MOD(ROW(),34))</f>
        <v/>
      </c>
      <c r="G498">
        <f>IF($A498="",NA(),IF($C498="Action",$B498,NA()))</f>
        <v/>
      </c>
      <c r="H498">
        <f>IF($A498="",NA(),IF($C498="Action",1+$F498*0.023,NA()))</f>
        <v/>
      </c>
      <c r="I498">
        <f>IF($A498="",NA(),IF($C498="Strategy",$B498,NA()))</f>
        <v/>
      </c>
      <c r="J498">
        <f>IF($A498="",NA(),IF($C498="Strategy",2+$F498*0.023,NA()))</f>
        <v/>
      </c>
      <c r="K498">
        <f>IF($A498="",NA(),IF($C498="Deckbuilder",$B498,NA()))</f>
        <v/>
      </c>
      <c r="L498">
        <f>IF($A498="",NA(),IF($C498="Deckbuilder",3+$F498*0.023,NA()))</f>
        <v/>
      </c>
      <c r="M498">
        <f>IF($A498="",NA(),IF($C498="Traditional",$B498,NA()))</f>
        <v/>
      </c>
      <c r="N498">
        <f>IF($A498="",NA(),IF($C498="Traditional",4+$F498*0.023,NA()))</f>
        <v/>
      </c>
      <c r="O498">
        <f>IF($A498="","",$D498+ROW()/1000000)</f>
        <v/>
      </c>
      <c r="P498">
        <f>IF(OR($A498="",games!$H498=""),"",games!$H498)</f>
        <v/>
      </c>
      <c r="Q498">
        <f>IF(OR($A498="",$P498&lt;&gt;"Yes"),"",$D498+ROW()/1000000)</f>
        <v/>
      </c>
      <c r="T498">
        <f>IF(connections!$A498="","",IFERROR(INDEX(games!$B$2:$B$950,MATCH(connections!$A498,games!$A$2:$A$950,0)),""))</f>
        <v/>
      </c>
      <c r="U498">
        <f>IF(connections!$A498="","",IFERROR(INDEX(games!$B$2:$B$950,MATCH(connections!$B498,games!$A$2:$A$950,0)),""))</f>
        <v/>
      </c>
      <c r="V498">
        <f>IF(OR($T498="",$U498=""),"",$U498-$T498)</f>
        <v/>
      </c>
    </row>
    <row r="499">
      <c r="A499">
        <f>IF(games!$A499="","",games!$A499)</f>
        <v/>
      </c>
      <c r="B499">
        <f>IF($A499="","",games!$B499)</f>
        <v/>
      </c>
      <c r="C499">
        <f>IF($A499="","",games!$C499)</f>
        <v/>
      </c>
      <c r="D499">
        <f>IF($A499="","",COUNTIF(connections!$A$2:$A$1400,$A499)+COUNTIF(connections!$B$2:$B$1400,$A499))</f>
        <v/>
      </c>
      <c r="E499">
        <f>IF($A499="","",IFERROR(MATCH($C499,$R$2:$R$5,0),0))</f>
        <v/>
      </c>
      <c r="F499">
        <f>IF($A499="","",MOD(ROW(),34))</f>
        <v/>
      </c>
      <c r="G499">
        <f>IF($A499="",NA(),IF($C499="Action",$B499,NA()))</f>
        <v/>
      </c>
      <c r="H499">
        <f>IF($A499="",NA(),IF($C499="Action",1+$F499*0.023,NA()))</f>
        <v/>
      </c>
      <c r="I499">
        <f>IF($A499="",NA(),IF($C499="Strategy",$B499,NA()))</f>
        <v/>
      </c>
      <c r="J499">
        <f>IF($A499="",NA(),IF($C499="Strategy",2+$F499*0.023,NA()))</f>
        <v/>
      </c>
      <c r="K499">
        <f>IF($A499="",NA(),IF($C499="Deckbuilder",$B499,NA()))</f>
        <v/>
      </c>
      <c r="L499">
        <f>IF($A499="",NA(),IF($C499="Deckbuilder",3+$F499*0.023,NA()))</f>
        <v/>
      </c>
      <c r="M499">
        <f>IF($A499="",NA(),IF($C499="Traditional",$B499,NA()))</f>
        <v/>
      </c>
      <c r="N499">
        <f>IF($A499="",NA(),IF($C499="Traditional",4+$F499*0.023,NA()))</f>
        <v/>
      </c>
      <c r="O499">
        <f>IF($A499="","",$D499+ROW()/1000000)</f>
        <v/>
      </c>
      <c r="P499">
        <f>IF(OR($A499="",games!$H499=""),"",games!$H499)</f>
        <v/>
      </c>
      <c r="Q499">
        <f>IF(OR($A499="",$P499&lt;&gt;"Yes"),"",$D499+ROW()/1000000)</f>
        <v/>
      </c>
      <c r="T499">
        <f>IF(connections!$A499="","",IFERROR(INDEX(games!$B$2:$B$950,MATCH(connections!$A499,games!$A$2:$A$950,0)),""))</f>
        <v/>
      </c>
      <c r="U499">
        <f>IF(connections!$A499="","",IFERROR(INDEX(games!$B$2:$B$950,MATCH(connections!$B499,games!$A$2:$A$950,0)),""))</f>
        <v/>
      </c>
      <c r="V499">
        <f>IF(OR($T499="",$U499=""),"",$U499-$T499)</f>
        <v/>
      </c>
    </row>
    <row r="500">
      <c r="A500">
        <f>IF(games!$A500="","",games!$A500)</f>
        <v/>
      </c>
      <c r="B500">
        <f>IF($A500="","",games!$B500)</f>
        <v/>
      </c>
      <c r="C500">
        <f>IF($A500="","",games!$C500)</f>
        <v/>
      </c>
      <c r="D500">
        <f>IF($A500="","",COUNTIF(connections!$A$2:$A$1400,$A500)+COUNTIF(connections!$B$2:$B$1400,$A500))</f>
        <v/>
      </c>
      <c r="E500">
        <f>IF($A500="","",IFERROR(MATCH($C500,$R$2:$R$5,0),0))</f>
        <v/>
      </c>
      <c r="F500">
        <f>IF($A500="","",MOD(ROW(),34))</f>
        <v/>
      </c>
      <c r="G500">
        <f>IF($A500="",NA(),IF($C500="Action",$B500,NA()))</f>
        <v/>
      </c>
      <c r="H500">
        <f>IF($A500="",NA(),IF($C500="Action",1+$F500*0.023,NA()))</f>
        <v/>
      </c>
      <c r="I500">
        <f>IF($A500="",NA(),IF($C500="Strategy",$B500,NA()))</f>
        <v/>
      </c>
      <c r="J500">
        <f>IF($A500="",NA(),IF($C500="Strategy",2+$F500*0.023,NA()))</f>
        <v/>
      </c>
      <c r="K500">
        <f>IF($A500="",NA(),IF($C500="Deckbuilder",$B500,NA()))</f>
        <v/>
      </c>
      <c r="L500">
        <f>IF($A500="",NA(),IF($C500="Deckbuilder",3+$F500*0.023,NA()))</f>
        <v/>
      </c>
      <c r="M500">
        <f>IF($A500="",NA(),IF($C500="Traditional",$B500,NA()))</f>
        <v/>
      </c>
      <c r="N500">
        <f>IF($A500="",NA(),IF($C500="Traditional",4+$F500*0.023,NA()))</f>
        <v/>
      </c>
      <c r="O500">
        <f>IF($A500="","",$D500+ROW()/1000000)</f>
        <v/>
      </c>
      <c r="P500">
        <f>IF(OR($A500="",games!$H500=""),"",games!$H500)</f>
        <v/>
      </c>
      <c r="Q500">
        <f>IF(OR($A500="",$P500&lt;&gt;"Yes"),"",$D500+ROW()/1000000)</f>
        <v/>
      </c>
      <c r="T500">
        <f>IF(connections!$A500="","",IFERROR(INDEX(games!$B$2:$B$950,MATCH(connections!$A500,games!$A$2:$A$950,0)),""))</f>
        <v/>
      </c>
      <c r="U500">
        <f>IF(connections!$A500="","",IFERROR(INDEX(games!$B$2:$B$950,MATCH(connections!$B500,games!$A$2:$A$950,0)),""))</f>
        <v/>
      </c>
      <c r="V500">
        <f>IF(OR($T500="",$U500=""),"",$U500-$T500)</f>
        <v/>
      </c>
    </row>
    <row r="501">
      <c r="A501">
        <f>IF(games!$A501="","",games!$A501)</f>
        <v/>
      </c>
      <c r="B501">
        <f>IF($A501="","",games!$B501)</f>
        <v/>
      </c>
      <c r="C501">
        <f>IF($A501="","",games!$C501)</f>
        <v/>
      </c>
      <c r="D501">
        <f>IF($A501="","",COUNTIF(connections!$A$2:$A$1400,$A501)+COUNTIF(connections!$B$2:$B$1400,$A501))</f>
        <v/>
      </c>
      <c r="E501">
        <f>IF($A501="","",IFERROR(MATCH($C501,$R$2:$R$5,0),0))</f>
        <v/>
      </c>
      <c r="F501">
        <f>IF($A501="","",MOD(ROW(),34))</f>
        <v/>
      </c>
      <c r="G501">
        <f>IF($A501="",NA(),IF($C501="Action",$B501,NA()))</f>
        <v/>
      </c>
      <c r="H501">
        <f>IF($A501="",NA(),IF($C501="Action",1+$F501*0.023,NA()))</f>
        <v/>
      </c>
      <c r="I501">
        <f>IF($A501="",NA(),IF($C501="Strategy",$B501,NA()))</f>
        <v/>
      </c>
      <c r="J501">
        <f>IF($A501="",NA(),IF($C501="Strategy",2+$F501*0.023,NA()))</f>
        <v/>
      </c>
      <c r="K501">
        <f>IF($A501="",NA(),IF($C501="Deckbuilder",$B501,NA()))</f>
        <v/>
      </c>
      <c r="L501">
        <f>IF($A501="",NA(),IF($C501="Deckbuilder",3+$F501*0.023,NA()))</f>
        <v/>
      </c>
      <c r="M501">
        <f>IF($A501="",NA(),IF($C501="Traditional",$B501,NA()))</f>
        <v/>
      </c>
      <c r="N501">
        <f>IF($A501="",NA(),IF($C501="Traditional",4+$F501*0.023,NA()))</f>
        <v/>
      </c>
      <c r="O501">
        <f>IF($A501="","",$D501+ROW()/1000000)</f>
        <v/>
      </c>
      <c r="P501">
        <f>IF(OR($A501="",games!$H501=""),"",games!$H501)</f>
        <v/>
      </c>
      <c r="Q501">
        <f>IF(OR($A501="",$P501&lt;&gt;"Yes"),"",$D501+ROW()/1000000)</f>
        <v/>
      </c>
      <c r="T501">
        <f>IF(connections!$A501="","",IFERROR(INDEX(games!$B$2:$B$950,MATCH(connections!$A501,games!$A$2:$A$950,0)),""))</f>
        <v/>
      </c>
      <c r="U501">
        <f>IF(connections!$A501="","",IFERROR(INDEX(games!$B$2:$B$950,MATCH(connections!$B501,games!$A$2:$A$950,0)),""))</f>
        <v/>
      </c>
      <c r="V501">
        <f>IF(OR($T501="",$U501=""),"",$U501-$T501)</f>
        <v/>
      </c>
    </row>
    <row r="502">
      <c r="A502">
        <f>IF(games!$A502="","",games!$A502)</f>
        <v/>
      </c>
      <c r="B502">
        <f>IF($A502="","",games!$B502)</f>
        <v/>
      </c>
      <c r="C502">
        <f>IF($A502="","",games!$C502)</f>
        <v/>
      </c>
      <c r="D502">
        <f>IF($A502="","",COUNTIF(connections!$A$2:$A$1400,$A502)+COUNTIF(connections!$B$2:$B$1400,$A502))</f>
        <v/>
      </c>
      <c r="E502">
        <f>IF($A502="","",IFERROR(MATCH($C502,$R$2:$R$5,0),0))</f>
        <v/>
      </c>
      <c r="F502">
        <f>IF($A502="","",MOD(ROW(),34))</f>
        <v/>
      </c>
      <c r="G502">
        <f>IF($A502="",NA(),IF($C502="Action",$B502,NA()))</f>
        <v/>
      </c>
      <c r="H502">
        <f>IF($A502="",NA(),IF($C502="Action",1+$F502*0.023,NA()))</f>
        <v/>
      </c>
      <c r="I502">
        <f>IF($A502="",NA(),IF($C502="Strategy",$B502,NA()))</f>
        <v/>
      </c>
      <c r="J502">
        <f>IF($A502="",NA(),IF($C502="Strategy",2+$F502*0.023,NA()))</f>
        <v/>
      </c>
      <c r="K502">
        <f>IF($A502="",NA(),IF($C502="Deckbuilder",$B502,NA()))</f>
        <v/>
      </c>
      <c r="L502">
        <f>IF($A502="",NA(),IF($C502="Deckbuilder",3+$F502*0.023,NA()))</f>
        <v/>
      </c>
      <c r="M502">
        <f>IF($A502="",NA(),IF($C502="Traditional",$B502,NA()))</f>
        <v/>
      </c>
      <c r="N502">
        <f>IF($A502="",NA(),IF($C502="Traditional",4+$F502*0.023,NA()))</f>
        <v/>
      </c>
      <c r="O502">
        <f>IF($A502="","",$D502+ROW()/1000000)</f>
        <v/>
      </c>
      <c r="P502">
        <f>IF(OR($A502="",games!$H502=""),"",games!$H502)</f>
        <v/>
      </c>
      <c r="Q502">
        <f>IF(OR($A502="",$P502&lt;&gt;"Yes"),"",$D502+ROW()/1000000)</f>
        <v/>
      </c>
      <c r="T502">
        <f>IF(connections!$A502="","",IFERROR(INDEX(games!$B$2:$B$950,MATCH(connections!$A502,games!$A$2:$A$950,0)),""))</f>
        <v/>
      </c>
      <c r="U502">
        <f>IF(connections!$A502="","",IFERROR(INDEX(games!$B$2:$B$950,MATCH(connections!$B502,games!$A$2:$A$950,0)),""))</f>
        <v/>
      </c>
      <c r="V502">
        <f>IF(OR($T502="",$U502=""),"",$U502-$T502)</f>
        <v/>
      </c>
    </row>
    <row r="503">
      <c r="A503">
        <f>IF(games!$A503="","",games!$A503)</f>
        <v/>
      </c>
      <c r="B503">
        <f>IF($A503="","",games!$B503)</f>
        <v/>
      </c>
      <c r="C503">
        <f>IF($A503="","",games!$C503)</f>
        <v/>
      </c>
      <c r="D503">
        <f>IF($A503="","",COUNTIF(connections!$A$2:$A$1400,$A503)+COUNTIF(connections!$B$2:$B$1400,$A503))</f>
        <v/>
      </c>
      <c r="E503">
        <f>IF($A503="","",IFERROR(MATCH($C503,$R$2:$R$5,0),0))</f>
        <v/>
      </c>
      <c r="F503">
        <f>IF($A503="","",MOD(ROW(),34))</f>
        <v/>
      </c>
      <c r="G503">
        <f>IF($A503="",NA(),IF($C503="Action",$B503,NA()))</f>
        <v/>
      </c>
      <c r="H503">
        <f>IF($A503="",NA(),IF($C503="Action",1+$F503*0.023,NA()))</f>
        <v/>
      </c>
      <c r="I503">
        <f>IF($A503="",NA(),IF($C503="Strategy",$B503,NA()))</f>
        <v/>
      </c>
      <c r="J503">
        <f>IF($A503="",NA(),IF($C503="Strategy",2+$F503*0.023,NA()))</f>
        <v/>
      </c>
      <c r="K503">
        <f>IF($A503="",NA(),IF($C503="Deckbuilder",$B503,NA()))</f>
        <v/>
      </c>
      <c r="L503">
        <f>IF($A503="",NA(),IF($C503="Deckbuilder",3+$F503*0.023,NA()))</f>
        <v/>
      </c>
      <c r="M503">
        <f>IF($A503="",NA(),IF($C503="Traditional",$B503,NA()))</f>
        <v/>
      </c>
      <c r="N503">
        <f>IF($A503="",NA(),IF($C503="Traditional",4+$F503*0.023,NA()))</f>
        <v/>
      </c>
      <c r="O503">
        <f>IF($A503="","",$D503+ROW()/1000000)</f>
        <v/>
      </c>
      <c r="P503">
        <f>IF(OR($A503="",games!$H503=""),"",games!$H503)</f>
        <v/>
      </c>
      <c r="Q503">
        <f>IF(OR($A503="",$P503&lt;&gt;"Yes"),"",$D503+ROW()/1000000)</f>
        <v/>
      </c>
      <c r="T503">
        <f>IF(connections!$A503="","",IFERROR(INDEX(games!$B$2:$B$950,MATCH(connections!$A503,games!$A$2:$A$950,0)),""))</f>
        <v/>
      </c>
      <c r="U503">
        <f>IF(connections!$A503="","",IFERROR(INDEX(games!$B$2:$B$950,MATCH(connections!$B503,games!$A$2:$A$950,0)),""))</f>
        <v/>
      </c>
      <c r="V503">
        <f>IF(OR($T503="",$U503=""),"",$U503-$T503)</f>
        <v/>
      </c>
    </row>
    <row r="504">
      <c r="A504">
        <f>IF(games!$A504="","",games!$A504)</f>
        <v/>
      </c>
      <c r="B504">
        <f>IF($A504="","",games!$B504)</f>
        <v/>
      </c>
      <c r="C504">
        <f>IF($A504="","",games!$C504)</f>
        <v/>
      </c>
      <c r="D504">
        <f>IF($A504="","",COUNTIF(connections!$A$2:$A$1400,$A504)+COUNTIF(connections!$B$2:$B$1400,$A504))</f>
        <v/>
      </c>
      <c r="E504">
        <f>IF($A504="","",IFERROR(MATCH($C504,$R$2:$R$5,0),0))</f>
        <v/>
      </c>
      <c r="F504">
        <f>IF($A504="","",MOD(ROW(),34))</f>
        <v/>
      </c>
      <c r="G504">
        <f>IF($A504="",NA(),IF($C504="Action",$B504,NA()))</f>
        <v/>
      </c>
      <c r="H504">
        <f>IF($A504="",NA(),IF($C504="Action",1+$F504*0.023,NA()))</f>
        <v/>
      </c>
      <c r="I504">
        <f>IF($A504="",NA(),IF($C504="Strategy",$B504,NA()))</f>
        <v/>
      </c>
      <c r="J504">
        <f>IF($A504="",NA(),IF($C504="Strategy",2+$F504*0.023,NA()))</f>
        <v/>
      </c>
      <c r="K504">
        <f>IF($A504="",NA(),IF($C504="Deckbuilder",$B504,NA()))</f>
        <v/>
      </c>
      <c r="L504">
        <f>IF($A504="",NA(),IF($C504="Deckbuilder",3+$F504*0.023,NA()))</f>
        <v/>
      </c>
      <c r="M504">
        <f>IF($A504="",NA(),IF($C504="Traditional",$B504,NA()))</f>
        <v/>
      </c>
      <c r="N504">
        <f>IF($A504="",NA(),IF($C504="Traditional",4+$F504*0.023,NA()))</f>
        <v/>
      </c>
      <c r="O504">
        <f>IF($A504="","",$D504+ROW()/1000000)</f>
        <v/>
      </c>
      <c r="P504">
        <f>IF(OR($A504="",games!$H504=""),"",games!$H504)</f>
        <v/>
      </c>
      <c r="Q504">
        <f>IF(OR($A504="",$P504&lt;&gt;"Yes"),"",$D504+ROW()/1000000)</f>
        <v/>
      </c>
      <c r="T504">
        <f>IF(connections!$A504="","",IFERROR(INDEX(games!$B$2:$B$950,MATCH(connections!$A504,games!$A$2:$A$950,0)),""))</f>
        <v/>
      </c>
      <c r="U504">
        <f>IF(connections!$A504="","",IFERROR(INDEX(games!$B$2:$B$950,MATCH(connections!$B504,games!$A$2:$A$950,0)),""))</f>
        <v/>
      </c>
      <c r="V504">
        <f>IF(OR($T504="",$U504=""),"",$U504-$T504)</f>
        <v/>
      </c>
    </row>
    <row r="505">
      <c r="A505">
        <f>IF(games!$A505="","",games!$A505)</f>
        <v/>
      </c>
      <c r="B505">
        <f>IF($A505="","",games!$B505)</f>
        <v/>
      </c>
      <c r="C505">
        <f>IF($A505="","",games!$C505)</f>
        <v/>
      </c>
      <c r="D505">
        <f>IF($A505="","",COUNTIF(connections!$A$2:$A$1400,$A505)+COUNTIF(connections!$B$2:$B$1400,$A505))</f>
        <v/>
      </c>
      <c r="E505">
        <f>IF($A505="","",IFERROR(MATCH($C505,$R$2:$R$5,0),0))</f>
        <v/>
      </c>
      <c r="F505">
        <f>IF($A505="","",MOD(ROW(),34))</f>
        <v/>
      </c>
      <c r="G505">
        <f>IF($A505="",NA(),IF($C505="Action",$B505,NA()))</f>
        <v/>
      </c>
      <c r="H505">
        <f>IF($A505="",NA(),IF($C505="Action",1+$F505*0.023,NA()))</f>
        <v/>
      </c>
      <c r="I505">
        <f>IF($A505="",NA(),IF($C505="Strategy",$B505,NA()))</f>
        <v/>
      </c>
      <c r="J505">
        <f>IF($A505="",NA(),IF($C505="Strategy",2+$F505*0.023,NA()))</f>
        <v/>
      </c>
      <c r="K505">
        <f>IF($A505="",NA(),IF($C505="Deckbuilder",$B505,NA()))</f>
        <v/>
      </c>
      <c r="L505">
        <f>IF($A505="",NA(),IF($C505="Deckbuilder",3+$F505*0.023,NA()))</f>
        <v/>
      </c>
      <c r="M505">
        <f>IF($A505="",NA(),IF($C505="Traditional",$B505,NA()))</f>
        <v/>
      </c>
      <c r="N505">
        <f>IF($A505="",NA(),IF($C505="Traditional",4+$F505*0.023,NA()))</f>
        <v/>
      </c>
      <c r="O505">
        <f>IF($A505="","",$D505+ROW()/1000000)</f>
        <v/>
      </c>
      <c r="P505">
        <f>IF(OR($A505="",games!$H505=""),"",games!$H505)</f>
        <v/>
      </c>
      <c r="Q505">
        <f>IF(OR($A505="",$P505&lt;&gt;"Yes"),"",$D505+ROW()/1000000)</f>
        <v/>
      </c>
      <c r="T505">
        <f>IF(connections!$A505="","",IFERROR(INDEX(games!$B$2:$B$950,MATCH(connections!$A505,games!$A$2:$A$950,0)),""))</f>
        <v/>
      </c>
      <c r="U505">
        <f>IF(connections!$A505="","",IFERROR(INDEX(games!$B$2:$B$950,MATCH(connections!$B505,games!$A$2:$A$950,0)),""))</f>
        <v/>
      </c>
      <c r="V505">
        <f>IF(OR($T505="",$U505=""),"",$U505-$T505)</f>
        <v/>
      </c>
    </row>
    <row r="506">
      <c r="A506">
        <f>IF(games!$A506="","",games!$A506)</f>
        <v/>
      </c>
      <c r="B506">
        <f>IF($A506="","",games!$B506)</f>
        <v/>
      </c>
      <c r="C506">
        <f>IF($A506="","",games!$C506)</f>
        <v/>
      </c>
      <c r="D506">
        <f>IF($A506="","",COUNTIF(connections!$A$2:$A$1400,$A506)+COUNTIF(connections!$B$2:$B$1400,$A506))</f>
        <v/>
      </c>
      <c r="E506">
        <f>IF($A506="","",IFERROR(MATCH($C506,$R$2:$R$5,0),0))</f>
        <v/>
      </c>
      <c r="F506">
        <f>IF($A506="","",MOD(ROW(),34))</f>
        <v/>
      </c>
      <c r="G506">
        <f>IF($A506="",NA(),IF($C506="Action",$B506,NA()))</f>
        <v/>
      </c>
      <c r="H506">
        <f>IF($A506="",NA(),IF($C506="Action",1+$F506*0.023,NA()))</f>
        <v/>
      </c>
      <c r="I506">
        <f>IF($A506="",NA(),IF($C506="Strategy",$B506,NA()))</f>
        <v/>
      </c>
      <c r="J506">
        <f>IF($A506="",NA(),IF($C506="Strategy",2+$F506*0.023,NA()))</f>
        <v/>
      </c>
      <c r="K506">
        <f>IF($A506="",NA(),IF($C506="Deckbuilder",$B506,NA()))</f>
        <v/>
      </c>
      <c r="L506">
        <f>IF($A506="",NA(),IF($C506="Deckbuilder",3+$F506*0.023,NA()))</f>
        <v/>
      </c>
      <c r="M506">
        <f>IF($A506="",NA(),IF($C506="Traditional",$B506,NA()))</f>
        <v/>
      </c>
      <c r="N506">
        <f>IF($A506="",NA(),IF($C506="Traditional",4+$F506*0.023,NA()))</f>
        <v/>
      </c>
      <c r="O506">
        <f>IF($A506="","",$D506+ROW()/1000000)</f>
        <v/>
      </c>
      <c r="P506">
        <f>IF(OR($A506="",games!$H506=""),"",games!$H506)</f>
        <v/>
      </c>
      <c r="Q506">
        <f>IF(OR($A506="",$P506&lt;&gt;"Yes"),"",$D506+ROW()/1000000)</f>
        <v/>
      </c>
      <c r="T506">
        <f>IF(connections!$A506="","",IFERROR(INDEX(games!$B$2:$B$950,MATCH(connections!$A506,games!$A$2:$A$950,0)),""))</f>
        <v/>
      </c>
      <c r="U506">
        <f>IF(connections!$A506="","",IFERROR(INDEX(games!$B$2:$B$950,MATCH(connections!$B506,games!$A$2:$A$950,0)),""))</f>
        <v/>
      </c>
      <c r="V506">
        <f>IF(OR($T506="",$U506=""),"",$U506-$T506)</f>
        <v/>
      </c>
    </row>
    <row r="507">
      <c r="A507">
        <f>IF(games!$A507="","",games!$A507)</f>
        <v/>
      </c>
      <c r="B507">
        <f>IF($A507="","",games!$B507)</f>
        <v/>
      </c>
      <c r="C507">
        <f>IF($A507="","",games!$C507)</f>
        <v/>
      </c>
      <c r="D507">
        <f>IF($A507="","",COUNTIF(connections!$A$2:$A$1400,$A507)+COUNTIF(connections!$B$2:$B$1400,$A507))</f>
        <v/>
      </c>
      <c r="E507">
        <f>IF($A507="","",IFERROR(MATCH($C507,$R$2:$R$5,0),0))</f>
        <v/>
      </c>
      <c r="F507">
        <f>IF($A507="","",MOD(ROW(),34))</f>
        <v/>
      </c>
      <c r="G507">
        <f>IF($A507="",NA(),IF($C507="Action",$B507,NA()))</f>
        <v/>
      </c>
      <c r="H507">
        <f>IF($A507="",NA(),IF($C507="Action",1+$F507*0.023,NA()))</f>
        <v/>
      </c>
      <c r="I507">
        <f>IF($A507="",NA(),IF($C507="Strategy",$B507,NA()))</f>
        <v/>
      </c>
      <c r="J507">
        <f>IF($A507="",NA(),IF($C507="Strategy",2+$F507*0.023,NA()))</f>
        <v/>
      </c>
      <c r="K507">
        <f>IF($A507="",NA(),IF($C507="Deckbuilder",$B507,NA()))</f>
        <v/>
      </c>
      <c r="L507">
        <f>IF($A507="",NA(),IF($C507="Deckbuilder",3+$F507*0.023,NA()))</f>
        <v/>
      </c>
      <c r="M507">
        <f>IF($A507="",NA(),IF($C507="Traditional",$B507,NA()))</f>
        <v/>
      </c>
      <c r="N507">
        <f>IF($A507="",NA(),IF($C507="Traditional",4+$F507*0.023,NA()))</f>
        <v/>
      </c>
      <c r="O507">
        <f>IF($A507="","",$D507+ROW()/1000000)</f>
        <v/>
      </c>
      <c r="P507">
        <f>IF(OR($A507="",games!$H507=""),"",games!$H507)</f>
        <v/>
      </c>
      <c r="Q507">
        <f>IF(OR($A507="",$P507&lt;&gt;"Yes"),"",$D507+ROW()/1000000)</f>
        <v/>
      </c>
      <c r="T507">
        <f>IF(connections!$A507="","",IFERROR(INDEX(games!$B$2:$B$950,MATCH(connections!$A507,games!$A$2:$A$950,0)),""))</f>
        <v/>
      </c>
      <c r="U507">
        <f>IF(connections!$A507="","",IFERROR(INDEX(games!$B$2:$B$950,MATCH(connections!$B507,games!$A$2:$A$950,0)),""))</f>
        <v/>
      </c>
      <c r="V507">
        <f>IF(OR($T507="",$U507=""),"",$U507-$T507)</f>
        <v/>
      </c>
    </row>
    <row r="508">
      <c r="A508">
        <f>IF(games!$A508="","",games!$A508)</f>
        <v/>
      </c>
      <c r="B508">
        <f>IF($A508="","",games!$B508)</f>
        <v/>
      </c>
      <c r="C508">
        <f>IF($A508="","",games!$C508)</f>
        <v/>
      </c>
      <c r="D508">
        <f>IF($A508="","",COUNTIF(connections!$A$2:$A$1400,$A508)+COUNTIF(connections!$B$2:$B$1400,$A508))</f>
        <v/>
      </c>
      <c r="E508">
        <f>IF($A508="","",IFERROR(MATCH($C508,$R$2:$R$5,0),0))</f>
        <v/>
      </c>
      <c r="F508">
        <f>IF($A508="","",MOD(ROW(),34))</f>
        <v/>
      </c>
      <c r="G508">
        <f>IF($A508="",NA(),IF($C508="Action",$B508,NA()))</f>
        <v/>
      </c>
      <c r="H508">
        <f>IF($A508="",NA(),IF($C508="Action",1+$F508*0.023,NA()))</f>
        <v/>
      </c>
      <c r="I508">
        <f>IF($A508="",NA(),IF($C508="Strategy",$B508,NA()))</f>
        <v/>
      </c>
      <c r="J508">
        <f>IF($A508="",NA(),IF($C508="Strategy",2+$F508*0.023,NA()))</f>
        <v/>
      </c>
      <c r="K508">
        <f>IF($A508="",NA(),IF($C508="Deckbuilder",$B508,NA()))</f>
        <v/>
      </c>
      <c r="L508">
        <f>IF($A508="",NA(),IF($C508="Deckbuilder",3+$F508*0.023,NA()))</f>
        <v/>
      </c>
      <c r="M508">
        <f>IF($A508="",NA(),IF($C508="Traditional",$B508,NA()))</f>
        <v/>
      </c>
      <c r="N508">
        <f>IF($A508="",NA(),IF($C508="Traditional",4+$F508*0.023,NA()))</f>
        <v/>
      </c>
      <c r="O508">
        <f>IF($A508="","",$D508+ROW()/1000000)</f>
        <v/>
      </c>
      <c r="P508">
        <f>IF(OR($A508="",games!$H508=""),"",games!$H508)</f>
        <v/>
      </c>
      <c r="Q508">
        <f>IF(OR($A508="",$P508&lt;&gt;"Yes"),"",$D508+ROW()/1000000)</f>
        <v/>
      </c>
      <c r="T508">
        <f>IF(connections!$A508="","",IFERROR(INDEX(games!$B$2:$B$950,MATCH(connections!$A508,games!$A$2:$A$950,0)),""))</f>
        <v/>
      </c>
      <c r="U508">
        <f>IF(connections!$A508="","",IFERROR(INDEX(games!$B$2:$B$950,MATCH(connections!$B508,games!$A$2:$A$950,0)),""))</f>
        <v/>
      </c>
      <c r="V508">
        <f>IF(OR($T508="",$U508=""),"",$U508-$T508)</f>
        <v/>
      </c>
    </row>
    <row r="509">
      <c r="A509">
        <f>IF(games!$A509="","",games!$A509)</f>
        <v/>
      </c>
      <c r="B509">
        <f>IF($A509="","",games!$B509)</f>
        <v/>
      </c>
      <c r="C509">
        <f>IF($A509="","",games!$C509)</f>
        <v/>
      </c>
      <c r="D509">
        <f>IF($A509="","",COUNTIF(connections!$A$2:$A$1400,$A509)+COUNTIF(connections!$B$2:$B$1400,$A509))</f>
        <v/>
      </c>
      <c r="E509">
        <f>IF($A509="","",IFERROR(MATCH($C509,$R$2:$R$5,0),0))</f>
        <v/>
      </c>
      <c r="F509">
        <f>IF($A509="","",MOD(ROW(),34))</f>
        <v/>
      </c>
      <c r="G509">
        <f>IF($A509="",NA(),IF($C509="Action",$B509,NA()))</f>
        <v/>
      </c>
      <c r="H509">
        <f>IF($A509="",NA(),IF($C509="Action",1+$F509*0.023,NA()))</f>
        <v/>
      </c>
      <c r="I509">
        <f>IF($A509="",NA(),IF($C509="Strategy",$B509,NA()))</f>
        <v/>
      </c>
      <c r="J509">
        <f>IF($A509="",NA(),IF($C509="Strategy",2+$F509*0.023,NA()))</f>
        <v/>
      </c>
      <c r="K509">
        <f>IF($A509="",NA(),IF($C509="Deckbuilder",$B509,NA()))</f>
        <v/>
      </c>
      <c r="L509">
        <f>IF($A509="",NA(),IF($C509="Deckbuilder",3+$F509*0.023,NA()))</f>
        <v/>
      </c>
      <c r="M509">
        <f>IF($A509="",NA(),IF($C509="Traditional",$B509,NA()))</f>
        <v/>
      </c>
      <c r="N509">
        <f>IF($A509="",NA(),IF($C509="Traditional",4+$F509*0.023,NA()))</f>
        <v/>
      </c>
      <c r="O509">
        <f>IF($A509="","",$D509+ROW()/1000000)</f>
        <v/>
      </c>
      <c r="P509">
        <f>IF(OR($A509="",games!$H509=""),"",games!$H509)</f>
        <v/>
      </c>
      <c r="Q509">
        <f>IF(OR($A509="",$P509&lt;&gt;"Yes"),"",$D509+ROW()/1000000)</f>
        <v/>
      </c>
      <c r="T509">
        <f>IF(connections!$A509="","",IFERROR(INDEX(games!$B$2:$B$950,MATCH(connections!$A509,games!$A$2:$A$950,0)),""))</f>
        <v/>
      </c>
      <c r="U509">
        <f>IF(connections!$A509="","",IFERROR(INDEX(games!$B$2:$B$950,MATCH(connections!$B509,games!$A$2:$A$950,0)),""))</f>
        <v/>
      </c>
      <c r="V509">
        <f>IF(OR($T509="",$U509=""),"",$U509-$T509)</f>
        <v/>
      </c>
    </row>
    <row r="510">
      <c r="A510">
        <f>IF(games!$A510="","",games!$A510)</f>
        <v/>
      </c>
      <c r="B510">
        <f>IF($A510="","",games!$B510)</f>
        <v/>
      </c>
      <c r="C510">
        <f>IF($A510="","",games!$C510)</f>
        <v/>
      </c>
      <c r="D510">
        <f>IF($A510="","",COUNTIF(connections!$A$2:$A$1400,$A510)+COUNTIF(connections!$B$2:$B$1400,$A510))</f>
        <v/>
      </c>
      <c r="E510">
        <f>IF($A510="","",IFERROR(MATCH($C510,$R$2:$R$5,0),0))</f>
        <v/>
      </c>
      <c r="F510">
        <f>IF($A510="","",MOD(ROW(),34))</f>
        <v/>
      </c>
      <c r="G510">
        <f>IF($A510="",NA(),IF($C510="Action",$B510,NA()))</f>
        <v/>
      </c>
      <c r="H510">
        <f>IF($A510="",NA(),IF($C510="Action",1+$F510*0.023,NA()))</f>
        <v/>
      </c>
      <c r="I510">
        <f>IF($A510="",NA(),IF($C510="Strategy",$B510,NA()))</f>
        <v/>
      </c>
      <c r="J510">
        <f>IF($A510="",NA(),IF($C510="Strategy",2+$F510*0.023,NA()))</f>
        <v/>
      </c>
      <c r="K510">
        <f>IF($A510="",NA(),IF($C510="Deckbuilder",$B510,NA()))</f>
        <v/>
      </c>
      <c r="L510">
        <f>IF($A510="",NA(),IF($C510="Deckbuilder",3+$F510*0.023,NA()))</f>
        <v/>
      </c>
      <c r="M510">
        <f>IF($A510="",NA(),IF($C510="Traditional",$B510,NA()))</f>
        <v/>
      </c>
      <c r="N510">
        <f>IF($A510="",NA(),IF($C510="Traditional",4+$F510*0.023,NA()))</f>
        <v/>
      </c>
      <c r="O510">
        <f>IF($A510="","",$D510+ROW()/1000000)</f>
        <v/>
      </c>
      <c r="P510">
        <f>IF(OR($A510="",games!$H510=""),"",games!$H510)</f>
        <v/>
      </c>
      <c r="Q510">
        <f>IF(OR($A510="",$P510&lt;&gt;"Yes"),"",$D510+ROW()/1000000)</f>
        <v/>
      </c>
      <c r="T510">
        <f>IF(connections!$A510="","",IFERROR(INDEX(games!$B$2:$B$950,MATCH(connections!$A510,games!$A$2:$A$950,0)),""))</f>
        <v/>
      </c>
      <c r="U510">
        <f>IF(connections!$A510="","",IFERROR(INDEX(games!$B$2:$B$950,MATCH(connections!$B510,games!$A$2:$A$950,0)),""))</f>
        <v/>
      </c>
      <c r="V510">
        <f>IF(OR($T510="",$U510=""),"",$U510-$T510)</f>
        <v/>
      </c>
    </row>
    <row r="511">
      <c r="A511">
        <f>IF(games!$A511="","",games!$A511)</f>
        <v/>
      </c>
      <c r="B511">
        <f>IF($A511="","",games!$B511)</f>
        <v/>
      </c>
      <c r="C511">
        <f>IF($A511="","",games!$C511)</f>
        <v/>
      </c>
      <c r="D511">
        <f>IF($A511="","",COUNTIF(connections!$A$2:$A$1400,$A511)+COUNTIF(connections!$B$2:$B$1400,$A511))</f>
        <v/>
      </c>
      <c r="E511">
        <f>IF($A511="","",IFERROR(MATCH($C511,$R$2:$R$5,0),0))</f>
        <v/>
      </c>
      <c r="F511">
        <f>IF($A511="","",MOD(ROW(),34))</f>
        <v/>
      </c>
      <c r="G511">
        <f>IF($A511="",NA(),IF($C511="Action",$B511,NA()))</f>
        <v/>
      </c>
      <c r="H511">
        <f>IF($A511="",NA(),IF($C511="Action",1+$F511*0.023,NA()))</f>
        <v/>
      </c>
      <c r="I511">
        <f>IF($A511="",NA(),IF($C511="Strategy",$B511,NA()))</f>
        <v/>
      </c>
      <c r="J511">
        <f>IF($A511="",NA(),IF($C511="Strategy",2+$F511*0.023,NA()))</f>
        <v/>
      </c>
      <c r="K511">
        <f>IF($A511="",NA(),IF($C511="Deckbuilder",$B511,NA()))</f>
        <v/>
      </c>
      <c r="L511">
        <f>IF($A511="",NA(),IF($C511="Deckbuilder",3+$F511*0.023,NA()))</f>
        <v/>
      </c>
      <c r="M511">
        <f>IF($A511="",NA(),IF($C511="Traditional",$B511,NA()))</f>
        <v/>
      </c>
      <c r="N511">
        <f>IF($A511="",NA(),IF($C511="Traditional",4+$F511*0.023,NA()))</f>
        <v/>
      </c>
      <c r="O511">
        <f>IF($A511="","",$D511+ROW()/1000000)</f>
        <v/>
      </c>
      <c r="P511">
        <f>IF(OR($A511="",games!$H511=""),"",games!$H511)</f>
        <v/>
      </c>
      <c r="Q511">
        <f>IF(OR($A511="",$P511&lt;&gt;"Yes"),"",$D511+ROW()/1000000)</f>
        <v/>
      </c>
      <c r="T511">
        <f>IF(connections!$A511="","",IFERROR(INDEX(games!$B$2:$B$950,MATCH(connections!$A511,games!$A$2:$A$950,0)),""))</f>
        <v/>
      </c>
      <c r="U511">
        <f>IF(connections!$A511="","",IFERROR(INDEX(games!$B$2:$B$950,MATCH(connections!$B511,games!$A$2:$A$950,0)),""))</f>
        <v/>
      </c>
      <c r="V511">
        <f>IF(OR($T511="",$U511=""),"",$U511-$T511)</f>
        <v/>
      </c>
    </row>
    <row r="512">
      <c r="A512">
        <f>IF(games!$A512="","",games!$A512)</f>
        <v/>
      </c>
      <c r="B512">
        <f>IF($A512="","",games!$B512)</f>
        <v/>
      </c>
      <c r="C512">
        <f>IF($A512="","",games!$C512)</f>
        <v/>
      </c>
      <c r="D512">
        <f>IF($A512="","",COUNTIF(connections!$A$2:$A$1400,$A512)+COUNTIF(connections!$B$2:$B$1400,$A512))</f>
        <v/>
      </c>
      <c r="E512">
        <f>IF($A512="","",IFERROR(MATCH($C512,$R$2:$R$5,0),0))</f>
        <v/>
      </c>
      <c r="F512">
        <f>IF($A512="","",MOD(ROW(),34))</f>
        <v/>
      </c>
      <c r="G512">
        <f>IF($A512="",NA(),IF($C512="Action",$B512,NA()))</f>
        <v/>
      </c>
      <c r="H512">
        <f>IF($A512="",NA(),IF($C512="Action",1+$F512*0.023,NA()))</f>
        <v/>
      </c>
      <c r="I512">
        <f>IF($A512="",NA(),IF($C512="Strategy",$B512,NA()))</f>
        <v/>
      </c>
      <c r="J512">
        <f>IF($A512="",NA(),IF($C512="Strategy",2+$F512*0.023,NA()))</f>
        <v/>
      </c>
      <c r="K512">
        <f>IF($A512="",NA(),IF($C512="Deckbuilder",$B512,NA()))</f>
        <v/>
      </c>
      <c r="L512">
        <f>IF($A512="",NA(),IF($C512="Deckbuilder",3+$F512*0.023,NA()))</f>
        <v/>
      </c>
      <c r="M512">
        <f>IF($A512="",NA(),IF($C512="Traditional",$B512,NA()))</f>
        <v/>
      </c>
      <c r="N512">
        <f>IF($A512="",NA(),IF($C512="Traditional",4+$F512*0.023,NA()))</f>
        <v/>
      </c>
      <c r="O512">
        <f>IF($A512="","",$D512+ROW()/1000000)</f>
        <v/>
      </c>
      <c r="P512">
        <f>IF(OR($A512="",games!$H512=""),"",games!$H512)</f>
        <v/>
      </c>
      <c r="Q512">
        <f>IF(OR($A512="",$P512&lt;&gt;"Yes"),"",$D512+ROW()/1000000)</f>
        <v/>
      </c>
      <c r="T512">
        <f>IF(connections!$A512="","",IFERROR(INDEX(games!$B$2:$B$950,MATCH(connections!$A512,games!$A$2:$A$950,0)),""))</f>
        <v/>
      </c>
      <c r="U512">
        <f>IF(connections!$A512="","",IFERROR(INDEX(games!$B$2:$B$950,MATCH(connections!$B512,games!$A$2:$A$950,0)),""))</f>
        <v/>
      </c>
      <c r="V512">
        <f>IF(OR($T512="",$U512=""),"",$U512-$T512)</f>
        <v/>
      </c>
    </row>
    <row r="513">
      <c r="A513">
        <f>IF(games!$A513="","",games!$A513)</f>
        <v/>
      </c>
      <c r="B513">
        <f>IF($A513="","",games!$B513)</f>
        <v/>
      </c>
      <c r="C513">
        <f>IF($A513="","",games!$C513)</f>
        <v/>
      </c>
      <c r="D513">
        <f>IF($A513="","",COUNTIF(connections!$A$2:$A$1400,$A513)+COUNTIF(connections!$B$2:$B$1400,$A513))</f>
        <v/>
      </c>
      <c r="E513">
        <f>IF($A513="","",IFERROR(MATCH($C513,$R$2:$R$5,0),0))</f>
        <v/>
      </c>
      <c r="F513">
        <f>IF($A513="","",MOD(ROW(),34))</f>
        <v/>
      </c>
      <c r="G513">
        <f>IF($A513="",NA(),IF($C513="Action",$B513,NA()))</f>
        <v/>
      </c>
      <c r="H513">
        <f>IF($A513="",NA(),IF($C513="Action",1+$F513*0.023,NA()))</f>
        <v/>
      </c>
      <c r="I513">
        <f>IF($A513="",NA(),IF($C513="Strategy",$B513,NA()))</f>
        <v/>
      </c>
      <c r="J513">
        <f>IF($A513="",NA(),IF($C513="Strategy",2+$F513*0.023,NA()))</f>
        <v/>
      </c>
      <c r="K513">
        <f>IF($A513="",NA(),IF($C513="Deckbuilder",$B513,NA()))</f>
        <v/>
      </c>
      <c r="L513">
        <f>IF($A513="",NA(),IF($C513="Deckbuilder",3+$F513*0.023,NA()))</f>
        <v/>
      </c>
      <c r="M513">
        <f>IF($A513="",NA(),IF($C513="Traditional",$B513,NA()))</f>
        <v/>
      </c>
      <c r="N513">
        <f>IF($A513="",NA(),IF($C513="Traditional",4+$F513*0.023,NA()))</f>
        <v/>
      </c>
      <c r="O513">
        <f>IF($A513="","",$D513+ROW()/1000000)</f>
        <v/>
      </c>
      <c r="P513">
        <f>IF(OR($A513="",games!$H513=""),"",games!$H513)</f>
        <v/>
      </c>
      <c r="Q513">
        <f>IF(OR($A513="",$P513&lt;&gt;"Yes"),"",$D513+ROW()/1000000)</f>
        <v/>
      </c>
      <c r="T513">
        <f>IF(connections!$A513="","",IFERROR(INDEX(games!$B$2:$B$950,MATCH(connections!$A513,games!$A$2:$A$950,0)),""))</f>
        <v/>
      </c>
      <c r="U513">
        <f>IF(connections!$A513="","",IFERROR(INDEX(games!$B$2:$B$950,MATCH(connections!$B513,games!$A$2:$A$950,0)),""))</f>
        <v/>
      </c>
      <c r="V513">
        <f>IF(OR($T513="",$U513=""),"",$U513-$T513)</f>
        <v/>
      </c>
    </row>
    <row r="514">
      <c r="A514">
        <f>IF(games!$A514="","",games!$A514)</f>
        <v/>
      </c>
      <c r="B514">
        <f>IF($A514="","",games!$B514)</f>
        <v/>
      </c>
      <c r="C514">
        <f>IF($A514="","",games!$C514)</f>
        <v/>
      </c>
      <c r="D514">
        <f>IF($A514="","",COUNTIF(connections!$A$2:$A$1400,$A514)+COUNTIF(connections!$B$2:$B$1400,$A514))</f>
        <v/>
      </c>
      <c r="E514">
        <f>IF($A514="","",IFERROR(MATCH($C514,$R$2:$R$5,0),0))</f>
        <v/>
      </c>
      <c r="F514">
        <f>IF($A514="","",MOD(ROW(),34))</f>
        <v/>
      </c>
      <c r="G514">
        <f>IF($A514="",NA(),IF($C514="Action",$B514,NA()))</f>
        <v/>
      </c>
      <c r="H514">
        <f>IF($A514="",NA(),IF($C514="Action",1+$F514*0.023,NA()))</f>
        <v/>
      </c>
      <c r="I514">
        <f>IF($A514="",NA(),IF($C514="Strategy",$B514,NA()))</f>
        <v/>
      </c>
      <c r="J514">
        <f>IF($A514="",NA(),IF($C514="Strategy",2+$F514*0.023,NA()))</f>
        <v/>
      </c>
      <c r="K514">
        <f>IF($A514="",NA(),IF($C514="Deckbuilder",$B514,NA()))</f>
        <v/>
      </c>
      <c r="L514">
        <f>IF($A514="",NA(),IF($C514="Deckbuilder",3+$F514*0.023,NA()))</f>
        <v/>
      </c>
      <c r="M514">
        <f>IF($A514="",NA(),IF($C514="Traditional",$B514,NA()))</f>
        <v/>
      </c>
      <c r="N514">
        <f>IF($A514="",NA(),IF($C514="Traditional",4+$F514*0.023,NA()))</f>
        <v/>
      </c>
      <c r="O514">
        <f>IF($A514="","",$D514+ROW()/1000000)</f>
        <v/>
      </c>
      <c r="P514">
        <f>IF(OR($A514="",games!$H514=""),"",games!$H514)</f>
        <v/>
      </c>
      <c r="Q514">
        <f>IF(OR($A514="",$P514&lt;&gt;"Yes"),"",$D514+ROW()/1000000)</f>
        <v/>
      </c>
      <c r="T514">
        <f>IF(connections!$A514="","",IFERROR(INDEX(games!$B$2:$B$950,MATCH(connections!$A514,games!$A$2:$A$950,0)),""))</f>
        <v/>
      </c>
      <c r="U514">
        <f>IF(connections!$A514="","",IFERROR(INDEX(games!$B$2:$B$950,MATCH(connections!$B514,games!$A$2:$A$950,0)),""))</f>
        <v/>
      </c>
      <c r="V514">
        <f>IF(OR($T514="",$U514=""),"",$U514-$T514)</f>
        <v/>
      </c>
    </row>
    <row r="515">
      <c r="A515">
        <f>IF(games!$A515="","",games!$A515)</f>
        <v/>
      </c>
      <c r="B515">
        <f>IF($A515="","",games!$B515)</f>
        <v/>
      </c>
      <c r="C515">
        <f>IF($A515="","",games!$C515)</f>
        <v/>
      </c>
      <c r="D515">
        <f>IF($A515="","",COUNTIF(connections!$A$2:$A$1400,$A515)+COUNTIF(connections!$B$2:$B$1400,$A515))</f>
        <v/>
      </c>
      <c r="E515">
        <f>IF($A515="","",IFERROR(MATCH($C515,$R$2:$R$5,0),0))</f>
        <v/>
      </c>
      <c r="F515">
        <f>IF($A515="","",MOD(ROW(),34))</f>
        <v/>
      </c>
      <c r="G515">
        <f>IF($A515="",NA(),IF($C515="Action",$B515,NA()))</f>
        <v/>
      </c>
      <c r="H515">
        <f>IF($A515="",NA(),IF($C515="Action",1+$F515*0.023,NA()))</f>
        <v/>
      </c>
      <c r="I515">
        <f>IF($A515="",NA(),IF($C515="Strategy",$B515,NA()))</f>
        <v/>
      </c>
      <c r="J515">
        <f>IF($A515="",NA(),IF($C515="Strategy",2+$F515*0.023,NA()))</f>
        <v/>
      </c>
      <c r="K515">
        <f>IF($A515="",NA(),IF($C515="Deckbuilder",$B515,NA()))</f>
        <v/>
      </c>
      <c r="L515">
        <f>IF($A515="",NA(),IF($C515="Deckbuilder",3+$F515*0.023,NA()))</f>
        <v/>
      </c>
      <c r="M515">
        <f>IF($A515="",NA(),IF($C515="Traditional",$B515,NA()))</f>
        <v/>
      </c>
      <c r="N515">
        <f>IF($A515="",NA(),IF($C515="Traditional",4+$F515*0.023,NA()))</f>
        <v/>
      </c>
      <c r="O515">
        <f>IF($A515="","",$D515+ROW()/1000000)</f>
        <v/>
      </c>
      <c r="P515">
        <f>IF(OR($A515="",games!$H515=""),"",games!$H515)</f>
        <v/>
      </c>
      <c r="Q515">
        <f>IF(OR($A515="",$P515&lt;&gt;"Yes"),"",$D515+ROW()/1000000)</f>
        <v/>
      </c>
      <c r="T515">
        <f>IF(connections!$A515="","",IFERROR(INDEX(games!$B$2:$B$950,MATCH(connections!$A515,games!$A$2:$A$950,0)),""))</f>
        <v/>
      </c>
      <c r="U515">
        <f>IF(connections!$A515="","",IFERROR(INDEX(games!$B$2:$B$950,MATCH(connections!$B515,games!$A$2:$A$950,0)),""))</f>
        <v/>
      </c>
      <c r="V515">
        <f>IF(OR($T515="",$U515=""),"",$U515-$T515)</f>
        <v/>
      </c>
    </row>
    <row r="516">
      <c r="A516">
        <f>IF(games!$A516="","",games!$A516)</f>
        <v/>
      </c>
      <c r="B516">
        <f>IF($A516="","",games!$B516)</f>
        <v/>
      </c>
      <c r="C516">
        <f>IF($A516="","",games!$C516)</f>
        <v/>
      </c>
      <c r="D516">
        <f>IF($A516="","",COUNTIF(connections!$A$2:$A$1400,$A516)+COUNTIF(connections!$B$2:$B$1400,$A516))</f>
        <v/>
      </c>
      <c r="E516">
        <f>IF($A516="","",IFERROR(MATCH($C516,$R$2:$R$5,0),0))</f>
        <v/>
      </c>
      <c r="F516">
        <f>IF($A516="","",MOD(ROW(),34))</f>
        <v/>
      </c>
      <c r="G516">
        <f>IF($A516="",NA(),IF($C516="Action",$B516,NA()))</f>
        <v/>
      </c>
      <c r="H516">
        <f>IF($A516="",NA(),IF($C516="Action",1+$F516*0.023,NA()))</f>
        <v/>
      </c>
      <c r="I516">
        <f>IF($A516="",NA(),IF($C516="Strategy",$B516,NA()))</f>
        <v/>
      </c>
      <c r="J516">
        <f>IF($A516="",NA(),IF($C516="Strategy",2+$F516*0.023,NA()))</f>
        <v/>
      </c>
      <c r="K516">
        <f>IF($A516="",NA(),IF($C516="Deckbuilder",$B516,NA()))</f>
        <v/>
      </c>
      <c r="L516">
        <f>IF($A516="",NA(),IF($C516="Deckbuilder",3+$F516*0.023,NA()))</f>
        <v/>
      </c>
      <c r="M516">
        <f>IF($A516="",NA(),IF($C516="Traditional",$B516,NA()))</f>
        <v/>
      </c>
      <c r="N516">
        <f>IF($A516="",NA(),IF($C516="Traditional",4+$F516*0.023,NA()))</f>
        <v/>
      </c>
      <c r="O516">
        <f>IF($A516="","",$D516+ROW()/1000000)</f>
        <v/>
      </c>
      <c r="P516">
        <f>IF(OR($A516="",games!$H516=""),"",games!$H516)</f>
        <v/>
      </c>
      <c r="Q516">
        <f>IF(OR($A516="",$P516&lt;&gt;"Yes"),"",$D516+ROW()/1000000)</f>
        <v/>
      </c>
      <c r="T516">
        <f>IF(connections!$A516="","",IFERROR(INDEX(games!$B$2:$B$950,MATCH(connections!$A516,games!$A$2:$A$950,0)),""))</f>
        <v/>
      </c>
      <c r="U516">
        <f>IF(connections!$A516="","",IFERROR(INDEX(games!$B$2:$B$950,MATCH(connections!$B516,games!$A$2:$A$950,0)),""))</f>
        <v/>
      </c>
      <c r="V516">
        <f>IF(OR($T516="",$U516=""),"",$U516-$T516)</f>
        <v/>
      </c>
    </row>
    <row r="517">
      <c r="A517">
        <f>IF(games!$A517="","",games!$A517)</f>
        <v/>
      </c>
      <c r="B517">
        <f>IF($A517="","",games!$B517)</f>
        <v/>
      </c>
      <c r="C517">
        <f>IF($A517="","",games!$C517)</f>
        <v/>
      </c>
      <c r="D517">
        <f>IF($A517="","",COUNTIF(connections!$A$2:$A$1400,$A517)+COUNTIF(connections!$B$2:$B$1400,$A517))</f>
        <v/>
      </c>
      <c r="E517">
        <f>IF($A517="","",IFERROR(MATCH($C517,$R$2:$R$5,0),0))</f>
        <v/>
      </c>
      <c r="F517">
        <f>IF($A517="","",MOD(ROW(),34))</f>
        <v/>
      </c>
      <c r="G517">
        <f>IF($A517="",NA(),IF($C517="Action",$B517,NA()))</f>
        <v/>
      </c>
      <c r="H517">
        <f>IF($A517="",NA(),IF($C517="Action",1+$F517*0.023,NA()))</f>
        <v/>
      </c>
      <c r="I517">
        <f>IF($A517="",NA(),IF($C517="Strategy",$B517,NA()))</f>
        <v/>
      </c>
      <c r="J517">
        <f>IF($A517="",NA(),IF($C517="Strategy",2+$F517*0.023,NA()))</f>
        <v/>
      </c>
      <c r="K517">
        <f>IF($A517="",NA(),IF($C517="Deckbuilder",$B517,NA()))</f>
        <v/>
      </c>
      <c r="L517">
        <f>IF($A517="",NA(),IF($C517="Deckbuilder",3+$F517*0.023,NA()))</f>
        <v/>
      </c>
      <c r="M517">
        <f>IF($A517="",NA(),IF($C517="Traditional",$B517,NA()))</f>
        <v/>
      </c>
      <c r="N517">
        <f>IF($A517="",NA(),IF($C517="Traditional",4+$F517*0.023,NA()))</f>
        <v/>
      </c>
      <c r="O517">
        <f>IF($A517="","",$D517+ROW()/1000000)</f>
        <v/>
      </c>
      <c r="P517">
        <f>IF(OR($A517="",games!$H517=""),"",games!$H517)</f>
        <v/>
      </c>
      <c r="Q517">
        <f>IF(OR($A517="",$P517&lt;&gt;"Yes"),"",$D517+ROW()/1000000)</f>
        <v/>
      </c>
      <c r="T517">
        <f>IF(connections!$A517="","",IFERROR(INDEX(games!$B$2:$B$950,MATCH(connections!$A517,games!$A$2:$A$950,0)),""))</f>
        <v/>
      </c>
      <c r="U517">
        <f>IF(connections!$A517="","",IFERROR(INDEX(games!$B$2:$B$950,MATCH(connections!$B517,games!$A$2:$A$950,0)),""))</f>
        <v/>
      </c>
      <c r="V517">
        <f>IF(OR($T517="",$U517=""),"",$U517-$T517)</f>
        <v/>
      </c>
    </row>
    <row r="518">
      <c r="A518">
        <f>IF(games!$A518="","",games!$A518)</f>
        <v/>
      </c>
      <c r="B518">
        <f>IF($A518="","",games!$B518)</f>
        <v/>
      </c>
      <c r="C518">
        <f>IF($A518="","",games!$C518)</f>
        <v/>
      </c>
      <c r="D518">
        <f>IF($A518="","",COUNTIF(connections!$A$2:$A$1400,$A518)+COUNTIF(connections!$B$2:$B$1400,$A518))</f>
        <v/>
      </c>
      <c r="E518">
        <f>IF($A518="","",IFERROR(MATCH($C518,$R$2:$R$5,0),0))</f>
        <v/>
      </c>
      <c r="F518">
        <f>IF($A518="","",MOD(ROW(),34))</f>
        <v/>
      </c>
      <c r="G518">
        <f>IF($A518="",NA(),IF($C518="Action",$B518,NA()))</f>
        <v/>
      </c>
      <c r="H518">
        <f>IF($A518="",NA(),IF($C518="Action",1+$F518*0.023,NA()))</f>
        <v/>
      </c>
      <c r="I518">
        <f>IF($A518="",NA(),IF($C518="Strategy",$B518,NA()))</f>
        <v/>
      </c>
      <c r="J518">
        <f>IF($A518="",NA(),IF($C518="Strategy",2+$F518*0.023,NA()))</f>
        <v/>
      </c>
      <c r="K518">
        <f>IF($A518="",NA(),IF($C518="Deckbuilder",$B518,NA()))</f>
        <v/>
      </c>
      <c r="L518">
        <f>IF($A518="",NA(),IF($C518="Deckbuilder",3+$F518*0.023,NA()))</f>
        <v/>
      </c>
      <c r="M518">
        <f>IF($A518="",NA(),IF($C518="Traditional",$B518,NA()))</f>
        <v/>
      </c>
      <c r="N518">
        <f>IF($A518="",NA(),IF($C518="Traditional",4+$F518*0.023,NA()))</f>
        <v/>
      </c>
      <c r="O518">
        <f>IF($A518="","",$D518+ROW()/1000000)</f>
        <v/>
      </c>
      <c r="P518">
        <f>IF(OR($A518="",games!$H518=""),"",games!$H518)</f>
        <v/>
      </c>
      <c r="Q518">
        <f>IF(OR($A518="",$P518&lt;&gt;"Yes"),"",$D518+ROW()/1000000)</f>
        <v/>
      </c>
      <c r="T518">
        <f>IF(connections!$A518="","",IFERROR(INDEX(games!$B$2:$B$950,MATCH(connections!$A518,games!$A$2:$A$950,0)),""))</f>
        <v/>
      </c>
      <c r="U518">
        <f>IF(connections!$A518="","",IFERROR(INDEX(games!$B$2:$B$950,MATCH(connections!$B518,games!$A$2:$A$950,0)),""))</f>
        <v/>
      </c>
      <c r="V518">
        <f>IF(OR($T518="",$U518=""),"",$U518-$T518)</f>
        <v/>
      </c>
    </row>
    <row r="519">
      <c r="A519">
        <f>IF(games!$A519="","",games!$A519)</f>
        <v/>
      </c>
      <c r="B519">
        <f>IF($A519="","",games!$B519)</f>
        <v/>
      </c>
      <c r="C519">
        <f>IF($A519="","",games!$C519)</f>
        <v/>
      </c>
      <c r="D519">
        <f>IF($A519="","",COUNTIF(connections!$A$2:$A$1400,$A519)+COUNTIF(connections!$B$2:$B$1400,$A519))</f>
        <v/>
      </c>
      <c r="E519">
        <f>IF($A519="","",IFERROR(MATCH($C519,$R$2:$R$5,0),0))</f>
        <v/>
      </c>
      <c r="F519">
        <f>IF($A519="","",MOD(ROW(),34))</f>
        <v/>
      </c>
      <c r="G519">
        <f>IF($A519="",NA(),IF($C519="Action",$B519,NA()))</f>
        <v/>
      </c>
      <c r="H519">
        <f>IF($A519="",NA(),IF($C519="Action",1+$F519*0.023,NA()))</f>
        <v/>
      </c>
      <c r="I519">
        <f>IF($A519="",NA(),IF($C519="Strategy",$B519,NA()))</f>
        <v/>
      </c>
      <c r="J519">
        <f>IF($A519="",NA(),IF($C519="Strategy",2+$F519*0.023,NA()))</f>
        <v/>
      </c>
      <c r="K519">
        <f>IF($A519="",NA(),IF($C519="Deckbuilder",$B519,NA()))</f>
        <v/>
      </c>
      <c r="L519">
        <f>IF($A519="",NA(),IF($C519="Deckbuilder",3+$F519*0.023,NA()))</f>
        <v/>
      </c>
      <c r="M519">
        <f>IF($A519="",NA(),IF($C519="Traditional",$B519,NA()))</f>
        <v/>
      </c>
      <c r="N519">
        <f>IF($A519="",NA(),IF($C519="Traditional",4+$F519*0.023,NA()))</f>
        <v/>
      </c>
      <c r="O519">
        <f>IF($A519="","",$D519+ROW()/1000000)</f>
        <v/>
      </c>
      <c r="P519">
        <f>IF(OR($A519="",games!$H519=""),"",games!$H519)</f>
        <v/>
      </c>
      <c r="Q519">
        <f>IF(OR($A519="",$P519&lt;&gt;"Yes"),"",$D519+ROW()/1000000)</f>
        <v/>
      </c>
      <c r="T519">
        <f>IF(connections!$A519="","",IFERROR(INDEX(games!$B$2:$B$950,MATCH(connections!$A519,games!$A$2:$A$950,0)),""))</f>
        <v/>
      </c>
      <c r="U519">
        <f>IF(connections!$A519="","",IFERROR(INDEX(games!$B$2:$B$950,MATCH(connections!$B519,games!$A$2:$A$950,0)),""))</f>
        <v/>
      </c>
      <c r="V519">
        <f>IF(OR($T519="",$U519=""),"",$U519-$T519)</f>
        <v/>
      </c>
    </row>
    <row r="520">
      <c r="A520">
        <f>IF(games!$A520="","",games!$A520)</f>
        <v/>
      </c>
      <c r="B520">
        <f>IF($A520="","",games!$B520)</f>
        <v/>
      </c>
      <c r="C520">
        <f>IF($A520="","",games!$C520)</f>
        <v/>
      </c>
      <c r="D520">
        <f>IF($A520="","",COUNTIF(connections!$A$2:$A$1400,$A520)+COUNTIF(connections!$B$2:$B$1400,$A520))</f>
        <v/>
      </c>
      <c r="E520">
        <f>IF($A520="","",IFERROR(MATCH($C520,$R$2:$R$5,0),0))</f>
        <v/>
      </c>
      <c r="F520">
        <f>IF($A520="","",MOD(ROW(),34))</f>
        <v/>
      </c>
      <c r="G520">
        <f>IF($A520="",NA(),IF($C520="Action",$B520,NA()))</f>
        <v/>
      </c>
      <c r="H520">
        <f>IF($A520="",NA(),IF($C520="Action",1+$F520*0.023,NA()))</f>
        <v/>
      </c>
      <c r="I520">
        <f>IF($A520="",NA(),IF($C520="Strategy",$B520,NA()))</f>
        <v/>
      </c>
      <c r="J520">
        <f>IF($A520="",NA(),IF($C520="Strategy",2+$F520*0.023,NA()))</f>
        <v/>
      </c>
      <c r="K520">
        <f>IF($A520="",NA(),IF($C520="Deckbuilder",$B520,NA()))</f>
        <v/>
      </c>
      <c r="L520">
        <f>IF($A520="",NA(),IF($C520="Deckbuilder",3+$F520*0.023,NA()))</f>
        <v/>
      </c>
      <c r="M520">
        <f>IF($A520="",NA(),IF($C520="Traditional",$B520,NA()))</f>
        <v/>
      </c>
      <c r="N520">
        <f>IF($A520="",NA(),IF($C520="Traditional",4+$F520*0.023,NA()))</f>
        <v/>
      </c>
      <c r="O520">
        <f>IF($A520="","",$D520+ROW()/1000000)</f>
        <v/>
      </c>
      <c r="P520">
        <f>IF(OR($A520="",games!$H520=""),"",games!$H520)</f>
        <v/>
      </c>
      <c r="Q520">
        <f>IF(OR($A520="",$P520&lt;&gt;"Yes"),"",$D520+ROW()/1000000)</f>
        <v/>
      </c>
      <c r="T520">
        <f>IF(connections!$A520="","",IFERROR(INDEX(games!$B$2:$B$950,MATCH(connections!$A520,games!$A$2:$A$950,0)),""))</f>
        <v/>
      </c>
      <c r="U520">
        <f>IF(connections!$A520="","",IFERROR(INDEX(games!$B$2:$B$950,MATCH(connections!$B520,games!$A$2:$A$950,0)),""))</f>
        <v/>
      </c>
      <c r="V520">
        <f>IF(OR($T520="",$U520=""),"",$U520-$T520)</f>
        <v/>
      </c>
    </row>
    <row r="521">
      <c r="A521">
        <f>IF(games!$A521="","",games!$A521)</f>
        <v/>
      </c>
      <c r="B521">
        <f>IF($A521="","",games!$B521)</f>
        <v/>
      </c>
      <c r="C521">
        <f>IF($A521="","",games!$C521)</f>
        <v/>
      </c>
      <c r="D521">
        <f>IF($A521="","",COUNTIF(connections!$A$2:$A$1400,$A521)+COUNTIF(connections!$B$2:$B$1400,$A521))</f>
        <v/>
      </c>
      <c r="E521">
        <f>IF($A521="","",IFERROR(MATCH($C521,$R$2:$R$5,0),0))</f>
        <v/>
      </c>
      <c r="F521">
        <f>IF($A521="","",MOD(ROW(),34))</f>
        <v/>
      </c>
      <c r="G521">
        <f>IF($A521="",NA(),IF($C521="Action",$B521,NA()))</f>
        <v/>
      </c>
      <c r="H521">
        <f>IF($A521="",NA(),IF($C521="Action",1+$F521*0.023,NA()))</f>
        <v/>
      </c>
      <c r="I521">
        <f>IF($A521="",NA(),IF($C521="Strategy",$B521,NA()))</f>
        <v/>
      </c>
      <c r="J521">
        <f>IF($A521="",NA(),IF($C521="Strategy",2+$F521*0.023,NA()))</f>
        <v/>
      </c>
      <c r="K521">
        <f>IF($A521="",NA(),IF($C521="Deckbuilder",$B521,NA()))</f>
        <v/>
      </c>
      <c r="L521">
        <f>IF($A521="",NA(),IF($C521="Deckbuilder",3+$F521*0.023,NA()))</f>
        <v/>
      </c>
      <c r="M521">
        <f>IF($A521="",NA(),IF($C521="Traditional",$B521,NA()))</f>
        <v/>
      </c>
      <c r="N521">
        <f>IF($A521="",NA(),IF($C521="Traditional",4+$F521*0.023,NA()))</f>
        <v/>
      </c>
      <c r="O521">
        <f>IF($A521="","",$D521+ROW()/1000000)</f>
        <v/>
      </c>
      <c r="P521">
        <f>IF(OR($A521="",games!$H521=""),"",games!$H521)</f>
        <v/>
      </c>
      <c r="Q521">
        <f>IF(OR($A521="",$P521&lt;&gt;"Yes"),"",$D521+ROW()/1000000)</f>
        <v/>
      </c>
      <c r="T521">
        <f>IF(connections!$A521="","",IFERROR(INDEX(games!$B$2:$B$950,MATCH(connections!$A521,games!$A$2:$A$950,0)),""))</f>
        <v/>
      </c>
      <c r="U521">
        <f>IF(connections!$A521="","",IFERROR(INDEX(games!$B$2:$B$950,MATCH(connections!$B521,games!$A$2:$A$950,0)),""))</f>
        <v/>
      </c>
      <c r="V521">
        <f>IF(OR($T521="",$U521=""),"",$U521-$T521)</f>
        <v/>
      </c>
    </row>
    <row r="522">
      <c r="A522">
        <f>IF(games!$A522="","",games!$A522)</f>
        <v/>
      </c>
      <c r="B522">
        <f>IF($A522="","",games!$B522)</f>
        <v/>
      </c>
      <c r="C522">
        <f>IF($A522="","",games!$C522)</f>
        <v/>
      </c>
      <c r="D522">
        <f>IF($A522="","",COUNTIF(connections!$A$2:$A$1400,$A522)+COUNTIF(connections!$B$2:$B$1400,$A522))</f>
        <v/>
      </c>
      <c r="E522">
        <f>IF($A522="","",IFERROR(MATCH($C522,$R$2:$R$5,0),0))</f>
        <v/>
      </c>
      <c r="F522">
        <f>IF($A522="","",MOD(ROW(),34))</f>
        <v/>
      </c>
      <c r="G522">
        <f>IF($A522="",NA(),IF($C522="Action",$B522,NA()))</f>
        <v/>
      </c>
      <c r="H522">
        <f>IF($A522="",NA(),IF($C522="Action",1+$F522*0.023,NA()))</f>
        <v/>
      </c>
      <c r="I522">
        <f>IF($A522="",NA(),IF($C522="Strategy",$B522,NA()))</f>
        <v/>
      </c>
      <c r="J522">
        <f>IF($A522="",NA(),IF($C522="Strategy",2+$F522*0.023,NA()))</f>
        <v/>
      </c>
      <c r="K522">
        <f>IF($A522="",NA(),IF($C522="Deckbuilder",$B522,NA()))</f>
        <v/>
      </c>
      <c r="L522">
        <f>IF($A522="",NA(),IF($C522="Deckbuilder",3+$F522*0.023,NA()))</f>
        <v/>
      </c>
      <c r="M522">
        <f>IF($A522="",NA(),IF($C522="Traditional",$B522,NA()))</f>
        <v/>
      </c>
      <c r="N522">
        <f>IF($A522="",NA(),IF($C522="Traditional",4+$F522*0.023,NA()))</f>
        <v/>
      </c>
      <c r="O522">
        <f>IF($A522="","",$D522+ROW()/1000000)</f>
        <v/>
      </c>
      <c r="P522">
        <f>IF(OR($A522="",games!$H522=""),"",games!$H522)</f>
        <v/>
      </c>
      <c r="Q522">
        <f>IF(OR($A522="",$P522&lt;&gt;"Yes"),"",$D522+ROW()/1000000)</f>
        <v/>
      </c>
      <c r="T522">
        <f>IF(connections!$A522="","",IFERROR(INDEX(games!$B$2:$B$950,MATCH(connections!$A522,games!$A$2:$A$950,0)),""))</f>
        <v/>
      </c>
      <c r="U522">
        <f>IF(connections!$A522="","",IFERROR(INDEX(games!$B$2:$B$950,MATCH(connections!$B522,games!$A$2:$A$950,0)),""))</f>
        <v/>
      </c>
      <c r="V522">
        <f>IF(OR($T522="",$U522=""),"",$U522-$T522)</f>
        <v/>
      </c>
    </row>
    <row r="523">
      <c r="A523">
        <f>IF(games!$A523="","",games!$A523)</f>
        <v/>
      </c>
      <c r="B523">
        <f>IF($A523="","",games!$B523)</f>
        <v/>
      </c>
      <c r="C523">
        <f>IF($A523="","",games!$C523)</f>
        <v/>
      </c>
      <c r="D523">
        <f>IF($A523="","",COUNTIF(connections!$A$2:$A$1400,$A523)+COUNTIF(connections!$B$2:$B$1400,$A523))</f>
        <v/>
      </c>
      <c r="E523">
        <f>IF($A523="","",IFERROR(MATCH($C523,$R$2:$R$5,0),0))</f>
        <v/>
      </c>
      <c r="F523">
        <f>IF($A523="","",MOD(ROW(),34))</f>
        <v/>
      </c>
      <c r="G523">
        <f>IF($A523="",NA(),IF($C523="Action",$B523,NA()))</f>
        <v/>
      </c>
      <c r="H523">
        <f>IF($A523="",NA(),IF($C523="Action",1+$F523*0.023,NA()))</f>
        <v/>
      </c>
      <c r="I523">
        <f>IF($A523="",NA(),IF($C523="Strategy",$B523,NA()))</f>
        <v/>
      </c>
      <c r="J523">
        <f>IF($A523="",NA(),IF($C523="Strategy",2+$F523*0.023,NA()))</f>
        <v/>
      </c>
      <c r="K523">
        <f>IF($A523="",NA(),IF($C523="Deckbuilder",$B523,NA()))</f>
        <v/>
      </c>
      <c r="L523">
        <f>IF($A523="",NA(),IF($C523="Deckbuilder",3+$F523*0.023,NA()))</f>
        <v/>
      </c>
      <c r="M523">
        <f>IF($A523="",NA(),IF($C523="Traditional",$B523,NA()))</f>
        <v/>
      </c>
      <c r="N523">
        <f>IF($A523="",NA(),IF($C523="Traditional",4+$F523*0.023,NA()))</f>
        <v/>
      </c>
      <c r="O523">
        <f>IF($A523="","",$D523+ROW()/1000000)</f>
        <v/>
      </c>
      <c r="P523">
        <f>IF(OR($A523="",games!$H523=""),"",games!$H523)</f>
        <v/>
      </c>
      <c r="Q523">
        <f>IF(OR($A523="",$P523&lt;&gt;"Yes"),"",$D523+ROW()/1000000)</f>
        <v/>
      </c>
      <c r="T523">
        <f>IF(connections!$A523="","",IFERROR(INDEX(games!$B$2:$B$950,MATCH(connections!$A523,games!$A$2:$A$950,0)),""))</f>
        <v/>
      </c>
      <c r="U523">
        <f>IF(connections!$A523="","",IFERROR(INDEX(games!$B$2:$B$950,MATCH(connections!$B523,games!$A$2:$A$950,0)),""))</f>
        <v/>
      </c>
      <c r="V523">
        <f>IF(OR($T523="",$U523=""),"",$U523-$T523)</f>
        <v/>
      </c>
    </row>
    <row r="524">
      <c r="A524">
        <f>IF(games!$A524="","",games!$A524)</f>
        <v/>
      </c>
      <c r="B524">
        <f>IF($A524="","",games!$B524)</f>
        <v/>
      </c>
      <c r="C524">
        <f>IF($A524="","",games!$C524)</f>
        <v/>
      </c>
      <c r="D524">
        <f>IF($A524="","",COUNTIF(connections!$A$2:$A$1400,$A524)+COUNTIF(connections!$B$2:$B$1400,$A524))</f>
        <v/>
      </c>
      <c r="E524">
        <f>IF($A524="","",IFERROR(MATCH($C524,$R$2:$R$5,0),0))</f>
        <v/>
      </c>
      <c r="F524">
        <f>IF($A524="","",MOD(ROW(),34))</f>
        <v/>
      </c>
      <c r="G524">
        <f>IF($A524="",NA(),IF($C524="Action",$B524,NA()))</f>
        <v/>
      </c>
      <c r="H524">
        <f>IF($A524="",NA(),IF($C524="Action",1+$F524*0.023,NA()))</f>
        <v/>
      </c>
      <c r="I524">
        <f>IF($A524="",NA(),IF($C524="Strategy",$B524,NA()))</f>
        <v/>
      </c>
      <c r="J524">
        <f>IF($A524="",NA(),IF($C524="Strategy",2+$F524*0.023,NA()))</f>
        <v/>
      </c>
      <c r="K524">
        <f>IF($A524="",NA(),IF($C524="Deckbuilder",$B524,NA()))</f>
        <v/>
      </c>
      <c r="L524">
        <f>IF($A524="",NA(),IF($C524="Deckbuilder",3+$F524*0.023,NA()))</f>
        <v/>
      </c>
      <c r="M524">
        <f>IF($A524="",NA(),IF($C524="Traditional",$B524,NA()))</f>
        <v/>
      </c>
      <c r="N524">
        <f>IF($A524="",NA(),IF($C524="Traditional",4+$F524*0.023,NA()))</f>
        <v/>
      </c>
      <c r="O524">
        <f>IF($A524="","",$D524+ROW()/1000000)</f>
        <v/>
      </c>
      <c r="P524">
        <f>IF(OR($A524="",games!$H524=""),"",games!$H524)</f>
        <v/>
      </c>
      <c r="Q524">
        <f>IF(OR($A524="",$P524&lt;&gt;"Yes"),"",$D524+ROW()/1000000)</f>
        <v/>
      </c>
      <c r="T524">
        <f>IF(connections!$A524="","",IFERROR(INDEX(games!$B$2:$B$950,MATCH(connections!$A524,games!$A$2:$A$950,0)),""))</f>
        <v/>
      </c>
      <c r="U524">
        <f>IF(connections!$A524="","",IFERROR(INDEX(games!$B$2:$B$950,MATCH(connections!$B524,games!$A$2:$A$950,0)),""))</f>
        <v/>
      </c>
      <c r="V524">
        <f>IF(OR($T524="",$U524=""),"",$U524-$T524)</f>
        <v/>
      </c>
    </row>
    <row r="525">
      <c r="A525">
        <f>IF(games!$A525="","",games!$A525)</f>
        <v/>
      </c>
      <c r="B525">
        <f>IF($A525="","",games!$B525)</f>
        <v/>
      </c>
      <c r="C525">
        <f>IF($A525="","",games!$C525)</f>
        <v/>
      </c>
      <c r="D525">
        <f>IF($A525="","",COUNTIF(connections!$A$2:$A$1400,$A525)+COUNTIF(connections!$B$2:$B$1400,$A525))</f>
        <v/>
      </c>
      <c r="E525">
        <f>IF($A525="","",IFERROR(MATCH($C525,$R$2:$R$5,0),0))</f>
        <v/>
      </c>
      <c r="F525">
        <f>IF($A525="","",MOD(ROW(),34))</f>
        <v/>
      </c>
      <c r="G525">
        <f>IF($A525="",NA(),IF($C525="Action",$B525,NA()))</f>
        <v/>
      </c>
      <c r="H525">
        <f>IF($A525="",NA(),IF($C525="Action",1+$F525*0.023,NA()))</f>
        <v/>
      </c>
      <c r="I525">
        <f>IF($A525="",NA(),IF($C525="Strategy",$B525,NA()))</f>
        <v/>
      </c>
      <c r="J525">
        <f>IF($A525="",NA(),IF($C525="Strategy",2+$F525*0.023,NA()))</f>
        <v/>
      </c>
      <c r="K525">
        <f>IF($A525="",NA(),IF($C525="Deckbuilder",$B525,NA()))</f>
        <v/>
      </c>
      <c r="L525">
        <f>IF($A525="",NA(),IF($C525="Deckbuilder",3+$F525*0.023,NA()))</f>
        <v/>
      </c>
      <c r="M525">
        <f>IF($A525="",NA(),IF($C525="Traditional",$B525,NA()))</f>
        <v/>
      </c>
      <c r="N525">
        <f>IF($A525="",NA(),IF($C525="Traditional",4+$F525*0.023,NA()))</f>
        <v/>
      </c>
      <c r="O525">
        <f>IF($A525="","",$D525+ROW()/1000000)</f>
        <v/>
      </c>
      <c r="P525">
        <f>IF(OR($A525="",games!$H525=""),"",games!$H525)</f>
        <v/>
      </c>
      <c r="Q525">
        <f>IF(OR($A525="",$P525&lt;&gt;"Yes"),"",$D525+ROW()/1000000)</f>
        <v/>
      </c>
      <c r="T525">
        <f>IF(connections!$A525="","",IFERROR(INDEX(games!$B$2:$B$950,MATCH(connections!$A525,games!$A$2:$A$950,0)),""))</f>
        <v/>
      </c>
      <c r="U525">
        <f>IF(connections!$A525="","",IFERROR(INDEX(games!$B$2:$B$950,MATCH(connections!$B525,games!$A$2:$A$950,0)),""))</f>
        <v/>
      </c>
      <c r="V525">
        <f>IF(OR($T525="",$U525=""),"",$U525-$T525)</f>
        <v/>
      </c>
    </row>
    <row r="526">
      <c r="A526">
        <f>IF(games!$A526="","",games!$A526)</f>
        <v/>
      </c>
      <c r="B526">
        <f>IF($A526="","",games!$B526)</f>
        <v/>
      </c>
      <c r="C526">
        <f>IF($A526="","",games!$C526)</f>
        <v/>
      </c>
      <c r="D526">
        <f>IF($A526="","",COUNTIF(connections!$A$2:$A$1400,$A526)+COUNTIF(connections!$B$2:$B$1400,$A526))</f>
        <v/>
      </c>
      <c r="E526">
        <f>IF($A526="","",IFERROR(MATCH($C526,$R$2:$R$5,0),0))</f>
        <v/>
      </c>
      <c r="F526">
        <f>IF($A526="","",MOD(ROW(),34))</f>
        <v/>
      </c>
      <c r="G526">
        <f>IF($A526="",NA(),IF($C526="Action",$B526,NA()))</f>
        <v/>
      </c>
      <c r="H526">
        <f>IF($A526="",NA(),IF($C526="Action",1+$F526*0.023,NA()))</f>
        <v/>
      </c>
      <c r="I526">
        <f>IF($A526="",NA(),IF($C526="Strategy",$B526,NA()))</f>
        <v/>
      </c>
      <c r="J526">
        <f>IF($A526="",NA(),IF($C526="Strategy",2+$F526*0.023,NA()))</f>
        <v/>
      </c>
      <c r="K526">
        <f>IF($A526="",NA(),IF($C526="Deckbuilder",$B526,NA()))</f>
        <v/>
      </c>
      <c r="L526">
        <f>IF($A526="",NA(),IF($C526="Deckbuilder",3+$F526*0.023,NA()))</f>
        <v/>
      </c>
      <c r="M526">
        <f>IF($A526="",NA(),IF($C526="Traditional",$B526,NA()))</f>
        <v/>
      </c>
      <c r="N526">
        <f>IF($A526="",NA(),IF($C526="Traditional",4+$F526*0.023,NA()))</f>
        <v/>
      </c>
      <c r="O526">
        <f>IF($A526="","",$D526+ROW()/1000000)</f>
        <v/>
      </c>
      <c r="P526">
        <f>IF(OR($A526="",games!$H526=""),"",games!$H526)</f>
        <v/>
      </c>
      <c r="Q526">
        <f>IF(OR($A526="",$P526&lt;&gt;"Yes"),"",$D526+ROW()/1000000)</f>
        <v/>
      </c>
      <c r="T526">
        <f>IF(connections!$A526="","",IFERROR(INDEX(games!$B$2:$B$950,MATCH(connections!$A526,games!$A$2:$A$950,0)),""))</f>
        <v/>
      </c>
      <c r="U526">
        <f>IF(connections!$A526="","",IFERROR(INDEX(games!$B$2:$B$950,MATCH(connections!$B526,games!$A$2:$A$950,0)),""))</f>
        <v/>
      </c>
      <c r="V526">
        <f>IF(OR($T526="",$U526=""),"",$U526-$T526)</f>
        <v/>
      </c>
    </row>
    <row r="527">
      <c r="A527">
        <f>IF(games!$A527="","",games!$A527)</f>
        <v/>
      </c>
      <c r="B527">
        <f>IF($A527="","",games!$B527)</f>
        <v/>
      </c>
      <c r="C527">
        <f>IF($A527="","",games!$C527)</f>
        <v/>
      </c>
      <c r="D527">
        <f>IF($A527="","",COUNTIF(connections!$A$2:$A$1400,$A527)+COUNTIF(connections!$B$2:$B$1400,$A527))</f>
        <v/>
      </c>
      <c r="E527">
        <f>IF($A527="","",IFERROR(MATCH($C527,$R$2:$R$5,0),0))</f>
        <v/>
      </c>
      <c r="F527">
        <f>IF($A527="","",MOD(ROW(),34))</f>
        <v/>
      </c>
      <c r="G527">
        <f>IF($A527="",NA(),IF($C527="Action",$B527,NA()))</f>
        <v/>
      </c>
      <c r="H527">
        <f>IF($A527="",NA(),IF($C527="Action",1+$F527*0.023,NA()))</f>
        <v/>
      </c>
      <c r="I527">
        <f>IF($A527="",NA(),IF($C527="Strategy",$B527,NA()))</f>
        <v/>
      </c>
      <c r="J527">
        <f>IF($A527="",NA(),IF($C527="Strategy",2+$F527*0.023,NA()))</f>
        <v/>
      </c>
      <c r="K527">
        <f>IF($A527="",NA(),IF($C527="Deckbuilder",$B527,NA()))</f>
        <v/>
      </c>
      <c r="L527">
        <f>IF($A527="",NA(),IF($C527="Deckbuilder",3+$F527*0.023,NA()))</f>
        <v/>
      </c>
      <c r="M527">
        <f>IF($A527="",NA(),IF($C527="Traditional",$B527,NA()))</f>
        <v/>
      </c>
      <c r="N527">
        <f>IF($A527="",NA(),IF($C527="Traditional",4+$F527*0.023,NA()))</f>
        <v/>
      </c>
      <c r="O527">
        <f>IF($A527="","",$D527+ROW()/1000000)</f>
        <v/>
      </c>
      <c r="P527">
        <f>IF(OR($A527="",games!$H527=""),"",games!$H527)</f>
        <v/>
      </c>
      <c r="Q527">
        <f>IF(OR($A527="",$P527&lt;&gt;"Yes"),"",$D527+ROW()/1000000)</f>
        <v/>
      </c>
      <c r="T527">
        <f>IF(connections!$A527="","",IFERROR(INDEX(games!$B$2:$B$950,MATCH(connections!$A527,games!$A$2:$A$950,0)),""))</f>
        <v/>
      </c>
      <c r="U527">
        <f>IF(connections!$A527="","",IFERROR(INDEX(games!$B$2:$B$950,MATCH(connections!$B527,games!$A$2:$A$950,0)),""))</f>
        <v/>
      </c>
      <c r="V527">
        <f>IF(OR($T527="",$U527=""),"",$U527-$T527)</f>
        <v/>
      </c>
    </row>
    <row r="528">
      <c r="A528">
        <f>IF(games!$A528="","",games!$A528)</f>
        <v/>
      </c>
      <c r="B528">
        <f>IF($A528="","",games!$B528)</f>
        <v/>
      </c>
      <c r="C528">
        <f>IF($A528="","",games!$C528)</f>
        <v/>
      </c>
      <c r="D528">
        <f>IF($A528="","",COUNTIF(connections!$A$2:$A$1400,$A528)+COUNTIF(connections!$B$2:$B$1400,$A528))</f>
        <v/>
      </c>
      <c r="E528">
        <f>IF($A528="","",IFERROR(MATCH($C528,$R$2:$R$5,0),0))</f>
        <v/>
      </c>
      <c r="F528">
        <f>IF($A528="","",MOD(ROW(),34))</f>
        <v/>
      </c>
      <c r="G528">
        <f>IF($A528="",NA(),IF($C528="Action",$B528,NA()))</f>
        <v/>
      </c>
      <c r="H528">
        <f>IF($A528="",NA(),IF($C528="Action",1+$F528*0.023,NA()))</f>
        <v/>
      </c>
      <c r="I528">
        <f>IF($A528="",NA(),IF($C528="Strategy",$B528,NA()))</f>
        <v/>
      </c>
      <c r="J528">
        <f>IF($A528="",NA(),IF($C528="Strategy",2+$F528*0.023,NA()))</f>
        <v/>
      </c>
      <c r="K528">
        <f>IF($A528="",NA(),IF($C528="Deckbuilder",$B528,NA()))</f>
        <v/>
      </c>
      <c r="L528">
        <f>IF($A528="",NA(),IF($C528="Deckbuilder",3+$F528*0.023,NA()))</f>
        <v/>
      </c>
      <c r="M528">
        <f>IF($A528="",NA(),IF($C528="Traditional",$B528,NA()))</f>
        <v/>
      </c>
      <c r="N528">
        <f>IF($A528="",NA(),IF($C528="Traditional",4+$F528*0.023,NA()))</f>
        <v/>
      </c>
      <c r="O528">
        <f>IF($A528="","",$D528+ROW()/1000000)</f>
        <v/>
      </c>
      <c r="P528">
        <f>IF(OR($A528="",games!$H528=""),"",games!$H528)</f>
        <v/>
      </c>
      <c r="Q528">
        <f>IF(OR($A528="",$P528&lt;&gt;"Yes"),"",$D528+ROW()/1000000)</f>
        <v/>
      </c>
      <c r="T528">
        <f>IF(connections!$A528="","",IFERROR(INDEX(games!$B$2:$B$950,MATCH(connections!$A528,games!$A$2:$A$950,0)),""))</f>
        <v/>
      </c>
      <c r="U528">
        <f>IF(connections!$A528="","",IFERROR(INDEX(games!$B$2:$B$950,MATCH(connections!$B528,games!$A$2:$A$950,0)),""))</f>
        <v/>
      </c>
      <c r="V528">
        <f>IF(OR($T528="",$U528=""),"",$U528-$T528)</f>
        <v/>
      </c>
    </row>
    <row r="529">
      <c r="A529">
        <f>IF(games!$A529="","",games!$A529)</f>
        <v/>
      </c>
      <c r="B529">
        <f>IF($A529="","",games!$B529)</f>
        <v/>
      </c>
      <c r="C529">
        <f>IF($A529="","",games!$C529)</f>
        <v/>
      </c>
      <c r="D529">
        <f>IF($A529="","",COUNTIF(connections!$A$2:$A$1400,$A529)+COUNTIF(connections!$B$2:$B$1400,$A529))</f>
        <v/>
      </c>
      <c r="E529">
        <f>IF($A529="","",IFERROR(MATCH($C529,$R$2:$R$5,0),0))</f>
        <v/>
      </c>
      <c r="F529">
        <f>IF($A529="","",MOD(ROW(),34))</f>
        <v/>
      </c>
      <c r="G529">
        <f>IF($A529="",NA(),IF($C529="Action",$B529,NA()))</f>
        <v/>
      </c>
      <c r="H529">
        <f>IF($A529="",NA(),IF($C529="Action",1+$F529*0.023,NA()))</f>
        <v/>
      </c>
      <c r="I529">
        <f>IF($A529="",NA(),IF($C529="Strategy",$B529,NA()))</f>
        <v/>
      </c>
      <c r="J529">
        <f>IF($A529="",NA(),IF($C529="Strategy",2+$F529*0.023,NA()))</f>
        <v/>
      </c>
      <c r="K529">
        <f>IF($A529="",NA(),IF($C529="Deckbuilder",$B529,NA()))</f>
        <v/>
      </c>
      <c r="L529">
        <f>IF($A529="",NA(),IF($C529="Deckbuilder",3+$F529*0.023,NA()))</f>
        <v/>
      </c>
      <c r="M529">
        <f>IF($A529="",NA(),IF($C529="Traditional",$B529,NA()))</f>
        <v/>
      </c>
      <c r="N529">
        <f>IF($A529="",NA(),IF($C529="Traditional",4+$F529*0.023,NA()))</f>
        <v/>
      </c>
      <c r="O529">
        <f>IF($A529="","",$D529+ROW()/1000000)</f>
        <v/>
      </c>
      <c r="P529">
        <f>IF(OR($A529="",games!$H529=""),"",games!$H529)</f>
        <v/>
      </c>
      <c r="Q529">
        <f>IF(OR($A529="",$P529&lt;&gt;"Yes"),"",$D529+ROW()/1000000)</f>
        <v/>
      </c>
      <c r="T529">
        <f>IF(connections!$A529="","",IFERROR(INDEX(games!$B$2:$B$950,MATCH(connections!$A529,games!$A$2:$A$950,0)),""))</f>
        <v/>
      </c>
      <c r="U529">
        <f>IF(connections!$A529="","",IFERROR(INDEX(games!$B$2:$B$950,MATCH(connections!$B529,games!$A$2:$A$950,0)),""))</f>
        <v/>
      </c>
      <c r="V529">
        <f>IF(OR($T529="",$U529=""),"",$U529-$T529)</f>
        <v/>
      </c>
    </row>
    <row r="530">
      <c r="A530">
        <f>IF(games!$A530="","",games!$A530)</f>
        <v/>
      </c>
      <c r="B530">
        <f>IF($A530="","",games!$B530)</f>
        <v/>
      </c>
      <c r="C530">
        <f>IF($A530="","",games!$C530)</f>
        <v/>
      </c>
      <c r="D530">
        <f>IF($A530="","",COUNTIF(connections!$A$2:$A$1400,$A530)+COUNTIF(connections!$B$2:$B$1400,$A530))</f>
        <v/>
      </c>
      <c r="E530">
        <f>IF($A530="","",IFERROR(MATCH($C530,$R$2:$R$5,0),0))</f>
        <v/>
      </c>
      <c r="F530">
        <f>IF($A530="","",MOD(ROW(),34))</f>
        <v/>
      </c>
      <c r="G530">
        <f>IF($A530="",NA(),IF($C530="Action",$B530,NA()))</f>
        <v/>
      </c>
      <c r="H530">
        <f>IF($A530="",NA(),IF($C530="Action",1+$F530*0.023,NA()))</f>
        <v/>
      </c>
      <c r="I530">
        <f>IF($A530="",NA(),IF($C530="Strategy",$B530,NA()))</f>
        <v/>
      </c>
      <c r="J530">
        <f>IF($A530="",NA(),IF($C530="Strategy",2+$F530*0.023,NA()))</f>
        <v/>
      </c>
      <c r="K530">
        <f>IF($A530="",NA(),IF($C530="Deckbuilder",$B530,NA()))</f>
        <v/>
      </c>
      <c r="L530">
        <f>IF($A530="",NA(),IF($C530="Deckbuilder",3+$F530*0.023,NA()))</f>
        <v/>
      </c>
      <c r="M530">
        <f>IF($A530="",NA(),IF($C530="Traditional",$B530,NA()))</f>
        <v/>
      </c>
      <c r="N530">
        <f>IF($A530="",NA(),IF($C530="Traditional",4+$F530*0.023,NA()))</f>
        <v/>
      </c>
      <c r="O530">
        <f>IF($A530="","",$D530+ROW()/1000000)</f>
        <v/>
      </c>
      <c r="P530">
        <f>IF(OR($A530="",games!$H530=""),"",games!$H530)</f>
        <v/>
      </c>
      <c r="Q530">
        <f>IF(OR($A530="",$P530&lt;&gt;"Yes"),"",$D530+ROW()/1000000)</f>
        <v/>
      </c>
      <c r="T530">
        <f>IF(connections!$A530="","",IFERROR(INDEX(games!$B$2:$B$950,MATCH(connections!$A530,games!$A$2:$A$950,0)),""))</f>
        <v/>
      </c>
      <c r="U530">
        <f>IF(connections!$A530="","",IFERROR(INDEX(games!$B$2:$B$950,MATCH(connections!$B530,games!$A$2:$A$950,0)),""))</f>
        <v/>
      </c>
      <c r="V530">
        <f>IF(OR($T530="",$U530=""),"",$U530-$T530)</f>
        <v/>
      </c>
    </row>
    <row r="531">
      <c r="A531">
        <f>IF(games!$A531="","",games!$A531)</f>
        <v/>
      </c>
      <c r="B531">
        <f>IF($A531="","",games!$B531)</f>
        <v/>
      </c>
      <c r="C531">
        <f>IF($A531="","",games!$C531)</f>
        <v/>
      </c>
      <c r="D531">
        <f>IF($A531="","",COUNTIF(connections!$A$2:$A$1400,$A531)+COUNTIF(connections!$B$2:$B$1400,$A531))</f>
        <v/>
      </c>
      <c r="E531">
        <f>IF($A531="","",IFERROR(MATCH($C531,$R$2:$R$5,0),0))</f>
        <v/>
      </c>
      <c r="F531">
        <f>IF($A531="","",MOD(ROW(),34))</f>
        <v/>
      </c>
      <c r="G531">
        <f>IF($A531="",NA(),IF($C531="Action",$B531,NA()))</f>
        <v/>
      </c>
      <c r="H531">
        <f>IF($A531="",NA(),IF($C531="Action",1+$F531*0.023,NA()))</f>
        <v/>
      </c>
      <c r="I531">
        <f>IF($A531="",NA(),IF($C531="Strategy",$B531,NA()))</f>
        <v/>
      </c>
      <c r="J531">
        <f>IF($A531="",NA(),IF($C531="Strategy",2+$F531*0.023,NA()))</f>
        <v/>
      </c>
      <c r="K531">
        <f>IF($A531="",NA(),IF($C531="Deckbuilder",$B531,NA()))</f>
        <v/>
      </c>
      <c r="L531">
        <f>IF($A531="",NA(),IF($C531="Deckbuilder",3+$F531*0.023,NA()))</f>
        <v/>
      </c>
      <c r="M531">
        <f>IF($A531="",NA(),IF($C531="Traditional",$B531,NA()))</f>
        <v/>
      </c>
      <c r="N531">
        <f>IF($A531="",NA(),IF($C531="Traditional",4+$F531*0.023,NA()))</f>
        <v/>
      </c>
      <c r="O531">
        <f>IF($A531="","",$D531+ROW()/1000000)</f>
        <v/>
      </c>
      <c r="P531">
        <f>IF(OR($A531="",games!$H531=""),"",games!$H531)</f>
        <v/>
      </c>
      <c r="Q531">
        <f>IF(OR($A531="",$P531&lt;&gt;"Yes"),"",$D531+ROW()/1000000)</f>
        <v/>
      </c>
      <c r="T531">
        <f>IF(connections!$A531="","",IFERROR(INDEX(games!$B$2:$B$950,MATCH(connections!$A531,games!$A$2:$A$950,0)),""))</f>
        <v/>
      </c>
      <c r="U531">
        <f>IF(connections!$A531="","",IFERROR(INDEX(games!$B$2:$B$950,MATCH(connections!$B531,games!$A$2:$A$950,0)),""))</f>
        <v/>
      </c>
      <c r="V531">
        <f>IF(OR($T531="",$U531=""),"",$U531-$T531)</f>
        <v/>
      </c>
    </row>
    <row r="532">
      <c r="A532">
        <f>IF(games!$A532="","",games!$A532)</f>
        <v/>
      </c>
      <c r="B532">
        <f>IF($A532="","",games!$B532)</f>
        <v/>
      </c>
      <c r="C532">
        <f>IF($A532="","",games!$C532)</f>
        <v/>
      </c>
      <c r="D532">
        <f>IF($A532="","",COUNTIF(connections!$A$2:$A$1400,$A532)+COUNTIF(connections!$B$2:$B$1400,$A532))</f>
        <v/>
      </c>
      <c r="E532">
        <f>IF($A532="","",IFERROR(MATCH($C532,$R$2:$R$5,0),0))</f>
        <v/>
      </c>
      <c r="F532">
        <f>IF($A532="","",MOD(ROW(),34))</f>
        <v/>
      </c>
      <c r="G532">
        <f>IF($A532="",NA(),IF($C532="Action",$B532,NA()))</f>
        <v/>
      </c>
      <c r="H532">
        <f>IF($A532="",NA(),IF($C532="Action",1+$F532*0.023,NA()))</f>
        <v/>
      </c>
      <c r="I532">
        <f>IF($A532="",NA(),IF($C532="Strategy",$B532,NA()))</f>
        <v/>
      </c>
      <c r="J532">
        <f>IF($A532="",NA(),IF($C532="Strategy",2+$F532*0.023,NA()))</f>
        <v/>
      </c>
      <c r="K532">
        <f>IF($A532="",NA(),IF($C532="Deckbuilder",$B532,NA()))</f>
        <v/>
      </c>
      <c r="L532">
        <f>IF($A532="",NA(),IF($C532="Deckbuilder",3+$F532*0.023,NA()))</f>
        <v/>
      </c>
      <c r="M532">
        <f>IF($A532="",NA(),IF($C532="Traditional",$B532,NA()))</f>
        <v/>
      </c>
      <c r="N532">
        <f>IF($A532="",NA(),IF($C532="Traditional",4+$F532*0.023,NA()))</f>
        <v/>
      </c>
      <c r="O532">
        <f>IF($A532="","",$D532+ROW()/1000000)</f>
        <v/>
      </c>
      <c r="P532">
        <f>IF(OR($A532="",games!$H532=""),"",games!$H532)</f>
        <v/>
      </c>
      <c r="Q532">
        <f>IF(OR($A532="",$P532&lt;&gt;"Yes"),"",$D532+ROW()/1000000)</f>
        <v/>
      </c>
      <c r="T532">
        <f>IF(connections!$A532="","",IFERROR(INDEX(games!$B$2:$B$950,MATCH(connections!$A532,games!$A$2:$A$950,0)),""))</f>
        <v/>
      </c>
      <c r="U532">
        <f>IF(connections!$A532="","",IFERROR(INDEX(games!$B$2:$B$950,MATCH(connections!$B532,games!$A$2:$A$950,0)),""))</f>
        <v/>
      </c>
      <c r="V532">
        <f>IF(OR($T532="",$U532=""),"",$U532-$T532)</f>
        <v/>
      </c>
    </row>
    <row r="533">
      <c r="A533">
        <f>IF(games!$A533="","",games!$A533)</f>
        <v/>
      </c>
      <c r="B533">
        <f>IF($A533="","",games!$B533)</f>
        <v/>
      </c>
      <c r="C533">
        <f>IF($A533="","",games!$C533)</f>
        <v/>
      </c>
      <c r="D533">
        <f>IF($A533="","",COUNTIF(connections!$A$2:$A$1400,$A533)+COUNTIF(connections!$B$2:$B$1400,$A533))</f>
        <v/>
      </c>
      <c r="E533">
        <f>IF($A533="","",IFERROR(MATCH($C533,$R$2:$R$5,0),0))</f>
        <v/>
      </c>
      <c r="F533">
        <f>IF($A533="","",MOD(ROW(),34))</f>
        <v/>
      </c>
      <c r="G533">
        <f>IF($A533="",NA(),IF($C533="Action",$B533,NA()))</f>
        <v/>
      </c>
      <c r="H533">
        <f>IF($A533="",NA(),IF($C533="Action",1+$F533*0.023,NA()))</f>
        <v/>
      </c>
      <c r="I533">
        <f>IF($A533="",NA(),IF($C533="Strategy",$B533,NA()))</f>
        <v/>
      </c>
      <c r="J533">
        <f>IF($A533="",NA(),IF($C533="Strategy",2+$F533*0.023,NA()))</f>
        <v/>
      </c>
      <c r="K533">
        <f>IF($A533="",NA(),IF($C533="Deckbuilder",$B533,NA()))</f>
        <v/>
      </c>
      <c r="L533">
        <f>IF($A533="",NA(),IF($C533="Deckbuilder",3+$F533*0.023,NA()))</f>
        <v/>
      </c>
      <c r="M533">
        <f>IF($A533="",NA(),IF($C533="Traditional",$B533,NA()))</f>
        <v/>
      </c>
      <c r="N533">
        <f>IF($A533="",NA(),IF($C533="Traditional",4+$F533*0.023,NA()))</f>
        <v/>
      </c>
      <c r="O533">
        <f>IF($A533="","",$D533+ROW()/1000000)</f>
        <v/>
      </c>
      <c r="P533">
        <f>IF(OR($A533="",games!$H533=""),"",games!$H533)</f>
        <v/>
      </c>
      <c r="Q533">
        <f>IF(OR($A533="",$P533&lt;&gt;"Yes"),"",$D533+ROW()/1000000)</f>
        <v/>
      </c>
      <c r="T533">
        <f>IF(connections!$A533="","",IFERROR(INDEX(games!$B$2:$B$950,MATCH(connections!$A533,games!$A$2:$A$950,0)),""))</f>
        <v/>
      </c>
      <c r="U533">
        <f>IF(connections!$A533="","",IFERROR(INDEX(games!$B$2:$B$950,MATCH(connections!$B533,games!$A$2:$A$950,0)),""))</f>
        <v/>
      </c>
      <c r="V533">
        <f>IF(OR($T533="",$U533=""),"",$U533-$T533)</f>
        <v/>
      </c>
    </row>
    <row r="534">
      <c r="A534">
        <f>IF(games!$A534="","",games!$A534)</f>
        <v/>
      </c>
      <c r="B534">
        <f>IF($A534="","",games!$B534)</f>
        <v/>
      </c>
      <c r="C534">
        <f>IF($A534="","",games!$C534)</f>
        <v/>
      </c>
      <c r="D534">
        <f>IF($A534="","",COUNTIF(connections!$A$2:$A$1400,$A534)+COUNTIF(connections!$B$2:$B$1400,$A534))</f>
        <v/>
      </c>
      <c r="E534">
        <f>IF($A534="","",IFERROR(MATCH($C534,$R$2:$R$5,0),0))</f>
        <v/>
      </c>
      <c r="F534">
        <f>IF($A534="","",MOD(ROW(),34))</f>
        <v/>
      </c>
      <c r="G534">
        <f>IF($A534="",NA(),IF($C534="Action",$B534,NA()))</f>
        <v/>
      </c>
      <c r="H534">
        <f>IF($A534="",NA(),IF($C534="Action",1+$F534*0.023,NA()))</f>
        <v/>
      </c>
      <c r="I534">
        <f>IF($A534="",NA(),IF($C534="Strategy",$B534,NA()))</f>
        <v/>
      </c>
      <c r="J534">
        <f>IF($A534="",NA(),IF($C534="Strategy",2+$F534*0.023,NA()))</f>
        <v/>
      </c>
      <c r="K534">
        <f>IF($A534="",NA(),IF($C534="Deckbuilder",$B534,NA()))</f>
        <v/>
      </c>
      <c r="L534">
        <f>IF($A534="",NA(),IF($C534="Deckbuilder",3+$F534*0.023,NA()))</f>
        <v/>
      </c>
      <c r="M534">
        <f>IF($A534="",NA(),IF($C534="Traditional",$B534,NA()))</f>
        <v/>
      </c>
      <c r="N534">
        <f>IF($A534="",NA(),IF($C534="Traditional",4+$F534*0.023,NA()))</f>
        <v/>
      </c>
      <c r="O534">
        <f>IF($A534="","",$D534+ROW()/1000000)</f>
        <v/>
      </c>
      <c r="P534">
        <f>IF(OR($A534="",games!$H534=""),"",games!$H534)</f>
        <v/>
      </c>
      <c r="Q534">
        <f>IF(OR($A534="",$P534&lt;&gt;"Yes"),"",$D534+ROW()/1000000)</f>
        <v/>
      </c>
      <c r="T534">
        <f>IF(connections!$A534="","",IFERROR(INDEX(games!$B$2:$B$950,MATCH(connections!$A534,games!$A$2:$A$950,0)),""))</f>
        <v/>
      </c>
      <c r="U534">
        <f>IF(connections!$A534="","",IFERROR(INDEX(games!$B$2:$B$950,MATCH(connections!$B534,games!$A$2:$A$950,0)),""))</f>
        <v/>
      </c>
      <c r="V534">
        <f>IF(OR($T534="",$U534=""),"",$U534-$T534)</f>
        <v/>
      </c>
    </row>
    <row r="535">
      <c r="A535">
        <f>IF(games!$A535="","",games!$A535)</f>
        <v/>
      </c>
      <c r="B535">
        <f>IF($A535="","",games!$B535)</f>
        <v/>
      </c>
      <c r="C535">
        <f>IF($A535="","",games!$C535)</f>
        <v/>
      </c>
      <c r="D535">
        <f>IF($A535="","",COUNTIF(connections!$A$2:$A$1400,$A535)+COUNTIF(connections!$B$2:$B$1400,$A535))</f>
        <v/>
      </c>
      <c r="E535">
        <f>IF($A535="","",IFERROR(MATCH($C535,$R$2:$R$5,0),0))</f>
        <v/>
      </c>
      <c r="F535">
        <f>IF($A535="","",MOD(ROW(),34))</f>
        <v/>
      </c>
      <c r="G535">
        <f>IF($A535="",NA(),IF($C535="Action",$B535,NA()))</f>
        <v/>
      </c>
      <c r="H535">
        <f>IF($A535="",NA(),IF($C535="Action",1+$F535*0.023,NA()))</f>
        <v/>
      </c>
      <c r="I535">
        <f>IF($A535="",NA(),IF($C535="Strategy",$B535,NA()))</f>
        <v/>
      </c>
      <c r="J535">
        <f>IF($A535="",NA(),IF($C535="Strategy",2+$F535*0.023,NA()))</f>
        <v/>
      </c>
      <c r="K535">
        <f>IF($A535="",NA(),IF($C535="Deckbuilder",$B535,NA()))</f>
        <v/>
      </c>
      <c r="L535">
        <f>IF($A535="",NA(),IF($C535="Deckbuilder",3+$F535*0.023,NA()))</f>
        <v/>
      </c>
      <c r="M535">
        <f>IF($A535="",NA(),IF($C535="Traditional",$B535,NA()))</f>
        <v/>
      </c>
      <c r="N535">
        <f>IF($A535="",NA(),IF($C535="Traditional",4+$F535*0.023,NA()))</f>
        <v/>
      </c>
      <c r="O535">
        <f>IF($A535="","",$D535+ROW()/1000000)</f>
        <v/>
      </c>
      <c r="P535">
        <f>IF(OR($A535="",games!$H535=""),"",games!$H535)</f>
        <v/>
      </c>
      <c r="Q535">
        <f>IF(OR($A535="",$P535&lt;&gt;"Yes"),"",$D535+ROW()/1000000)</f>
        <v/>
      </c>
      <c r="T535">
        <f>IF(connections!$A535="","",IFERROR(INDEX(games!$B$2:$B$950,MATCH(connections!$A535,games!$A$2:$A$950,0)),""))</f>
        <v/>
      </c>
      <c r="U535">
        <f>IF(connections!$A535="","",IFERROR(INDEX(games!$B$2:$B$950,MATCH(connections!$B535,games!$A$2:$A$950,0)),""))</f>
        <v/>
      </c>
      <c r="V535">
        <f>IF(OR($T535="",$U535=""),"",$U535-$T535)</f>
        <v/>
      </c>
    </row>
    <row r="536">
      <c r="A536">
        <f>IF(games!$A536="","",games!$A536)</f>
        <v/>
      </c>
      <c r="B536">
        <f>IF($A536="","",games!$B536)</f>
        <v/>
      </c>
      <c r="C536">
        <f>IF($A536="","",games!$C536)</f>
        <v/>
      </c>
      <c r="D536">
        <f>IF($A536="","",COUNTIF(connections!$A$2:$A$1400,$A536)+COUNTIF(connections!$B$2:$B$1400,$A536))</f>
        <v/>
      </c>
      <c r="E536">
        <f>IF($A536="","",IFERROR(MATCH($C536,$R$2:$R$5,0),0))</f>
        <v/>
      </c>
      <c r="F536">
        <f>IF($A536="","",MOD(ROW(),34))</f>
        <v/>
      </c>
      <c r="G536">
        <f>IF($A536="",NA(),IF($C536="Action",$B536,NA()))</f>
        <v/>
      </c>
      <c r="H536">
        <f>IF($A536="",NA(),IF($C536="Action",1+$F536*0.023,NA()))</f>
        <v/>
      </c>
      <c r="I536">
        <f>IF($A536="",NA(),IF($C536="Strategy",$B536,NA()))</f>
        <v/>
      </c>
      <c r="J536">
        <f>IF($A536="",NA(),IF($C536="Strategy",2+$F536*0.023,NA()))</f>
        <v/>
      </c>
      <c r="K536">
        <f>IF($A536="",NA(),IF($C536="Deckbuilder",$B536,NA()))</f>
        <v/>
      </c>
      <c r="L536">
        <f>IF($A536="",NA(),IF($C536="Deckbuilder",3+$F536*0.023,NA()))</f>
        <v/>
      </c>
      <c r="M536">
        <f>IF($A536="",NA(),IF($C536="Traditional",$B536,NA()))</f>
        <v/>
      </c>
      <c r="N536">
        <f>IF($A536="",NA(),IF($C536="Traditional",4+$F536*0.023,NA()))</f>
        <v/>
      </c>
      <c r="O536">
        <f>IF($A536="","",$D536+ROW()/1000000)</f>
        <v/>
      </c>
      <c r="P536">
        <f>IF(OR($A536="",games!$H536=""),"",games!$H536)</f>
        <v/>
      </c>
      <c r="Q536">
        <f>IF(OR($A536="",$P536&lt;&gt;"Yes"),"",$D536+ROW()/1000000)</f>
        <v/>
      </c>
      <c r="T536">
        <f>IF(connections!$A536="","",IFERROR(INDEX(games!$B$2:$B$950,MATCH(connections!$A536,games!$A$2:$A$950,0)),""))</f>
        <v/>
      </c>
      <c r="U536">
        <f>IF(connections!$A536="","",IFERROR(INDEX(games!$B$2:$B$950,MATCH(connections!$B536,games!$A$2:$A$950,0)),""))</f>
        <v/>
      </c>
      <c r="V536">
        <f>IF(OR($T536="",$U536=""),"",$U536-$T536)</f>
        <v/>
      </c>
    </row>
    <row r="537">
      <c r="A537">
        <f>IF(games!$A537="","",games!$A537)</f>
        <v/>
      </c>
      <c r="B537">
        <f>IF($A537="","",games!$B537)</f>
        <v/>
      </c>
      <c r="C537">
        <f>IF($A537="","",games!$C537)</f>
        <v/>
      </c>
      <c r="D537">
        <f>IF($A537="","",COUNTIF(connections!$A$2:$A$1400,$A537)+COUNTIF(connections!$B$2:$B$1400,$A537))</f>
        <v/>
      </c>
      <c r="E537">
        <f>IF($A537="","",IFERROR(MATCH($C537,$R$2:$R$5,0),0))</f>
        <v/>
      </c>
      <c r="F537">
        <f>IF($A537="","",MOD(ROW(),34))</f>
        <v/>
      </c>
      <c r="G537">
        <f>IF($A537="",NA(),IF($C537="Action",$B537,NA()))</f>
        <v/>
      </c>
      <c r="H537">
        <f>IF($A537="",NA(),IF($C537="Action",1+$F537*0.023,NA()))</f>
        <v/>
      </c>
      <c r="I537">
        <f>IF($A537="",NA(),IF($C537="Strategy",$B537,NA()))</f>
        <v/>
      </c>
      <c r="J537">
        <f>IF($A537="",NA(),IF($C537="Strategy",2+$F537*0.023,NA()))</f>
        <v/>
      </c>
      <c r="K537">
        <f>IF($A537="",NA(),IF($C537="Deckbuilder",$B537,NA()))</f>
        <v/>
      </c>
      <c r="L537">
        <f>IF($A537="",NA(),IF($C537="Deckbuilder",3+$F537*0.023,NA()))</f>
        <v/>
      </c>
      <c r="M537">
        <f>IF($A537="",NA(),IF($C537="Traditional",$B537,NA()))</f>
        <v/>
      </c>
      <c r="N537">
        <f>IF($A537="",NA(),IF($C537="Traditional",4+$F537*0.023,NA()))</f>
        <v/>
      </c>
      <c r="O537">
        <f>IF($A537="","",$D537+ROW()/1000000)</f>
        <v/>
      </c>
      <c r="P537">
        <f>IF(OR($A537="",games!$H537=""),"",games!$H537)</f>
        <v/>
      </c>
      <c r="Q537">
        <f>IF(OR($A537="",$P537&lt;&gt;"Yes"),"",$D537+ROW()/1000000)</f>
        <v/>
      </c>
      <c r="T537">
        <f>IF(connections!$A537="","",IFERROR(INDEX(games!$B$2:$B$950,MATCH(connections!$A537,games!$A$2:$A$950,0)),""))</f>
        <v/>
      </c>
      <c r="U537">
        <f>IF(connections!$A537="","",IFERROR(INDEX(games!$B$2:$B$950,MATCH(connections!$B537,games!$A$2:$A$950,0)),""))</f>
        <v/>
      </c>
      <c r="V537">
        <f>IF(OR($T537="",$U537=""),"",$U537-$T537)</f>
        <v/>
      </c>
    </row>
    <row r="538">
      <c r="A538">
        <f>IF(games!$A538="","",games!$A538)</f>
        <v/>
      </c>
      <c r="B538">
        <f>IF($A538="","",games!$B538)</f>
        <v/>
      </c>
      <c r="C538">
        <f>IF($A538="","",games!$C538)</f>
        <v/>
      </c>
      <c r="D538">
        <f>IF($A538="","",COUNTIF(connections!$A$2:$A$1400,$A538)+COUNTIF(connections!$B$2:$B$1400,$A538))</f>
        <v/>
      </c>
      <c r="E538">
        <f>IF($A538="","",IFERROR(MATCH($C538,$R$2:$R$5,0),0))</f>
        <v/>
      </c>
      <c r="F538">
        <f>IF($A538="","",MOD(ROW(),34))</f>
        <v/>
      </c>
      <c r="G538">
        <f>IF($A538="",NA(),IF($C538="Action",$B538,NA()))</f>
        <v/>
      </c>
      <c r="H538">
        <f>IF($A538="",NA(),IF($C538="Action",1+$F538*0.023,NA()))</f>
        <v/>
      </c>
      <c r="I538">
        <f>IF($A538="",NA(),IF($C538="Strategy",$B538,NA()))</f>
        <v/>
      </c>
      <c r="J538">
        <f>IF($A538="",NA(),IF($C538="Strategy",2+$F538*0.023,NA()))</f>
        <v/>
      </c>
      <c r="K538">
        <f>IF($A538="",NA(),IF($C538="Deckbuilder",$B538,NA()))</f>
        <v/>
      </c>
      <c r="L538">
        <f>IF($A538="",NA(),IF($C538="Deckbuilder",3+$F538*0.023,NA()))</f>
        <v/>
      </c>
      <c r="M538">
        <f>IF($A538="",NA(),IF($C538="Traditional",$B538,NA()))</f>
        <v/>
      </c>
      <c r="N538">
        <f>IF($A538="",NA(),IF($C538="Traditional",4+$F538*0.023,NA()))</f>
        <v/>
      </c>
      <c r="O538">
        <f>IF($A538="","",$D538+ROW()/1000000)</f>
        <v/>
      </c>
      <c r="P538">
        <f>IF(OR($A538="",games!$H538=""),"",games!$H538)</f>
        <v/>
      </c>
      <c r="Q538">
        <f>IF(OR($A538="",$P538&lt;&gt;"Yes"),"",$D538+ROW()/1000000)</f>
        <v/>
      </c>
      <c r="T538">
        <f>IF(connections!$A538="","",IFERROR(INDEX(games!$B$2:$B$950,MATCH(connections!$A538,games!$A$2:$A$950,0)),""))</f>
        <v/>
      </c>
      <c r="U538">
        <f>IF(connections!$A538="","",IFERROR(INDEX(games!$B$2:$B$950,MATCH(connections!$B538,games!$A$2:$A$950,0)),""))</f>
        <v/>
      </c>
      <c r="V538">
        <f>IF(OR($T538="",$U538=""),"",$U538-$T538)</f>
        <v/>
      </c>
    </row>
    <row r="539">
      <c r="A539">
        <f>IF(games!$A539="","",games!$A539)</f>
        <v/>
      </c>
      <c r="B539">
        <f>IF($A539="","",games!$B539)</f>
        <v/>
      </c>
      <c r="C539">
        <f>IF($A539="","",games!$C539)</f>
        <v/>
      </c>
      <c r="D539">
        <f>IF($A539="","",COUNTIF(connections!$A$2:$A$1400,$A539)+COUNTIF(connections!$B$2:$B$1400,$A539))</f>
        <v/>
      </c>
      <c r="E539">
        <f>IF($A539="","",IFERROR(MATCH($C539,$R$2:$R$5,0),0))</f>
        <v/>
      </c>
      <c r="F539">
        <f>IF($A539="","",MOD(ROW(),34))</f>
        <v/>
      </c>
      <c r="G539">
        <f>IF($A539="",NA(),IF($C539="Action",$B539,NA()))</f>
        <v/>
      </c>
      <c r="H539">
        <f>IF($A539="",NA(),IF($C539="Action",1+$F539*0.023,NA()))</f>
        <v/>
      </c>
      <c r="I539">
        <f>IF($A539="",NA(),IF($C539="Strategy",$B539,NA()))</f>
        <v/>
      </c>
      <c r="J539">
        <f>IF($A539="",NA(),IF($C539="Strategy",2+$F539*0.023,NA()))</f>
        <v/>
      </c>
      <c r="K539">
        <f>IF($A539="",NA(),IF($C539="Deckbuilder",$B539,NA()))</f>
        <v/>
      </c>
      <c r="L539">
        <f>IF($A539="",NA(),IF($C539="Deckbuilder",3+$F539*0.023,NA()))</f>
        <v/>
      </c>
      <c r="M539">
        <f>IF($A539="",NA(),IF($C539="Traditional",$B539,NA()))</f>
        <v/>
      </c>
      <c r="N539">
        <f>IF($A539="",NA(),IF($C539="Traditional",4+$F539*0.023,NA()))</f>
        <v/>
      </c>
      <c r="O539">
        <f>IF($A539="","",$D539+ROW()/1000000)</f>
        <v/>
      </c>
      <c r="P539">
        <f>IF(OR($A539="",games!$H539=""),"",games!$H539)</f>
        <v/>
      </c>
      <c r="Q539">
        <f>IF(OR($A539="",$P539&lt;&gt;"Yes"),"",$D539+ROW()/1000000)</f>
        <v/>
      </c>
      <c r="T539">
        <f>IF(connections!$A539="","",IFERROR(INDEX(games!$B$2:$B$950,MATCH(connections!$A539,games!$A$2:$A$950,0)),""))</f>
        <v/>
      </c>
      <c r="U539">
        <f>IF(connections!$A539="","",IFERROR(INDEX(games!$B$2:$B$950,MATCH(connections!$B539,games!$A$2:$A$950,0)),""))</f>
        <v/>
      </c>
      <c r="V539">
        <f>IF(OR($T539="",$U539=""),"",$U539-$T539)</f>
        <v/>
      </c>
    </row>
    <row r="540">
      <c r="A540">
        <f>IF(games!$A540="","",games!$A540)</f>
        <v/>
      </c>
      <c r="B540">
        <f>IF($A540="","",games!$B540)</f>
        <v/>
      </c>
      <c r="C540">
        <f>IF($A540="","",games!$C540)</f>
        <v/>
      </c>
      <c r="D540">
        <f>IF($A540="","",COUNTIF(connections!$A$2:$A$1400,$A540)+COUNTIF(connections!$B$2:$B$1400,$A540))</f>
        <v/>
      </c>
      <c r="E540">
        <f>IF($A540="","",IFERROR(MATCH($C540,$R$2:$R$5,0),0))</f>
        <v/>
      </c>
      <c r="F540">
        <f>IF($A540="","",MOD(ROW(),34))</f>
        <v/>
      </c>
      <c r="G540">
        <f>IF($A540="",NA(),IF($C540="Action",$B540,NA()))</f>
        <v/>
      </c>
      <c r="H540">
        <f>IF($A540="",NA(),IF($C540="Action",1+$F540*0.023,NA()))</f>
        <v/>
      </c>
      <c r="I540">
        <f>IF($A540="",NA(),IF($C540="Strategy",$B540,NA()))</f>
        <v/>
      </c>
      <c r="J540">
        <f>IF($A540="",NA(),IF($C540="Strategy",2+$F540*0.023,NA()))</f>
        <v/>
      </c>
      <c r="K540">
        <f>IF($A540="",NA(),IF($C540="Deckbuilder",$B540,NA()))</f>
        <v/>
      </c>
      <c r="L540">
        <f>IF($A540="",NA(),IF($C540="Deckbuilder",3+$F540*0.023,NA()))</f>
        <v/>
      </c>
      <c r="M540">
        <f>IF($A540="",NA(),IF($C540="Traditional",$B540,NA()))</f>
        <v/>
      </c>
      <c r="N540">
        <f>IF($A540="",NA(),IF($C540="Traditional",4+$F540*0.023,NA()))</f>
        <v/>
      </c>
      <c r="O540">
        <f>IF($A540="","",$D540+ROW()/1000000)</f>
        <v/>
      </c>
      <c r="P540">
        <f>IF(OR($A540="",games!$H540=""),"",games!$H540)</f>
        <v/>
      </c>
      <c r="Q540">
        <f>IF(OR($A540="",$P540&lt;&gt;"Yes"),"",$D540+ROW()/1000000)</f>
        <v/>
      </c>
      <c r="T540">
        <f>IF(connections!$A540="","",IFERROR(INDEX(games!$B$2:$B$950,MATCH(connections!$A540,games!$A$2:$A$950,0)),""))</f>
        <v/>
      </c>
      <c r="U540">
        <f>IF(connections!$A540="","",IFERROR(INDEX(games!$B$2:$B$950,MATCH(connections!$B540,games!$A$2:$A$950,0)),""))</f>
        <v/>
      </c>
      <c r="V540">
        <f>IF(OR($T540="",$U540=""),"",$U540-$T540)</f>
        <v/>
      </c>
    </row>
    <row r="541">
      <c r="A541">
        <f>IF(games!$A541="","",games!$A541)</f>
        <v/>
      </c>
      <c r="B541">
        <f>IF($A541="","",games!$B541)</f>
        <v/>
      </c>
      <c r="C541">
        <f>IF($A541="","",games!$C541)</f>
        <v/>
      </c>
      <c r="D541">
        <f>IF($A541="","",COUNTIF(connections!$A$2:$A$1400,$A541)+COUNTIF(connections!$B$2:$B$1400,$A541))</f>
        <v/>
      </c>
      <c r="E541">
        <f>IF($A541="","",IFERROR(MATCH($C541,$R$2:$R$5,0),0))</f>
        <v/>
      </c>
      <c r="F541">
        <f>IF($A541="","",MOD(ROW(),34))</f>
        <v/>
      </c>
      <c r="G541">
        <f>IF($A541="",NA(),IF($C541="Action",$B541,NA()))</f>
        <v/>
      </c>
      <c r="H541">
        <f>IF($A541="",NA(),IF($C541="Action",1+$F541*0.023,NA()))</f>
        <v/>
      </c>
      <c r="I541">
        <f>IF($A541="",NA(),IF($C541="Strategy",$B541,NA()))</f>
        <v/>
      </c>
      <c r="J541">
        <f>IF($A541="",NA(),IF($C541="Strategy",2+$F541*0.023,NA()))</f>
        <v/>
      </c>
      <c r="K541">
        <f>IF($A541="",NA(),IF($C541="Deckbuilder",$B541,NA()))</f>
        <v/>
      </c>
      <c r="L541">
        <f>IF($A541="",NA(),IF($C541="Deckbuilder",3+$F541*0.023,NA()))</f>
        <v/>
      </c>
      <c r="M541">
        <f>IF($A541="",NA(),IF($C541="Traditional",$B541,NA()))</f>
        <v/>
      </c>
      <c r="N541">
        <f>IF($A541="",NA(),IF($C541="Traditional",4+$F541*0.023,NA()))</f>
        <v/>
      </c>
      <c r="O541">
        <f>IF($A541="","",$D541+ROW()/1000000)</f>
        <v/>
      </c>
      <c r="P541">
        <f>IF(OR($A541="",games!$H541=""),"",games!$H541)</f>
        <v/>
      </c>
      <c r="Q541">
        <f>IF(OR($A541="",$P541&lt;&gt;"Yes"),"",$D541+ROW()/1000000)</f>
        <v/>
      </c>
      <c r="T541">
        <f>IF(connections!$A541="","",IFERROR(INDEX(games!$B$2:$B$950,MATCH(connections!$A541,games!$A$2:$A$950,0)),""))</f>
        <v/>
      </c>
      <c r="U541">
        <f>IF(connections!$A541="","",IFERROR(INDEX(games!$B$2:$B$950,MATCH(connections!$B541,games!$A$2:$A$950,0)),""))</f>
        <v/>
      </c>
      <c r="V541">
        <f>IF(OR($T541="",$U541=""),"",$U541-$T541)</f>
        <v/>
      </c>
    </row>
    <row r="542">
      <c r="A542">
        <f>IF(games!$A542="","",games!$A542)</f>
        <v/>
      </c>
      <c r="B542">
        <f>IF($A542="","",games!$B542)</f>
        <v/>
      </c>
      <c r="C542">
        <f>IF($A542="","",games!$C542)</f>
        <v/>
      </c>
      <c r="D542">
        <f>IF($A542="","",COUNTIF(connections!$A$2:$A$1400,$A542)+COUNTIF(connections!$B$2:$B$1400,$A542))</f>
        <v/>
      </c>
      <c r="E542">
        <f>IF($A542="","",IFERROR(MATCH($C542,$R$2:$R$5,0),0))</f>
        <v/>
      </c>
      <c r="F542">
        <f>IF($A542="","",MOD(ROW(),34))</f>
        <v/>
      </c>
      <c r="G542">
        <f>IF($A542="",NA(),IF($C542="Action",$B542,NA()))</f>
        <v/>
      </c>
      <c r="H542">
        <f>IF($A542="",NA(),IF($C542="Action",1+$F542*0.023,NA()))</f>
        <v/>
      </c>
      <c r="I542">
        <f>IF($A542="",NA(),IF($C542="Strategy",$B542,NA()))</f>
        <v/>
      </c>
      <c r="J542">
        <f>IF($A542="",NA(),IF($C542="Strategy",2+$F542*0.023,NA()))</f>
        <v/>
      </c>
      <c r="K542">
        <f>IF($A542="",NA(),IF($C542="Deckbuilder",$B542,NA()))</f>
        <v/>
      </c>
      <c r="L542">
        <f>IF($A542="",NA(),IF($C542="Deckbuilder",3+$F542*0.023,NA()))</f>
        <v/>
      </c>
      <c r="M542">
        <f>IF($A542="",NA(),IF($C542="Traditional",$B542,NA()))</f>
        <v/>
      </c>
      <c r="N542">
        <f>IF($A542="",NA(),IF($C542="Traditional",4+$F542*0.023,NA()))</f>
        <v/>
      </c>
      <c r="O542">
        <f>IF($A542="","",$D542+ROW()/1000000)</f>
        <v/>
      </c>
      <c r="P542">
        <f>IF(OR($A542="",games!$H542=""),"",games!$H542)</f>
        <v/>
      </c>
      <c r="Q542">
        <f>IF(OR($A542="",$P542&lt;&gt;"Yes"),"",$D542+ROW()/1000000)</f>
        <v/>
      </c>
      <c r="T542">
        <f>IF(connections!$A542="","",IFERROR(INDEX(games!$B$2:$B$950,MATCH(connections!$A542,games!$A$2:$A$950,0)),""))</f>
        <v/>
      </c>
      <c r="U542">
        <f>IF(connections!$A542="","",IFERROR(INDEX(games!$B$2:$B$950,MATCH(connections!$B542,games!$A$2:$A$950,0)),""))</f>
        <v/>
      </c>
      <c r="V542">
        <f>IF(OR($T542="",$U542=""),"",$U542-$T542)</f>
        <v/>
      </c>
    </row>
    <row r="543">
      <c r="A543">
        <f>IF(games!$A543="","",games!$A543)</f>
        <v/>
      </c>
      <c r="B543">
        <f>IF($A543="","",games!$B543)</f>
        <v/>
      </c>
      <c r="C543">
        <f>IF($A543="","",games!$C543)</f>
        <v/>
      </c>
      <c r="D543">
        <f>IF($A543="","",COUNTIF(connections!$A$2:$A$1400,$A543)+COUNTIF(connections!$B$2:$B$1400,$A543))</f>
        <v/>
      </c>
      <c r="E543">
        <f>IF($A543="","",IFERROR(MATCH($C543,$R$2:$R$5,0),0))</f>
        <v/>
      </c>
      <c r="F543">
        <f>IF($A543="","",MOD(ROW(),34))</f>
        <v/>
      </c>
      <c r="G543">
        <f>IF($A543="",NA(),IF($C543="Action",$B543,NA()))</f>
        <v/>
      </c>
      <c r="H543">
        <f>IF($A543="",NA(),IF($C543="Action",1+$F543*0.023,NA()))</f>
        <v/>
      </c>
      <c r="I543">
        <f>IF($A543="",NA(),IF($C543="Strategy",$B543,NA()))</f>
        <v/>
      </c>
      <c r="J543">
        <f>IF($A543="",NA(),IF($C543="Strategy",2+$F543*0.023,NA()))</f>
        <v/>
      </c>
      <c r="K543">
        <f>IF($A543="",NA(),IF($C543="Deckbuilder",$B543,NA()))</f>
        <v/>
      </c>
      <c r="L543">
        <f>IF($A543="",NA(),IF($C543="Deckbuilder",3+$F543*0.023,NA()))</f>
        <v/>
      </c>
      <c r="M543">
        <f>IF($A543="",NA(),IF($C543="Traditional",$B543,NA()))</f>
        <v/>
      </c>
      <c r="N543">
        <f>IF($A543="",NA(),IF($C543="Traditional",4+$F543*0.023,NA()))</f>
        <v/>
      </c>
      <c r="O543">
        <f>IF($A543="","",$D543+ROW()/1000000)</f>
        <v/>
      </c>
      <c r="P543">
        <f>IF(OR($A543="",games!$H543=""),"",games!$H543)</f>
        <v/>
      </c>
      <c r="Q543">
        <f>IF(OR($A543="",$P543&lt;&gt;"Yes"),"",$D543+ROW()/1000000)</f>
        <v/>
      </c>
      <c r="T543">
        <f>IF(connections!$A543="","",IFERROR(INDEX(games!$B$2:$B$950,MATCH(connections!$A543,games!$A$2:$A$950,0)),""))</f>
        <v/>
      </c>
      <c r="U543">
        <f>IF(connections!$A543="","",IFERROR(INDEX(games!$B$2:$B$950,MATCH(connections!$B543,games!$A$2:$A$950,0)),""))</f>
        <v/>
      </c>
      <c r="V543">
        <f>IF(OR($T543="",$U543=""),"",$U543-$T543)</f>
        <v/>
      </c>
    </row>
    <row r="544">
      <c r="A544">
        <f>IF(games!$A544="","",games!$A544)</f>
        <v/>
      </c>
      <c r="B544">
        <f>IF($A544="","",games!$B544)</f>
        <v/>
      </c>
      <c r="C544">
        <f>IF($A544="","",games!$C544)</f>
        <v/>
      </c>
      <c r="D544">
        <f>IF($A544="","",COUNTIF(connections!$A$2:$A$1400,$A544)+COUNTIF(connections!$B$2:$B$1400,$A544))</f>
        <v/>
      </c>
      <c r="E544">
        <f>IF($A544="","",IFERROR(MATCH($C544,$R$2:$R$5,0),0))</f>
        <v/>
      </c>
      <c r="F544">
        <f>IF($A544="","",MOD(ROW(),34))</f>
        <v/>
      </c>
      <c r="G544">
        <f>IF($A544="",NA(),IF($C544="Action",$B544,NA()))</f>
        <v/>
      </c>
      <c r="H544">
        <f>IF($A544="",NA(),IF($C544="Action",1+$F544*0.023,NA()))</f>
        <v/>
      </c>
      <c r="I544">
        <f>IF($A544="",NA(),IF($C544="Strategy",$B544,NA()))</f>
        <v/>
      </c>
      <c r="J544">
        <f>IF($A544="",NA(),IF($C544="Strategy",2+$F544*0.023,NA()))</f>
        <v/>
      </c>
      <c r="K544">
        <f>IF($A544="",NA(),IF($C544="Deckbuilder",$B544,NA()))</f>
        <v/>
      </c>
      <c r="L544">
        <f>IF($A544="",NA(),IF($C544="Deckbuilder",3+$F544*0.023,NA()))</f>
        <v/>
      </c>
      <c r="M544">
        <f>IF($A544="",NA(),IF($C544="Traditional",$B544,NA()))</f>
        <v/>
      </c>
      <c r="N544">
        <f>IF($A544="",NA(),IF($C544="Traditional",4+$F544*0.023,NA()))</f>
        <v/>
      </c>
      <c r="O544">
        <f>IF($A544="","",$D544+ROW()/1000000)</f>
        <v/>
      </c>
      <c r="P544">
        <f>IF(OR($A544="",games!$H544=""),"",games!$H544)</f>
        <v/>
      </c>
      <c r="Q544">
        <f>IF(OR($A544="",$P544&lt;&gt;"Yes"),"",$D544+ROW()/1000000)</f>
        <v/>
      </c>
      <c r="T544">
        <f>IF(connections!$A544="","",IFERROR(INDEX(games!$B$2:$B$950,MATCH(connections!$A544,games!$A$2:$A$950,0)),""))</f>
        <v/>
      </c>
      <c r="U544">
        <f>IF(connections!$A544="","",IFERROR(INDEX(games!$B$2:$B$950,MATCH(connections!$B544,games!$A$2:$A$950,0)),""))</f>
        <v/>
      </c>
      <c r="V544">
        <f>IF(OR($T544="",$U544=""),"",$U544-$T544)</f>
        <v/>
      </c>
    </row>
    <row r="545">
      <c r="A545">
        <f>IF(games!$A545="","",games!$A545)</f>
        <v/>
      </c>
      <c r="B545">
        <f>IF($A545="","",games!$B545)</f>
        <v/>
      </c>
      <c r="C545">
        <f>IF($A545="","",games!$C545)</f>
        <v/>
      </c>
      <c r="D545">
        <f>IF($A545="","",COUNTIF(connections!$A$2:$A$1400,$A545)+COUNTIF(connections!$B$2:$B$1400,$A545))</f>
        <v/>
      </c>
      <c r="E545">
        <f>IF($A545="","",IFERROR(MATCH($C545,$R$2:$R$5,0),0))</f>
        <v/>
      </c>
      <c r="F545">
        <f>IF($A545="","",MOD(ROW(),34))</f>
        <v/>
      </c>
      <c r="G545">
        <f>IF($A545="",NA(),IF($C545="Action",$B545,NA()))</f>
        <v/>
      </c>
      <c r="H545">
        <f>IF($A545="",NA(),IF($C545="Action",1+$F545*0.023,NA()))</f>
        <v/>
      </c>
      <c r="I545">
        <f>IF($A545="",NA(),IF($C545="Strategy",$B545,NA()))</f>
        <v/>
      </c>
      <c r="J545">
        <f>IF($A545="",NA(),IF($C545="Strategy",2+$F545*0.023,NA()))</f>
        <v/>
      </c>
      <c r="K545">
        <f>IF($A545="",NA(),IF($C545="Deckbuilder",$B545,NA()))</f>
        <v/>
      </c>
      <c r="L545">
        <f>IF($A545="",NA(),IF($C545="Deckbuilder",3+$F545*0.023,NA()))</f>
        <v/>
      </c>
      <c r="M545">
        <f>IF($A545="",NA(),IF($C545="Traditional",$B545,NA()))</f>
        <v/>
      </c>
      <c r="N545">
        <f>IF($A545="",NA(),IF($C545="Traditional",4+$F545*0.023,NA()))</f>
        <v/>
      </c>
      <c r="O545">
        <f>IF($A545="","",$D545+ROW()/1000000)</f>
        <v/>
      </c>
      <c r="P545">
        <f>IF(OR($A545="",games!$H545=""),"",games!$H545)</f>
        <v/>
      </c>
      <c r="Q545">
        <f>IF(OR($A545="",$P545&lt;&gt;"Yes"),"",$D545+ROW()/1000000)</f>
        <v/>
      </c>
      <c r="T545">
        <f>IF(connections!$A545="","",IFERROR(INDEX(games!$B$2:$B$950,MATCH(connections!$A545,games!$A$2:$A$950,0)),""))</f>
        <v/>
      </c>
      <c r="U545">
        <f>IF(connections!$A545="","",IFERROR(INDEX(games!$B$2:$B$950,MATCH(connections!$B545,games!$A$2:$A$950,0)),""))</f>
        <v/>
      </c>
      <c r="V545">
        <f>IF(OR($T545="",$U545=""),"",$U545-$T545)</f>
        <v/>
      </c>
    </row>
    <row r="546">
      <c r="A546">
        <f>IF(games!$A546="","",games!$A546)</f>
        <v/>
      </c>
      <c r="B546">
        <f>IF($A546="","",games!$B546)</f>
        <v/>
      </c>
      <c r="C546">
        <f>IF($A546="","",games!$C546)</f>
        <v/>
      </c>
      <c r="D546">
        <f>IF($A546="","",COUNTIF(connections!$A$2:$A$1400,$A546)+COUNTIF(connections!$B$2:$B$1400,$A546))</f>
        <v/>
      </c>
      <c r="E546">
        <f>IF($A546="","",IFERROR(MATCH($C546,$R$2:$R$5,0),0))</f>
        <v/>
      </c>
      <c r="F546">
        <f>IF($A546="","",MOD(ROW(),34))</f>
        <v/>
      </c>
      <c r="G546">
        <f>IF($A546="",NA(),IF($C546="Action",$B546,NA()))</f>
        <v/>
      </c>
      <c r="H546">
        <f>IF($A546="",NA(),IF($C546="Action",1+$F546*0.023,NA()))</f>
        <v/>
      </c>
      <c r="I546">
        <f>IF($A546="",NA(),IF($C546="Strategy",$B546,NA()))</f>
        <v/>
      </c>
      <c r="J546">
        <f>IF($A546="",NA(),IF($C546="Strategy",2+$F546*0.023,NA()))</f>
        <v/>
      </c>
      <c r="K546">
        <f>IF($A546="",NA(),IF($C546="Deckbuilder",$B546,NA()))</f>
        <v/>
      </c>
      <c r="L546">
        <f>IF($A546="",NA(),IF($C546="Deckbuilder",3+$F546*0.023,NA()))</f>
        <v/>
      </c>
      <c r="M546">
        <f>IF($A546="",NA(),IF($C546="Traditional",$B546,NA()))</f>
        <v/>
      </c>
      <c r="N546">
        <f>IF($A546="",NA(),IF($C546="Traditional",4+$F546*0.023,NA()))</f>
        <v/>
      </c>
      <c r="O546">
        <f>IF($A546="","",$D546+ROW()/1000000)</f>
        <v/>
      </c>
      <c r="P546">
        <f>IF(OR($A546="",games!$H546=""),"",games!$H546)</f>
        <v/>
      </c>
      <c r="Q546">
        <f>IF(OR($A546="",$P546&lt;&gt;"Yes"),"",$D546+ROW()/1000000)</f>
        <v/>
      </c>
      <c r="T546">
        <f>IF(connections!$A546="","",IFERROR(INDEX(games!$B$2:$B$950,MATCH(connections!$A546,games!$A$2:$A$950,0)),""))</f>
        <v/>
      </c>
      <c r="U546">
        <f>IF(connections!$A546="","",IFERROR(INDEX(games!$B$2:$B$950,MATCH(connections!$B546,games!$A$2:$A$950,0)),""))</f>
        <v/>
      </c>
      <c r="V546">
        <f>IF(OR($T546="",$U546=""),"",$U546-$T546)</f>
        <v/>
      </c>
    </row>
    <row r="547">
      <c r="A547">
        <f>IF(games!$A547="","",games!$A547)</f>
        <v/>
      </c>
      <c r="B547">
        <f>IF($A547="","",games!$B547)</f>
        <v/>
      </c>
      <c r="C547">
        <f>IF($A547="","",games!$C547)</f>
        <v/>
      </c>
      <c r="D547">
        <f>IF($A547="","",COUNTIF(connections!$A$2:$A$1400,$A547)+COUNTIF(connections!$B$2:$B$1400,$A547))</f>
        <v/>
      </c>
      <c r="E547">
        <f>IF($A547="","",IFERROR(MATCH($C547,$R$2:$R$5,0),0))</f>
        <v/>
      </c>
      <c r="F547">
        <f>IF($A547="","",MOD(ROW(),34))</f>
        <v/>
      </c>
      <c r="G547">
        <f>IF($A547="",NA(),IF($C547="Action",$B547,NA()))</f>
        <v/>
      </c>
      <c r="H547">
        <f>IF($A547="",NA(),IF($C547="Action",1+$F547*0.023,NA()))</f>
        <v/>
      </c>
      <c r="I547">
        <f>IF($A547="",NA(),IF($C547="Strategy",$B547,NA()))</f>
        <v/>
      </c>
      <c r="J547">
        <f>IF($A547="",NA(),IF($C547="Strategy",2+$F547*0.023,NA()))</f>
        <v/>
      </c>
      <c r="K547">
        <f>IF($A547="",NA(),IF($C547="Deckbuilder",$B547,NA()))</f>
        <v/>
      </c>
      <c r="L547">
        <f>IF($A547="",NA(),IF($C547="Deckbuilder",3+$F547*0.023,NA()))</f>
        <v/>
      </c>
      <c r="M547">
        <f>IF($A547="",NA(),IF($C547="Traditional",$B547,NA()))</f>
        <v/>
      </c>
      <c r="N547">
        <f>IF($A547="",NA(),IF($C547="Traditional",4+$F547*0.023,NA()))</f>
        <v/>
      </c>
      <c r="O547">
        <f>IF($A547="","",$D547+ROW()/1000000)</f>
        <v/>
      </c>
      <c r="P547">
        <f>IF(OR($A547="",games!$H547=""),"",games!$H547)</f>
        <v/>
      </c>
      <c r="Q547">
        <f>IF(OR($A547="",$P547&lt;&gt;"Yes"),"",$D547+ROW()/1000000)</f>
        <v/>
      </c>
      <c r="T547">
        <f>IF(connections!$A547="","",IFERROR(INDEX(games!$B$2:$B$950,MATCH(connections!$A547,games!$A$2:$A$950,0)),""))</f>
        <v/>
      </c>
      <c r="U547">
        <f>IF(connections!$A547="","",IFERROR(INDEX(games!$B$2:$B$950,MATCH(connections!$B547,games!$A$2:$A$950,0)),""))</f>
        <v/>
      </c>
      <c r="V547">
        <f>IF(OR($T547="",$U547=""),"",$U547-$T547)</f>
        <v/>
      </c>
    </row>
    <row r="548">
      <c r="A548">
        <f>IF(games!$A548="","",games!$A548)</f>
        <v/>
      </c>
      <c r="B548">
        <f>IF($A548="","",games!$B548)</f>
        <v/>
      </c>
      <c r="C548">
        <f>IF($A548="","",games!$C548)</f>
        <v/>
      </c>
      <c r="D548">
        <f>IF($A548="","",COUNTIF(connections!$A$2:$A$1400,$A548)+COUNTIF(connections!$B$2:$B$1400,$A548))</f>
        <v/>
      </c>
      <c r="E548">
        <f>IF($A548="","",IFERROR(MATCH($C548,$R$2:$R$5,0),0))</f>
        <v/>
      </c>
      <c r="F548">
        <f>IF($A548="","",MOD(ROW(),34))</f>
        <v/>
      </c>
      <c r="G548">
        <f>IF($A548="",NA(),IF($C548="Action",$B548,NA()))</f>
        <v/>
      </c>
      <c r="H548">
        <f>IF($A548="",NA(),IF($C548="Action",1+$F548*0.023,NA()))</f>
        <v/>
      </c>
      <c r="I548">
        <f>IF($A548="",NA(),IF($C548="Strategy",$B548,NA()))</f>
        <v/>
      </c>
      <c r="J548">
        <f>IF($A548="",NA(),IF($C548="Strategy",2+$F548*0.023,NA()))</f>
        <v/>
      </c>
      <c r="K548">
        <f>IF($A548="",NA(),IF($C548="Deckbuilder",$B548,NA()))</f>
        <v/>
      </c>
      <c r="L548">
        <f>IF($A548="",NA(),IF($C548="Deckbuilder",3+$F548*0.023,NA()))</f>
        <v/>
      </c>
      <c r="M548">
        <f>IF($A548="",NA(),IF($C548="Traditional",$B548,NA()))</f>
        <v/>
      </c>
      <c r="N548">
        <f>IF($A548="",NA(),IF($C548="Traditional",4+$F548*0.023,NA()))</f>
        <v/>
      </c>
      <c r="O548">
        <f>IF($A548="","",$D548+ROW()/1000000)</f>
        <v/>
      </c>
      <c r="P548">
        <f>IF(OR($A548="",games!$H548=""),"",games!$H548)</f>
        <v/>
      </c>
      <c r="Q548">
        <f>IF(OR($A548="",$P548&lt;&gt;"Yes"),"",$D548+ROW()/1000000)</f>
        <v/>
      </c>
      <c r="T548">
        <f>IF(connections!$A548="","",IFERROR(INDEX(games!$B$2:$B$950,MATCH(connections!$A548,games!$A$2:$A$950,0)),""))</f>
        <v/>
      </c>
      <c r="U548">
        <f>IF(connections!$A548="","",IFERROR(INDEX(games!$B$2:$B$950,MATCH(connections!$B548,games!$A$2:$A$950,0)),""))</f>
        <v/>
      </c>
      <c r="V548">
        <f>IF(OR($T548="",$U548=""),"",$U548-$T548)</f>
        <v/>
      </c>
    </row>
    <row r="549">
      <c r="A549">
        <f>IF(games!$A549="","",games!$A549)</f>
        <v/>
      </c>
      <c r="B549">
        <f>IF($A549="","",games!$B549)</f>
        <v/>
      </c>
      <c r="C549">
        <f>IF($A549="","",games!$C549)</f>
        <v/>
      </c>
      <c r="D549">
        <f>IF($A549="","",COUNTIF(connections!$A$2:$A$1400,$A549)+COUNTIF(connections!$B$2:$B$1400,$A549))</f>
        <v/>
      </c>
      <c r="E549">
        <f>IF($A549="","",IFERROR(MATCH($C549,$R$2:$R$5,0),0))</f>
        <v/>
      </c>
      <c r="F549">
        <f>IF($A549="","",MOD(ROW(),34))</f>
        <v/>
      </c>
      <c r="G549">
        <f>IF($A549="",NA(),IF($C549="Action",$B549,NA()))</f>
        <v/>
      </c>
      <c r="H549">
        <f>IF($A549="",NA(),IF($C549="Action",1+$F549*0.023,NA()))</f>
        <v/>
      </c>
      <c r="I549">
        <f>IF($A549="",NA(),IF($C549="Strategy",$B549,NA()))</f>
        <v/>
      </c>
      <c r="J549">
        <f>IF($A549="",NA(),IF($C549="Strategy",2+$F549*0.023,NA()))</f>
        <v/>
      </c>
      <c r="K549">
        <f>IF($A549="",NA(),IF($C549="Deckbuilder",$B549,NA()))</f>
        <v/>
      </c>
      <c r="L549">
        <f>IF($A549="",NA(),IF($C549="Deckbuilder",3+$F549*0.023,NA()))</f>
        <v/>
      </c>
      <c r="M549">
        <f>IF($A549="",NA(),IF($C549="Traditional",$B549,NA()))</f>
        <v/>
      </c>
      <c r="N549">
        <f>IF($A549="",NA(),IF($C549="Traditional",4+$F549*0.023,NA()))</f>
        <v/>
      </c>
      <c r="O549">
        <f>IF($A549="","",$D549+ROW()/1000000)</f>
        <v/>
      </c>
      <c r="P549">
        <f>IF(OR($A549="",games!$H549=""),"",games!$H549)</f>
        <v/>
      </c>
      <c r="Q549">
        <f>IF(OR($A549="",$P549&lt;&gt;"Yes"),"",$D549+ROW()/1000000)</f>
        <v/>
      </c>
      <c r="T549">
        <f>IF(connections!$A549="","",IFERROR(INDEX(games!$B$2:$B$950,MATCH(connections!$A549,games!$A$2:$A$950,0)),""))</f>
        <v/>
      </c>
      <c r="U549">
        <f>IF(connections!$A549="","",IFERROR(INDEX(games!$B$2:$B$950,MATCH(connections!$B549,games!$A$2:$A$950,0)),""))</f>
        <v/>
      </c>
      <c r="V549">
        <f>IF(OR($T549="",$U549=""),"",$U549-$T549)</f>
        <v/>
      </c>
    </row>
    <row r="550">
      <c r="A550">
        <f>IF(games!$A550="","",games!$A550)</f>
        <v/>
      </c>
      <c r="B550">
        <f>IF($A550="","",games!$B550)</f>
        <v/>
      </c>
      <c r="C550">
        <f>IF($A550="","",games!$C550)</f>
        <v/>
      </c>
      <c r="D550">
        <f>IF($A550="","",COUNTIF(connections!$A$2:$A$1400,$A550)+COUNTIF(connections!$B$2:$B$1400,$A550))</f>
        <v/>
      </c>
      <c r="E550">
        <f>IF($A550="","",IFERROR(MATCH($C550,$R$2:$R$5,0),0))</f>
        <v/>
      </c>
      <c r="F550">
        <f>IF($A550="","",MOD(ROW(),34))</f>
        <v/>
      </c>
      <c r="G550">
        <f>IF($A550="",NA(),IF($C550="Action",$B550,NA()))</f>
        <v/>
      </c>
      <c r="H550">
        <f>IF($A550="",NA(),IF($C550="Action",1+$F550*0.023,NA()))</f>
        <v/>
      </c>
      <c r="I550">
        <f>IF($A550="",NA(),IF($C550="Strategy",$B550,NA()))</f>
        <v/>
      </c>
      <c r="J550">
        <f>IF($A550="",NA(),IF($C550="Strategy",2+$F550*0.023,NA()))</f>
        <v/>
      </c>
      <c r="K550">
        <f>IF($A550="",NA(),IF($C550="Deckbuilder",$B550,NA()))</f>
        <v/>
      </c>
      <c r="L550">
        <f>IF($A550="",NA(),IF($C550="Deckbuilder",3+$F550*0.023,NA()))</f>
        <v/>
      </c>
      <c r="M550">
        <f>IF($A550="",NA(),IF($C550="Traditional",$B550,NA()))</f>
        <v/>
      </c>
      <c r="N550">
        <f>IF($A550="",NA(),IF($C550="Traditional",4+$F550*0.023,NA()))</f>
        <v/>
      </c>
      <c r="O550">
        <f>IF($A550="","",$D550+ROW()/1000000)</f>
        <v/>
      </c>
      <c r="P550">
        <f>IF(OR($A550="",games!$H550=""),"",games!$H550)</f>
        <v/>
      </c>
      <c r="Q550">
        <f>IF(OR($A550="",$P550&lt;&gt;"Yes"),"",$D550+ROW()/1000000)</f>
        <v/>
      </c>
      <c r="T550">
        <f>IF(connections!$A550="","",IFERROR(INDEX(games!$B$2:$B$950,MATCH(connections!$A550,games!$A$2:$A$950,0)),""))</f>
        <v/>
      </c>
      <c r="U550">
        <f>IF(connections!$A550="","",IFERROR(INDEX(games!$B$2:$B$950,MATCH(connections!$B550,games!$A$2:$A$950,0)),""))</f>
        <v/>
      </c>
      <c r="V550">
        <f>IF(OR($T550="",$U550=""),"",$U550-$T550)</f>
        <v/>
      </c>
    </row>
    <row r="551">
      <c r="A551">
        <f>IF(games!$A551="","",games!$A551)</f>
        <v/>
      </c>
      <c r="B551">
        <f>IF($A551="","",games!$B551)</f>
        <v/>
      </c>
      <c r="C551">
        <f>IF($A551="","",games!$C551)</f>
        <v/>
      </c>
      <c r="D551">
        <f>IF($A551="","",COUNTIF(connections!$A$2:$A$1400,$A551)+COUNTIF(connections!$B$2:$B$1400,$A551))</f>
        <v/>
      </c>
      <c r="E551">
        <f>IF($A551="","",IFERROR(MATCH($C551,$R$2:$R$5,0),0))</f>
        <v/>
      </c>
      <c r="F551">
        <f>IF($A551="","",MOD(ROW(),34))</f>
        <v/>
      </c>
      <c r="G551">
        <f>IF($A551="",NA(),IF($C551="Action",$B551,NA()))</f>
        <v/>
      </c>
      <c r="H551">
        <f>IF($A551="",NA(),IF($C551="Action",1+$F551*0.023,NA()))</f>
        <v/>
      </c>
      <c r="I551">
        <f>IF($A551="",NA(),IF($C551="Strategy",$B551,NA()))</f>
        <v/>
      </c>
      <c r="J551">
        <f>IF($A551="",NA(),IF($C551="Strategy",2+$F551*0.023,NA()))</f>
        <v/>
      </c>
      <c r="K551">
        <f>IF($A551="",NA(),IF($C551="Deckbuilder",$B551,NA()))</f>
        <v/>
      </c>
      <c r="L551">
        <f>IF($A551="",NA(),IF($C551="Deckbuilder",3+$F551*0.023,NA()))</f>
        <v/>
      </c>
      <c r="M551">
        <f>IF($A551="",NA(),IF($C551="Traditional",$B551,NA()))</f>
        <v/>
      </c>
      <c r="N551">
        <f>IF($A551="",NA(),IF($C551="Traditional",4+$F551*0.023,NA()))</f>
        <v/>
      </c>
      <c r="O551">
        <f>IF($A551="","",$D551+ROW()/1000000)</f>
        <v/>
      </c>
      <c r="P551">
        <f>IF(OR($A551="",games!$H551=""),"",games!$H551)</f>
        <v/>
      </c>
      <c r="Q551">
        <f>IF(OR($A551="",$P551&lt;&gt;"Yes"),"",$D551+ROW()/1000000)</f>
        <v/>
      </c>
      <c r="T551">
        <f>IF(connections!$A551="","",IFERROR(INDEX(games!$B$2:$B$950,MATCH(connections!$A551,games!$A$2:$A$950,0)),""))</f>
        <v/>
      </c>
      <c r="U551">
        <f>IF(connections!$A551="","",IFERROR(INDEX(games!$B$2:$B$950,MATCH(connections!$B551,games!$A$2:$A$950,0)),""))</f>
        <v/>
      </c>
      <c r="V551">
        <f>IF(OR($T551="",$U551=""),"",$U551-$T551)</f>
        <v/>
      </c>
    </row>
    <row r="552">
      <c r="A552">
        <f>IF(games!$A552="","",games!$A552)</f>
        <v/>
      </c>
      <c r="B552">
        <f>IF($A552="","",games!$B552)</f>
        <v/>
      </c>
      <c r="C552">
        <f>IF($A552="","",games!$C552)</f>
        <v/>
      </c>
      <c r="D552">
        <f>IF($A552="","",COUNTIF(connections!$A$2:$A$1400,$A552)+COUNTIF(connections!$B$2:$B$1400,$A552))</f>
        <v/>
      </c>
      <c r="E552">
        <f>IF($A552="","",IFERROR(MATCH($C552,$R$2:$R$5,0),0))</f>
        <v/>
      </c>
      <c r="F552">
        <f>IF($A552="","",MOD(ROW(),34))</f>
        <v/>
      </c>
      <c r="G552">
        <f>IF($A552="",NA(),IF($C552="Action",$B552,NA()))</f>
        <v/>
      </c>
      <c r="H552">
        <f>IF($A552="",NA(),IF($C552="Action",1+$F552*0.023,NA()))</f>
        <v/>
      </c>
      <c r="I552">
        <f>IF($A552="",NA(),IF($C552="Strategy",$B552,NA()))</f>
        <v/>
      </c>
      <c r="J552">
        <f>IF($A552="",NA(),IF($C552="Strategy",2+$F552*0.023,NA()))</f>
        <v/>
      </c>
      <c r="K552">
        <f>IF($A552="",NA(),IF($C552="Deckbuilder",$B552,NA()))</f>
        <v/>
      </c>
      <c r="L552">
        <f>IF($A552="",NA(),IF($C552="Deckbuilder",3+$F552*0.023,NA()))</f>
        <v/>
      </c>
      <c r="M552">
        <f>IF($A552="",NA(),IF($C552="Traditional",$B552,NA()))</f>
        <v/>
      </c>
      <c r="N552">
        <f>IF($A552="",NA(),IF($C552="Traditional",4+$F552*0.023,NA()))</f>
        <v/>
      </c>
      <c r="O552">
        <f>IF($A552="","",$D552+ROW()/1000000)</f>
        <v/>
      </c>
      <c r="P552">
        <f>IF(OR($A552="",games!$H552=""),"",games!$H552)</f>
        <v/>
      </c>
      <c r="Q552">
        <f>IF(OR($A552="",$P552&lt;&gt;"Yes"),"",$D552+ROW()/1000000)</f>
        <v/>
      </c>
      <c r="T552">
        <f>IF(connections!$A552="","",IFERROR(INDEX(games!$B$2:$B$950,MATCH(connections!$A552,games!$A$2:$A$950,0)),""))</f>
        <v/>
      </c>
      <c r="U552">
        <f>IF(connections!$A552="","",IFERROR(INDEX(games!$B$2:$B$950,MATCH(connections!$B552,games!$A$2:$A$950,0)),""))</f>
        <v/>
      </c>
      <c r="V552">
        <f>IF(OR($T552="",$U552=""),"",$U552-$T552)</f>
        <v/>
      </c>
    </row>
    <row r="553">
      <c r="A553">
        <f>IF(games!$A553="","",games!$A553)</f>
        <v/>
      </c>
      <c r="B553">
        <f>IF($A553="","",games!$B553)</f>
        <v/>
      </c>
      <c r="C553">
        <f>IF($A553="","",games!$C553)</f>
        <v/>
      </c>
      <c r="D553">
        <f>IF($A553="","",COUNTIF(connections!$A$2:$A$1400,$A553)+COUNTIF(connections!$B$2:$B$1400,$A553))</f>
        <v/>
      </c>
      <c r="E553">
        <f>IF($A553="","",IFERROR(MATCH($C553,$R$2:$R$5,0),0))</f>
        <v/>
      </c>
      <c r="F553">
        <f>IF($A553="","",MOD(ROW(),34))</f>
        <v/>
      </c>
      <c r="G553">
        <f>IF($A553="",NA(),IF($C553="Action",$B553,NA()))</f>
        <v/>
      </c>
      <c r="H553">
        <f>IF($A553="",NA(),IF($C553="Action",1+$F553*0.023,NA()))</f>
        <v/>
      </c>
      <c r="I553">
        <f>IF($A553="",NA(),IF($C553="Strategy",$B553,NA()))</f>
        <v/>
      </c>
      <c r="J553">
        <f>IF($A553="",NA(),IF($C553="Strategy",2+$F553*0.023,NA()))</f>
        <v/>
      </c>
      <c r="K553">
        <f>IF($A553="",NA(),IF($C553="Deckbuilder",$B553,NA()))</f>
        <v/>
      </c>
      <c r="L553">
        <f>IF($A553="",NA(),IF($C553="Deckbuilder",3+$F553*0.023,NA()))</f>
        <v/>
      </c>
      <c r="M553">
        <f>IF($A553="",NA(),IF($C553="Traditional",$B553,NA()))</f>
        <v/>
      </c>
      <c r="N553">
        <f>IF($A553="",NA(),IF($C553="Traditional",4+$F553*0.023,NA()))</f>
        <v/>
      </c>
      <c r="O553">
        <f>IF($A553="","",$D553+ROW()/1000000)</f>
        <v/>
      </c>
      <c r="P553">
        <f>IF(OR($A553="",games!$H553=""),"",games!$H553)</f>
        <v/>
      </c>
      <c r="Q553">
        <f>IF(OR($A553="",$P553&lt;&gt;"Yes"),"",$D553+ROW()/1000000)</f>
        <v/>
      </c>
      <c r="T553">
        <f>IF(connections!$A553="","",IFERROR(INDEX(games!$B$2:$B$950,MATCH(connections!$A553,games!$A$2:$A$950,0)),""))</f>
        <v/>
      </c>
      <c r="U553">
        <f>IF(connections!$A553="","",IFERROR(INDEX(games!$B$2:$B$950,MATCH(connections!$B553,games!$A$2:$A$950,0)),""))</f>
        <v/>
      </c>
      <c r="V553">
        <f>IF(OR($T553="",$U553=""),"",$U553-$T553)</f>
        <v/>
      </c>
    </row>
    <row r="554">
      <c r="A554">
        <f>IF(games!$A554="","",games!$A554)</f>
        <v/>
      </c>
      <c r="B554">
        <f>IF($A554="","",games!$B554)</f>
        <v/>
      </c>
      <c r="C554">
        <f>IF($A554="","",games!$C554)</f>
        <v/>
      </c>
      <c r="D554">
        <f>IF($A554="","",COUNTIF(connections!$A$2:$A$1400,$A554)+COUNTIF(connections!$B$2:$B$1400,$A554))</f>
        <v/>
      </c>
      <c r="E554">
        <f>IF($A554="","",IFERROR(MATCH($C554,$R$2:$R$5,0),0))</f>
        <v/>
      </c>
      <c r="F554">
        <f>IF($A554="","",MOD(ROW(),34))</f>
        <v/>
      </c>
      <c r="G554">
        <f>IF($A554="",NA(),IF($C554="Action",$B554,NA()))</f>
        <v/>
      </c>
      <c r="H554">
        <f>IF($A554="",NA(),IF($C554="Action",1+$F554*0.023,NA()))</f>
        <v/>
      </c>
      <c r="I554">
        <f>IF($A554="",NA(),IF($C554="Strategy",$B554,NA()))</f>
        <v/>
      </c>
      <c r="J554">
        <f>IF($A554="",NA(),IF($C554="Strategy",2+$F554*0.023,NA()))</f>
        <v/>
      </c>
      <c r="K554">
        <f>IF($A554="",NA(),IF($C554="Deckbuilder",$B554,NA()))</f>
        <v/>
      </c>
      <c r="L554">
        <f>IF($A554="",NA(),IF($C554="Deckbuilder",3+$F554*0.023,NA()))</f>
        <v/>
      </c>
      <c r="M554">
        <f>IF($A554="",NA(),IF($C554="Traditional",$B554,NA()))</f>
        <v/>
      </c>
      <c r="N554">
        <f>IF($A554="",NA(),IF($C554="Traditional",4+$F554*0.023,NA()))</f>
        <v/>
      </c>
      <c r="O554">
        <f>IF($A554="","",$D554+ROW()/1000000)</f>
        <v/>
      </c>
      <c r="P554">
        <f>IF(OR($A554="",games!$H554=""),"",games!$H554)</f>
        <v/>
      </c>
      <c r="Q554">
        <f>IF(OR($A554="",$P554&lt;&gt;"Yes"),"",$D554+ROW()/1000000)</f>
        <v/>
      </c>
      <c r="T554">
        <f>IF(connections!$A554="","",IFERROR(INDEX(games!$B$2:$B$950,MATCH(connections!$A554,games!$A$2:$A$950,0)),""))</f>
        <v/>
      </c>
      <c r="U554">
        <f>IF(connections!$A554="","",IFERROR(INDEX(games!$B$2:$B$950,MATCH(connections!$B554,games!$A$2:$A$950,0)),""))</f>
        <v/>
      </c>
      <c r="V554">
        <f>IF(OR($T554="",$U554=""),"",$U554-$T554)</f>
        <v/>
      </c>
    </row>
    <row r="555">
      <c r="A555">
        <f>IF(games!$A555="","",games!$A555)</f>
        <v/>
      </c>
      <c r="B555">
        <f>IF($A555="","",games!$B555)</f>
        <v/>
      </c>
      <c r="C555">
        <f>IF($A555="","",games!$C555)</f>
        <v/>
      </c>
      <c r="D555">
        <f>IF($A555="","",COUNTIF(connections!$A$2:$A$1400,$A555)+COUNTIF(connections!$B$2:$B$1400,$A555))</f>
        <v/>
      </c>
      <c r="E555">
        <f>IF($A555="","",IFERROR(MATCH($C555,$R$2:$R$5,0),0))</f>
        <v/>
      </c>
      <c r="F555">
        <f>IF($A555="","",MOD(ROW(),34))</f>
        <v/>
      </c>
      <c r="G555">
        <f>IF($A555="",NA(),IF($C555="Action",$B555,NA()))</f>
        <v/>
      </c>
      <c r="H555">
        <f>IF($A555="",NA(),IF($C555="Action",1+$F555*0.023,NA()))</f>
        <v/>
      </c>
      <c r="I555">
        <f>IF($A555="",NA(),IF($C555="Strategy",$B555,NA()))</f>
        <v/>
      </c>
      <c r="J555">
        <f>IF($A555="",NA(),IF($C555="Strategy",2+$F555*0.023,NA()))</f>
        <v/>
      </c>
      <c r="K555">
        <f>IF($A555="",NA(),IF($C555="Deckbuilder",$B555,NA()))</f>
        <v/>
      </c>
      <c r="L555">
        <f>IF($A555="",NA(),IF($C555="Deckbuilder",3+$F555*0.023,NA()))</f>
        <v/>
      </c>
      <c r="M555">
        <f>IF($A555="",NA(),IF($C555="Traditional",$B555,NA()))</f>
        <v/>
      </c>
      <c r="N555">
        <f>IF($A555="",NA(),IF($C555="Traditional",4+$F555*0.023,NA()))</f>
        <v/>
      </c>
      <c r="O555">
        <f>IF($A555="","",$D555+ROW()/1000000)</f>
        <v/>
      </c>
      <c r="P555">
        <f>IF(OR($A555="",games!$H555=""),"",games!$H555)</f>
        <v/>
      </c>
      <c r="Q555">
        <f>IF(OR($A555="",$P555&lt;&gt;"Yes"),"",$D555+ROW()/1000000)</f>
        <v/>
      </c>
      <c r="T555">
        <f>IF(connections!$A555="","",IFERROR(INDEX(games!$B$2:$B$950,MATCH(connections!$A555,games!$A$2:$A$950,0)),""))</f>
        <v/>
      </c>
      <c r="U555">
        <f>IF(connections!$A555="","",IFERROR(INDEX(games!$B$2:$B$950,MATCH(connections!$B555,games!$A$2:$A$950,0)),""))</f>
        <v/>
      </c>
      <c r="V555">
        <f>IF(OR($T555="",$U555=""),"",$U555-$T555)</f>
        <v/>
      </c>
    </row>
    <row r="556">
      <c r="A556">
        <f>IF(games!$A556="","",games!$A556)</f>
        <v/>
      </c>
      <c r="B556">
        <f>IF($A556="","",games!$B556)</f>
        <v/>
      </c>
      <c r="C556">
        <f>IF($A556="","",games!$C556)</f>
        <v/>
      </c>
      <c r="D556">
        <f>IF($A556="","",COUNTIF(connections!$A$2:$A$1400,$A556)+COUNTIF(connections!$B$2:$B$1400,$A556))</f>
        <v/>
      </c>
      <c r="E556">
        <f>IF($A556="","",IFERROR(MATCH($C556,$R$2:$R$5,0),0))</f>
        <v/>
      </c>
      <c r="F556">
        <f>IF($A556="","",MOD(ROW(),34))</f>
        <v/>
      </c>
      <c r="G556">
        <f>IF($A556="",NA(),IF($C556="Action",$B556,NA()))</f>
        <v/>
      </c>
      <c r="H556">
        <f>IF($A556="",NA(),IF($C556="Action",1+$F556*0.023,NA()))</f>
        <v/>
      </c>
      <c r="I556">
        <f>IF($A556="",NA(),IF($C556="Strategy",$B556,NA()))</f>
        <v/>
      </c>
      <c r="J556">
        <f>IF($A556="",NA(),IF($C556="Strategy",2+$F556*0.023,NA()))</f>
        <v/>
      </c>
      <c r="K556">
        <f>IF($A556="",NA(),IF($C556="Deckbuilder",$B556,NA()))</f>
        <v/>
      </c>
      <c r="L556">
        <f>IF($A556="",NA(),IF($C556="Deckbuilder",3+$F556*0.023,NA()))</f>
        <v/>
      </c>
      <c r="M556">
        <f>IF($A556="",NA(),IF($C556="Traditional",$B556,NA()))</f>
        <v/>
      </c>
      <c r="N556">
        <f>IF($A556="",NA(),IF($C556="Traditional",4+$F556*0.023,NA()))</f>
        <v/>
      </c>
      <c r="O556">
        <f>IF($A556="","",$D556+ROW()/1000000)</f>
        <v/>
      </c>
      <c r="P556">
        <f>IF(OR($A556="",games!$H556=""),"",games!$H556)</f>
        <v/>
      </c>
      <c r="Q556">
        <f>IF(OR($A556="",$P556&lt;&gt;"Yes"),"",$D556+ROW()/1000000)</f>
        <v/>
      </c>
      <c r="T556">
        <f>IF(connections!$A556="","",IFERROR(INDEX(games!$B$2:$B$950,MATCH(connections!$A556,games!$A$2:$A$950,0)),""))</f>
        <v/>
      </c>
      <c r="U556">
        <f>IF(connections!$A556="","",IFERROR(INDEX(games!$B$2:$B$950,MATCH(connections!$B556,games!$A$2:$A$950,0)),""))</f>
        <v/>
      </c>
      <c r="V556">
        <f>IF(OR($T556="",$U556=""),"",$U556-$T556)</f>
        <v/>
      </c>
    </row>
    <row r="557">
      <c r="A557">
        <f>IF(games!$A557="","",games!$A557)</f>
        <v/>
      </c>
      <c r="B557">
        <f>IF($A557="","",games!$B557)</f>
        <v/>
      </c>
      <c r="C557">
        <f>IF($A557="","",games!$C557)</f>
        <v/>
      </c>
      <c r="D557">
        <f>IF($A557="","",COUNTIF(connections!$A$2:$A$1400,$A557)+COUNTIF(connections!$B$2:$B$1400,$A557))</f>
        <v/>
      </c>
      <c r="E557">
        <f>IF($A557="","",IFERROR(MATCH($C557,$R$2:$R$5,0),0))</f>
        <v/>
      </c>
      <c r="F557">
        <f>IF($A557="","",MOD(ROW(),34))</f>
        <v/>
      </c>
      <c r="G557">
        <f>IF($A557="",NA(),IF($C557="Action",$B557,NA()))</f>
        <v/>
      </c>
      <c r="H557">
        <f>IF($A557="",NA(),IF($C557="Action",1+$F557*0.023,NA()))</f>
        <v/>
      </c>
      <c r="I557">
        <f>IF($A557="",NA(),IF($C557="Strategy",$B557,NA()))</f>
        <v/>
      </c>
      <c r="J557">
        <f>IF($A557="",NA(),IF($C557="Strategy",2+$F557*0.023,NA()))</f>
        <v/>
      </c>
      <c r="K557">
        <f>IF($A557="",NA(),IF($C557="Deckbuilder",$B557,NA()))</f>
        <v/>
      </c>
      <c r="L557">
        <f>IF($A557="",NA(),IF($C557="Deckbuilder",3+$F557*0.023,NA()))</f>
        <v/>
      </c>
      <c r="M557">
        <f>IF($A557="",NA(),IF($C557="Traditional",$B557,NA()))</f>
        <v/>
      </c>
      <c r="N557">
        <f>IF($A557="",NA(),IF($C557="Traditional",4+$F557*0.023,NA()))</f>
        <v/>
      </c>
      <c r="O557">
        <f>IF($A557="","",$D557+ROW()/1000000)</f>
        <v/>
      </c>
      <c r="P557">
        <f>IF(OR($A557="",games!$H557=""),"",games!$H557)</f>
        <v/>
      </c>
      <c r="Q557">
        <f>IF(OR($A557="",$P557&lt;&gt;"Yes"),"",$D557+ROW()/1000000)</f>
        <v/>
      </c>
      <c r="T557">
        <f>IF(connections!$A557="","",IFERROR(INDEX(games!$B$2:$B$950,MATCH(connections!$A557,games!$A$2:$A$950,0)),""))</f>
        <v/>
      </c>
      <c r="U557">
        <f>IF(connections!$A557="","",IFERROR(INDEX(games!$B$2:$B$950,MATCH(connections!$B557,games!$A$2:$A$950,0)),""))</f>
        <v/>
      </c>
      <c r="V557">
        <f>IF(OR($T557="",$U557=""),"",$U557-$T557)</f>
        <v/>
      </c>
    </row>
    <row r="558">
      <c r="A558">
        <f>IF(games!$A558="","",games!$A558)</f>
        <v/>
      </c>
      <c r="B558">
        <f>IF($A558="","",games!$B558)</f>
        <v/>
      </c>
      <c r="C558">
        <f>IF($A558="","",games!$C558)</f>
        <v/>
      </c>
      <c r="D558">
        <f>IF($A558="","",COUNTIF(connections!$A$2:$A$1400,$A558)+COUNTIF(connections!$B$2:$B$1400,$A558))</f>
        <v/>
      </c>
      <c r="E558">
        <f>IF($A558="","",IFERROR(MATCH($C558,$R$2:$R$5,0),0))</f>
        <v/>
      </c>
      <c r="F558">
        <f>IF($A558="","",MOD(ROW(),34))</f>
        <v/>
      </c>
      <c r="G558">
        <f>IF($A558="",NA(),IF($C558="Action",$B558,NA()))</f>
        <v/>
      </c>
      <c r="H558">
        <f>IF($A558="",NA(),IF($C558="Action",1+$F558*0.023,NA()))</f>
        <v/>
      </c>
      <c r="I558">
        <f>IF($A558="",NA(),IF($C558="Strategy",$B558,NA()))</f>
        <v/>
      </c>
      <c r="J558">
        <f>IF($A558="",NA(),IF($C558="Strategy",2+$F558*0.023,NA()))</f>
        <v/>
      </c>
      <c r="K558">
        <f>IF($A558="",NA(),IF($C558="Deckbuilder",$B558,NA()))</f>
        <v/>
      </c>
      <c r="L558">
        <f>IF($A558="",NA(),IF($C558="Deckbuilder",3+$F558*0.023,NA()))</f>
        <v/>
      </c>
      <c r="M558">
        <f>IF($A558="",NA(),IF($C558="Traditional",$B558,NA()))</f>
        <v/>
      </c>
      <c r="N558">
        <f>IF($A558="",NA(),IF($C558="Traditional",4+$F558*0.023,NA()))</f>
        <v/>
      </c>
      <c r="O558">
        <f>IF($A558="","",$D558+ROW()/1000000)</f>
        <v/>
      </c>
      <c r="P558">
        <f>IF(OR($A558="",games!$H558=""),"",games!$H558)</f>
        <v/>
      </c>
      <c r="Q558">
        <f>IF(OR($A558="",$P558&lt;&gt;"Yes"),"",$D558+ROW()/1000000)</f>
        <v/>
      </c>
      <c r="T558">
        <f>IF(connections!$A558="","",IFERROR(INDEX(games!$B$2:$B$950,MATCH(connections!$A558,games!$A$2:$A$950,0)),""))</f>
        <v/>
      </c>
      <c r="U558">
        <f>IF(connections!$A558="","",IFERROR(INDEX(games!$B$2:$B$950,MATCH(connections!$B558,games!$A$2:$A$950,0)),""))</f>
        <v/>
      </c>
      <c r="V558">
        <f>IF(OR($T558="",$U558=""),"",$U558-$T558)</f>
        <v/>
      </c>
    </row>
    <row r="559">
      <c r="A559">
        <f>IF(games!$A559="","",games!$A559)</f>
        <v/>
      </c>
      <c r="B559">
        <f>IF($A559="","",games!$B559)</f>
        <v/>
      </c>
      <c r="C559">
        <f>IF($A559="","",games!$C559)</f>
        <v/>
      </c>
      <c r="D559">
        <f>IF($A559="","",COUNTIF(connections!$A$2:$A$1400,$A559)+COUNTIF(connections!$B$2:$B$1400,$A559))</f>
        <v/>
      </c>
      <c r="E559">
        <f>IF($A559="","",IFERROR(MATCH($C559,$R$2:$R$5,0),0))</f>
        <v/>
      </c>
      <c r="F559">
        <f>IF($A559="","",MOD(ROW(),34))</f>
        <v/>
      </c>
      <c r="G559">
        <f>IF($A559="",NA(),IF($C559="Action",$B559,NA()))</f>
        <v/>
      </c>
      <c r="H559">
        <f>IF($A559="",NA(),IF($C559="Action",1+$F559*0.023,NA()))</f>
        <v/>
      </c>
      <c r="I559">
        <f>IF($A559="",NA(),IF($C559="Strategy",$B559,NA()))</f>
        <v/>
      </c>
      <c r="J559">
        <f>IF($A559="",NA(),IF($C559="Strategy",2+$F559*0.023,NA()))</f>
        <v/>
      </c>
      <c r="K559">
        <f>IF($A559="",NA(),IF($C559="Deckbuilder",$B559,NA()))</f>
        <v/>
      </c>
      <c r="L559">
        <f>IF($A559="",NA(),IF($C559="Deckbuilder",3+$F559*0.023,NA()))</f>
        <v/>
      </c>
      <c r="M559">
        <f>IF($A559="",NA(),IF($C559="Traditional",$B559,NA()))</f>
        <v/>
      </c>
      <c r="N559">
        <f>IF($A559="",NA(),IF($C559="Traditional",4+$F559*0.023,NA()))</f>
        <v/>
      </c>
      <c r="O559">
        <f>IF($A559="","",$D559+ROW()/1000000)</f>
        <v/>
      </c>
      <c r="P559">
        <f>IF(OR($A559="",games!$H559=""),"",games!$H559)</f>
        <v/>
      </c>
      <c r="Q559">
        <f>IF(OR($A559="",$P559&lt;&gt;"Yes"),"",$D559+ROW()/1000000)</f>
        <v/>
      </c>
      <c r="T559">
        <f>IF(connections!$A559="","",IFERROR(INDEX(games!$B$2:$B$950,MATCH(connections!$A559,games!$A$2:$A$950,0)),""))</f>
        <v/>
      </c>
      <c r="U559">
        <f>IF(connections!$A559="","",IFERROR(INDEX(games!$B$2:$B$950,MATCH(connections!$B559,games!$A$2:$A$950,0)),""))</f>
        <v/>
      </c>
      <c r="V559">
        <f>IF(OR($T559="",$U559=""),"",$U559-$T559)</f>
        <v/>
      </c>
    </row>
    <row r="560">
      <c r="A560">
        <f>IF(games!$A560="","",games!$A560)</f>
        <v/>
      </c>
      <c r="B560">
        <f>IF($A560="","",games!$B560)</f>
        <v/>
      </c>
      <c r="C560">
        <f>IF($A560="","",games!$C560)</f>
        <v/>
      </c>
      <c r="D560">
        <f>IF($A560="","",COUNTIF(connections!$A$2:$A$1400,$A560)+COUNTIF(connections!$B$2:$B$1400,$A560))</f>
        <v/>
      </c>
      <c r="E560">
        <f>IF($A560="","",IFERROR(MATCH($C560,$R$2:$R$5,0),0))</f>
        <v/>
      </c>
      <c r="F560">
        <f>IF($A560="","",MOD(ROW(),34))</f>
        <v/>
      </c>
      <c r="G560">
        <f>IF($A560="",NA(),IF($C560="Action",$B560,NA()))</f>
        <v/>
      </c>
      <c r="H560">
        <f>IF($A560="",NA(),IF($C560="Action",1+$F560*0.023,NA()))</f>
        <v/>
      </c>
      <c r="I560">
        <f>IF($A560="",NA(),IF($C560="Strategy",$B560,NA()))</f>
        <v/>
      </c>
      <c r="J560">
        <f>IF($A560="",NA(),IF($C560="Strategy",2+$F560*0.023,NA()))</f>
        <v/>
      </c>
      <c r="K560">
        <f>IF($A560="",NA(),IF($C560="Deckbuilder",$B560,NA()))</f>
        <v/>
      </c>
      <c r="L560">
        <f>IF($A560="",NA(),IF($C560="Deckbuilder",3+$F560*0.023,NA()))</f>
        <v/>
      </c>
      <c r="M560">
        <f>IF($A560="",NA(),IF($C560="Traditional",$B560,NA()))</f>
        <v/>
      </c>
      <c r="N560">
        <f>IF($A560="",NA(),IF($C560="Traditional",4+$F560*0.023,NA()))</f>
        <v/>
      </c>
      <c r="O560">
        <f>IF($A560="","",$D560+ROW()/1000000)</f>
        <v/>
      </c>
      <c r="P560">
        <f>IF(OR($A560="",games!$H560=""),"",games!$H560)</f>
        <v/>
      </c>
      <c r="Q560">
        <f>IF(OR($A560="",$P560&lt;&gt;"Yes"),"",$D560+ROW()/1000000)</f>
        <v/>
      </c>
      <c r="T560">
        <f>IF(connections!$A560="","",IFERROR(INDEX(games!$B$2:$B$950,MATCH(connections!$A560,games!$A$2:$A$950,0)),""))</f>
        <v/>
      </c>
      <c r="U560">
        <f>IF(connections!$A560="","",IFERROR(INDEX(games!$B$2:$B$950,MATCH(connections!$B560,games!$A$2:$A$950,0)),""))</f>
        <v/>
      </c>
      <c r="V560">
        <f>IF(OR($T560="",$U560=""),"",$U560-$T560)</f>
        <v/>
      </c>
    </row>
    <row r="561">
      <c r="A561">
        <f>IF(games!$A561="","",games!$A561)</f>
        <v/>
      </c>
      <c r="B561">
        <f>IF($A561="","",games!$B561)</f>
        <v/>
      </c>
      <c r="C561">
        <f>IF($A561="","",games!$C561)</f>
        <v/>
      </c>
      <c r="D561">
        <f>IF($A561="","",COUNTIF(connections!$A$2:$A$1400,$A561)+COUNTIF(connections!$B$2:$B$1400,$A561))</f>
        <v/>
      </c>
      <c r="E561">
        <f>IF($A561="","",IFERROR(MATCH($C561,$R$2:$R$5,0),0))</f>
        <v/>
      </c>
      <c r="F561">
        <f>IF($A561="","",MOD(ROW(),34))</f>
        <v/>
      </c>
      <c r="G561">
        <f>IF($A561="",NA(),IF($C561="Action",$B561,NA()))</f>
        <v/>
      </c>
      <c r="H561">
        <f>IF($A561="",NA(),IF($C561="Action",1+$F561*0.023,NA()))</f>
        <v/>
      </c>
      <c r="I561">
        <f>IF($A561="",NA(),IF($C561="Strategy",$B561,NA()))</f>
        <v/>
      </c>
      <c r="J561">
        <f>IF($A561="",NA(),IF($C561="Strategy",2+$F561*0.023,NA()))</f>
        <v/>
      </c>
      <c r="K561">
        <f>IF($A561="",NA(),IF($C561="Deckbuilder",$B561,NA()))</f>
        <v/>
      </c>
      <c r="L561">
        <f>IF($A561="",NA(),IF($C561="Deckbuilder",3+$F561*0.023,NA()))</f>
        <v/>
      </c>
      <c r="M561">
        <f>IF($A561="",NA(),IF($C561="Traditional",$B561,NA()))</f>
        <v/>
      </c>
      <c r="N561">
        <f>IF($A561="",NA(),IF($C561="Traditional",4+$F561*0.023,NA()))</f>
        <v/>
      </c>
      <c r="O561">
        <f>IF($A561="","",$D561+ROW()/1000000)</f>
        <v/>
      </c>
      <c r="P561">
        <f>IF(OR($A561="",games!$H561=""),"",games!$H561)</f>
        <v/>
      </c>
      <c r="Q561">
        <f>IF(OR($A561="",$P561&lt;&gt;"Yes"),"",$D561+ROW()/1000000)</f>
        <v/>
      </c>
      <c r="T561">
        <f>IF(connections!$A561="","",IFERROR(INDEX(games!$B$2:$B$950,MATCH(connections!$A561,games!$A$2:$A$950,0)),""))</f>
        <v/>
      </c>
      <c r="U561">
        <f>IF(connections!$A561="","",IFERROR(INDEX(games!$B$2:$B$950,MATCH(connections!$B561,games!$A$2:$A$950,0)),""))</f>
        <v/>
      </c>
      <c r="V561">
        <f>IF(OR($T561="",$U561=""),"",$U561-$T561)</f>
        <v/>
      </c>
    </row>
    <row r="562">
      <c r="A562">
        <f>IF(games!$A562="","",games!$A562)</f>
        <v/>
      </c>
      <c r="B562">
        <f>IF($A562="","",games!$B562)</f>
        <v/>
      </c>
      <c r="C562">
        <f>IF($A562="","",games!$C562)</f>
        <v/>
      </c>
      <c r="D562">
        <f>IF($A562="","",COUNTIF(connections!$A$2:$A$1400,$A562)+COUNTIF(connections!$B$2:$B$1400,$A562))</f>
        <v/>
      </c>
      <c r="E562">
        <f>IF($A562="","",IFERROR(MATCH($C562,$R$2:$R$5,0),0))</f>
        <v/>
      </c>
      <c r="F562">
        <f>IF($A562="","",MOD(ROW(),34))</f>
        <v/>
      </c>
      <c r="G562">
        <f>IF($A562="",NA(),IF($C562="Action",$B562,NA()))</f>
        <v/>
      </c>
      <c r="H562">
        <f>IF($A562="",NA(),IF($C562="Action",1+$F562*0.023,NA()))</f>
        <v/>
      </c>
      <c r="I562">
        <f>IF($A562="",NA(),IF($C562="Strategy",$B562,NA()))</f>
        <v/>
      </c>
      <c r="J562">
        <f>IF($A562="",NA(),IF($C562="Strategy",2+$F562*0.023,NA()))</f>
        <v/>
      </c>
      <c r="K562">
        <f>IF($A562="",NA(),IF($C562="Deckbuilder",$B562,NA()))</f>
        <v/>
      </c>
      <c r="L562">
        <f>IF($A562="",NA(),IF($C562="Deckbuilder",3+$F562*0.023,NA()))</f>
        <v/>
      </c>
      <c r="M562">
        <f>IF($A562="",NA(),IF($C562="Traditional",$B562,NA()))</f>
        <v/>
      </c>
      <c r="N562">
        <f>IF($A562="",NA(),IF($C562="Traditional",4+$F562*0.023,NA()))</f>
        <v/>
      </c>
      <c r="O562">
        <f>IF($A562="","",$D562+ROW()/1000000)</f>
        <v/>
      </c>
      <c r="P562">
        <f>IF(OR($A562="",games!$H562=""),"",games!$H562)</f>
        <v/>
      </c>
      <c r="Q562">
        <f>IF(OR($A562="",$P562&lt;&gt;"Yes"),"",$D562+ROW()/1000000)</f>
        <v/>
      </c>
      <c r="T562">
        <f>IF(connections!$A562="","",IFERROR(INDEX(games!$B$2:$B$950,MATCH(connections!$A562,games!$A$2:$A$950,0)),""))</f>
        <v/>
      </c>
      <c r="U562">
        <f>IF(connections!$A562="","",IFERROR(INDEX(games!$B$2:$B$950,MATCH(connections!$B562,games!$A$2:$A$950,0)),""))</f>
        <v/>
      </c>
      <c r="V562">
        <f>IF(OR($T562="",$U562=""),"",$U562-$T562)</f>
        <v/>
      </c>
    </row>
    <row r="563">
      <c r="A563">
        <f>IF(games!$A563="","",games!$A563)</f>
        <v/>
      </c>
      <c r="B563">
        <f>IF($A563="","",games!$B563)</f>
        <v/>
      </c>
      <c r="C563">
        <f>IF($A563="","",games!$C563)</f>
        <v/>
      </c>
      <c r="D563">
        <f>IF($A563="","",COUNTIF(connections!$A$2:$A$1400,$A563)+COUNTIF(connections!$B$2:$B$1400,$A563))</f>
        <v/>
      </c>
      <c r="E563">
        <f>IF($A563="","",IFERROR(MATCH($C563,$R$2:$R$5,0),0))</f>
        <v/>
      </c>
      <c r="F563">
        <f>IF($A563="","",MOD(ROW(),34))</f>
        <v/>
      </c>
      <c r="G563">
        <f>IF($A563="",NA(),IF($C563="Action",$B563,NA()))</f>
        <v/>
      </c>
      <c r="H563">
        <f>IF($A563="",NA(),IF($C563="Action",1+$F563*0.023,NA()))</f>
        <v/>
      </c>
      <c r="I563">
        <f>IF($A563="",NA(),IF($C563="Strategy",$B563,NA()))</f>
        <v/>
      </c>
      <c r="J563">
        <f>IF($A563="",NA(),IF($C563="Strategy",2+$F563*0.023,NA()))</f>
        <v/>
      </c>
      <c r="K563">
        <f>IF($A563="",NA(),IF($C563="Deckbuilder",$B563,NA()))</f>
        <v/>
      </c>
      <c r="L563">
        <f>IF($A563="",NA(),IF($C563="Deckbuilder",3+$F563*0.023,NA()))</f>
        <v/>
      </c>
      <c r="M563">
        <f>IF($A563="",NA(),IF($C563="Traditional",$B563,NA()))</f>
        <v/>
      </c>
      <c r="N563">
        <f>IF($A563="",NA(),IF($C563="Traditional",4+$F563*0.023,NA()))</f>
        <v/>
      </c>
      <c r="O563">
        <f>IF($A563="","",$D563+ROW()/1000000)</f>
        <v/>
      </c>
      <c r="P563">
        <f>IF(OR($A563="",games!$H563=""),"",games!$H563)</f>
        <v/>
      </c>
      <c r="Q563">
        <f>IF(OR($A563="",$P563&lt;&gt;"Yes"),"",$D563+ROW()/1000000)</f>
        <v/>
      </c>
      <c r="T563">
        <f>IF(connections!$A563="","",IFERROR(INDEX(games!$B$2:$B$950,MATCH(connections!$A563,games!$A$2:$A$950,0)),""))</f>
        <v/>
      </c>
      <c r="U563">
        <f>IF(connections!$A563="","",IFERROR(INDEX(games!$B$2:$B$950,MATCH(connections!$B563,games!$A$2:$A$950,0)),""))</f>
        <v/>
      </c>
      <c r="V563">
        <f>IF(OR($T563="",$U563=""),"",$U563-$T563)</f>
        <v/>
      </c>
    </row>
    <row r="564">
      <c r="A564">
        <f>IF(games!$A564="","",games!$A564)</f>
        <v/>
      </c>
      <c r="B564">
        <f>IF($A564="","",games!$B564)</f>
        <v/>
      </c>
      <c r="C564">
        <f>IF($A564="","",games!$C564)</f>
        <v/>
      </c>
      <c r="D564">
        <f>IF($A564="","",COUNTIF(connections!$A$2:$A$1400,$A564)+COUNTIF(connections!$B$2:$B$1400,$A564))</f>
        <v/>
      </c>
      <c r="E564">
        <f>IF($A564="","",IFERROR(MATCH($C564,$R$2:$R$5,0),0))</f>
        <v/>
      </c>
      <c r="F564">
        <f>IF($A564="","",MOD(ROW(),34))</f>
        <v/>
      </c>
      <c r="G564">
        <f>IF($A564="",NA(),IF($C564="Action",$B564,NA()))</f>
        <v/>
      </c>
      <c r="H564">
        <f>IF($A564="",NA(),IF($C564="Action",1+$F564*0.023,NA()))</f>
        <v/>
      </c>
      <c r="I564">
        <f>IF($A564="",NA(),IF($C564="Strategy",$B564,NA()))</f>
        <v/>
      </c>
      <c r="J564">
        <f>IF($A564="",NA(),IF($C564="Strategy",2+$F564*0.023,NA()))</f>
        <v/>
      </c>
      <c r="K564">
        <f>IF($A564="",NA(),IF($C564="Deckbuilder",$B564,NA()))</f>
        <v/>
      </c>
      <c r="L564">
        <f>IF($A564="",NA(),IF($C564="Deckbuilder",3+$F564*0.023,NA()))</f>
        <v/>
      </c>
      <c r="M564">
        <f>IF($A564="",NA(),IF($C564="Traditional",$B564,NA()))</f>
        <v/>
      </c>
      <c r="N564">
        <f>IF($A564="",NA(),IF($C564="Traditional",4+$F564*0.023,NA()))</f>
        <v/>
      </c>
      <c r="O564">
        <f>IF($A564="","",$D564+ROW()/1000000)</f>
        <v/>
      </c>
      <c r="P564">
        <f>IF(OR($A564="",games!$H564=""),"",games!$H564)</f>
        <v/>
      </c>
      <c r="Q564">
        <f>IF(OR($A564="",$P564&lt;&gt;"Yes"),"",$D564+ROW()/1000000)</f>
        <v/>
      </c>
      <c r="T564">
        <f>IF(connections!$A564="","",IFERROR(INDEX(games!$B$2:$B$950,MATCH(connections!$A564,games!$A$2:$A$950,0)),""))</f>
        <v/>
      </c>
      <c r="U564">
        <f>IF(connections!$A564="","",IFERROR(INDEX(games!$B$2:$B$950,MATCH(connections!$B564,games!$A$2:$A$950,0)),""))</f>
        <v/>
      </c>
      <c r="V564">
        <f>IF(OR($T564="",$U564=""),"",$U564-$T564)</f>
        <v/>
      </c>
    </row>
    <row r="565">
      <c r="A565">
        <f>IF(games!$A565="","",games!$A565)</f>
        <v/>
      </c>
      <c r="B565">
        <f>IF($A565="","",games!$B565)</f>
        <v/>
      </c>
      <c r="C565">
        <f>IF($A565="","",games!$C565)</f>
        <v/>
      </c>
      <c r="D565">
        <f>IF($A565="","",COUNTIF(connections!$A$2:$A$1400,$A565)+COUNTIF(connections!$B$2:$B$1400,$A565))</f>
        <v/>
      </c>
      <c r="E565">
        <f>IF($A565="","",IFERROR(MATCH($C565,$R$2:$R$5,0),0))</f>
        <v/>
      </c>
      <c r="F565">
        <f>IF($A565="","",MOD(ROW(),34))</f>
        <v/>
      </c>
      <c r="G565">
        <f>IF($A565="",NA(),IF($C565="Action",$B565,NA()))</f>
        <v/>
      </c>
      <c r="H565">
        <f>IF($A565="",NA(),IF($C565="Action",1+$F565*0.023,NA()))</f>
        <v/>
      </c>
      <c r="I565">
        <f>IF($A565="",NA(),IF($C565="Strategy",$B565,NA()))</f>
        <v/>
      </c>
      <c r="J565">
        <f>IF($A565="",NA(),IF($C565="Strategy",2+$F565*0.023,NA()))</f>
        <v/>
      </c>
      <c r="K565">
        <f>IF($A565="",NA(),IF($C565="Deckbuilder",$B565,NA()))</f>
        <v/>
      </c>
      <c r="L565">
        <f>IF($A565="",NA(),IF($C565="Deckbuilder",3+$F565*0.023,NA()))</f>
        <v/>
      </c>
      <c r="M565">
        <f>IF($A565="",NA(),IF($C565="Traditional",$B565,NA()))</f>
        <v/>
      </c>
      <c r="N565">
        <f>IF($A565="",NA(),IF($C565="Traditional",4+$F565*0.023,NA()))</f>
        <v/>
      </c>
      <c r="O565">
        <f>IF($A565="","",$D565+ROW()/1000000)</f>
        <v/>
      </c>
      <c r="P565">
        <f>IF(OR($A565="",games!$H565=""),"",games!$H565)</f>
        <v/>
      </c>
      <c r="Q565">
        <f>IF(OR($A565="",$P565&lt;&gt;"Yes"),"",$D565+ROW()/1000000)</f>
        <v/>
      </c>
      <c r="T565">
        <f>IF(connections!$A565="","",IFERROR(INDEX(games!$B$2:$B$950,MATCH(connections!$A565,games!$A$2:$A$950,0)),""))</f>
        <v/>
      </c>
      <c r="U565">
        <f>IF(connections!$A565="","",IFERROR(INDEX(games!$B$2:$B$950,MATCH(connections!$B565,games!$A$2:$A$950,0)),""))</f>
        <v/>
      </c>
      <c r="V565">
        <f>IF(OR($T565="",$U565=""),"",$U565-$T565)</f>
        <v/>
      </c>
    </row>
    <row r="566">
      <c r="A566">
        <f>IF(games!$A566="","",games!$A566)</f>
        <v/>
      </c>
      <c r="B566">
        <f>IF($A566="","",games!$B566)</f>
        <v/>
      </c>
      <c r="C566">
        <f>IF($A566="","",games!$C566)</f>
        <v/>
      </c>
      <c r="D566">
        <f>IF($A566="","",COUNTIF(connections!$A$2:$A$1400,$A566)+COUNTIF(connections!$B$2:$B$1400,$A566))</f>
        <v/>
      </c>
      <c r="E566">
        <f>IF($A566="","",IFERROR(MATCH($C566,$R$2:$R$5,0),0))</f>
        <v/>
      </c>
      <c r="F566">
        <f>IF($A566="","",MOD(ROW(),34))</f>
        <v/>
      </c>
      <c r="G566">
        <f>IF($A566="",NA(),IF($C566="Action",$B566,NA()))</f>
        <v/>
      </c>
      <c r="H566">
        <f>IF($A566="",NA(),IF($C566="Action",1+$F566*0.023,NA()))</f>
        <v/>
      </c>
      <c r="I566">
        <f>IF($A566="",NA(),IF($C566="Strategy",$B566,NA()))</f>
        <v/>
      </c>
      <c r="J566">
        <f>IF($A566="",NA(),IF($C566="Strategy",2+$F566*0.023,NA()))</f>
        <v/>
      </c>
      <c r="K566">
        <f>IF($A566="",NA(),IF($C566="Deckbuilder",$B566,NA()))</f>
        <v/>
      </c>
      <c r="L566">
        <f>IF($A566="",NA(),IF($C566="Deckbuilder",3+$F566*0.023,NA()))</f>
        <v/>
      </c>
      <c r="M566">
        <f>IF($A566="",NA(),IF($C566="Traditional",$B566,NA()))</f>
        <v/>
      </c>
      <c r="N566">
        <f>IF($A566="",NA(),IF($C566="Traditional",4+$F566*0.023,NA()))</f>
        <v/>
      </c>
      <c r="O566">
        <f>IF($A566="","",$D566+ROW()/1000000)</f>
        <v/>
      </c>
      <c r="P566">
        <f>IF(OR($A566="",games!$H566=""),"",games!$H566)</f>
        <v/>
      </c>
      <c r="Q566">
        <f>IF(OR($A566="",$P566&lt;&gt;"Yes"),"",$D566+ROW()/1000000)</f>
        <v/>
      </c>
      <c r="T566">
        <f>IF(connections!$A566="","",IFERROR(INDEX(games!$B$2:$B$950,MATCH(connections!$A566,games!$A$2:$A$950,0)),""))</f>
        <v/>
      </c>
      <c r="U566">
        <f>IF(connections!$A566="","",IFERROR(INDEX(games!$B$2:$B$950,MATCH(connections!$B566,games!$A$2:$A$950,0)),""))</f>
        <v/>
      </c>
      <c r="V566">
        <f>IF(OR($T566="",$U566=""),"",$U566-$T566)</f>
        <v/>
      </c>
    </row>
    <row r="567">
      <c r="A567">
        <f>IF(games!$A567="","",games!$A567)</f>
        <v/>
      </c>
      <c r="B567">
        <f>IF($A567="","",games!$B567)</f>
        <v/>
      </c>
      <c r="C567">
        <f>IF($A567="","",games!$C567)</f>
        <v/>
      </c>
      <c r="D567">
        <f>IF($A567="","",COUNTIF(connections!$A$2:$A$1400,$A567)+COUNTIF(connections!$B$2:$B$1400,$A567))</f>
        <v/>
      </c>
      <c r="E567">
        <f>IF($A567="","",IFERROR(MATCH($C567,$R$2:$R$5,0),0))</f>
        <v/>
      </c>
      <c r="F567">
        <f>IF($A567="","",MOD(ROW(),34))</f>
        <v/>
      </c>
      <c r="G567">
        <f>IF($A567="",NA(),IF($C567="Action",$B567,NA()))</f>
        <v/>
      </c>
      <c r="H567">
        <f>IF($A567="",NA(),IF($C567="Action",1+$F567*0.023,NA()))</f>
        <v/>
      </c>
      <c r="I567">
        <f>IF($A567="",NA(),IF($C567="Strategy",$B567,NA()))</f>
        <v/>
      </c>
      <c r="J567">
        <f>IF($A567="",NA(),IF($C567="Strategy",2+$F567*0.023,NA()))</f>
        <v/>
      </c>
      <c r="K567">
        <f>IF($A567="",NA(),IF($C567="Deckbuilder",$B567,NA()))</f>
        <v/>
      </c>
      <c r="L567">
        <f>IF($A567="",NA(),IF($C567="Deckbuilder",3+$F567*0.023,NA()))</f>
        <v/>
      </c>
      <c r="M567">
        <f>IF($A567="",NA(),IF($C567="Traditional",$B567,NA()))</f>
        <v/>
      </c>
      <c r="N567">
        <f>IF($A567="",NA(),IF($C567="Traditional",4+$F567*0.023,NA()))</f>
        <v/>
      </c>
      <c r="O567">
        <f>IF($A567="","",$D567+ROW()/1000000)</f>
        <v/>
      </c>
      <c r="P567">
        <f>IF(OR($A567="",games!$H567=""),"",games!$H567)</f>
        <v/>
      </c>
      <c r="Q567">
        <f>IF(OR($A567="",$P567&lt;&gt;"Yes"),"",$D567+ROW()/1000000)</f>
        <v/>
      </c>
      <c r="T567">
        <f>IF(connections!$A567="","",IFERROR(INDEX(games!$B$2:$B$950,MATCH(connections!$A567,games!$A$2:$A$950,0)),""))</f>
        <v/>
      </c>
      <c r="U567">
        <f>IF(connections!$A567="","",IFERROR(INDEX(games!$B$2:$B$950,MATCH(connections!$B567,games!$A$2:$A$950,0)),""))</f>
        <v/>
      </c>
      <c r="V567">
        <f>IF(OR($T567="",$U567=""),"",$U567-$T567)</f>
        <v/>
      </c>
    </row>
    <row r="568">
      <c r="A568">
        <f>IF(games!$A568="","",games!$A568)</f>
        <v/>
      </c>
      <c r="B568">
        <f>IF($A568="","",games!$B568)</f>
        <v/>
      </c>
      <c r="C568">
        <f>IF($A568="","",games!$C568)</f>
        <v/>
      </c>
      <c r="D568">
        <f>IF($A568="","",COUNTIF(connections!$A$2:$A$1400,$A568)+COUNTIF(connections!$B$2:$B$1400,$A568))</f>
        <v/>
      </c>
      <c r="E568">
        <f>IF($A568="","",IFERROR(MATCH($C568,$R$2:$R$5,0),0))</f>
        <v/>
      </c>
      <c r="F568">
        <f>IF($A568="","",MOD(ROW(),34))</f>
        <v/>
      </c>
      <c r="G568">
        <f>IF($A568="",NA(),IF($C568="Action",$B568,NA()))</f>
        <v/>
      </c>
      <c r="H568">
        <f>IF($A568="",NA(),IF($C568="Action",1+$F568*0.023,NA()))</f>
        <v/>
      </c>
      <c r="I568">
        <f>IF($A568="",NA(),IF($C568="Strategy",$B568,NA()))</f>
        <v/>
      </c>
      <c r="J568">
        <f>IF($A568="",NA(),IF($C568="Strategy",2+$F568*0.023,NA()))</f>
        <v/>
      </c>
      <c r="K568">
        <f>IF($A568="",NA(),IF($C568="Deckbuilder",$B568,NA()))</f>
        <v/>
      </c>
      <c r="L568">
        <f>IF($A568="",NA(),IF($C568="Deckbuilder",3+$F568*0.023,NA()))</f>
        <v/>
      </c>
      <c r="M568">
        <f>IF($A568="",NA(),IF($C568="Traditional",$B568,NA()))</f>
        <v/>
      </c>
      <c r="N568">
        <f>IF($A568="",NA(),IF($C568="Traditional",4+$F568*0.023,NA()))</f>
        <v/>
      </c>
      <c r="O568">
        <f>IF($A568="","",$D568+ROW()/1000000)</f>
        <v/>
      </c>
      <c r="P568">
        <f>IF(OR($A568="",games!$H568=""),"",games!$H568)</f>
        <v/>
      </c>
      <c r="Q568">
        <f>IF(OR($A568="",$P568&lt;&gt;"Yes"),"",$D568+ROW()/1000000)</f>
        <v/>
      </c>
      <c r="T568">
        <f>IF(connections!$A568="","",IFERROR(INDEX(games!$B$2:$B$950,MATCH(connections!$A568,games!$A$2:$A$950,0)),""))</f>
        <v/>
      </c>
      <c r="U568">
        <f>IF(connections!$A568="","",IFERROR(INDEX(games!$B$2:$B$950,MATCH(connections!$B568,games!$A$2:$A$950,0)),""))</f>
        <v/>
      </c>
      <c r="V568">
        <f>IF(OR($T568="",$U568=""),"",$U568-$T568)</f>
        <v/>
      </c>
    </row>
    <row r="569">
      <c r="A569">
        <f>IF(games!$A569="","",games!$A569)</f>
        <v/>
      </c>
      <c r="B569">
        <f>IF($A569="","",games!$B569)</f>
        <v/>
      </c>
      <c r="C569">
        <f>IF($A569="","",games!$C569)</f>
        <v/>
      </c>
      <c r="D569">
        <f>IF($A569="","",COUNTIF(connections!$A$2:$A$1400,$A569)+COUNTIF(connections!$B$2:$B$1400,$A569))</f>
        <v/>
      </c>
      <c r="E569">
        <f>IF($A569="","",IFERROR(MATCH($C569,$R$2:$R$5,0),0))</f>
        <v/>
      </c>
      <c r="F569">
        <f>IF($A569="","",MOD(ROW(),34))</f>
        <v/>
      </c>
      <c r="G569">
        <f>IF($A569="",NA(),IF($C569="Action",$B569,NA()))</f>
        <v/>
      </c>
      <c r="H569">
        <f>IF($A569="",NA(),IF($C569="Action",1+$F569*0.023,NA()))</f>
        <v/>
      </c>
      <c r="I569">
        <f>IF($A569="",NA(),IF($C569="Strategy",$B569,NA()))</f>
        <v/>
      </c>
      <c r="J569">
        <f>IF($A569="",NA(),IF($C569="Strategy",2+$F569*0.023,NA()))</f>
        <v/>
      </c>
      <c r="K569">
        <f>IF($A569="",NA(),IF($C569="Deckbuilder",$B569,NA()))</f>
        <v/>
      </c>
      <c r="L569">
        <f>IF($A569="",NA(),IF($C569="Deckbuilder",3+$F569*0.023,NA()))</f>
        <v/>
      </c>
      <c r="M569">
        <f>IF($A569="",NA(),IF($C569="Traditional",$B569,NA()))</f>
        <v/>
      </c>
      <c r="N569">
        <f>IF($A569="",NA(),IF($C569="Traditional",4+$F569*0.023,NA()))</f>
        <v/>
      </c>
      <c r="O569">
        <f>IF($A569="","",$D569+ROW()/1000000)</f>
        <v/>
      </c>
      <c r="P569">
        <f>IF(OR($A569="",games!$H569=""),"",games!$H569)</f>
        <v/>
      </c>
      <c r="Q569">
        <f>IF(OR($A569="",$P569&lt;&gt;"Yes"),"",$D569+ROW()/1000000)</f>
        <v/>
      </c>
      <c r="T569">
        <f>IF(connections!$A569="","",IFERROR(INDEX(games!$B$2:$B$950,MATCH(connections!$A569,games!$A$2:$A$950,0)),""))</f>
        <v/>
      </c>
      <c r="U569">
        <f>IF(connections!$A569="","",IFERROR(INDEX(games!$B$2:$B$950,MATCH(connections!$B569,games!$A$2:$A$950,0)),""))</f>
        <v/>
      </c>
      <c r="V569">
        <f>IF(OR($T569="",$U569=""),"",$U569-$T569)</f>
        <v/>
      </c>
    </row>
    <row r="570">
      <c r="A570">
        <f>IF(games!$A570="","",games!$A570)</f>
        <v/>
      </c>
      <c r="B570">
        <f>IF($A570="","",games!$B570)</f>
        <v/>
      </c>
      <c r="C570">
        <f>IF($A570="","",games!$C570)</f>
        <v/>
      </c>
      <c r="D570">
        <f>IF($A570="","",COUNTIF(connections!$A$2:$A$1400,$A570)+COUNTIF(connections!$B$2:$B$1400,$A570))</f>
        <v/>
      </c>
      <c r="E570">
        <f>IF($A570="","",IFERROR(MATCH($C570,$R$2:$R$5,0),0))</f>
        <v/>
      </c>
      <c r="F570">
        <f>IF($A570="","",MOD(ROW(),34))</f>
        <v/>
      </c>
      <c r="G570">
        <f>IF($A570="",NA(),IF($C570="Action",$B570,NA()))</f>
        <v/>
      </c>
      <c r="H570">
        <f>IF($A570="",NA(),IF($C570="Action",1+$F570*0.023,NA()))</f>
        <v/>
      </c>
      <c r="I570">
        <f>IF($A570="",NA(),IF($C570="Strategy",$B570,NA()))</f>
        <v/>
      </c>
      <c r="J570">
        <f>IF($A570="",NA(),IF($C570="Strategy",2+$F570*0.023,NA()))</f>
        <v/>
      </c>
      <c r="K570">
        <f>IF($A570="",NA(),IF($C570="Deckbuilder",$B570,NA()))</f>
        <v/>
      </c>
      <c r="L570">
        <f>IF($A570="",NA(),IF($C570="Deckbuilder",3+$F570*0.023,NA()))</f>
        <v/>
      </c>
      <c r="M570">
        <f>IF($A570="",NA(),IF($C570="Traditional",$B570,NA()))</f>
        <v/>
      </c>
      <c r="N570">
        <f>IF($A570="",NA(),IF($C570="Traditional",4+$F570*0.023,NA()))</f>
        <v/>
      </c>
      <c r="O570">
        <f>IF($A570="","",$D570+ROW()/1000000)</f>
        <v/>
      </c>
      <c r="P570">
        <f>IF(OR($A570="",games!$H570=""),"",games!$H570)</f>
        <v/>
      </c>
      <c r="Q570">
        <f>IF(OR($A570="",$P570&lt;&gt;"Yes"),"",$D570+ROW()/1000000)</f>
        <v/>
      </c>
      <c r="T570">
        <f>IF(connections!$A570="","",IFERROR(INDEX(games!$B$2:$B$950,MATCH(connections!$A570,games!$A$2:$A$950,0)),""))</f>
        <v/>
      </c>
      <c r="U570">
        <f>IF(connections!$A570="","",IFERROR(INDEX(games!$B$2:$B$950,MATCH(connections!$B570,games!$A$2:$A$950,0)),""))</f>
        <v/>
      </c>
      <c r="V570">
        <f>IF(OR($T570="",$U570=""),"",$U570-$T570)</f>
        <v/>
      </c>
    </row>
    <row r="571">
      <c r="A571">
        <f>IF(games!$A571="","",games!$A571)</f>
        <v/>
      </c>
      <c r="B571">
        <f>IF($A571="","",games!$B571)</f>
        <v/>
      </c>
      <c r="C571">
        <f>IF($A571="","",games!$C571)</f>
        <v/>
      </c>
      <c r="D571">
        <f>IF($A571="","",COUNTIF(connections!$A$2:$A$1400,$A571)+COUNTIF(connections!$B$2:$B$1400,$A571))</f>
        <v/>
      </c>
      <c r="E571">
        <f>IF($A571="","",IFERROR(MATCH($C571,$R$2:$R$5,0),0))</f>
        <v/>
      </c>
      <c r="F571">
        <f>IF($A571="","",MOD(ROW(),34))</f>
        <v/>
      </c>
      <c r="G571">
        <f>IF($A571="",NA(),IF($C571="Action",$B571,NA()))</f>
        <v/>
      </c>
      <c r="H571">
        <f>IF($A571="",NA(),IF($C571="Action",1+$F571*0.023,NA()))</f>
        <v/>
      </c>
      <c r="I571">
        <f>IF($A571="",NA(),IF($C571="Strategy",$B571,NA()))</f>
        <v/>
      </c>
      <c r="J571">
        <f>IF($A571="",NA(),IF($C571="Strategy",2+$F571*0.023,NA()))</f>
        <v/>
      </c>
      <c r="K571">
        <f>IF($A571="",NA(),IF($C571="Deckbuilder",$B571,NA()))</f>
        <v/>
      </c>
      <c r="L571">
        <f>IF($A571="",NA(),IF($C571="Deckbuilder",3+$F571*0.023,NA()))</f>
        <v/>
      </c>
      <c r="M571">
        <f>IF($A571="",NA(),IF($C571="Traditional",$B571,NA()))</f>
        <v/>
      </c>
      <c r="N571">
        <f>IF($A571="",NA(),IF($C571="Traditional",4+$F571*0.023,NA()))</f>
        <v/>
      </c>
      <c r="O571">
        <f>IF($A571="","",$D571+ROW()/1000000)</f>
        <v/>
      </c>
      <c r="P571">
        <f>IF(OR($A571="",games!$H571=""),"",games!$H571)</f>
        <v/>
      </c>
      <c r="Q571">
        <f>IF(OR($A571="",$P571&lt;&gt;"Yes"),"",$D571+ROW()/1000000)</f>
        <v/>
      </c>
      <c r="T571">
        <f>IF(connections!$A571="","",IFERROR(INDEX(games!$B$2:$B$950,MATCH(connections!$A571,games!$A$2:$A$950,0)),""))</f>
        <v/>
      </c>
      <c r="U571">
        <f>IF(connections!$A571="","",IFERROR(INDEX(games!$B$2:$B$950,MATCH(connections!$B571,games!$A$2:$A$950,0)),""))</f>
        <v/>
      </c>
      <c r="V571">
        <f>IF(OR($T571="",$U571=""),"",$U571-$T571)</f>
        <v/>
      </c>
    </row>
    <row r="572">
      <c r="A572">
        <f>IF(games!$A572="","",games!$A572)</f>
        <v/>
      </c>
      <c r="B572">
        <f>IF($A572="","",games!$B572)</f>
        <v/>
      </c>
      <c r="C572">
        <f>IF($A572="","",games!$C572)</f>
        <v/>
      </c>
      <c r="D572">
        <f>IF($A572="","",COUNTIF(connections!$A$2:$A$1400,$A572)+COUNTIF(connections!$B$2:$B$1400,$A572))</f>
        <v/>
      </c>
      <c r="E572">
        <f>IF($A572="","",IFERROR(MATCH($C572,$R$2:$R$5,0),0))</f>
        <v/>
      </c>
      <c r="F572">
        <f>IF($A572="","",MOD(ROW(),34))</f>
        <v/>
      </c>
      <c r="G572">
        <f>IF($A572="",NA(),IF($C572="Action",$B572,NA()))</f>
        <v/>
      </c>
      <c r="H572">
        <f>IF($A572="",NA(),IF($C572="Action",1+$F572*0.023,NA()))</f>
        <v/>
      </c>
      <c r="I572">
        <f>IF($A572="",NA(),IF($C572="Strategy",$B572,NA()))</f>
        <v/>
      </c>
      <c r="J572">
        <f>IF($A572="",NA(),IF($C572="Strategy",2+$F572*0.023,NA()))</f>
        <v/>
      </c>
      <c r="K572">
        <f>IF($A572="",NA(),IF($C572="Deckbuilder",$B572,NA()))</f>
        <v/>
      </c>
      <c r="L572">
        <f>IF($A572="",NA(),IF($C572="Deckbuilder",3+$F572*0.023,NA()))</f>
        <v/>
      </c>
      <c r="M572">
        <f>IF($A572="",NA(),IF($C572="Traditional",$B572,NA()))</f>
        <v/>
      </c>
      <c r="N572">
        <f>IF($A572="",NA(),IF($C572="Traditional",4+$F572*0.023,NA()))</f>
        <v/>
      </c>
      <c r="O572">
        <f>IF($A572="","",$D572+ROW()/1000000)</f>
        <v/>
      </c>
      <c r="P572">
        <f>IF(OR($A572="",games!$H572=""),"",games!$H572)</f>
        <v/>
      </c>
      <c r="Q572">
        <f>IF(OR($A572="",$P572&lt;&gt;"Yes"),"",$D572+ROW()/1000000)</f>
        <v/>
      </c>
      <c r="T572">
        <f>IF(connections!$A572="","",IFERROR(INDEX(games!$B$2:$B$950,MATCH(connections!$A572,games!$A$2:$A$950,0)),""))</f>
        <v/>
      </c>
      <c r="U572">
        <f>IF(connections!$A572="","",IFERROR(INDEX(games!$B$2:$B$950,MATCH(connections!$B572,games!$A$2:$A$950,0)),""))</f>
        <v/>
      </c>
      <c r="V572">
        <f>IF(OR($T572="",$U572=""),"",$U572-$T572)</f>
        <v/>
      </c>
    </row>
    <row r="573">
      <c r="A573">
        <f>IF(games!$A573="","",games!$A573)</f>
        <v/>
      </c>
      <c r="B573">
        <f>IF($A573="","",games!$B573)</f>
        <v/>
      </c>
      <c r="C573">
        <f>IF($A573="","",games!$C573)</f>
        <v/>
      </c>
      <c r="D573">
        <f>IF($A573="","",COUNTIF(connections!$A$2:$A$1400,$A573)+COUNTIF(connections!$B$2:$B$1400,$A573))</f>
        <v/>
      </c>
      <c r="E573">
        <f>IF($A573="","",IFERROR(MATCH($C573,$R$2:$R$5,0),0))</f>
        <v/>
      </c>
      <c r="F573">
        <f>IF($A573="","",MOD(ROW(),34))</f>
        <v/>
      </c>
      <c r="G573">
        <f>IF($A573="",NA(),IF($C573="Action",$B573,NA()))</f>
        <v/>
      </c>
      <c r="H573">
        <f>IF($A573="",NA(),IF($C573="Action",1+$F573*0.023,NA()))</f>
        <v/>
      </c>
      <c r="I573">
        <f>IF($A573="",NA(),IF($C573="Strategy",$B573,NA()))</f>
        <v/>
      </c>
      <c r="J573">
        <f>IF($A573="",NA(),IF($C573="Strategy",2+$F573*0.023,NA()))</f>
        <v/>
      </c>
      <c r="K573">
        <f>IF($A573="",NA(),IF($C573="Deckbuilder",$B573,NA()))</f>
        <v/>
      </c>
      <c r="L573">
        <f>IF($A573="",NA(),IF($C573="Deckbuilder",3+$F573*0.023,NA()))</f>
        <v/>
      </c>
      <c r="M573">
        <f>IF($A573="",NA(),IF($C573="Traditional",$B573,NA()))</f>
        <v/>
      </c>
      <c r="N573">
        <f>IF($A573="",NA(),IF($C573="Traditional",4+$F573*0.023,NA()))</f>
        <v/>
      </c>
      <c r="O573">
        <f>IF($A573="","",$D573+ROW()/1000000)</f>
        <v/>
      </c>
      <c r="P573">
        <f>IF(OR($A573="",games!$H573=""),"",games!$H573)</f>
        <v/>
      </c>
      <c r="Q573">
        <f>IF(OR($A573="",$P573&lt;&gt;"Yes"),"",$D573+ROW()/1000000)</f>
        <v/>
      </c>
      <c r="T573">
        <f>IF(connections!$A573="","",IFERROR(INDEX(games!$B$2:$B$950,MATCH(connections!$A573,games!$A$2:$A$950,0)),""))</f>
        <v/>
      </c>
      <c r="U573">
        <f>IF(connections!$A573="","",IFERROR(INDEX(games!$B$2:$B$950,MATCH(connections!$B573,games!$A$2:$A$950,0)),""))</f>
        <v/>
      </c>
      <c r="V573">
        <f>IF(OR($T573="",$U573=""),"",$U573-$T573)</f>
        <v/>
      </c>
    </row>
    <row r="574">
      <c r="A574">
        <f>IF(games!$A574="","",games!$A574)</f>
        <v/>
      </c>
      <c r="B574">
        <f>IF($A574="","",games!$B574)</f>
        <v/>
      </c>
      <c r="C574">
        <f>IF($A574="","",games!$C574)</f>
        <v/>
      </c>
      <c r="D574">
        <f>IF($A574="","",COUNTIF(connections!$A$2:$A$1400,$A574)+COUNTIF(connections!$B$2:$B$1400,$A574))</f>
        <v/>
      </c>
      <c r="E574">
        <f>IF($A574="","",IFERROR(MATCH($C574,$R$2:$R$5,0),0))</f>
        <v/>
      </c>
      <c r="F574">
        <f>IF($A574="","",MOD(ROW(),34))</f>
        <v/>
      </c>
      <c r="G574">
        <f>IF($A574="",NA(),IF($C574="Action",$B574,NA()))</f>
        <v/>
      </c>
      <c r="H574">
        <f>IF($A574="",NA(),IF($C574="Action",1+$F574*0.023,NA()))</f>
        <v/>
      </c>
      <c r="I574">
        <f>IF($A574="",NA(),IF($C574="Strategy",$B574,NA()))</f>
        <v/>
      </c>
      <c r="J574">
        <f>IF($A574="",NA(),IF($C574="Strategy",2+$F574*0.023,NA()))</f>
        <v/>
      </c>
      <c r="K574">
        <f>IF($A574="",NA(),IF($C574="Deckbuilder",$B574,NA()))</f>
        <v/>
      </c>
      <c r="L574">
        <f>IF($A574="",NA(),IF($C574="Deckbuilder",3+$F574*0.023,NA()))</f>
        <v/>
      </c>
      <c r="M574">
        <f>IF($A574="",NA(),IF($C574="Traditional",$B574,NA()))</f>
        <v/>
      </c>
      <c r="N574">
        <f>IF($A574="",NA(),IF($C574="Traditional",4+$F574*0.023,NA()))</f>
        <v/>
      </c>
      <c r="O574">
        <f>IF($A574="","",$D574+ROW()/1000000)</f>
        <v/>
      </c>
      <c r="P574">
        <f>IF(OR($A574="",games!$H574=""),"",games!$H574)</f>
        <v/>
      </c>
      <c r="Q574">
        <f>IF(OR($A574="",$P574&lt;&gt;"Yes"),"",$D574+ROW()/1000000)</f>
        <v/>
      </c>
      <c r="T574">
        <f>IF(connections!$A574="","",IFERROR(INDEX(games!$B$2:$B$950,MATCH(connections!$A574,games!$A$2:$A$950,0)),""))</f>
        <v/>
      </c>
      <c r="U574">
        <f>IF(connections!$A574="","",IFERROR(INDEX(games!$B$2:$B$950,MATCH(connections!$B574,games!$A$2:$A$950,0)),""))</f>
        <v/>
      </c>
      <c r="V574">
        <f>IF(OR($T574="",$U574=""),"",$U574-$T574)</f>
        <v/>
      </c>
    </row>
    <row r="575">
      <c r="A575">
        <f>IF(games!$A575="","",games!$A575)</f>
        <v/>
      </c>
      <c r="B575">
        <f>IF($A575="","",games!$B575)</f>
        <v/>
      </c>
      <c r="C575">
        <f>IF($A575="","",games!$C575)</f>
        <v/>
      </c>
      <c r="D575">
        <f>IF($A575="","",COUNTIF(connections!$A$2:$A$1400,$A575)+COUNTIF(connections!$B$2:$B$1400,$A575))</f>
        <v/>
      </c>
      <c r="E575">
        <f>IF($A575="","",IFERROR(MATCH($C575,$R$2:$R$5,0),0))</f>
        <v/>
      </c>
      <c r="F575">
        <f>IF($A575="","",MOD(ROW(),34))</f>
        <v/>
      </c>
      <c r="G575">
        <f>IF($A575="",NA(),IF($C575="Action",$B575,NA()))</f>
        <v/>
      </c>
      <c r="H575">
        <f>IF($A575="",NA(),IF($C575="Action",1+$F575*0.023,NA()))</f>
        <v/>
      </c>
      <c r="I575">
        <f>IF($A575="",NA(),IF($C575="Strategy",$B575,NA()))</f>
        <v/>
      </c>
      <c r="J575">
        <f>IF($A575="",NA(),IF($C575="Strategy",2+$F575*0.023,NA()))</f>
        <v/>
      </c>
      <c r="K575">
        <f>IF($A575="",NA(),IF($C575="Deckbuilder",$B575,NA()))</f>
        <v/>
      </c>
      <c r="L575">
        <f>IF($A575="",NA(),IF($C575="Deckbuilder",3+$F575*0.023,NA()))</f>
        <v/>
      </c>
      <c r="M575">
        <f>IF($A575="",NA(),IF($C575="Traditional",$B575,NA()))</f>
        <v/>
      </c>
      <c r="N575">
        <f>IF($A575="",NA(),IF($C575="Traditional",4+$F575*0.023,NA()))</f>
        <v/>
      </c>
      <c r="O575">
        <f>IF($A575="","",$D575+ROW()/1000000)</f>
        <v/>
      </c>
      <c r="P575">
        <f>IF(OR($A575="",games!$H575=""),"",games!$H575)</f>
        <v/>
      </c>
      <c r="Q575">
        <f>IF(OR($A575="",$P575&lt;&gt;"Yes"),"",$D575+ROW()/1000000)</f>
        <v/>
      </c>
      <c r="T575">
        <f>IF(connections!$A575="","",IFERROR(INDEX(games!$B$2:$B$950,MATCH(connections!$A575,games!$A$2:$A$950,0)),""))</f>
        <v/>
      </c>
      <c r="U575">
        <f>IF(connections!$A575="","",IFERROR(INDEX(games!$B$2:$B$950,MATCH(connections!$B575,games!$A$2:$A$950,0)),""))</f>
        <v/>
      </c>
      <c r="V575">
        <f>IF(OR($T575="",$U575=""),"",$U575-$T575)</f>
        <v/>
      </c>
    </row>
    <row r="576">
      <c r="A576">
        <f>IF(games!$A576="","",games!$A576)</f>
        <v/>
      </c>
      <c r="B576">
        <f>IF($A576="","",games!$B576)</f>
        <v/>
      </c>
      <c r="C576">
        <f>IF($A576="","",games!$C576)</f>
        <v/>
      </c>
      <c r="D576">
        <f>IF($A576="","",COUNTIF(connections!$A$2:$A$1400,$A576)+COUNTIF(connections!$B$2:$B$1400,$A576))</f>
        <v/>
      </c>
      <c r="E576">
        <f>IF($A576="","",IFERROR(MATCH($C576,$R$2:$R$5,0),0))</f>
        <v/>
      </c>
      <c r="F576">
        <f>IF($A576="","",MOD(ROW(),34))</f>
        <v/>
      </c>
      <c r="G576">
        <f>IF($A576="",NA(),IF($C576="Action",$B576,NA()))</f>
        <v/>
      </c>
      <c r="H576">
        <f>IF($A576="",NA(),IF($C576="Action",1+$F576*0.023,NA()))</f>
        <v/>
      </c>
      <c r="I576">
        <f>IF($A576="",NA(),IF($C576="Strategy",$B576,NA()))</f>
        <v/>
      </c>
      <c r="J576">
        <f>IF($A576="",NA(),IF($C576="Strategy",2+$F576*0.023,NA()))</f>
        <v/>
      </c>
      <c r="K576">
        <f>IF($A576="",NA(),IF($C576="Deckbuilder",$B576,NA()))</f>
        <v/>
      </c>
      <c r="L576">
        <f>IF($A576="",NA(),IF($C576="Deckbuilder",3+$F576*0.023,NA()))</f>
        <v/>
      </c>
      <c r="M576">
        <f>IF($A576="",NA(),IF($C576="Traditional",$B576,NA()))</f>
        <v/>
      </c>
      <c r="N576">
        <f>IF($A576="",NA(),IF($C576="Traditional",4+$F576*0.023,NA()))</f>
        <v/>
      </c>
      <c r="O576">
        <f>IF($A576="","",$D576+ROW()/1000000)</f>
        <v/>
      </c>
      <c r="P576">
        <f>IF(OR($A576="",games!$H576=""),"",games!$H576)</f>
        <v/>
      </c>
      <c r="Q576">
        <f>IF(OR($A576="",$P576&lt;&gt;"Yes"),"",$D576+ROW()/1000000)</f>
        <v/>
      </c>
      <c r="T576">
        <f>IF(connections!$A576="","",IFERROR(INDEX(games!$B$2:$B$950,MATCH(connections!$A576,games!$A$2:$A$950,0)),""))</f>
        <v/>
      </c>
      <c r="U576">
        <f>IF(connections!$A576="","",IFERROR(INDEX(games!$B$2:$B$950,MATCH(connections!$B576,games!$A$2:$A$950,0)),""))</f>
        <v/>
      </c>
      <c r="V576">
        <f>IF(OR($T576="",$U576=""),"",$U576-$T576)</f>
        <v/>
      </c>
    </row>
    <row r="577">
      <c r="A577">
        <f>IF(games!$A577="","",games!$A577)</f>
        <v/>
      </c>
      <c r="B577">
        <f>IF($A577="","",games!$B577)</f>
        <v/>
      </c>
      <c r="C577">
        <f>IF($A577="","",games!$C577)</f>
        <v/>
      </c>
      <c r="D577">
        <f>IF($A577="","",COUNTIF(connections!$A$2:$A$1400,$A577)+COUNTIF(connections!$B$2:$B$1400,$A577))</f>
        <v/>
      </c>
      <c r="E577">
        <f>IF($A577="","",IFERROR(MATCH($C577,$R$2:$R$5,0),0))</f>
        <v/>
      </c>
      <c r="F577">
        <f>IF($A577="","",MOD(ROW(),34))</f>
        <v/>
      </c>
      <c r="G577">
        <f>IF($A577="",NA(),IF($C577="Action",$B577,NA()))</f>
        <v/>
      </c>
      <c r="H577">
        <f>IF($A577="",NA(),IF($C577="Action",1+$F577*0.023,NA()))</f>
        <v/>
      </c>
      <c r="I577">
        <f>IF($A577="",NA(),IF($C577="Strategy",$B577,NA()))</f>
        <v/>
      </c>
      <c r="J577">
        <f>IF($A577="",NA(),IF($C577="Strategy",2+$F577*0.023,NA()))</f>
        <v/>
      </c>
      <c r="K577">
        <f>IF($A577="",NA(),IF($C577="Deckbuilder",$B577,NA()))</f>
        <v/>
      </c>
      <c r="L577">
        <f>IF($A577="",NA(),IF($C577="Deckbuilder",3+$F577*0.023,NA()))</f>
        <v/>
      </c>
      <c r="M577">
        <f>IF($A577="",NA(),IF($C577="Traditional",$B577,NA()))</f>
        <v/>
      </c>
      <c r="N577">
        <f>IF($A577="",NA(),IF($C577="Traditional",4+$F577*0.023,NA()))</f>
        <v/>
      </c>
      <c r="O577">
        <f>IF($A577="","",$D577+ROW()/1000000)</f>
        <v/>
      </c>
      <c r="P577">
        <f>IF(OR($A577="",games!$H577=""),"",games!$H577)</f>
        <v/>
      </c>
      <c r="Q577">
        <f>IF(OR($A577="",$P577&lt;&gt;"Yes"),"",$D577+ROW()/1000000)</f>
        <v/>
      </c>
      <c r="T577">
        <f>IF(connections!$A577="","",IFERROR(INDEX(games!$B$2:$B$950,MATCH(connections!$A577,games!$A$2:$A$950,0)),""))</f>
        <v/>
      </c>
      <c r="U577">
        <f>IF(connections!$A577="","",IFERROR(INDEX(games!$B$2:$B$950,MATCH(connections!$B577,games!$A$2:$A$950,0)),""))</f>
        <v/>
      </c>
      <c r="V577">
        <f>IF(OR($T577="",$U577=""),"",$U577-$T577)</f>
        <v/>
      </c>
    </row>
    <row r="578">
      <c r="A578">
        <f>IF(games!$A578="","",games!$A578)</f>
        <v/>
      </c>
      <c r="B578">
        <f>IF($A578="","",games!$B578)</f>
        <v/>
      </c>
      <c r="C578">
        <f>IF($A578="","",games!$C578)</f>
        <v/>
      </c>
      <c r="D578">
        <f>IF($A578="","",COUNTIF(connections!$A$2:$A$1400,$A578)+COUNTIF(connections!$B$2:$B$1400,$A578))</f>
        <v/>
      </c>
      <c r="E578">
        <f>IF($A578="","",IFERROR(MATCH($C578,$R$2:$R$5,0),0))</f>
        <v/>
      </c>
      <c r="F578">
        <f>IF($A578="","",MOD(ROW(),34))</f>
        <v/>
      </c>
      <c r="G578">
        <f>IF($A578="",NA(),IF($C578="Action",$B578,NA()))</f>
        <v/>
      </c>
      <c r="H578">
        <f>IF($A578="",NA(),IF($C578="Action",1+$F578*0.023,NA()))</f>
        <v/>
      </c>
      <c r="I578">
        <f>IF($A578="",NA(),IF($C578="Strategy",$B578,NA()))</f>
        <v/>
      </c>
      <c r="J578">
        <f>IF($A578="",NA(),IF($C578="Strategy",2+$F578*0.023,NA()))</f>
        <v/>
      </c>
      <c r="K578">
        <f>IF($A578="",NA(),IF($C578="Deckbuilder",$B578,NA()))</f>
        <v/>
      </c>
      <c r="L578">
        <f>IF($A578="",NA(),IF($C578="Deckbuilder",3+$F578*0.023,NA()))</f>
        <v/>
      </c>
      <c r="M578">
        <f>IF($A578="",NA(),IF($C578="Traditional",$B578,NA()))</f>
        <v/>
      </c>
      <c r="N578">
        <f>IF($A578="",NA(),IF($C578="Traditional",4+$F578*0.023,NA()))</f>
        <v/>
      </c>
      <c r="O578">
        <f>IF($A578="","",$D578+ROW()/1000000)</f>
        <v/>
      </c>
      <c r="P578">
        <f>IF(OR($A578="",games!$H578=""),"",games!$H578)</f>
        <v/>
      </c>
      <c r="Q578">
        <f>IF(OR($A578="",$P578&lt;&gt;"Yes"),"",$D578+ROW()/1000000)</f>
        <v/>
      </c>
      <c r="T578">
        <f>IF(connections!$A578="","",IFERROR(INDEX(games!$B$2:$B$950,MATCH(connections!$A578,games!$A$2:$A$950,0)),""))</f>
        <v/>
      </c>
      <c r="U578">
        <f>IF(connections!$A578="","",IFERROR(INDEX(games!$B$2:$B$950,MATCH(connections!$B578,games!$A$2:$A$950,0)),""))</f>
        <v/>
      </c>
      <c r="V578">
        <f>IF(OR($T578="",$U578=""),"",$U578-$T578)</f>
        <v/>
      </c>
    </row>
    <row r="579">
      <c r="A579">
        <f>IF(games!$A579="","",games!$A579)</f>
        <v/>
      </c>
      <c r="B579">
        <f>IF($A579="","",games!$B579)</f>
        <v/>
      </c>
      <c r="C579">
        <f>IF($A579="","",games!$C579)</f>
        <v/>
      </c>
      <c r="D579">
        <f>IF($A579="","",COUNTIF(connections!$A$2:$A$1400,$A579)+COUNTIF(connections!$B$2:$B$1400,$A579))</f>
        <v/>
      </c>
      <c r="E579">
        <f>IF($A579="","",IFERROR(MATCH($C579,$R$2:$R$5,0),0))</f>
        <v/>
      </c>
      <c r="F579">
        <f>IF($A579="","",MOD(ROW(),34))</f>
        <v/>
      </c>
      <c r="G579">
        <f>IF($A579="",NA(),IF($C579="Action",$B579,NA()))</f>
        <v/>
      </c>
      <c r="H579">
        <f>IF($A579="",NA(),IF($C579="Action",1+$F579*0.023,NA()))</f>
        <v/>
      </c>
      <c r="I579">
        <f>IF($A579="",NA(),IF($C579="Strategy",$B579,NA()))</f>
        <v/>
      </c>
      <c r="J579">
        <f>IF($A579="",NA(),IF($C579="Strategy",2+$F579*0.023,NA()))</f>
        <v/>
      </c>
      <c r="K579">
        <f>IF($A579="",NA(),IF($C579="Deckbuilder",$B579,NA()))</f>
        <v/>
      </c>
      <c r="L579">
        <f>IF($A579="",NA(),IF($C579="Deckbuilder",3+$F579*0.023,NA()))</f>
        <v/>
      </c>
      <c r="M579">
        <f>IF($A579="",NA(),IF($C579="Traditional",$B579,NA()))</f>
        <v/>
      </c>
      <c r="N579">
        <f>IF($A579="",NA(),IF($C579="Traditional",4+$F579*0.023,NA()))</f>
        <v/>
      </c>
      <c r="O579">
        <f>IF($A579="","",$D579+ROW()/1000000)</f>
        <v/>
      </c>
      <c r="P579">
        <f>IF(OR($A579="",games!$H579=""),"",games!$H579)</f>
        <v/>
      </c>
      <c r="Q579">
        <f>IF(OR($A579="",$P579&lt;&gt;"Yes"),"",$D579+ROW()/1000000)</f>
        <v/>
      </c>
      <c r="T579">
        <f>IF(connections!$A579="","",IFERROR(INDEX(games!$B$2:$B$950,MATCH(connections!$A579,games!$A$2:$A$950,0)),""))</f>
        <v/>
      </c>
      <c r="U579">
        <f>IF(connections!$A579="","",IFERROR(INDEX(games!$B$2:$B$950,MATCH(connections!$B579,games!$A$2:$A$950,0)),""))</f>
        <v/>
      </c>
      <c r="V579">
        <f>IF(OR($T579="",$U579=""),"",$U579-$T579)</f>
        <v/>
      </c>
    </row>
    <row r="580">
      <c r="A580">
        <f>IF(games!$A580="","",games!$A580)</f>
        <v/>
      </c>
      <c r="B580">
        <f>IF($A580="","",games!$B580)</f>
        <v/>
      </c>
      <c r="C580">
        <f>IF($A580="","",games!$C580)</f>
        <v/>
      </c>
      <c r="D580">
        <f>IF($A580="","",COUNTIF(connections!$A$2:$A$1400,$A580)+COUNTIF(connections!$B$2:$B$1400,$A580))</f>
        <v/>
      </c>
      <c r="E580">
        <f>IF($A580="","",IFERROR(MATCH($C580,$R$2:$R$5,0),0))</f>
        <v/>
      </c>
      <c r="F580">
        <f>IF($A580="","",MOD(ROW(),34))</f>
        <v/>
      </c>
      <c r="G580">
        <f>IF($A580="",NA(),IF($C580="Action",$B580,NA()))</f>
        <v/>
      </c>
      <c r="H580">
        <f>IF($A580="",NA(),IF($C580="Action",1+$F580*0.023,NA()))</f>
        <v/>
      </c>
      <c r="I580">
        <f>IF($A580="",NA(),IF($C580="Strategy",$B580,NA()))</f>
        <v/>
      </c>
      <c r="J580">
        <f>IF($A580="",NA(),IF($C580="Strategy",2+$F580*0.023,NA()))</f>
        <v/>
      </c>
      <c r="K580">
        <f>IF($A580="",NA(),IF($C580="Deckbuilder",$B580,NA()))</f>
        <v/>
      </c>
      <c r="L580">
        <f>IF($A580="",NA(),IF($C580="Deckbuilder",3+$F580*0.023,NA()))</f>
        <v/>
      </c>
      <c r="M580">
        <f>IF($A580="",NA(),IF($C580="Traditional",$B580,NA()))</f>
        <v/>
      </c>
      <c r="N580">
        <f>IF($A580="",NA(),IF($C580="Traditional",4+$F580*0.023,NA()))</f>
        <v/>
      </c>
      <c r="O580">
        <f>IF($A580="","",$D580+ROW()/1000000)</f>
        <v/>
      </c>
      <c r="P580">
        <f>IF(OR($A580="",games!$H580=""),"",games!$H580)</f>
        <v/>
      </c>
      <c r="Q580">
        <f>IF(OR($A580="",$P580&lt;&gt;"Yes"),"",$D580+ROW()/1000000)</f>
        <v/>
      </c>
      <c r="T580">
        <f>IF(connections!$A580="","",IFERROR(INDEX(games!$B$2:$B$950,MATCH(connections!$A580,games!$A$2:$A$950,0)),""))</f>
        <v/>
      </c>
      <c r="U580">
        <f>IF(connections!$A580="","",IFERROR(INDEX(games!$B$2:$B$950,MATCH(connections!$B580,games!$A$2:$A$950,0)),""))</f>
        <v/>
      </c>
      <c r="V580">
        <f>IF(OR($T580="",$U580=""),"",$U580-$T580)</f>
        <v/>
      </c>
    </row>
    <row r="581">
      <c r="A581">
        <f>IF(games!$A581="","",games!$A581)</f>
        <v/>
      </c>
      <c r="B581">
        <f>IF($A581="","",games!$B581)</f>
        <v/>
      </c>
      <c r="C581">
        <f>IF($A581="","",games!$C581)</f>
        <v/>
      </c>
      <c r="D581">
        <f>IF($A581="","",COUNTIF(connections!$A$2:$A$1400,$A581)+COUNTIF(connections!$B$2:$B$1400,$A581))</f>
        <v/>
      </c>
      <c r="E581">
        <f>IF($A581="","",IFERROR(MATCH($C581,$R$2:$R$5,0),0))</f>
        <v/>
      </c>
      <c r="F581">
        <f>IF($A581="","",MOD(ROW(),34))</f>
        <v/>
      </c>
      <c r="G581">
        <f>IF($A581="",NA(),IF($C581="Action",$B581,NA()))</f>
        <v/>
      </c>
      <c r="H581">
        <f>IF($A581="",NA(),IF($C581="Action",1+$F581*0.023,NA()))</f>
        <v/>
      </c>
      <c r="I581">
        <f>IF($A581="",NA(),IF($C581="Strategy",$B581,NA()))</f>
        <v/>
      </c>
      <c r="J581">
        <f>IF($A581="",NA(),IF($C581="Strategy",2+$F581*0.023,NA()))</f>
        <v/>
      </c>
      <c r="K581">
        <f>IF($A581="",NA(),IF($C581="Deckbuilder",$B581,NA()))</f>
        <v/>
      </c>
      <c r="L581">
        <f>IF($A581="",NA(),IF($C581="Deckbuilder",3+$F581*0.023,NA()))</f>
        <v/>
      </c>
      <c r="M581">
        <f>IF($A581="",NA(),IF($C581="Traditional",$B581,NA()))</f>
        <v/>
      </c>
      <c r="N581">
        <f>IF($A581="",NA(),IF($C581="Traditional",4+$F581*0.023,NA()))</f>
        <v/>
      </c>
      <c r="O581">
        <f>IF($A581="","",$D581+ROW()/1000000)</f>
        <v/>
      </c>
      <c r="P581">
        <f>IF(OR($A581="",games!$H581=""),"",games!$H581)</f>
        <v/>
      </c>
      <c r="Q581">
        <f>IF(OR($A581="",$P581&lt;&gt;"Yes"),"",$D581+ROW()/1000000)</f>
        <v/>
      </c>
      <c r="T581">
        <f>IF(connections!$A581="","",IFERROR(INDEX(games!$B$2:$B$950,MATCH(connections!$A581,games!$A$2:$A$950,0)),""))</f>
        <v/>
      </c>
      <c r="U581">
        <f>IF(connections!$A581="","",IFERROR(INDEX(games!$B$2:$B$950,MATCH(connections!$B581,games!$A$2:$A$950,0)),""))</f>
        <v/>
      </c>
      <c r="V581">
        <f>IF(OR($T581="",$U581=""),"",$U581-$T581)</f>
        <v/>
      </c>
    </row>
    <row r="582">
      <c r="A582">
        <f>IF(games!$A582="","",games!$A582)</f>
        <v/>
      </c>
      <c r="B582">
        <f>IF($A582="","",games!$B582)</f>
        <v/>
      </c>
      <c r="C582">
        <f>IF($A582="","",games!$C582)</f>
        <v/>
      </c>
      <c r="D582">
        <f>IF($A582="","",COUNTIF(connections!$A$2:$A$1400,$A582)+COUNTIF(connections!$B$2:$B$1400,$A582))</f>
        <v/>
      </c>
      <c r="E582">
        <f>IF($A582="","",IFERROR(MATCH($C582,$R$2:$R$5,0),0))</f>
        <v/>
      </c>
      <c r="F582">
        <f>IF($A582="","",MOD(ROW(),34))</f>
        <v/>
      </c>
      <c r="G582">
        <f>IF($A582="",NA(),IF($C582="Action",$B582,NA()))</f>
        <v/>
      </c>
      <c r="H582">
        <f>IF($A582="",NA(),IF($C582="Action",1+$F582*0.023,NA()))</f>
        <v/>
      </c>
      <c r="I582">
        <f>IF($A582="",NA(),IF($C582="Strategy",$B582,NA()))</f>
        <v/>
      </c>
      <c r="J582">
        <f>IF($A582="",NA(),IF($C582="Strategy",2+$F582*0.023,NA()))</f>
        <v/>
      </c>
      <c r="K582">
        <f>IF($A582="",NA(),IF($C582="Deckbuilder",$B582,NA()))</f>
        <v/>
      </c>
      <c r="L582">
        <f>IF($A582="",NA(),IF($C582="Deckbuilder",3+$F582*0.023,NA()))</f>
        <v/>
      </c>
      <c r="M582">
        <f>IF($A582="",NA(),IF($C582="Traditional",$B582,NA()))</f>
        <v/>
      </c>
      <c r="N582">
        <f>IF($A582="",NA(),IF($C582="Traditional",4+$F582*0.023,NA()))</f>
        <v/>
      </c>
      <c r="O582">
        <f>IF($A582="","",$D582+ROW()/1000000)</f>
        <v/>
      </c>
      <c r="P582">
        <f>IF(OR($A582="",games!$H582=""),"",games!$H582)</f>
        <v/>
      </c>
      <c r="Q582">
        <f>IF(OR($A582="",$P582&lt;&gt;"Yes"),"",$D582+ROW()/1000000)</f>
        <v/>
      </c>
      <c r="T582">
        <f>IF(connections!$A582="","",IFERROR(INDEX(games!$B$2:$B$950,MATCH(connections!$A582,games!$A$2:$A$950,0)),""))</f>
        <v/>
      </c>
      <c r="U582">
        <f>IF(connections!$A582="","",IFERROR(INDEX(games!$B$2:$B$950,MATCH(connections!$B582,games!$A$2:$A$950,0)),""))</f>
        <v/>
      </c>
      <c r="V582">
        <f>IF(OR($T582="",$U582=""),"",$U582-$T582)</f>
        <v/>
      </c>
    </row>
    <row r="583">
      <c r="A583">
        <f>IF(games!$A583="","",games!$A583)</f>
        <v/>
      </c>
      <c r="B583">
        <f>IF($A583="","",games!$B583)</f>
        <v/>
      </c>
      <c r="C583">
        <f>IF($A583="","",games!$C583)</f>
        <v/>
      </c>
      <c r="D583">
        <f>IF($A583="","",COUNTIF(connections!$A$2:$A$1400,$A583)+COUNTIF(connections!$B$2:$B$1400,$A583))</f>
        <v/>
      </c>
      <c r="E583">
        <f>IF($A583="","",IFERROR(MATCH($C583,$R$2:$R$5,0),0))</f>
        <v/>
      </c>
      <c r="F583">
        <f>IF($A583="","",MOD(ROW(),34))</f>
        <v/>
      </c>
      <c r="G583">
        <f>IF($A583="",NA(),IF($C583="Action",$B583,NA()))</f>
        <v/>
      </c>
      <c r="H583">
        <f>IF($A583="",NA(),IF($C583="Action",1+$F583*0.023,NA()))</f>
        <v/>
      </c>
      <c r="I583">
        <f>IF($A583="",NA(),IF($C583="Strategy",$B583,NA()))</f>
        <v/>
      </c>
      <c r="J583">
        <f>IF($A583="",NA(),IF($C583="Strategy",2+$F583*0.023,NA()))</f>
        <v/>
      </c>
      <c r="K583">
        <f>IF($A583="",NA(),IF($C583="Deckbuilder",$B583,NA()))</f>
        <v/>
      </c>
      <c r="L583">
        <f>IF($A583="",NA(),IF($C583="Deckbuilder",3+$F583*0.023,NA()))</f>
        <v/>
      </c>
      <c r="M583">
        <f>IF($A583="",NA(),IF($C583="Traditional",$B583,NA()))</f>
        <v/>
      </c>
      <c r="N583">
        <f>IF($A583="",NA(),IF($C583="Traditional",4+$F583*0.023,NA()))</f>
        <v/>
      </c>
      <c r="O583">
        <f>IF($A583="","",$D583+ROW()/1000000)</f>
        <v/>
      </c>
      <c r="P583">
        <f>IF(OR($A583="",games!$H583=""),"",games!$H583)</f>
        <v/>
      </c>
      <c r="Q583">
        <f>IF(OR($A583="",$P583&lt;&gt;"Yes"),"",$D583+ROW()/1000000)</f>
        <v/>
      </c>
      <c r="T583">
        <f>IF(connections!$A583="","",IFERROR(INDEX(games!$B$2:$B$950,MATCH(connections!$A583,games!$A$2:$A$950,0)),""))</f>
        <v/>
      </c>
      <c r="U583">
        <f>IF(connections!$A583="","",IFERROR(INDEX(games!$B$2:$B$950,MATCH(connections!$B583,games!$A$2:$A$950,0)),""))</f>
        <v/>
      </c>
      <c r="V583">
        <f>IF(OR($T583="",$U583=""),"",$U583-$T583)</f>
        <v/>
      </c>
    </row>
    <row r="584">
      <c r="A584">
        <f>IF(games!$A584="","",games!$A584)</f>
        <v/>
      </c>
      <c r="B584">
        <f>IF($A584="","",games!$B584)</f>
        <v/>
      </c>
      <c r="C584">
        <f>IF($A584="","",games!$C584)</f>
        <v/>
      </c>
      <c r="D584">
        <f>IF($A584="","",COUNTIF(connections!$A$2:$A$1400,$A584)+COUNTIF(connections!$B$2:$B$1400,$A584))</f>
        <v/>
      </c>
      <c r="E584">
        <f>IF($A584="","",IFERROR(MATCH($C584,$R$2:$R$5,0),0))</f>
        <v/>
      </c>
      <c r="F584">
        <f>IF($A584="","",MOD(ROW(),34))</f>
        <v/>
      </c>
      <c r="G584">
        <f>IF($A584="",NA(),IF($C584="Action",$B584,NA()))</f>
        <v/>
      </c>
      <c r="H584">
        <f>IF($A584="",NA(),IF($C584="Action",1+$F584*0.023,NA()))</f>
        <v/>
      </c>
      <c r="I584">
        <f>IF($A584="",NA(),IF($C584="Strategy",$B584,NA()))</f>
        <v/>
      </c>
      <c r="J584">
        <f>IF($A584="",NA(),IF($C584="Strategy",2+$F584*0.023,NA()))</f>
        <v/>
      </c>
      <c r="K584">
        <f>IF($A584="",NA(),IF($C584="Deckbuilder",$B584,NA()))</f>
        <v/>
      </c>
      <c r="L584">
        <f>IF($A584="",NA(),IF($C584="Deckbuilder",3+$F584*0.023,NA()))</f>
        <v/>
      </c>
      <c r="M584">
        <f>IF($A584="",NA(),IF($C584="Traditional",$B584,NA()))</f>
        <v/>
      </c>
      <c r="N584">
        <f>IF($A584="",NA(),IF($C584="Traditional",4+$F584*0.023,NA()))</f>
        <v/>
      </c>
      <c r="O584">
        <f>IF($A584="","",$D584+ROW()/1000000)</f>
        <v/>
      </c>
      <c r="P584">
        <f>IF(OR($A584="",games!$H584=""),"",games!$H584)</f>
        <v/>
      </c>
      <c r="Q584">
        <f>IF(OR($A584="",$P584&lt;&gt;"Yes"),"",$D584+ROW()/1000000)</f>
        <v/>
      </c>
      <c r="T584">
        <f>IF(connections!$A584="","",IFERROR(INDEX(games!$B$2:$B$950,MATCH(connections!$A584,games!$A$2:$A$950,0)),""))</f>
        <v/>
      </c>
      <c r="U584">
        <f>IF(connections!$A584="","",IFERROR(INDEX(games!$B$2:$B$950,MATCH(connections!$B584,games!$A$2:$A$950,0)),""))</f>
        <v/>
      </c>
      <c r="V584">
        <f>IF(OR($T584="",$U584=""),"",$U584-$T584)</f>
        <v/>
      </c>
    </row>
    <row r="585">
      <c r="A585">
        <f>IF(games!$A585="","",games!$A585)</f>
        <v/>
      </c>
      <c r="B585">
        <f>IF($A585="","",games!$B585)</f>
        <v/>
      </c>
      <c r="C585">
        <f>IF($A585="","",games!$C585)</f>
        <v/>
      </c>
      <c r="D585">
        <f>IF($A585="","",COUNTIF(connections!$A$2:$A$1400,$A585)+COUNTIF(connections!$B$2:$B$1400,$A585))</f>
        <v/>
      </c>
      <c r="E585">
        <f>IF($A585="","",IFERROR(MATCH($C585,$R$2:$R$5,0),0))</f>
        <v/>
      </c>
      <c r="F585">
        <f>IF($A585="","",MOD(ROW(),34))</f>
        <v/>
      </c>
      <c r="G585">
        <f>IF($A585="",NA(),IF($C585="Action",$B585,NA()))</f>
        <v/>
      </c>
      <c r="H585">
        <f>IF($A585="",NA(),IF($C585="Action",1+$F585*0.023,NA()))</f>
        <v/>
      </c>
      <c r="I585">
        <f>IF($A585="",NA(),IF($C585="Strategy",$B585,NA()))</f>
        <v/>
      </c>
      <c r="J585">
        <f>IF($A585="",NA(),IF($C585="Strategy",2+$F585*0.023,NA()))</f>
        <v/>
      </c>
      <c r="K585">
        <f>IF($A585="",NA(),IF($C585="Deckbuilder",$B585,NA()))</f>
        <v/>
      </c>
      <c r="L585">
        <f>IF($A585="",NA(),IF($C585="Deckbuilder",3+$F585*0.023,NA()))</f>
        <v/>
      </c>
      <c r="M585">
        <f>IF($A585="",NA(),IF($C585="Traditional",$B585,NA()))</f>
        <v/>
      </c>
      <c r="N585">
        <f>IF($A585="",NA(),IF($C585="Traditional",4+$F585*0.023,NA()))</f>
        <v/>
      </c>
      <c r="O585">
        <f>IF($A585="","",$D585+ROW()/1000000)</f>
        <v/>
      </c>
      <c r="P585">
        <f>IF(OR($A585="",games!$H585=""),"",games!$H585)</f>
        <v/>
      </c>
      <c r="Q585">
        <f>IF(OR($A585="",$P585&lt;&gt;"Yes"),"",$D585+ROW()/1000000)</f>
        <v/>
      </c>
      <c r="T585">
        <f>IF(connections!$A585="","",IFERROR(INDEX(games!$B$2:$B$950,MATCH(connections!$A585,games!$A$2:$A$950,0)),""))</f>
        <v/>
      </c>
      <c r="U585">
        <f>IF(connections!$A585="","",IFERROR(INDEX(games!$B$2:$B$950,MATCH(connections!$B585,games!$A$2:$A$950,0)),""))</f>
        <v/>
      </c>
      <c r="V585">
        <f>IF(OR($T585="",$U585=""),"",$U585-$T585)</f>
        <v/>
      </c>
    </row>
    <row r="586">
      <c r="A586">
        <f>IF(games!$A586="","",games!$A586)</f>
        <v/>
      </c>
      <c r="B586">
        <f>IF($A586="","",games!$B586)</f>
        <v/>
      </c>
      <c r="C586">
        <f>IF($A586="","",games!$C586)</f>
        <v/>
      </c>
      <c r="D586">
        <f>IF($A586="","",COUNTIF(connections!$A$2:$A$1400,$A586)+COUNTIF(connections!$B$2:$B$1400,$A586))</f>
        <v/>
      </c>
      <c r="E586">
        <f>IF($A586="","",IFERROR(MATCH($C586,$R$2:$R$5,0),0))</f>
        <v/>
      </c>
      <c r="F586">
        <f>IF($A586="","",MOD(ROW(),34))</f>
        <v/>
      </c>
      <c r="G586">
        <f>IF($A586="",NA(),IF($C586="Action",$B586,NA()))</f>
        <v/>
      </c>
      <c r="H586">
        <f>IF($A586="",NA(),IF($C586="Action",1+$F586*0.023,NA()))</f>
        <v/>
      </c>
      <c r="I586">
        <f>IF($A586="",NA(),IF($C586="Strategy",$B586,NA()))</f>
        <v/>
      </c>
      <c r="J586">
        <f>IF($A586="",NA(),IF($C586="Strategy",2+$F586*0.023,NA()))</f>
        <v/>
      </c>
      <c r="K586">
        <f>IF($A586="",NA(),IF($C586="Deckbuilder",$B586,NA()))</f>
        <v/>
      </c>
      <c r="L586">
        <f>IF($A586="",NA(),IF($C586="Deckbuilder",3+$F586*0.023,NA()))</f>
        <v/>
      </c>
      <c r="M586">
        <f>IF($A586="",NA(),IF($C586="Traditional",$B586,NA()))</f>
        <v/>
      </c>
      <c r="N586">
        <f>IF($A586="",NA(),IF($C586="Traditional",4+$F586*0.023,NA()))</f>
        <v/>
      </c>
      <c r="O586">
        <f>IF($A586="","",$D586+ROW()/1000000)</f>
        <v/>
      </c>
      <c r="P586">
        <f>IF(OR($A586="",games!$H586=""),"",games!$H586)</f>
        <v/>
      </c>
      <c r="Q586">
        <f>IF(OR($A586="",$P586&lt;&gt;"Yes"),"",$D586+ROW()/1000000)</f>
        <v/>
      </c>
      <c r="T586">
        <f>IF(connections!$A586="","",IFERROR(INDEX(games!$B$2:$B$950,MATCH(connections!$A586,games!$A$2:$A$950,0)),""))</f>
        <v/>
      </c>
      <c r="U586">
        <f>IF(connections!$A586="","",IFERROR(INDEX(games!$B$2:$B$950,MATCH(connections!$B586,games!$A$2:$A$950,0)),""))</f>
        <v/>
      </c>
      <c r="V586">
        <f>IF(OR($T586="",$U586=""),"",$U586-$T586)</f>
        <v/>
      </c>
    </row>
    <row r="587">
      <c r="A587">
        <f>IF(games!$A587="","",games!$A587)</f>
        <v/>
      </c>
      <c r="B587">
        <f>IF($A587="","",games!$B587)</f>
        <v/>
      </c>
      <c r="C587">
        <f>IF($A587="","",games!$C587)</f>
        <v/>
      </c>
      <c r="D587">
        <f>IF($A587="","",COUNTIF(connections!$A$2:$A$1400,$A587)+COUNTIF(connections!$B$2:$B$1400,$A587))</f>
        <v/>
      </c>
      <c r="E587">
        <f>IF($A587="","",IFERROR(MATCH($C587,$R$2:$R$5,0),0))</f>
        <v/>
      </c>
      <c r="F587">
        <f>IF($A587="","",MOD(ROW(),34))</f>
        <v/>
      </c>
      <c r="G587">
        <f>IF($A587="",NA(),IF($C587="Action",$B587,NA()))</f>
        <v/>
      </c>
      <c r="H587">
        <f>IF($A587="",NA(),IF($C587="Action",1+$F587*0.023,NA()))</f>
        <v/>
      </c>
      <c r="I587">
        <f>IF($A587="",NA(),IF($C587="Strategy",$B587,NA()))</f>
        <v/>
      </c>
      <c r="J587">
        <f>IF($A587="",NA(),IF($C587="Strategy",2+$F587*0.023,NA()))</f>
        <v/>
      </c>
      <c r="K587">
        <f>IF($A587="",NA(),IF($C587="Deckbuilder",$B587,NA()))</f>
        <v/>
      </c>
      <c r="L587">
        <f>IF($A587="",NA(),IF($C587="Deckbuilder",3+$F587*0.023,NA()))</f>
        <v/>
      </c>
      <c r="M587">
        <f>IF($A587="",NA(),IF($C587="Traditional",$B587,NA()))</f>
        <v/>
      </c>
      <c r="N587">
        <f>IF($A587="",NA(),IF($C587="Traditional",4+$F587*0.023,NA()))</f>
        <v/>
      </c>
      <c r="O587">
        <f>IF($A587="","",$D587+ROW()/1000000)</f>
        <v/>
      </c>
      <c r="P587">
        <f>IF(OR($A587="",games!$H587=""),"",games!$H587)</f>
        <v/>
      </c>
      <c r="Q587">
        <f>IF(OR($A587="",$P587&lt;&gt;"Yes"),"",$D587+ROW()/1000000)</f>
        <v/>
      </c>
      <c r="T587">
        <f>IF(connections!$A587="","",IFERROR(INDEX(games!$B$2:$B$950,MATCH(connections!$A587,games!$A$2:$A$950,0)),""))</f>
        <v/>
      </c>
      <c r="U587">
        <f>IF(connections!$A587="","",IFERROR(INDEX(games!$B$2:$B$950,MATCH(connections!$B587,games!$A$2:$A$950,0)),""))</f>
        <v/>
      </c>
      <c r="V587">
        <f>IF(OR($T587="",$U587=""),"",$U587-$T587)</f>
        <v/>
      </c>
    </row>
    <row r="588">
      <c r="A588">
        <f>IF(games!$A588="","",games!$A588)</f>
        <v/>
      </c>
      <c r="B588">
        <f>IF($A588="","",games!$B588)</f>
        <v/>
      </c>
      <c r="C588">
        <f>IF($A588="","",games!$C588)</f>
        <v/>
      </c>
      <c r="D588">
        <f>IF($A588="","",COUNTIF(connections!$A$2:$A$1400,$A588)+COUNTIF(connections!$B$2:$B$1400,$A588))</f>
        <v/>
      </c>
      <c r="E588">
        <f>IF($A588="","",IFERROR(MATCH($C588,$R$2:$R$5,0),0))</f>
        <v/>
      </c>
      <c r="F588">
        <f>IF($A588="","",MOD(ROW(),34))</f>
        <v/>
      </c>
      <c r="G588">
        <f>IF($A588="",NA(),IF($C588="Action",$B588,NA()))</f>
        <v/>
      </c>
      <c r="H588">
        <f>IF($A588="",NA(),IF($C588="Action",1+$F588*0.023,NA()))</f>
        <v/>
      </c>
      <c r="I588">
        <f>IF($A588="",NA(),IF($C588="Strategy",$B588,NA()))</f>
        <v/>
      </c>
      <c r="J588">
        <f>IF($A588="",NA(),IF($C588="Strategy",2+$F588*0.023,NA()))</f>
        <v/>
      </c>
      <c r="K588">
        <f>IF($A588="",NA(),IF($C588="Deckbuilder",$B588,NA()))</f>
        <v/>
      </c>
      <c r="L588">
        <f>IF($A588="",NA(),IF($C588="Deckbuilder",3+$F588*0.023,NA()))</f>
        <v/>
      </c>
      <c r="M588">
        <f>IF($A588="",NA(),IF($C588="Traditional",$B588,NA()))</f>
        <v/>
      </c>
      <c r="N588">
        <f>IF($A588="",NA(),IF($C588="Traditional",4+$F588*0.023,NA()))</f>
        <v/>
      </c>
      <c r="O588">
        <f>IF($A588="","",$D588+ROW()/1000000)</f>
        <v/>
      </c>
      <c r="P588">
        <f>IF(OR($A588="",games!$H588=""),"",games!$H588)</f>
        <v/>
      </c>
      <c r="Q588">
        <f>IF(OR($A588="",$P588&lt;&gt;"Yes"),"",$D588+ROW()/1000000)</f>
        <v/>
      </c>
      <c r="T588">
        <f>IF(connections!$A588="","",IFERROR(INDEX(games!$B$2:$B$950,MATCH(connections!$A588,games!$A$2:$A$950,0)),""))</f>
        <v/>
      </c>
      <c r="U588">
        <f>IF(connections!$A588="","",IFERROR(INDEX(games!$B$2:$B$950,MATCH(connections!$B588,games!$A$2:$A$950,0)),""))</f>
        <v/>
      </c>
      <c r="V588">
        <f>IF(OR($T588="",$U588=""),"",$U588-$T588)</f>
        <v/>
      </c>
    </row>
    <row r="589">
      <c r="A589">
        <f>IF(games!$A589="","",games!$A589)</f>
        <v/>
      </c>
      <c r="B589">
        <f>IF($A589="","",games!$B589)</f>
        <v/>
      </c>
      <c r="C589">
        <f>IF($A589="","",games!$C589)</f>
        <v/>
      </c>
      <c r="D589">
        <f>IF($A589="","",COUNTIF(connections!$A$2:$A$1400,$A589)+COUNTIF(connections!$B$2:$B$1400,$A589))</f>
        <v/>
      </c>
      <c r="E589">
        <f>IF($A589="","",IFERROR(MATCH($C589,$R$2:$R$5,0),0))</f>
        <v/>
      </c>
      <c r="F589">
        <f>IF($A589="","",MOD(ROW(),34))</f>
        <v/>
      </c>
      <c r="G589">
        <f>IF($A589="",NA(),IF($C589="Action",$B589,NA()))</f>
        <v/>
      </c>
      <c r="H589">
        <f>IF($A589="",NA(),IF($C589="Action",1+$F589*0.023,NA()))</f>
        <v/>
      </c>
      <c r="I589">
        <f>IF($A589="",NA(),IF($C589="Strategy",$B589,NA()))</f>
        <v/>
      </c>
      <c r="J589">
        <f>IF($A589="",NA(),IF($C589="Strategy",2+$F589*0.023,NA()))</f>
        <v/>
      </c>
      <c r="K589">
        <f>IF($A589="",NA(),IF($C589="Deckbuilder",$B589,NA()))</f>
        <v/>
      </c>
      <c r="L589">
        <f>IF($A589="",NA(),IF($C589="Deckbuilder",3+$F589*0.023,NA()))</f>
        <v/>
      </c>
      <c r="M589">
        <f>IF($A589="",NA(),IF($C589="Traditional",$B589,NA()))</f>
        <v/>
      </c>
      <c r="N589">
        <f>IF($A589="",NA(),IF($C589="Traditional",4+$F589*0.023,NA()))</f>
        <v/>
      </c>
      <c r="O589">
        <f>IF($A589="","",$D589+ROW()/1000000)</f>
        <v/>
      </c>
      <c r="P589">
        <f>IF(OR($A589="",games!$H589=""),"",games!$H589)</f>
        <v/>
      </c>
      <c r="Q589">
        <f>IF(OR($A589="",$P589&lt;&gt;"Yes"),"",$D589+ROW()/1000000)</f>
        <v/>
      </c>
      <c r="T589">
        <f>IF(connections!$A589="","",IFERROR(INDEX(games!$B$2:$B$950,MATCH(connections!$A589,games!$A$2:$A$950,0)),""))</f>
        <v/>
      </c>
      <c r="U589">
        <f>IF(connections!$A589="","",IFERROR(INDEX(games!$B$2:$B$950,MATCH(connections!$B589,games!$A$2:$A$950,0)),""))</f>
        <v/>
      </c>
      <c r="V589">
        <f>IF(OR($T589="",$U589=""),"",$U589-$T589)</f>
        <v/>
      </c>
    </row>
    <row r="590">
      <c r="A590">
        <f>IF(games!$A590="","",games!$A590)</f>
        <v/>
      </c>
      <c r="B590">
        <f>IF($A590="","",games!$B590)</f>
        <v/>
      </c>
      <c r="C590">
        <f>IF($A590="","",games!$C590)</f>
        <v/>
      </c>
      <c r="D590">
        <f>IF($A590="","",COUNTIF(connections!$A$2:$A$1400,$A590)+COUNTIF(connections!$B$2:$B$1400,$A590))</f>
        <v/>
      </c>
      <c r="E590">
        <f>IF($A590="","",IFERROR(MATCH($C590,$R$2:$R$5,0),0))</f>
        <v/>
      </c>
      <c r="F590">
        <f>IF($A590="","",MOD(ROW(),34))</f>
        <v/>
      </c>
      <c r="G590">
        <f>IF($A590="",NA(),IF($C590="Action",$B590,NA()))</f>
        <v/>
      </c>
      <c r="H590">
        <f>IF($A590="",NA(),IF($C590="Action",1+$F590*0.023,NA()))</f>
        <v/>
      </c>
      <c r="I590">
        <f>IF($A590="",NA(),IF($C590="Strategy",$B590,NA()))</f>
        <v/>
      </c>
      <c r="J590">
        <f>IF($A590="",NA(),IF($C590="Strategy",2+$F590*0.023,NA()))</f>
        <v/>
      </c>
      <c r="K590">
        <f>IF($A590="",NA(),IF($C590="Deckbuilder",$B590,NA()))</f>
        <v/>
      </c>
      <c r="L590">
        <f>IF($A590="",NA(),IF($C590="Deckbuilder",3+$F590*0.023,NA()))</f>
        <v/>
      </c>
      <c r="M590">
        <f>IF($A590="",NA(),IF($C590="Traditional",$B590,NA()))</f>
        <v/>
      </c>
      <c r="N590">
        <f>IF($A590="",NA(),IF($C590="Traditional",4+$F590*0.023,NA()))</f>
        <v/>
      </c>
      <c r="O590">
        <f>IF($A590="","",$D590+ROW()/1000000)</f>
        <v/>
      </c>
      <c r="P590">
        <f>IF(OR($A590="",games!$H590=""),"",games!$H590)</f>
        <v/>
      </c>
      <c r="Q590">
        <f>IF(OR($A590="",$P590&lt;&gt;"Yes"),"",$D590+ROW()/1000000)</f>
        <v/>
      </c>
      <c r="T590">
        <f>IF(connections!$A590="","",IFERROR(INDEX(games!$B$2:$B$950,MATCH(connections!$A590,games!$A$2:$A$950,0)),""))</f>
        <v/>
      </c>
      <c r="U590">
        <f>IF(connections!$A590="","",IFERROR(INDEX(games!$B$2:$B$950,MATCH(connections!$B590,games!$A$2:$A$950,0)),""))</f>
        <v/>
      </c>
      <c r="V590">
        <f>IF(OR($T590="",$U590=""),"",$U590-$T590)</f>
        <v/>
      </c>
    </row>
    <row r="591">
      <c r="A591">
        <f>IF(games!$A591="","",games!$A591)</f>
        <v/>
      </c>
      <c r="B591">
        <f>IF($A591="","",games!$B591)</f>
        <v/>
      </c>
      <c r="C591">
        <f>IF($A591="","",games!$C591)</f>
        <v/>
      </c>
      <c r="D591">
        <f>IF($A591="","",COUNTIF(connections!$A$2:$A$1400,$A591)+COUNTIF(connections!$B$2:$B$1400,$A591))</f>
        <v/>
      </c>
      <c r="E591">
        <f>IF($A591="","",IFERROR(MATCH($C591,$R$2:$R$5,0),0))</f>
        <v/>
      </c>
      <c r="F591">
        <f>IF($A591="","",MOD(ROW(),34))</f>
        <v/>
      </c>
      <c r="G591">
        <f>IF($A591="",NA(),IF($C591="Action",$B591,NA()))</f>
        <v/>
      </c>
      <c r="H591">
        <f>IF($A591="",NA(),IF($C591="Action",1+$F591*0.023,NA()))</f>
        <v/>
      </c>
      <c r="I591">
        <f>IF($A591="",NA(),IF($C591="Strategy",$B591,NA()))</f>
        <v/>
      </c>
      <c r="J591">
        <f>IF($A591="",NA(),IF($C591="Strategy",2+$F591*0.023,NA()))</f>
        <v/>
      </c>
      <c r="K591">
        <f>IF($A591="",NA(),IF($C591="Deckbuilder",$B591,NA()))</f>
        <v/>
      </c>
      <c r="L591">
        <f>IF($A591="",NA(),IF($C591="Deckbuilder",3+$F591*0.023,NA()))</f>
        <v/>
      </c>
      <c r="M591">
        <f>IF($A591="",NA(),IF($C591="Traditional",$B591,NA()))</f>
        <v/>
      </c>
      <c r="N591">
        <f>IF($A591="",NA(),IF($C591="Traditional",4+$F591*0.023,NA()))</f>
        <v/>
      </c>
      <c r="O591">
        <f>IF($A591="","",$D591+ROW()/1000000)</f>
        <v/>
      </c>
      <c r="P591">
        <f>IF(OR($A591="",games!$H591=""),"",games!$H591)</f>
        <v/>
      </c>
      <c r="Q591">
        <f>IF(OR($A591="",$P591&lt;&gt;"Yes"),"",$D591+ROW()/1000000)</f>
        <v/>
      </c>
      <c r="T591">
        <f>IF(connections!$A591="","",IFERROR(INDEX(games!$B$2:$B$950,MATCH(connections!$A591,games!$A$2:$A$950,0)),""))</f>
        <v/>
      </c>
      <c r="U591">
        <f>IF(connections!$A591="","",IFERROR(INDEX(games!$B$2:$B$950,MATCH(connections!$B591,games!$A$2:$A$950,0)),""))</f>
        <v/>
      </c>
      <c r="V591">
        <f>IF(OR($T591="",$U591=""),"",$U591-$T591)</f>
        <v/>
      </c>
    </row>
    <row r="592">
      <c r="A592">
        <f>IF(games!$A592="","",games!$A592)</f>
        <v/>
      </c>
      <c r="B592">
        <f>IF($A592="","",games!$B592)</f>
        <v/>
      </c>
      <c r="C592">
        <f>IF($A592="","",games!$C592)</f>
        <v/>
      </c>
      <c r="D592">
        <f>IF($A592="","",COUNTIF(connections!$A$2:$A$1400,$A592)+COUNTIF(connections!$B$2:$B$1400,$A592))</f>
        <v/>
      </c>
      <c r="E592">
        <f>IF($A592="","",IFERROR(MATCH($C592,$R$2:$R$5,0),0))</f>
        <v/>
      </c>
      <c r="F592">
        <f>IF($A592="","",MOD(ROW(),34))</f>
        <v/>
      </c>
      <c r="G592">
        <f>IF($A592="",NA(),IF($C592="Action",$B592,NA()))</f>
        <v/>
      </c>
      <c r="H592">
        <f>IF($A592="",NA(),IF($C592="Action",1+$F592*0.023,NA()))</f>
        <v/>
      </c>
      <c r="I592">
        <f>IF($A592="",NA(),IF($C592="Strategy",$B592,NA()))</f>
        <v/>
      </c>
      <c r="J592">
        <f>IF($A592="",NA(),IF($C592="Strategy",2+$F592*0.023,NA()))</f>
        <v/>
      </c>
      <c r="K592">
        <f>IF($A592="",NA(),IF($C592="Deckbuilder",$B592,NA()))</f>
        <v/>
      </c>
      <c r="L592">
        <f>IF($A592="",NA(),IF($C592="Deckbuilder",3+$F592*0.023,NA()))</f>
        <v/>
      </c>
      <c r="M592">
        <f>IF($A592="",NA(),IF($C592="Traditional",$B592,NA()))</f>
        <v/>
      </c>
      <c r="N592">
        <f>IF($A592="",NA(),IF($C592="Traditional",4+$F592*0.023,NA()))</f>
        <v/>
      </c>
      <c r="O592">
        <f>IF($A592="","",$D592+ROW()/1000000)</f>
        <v/>
      </c>
      <c r="P592">
        <f>IF(OR($A592="",games!$H592=""),"",games!$H592)</f>
        <v/>
      </c>
      <c r="Q592">
        <f>IF(OR($A592="",$P592&lt;&gt;"Yes"),"",$D592+ROW()/1000000)</f>
        <v/>
      </c>
      <c r="T592">
        <f>IF(connections!$A592="","",IFERROR(INDEX(games!$B$2:$B$950,MATCH(connections!$A592,games!$A$2:$A$950,0)),""))</f>
        <v/>
      </c>
      <c r="U592">
        <f>IF(connections!$A592="","",IFERROR(INDEX(games!$B$2:$B$950,MATCH(connections!$B592,games!$A$2:$A$950,0)),""))</f>
        <v/>
      </c>
      <c r="V592">
        <f>IF(OR($T592="",$U592=""),"",$U592-$T592)</f>
        <v/>
      </c>
    </row>
    <row r="593">
      <c r="A593">
        <f>IF(games!$A593="","",games!$A593)</f>
        <v/>
      </c>
      <c r="B593">
        <f>IF($A593="","",games!$B593)</f>
        <v/>
      </c>
      <c r="C593">
        <f>IF($A593="","",games!$C593)</f>
        <v/>
      </c>
      <c r="D593">
        <f>IF($A593="","",COUNTIF(connections!$A$2:$A$1400,$A593)+COUNTIF(connections!$B$2:$B$1400,$A593))</f>
        <v/>
      </c>
      <c r="E593">
        <f>IF($A593="","",IFERROR(MATCH($C593,$R$2:$R$5,0),0))</f>
        <v/>
      </c>
      <c r="F593">
        <f>IF($A593="","",MOD(ROW(),34))</f>
        <v/>
      </c>
      <c r="G593">
        <f>IF($A593="",NA(),IF($C593="Action",$B593,NA()))</f>
        <v/>
      </c>
      <c r="H593">
        <f>IF($A593="",NA(),IF($C593="Action",1+$F593*0.023,NA()))</f>
        <v/>
      </c>
      <c r="I593">
        <f>IF($A593="",NA(),IF($C593="Strategy",$B593,NA()))</f>
        <v/>
      </c>
      <c r="J593">
        <f>IF($A593="",NA(),IF($C593="Strategy",2+$F593*0.023,NA()))</f>
        <v/>
      </c>
      <c r="K593">
        <f>IF($A593="",NA(),IF($C593="Deckbuilder",$B593,NA()))</f>
        <v/>
      </c>
      <c r="L593">
        <f>IF($A593="",NA(),IF($C593="Deckbuilder",3+$F593*0.023,NA()))</f>
        <v/>
      </c>
      <c r="M593">
        <f>IF($A593="",NA(),IF($C593="Traditional",$B593,NA()))</f>
        <v/>
      </c>
      <c r="N593">
        <f>IF($A593="",NA(),IF($C593="Traditional",4+$F593*0.023,NA()))</f>
        <v/>
      </c>
      <c r="O593">
        <f>IF($A593="","",$D593+ROW()/1000000)</f>
        <v/>
      </c>
      <c r="P593">
        <f>IF(OR($A593="",games!$H593=""),"",games!$H593)</f>
        <v/>
      </c>
      <c r="Q593">
        <f>IF(OR($A593="",$P593&lt;&gt;"Yes"),"",$D593+ROW()/1000000)</f>
        <v/>
      </c>
      <c r="T593">
        <f>IF(connections!$A593="","",IFERROR(INDEX(games!$B$2:$B$950,MATCH(connections!$A593,games!$A$2:$A$950,0)),""))</f>
        <v/>
      </c>
      <c r="U593">
        <f>IF(connections!$A593="","",IFERROR(INDEX(games!$B$2:$B$950,MATCH(connections!$B593,games!$A$2:$A$950,0)),""))</f>
        <v/>
      </c>
      <c r="V593">
        <f>IF(OR($T593="",$U593=""),"",$U593-$T593)</f>
        <v/>
      </c>
    </row>
    <row r="594">
      <c r="A594">
        <f>IF(games!$A594="","",games!$A594)</f>
        <v/>
      </c>
      <c r="B594">
        <f>IF($A594="","",games!$B594)</f>
        <v/>
      </c>
      <c r="C594">
        <f>IF($A594="","",games!$C594)</f>
        <v/>
      </c>
      <c r="D594">
        <f>IF($A594="","",COUNTIF(connections!$A$2:$A$1400,$A594)+COUNTIF(connections!$B$2:$B$1400,$A594))</f>
        <v/>
      </c>
      <c r="E594">
        <f>IF($A594="","",IFERROR(MATCH($C594,$R$2:$R$5,0),0))</f>
        <v/>
      </c>
      <c r="F594">
        <f>IF($A594="","",MOD(ROW(),34))</f>
        <v/>
      </c>
      <c r="G594">
        <f>IF($A594="",NA(),IF($C594="Action",$B594,NA()))</f>
        <v/>
      </c>
      <c r="H594">
        <f>IF($A594="",NA(),IF($C594="Action",1+$F594*0.023,NA()))</f>
        <v/>
      </c>
      <c r="I594">
        <f>IF($A594="",NA(),IF($C594="Strategy",$B594,NA()))</f>
        <v/>
      </c>
      <c r="J594">
        <f>IF($A594="",NA(),IF($C594="Strategy",2+$F594*0.023,NA()))</f>
        <v/>
      </c>
      <c r="K594">
        <f>IF($A594="",NA(),IF($C594="Deckbuilder",$B594,NA()))</f>
        <v/>
      </c>
      <c r="L594">
        <f>IF($A594="",NA(),IF($C594="Deckbuilder",3+$F594*0.023,NA()))</f>
        <v/>
      </c>
      <c r="M594">
        <f>IF($A594="",NA(),IF($C594="Traditional",$B594,NA()))</f>
        <v/>
      </c>
      <c r="N594">
        <f>IF($A594="",NA(),IF($C594="Traditional",4+$F594*0.023,NA()))</f>
        <v/>
      </c>
      <c r="O594">
        <f>IF($A594="","",$D594+ROW()/1000000)</f>
        <v/>
      </c>
      <c r="P594">
        <f>IF(OR($A594="",games!$H594=""),"",games!$H594)</f>
        <v/>
      </c>
      <c r="Q594">
        <f>IF(OR($A594="",$P594&lt;&gt;"Yes"),"",$D594+ROW()/1000000)</f>
        <v/>
      </c>
      <c r="T594">
        <f>IF(connections!$A594="","",IFERROR(INDEX(games!$B$2:$B$950,MATCH(connections!$A594,games!$A$2:$A$950,0)),""))</f>
        <v/>
      </c>
      <c r="U594">
        <f>IF(connections!$A594="","",IFERROR(INDEX(games!$B$2:$B$950,MATCH(connections!$B594,games!$A$2:$A$950,0)),""))</f>
        <v/>
      </c>
      <c r="V594">
        <f>IF(OR($T594="",$U594=""),"",$U594-$T594)</f>
        <v/>
      </c>
    </row>
    <row r="595">
      <c r="A595">
        <f>IF(games!$A595="","",games!$A595)</f>
        <v/>
      </c>
      <c r="B595">
        <f>IF($A595="","",games!$B595)</f>
        <v/>
      </c>
      <c r="C595">
        <f>IF($A595="","",games!$C595)</f>
        <v/>
      </c>
      <c r="D595">
        <f>IF($A595="","",COUNTIF(connections!$A$2:$A$1400,$A595)+COUNTIF(connections!$B$2:$B$1400,$A595))</f>
        <v/>
      </c>
      <c r="E595">
        <f>IF($A595="","",IFERROR(MATCH($C595,$R$2:$R$5,0),0))</f>
        <v/>
      </c>
      <c r="F595">
        <f>IF($A595="","",MOD(ROW(),34))</f>
        <v/>
      </c>
      <c r="G595">
        <f>IF($A595="",NA(),IF($C595="Action",$B595,NA()))</f>
        <v/>
      </c>
      <c r="H595">
        <f>IF($A595="",NA(),IF($C595="Action",1+$F595*0.023,NA()))</f>
        <v/>
      </c>
      <c r="I595">
        <f>IF($A595="",NA(),IF($C595="Strategy",$B595,NA()))</f>
        <v/>
      </c>
      <c r="J595">
        <f>IF($A595="",NA(),IF($C595="Strategy",2+$F595*0.023,NA()))</f>
        <v/>
      </c>
      <c r="K595">
        <f>IF($A595="",NA(),IF($C595="Deckbuilder",$B595,NA()))</f>
        <v/>
      </c>
      <c r="L595">
        <f>IF($A595="",NA(),IF($C595="Deckbuilder",3+$F595*0.023,NA()))</f>
        <v/>
      </c>
      <c r="M595">
        <f>IF($A595="",NA(),IF($C595="Traditional",$B595,NA()))</f>
        <v/>
      </c>
      <c r="N595">
        <f>IF($A595="",NA(),IF($C595="Traditional",4+$F595*0.023,NA()))</f>
        <v/>
      </c>
      <c r="O595">
        <f>IF($A595="","",$D595+ROW()/1000000)</f>
        <v/>
      </c>
      <c r="P595">
        <f>IF(OR($A595="",games!$H595=""),"",games!$H595)</f>
        <v/>
      </c>
      <c r="Q595">
        <f>IF(OR($A595="",$P595&lt;&gt;"Yes"),"",$D595+ROW()/1000000)</f>
        <v/>
      </c>
      <c r="T595">
        <f>IF(connections!$A595="","",IFERROR(INDEX(games!$B$2:$B$950,MATCH(connections!$A595,games!$A$2:$A$950,0)),""))</f>
        <v/>
      </c>
      <c r="U595">
        <f>IF(connections!$A595="","",IFERROR(INDEX(games!$B$2:$B$950,MATCH(connections!$B595,games!$A$2:$A$950,0)),""))</f>
        <v/>
      </c>
      <c r="V595">
        <f>IF(OR($T595="",$U595=""),"",$U595-$T595)</f>
        <v/>
      </c>
    </row>
    <row r="596">
      <c r="A596">
        <f>IF(games!$A596="","",games!$A596)</f>
        <v/>
      </c>
      <c r="B596">
        <f>IF($A596="","",games!$B596)</f>
        <v/>
      </c>
      <c r="C596">
        <f>IF($A596="","",games!$C596)</f>
        <v/>
      </c>
      <c r="D596">
        <f>IF($A596="","",COUNTIF(connections!$A$2:$A$1400,$A596)+COUNTIF(connections!$B$2:$B$1400,$A596))</f>
        <v/>
      </c>
      <c r="E596">
        <f>IF($A596="","",IFERROR(MATCH($C596,$R$2:$R$5,0),0))</f>
        <v/>
      </c>
      <c r="F596">
        <f>IF($A596="","",MOD(ROW(),34))</f>
        <v/>
      </c>
      <c r="G596">
        <f>IF($A596="",NA(),IF($C596="Action",$B596,NA()))</f>
        <v/>
      </c>
      <c r="H596">
        <f>IF($A596="",NA(),IF($C596="Action",1+$F596*0.023,NA()))</f>
        <v/>
      </c>
      <c r="I596">
        <f>IF($A596="",NA(),IF($C596="Strategy",$B596,NA()))</f>
        <v/>
      </c>
      <c r="J596">
        <f>IF($A596="",NA(),IF($C596="Strategy",2+$F596*0.023,NA()))</f>
        <v/>
      </c>
      <c r="K596">
        <f>IF($A596="",NA(),IF($C596="Deckbuilder",$B596,NA()))</f>
        <v/>
      </c>
      <c r="L596">
        <f>IF($A596="",NA(),IF($C596="Deckbuilder",3+$F596*0.023,NA()))</f>
        <v/>
      </c>
      <c r="M596">
        <f>IF($A596="",NA(),IF($C596="Traditional",$B596,NA()))</f>
        <v/>
      </c>
      <c r="N596">
        <f>IF($A596="",NA(),IF($C596="Traditional",4+$F596*0.023,NA()))</f>
        <v/>
      </c>
      <c r="O596">
        <f>IF($A596="","",$D596+ROW()/1000000)</f>
        <v/>
      </c>
      <c r="P596">
        <f>IF(OR($A596="",games!$H596=""),"",games!$H596)</f>
        <v/>
      </c>
      <c r="Q596">
        <f>IF(OR($A596="",$P596&lt;&gt;"Yes"),"",$D596+ROW()/1000000)</f>
        <v/>
      </c>
      <c r="T596">
        <f>IF(connections!$A596="","",IFERROR(INDEX(games!$B$2:$B$950,MATCH(connections!$A596,games!$A$2:$A$950,0)),""))</f>
        <v/>
      </c>
      <c r="U596">
        <f>IF(connections!$A596="","",IFERROR(INDEX(games!$B$2:$B$950,MATCH(connections!$B596,games!$A$2:$A$950,0)),""))</f>
        <v/>
      </c>
      <c r="V596">
        <f>IF(OR($T596="",$U596=""),"",$U596-$T596)</f>
        <v/>
      </c>
    </row>
    <row r="597">
      <c r="A597">
        <f>IF(games!$A597="","",games!$A597)</f>
        <v/>
      </c>
      <c r="B597">
        <f>IF($A597="","",games!$B597)</f>
        <v/>
      </c>
      <c r="C597">
        <f>IF($A597="","",games!$C597)</f>
        <v/>
      </c>
      <c r="D597">
        <f>IF($A597="","",COUNTIF(connections!$A$2:$A$1400,$A597)+COUNTIF(connections!$B$2:$B$1400,$A597))</f>
        <v/>
      </c>
      <c r="E597">
        <f>IF($A597="","",IFERROR(MATCH($C597,$R$2:$R$5,0),0))</f>
        <v/>
      </c>
      <c r="F597">
        <f>IF($A597="","",MOD(ROW(),34))</f>
        <v/>
      </c>
      <c r="G597">
        <f>IF($A597="",NA(),IF($C597="Action",$B597,NA()))</f>
        <v/>
      </c>
      <c r="H597">
        <f>IF($A597="",NA(),IF($C597="Action",1+$F597*0.023,NA()))</f>
        <v/>
      </c>
      <c r="I597">
        <f>IF($A597="",NA(),IF($C597="Strategy",$B597,NA()))</f>
        <v/>
      </c>
      <c r="J597">
        <f>IF($A597="",NA(),IF($C597="Strategy",2+$F597*0.023,NA()))</f>
        <v/>
      </c>
      <c r="K597">
        <f>IF($A597="",NA(),IF($C597="Deckbuilder",$B597,NA()))</f>
        <v/>
      </c>
      <c r="L597">
        <f>IF($A597="",NA(),IF($C597="Deckbuilder",3+$F597*0.023,NA()))</f>
        <v/>
      </c>
      <c r="M597">
        <f>IF($A597="",NA(),IF($C597="Traditional",$B597,NA()))</f>
        <v/>
      </c>
      <c r="N597">
        <f>IF($A597="",NA(),IF($C597="Traditional",4+$F597*0.023,NA()))</f>
        <v/>
      </c>
      <c r="O597">
        <f>IF($A597="","",$D597+ROW()/1000000)</f>
        <v/>
      </c>
      <c r="P597">
        <f>IF(OR($A597="",games!$H597=""),"",games!$H597)</f>
        <v/>
      </c>
      <c r="Q597">
        <f>IF(OR($A597="",$P597&lt;&gt;"Yes"),"",$D597+ROW()/1000000)</f>
        <v/>
      </c>
      <c r="T597">
        <f>IF(connections!$A597="","",IFERROR(INDEX(games!$B$2:$B$950,MATCH(connections!$A597,games!$A$2:$A$950,0)),""))</f>
        <v/>
      </c>
      <c r="U597">
        <f>IF(connections!$A597="","",IFERROR(INDEX(games!$B$2:$B$950,MATCH(connections!$B597,games!$A$2:$A$950,0)),""))</f>
        <v/>
      </c>
      <c r="V597">
        <f>IF(OR($T597="",$U597=""),"",$U597-$T597)</f>
        <v/>
      </c>
    </row>
    <row r="598">
      <c r="A598">
        <f>IF(games!$A598="","",games!$A598)</f>
        <v/>
      </c>
      <c r="B598">
        <f>IF($A598="","",games!$B598)</f>
        <v/>
      </c>
      <c r="C598">
        <f>IF($A598="","",games!$C598)</f>
        <v/>
      </c>
      <c r="D598">
        <f>IF($A598="","",COUNTIF(connections!$A$2:$A$1400,$A598)+COUNTIF(connections!$B$2:$B$1400,$A598))</f>
        <v/>
      </c>
      <c r="E598">
        <f>IF($A598="","",IFERROR(MATCH($C598,$R$2:$R$5,0),0))</f>
        <v/>
      </c>
      <c r="F598">
        <f>IF($A598="","",MOD(ROW(),34))</f>
        <v/>
      </c>
      <c r="G598">
        <f>IF($A598="",NA(),IF($C598="Action",$B598,NA()))</f>
        <v/>
      </c>
      <c r="H598">
        <f>IF($A598="",NA(),IF($C598="Action",1+$F598*0.023,NA()))</f>
        <v/>
      </c>
      <c r="I598">
        <f>IF($A598="",NA(),IF($C598="Strategy",$B598,NA()))</f>
        <v/>
      </c>
      <c r="J598">
        <f>IF($A598="",NA(),IF($C598="Strategy",2+$F598*0.023,NA()))</f>
        <v/>
      </c>
      <c r="K598">
        <f>IF($A598="",NA(),IF($C598="Deckbuilder",$B598,NA()))</f>
        <v/>
      </c>
      <c r="L598">
        <f>IF($A598="",NA(),IF($C598="Deckbuilder",3+$F598*0.023,NA()))</f>
        <v/>
      </c>
      <c r="M598">
        <f>IF($A598="",NA(),IF($C598="Traditional",$B598,NA()))</f>
        <v/>
      </c>
      <c r="N598">
        <f>IF($A598="",NA(),IF($C598="Traditional",4+$F598*0.023,NA()))</f>
        <v/>
      </c>
      <c r="O598">
        <f>IF($A598="","",$D598+ROW()/1000000)</f>
        <v/>
      </c>
      <c r="P598">
        <f>IF(OR($A598="",games!$H598=""),"",games!$H598)</f>
        <v/>
      </c>
      <c r="Q598">
        <f>IF(OR($A598="",$P598&lt;&gt;"Yes"),"",$D598+ROW()/1000000)</f>
        <v/>
      </c>
      <c r="T598">
        <f>IF(connections!$A598="","",IFERROR(INDEX(games!$B$2:$B$950,MATCH(connections!$A598,games!$A$2:$A$950,0)),""))</f>
        <v/>
      </c>
      <c r="U598">
        <f>IF(connections!$A598="","",IFERROR(INDEX(games!$B$2:$B$950,MATCH(connections!$B598,games!$A$2:$A$950,0)),""))</f>
        <v/>
      </c>
      <c r="V598">
        <f>IF(OR($T598="",$U598=""),"",$U598-$T598)</f>
        <v/>
      </c>
    </row>
    <row r="599">
      <c r="A599">
        <f>IF(games!$A599="","",games!$A599)</f>
        <v/>
      </c>
      <c r="B599">
        <f>IF($A599="","",games!$B599)</f>
        <v/>
      </c>
      <c r="C599">
        <f>IF($A599="","",games!$C599)</f>
        <v/>
      </c>
      <c r="D599">
        <f>IF($A599="","",COUNTIF(connections!$A$2:$A$1400,$A599)+COUNTIF(connections!$B$2:$B$1400,$A599))</f>
        <v/>
      </c>
      <c r="E599">
        <f>IF($A599="","",IFERROR(MATCH($C599,$R$2:$R$5,0),0))</f>
        <v/>
      </c>
      <c r="F599">
        <f>IF($A599="","",MOD(ROW(),34))</f>
        <v/>
      </c>
      <c r="G599">
        <f>IF($A599="",NA(),IF($C599="Action",$B599,NA()))</f>
        <v/>
      </c>
      <c r="H599">
        <f>IF($A599="",NA(),IF($C599="Action",1+$F599*0.023,NA()))</f>
        <v/>
      </c>
      <c r="I599">
        <f>IF($A599="",NA(),IF($C599="Strategy",$B599,NA()))</f>
        <v/>
      </c>
      <c r="J599">
        <f>IF($A599="",NA(),IF($C599="Strategy",2+$F599*0.023,NA()))</f>
        <v/>
      </c>
      <c r="K599">
        <f>IF($A599="",NA(),IF($C599="Deckbuilder",$B599,NA()))</f>
        <v/>
      </c>
      <c r="L599">
        <f>IF($A599="",NA(),IF($C599="Deckbuilder",3+$F599*0.023,NA()))</f>
        <v/>
      </c>
      <c r="M599">
        <f>IF($A599="",NA(),IF($C599="Traditional",$B599,NA()))</f>
        <v/>
      </c>
      <c r="N599">
        <f>IF($A599="",NA(),IF($C599="Traditional",4+$F599*0.023,NA()))</f>
        <v/>
      </c>
      <c r="O599">
        <f>IF($A599="","",$D599+ROW()/1000000)</f>
        <v/>
      </c>
      <c r="P599">
        <f>IF(OR($A599="",games!$H599=""),"",games!$H599)</f>
        <v/>
      </c>
      <c r="Q599">
        <f>IF(OR($A599="",$P599&lt;&gt;"Yes"),"",$D599+ROW()/1000000)</f>
        <v/>
      </c>
      <c r="T599">
        <f>IF(connections!$A599="","",IFERROR(INDEX(games!$B$2:$B$950,MATCH(connections!$A599,games!$A$2:$A$950,0)),""))</f>
        <v/>
      </c>
      <c r="U599">
        <f>IF(connections!$A599="","",IFERROR(INDEX(games!$B$2:$B$950,MATCH(connections!$B599,games!$A$2:$A$950,0)),""))</f>
        <v/>
      </c>
      <c r="V599">
        <f>IF(OR($T599="",$U599=""),"",$U599-$T599)</f>
        <v/>
      </c>
    </row>
    <row r="600">
      <c r="A600">
        <f>IF(games!$A600="","",games!$A600)</f>
        <v/>
      </c>
      <c r="B600">
        <f>IF($A600="","",games!$B600)</f>
        <v/>
      </c>
      <c r="C600">
        <f>IF($A600="","",games!$C600)</f>
        <v/>
      </c>
      <c r="D600">
        <f>IF($A600="","",COUNTIF(connections!$A$2:$A$1400,$A600)+COUNTIF(connections!$B$2:$B$1400,$A600))</f>
        <v/>
      </c>
      <c r="E600">
        <f>IF($A600="","",IFERROR(MATCH($C600,$R$2:$R$5,0),0))</f>
        <v/>
      </c>
      <c r="F600">
        <f>IF($A600="","",MOD(ROW(),34))</f>
        <v/>
      </c>
      <c r="G600">
        <f>IF($A600="",NA(),IF($C600="Action",$B600,NA()))</f>
        <v/>
      </c>
      <c r="H600">
        <f>IF($A600="",NA(),IF($C600="Action",1+$F600*0.023,NA()))</f>
        <v/>
      </c>
      <c r="I600">
        <f>IF($A600="",NA(),IF($C600="Strategy",$B600,NA()))</f>
        <v/>
      </c>
      <c r="J600">
        <f>IF($A600="",NA(),IF($C600="Strategy",2+$F600*0.023,NA()))</f>
        <v/>
      </c>
      <c r="K600">
        <f>IF($A600="",NA(),IF($C600="Deckbuilder",$B600,NA()))</f>
        <v/>
      </c>
      <c r="L600">
        <f>IF($A600="",NA(),IF($C600="Deckbuilder",3+$F600*0.023,NA()))</f>
        <v/>
      </c>
      <c r="M600">
        <f>IF($A600="",NA(),IF($C600="Traditional",$B600,NA()))</f>
        <v/>
      </c>
      <c r="N600">
        <f>IF($A600="",NA(),IF($C600="Traditional",4+$F600*0.023,NA()))</f>
        <v/>
      </c>
      <c r="O600">
        <f>IF($A600="","",$D600+ROW()/1000000)</f>
        <v/>
      </c>
      <c r="P600">
        <f>IF(OR($A600="",games!$H600=""),"",games!$H600)</f>
        <v/>
      </c>
      <c r="Q600">
        <f>IF(OR($A600="",$P600&lt;&gt;"Yes"),"",$D600+ROW()/1000000)</f>
        <v/>
      </c>
      <c r="T600">
        <f>IF(connections!$A600="","",IFERROR(INDEX(games!$B$2:$B$950,MATCH(connections!$A600,games!$A$2:$A$950,0)),""))</f>
        <v/>
      </c>
      <c r="U600">
        <f>IF(connections!$A600="","",IFERROR(INDEX(games!$B$2:$B$950,MATCH(connections!$B600,games!$A$2:$A$950,0)),""))</f>
        <v/>
      </c>
      <c r="V600">
        <f>IF(OR($T600="",$U600=""),"",$U600-$T600)</f>
        <v/>
      </c>
    </row>
    <row r="601">
      <c r="A601">
        <f>IF(games!$A601="","",games!$A601)</f>
        <v/>
      </c>
      <c r="B601">
        <f>IF($A601="","",games!$B601)</f>
        <v/>
      </c>
      <c r="C601">
        <f>IF($A601="","",games!$C601)</f>
        <v/>
      </c>
      <c r="D601">
        <f>IF($A601="","",COUNTIF(connections!$A$2:$A$1400,$A601)+COUNTIF(connections!$B$2:$B$1400,$A601))</f>
        <v/>
      </c>
      <c r="E601">
        <f>IF($A601="","",IFERROR(MATCH($C601,$R$2:$R$5,0),0))</f>
        <v/>
      </c>
      <c r="F601">
        <f>IF($A601="","",MOD(ROW(),34))</f>
        <v/>
      </c>
      <c r="G601">
        <f>IF($A601="",NA(),IF($C601="Action",$B601,NA()))</f>
        <v/>
      </c>
      <c r="H601">
        <f>IF($A601="",NA(),IF($C601="Action",1+$F601*0.023,NA()))</f>
        <v/>
      </c>
      <c r="I601">
        <f>IF($A601="",NA(),IF($C601="Strategy",$B601,NA()))</f>
        <v/>
      </c>
      <c r="J601">
        <f>IF($A601="",NA(),IF($C601="Strategy",2+$F601*0.023,NA()))</f>
        <v/>
      </c>
      <c r="K601">
        <f>IF($A601="",NA(),IF($C601="Deckbuilder",$B601,NA()))</f>
        <v/>
      </c>
      <c r="L601">
        <f>IF($A601="",NA(),IF($C601="Deckbuilder",3+$F601*0.023,NA()))</f>
        <v/>
      </c>
      <c r="M601">
        <f>IF($A601="",NA(),IF($C601="Traditional",$B601,NA()))</f>
        <v/>
      </c>
      <c r="N601">
        <f>IF($A601="",NA(),IF($C601="Traditional",4+$F601*0.023,NA()))</f>
        <v/>
      </c>
      <c r="O601">
        <f>IF($A601="","",$D601+ROW()/1000000)</f>
        <v/>
      </c>
      <c r="P601">
        <f>IF(OR($A601="",games!$H601=""),"",games!$H601)</f>
        <v/>
      </c>
      <c r="Q601">
        <f>IF(OR($A601="",$P601&lt;&gt;"Yes"),"",$D601+ROW()/1000000)</f>
        <v/>
      </c>
      <c r="T601">
        <f>IF(connections!$A601="","",IFERROR(INDEX(games!$B$2:$B$950,MATCH(connections!$A601,games!$A$2:$A$950,0)),""))</f>
        <v/>
      </c>
      <c r="U601">
        <f>IF(connections!$A601="","",IFERROR(INDEX(games!$B$2:$B$950,MATCH(connections!$B601,games!$A$2:$A$950,0)),""))</f>
        <v/>
      </c>
      <c r="V601">
        <f>IF(OR($T601="",$U601=""),"",$U601-$T601)</f>
        <v/>
      </c>
    </row>
    <row r="602">
      <c r="A602">
        <f>IF(games!$A602="","",games!$A602)</f>
        <v/>
      </c>
      <c r="B602">
        <f>IF($A602="","",games!$B602)</f>
        <v/>
      </c>
      <c r="C602">
        <f>IF($A602="","",games!$C602)</f>
        <v/>
      </c>
      <c r="D602">
        <f>IF($A602="","",COUNTIF(connections!$A$2:$A$1400,$A602)+COUNTIF(connections!$B$2:$B$1400,$A602))</f>
        <v/>
      </c>
      <c r="E602">
        <f>IF($A602="","",IFERROR(MATCH($C602,$R$2:$R$5,0),0))</f>
        <v/>
      </c>
      <c r="F602">
        <f>IF($A602="","",MOD(ROW(),34))</f>
        <v/>
      </c>
      <c r="G602">
        <f>IF($A602="",NA(),IF($C602="Action",$B602,NA()))</f>
        <v/>
      </c>
      <c r="H602">
        <f>IF($A602="",NA(),IF($C602="Action",1+$F602*0.023,NA()))</f>
        <v/>
      </c>
      <c r="I602">
        <f>IF($A602="",NA(),IF($C602="Strategy",$B602,NA()))</f>
        <v/>
      </c>
      <c r="J602">
        <f>IF($A602="",NA(),IF($C602="Strategy",2+$F602*0.023,NA()))</f>
        <v/>
      </c>
      <c r="K602">
        <f>IF($A602="",NA(),IF($C602="Deckbuilder",$B602,NA()))</f>
        <v/>
      </c>
      <c r="L602">
        <f>IF($A602="",NA(),IF($C602="Deckbuilder",3+$F602*0.023,NA()))</f>
        <v/>
      </c>
      <c r="M602">
        <f>IF($A602="",NA(),IF($C602="Traditional",$B602,NA()))</f>
        <v/>
      </c>
      <c r="N602">
        <f>IF($A602="",NA(),IF($C602="Traditional",4+$F602*0.023,NA()))</f>
        <v/>
      </c>
      <c r="O602">
        <f>IF($A602="","",$D602+ROW()/1000000)</f>
        <v/>
      </c>
      <c r="P602">
        <f>IF(OR($A602="",games!$H602=""),"",games!$H602)</f>
        <v/>
      </c>
      <c r="Q602">
        <f>IF(OR($A602="",$P602&lt;&gt;"Yes"),"",$D602+ROW()/1000000)</f>
        <v/>
      </c>
      <c r="T602">
        <f>IF(connections!$A602="","",IFERROR(INDEX(games!$B$2:$B$950,MATCH(connections!$A602,games!$A$2:$A$950,0)),""))</f>
        <v/>
      </c>
      <c r="U602">
        <f>IF(connections!$A602="","",IFERROR(INDEX(games!$B$2:$B$950,MATCH(connections!$B602,games!$A$2:$A$950,0)),""))</f>
        <v/>
      </c>
      <c r="V602">
        <f>IF(OR($T602="",$U602=""),"",$U602-$T602)</f>
        <v/>
      </c>
    </row>
    <row r="603">
      <c r="A603">
        <f>IF(games!$A603="","",games!$A603)</f>
        <v/>
      </c>
      <c r="B603">
        <f>IF($A603="","",games!$B603)</f>
        <v/>
      </c>
      <c r="C603">
        <f>IF($A603="","",games!$C603)</f>
        <v/>
      </c>
      <c r="D603">
        <f>IF($A603="","",COUNTIF(connections!$A$2:$A$1400,$A603)+COUNTIF(connections!$B$2:$B$1400,$A603))</f>
        <v/>
      </c>
      <c r="E603">
        <f>IF($A603="","",IFERROR(MATCH($C603,$R$2:$R$5,0),0))</f>
        <v/>
      </c>
      <c r="F603">
        <f>IF($A603="","",MOD(ROW(),34))</f>
        <v/>
      </c>
      <c r="G603">
        <f>IF($A603="",NA(),IF($C603="Action",$B603,NA()))</f>
        <v/>
      </c>
      <c r="H603">
        <f>IF($A603="",NA(),IF($C603="Action",1+$F603*0.023,NA()))</f>
        <v/>
      </c>
      <c r="I603">
        <f>IF($A603="",NA(),IF($C603="Strategy",$B603,NA()))</f>
        <v/>
      </c>
      <c r="J603">
        <f>IF($A603="",NA(),IF($C603="Strategy",2+$F603*0.023,NA()))</f>
        <v/>
      </c>
      <c r="K603">
        <f>IF($A603="",NA(),IF($C603="Deckbuilder",$B603,NA()))</f>
        <v/>
      </c>
      <c r="L603">
        <f>IF($A603="",NA(),IF($C603="Deckbuilder",3+$F603*0.023,NA()))</f>
        <v/>
      </c>
      <c r="M603">
        <f>IF($A603="",NA(),IF($C603="Traditional",$B603,NA()))</f>
        <v/>
      </c>
      <c r="N603">
        <f>IF($A603="",NA(),IF($C603="Traditional",4+$F603*0.023,NA()))</f>
        <v/>
      </c>
      <c r="O603">
        <f>IF($A603="","",$D603+ROW()/1000000)</f>
        <v/>
      </c>
      <c r="P603">
        <f>IF(OR($A603="",games!$H603=""),"",games!$H603)</f>
        <v/>
      </c>
      <c r="Q603">
        <f>IF(OR($A603="",$P603&lt;&gt;"Yes"),"",$D603+ROW()/1000000)</f>
        <v/>
      </c>
      <c r="T603">
        <f>IF(connections!$A603="","",IFERROR(INDEX(games!$B$2:$B$950,MATCH(connections!$A603,games!$A$2:$A$950,0)),""))</f>
        <v/>
      </c>
      <c r="U603">
        <f>IF(connections!$A603="","",IFERROR(INDEX(games!$B$2:$B$950,MATCH(connections!$B603,games!$A$2:$A$950,0)),""))</f>
        <v/>
      </c>
      <c r="V603">
        <f>IF(OR($T603="",$U603=""),"",$U603-$T603)</f>
        <v/>
      </c>
    </row>
    <row r="604">
      <c r="A604">
        <f>IF(games!$A604="","",games!$A604)</f>
        <v/>
      </c>
      <c r="B604">
        <f>IF($A604="","",games!$B604)</f>
        <v/>
      </c>
      <c r="C604">
        <f>IF($A604="","",games!$C604)</f>
        <v/>
      </c>
      <c r="D604">
        <f>IF($A604="","",COUNTIF(connections!$A$2:$A$1400,$A604)+COUNTIF(connections!$B$2:$B$1400,$A604))</f>
        <v/>
      </c>
      <c r="E604">
        <f>IF($A604="","",IFERROR(MATCH($C604,$R$2:$R$5,0),0))</f>
        <v/>
      </c>
      <c r="F604">
        <f>IF($A604="","",MOD(ROW(),34))</f>
        <v/>
      </c>
      <c r="G604">
        <f>IF($A604="",NA(),IF($C604="Action",$B604,NA()))</f>
        <v/>
      </c>
      <c r="H604">
        <f>IF($A604="",NA(),IF($C604="Action",1+$F604*0.023,NA()))</f>
        <v/>
      </c>
      <c r="I604">
        <f>IF($A604="",NA(),IF($C604="Strategy",$B604,NA()))</f>
        <v/>
      </c>
      <c r="J604">
        <f>IF($A604="",NA(),IF($C604="Strategy",2+$F604*0.023,NA()))</f>
        <v/>
      </c>
      <c r="K604">
        <f>IF($A604="",NA(),IF($C604="Deckbuilder",$B604,NA()))</f>
        <v/>
      </c>
      <c r="L604">
        <f>IF($A604="",NA(),IF($C604="Deckbuilder",3+$F604*0.023,NA()))</f>
        <v/>
      </c>
      <c r="M604">
        <f>IF($A604="",NA(),IF($C604="Traditional",$B604,NA()))</f>
        <v/>
      </c>
      <c r="N604">
        <f>IF($A604="",NA(),IF($C604="Traditional",4+$F604*0.023,NA()))</f>
        <v/>
      </c>
      <c r="O604">
        <f>IF($A604="","",$D604+ROW()/1000000)</f>
        <v/>
      </c>
      <c r="P604">
        <f>IF(OR($A604="",games!$H604=""),"",games!$H604)</f>
        <v/>
      </c>
      <c r="Q604">
        <f>IF(OR($A604="",$P604&lt;&gt;"Yes"),"",$D604+ROW()/1000000)</f>
        <v/>
      </c>
      <c r="T604">
        <f>IF(connections!$A604="","",IFERROR(INDEX(games!$B$2:$B$950,MATCH(connections!$A604,games!$A$2:$A$950,0)),""))</f>
        <v/>
      </c>
      <c r="U604">
        <f>IF(connections!$A604="","",IFERROR(INDEX(games!$B$2:$B$950,MATCH(connections!$B604,games!$A$2:$A$950,0)),""))</f>
        <v/>
      </c>
      <c r="V604">
        <f>IF(OR($T604="",$U604=""),"",$U604-$T604)</f>
        <v/>
      </c>
    </row>
    <row r="605">
      <c r="A605">
        <f>IF(games!$A605="","",games!$A605)</f>
        <v/>
      </c>
      <c r="B605">
        <f>IF($A605="","",games!$B605)</f>
        <v/>
      </c>
      <c r="C605">
        <f>IF($A605="","",games!$C605)</f>
        <v/>
      </c>
      <c r="D605">
        <f>IF($A605="","",COUNTIF(connections!$A$2:$A$1400,$A605)+COUNTIF(connections!$B$2:$B$1400,$A605))</f>
        <v/>
      </c>
      <c r="E605">
        <f>IF($A605="","",IFERROR(MATCH($C605,$R$2:$R$5,0),0))</f>
        <v/>
      </c>
      <c r="F605">
        <f>IF($A605="","",MOD(ROW(),34))</f>
        <v/>
      </c>
      <c r="G605">
        <f>IF($A605="",NA(),IF($C605="Action",$B605,NA()))</f>
        <v/>
      </c>
      <c r="H605">
        <f>IF($A605="",NA(),IF($C605="Action",1+$F605*0.023,NA()))</f>
        <v/>
      </c>
      <c r="I605">
        <f>IF($A605="",NA(),IF($C605="Strategy",$B605,NA()))</f>
        <v/>
      </c>
      <c r="J605">
        <f>IF($A605="",NA(),IF($C605="Strategy",2+$F605*0.023,NA()))</f>
        <v/>
      </c>
      <c r="K605">
        <f>IF($A605="",NA(),IF($C605="Deckbuilder",$B605,NA()))</f>
        <v/>
      </c>
      <c r="L605">
        <f>IF($A605="",NA(),IF($C605="Deckbuilder",3+$F605*0.023,NA()))</f>
        <v/>
      </c>
      <c r="M605">
        <f>IF($A605="",NA(),IF($C605="Traditional",$B605,NA()))</f>
        <v/>
      </c>
      <c r="N605">
        <f>IF($A605="",NA(),IF($C605="Traditional",4+$F605*0.023,NA()))</f>
        <v/>
      </c>
      <c r="O605">
        <f>IF($A605="","",$D605+ROW()/1000000)</f>
        <v/>
      </c>
      <c r="P605">
        <f>IF(OR($A605="",games!$H605=""),"",games!$H605)</f>
        <v/>
      </c>
      <c r="Q605">
        <f>IF(OR($A605="",$P605&lt;&gt;"Yes"),"",$D605+ROW()/1000000)</f>
        <v/>
      </c>
      <c r="T605">
        <f>IF(connections!$A605="","",IFERROR(INDEX(games!$B$2:$B$950,MATCH(connections!$A605,games!$A$2:$A$950,0)),""))</f>
        <v/>
      </c>
      <c r="U605">
        <f>IF(connections!$A605="","",IFERROR(INDEX(games!$B$2:$B$950,MATCH(connections!$B605,games!$A$2:$A$950,0)),""))</f>
        <v/>
      </c>
      <c r="V605">
        <f>IF(OR($T605="",$U605=""),"",$U605-$T605)</f>
        <v/>
      </c>
    </row>
    <row r="606">
      <c r="A606">
        <f>IF(games!$A606="","",games!$A606)</f>
        <v/>
      </c>
      <c r="B606">
        <f>IF($A606="","",games!$B606)</f>
        <v/>
      </c>
      <c r="C606">
        <f>IF($A606="","",games!$C606)</f>
        <v/>
      </c>
      <c r="D606">
        <f>IF($A606="","",COUNTIF(connections!$A$2:$A$1400,$A606)+COUNTIF(connections!$B$2:$B$1400,$A606))</f>
        <v/>
      </c>
      <c r="E606">
        <f>IF($A606="","",IFERROR(MATCH($C606,$R$2:$R$5,0),0))</f>
        <v/>
      </c>
      <c r="F606">
        <f>IF($A606="","",MOD(ROW(),34))</f>
        <v/>
      </c>
      <c r="G606">
        <f>IF($A606="",NA(),IF($C606="Action",$B606,NA()))</f>
        <v/>
      </c>
      <c r="H606">
        <f>IF($A606="",NA(),IF($C606="Action",1+$F606*0.023,NA()))</f>
        <v/>
      </c>
      <c r="I606">
        <f>IF($A606="",NA(),IF($C606="Strategy",$B606,NA()))</f>
        <v/>
      </c>
      <c r="J606">
        <f>IF($A606="",NA(),IF($C606="Strategy",2+$F606*0.023,NA()))</f>
        <v/>
      </c>
      <c r="K606">
        <f>IF($A606="",NA(),IF($C606="Deckbuilder",$B606,NA()))</f>
        <v/>
      </c>
      <c r="L606">
        <f>IF($A606="",NA(),IF($C606="Deckbuilder",3+$F606*0.023,NA()))</f>
        <v/>
      </c>
      <c r="M606">
        <f>IF($A606="",NA(),IF($C606="Traditional",$B606,NA()))</f>
        <v/>
      </c>
      <c r="N606">
        <f>IF($A606="",NA(),IF($C606="Traditional",4+$F606*0.023,NA()))</f>
        <v/>
      </c>
      <c r="O606">
        <f>IF($A606="","",$D606+ROW()/1000000)</f>
        <v/>
      </c>
      <c r="P606">
        <f>IF(OR($A606="",games!$H606=""),"",games!$H606)</f>
        <v/>
      </c>
      <c r="Q606">
        <f>IF(OR($A606="",$P606&lt;&gt;"Yes"),"",$D606+ROW()/1000000)</f>
        <v/>
      </c>
      <c r="T606">
        <f>IF(connections!$A606="","",IFERROR(INDEX(games!$B$2:$B$950,MATCH(connections!$A606,games!$A$2:$A$950,0)),""))</f>
        <v/>
      </c>
      <c r="U606">
        <f>IF(connections!$A606="","",IFERROR(INDEX(games!$B$2:$B$950,MATCH(connections!$B606,games!$A$2:$A$950,0)),""))</f>
        <v/>
      </c>
      <c r="V606">
        <f>IF(OR($T606="",$U606=""),"",$U606-$T606)</f>
        <v/>
      </c>
    </row>
    <row r="607">
      <c r="A607">
        <f>IF(games!$A607="","",games!$A607)</f>
        <v/>
      </c>
      <c r="B607">
        <f>IF($A607="","",games!$B607)</f>
        <v/>
      </c>
      <c r="C607">
        <f>IF($A607="","",games!$C607)</f>
        <v/>
      </c>
      <c r="D607">
        <f>IF($A607="","",COUNTIF(connections!$A$2:$A$1400,$A607)+COUNTIF(connections!$B$2:$B$1400,$A607))</f>
        <v/>
      </c>
      <c r="E607">
        <f>IF($A607="","",IFERROR(MATCH($C607,$R$2:$R$5,0),0))</f>
        <v/>
      </c>
      <c r="F607">
        <f>IF($A607="","",MOD(ROW(),34))</f>
        <v/>
      </c>
      <c r="G607">
        <f>IF($A607="",NA(),IF($C607="Action",$B607,NA()))</f>
        <v/>
      </c>
      <c r="H607">
        <f>IF($A607="",NA(),IF($C607="Action",1+$F607*0.023,NA()))</f>
        <v/>
      </c>
      <c r="I607">
        <f>IF($A607="",NA(),IF($C607="Strategy",$B607,NA()))</f>
        <v/>
      </c>
      <c r="J607">
        <f>IF($A607="",NA(),IF($C607="Strategy",2+$F607*0.023,NA()))</f>
        <v/>
      </c>
      <c r="K607">
        <f>IF($A607="",NA(),IF($C607="Deckbuilder",$B607,NA()))</f>
        <v/>
      </c>
      <c r="L607">
        <f>IF($A607="",NA(),IF($C607="Deckbuilder",3+$F607*0.023,NA()))</f>
        <v/>
      </c>
      <c r="M607">
        <f>IF($A607="",NA(),IF($C607="Traditional",$B607,NA()))</f>
        <v/>
      </c>
      <c r="N607">
        <f>IF($A607="",NA(),IF($C607="Traditional",4+$F607*0.023,NA()))</f>
        <v/>
      </c>
      <c r="O607">
        <f>IF($A607="","",$D607+ROW()/1000000)</f>
        <v/>
      </c>
      <c r="P607">
        <f>IF(OR($A607="",games!$H607=""),"",games!$H607)</f>
        <v/>
      </c>
      <c r="Q607">
        <f>IF(OR($A607="",$P607&lt;&gt;"Yes"),"",$D607+ROW()/1000000)</f>
        <v/>
      </c>
      <c r="T607">
        <f>IF(connections!$A607="","",IFERROR(INDEX(games!$B$2:$B$950,MATCH(connections!$A607,games!$A$2:$A$950,0)),""))</f>
        <v/>
      </c>
      <c r="U607">
        <f>IF(connections!$A607="","",IFERROR(INDEX(games!$B$2:$B$950,MATCH(connections!$B607,games!$A$2:$A$950,0)),""))</f>
        <v/>
      </c>
      <c r="V607">
        <f>IF(OR($T607="",$U607=""),"",$U607-$T607)</f>
        <v/>
      </c>
    </row>
    <row r="608">
      <c r="A608">
        <f>IF(games!$A608="","",games!$A608)</f>
        <v/>
      </c>
      <c r="B608">
        <f>IF($A608="","",games!$B608)</f>
        <v/>
      </c>
      <c r="C608">
        <f>IF($A608="","",games!$C608)</f>
        <v/>
      </c>
      <c r="D608">
        <f>IF($A608="","",COUNTIF(connections!$A$2:$A$1400,$A608)+COUNTIF(connections!$B$2:$B$1400,$A608))</f>
        <v/>
      </c>
      <c r="E608">
        <f>IF($A608="","",IFERROR(MATCH($C608,$R$2:$R$5,0),0))</f>
        <v/>
      </c>
      <c r="F608">
        <f>IF($A608="","",MOD(ROW(),34))</f>
        <v/>
      </c>
      <c r="G608">
        <f>IF($A608="",NA(),IF($C608="Action",$B608,NA()))</f>
        <v/>
      </c>
      <c r="H608">
        <f>IF($A608="",NA(),IF($C608="Action",1+$F608*0.023,NA()))</f>
        <v/>
      </c>
      <c r="I608">
        <f>IF($A608="",NA(),IF($C608="Strategy",$B608,NA()))</f>
        <v/>
      </c>
      <c r="J608">
        <f>IF($A608="",NA(),IF($C608="Strategy",2+$F608*0.023,NA()))</f>
        <v/>
      </c>
      <c r="K608">
        <f>IF($A608="",NA(),IF($C608="Deckbuilder",$B608,NA()))</f>
        <v/>
      </c>
      <c r="L608">
        <f>IF($A608="",NA(),IF($C608="Deckbuilder",3+$F608*0.023,NA()))</f>
        <v/>
      </c>
      <c r="M608">
        <f>IF($A608="",NA(),IF($C608="Traditional",$B608,NA()))</f>
        <v/>
      </c>
      <c r="N608">
        <f>IF($A608="",NA(),IF($C608="Traditional",4+$F608*0.023,NA()))</f>
        <v/>
      </c>
      <c r="O608">
        <f>IF($A608="","",$D608+ROW()/1000000)</f>
        <v/>
      </c>
      <c r="P608">
        <f>IF(OR($A608="",games!$H608=""),"",games!$H608)</f>
        <v/>
      </c>
      <c r="Q608">
        <f>IF(OR($A608="",$P608&lt;&gt;"Yes"),"",$D608+ROW()/1000000)</f>
        <v/>
      </c>
      <c r="T608">
        <f>IF(connections!$A608="","",IFERROR(INDEX(games!$B$2:$B$950,MATCH(connections!$A608,games!$A$2:$A$950,0)),""))</f>
        <v/>
      </c>
      <c r="U608">
        <f>IF(connections!$A608="","",IFERROR(INDEX(games!$B$2:$B$950,MATCH(connections!$B608,games!$A$2:$A$950,0)),""))</f>
        <v/>
      </c>
      <c r="V608">
        <f>IF(OR($T608="",$U608=""),"",$U608-$T608)</f>
        <v/>
      </c>
    </row>
    <row r="609">
      <c r="A609">
        <f>IF(games!$A609="","",games!$A609)</f>
        <v/>
      </c>
      <c r="B609">
        <f>IF($A609="","",games!$B609)</f>
        <v/>
      </c>
      <c r="C609">
        <f>IF($A609="","",games!$C609)</f>
        <v/>
      </c>
      <c r="D609">
        <f>IF($A609="","",COUNTIF(connections!$A$2:$A$1400,$A609)+COUNTIF(connections!$B$2:$B$1400,$A609))</f>
        <v/>
      </c>
      <c r="E609">
        <f>IF($A609="","",IFERROR(MATCH($C609,$R$2:$R$5,0),0))</f>
        <v/>
      </c>
      <c r="F609">
        <f>IF($A609="","",MOD(ROW(),34))</f>
        <v/>
      </c>
      <c r="G609">
        <f>IF($A609="",NA(),IF($C609="Action",$B609,NA()))</f>
        <v/>
      </c>
      <c r="H609">
        <f>IF($A609="",NA(),IF($C609="Action",1+$F609*0.023,NA()))</f>
        <v/>
      </c>
      <c r="I609">
        <f>IF($A609="",NA(),IF($C609="Strategy",$B609,NA()))</f>
        <v/>
      </c>
      <c r="J609">
        <f>IF($A609="",NA(),IF($C609="Strategy",2+$F609*0.023,NA()))</f>
        <v/>
      </c>
      <c r="K609">
        <f>IF($A609="",NA(),IF($C609="Deckbuilder",$B609,NA()))</f>
        <v/>
      </c>
      <c r="L609">
        <f>IF($A609="",NA(),IF($C609="Deckbuilder",3+$F609*0.023,NA()))</f>
        <v/>
      </c>
      <c r="M609">
        <f>IF($A609="",NA(),IF($C609="Traditional",$B609,NA()))</f>
        <v/>
      </c>
      <c r="N609">
        <f>IF($A609="",NA(),IF($C609="Traditional",4+$F609*0.023,NA()))</f>
        <v/>
      </c>
      <c r="O609">
        <f>IF($A609="","",$D609+ROW()/1000000)</f>
        <v/>
      </c>
      <c r="P609">
        <f>IF(OR($A609="",games!$H609=""),"",games!$H609)</f>
        <v/>
      </c>
      <c r="Q609">
        <f>IF(OR($A609="",$P609&lt;&gt;"Yes"),"",$D609+ROW()/1000000)</f>
        <v/>
      </c>
      <c r="T609">
        <f>IF(connections!$A609="","",IFERROR(INDEX(games!$B$2:$B$950,MATCH(connections!$A609,games!$A$2:$A$950,0)),""))</f>
        <v/>
      </c>
      <c r="U609">
        <f>IF(connections!$A609="","",IFERROR(INDEX(games!$B$2:$B$950,MATCH(connections!$B609,games!$A$2:$A$950,0)),""))</f>
        <v/>
      </c>
      <c r="V609">
        <f>IF(OR($T609="",$U609=""),"",$U609-$T609)</f>
        <v/>
      </c>
    </row>
    <row r="610">
      <c r="A610">
        <f>IF(games!$A610="","",games!$A610)</f>
        <v/>
      </c>
      <c r="B610">
        <f>IF($A610="","",games!$B610)</f>
        <v/>
      </c>
      <c r="C610">
        <f>IF($A610="","",games!$C610)</f>
        <v/>
      </c>
      <c r="D610">
        <f>IF($A610="","",COUNTIF(connections!$A$2:$A$1400,$A610)+COUNTIF(connections!$B$2:$B$1400,$A610))</f>
        <v/>
      </c>
      <c r="E610">
        <f>IF($A610="","",IFERROR(MATCH($C610,$R$2:$R$5,0),0))</f>
        <v/>
      </c>
      <c r="F610">
        <f>IF($A610="","",MOD(ROW(),34))</f>
        <v/>
      </c>
      <c r="G610">
        <f>IF($A610="",NA(),IF($C610="Action",$B610,NA()))</f>
        <v/>
      </c>
      <c r="H610">
        <f>IF($A610="",NA(),IF($C610="Action",1+$F610*0.023,NA()))</f>
        <v/>
      </c>
      <c r="I610">
        <f>IF($A610="",NA(),IF($C610="Strategy",$B610,NA()))</f>
        <v/>
      </c>
      <c r="J610">
        <f>IF($A610="",NA(),IF($C610="Strategy",2+$F610*0.023,NA()))</f>
        <v/>
      </c>
      <c r="K610">
        <f>IF($A610="",NA(),IF($C610="Deckbuilder",$B610,NA()))</f>
        <v/>
      </c>
      <c r="L610">
        <f>IF($A610="",NA(),IF($C610="Deckbuilder",3+$F610*0.023,NA()))</f>
        <v/>
      </c>
      <c r="M610">
        <f>IF($A610="",NA(),IF($C610="Traditional",$B610,NA()))</f>
        <v/>
      </c>
      <c r="N610">
        <f>IF($A610="",NA(),IF($C610="Traditional",4+$F610*0.023,NA()))</f>
        <v/>
      </c>
      <c r="O610">
        <f>IF($A610="","",$D610+ROW()/1000000)</f>
        <v/>
      </c>
      <c r="P610">
        <f>IF(OR($A610="",games!$H610=""),"",games!$H610)</f>
        <v/>
      </c>
      <c r="Q610">
        <f>IF(OR($A610="",$P610&lt;&gt;"Yes"),"",$D610+ROW()/1000000)</f>
        <v/>
      </c>
      <c r="T610">
        <f>IF(connections!$A610="","",IFERROR(INDEX(games!$B$2:$B$950,MATCH(connections!$A610,games!$A$2:$A$950,0)),""))</f>
        <v/>
      </c>
      <c r="U610">
        <f>IF(connections!$A610="","",IFERROR(INDEX(games!$B$2:$B$950,MATCH(connections!$B610,games!$A$2:$A$950,0)),""))</f>
        <v/>
      </c>
      <c r="V610">
        <f>IF(OR($T610="",$U610=""),"",$U610-$T610)</f>
        <v/>
      </c>
    </row>
    <row r="611">
      <c r="A611">
        <f>IF(games!$A611="","",games!$A611)</f>
        <v/>
      </c>
      <c r="B611">
        <f>IF($A611="","",games!$B611)</f>
        <v/>
      </c>
      <c r="C611">
        <f>IF($A611="","",games!$C611)</f>
        <v/>
      </c>
      <c r="D611">
        <f>IF($A611="","",COUNTIF(connections!$A$2:$A$1400,$A611)+COUNTIF(connections!$B$2:$B$1400,$A611))</f>
        <v/>
      </c>
      <c r="E611">
        <f>IF($A611="","",IFERROR(MATCH($C611,$R$2:$R$5,0),0))</f>
        <v/>
      </c>
      <c r="F611">
        <f>IF($A611="","",MOD(ROW(),34))</f>
        <v/>
      </c>
      <c r="G611">
        <f>IF($A611="",NA(),IF($C611="Action",$B611,NA()))</f>
        <v/>
      </c>
      <c r="H611">
        <f>IF($A611="",NA(),IF($C611="Action",1+$F611*0.023,NA()))</f>
        <v/>
      </c>
      <c r="I611">
        <f>IF($A611="",NA(),IF($C611="Strategy",$B611,NA()))</f>
        <v/>
      </c>
      <c r="J611">
        <f>IF($A611="",NA(),IF($C611="Strategy",2+$F611*0.023,NA()))</f>
        <v/>
      </c>
      <c r="K611">
        <f>IF($A611="",NA(),IF($C611="Deckbuilder",$B611,NA()))</f>
        <v/>
      </c>
      <c r="L611">
        <f>IF($A611="",NA(),IF($C611="Deckbuilder",3+$F611*0.023,NA()))</f>
        <v/>
      </c>
      <c r="M611">
        <f>IF($A611="",NA(),IF($C611="Traditional",$B611,NA()))</f>
        <v/>
      </c>
      <c r="N611">
        <f>IF($A611="",NA(),IF($C611="Traditional",4+$F611*0.023,NA()))</f>
        <v/>
      </c>
      <c r="O611">
        <f>IF($A611="","",$D611+ROW()/1000000)</f>
        <v/>
      </c>
      <c r="P611">
        <f>IF(OR($A611="",games!$H611=""),"",games!$H611)</f>
        <v/>
      </c>
      <c r="Q611">
        <f>IF(OR($A611="",$P611&lt;&gt;"Yes"),"",$D611+ROW()/1000000)</f>
        <v/>
      </c>
      <c r="T611">
        <f>IF(connections!$A611="","",IFERROR(INDEX(games!$B$2:$B$950,MATCH(connections!$A611,games!$A$2:$A$950,0)),""))</f>
        <v/>
      </c>
      <c r="U611">
        <f>IF(connections!$A611="","",IFERROR(INDEX(games!$B$2:$B$950,MATCH(connections!$B611,games!$A$2:$A$950,0)),""))</f>
        <v/>
      </c>
      <c r="V611">
        <f>IF(OR($T611="",$U611=""),"",$U611-$T611)</f>
        <v/>
      </c>
    </row>
    <row r="612">
      <c r="A612">
        <f>IF(games!$A612="","",games!$A612)</f>
        <v/>
      </c>
      <c r="B612">
        <f>IF($A612="","",games!$B612)</f>
        <v/>
      </c>
      <c r="C612">
        <f>IF($A612="","",games!$C612)</f>
        <v/>
      </c>
      <c r="D612">
        <f>IF($A612="","",COUNTIF(connections!$A$2:$A$1400,$A612)+COUNTIF(connections!$B$2:$B$1400,$A612))</f>
        <v/>
      </c>
      <c r="E612">
        <f>IF($A612="","",IFERROR(MATCH($C612,$R$2:$R$5,0),0))</f>
        <v/>
      </c>
      <c r="F612">
        <f>IF($A612="","",MOD(ROW(),34))</f>
        <v/>
      </c>
      <c r="G612">
        <f>IF($A612="",NA(),IF($C612="Action",$B612,NA()))</f>
        <v/>
      </c>
      <c r="H612">
        <f>IF($A612="",NA(),IF($C612="Action",1+$F612*0.023,NA()))</f>
        <v/>
      </c>
      <c r="I612">
        <f>IF($A612="",NA(),IF($C612="Strategy",$B612,NA()))</f>
        <v/>
      </c>
      <c r="J612">
        <f>IF($A612="",NA(),IF($C612="Strategy",2+$F612*0.023,NA()))</f>
        <v/>
      </c>
      <c r="K612">
        <f>IF($A612="",NA(),IF($C612="Deckbuilder",$B612,NA()))</f>
        <v/>
      </c>
      <c r="L612">
        <f>IF($A612="",NA(),IF($C612="Deckbuilder",3+$F612*0.023,NA()))</f>
        <v/>
      </c>
      <c r="M612">
        <f>IF($A612="",NA(),IF($C612="Traditional",$B612,NA()))</f>
        <v/>
      </c>
      <c r="N612">
        <f>IF($A612="",NA(),IF($C612="Traditional",4+$F612*0.023,NA()))</f>
        <v/>
      </c>
      <c r="O612">
        <f>IF($A612="","",$D612+ROW()/1000000)</f>
        <v/>
      </c>
      <c r="P612">
        <f>IF(OR($A612="",games!$H612=""),"",games!$H612)</f>
        <v/>
      </c>
      <c r="Q612">
        <f>IF(OR($A612="",$P612&lt;&gt;"Yes"),"",$D612+ROW()/1000000)</f>
        <v/>
      </c>
      <c r="T612">
        <f>IF(connections!$A612="","",IFERROR(INDEX(games!$B$2:$B$950,MATCH(connections!$A612,games!$A$2:$A$950,0)),""))</f>
        <v/>
      </c>
      <c r="U612">
        <f>IF(connections!$A612="","",IFERROR(INDEX(games!$B$2:$B$950,MATCH(connections!$B612,games!$A$2:$A$950,0)),""))</f>
        <v/>
      </c>
      <c r="V612">
        <f>IF(OR($T612="",$U612=""),"",$U612-$T612)</f>
        <v/>
      </c>
    </row>
    <row r="613">
      <c r="A613">
        <f>IF(games!$A613="","",games!$A613)</f>
        <v/>
      </c>
      <c r="B613">
        <f>IF($A613="","",games!$B613)</f>
        <v/>
      </c>
      <c r="C613">
        <f>IF($A613="","",games!$C613)</f>
        <v/>
      </c>
      <c r="D613">
        <f>IF($A613="","",COUNTIF(connections!$A$2:$A$1400,$A613)+COUNTIF(connections!$B$2:$B$1400,$A613))</f>
        <v/>
      </c>
      <c r="E613">
        <f>IF($A613="","",IFERROR(MATCH($C613,$R$2:$R$5,0),0))</f>
        <v/>
      </c>
      <c r="F613">
        <f>IF($A613="","",MOD(ROW(),34))</f>
        <v/>
      </c>
      <c r="G613">
        <f>IF($A613="",NA(),IF($C613="Action",$B613,NA()))</f>
        <v/>
      </c>
      <c r="H613">
        <f>IF($A613="",NA(),IF($C613="Action",1+$F613*0.023,NA()))</f>
        <v/>
      </c>
      <c r="I613">
        <f>IF($A613="",NA(),IF($C613="Strategy",$B613,NA()))</f>
        <v/>
      </c>
      <c r="J613">
        <f>IF($A613="",NA(),IF($C613="Strategy",2+$F613*0.023,NA()))</f>
        <v/>
      </c>
      <c r="K613">
        <f>IF($A613="",NA(),IF($C613="Deckbuilder",$B613,NA()))</f>
        <v/>
      </c>
      <c r="L613">
        <f>IF($A613="",NA(),IF($C613="Deckbuilder",3+$F613*0.023,NA()))</f>
        <v/>
      </c>
      <c r="M613">
        <f>IF($A613="",NA(),IF($C613="Traditional",$B613,NA()))</f>
        <v/>
      </c>
      <c r="N613">
        <f>IF($A613="",NA(),IF($C613="Traditional",4+$F613*0.023,NA()))</f>
        <v/>
      </c>
      <c r="O613">
        <f>IF($A613="","",$D613+ROW()/1000000)</f>
        <v/>
      </c>
      <c r="P613">
        <f>IF(OR($A613="",games!$H613=""),"",games!$H613)</f>
        <v/>
      </c>
      <c r="Q613">
        <f>IF(OR($A613="",$P613&lt;&gt;"Yes"),"",$D613+ROW()/1000000)</f>
        <v/>
      </c>
      <c r="T613">
        <f>IF(connections!$A613="","",IFERROR(INDEX(games!$B$2:$B$950,MATCH(connections!$A613,games!$A$2:$A$950,0)),""))</f>
        <v/>
      </c>
      <c r="U613">
        <f>IF(connections!$A613="","",IFERROR(INDEX(games!$B$2:$B$950,MATCH(connections!$B613,games!$A$2:$A$950,0)),""))</f>
        <v/>
      </c>
      <c r="V613">
        <f>IF(OR($T613="",$U613=""),"",$U613-$T613)</f>
        <v/>
      </c>
    </row>
    <row r="614">
      <c r="A614">
        <f>IF(games!$A614="","",games!$A614)</f>
        <v/>
      </c>
      <c r="B614">
        <f>IF($A614="","",games!$B614)</f>
        <v/>
      </c>
      <c r="C614">
        <f>IF($A614="","",games!$C614)</f>
        <v/>
      </c>
      <c r="D614">
        <f>IF($A614="","",COUNTIF(connections!$A$2:$A$1400,$A614)+COUNTIF(connections!$B$2:$B$1400,$A614))</f>
        <v/>
      </c>
      <c r="E614">
        <f>IF($A614="","",IFERROR(MATCH($C614,$R$2:$R$5,0),0))</f>
        <v/>
      </c>
      <c r="F614">
        <f>IF($A614="","",MOD(ROW(),34))</f>
        <v/>
      </c>
      <c r="G614">
        <f>IF($A614="",NA(),IF($C614="Action",$B614,NA()))</f>
        <v/>
      </c>
      <c r="H614">
        <f>IF($A614="",NA(),IF($C614="Action",1+$F614*0.023,NA()))</f>
        <v/>
      </c>
      <c r="I614">
        <f>IF($A614="",NA(),IF($C614="Strategy",$B614,NA()))</f>
        <v/>
      </c>
      <c r="J614">
        <f>IF($A614="",NA(),IF($C614="Strategy",2+$F614*0.023,NA()))</f>
        <v/>
      </c>
      <c r="K614">
        <f>IF($A614="",NA(),IF($C614="Deckbuilder",$B614,NA()))</f>
        <v/>
      </c>
      <c r="L614">
        <f>IF($A614="",NA(),IF($C614="Deckbuilder",3+$F614*0.023,NA()))</f>
        <v/>
      </c>
      <c r="M614">
        <f>IF($A614="",NA(),IF($C614="Traditional",$B614,NA()))</f>
        <v/>
      </c>
      <c r="N614">
        <f>IF($A614="",NA(),IF($C614="Traditional",4+$F614*0.023,NA()))</f>
        <v/>
      </c>
      <c r="O614">
        <f>IF($A614="","",$D614+ROW()/1000000)</f>
        <v/>
      </c>
      <c r="P614">
        <f>IF(OR($A614="",games!$H614=""),"",games!$H614)</f>
        <v/>
      </c>
      <c r="Q614">
        <f>IF(OR($A614="",$P614&lt;&gt;"Yes"),"",$D614+ROW()/1000000)</f>
        <v/>
      </c>
      <c r="T614">
        <f>IF(connections!$A614="","",IFERROR(INDEX(games!$B$2:$B$950,MATCH(connections!$A614,games!$A$2:$A$950,0)),""))</f>
        <v/>
      </c>
      <c r="U614">
        <f>IF(connections!$A614="","",IFERROR(INDEX(games!$B$2:$B$950,MATCH(connections!$B614,games!$A$2:$A$950,0)),""))</f>
        <v/>
      </c>
      <c r="V614">
        <f>IF(OR($T614="",$U614=""),"",$U614-$T614)</f>
        <v/>
      </c>
    </row>
    <row r="615">
      <c r="A615">
        <f>IF(games!$A615="","",games!$A615)</f>
        <v/>
      </c>
      <c r="B615">
        <f>IF($A615="","",games!$B615)</f>
        <v/>
      </c>
      <c r="C615">
        <f>IF($A615="","",games!$C615)</f>
        <v/>
      </c>
      <c r="D615">
        <f>IF($A615="","",COUNTIF(connections!$A$2:$A$1400,$A615)+COUNTIF(connections!$B$2:$B$1400,$A615))</f>
        <v/>
      </c>
      <c r="E615">
        <f>IF($A615="","",IFERROR(MATCH($C615,$R$2:$R$5,0),0))</f>
        <v/>
      </c>
      <c r="F615">
        <f>IF($A615="","",MOD(ROW(),34))</f>
        <v/>
      </c>
      <c r="G615">
        <f>IF($A615="",NA(),IF($C615="Action",$B615,NA()))</f>
        <v/>
      </c>
      <c r="H615">
        <f>IF($A615="",NA(),IF($C615="Action",1+$F615*0.023,NA()))</f>
        <v/>
      </c>
      <c r="I615">
        <f>IF($A615="",NA(),IF($C615="Strategy",$B615,NA()))</f>
        <v/>
      </c>
      <c r="J615">
        <f>IF($A615="",NA(),IF($C615="Strategy",2+$F615*0.023,NA()))</f>
        <v/>
      </c>
      <c r="K615">
        <f>IF($A615="",NA(),IF($C615="Deckbuilder",$B615,NA()))</f>
        <v/>
      </c>
      <c r="L615">
        <f>IF($A615="",NA(),IF($C615="Deckbuilder",3+$F615*0.023,NA()))</f>
        <v/>
      </c>
      <c r="M615">
        <f>IF($A615="",NA(),IF($C615="Traditional",$B615,NA()))</f>
        <v/>
      </c>
      <c r="N615">
        <f>IF($A615="",NA(),IF($C615="Traditional",4+$F615*0.023,NA()))</f>
        <v/>
      </c>
      <c r="O615">
        <f>IF($A615="","",$D615+ROW()/1000000)</f>
        <v/>
      </c>
      <c r="P615">
        <f>IF(OR($A615="",games!$H615=""),"",games!$H615)</f>
        <v/>
      </c>
      <c r="Q615">
        <f>IF(OR($A615="",$P615&lt;&gt;"Yes"),"",$D615+ROW()/1000000)</f>
        <v/>
      </c>
      <c r="T615">
        <f>IF(connections!$A615="","",IFERROR(INDEX(games!$B$2:$B$950,MATCH(connections!$A615,games!$A$2:$A$950,0)),""))</f>
        <v/>
      </c>
      <c r="U615">
        <f>IF(connections!$A615="","",IFERROR(INDEX(games!$B$2:$B$950,MATCH(connections!$B615,games!$A$2:$A$950,0)),""))</f>
        <v/>
      </c>
      <c r="V615">
        <f>IF(OR($T615="",$U615=""),"",$U615-$T615)</f>
        <v/>
      </c>
    </row>
    <row r="616">
      <c r="A616">
        <f>IF(games!$A616="","",games!$A616)</f>
        <v/>
      </c>
      <c r="B616">
        <f>IF($A616="","",games!$B616)</f>
        <v/>
      </c>
      <c r="C616">
        <f>IF($A616="","",games!$C616)</f>
        <v/>
      </c>
      <c r="D616">
        <f>IF($A616="","",COUNTIF(connections!$A$2:$A$1400,$A616)+COUNTIF(connections!$B$2:$B$1400,$A616))</f>
        <v/>
      </c>
      <c r="E616">
        <f>IF($A616="","",IFERROR(MATCH($C616,$R$2:$R$5,0),0))</f>
        <v/>
      </c>
      <c r="F616">
        <f>IF($A616="","",MOD(ROW(),34))</f>
        <v/>
      </c>
      <c r="G616">
        <f>IF($A616="",NA(),IF($C616="Action",$B616,NA()))</f>
        <v/>
      </c>
      <c r="H616">
        <f>IF($A616="",NA(),IF($C616="Action",1+$F616*0.023,NA()))</f>
        <v/>
      </c>
      <c r="I616">
        <f>IF($A616="",NA(),IF($C616="Strategy",$B616,NA()))</f>
        <v/>
      </c>
      <c r="J616">
        <f>IF($A616="",NA(),IF($C616="Strategy",2+$F616*0.023,NA()))</f>
        <v/>
      </c>
      <c r="K616">
        <f>IF($A616="",NA(),IF($C616="Deckbuilder",$B616,NA()))</f>
        <v/>
      </c>
      <c r="L616">
        <f>IF($A616="",NA(),IF($C616="Deckbuilder",3+$F616*0.023,NA()))</f>
        <v/>
      </c>
      <c r="M616">
        <f>IF($A616="",NA(),IF($C616="Traditional",$B616,NA()))</f>
        <v/>
      </c>
      <c r="N616">
        <f>IF($A616="",NA(),IF($C616="Traditional",4+$F616*0.023,NA()))</f>
        <v/>
      </c>
      <c r="O616">
        <f>IF($A616="","",$D616+ROW()/1000000)</f>
        <v/>
      </c>
      <c r="P616">
        <f>IF(OR($A616="",games!$H616=""),"",games!$H616)</f>
        <v/>
      </c>
      <c r="Q616">
        <f>IF(OR($A616="",$P616&lt;&gt;"Yes"),"",$D616+ROW()/1000000)</f>
        <v/>
      </c>
      <c r="T616">
        <f>IF(connections!$A616="","",IFERROR(INDEX(games!$B$2:$B$950,MATCH(connections!$A616,games!$A$2:$A$950,0)),""))</f>
        <v/>
      </c>
      <c r="U616">
        <f>IF(connections!$A616="","",IFERROR(INDEX(games!$B$2:$B$950,MATCH(connections!$B616,games!$A$2:$A$950,0)),""))</f>
        <v/>
      </c>
      <c r="V616">
        <f>IF(OR($T616="",$U616=""),"",$U616-$T616)</f>
        <v/>
      </c>
    </row>
    <row r="617">
      <c r="A617">
        <f>IF(games!$A617="","",games!$A617)</f>
        <v/>
      </c>
      <c r="B617">
        <f>IF($A617="","",games!$B617)</f>
        <v/>
      </c>
      <c r="C617">
        <f>IF($A617="","",games!$C617)</f>
        <v/>
      </c>
      <c r="D617">
        <f>IF($A617="","",COUNTIF(connections!$A$2:$A$1400,$A617)+COUNTIF(connections!$B$2:$B$1400,$A617))</f>
        <v/>
      </c>
      <c r="E617">
        <f>IF($A617="","",IFERROR(MATCH($C617,$R$2:$R$5,0),0))</f>
        <v/>
      </c>
      <c r="F617">
        <f>IF($A617="","",MOD(ROW(),34))</f>
        <v/>
      </c>
      <c r="G617">
        <f>IF($A617="",NA(),IF($C617="Action",$B617,NA()))</f>
        <v/>
      </c>
      <c r="H617">
        <f>IF($A617="",NA(),IF($C617="Action",1+$F617*0.023,NA()))</f>
        <v/>
      </c>
      <c r="I617">
        <f>IF($A617="",NA(),IF($C617="Strategy",$B617,NA()))</f>
        <v/>
      </c>
      <c r="J617">
        <f>IF($A617="",NA(),IF($C617="Strategy",2+$F617*0.023,NA()))</f>
        <v/>
      </c>
      <c r="K617">
        <f>IF($A617="",NA(),IF($C617="Deckbuilder",$B617,NA()))</f>
        <v/>
      </c>
      <c r="L617">
        <f>IF($A617="",NA(),IF($C617="Deckbuilder",3+$F617*0.023,NA()))</f>
        <v/>
      </c>
      <c r="M617">
        <f>IF($A617="",NA(),IF($C617="Traditional",$B617,NA()))</f>
        <v/>
      </c>
      <c r="N617">
        <f>IF($A617="",NA(),IF($C617="Traditional",4+$F617*0.023,NA()))</f>
        <v/>
      </c>
      <c r="O617">
        <f>IF($A617="","",$D617+ROW()/1000000)</f>
        <v/>
      </c>
      <c r="P617">
        <f>IF(OR($A617="",games!$H617=""),"",games!$H617)</f>
        <v/>
      </c>
      <c r="Q617">
        <f>IF(OR($A617="",$P617&lt;&gt;"Yes"),"",$D617+ROW()/1000000)</f>
        <v/>
      </c>
      <c r="T617">
        <f>IF(connections!$A617="","",IFERROR(INDEX(games!$B$2:$B$950,MATCH(connections!$A617,games!$A$2:$A$950,0)),""))</f>
        <v/>
      </c>
      <c r="U617">
        <f>IF(connections!$A617="","",IFERROR(INDEX(games!$B$2:$B$950,MATCH(connections!$B617,games!$A$2:$A$950,0)),""))</f>
        <v/>
      </c>
      <c r="V617">
        <f>IF(OR($T617="",$U617=""),"",$U617-$T617)</f>
        <v/>
      </c>
    </row>
    <row r="618">
      <c r="A618">
        <f>IF(games!$A618="","",games!$A618)</f>
        <v/>
      </c>
      <c r="B618">
        <f>IF($A618="","",games!$B618)</f>
        <v/>
      </c>
      <c r="C618">
        <f>IF($A618="","",games!$C618)</f>
        <v/>
      </c>
      <c r="D618">
        <f>IF($A618="","",COUNTIF(connections!$A$2:$A$1400,$A618)+COUNTIF(connections!$B$2:$B$1400,$A618))</f>
        <v/>
      </c>
      <c r="E618">
        <f>IF($A618="","",IFERROR(MATCH($C618,$R$2:$R$5,0),0))</f>
        <v/>
      </c>
      <c r="F618">
        <f>IF($A618="","",MOD(ROW(),34))</f>
        <v/>
      </c>
      <c r="G618">
        <f>IF($A618="",NA(),IF($C618="Action",$B618,NA()))</f>
        <v/>
      </c>
      <c r="H618">
        <f>IF($A618="",NA(),IF($C618="Action",1+$F618*0.023,NA()))</f>
        <v/>
      </c>
      <c r="I618">
        <f>IF($A618="",NA(),IF($C618="Strategy",$B618,NA()))</f>
        <v/>
      </c>
      <c r="J618">
        <f>IF($A618="",NA(),IF($C618="Strategy",2+$F618*0.023,NA()))</f>
        <v/>
      </c>
      <c r="K618">
        <f>IF($A618="",NA(),IF($C618="Deckbuilder",$B618,NA()))</f>
        <v/>
      </c>
      <c r="L618">
        <f>IF($A618="",NA(),IF($C618="Deckbuilder",3+$F618*0.023,NA()))</f>
        <v/>
      </c>
      <c r="M618">
        <f>IF($A618="",NA(),IF($C618="Traditional",$B618,NA()))</f>
        <v/>
      </c>
      <c r="N618">
        <f>IF($A618="",NA(),IF($C618="Traditional",4+$F618*0.023,NA()))</f>
        <v/>
      </c>
      <c r="O618">
        <f>IF($A618="","",$D618+ROW()/1000000)</f>
        <v/>
      </c>
      <c r="P618">
        <f>IF(OR($A618="",games!$H618=""),"",games!$H618)</f>
        <v/>
      </c>
      <c r="Q618">
        <f>IF(OR($A618="",$P618&lt;&gt;"Yes"),"",$D618+ROW()/1000000)</f>
        <v/>
      </c>
      <c r="T618">
        <f>IF(connections!$A618="","",IFERROR(INDEX(games!$B$2:$B$950,MATCH(connections!$A618,games!$A$2:$A$950,0)),""))</f>
        <v/>
      </c>
      <c r="U618">
        <f>IF(connections!$A618="","",IFERROR(INDEX(games!$B$2:$B$950,MATCH(connections!$B618,games!$A$2:$A$950,0)),""))</f>
        <v/>
      </c>
      <c r="V618">
        <f>IF(OR($T618="",$U618=""),"",$U618-$T618)</f>
        <v/>
      </c>
    </row>
    <row r="619">
      <c r="A619">
        <f>IF(games!$A619="","",games!$A619)</f>
        <v/>
      </c>
      <c r="B619">
        <f>IF($A619="","",games!$B619)</f>
        <v/>
      </c>
      <c r="C619">
        <f>IF($A619="","",games!$C619)</f>
        <v/>
      </c>
      <c r="D619">
        <f>IF($A619="","",COUNTIF(connections!$A$2:$A$1400,$A619)+COUNTIF(connections!$B$2:$B$1400,$A619))</f>
        <v/>
      </c>
      <c r="E619">
        <f>IF($A619="","",IFERROR(MATCH($C619,$R$2:$R$5,0),0))</f>
        <v/>
      </c>
      <c r="F619">
        <f>IF($A619="","",MOD(ROW(),34))</f>
        <v/>
      </c>
      <c r="G619">
        <f>IF($A619="",NA(),IF($C619="Action",$B619,NA()))</f>
        <v/>
      </c>
      <c r="H619">
        <f>IF($A619="",NA(),IF($C619="Action",1+$F619*0.023,NA()))</f>
        <v/>
      </c>
      <c r="I619">
        <f>IF($A619="",NA(),IF($C619="Strategy",$B619,NA()))</f>
        <v/>
      </c>
      <c r="J619">
        <f>IF($A619="",NA(),IF($C619="Strategy",2+$F619*0.023,NA()))</f>
        <v/>
      </c>
      <c r="K619">
        <f>IF($A619="",NA(),IF($C619="Deckbuilder",$B619,NA()))</f>
        <v/>
      </c>
      <c r="L619">
        <f>IF($A619="",NA(),IF($C619="Deckbuilder",3+$F619*0.023,NA()))</f>
        <v/>
      </c>
      <c r="M619">
        <f>IF($A619="",NA(),IF($C619="Traditional",$B619,NA()))</f>
        <v/>
      </c>
      <c r="N619">
        <f>IF($A619="",NA(),IF($C619="Traditional",4+$F619*0.023,NA()))</f>
        <v/>
      </c>
      <c r="O619">
        <f>IF($A619="","",$D619+ROW()/1000000)</f>
        <v/>
      </c>
      <c r="P619">
        <f>IF(OR($A619="",games!$H619=""),"",games!$H619)</f>
        <v/>
      </c>
      <c r="Q619">
        <f>IF(OR($A619="",$P619&lt;&gt;"Yes"),"",$D619+ROW()/1000000)</f>
        <v/>
      </c>
      <c r="T619">
        <f>IF(connections!$A619="","",IFERROR(INDEX(games!$B$2:$B$950,MATCH(connections!$A619,games!$A$2:$A$950,0)),""))</f>
        <v/>
      </c>
      <c r="U619">
        <f>IF(connections!$A619="","",IFERROR(INDEX(games!$B$2:$B$950,MATCH(connections!$B619,games!$A$2:$A$950,0)),""))</f>
        <v/>
      </c>
      <c r="V619">
        <f>IF(OR($T619="",$U619=""),"",$U619-$T619)</f>
        <v/>
      </c>
    </row>
    <row r="620">
      <c r="A620">
        <f>IF(games!$A620="","",games!$A620)</f>
        <v/>
      </c>
      <c r="B620">
        <f>IF($A620="","",games!$B620)</f>
        <v/>
      </c>
      <c r="C620">
        <f>IF($A620="","",games!$C620)</f>
        <v/>
      </c>
      <c r="D620">
        <f>IF($A620="","",COUNTIF(connections!$A$2:$A$1400,$A620)+COUNTIF(connections!$B$2:$B$1400,$A620))</f>
        <v/>
      </c>
      <c r="E620">
        <f>IF($A620="","",IFERROR(MATCH($C620,$R$2:$R$5,0),0))</f>
        <v/>
      </c>
      <c r="F620">
        <f>IF($A620="","",MOD(ROW(),34))</f>
        <v/>
      </c>
      <c r="G620">
        <f>IF($A620="",NA(),IF($C620="Action",$B620,NA()))</f>
        <v/>
      </c>
      <c r="H620">
        <f>IF($A620="",NA(),IF($C620="Action",1+$F620*0.023,NA()))</f>
        <v/>
      </c>
      <c r="I620">
        <f>IF($A620="",NA(),IF($C620="Strategy",$B620,NA()))</f>
        <v/>
      </c>
      <c r="J620">
        <f>IF($A620="",NA(),IF($C620="Strategy",2+$F620*0.023,NA()))</f>
        <v/>
      </c>
      <c r="K620">
        <f>IF($A620="",NA(),IF($C620="Deckbuilder",$B620,NA()))</f>
        <v/>
      </c>
      <c r="L620">
        <f>IF($A620="",NA(),IF($C620="Deckbuilder",3+$F620*0.023,NA()))</f>
        <v/>
      </c>
      <c r="M620">
        <f>IF($A620="",NA(),IF($C620="Traditional",$B620,NA()))</f>
        <v/>
      </c>
      <c r="N620">
        <f>IF($A620="",NA(),IF($C620="Traditional",4+$F620*0.023,NA()))</f>
        <v/>
      </c>
      <c r="O620">
        <f>IF($A620="","",$D620+ROW()/1000000)</f>
        <v/>
      </c>
      <c r="P620">
        <f>IF(OR($A620="",games!$H620=""),"",games!$H620)</f>
        <v/>
      </c>
      <c r="Q620">
        <f>IF(OR($A620="",$P620&lt;&gt;"Yes"),"",$D620+ROW()/1000000)</f>
        <v/>
      </c>
      <c r="T620">
        <f>IF(connections!$A620="","",IFERROR(INDEX(games!$B$2:$B$950,MATCH(connections!$A620,games!$A$2:$A$950,0)),""))</f>
        <v/>
      </c>
      <c r="U620">
        <f>IF(connections!$A620="","",IFERROR(INDEX(games!$B$2:$B$950,MATCH(connections!$B620,games!$A$2:$A$950,0)),""))</f>
        <v/>
      </c>
      <c r="V620">
        <f>IF(OR($T620="",$U620=""),"",$U620-$T620)</f>
        <v/>
      </c>
    </row>
    <row r="621">
      <c r="A621">
        <f>IF(games!$A621="","",games!$A621)</f>
        <v/>
      </c>
      <c r="B621">
        <f>IF($A621="","",games!$B621)</f>
        <v/>
      </c>
      <c r="C621">
        <f>IF($A621="","",games!$C621)</f>
        <v/>
      </c>
      <c r="D621">
        <f>IF($A621="","",COUNTIF(connections!$A$2:$A$1400,$A621)+COUNTIF(connections!$B$2:$B$1400,$A621))</f>
        <v/>
      </c>
      <c r="E621">
        <f>IF($A621="","",IFERROR(MATCH($C621,$R$2:$R$5,0),0))</f>
        <v/>
      </c>
      <c r="F621">
        <f>IF($A621="","",MOD(ROW(),34))</f>
        <v/>
      </c>
      <c r="G621">
        <f>IF($A621="",NA(),IF($C621="Action",$B621,NA()))</f>
        <v/>
      </c>
      <c r="H621">
        <f>IF($A621="",NA(),IF($C621="Action",1+$F621*0.023,NA()))</f>
        <v/>
      </c>
      <c r="I621">
        <f>IF($A621="",NA(),IF($C621="Strategy",$B621,NA()))</f>
        <v/>
      </c>
      <c r="J621">
        <f>IF($A621="",NA(),IF($C621="Strategy",2+$F621*0.023,NA()))</f>
        <v/>
      </c>
      <c r="K621">
        <f>IF($A621="",NA(),IF($C621="Deckbuilder",$B621,NA()))</f>
        <v/>
      </c>
      <c r="L621">
        <f>IF($A621="",NA(),IF($C621="Deckbuilder",3+$F621*0.023,NA()))</f>
        <v/>
      </c>
      <c r="M621">
        <f>IF($A621="",NA(),IF($C621="Traditional",$B621,NA()))</f>
        <v/>
      </c>
      <c r="N621">
        <f>IF($A621="",NA(),IF($C621="Traditional",4+$F621*0.023,NA()))</f>
        <v/>
      </c>
      <c r="O621">
        <f>IF($A621="","",$D621+ROW()/1000000)</f>
        <v/>
      </c>
      <c r="P621">
        <f>IF(OR($A621="",games!$H621=""),"",games!$H621)</f>
        <v/>
      </c>
      <c r="Q621">
        <f>IF(OR($A621="",$P621&lt;&gt;"Yes"),"",$D621+ROW()/1000000)</f>
        <v/>
      </c>
      <c r="T621">
        <f>IF(connections!$A621="","",IFERROR(INDEX(games!$B$2:$B$950,MATCH(connections!$A621,games!$A$2:$A$950,0)),""))</f>
        <v/>
      </c>
      <c r="U621">
        <f>IF(connections!$A621="","",IFERROR(INDEX(games!$B$2:$B$950,MATCH(connections!$B621,games!$A$2:$A$950,0)),""))</f>
        <v/>
      </c>
      <c r="V621">
        <f>IF(OR($T621="",$U621=""),"",$U621-$T621)</f>
        <v/>
      </c>
    </row>
    <row r="622">
      <c r="A622">
        <f>IF(games!$A622="","",games!$A622)</f>
        <v/>
      </c>
      <c r="B622">
        <f>IF($A622="","",games!$B622)</f>
        <v/>
      </c>
      <c r="C622">
        <f>IF($A622="","",games!$C622)</f>
        <v/>
      </c>
      <c r="D622">
        <f>IF($A622="","",COUNTIF(connections!$A$2:$A$1400,$A622)+COUNTIF(connections!$B$2:$B$1400,$A622))</f>
        <v/>
      </c>
      <c r="E622">
        <f>IF($A622="","",IFERROR(MATCH($C622,$R$2:$R$5,0),0))</f>
        <v/>
      </c>
      <c r="F622">
        <f>IF($A622="","",MOD(ROW(),34))</f>
        <v/>
      </c>
      <c r="G622">
        <f>IF($A622="",NA(),IF($C622="Action",$B622,NA()))</f>
        <v/>
      </c>
      <c r="H622">
        <f>IF($A622="",NA(),IF($C622="Action",1+$F622*0.023,NA()))</f>
        <v/>
      </c>
      <c r="I622">
        <f>IF($A622="",NA(),IF($C622="Strategy",$B622,NA()))</f>
        <v/>
      </c>
      <c r="J622">
        <f>IF($A622="",NA(),IF($C622="Strategy",2+$F622*0.023,NA()))</f>
        <v/>
      </c>
      <c r="K622">
        <f>IF($A622="",NA(),IF($C622="Deckbuilder",$B622,NA()))</f>
        <v/>
      </c>
      <c r="L622">
        <f>IF($A622="",NA(),IF($C622="Deckbuilder",3+$F622*0.023,NA()))</f>
        <v/>
      </c>
      <c r="M622">
        <f>IF($A622="",NA(),IF($C622="Traditional",$B622,NA()))</f>
        <v/>
      </c>
      <c r="N622">
        <f>IF($A622="",NA(),IF($C622="Traditional",4+$F622*0.023,NA()))</f>
        <v/>
      </c>
      <c r="O622">
        <f>IF($A622="","",$D622+ROW()/1000000)</f>
        <v/>
      </c>
      <c r="P622">
        <f>IF(OR($A622="",games!$H622=""),"",games!$H622)</f>
        <v/>
      </c>
      <c r="Q622">
        <f>IF(OR($A622="",$P622&lt;&gt;"Yes"),"",$D622+ROW()/1000000)</f>
        <v/>
      </c>
      <c r="T622">
        <f>IF(connections!$A622="","",IFERROR(INDEX(games!$B$2:$B$950,MATCH(connections!$A622,games!$A$2:$A$950,0)),""))</f>
        <v/>
      </c>
      <c r="U622">
        <f>IF(connections!$A622="","",IFERROR(INDEX(games!$B$2:$B$950,MATCH(connections!$B622,games!$A$2:$A$950,0)),""))</f>
        <v/>
      </c>
      <c r="V622">
        <f>IF(OR($T622="",$U622=""),"",$U622-$T622)</f>
        <v/>
      </c>
    </row>
    <row r="623">
      <c r="A623">
        <f>IF(games!$A623="","",games!$A623)</f>
        <v/>
      </c>
      <c r="B623">
        <f>IF($A623="","",games!$B623)</f>
        <v/>
      </c>
      <c r="C623">
        <f>IF($A623="","",games!$C623)</f>
        <v/>
      </c>
      <c r="D623">
        <f>IF($A623="","",COUNTIF(connections!$A$2:$A$1400,$A623)+COUNTIF(connections!$B$2:$B$1400,$A623))</f>
        <v/>
      </c>
      <c r="E623">
        <f>IF($A623="","",IFERROR(MATCH($C623,$R$2:$R$5,0),0))</f>
        <v/>
      </c>
      <c r="F623">
        <f>IF($A623="","",MOD(ROW(),34))</f>
        <v/>
      </c>
      <c r="G623">
        <f>IF($A623="",NA(),IF($C623="Action",$B623,NA()))</f>
        <v/>
      </c>
      <c r="H623">
        <f>IF($A623="",NA(),IF($C623="Action",1+$F623*0.023,NA()))</f>
        <v/>
      </c>
      <c r="I623">
        <f>IF($A623="",NA(),IF($C623="Strategy",$B623,NA()))</f>
        <v/>
      </c>
      <c r="J623">
        <f>IF($A623="",NA(),IF($C623="Strategy",2+$F623*0.023,NA()))</f>
        <v/>
      </c>
      <c r="K623">
        <f>IF($A623="",NA(),IF($C623="Deckbuilder",$B623,NA()))</f>
        <v/>
      </c>
      <c r="L623">
        <f>IF($A623="",NA(),IF($C623="Deckbuilder",3+$F623*0.023,NA()))</f>
        <v/>
      </c>
      <c r="M623">
        <f>IF($A623="",NA(),IF($C623="Traditional",$B623,NA()))</f>
        <v/>
      </c>
      <c r="N623">
        <f>IF($A623="",NA(),IF($C623="Traditional",4+$F623*0.023,NA()))</f>
        <v/>
      </c>
      <c r="O623">
        <f>IF($A623="","",$D623+ROW()/1000000)</f>
        <v/>
      </c>
      <c r="P623">
        <f>IF(OR($A623="",games!$H623=""),"",games!$H623)</f>
        <v/>
      </c>
      <c r="Q623">
        <f>IF(OR($A623="",$P623&lt;&gt;"Yes"),"",$D623+ROW()/1000000)</f>
        <v/>
      </c>
      <c r="T623">
        <f>IF(connections!$A623="","",IFERROR(INDEX(games!$B$2:$B$950,MATCH(connections!$A623,games!$A$2:$A$950,0)),""))</f>
        <v/>
      </c>
      <c r="U623">
        <f>IF(connections!$A623="","",IFERROR(INDEX(games!$B$2:$B$950,MATCH(connections!$B623,games!$A$2:$A$950,0)),""))</f>
        <v/>
      </c>
      <c r="V623">
        <f>IF(OR($T623="",$U623=""),"",$U623-$T623)</f>
        <v/>
      </c>
    </row>
    <row r="624">
      <c r="A624">
        <f>IF(games!$A624="","",games!$A624)</f>
        <v/>
      </c>
      <c r="B624">
        <f>IF($A624="","",games!$B624)</f>
        <v/>
      </c>
      <c r="C624">
        <f>IF($A624="","",games!$C624)</f>
        <v/>
      </c>
      <c r="D624">
        <f>IF($A624="","",COUNTIF(connections!$A$2:$A$1400,$A624)+COUNTIF(connections!$B$2:$B$1400,$A624))</f>
        <v/>
      </c>
      <c r="E624">
        <f>IF($A624="","",IFERROR(MATCH($C624,$R$2:$R$5,0),0))</f>
        <v/>
      </c>
      <c r="F624">
        <f>IF($A624="","",MOD(ROW(),34))</f>
        <v/>
      </c>
      <c r="G624">
        <f>IF($A624="",NA(),IF($C624="Action",$B624,NA()))</f>
        <v/>
      </c>
      <c r="H624">
        <f>IF($A624="",NA(),IF($C624="Action",1+$F624*0.023,NA()))</f>
        <v/>
      </c>
      <c r="I624">
        <f>IF($A624="",NA(),IF($C624="Strategy",$B624,NA()))</f>
        <v/>
      </c>
      <c r="J624">
        <f>IF($A624="",NA(),IF($C624="Strategy",2+$F624*0.023,NA()))</f>
        <v/>
      </c>
      <c r="K624">
        <f>IF($A624="",NA(),IF($C624="Deckbuilder",$B624,NA()))</f>
        <v/>
      </c>
      <c r="L624">
        <f>IF($A624="",NA(),IF($C624="Deckbuilder",3+$F624*0.023,NA()))</f>
        <v/>
      </c>
      <c r="M624">
        <f>IF($A624="",NA(),IF($C624="Traditional",$B624,NA()))</f>
        <v/>
      </c>
      <c r="N624">
        <f>IF($A624="",NA(),IF($C624="Traditional",4+$F624*0.023,NA()))</f>
        <v/>
      </c>
      <c r="O624">
        <f>IF($A624="","",$D624+ROW()/1000000)</f>
        <v/>
      </c>
      <c r="P624">
        <f>IF(OR($A624="",games!$H624=""),"",games!$H624)</f>
        <v/>
      </c>
      <c r="Q624">
        <f>IF(OR($A624="",$P624&lt;&gt;"Yes"),"",$D624+ROW()/1000000)</f>
        <v/>
      </c>
      <c r="T624">
        <f>IF(connections!$A624="","",IFERROR(INDEX(games!$B$2:$B$950,MATCH(connections!$A624,games!$A$2:$A$950,0)),""))</f>
        <v/>
      </c>
      <c r="U624">
        <f>IF(connections!$A624="","",IFERROR(INDEX(games!$B$2:$B$950,MATCH(connections!$B624,games!$A$2:$A$950,0)),""))</f>
        <v/>
      </c>
      <c r="V624">
        <f>IF(OR($T624="",$U624=""),"",$U624-$T624)</f>
        <v/>
      </c>
    </row>
    <row r="625">
      <c r="A625">
        <f>IF(games!$A625="","",games!$A625)</f>
        <v/>
      </c>
      <c r="B625">
        <f>IF($A625="","",games!$B625)</f>
        <v/>
      </c>
      <c r="C625">
        <f>IF($A625="","",games!$C625)</f>
        <v/>
      </c>
      <c r="D625">
        <f>IF($A625="","",COUNTIF(connections!$A$2:$A$1400,$A625)+COUNTIF(connections!$B$2:$B$1400,$A625))</f>
        <v/>
      </c>
      <c r="E625">
        <f>IF($A625="","",IFERROR(MATCH($C625,$R$2:$R$5,0),0))</f>
        <v/>
      </c>
      <c r="F625">
        <f>IF($A625="","",MOD(ROW(),34))</f>
        <v/>
      </c>
      <c r="G625">
        <f>IF($A625="",NA(),IF($C625="Action",$B625,NA()))</f>
        <v/>
      </c>
      <c r="H625">
        <f>IF($A625="",NA(),IF($C625="Action",1+$F625*0.023,NA()))</f>
        <v/>
      </c>
      <c r="I625">
        <f>IF($A625="",NA(),IF($C625="Strategy",$B625,NA()))</f>
        <v/>
      </c>
      <c r="J625">
        <f>IF($A625="",NA(),IF($C625="Strategy",2+$F625*0.023,NA()))</f>
        <v/>
      </c>
      <c r="K625">
        <f>IF($A625="",NA(),IF($C625="Deckbuilder",$B625,NA()))</f>
        <v/>
      </c>
      <c r="L625">
        <f>IF($A625="",NA(),IF($C625="Deckbuilder",3+$F625*0.023,NA()))</f>
        <v/>
      </c>
      <c r="M625">
        <f>IF($A625="",NA(),IF($C625="Traditional",$B625,NA()))</f>
        <v/>
      </c>
      <c r="N625">
        <f>IF($A625="",NA(),IF($C625="Traditional",4+$F625*0.023,NA()))</f>
        <v/>
      </c>
      <c r="O625">
        <f>IF($A625="","",$D625+ROW()/1000000)</f>
        <v/>
      </c>
      <c r="P625">
        <f>IF(OR($A625="",games!$H625=""),"",games!$H625)</f>
        <v/>
      </c>
      <c r="Q625">
        <f>IF(OR($A625="",$P625&lt;&gt;"Yes"),"",$D625+ROW()/1000000)</f>
        <v/>
      </c>
      <c r="T625">
        <f>IF(connections!$A625="","",IFERROR(INDEX(games!$B$2:$B$950,MATCH(connections!$A625,games!$A$2:$A$950,0)),""))</f>
        <v/>
      </c>
      <c r="U625">
        <f>IF(connections!$A625="","",IFERROR(INDEX(games!$B$2:$B$950,MATCH(connections!$B625,games!$A$2:$A$950,0)),""))</f>
        <v/>
      </c>
      <c r="V625">
        <f>IF(OR($T625="",$U625=""),"",$U625-$T625)</f>
        <v/>
      </c>
    </row>
    <row r="626">
      <c r="A626">
        <f>IF(games!$A626="","",games!$A626)</f>
        <v/>
      </c>
      <c r="B626">
        <f>IF($A626="","",games!$B626)</f>
        <v/>
      </c>
      <c r="C626">
        <f>IF($A626="","",games!$C626)</f>
        <v/>
      </c>
      <c r="D626">
        <f>IF($A626="","",COUNTIF(connections!$A$2:$A$1400,$A626)+COUNTIF(connections!$B$2:$B$1400,$A626))</f>
        <v/>
      </c>
      <c r="E626">
        <f>IF($A626="","",IFERROR(MATCH($C626,$R$2:$R$5,0),0))</f>
        <v/>
      </c>
      <c r="F626">
        <f>IF($A626="","",MOD(ROW(),34))</f>
        <v/>
      </c>
      <c r="G626">
        <f>IF($A626="",NA(),IF($C626="Action",$B626,NA()))</f>
        <v/>
      </c>
      <c r="H626">
        <f>IF($A626="",NA(),IF($C626="Action",1+$F626*0.023,NA()))</f>
        <v/>
      </c>
      <c r="I626">
        <f>IF($A626="",NA(),IF($C626="Strategy",$B626,NA()))</f>
        <v/>
      </c>
      <c r="J626">
        <f>IF($A626="",NA(),IF($C626="Strategy",2+$F626*0.023,NA()))</f>
        <v/>
      </c>
      <c r="K626">
        <f>IF($A626="",NA(),IF($C626="Deckbuilder",$B626,NA()))</f>
        <v/>
      </c>
      <c r="L626">
        <f>IF($A626="",NA(),IF($C626="Deckbuilder",3+$F626*0.023,NA()))</f>
        <v/>
      </c>
      <c r="M626">
        <f>IF($A626="",NA(),IF($C626="Traditional",$B626,NA()))</f>
        <v/>
      </c>
      <c r="N626">
        <f>IF($A626="",NA(),IF($C626="Traditional",4+$F626*0.023,NA()))</f>
        <v/>
      </c>
      <c r="O626">
        <f>IF($A626="","",$D626+ROW()/1000000)</f>
        <v/>
      </c>
      <c r="P626">
        <f>IF(OR($A626="",games!$H626=""),"",games!$H626)</f>
        <v/>
      </c>
      <c r="Q626">
        <f>IF(OR($A626="",$P626&lt;&gt;"Yes"),"",$D626+ROW()/1000000)</f>
        <v/>
      </c>
      <c r="T626">
        <f>IF(connections!$A626="","",IFERROR(INDEX(games!$B$2:$B$950,MATCH(connections!$A626,games!$A$2:$A$950,0)),""))</f>
        <v/>
      </c>
      <c r="U626">
        <f>IF(connections!$A626="","",IFERROR(INDEX(games!$B$2:$B$950,MATCH(connections!$B626,games!$A$2:$A$950,0)),""))</f>
        <v/>
      </c>
      <c r="V626">
        <f>IF(OR($T626="",$U626=""),"",$U626-$T626)</f>
        <v/>
      </c>
    </row>
    <row r="627">
      <c r="A627">
        <f>IF(games!$A627="","",games!$A627)</f>
        <v/>
      </c>
      <c r="B627">
        <f>IF($A627="","",games!$B627)</f>
        <v/>
      </c>
      <c r="C627">
        <f>IF($A627="","",games!$C627)</f>
        <v/>
      </c>
      <c r="D627">
        <f>IF($A627="","",COUNTIF(connections!$A$2:$A$1400,$A627)+COUNTIF(connections!$B$2:$B$1400,$A627))</f>
        <v/>
      </c>
      <c r="E627">
        <f>IF($A627="","",IFERROR(MATCH($C627,$R$2:$R$5,0),0))</f>
        <v/>
      </c>
      <c r="F627">
        <f>IF($A627="","",MOD(ROW(),34))</f>
        <v/>
      </c>
      <c r="G627">
        <f>IF($A627="",NA(),IF($C627="Action",$B627,NA()))</f>
        <v/>
      </c>
      <c r="H627">
        <f>IF($A627="",NA(),IF($C627="Action",1+$F627*0.023,NA()))</f>
        <v/>
      </c>
      <c r="I627">
        <f>IF($A627="",NA(),IF($C627="Strategy",$B627,NA()))</f>
        <v/>
      </c>
      <c r="J627">
        <f>IF($A627="",NA(),IF($C627="Strategy",2+$F627*0.023,NA()))</f>
        <v/>
      </c>
      <c r="K627">
        <f>IF($A627="",NA(),IF($C627="Deckbuilder",$B627,NA()))</f>
        <v/>
      </c>
      <c r="L627">
        <f>IF($A627="",NA(),IF($C627="Deckbuilder",3+$F627*0.023,NA()))</f>
        <v/>
      </c>
      <c r="M627">
        <f>IF($A627="",NA(),IF($C627="Traditional",$B627,NA()))</f>
        <v/>
      </c>
      <c r="N627">
        <f>IF($A627="",NA(),IF($C627="Traditional",4+$F627*0.023,NA()))</f>
        <v/>
      </c>
      <c r="O627">
        <f>IF($A627="","",$D627+ROW()/1000000)</f>
        <v/>
      </c>
      <c r="P627">
        <f>IF(OR($A627="",games!$H627=""),"",games!$H627)</f>
        <v/>
      </c>
      <c r="Q627">
        <f>IF(OR($A627="",$P627&lt;&gt;"Yes"),"",$D627+ROW()/1000000)</f>
        <v/>
      </c>
      <c r="T627">
        <f>IF(connections!$A627="","",IFERROR(INDEX(games!$B$2:$B$950,MATCH(connections!$A627,games!$A$2:$A$950,0)),""))</f>
        <v/>
      </c>
      <c r="U627">
        <f>IF(connections!$A627="","",IFERROR(INDEX(games!$B$2:$B$950,MATCH(connections!$B627,games!$A$2:$A$950,0)),""))</f>
        <v/>
      </c>
      <c r="V627">
        <f>IF(OR($T627="",$U627=""),"",$U627-$T627)</f>
        <v/>
      </c>
    </row>
    <row r="628">
      <c r="A628">
        <f>IF(games!$A628="","",games!$A628)</f>
        <v/>
      </c>
      <c r="B628">
        <f>IF($A628="","",games!$B628)</f>
        <v/>
      </c>
      <c r="C628">
        <f>IF($A628="","",games!$C628)</f>
        <v/>
      </c>
      <c r="D628">
        <f>IF($A628="","",COUNTIF(connections!$A$2:$A$1400,$A628)+COUNTIF(connections!$B$2:$B$1400,$A628))</f>
        <v/>
      </c>
      <c r="E628">
        <f>IF($A628="","",IFERROR(MATCH($C628,$R$2:$R$5,0),0))</f>
        <v/>
      </c>
      <c r="F628">
        <f>IF($A628="","",MOD(ROW(),34))</f>
        <v/>
      </c>
      <c r="G628">
        <f>IF($A628="",NA(),IF($C628="Action",$B628,NA()))</f>
        <v/>
      </c>
      <c r="H628">
        <f>IF($A628="",NA(),IF($C628="Action",1+$F628*0.023,NA()))</f>
        <v/>
      </c>
      <c r="I628">
        <f>IF($A628="",NA(),IF($C628="Strategy",$B628,NA()))</f>
        <v/>
      </c>
      <c r="J628">
        <f>IF($A628="",NA(),IF($C628="Strategy",2+$F628*0.023,NA()))</f>
        <v/>
      </c>
      <c r="K628">
        <f>IF($A628="",NA(),IF($C628="Deckbuilder",$B628,NA()))</f>
        <v/>
      </c>
      <c r="L628">
        <f>IF($A628="",NA(),IF($C628="Deckbuilder",3+$F628*0.023,NA()))</f>
        <v/>
      </c>
      <c r="M628">
        <f>IF($A628="",NA(),IF($C628="Traditional",$B628,NA()))</f>
        <v/>
      </c>
      <c r="N628">
        <f>IF($A628="",NA(),IF($C628="Traditional",4+$F628*0.023,NA()))</f>
        <v/>
      </c>
      <c r="O628">
        <f>IF($A628="","",$D628+ROW()/1000000)</f>
        <v/>
      </c>
      <c r="P628">
        <f>IF(OR($A628="",games!$H628=""),"",games!$H628)</f>
        <v/>
      </c>
      <c r="Q628">
        <f>IF(OR($A628="",$P628&lt;&gt;"Yes"),"",$D628+ROW()/1000000)</f>
        <v/>
      </c>
      <c r="T628">
        <f>IF(connections!$A628="","",IFERROR(INDEX(games!$B$2:$B$950,MATCH(connections!$A628,games!$A$2:$A$950,0)),""))</f>
        <v/>
      </c>
      <c r="U628">
        <f>IF(connections!$A628="","",IFERROR(INDEX(games!$B$2:$B$950,MATCH(connections!$B628,games!$A$2:$A$950,0)),""))</f>
        <v/>
      </c>
      <c r="V628">
        <f>IF(OR($T628="",$U628=""),"",$U628-$T628)</f>
        <v/>
      </c>
    </row>
    <row r="629">
      <c r="A629">
        <f>IF(games!$A629="","",games!$A629)</f>
        <v/>
      </c>
      <c r="B629">
        <f>IF($A629="","",games!$B629)</f>
        <v/>
      </c>
      <c r="C629">
        <f>IF($A629="","",games!$C629)</f>
        <v/>
      </c>
      <c r="D629">
        <f>IF($A629="","",COUNTIF(connections!$A$2:$A$1400,$A629)+COUNTIF(connections!$B$2:$B$1400,$A629))</f>
        <v/>
      </c>
      <c r="E629">
        <f>IF($A629="","",IFERROR(MATCH($C629,$R$2:$R$5,0),0))</f>
        <v/>
      </c>
      <c r="F629">
        <f>IF($A629="","",MOD(ROW(),34))</f>
        <v/>
      </c>
      <c r="G629">
        <f>IF($A629="",NA(),IF($C629="Action",$B629,NA()))</f>
        <v/>
      </c>
      <c r="H629">
        <f>IF($A629="",NA(),IF($C629="Action",1+$F629*0.023,NA()))</f>
        <v/>
      </c>
      <c r="I629">
        <f>IF($A629="",NA(),IF($C629="Strategy",$B629,NA()))</f>
        <v/>
      </c>
      <c r="J629">
        <f>IF($A629="",NA(),IF($C629="Strategy",2+$F629*0.023,NA()))</f>
        <v/>
      </c>
      <c r="K629">
        <f>IF($A629="",NA(),IF($C629="Deckbuilder",$B629,NA()))</f>
        <v/>
      </c>
      <c r="L629">
        <f>IF($A629="",NA(),IF($C629="Deckbuilder",3+$F629*0.023,NA()))</f>
        <v/>
      </c>
      <c r="M629">
        <f>IF($A629="",NA(),IF($C629="Traditional",$B629,NA()))</f>
        <v/>
      </c>
      <c r="N629">
        <f>IF($A629="",NA(),IF($C629="Traditional",4+$F629*0.023,NA()))</f>
        <v/>
      </c>
      <c r="O629">
        <f>IF($A629="","",$D629+ROW()/1000000)</f>
        <v/>
      </c>
      <c r="P629">
        <f>IF(OR($A629="",games!$H629=""),"",games!$H629)</f>
        <v/>
      </c>
      <c r="Q629">
        <f>IF(OR($A629="",$P629&lt;&gt;"Yes"),"",$D629+ROW()/1000000)</f>
        <v/>
      </c>
      <c r="T629">
        <f>IF(connections!$A629="","",IFERROR(INDEX(games!$B$2:$B$950,MATCH(connections!$A629,games!$A$2:$A$950,0)),""))</f>
        <v/>
      </c>
      <c r="U629">
        <f>IF(connections!$A629="","",IFERROR(INDEX(games!$B$2:$B$950,MATCH(connections!$B629,games!$A$2:$A$950,0)),""))</f>
        <v/>
      </c>
      <c r="V629">
        <f>IF(OR($T629="",$U629=""),"",$U629-$T629)</f>
        <v/>
      </c>
    </row>
    <row r="630">
      <c r="A630">
        <f>IF(games!$A630="","",games!$A630)</f>
        <v/>
      </c>
      <c r="B630">
        <f>IF($A630="","",games!$B630)</f>
        <v/>
      </c>
      <c r="C630">
        <f>IF($A630="","",games!$C630)</f>
        <v/>
      </c>
      <c r="D630">
        <f>IF($A630="","",COUNTIF(connections!$A$2:$A$1400,$A630)+COUNTIF(connections!$B$2:$B$1400,$A630))</f>
        <v/>
      </c>
      <c r="E630">
        <f>IF($A630="","",IFERROR(MATCH($C630,$R$2:$R$5,0),0))</f>
        <v/>
      </c>
      <c r="F630">
        <f>IF($A630="","",MOD(ROW(),34))</f>
        <v/>
      </c>
      <c r="G630">
        <f>IF($A630="",NA(),IF($C630="Action",$B630,NA()))</f>
        <v/>
      </c>
      <c r="H630">
        <f>IF($A630="",NA(),IF($C630="Action",1+$F630*0.023,NA()))</f>
        <v/>
      </c>
      <c r="I630">
        <f>IF($A630="",NA(),IF($C630="Strategy",$B630,NA()))</f>
        <v/>
      </c>
      <c r="J630">
        <f>IF($A630="",NA(),IF($C630="Strategy",2+$F630*0.023,NA()))</f>
        <v/>
      </c>
      <c r="K630">
        <f>IF($A630="",NA(),IF($C630="Deckbuilder",$B630,NA()))</f>
        <v/>
      </c>
      <c r="L630">
        <f>IF($A630="",NA(),IF($C630="Deckbuilder",3+$F630*0.023,NA()))</f>
        <v/>
      </c>
      <c r="M630">
        <f>IF($A630="",NA(),IF($C630="Traditional",$B630,NA()))</f>
        <v/>
      </c>
      <c r="N630">
        <f>IF($A630="",NA(),IF($C630="Traditional",4+$F630*0.023,NA()))</f>
        <v/>
      </c>
      <c r="O630">
        <f>IF($A630="","",$D630+ROW()/1000000)</f>
        <v/>
      </c>
      <c r="P630">
        <f>IF(OR($A630="",games!$H630=""),"",games!$H630)</f>
        <v/>
      </c>
      <c r="Q630">
        <f>IF(OR($A630="",$P630&lt;&gt;"Yes"),"",$D630+ROW()/1000000)</f>
        <v/>
      </c>
      <c r="T630">
        <f>IF(connections!$A630="","",IFERROR(INDEX(games!$B$2:$B$950,MATCH(connections!$A630,games!$A$2:$A$950,0)),""))</f>
        <v/>
      </c>
      <c r="U630">
        <f>IF(connections!$A630="","",IFERROR(INDEX(games!$B$2:$B$950,MATCH(connections!$B630,games!$A$2:$A$950,0)),""))</f>
        <v/>
      </c>
      <c r="V630">
        <f>IF(OR($T630="",$U630=""),"",$U630-$T630)</f>
        <v/>
      </c>
    </row>
    <row r="631">
      <c r="A631">
        <f>IF(games!$A631="","",games!$A631)</f>
        <v/>
      </c>
      <c r="B631">
        <f>IF($A631="","",games!$B631)</f>
        <v/>
      </c>
      <c r="C631">
        <f>IF($A631="","",games!$C631)</f>
        <v/>
      </c>
      <c r="D631">
        <f>IF($A631="","",COUNTIF(connections!$A$2:$A$1400,$A631)+COUNTIF(connections!$B$2:$B$1400,$A631))</f>
        <v/>
      </c>
      <c r="E631">
        <f>IF($A631="","",IFERROR(MATCH($C631,$R$2:$R$5,0),0))</f>
        <v/>
      </c>
      <c r="F631">
        <f>IF($A631="","",MOD(ROW(),34))</f>
        <v/>
      </c>
      <c r="G631">
        <f>IF($A631="",NA(),IF($C631="Action",$B631,NA()))</f>
        <v/>
      </c>
      <c r="H631">
        <f>IF($A631="",NA(),IF($C631="Action",1+$F631*0.023,NA()))</f>
        <v/>
      </c>
      <c r="I631">
        <f>IF($A631="",NA(),IF($C631="Strategy",$B631,NA()))</f>
        <v/>
      </c>
      <c r="J631">
        <f>IF($A631="",NA(),IF($C631="Strategy",2+$F631*0.023,NA()))</f>
        <v/>
      </c>
      <c r="K631">
        <f>IF($A631="",NA(),IF($C631="Deckbuilder",$B631,NA()))</f>
        <v/>
      </c>
      <c r="L631">
        <f>IF($A631="",NA(),IF($C631="Deckbuilder",3+$F631*0.023,NA()))</f>
        <v/>
      </c>
      <c r="M631">
        <f>IF($A631="",NA(),IF($C631="Traditional",$B631,NA()))</f>
        <v/>
      </c>
      <c r="N631">
        <f>IF($A631="",NA(),IF($C631="Traditional",4+$F631*0.023,NA()))</f>
        <v/>
      </c>
      <c r="O631">
        <f>IF($A631="","",$D631+ROW()/1000000)</f>
        <v/>
      </c>
      <c r="P631">
        <f>IF(OR($A631="",games!$H631=""),"",games!$H631)</f>
        <v/>
      </c>
      <c r="Q631">
        <f>IF(OR($A631="",$P631&lt;&gt;"Yes"),"",$D631+ROW()/1000000)</f>
        <v/>
      </c>
      <c r="T631">
        <f>IF(connections!$A631="","",IFERROR(INDEX(games!$B$2:$B$950,MATCH(connections!$A631,games!$A$2:$A$950,0)),""))</f>
        <v/>
      </c>
      <c r="U631">
        <f>IF(connections!$A631="","",IFERROR(INDEX(games!$B$2:$B$950,MATCH(connections!$B631,games!$A$2:$A$950,0)),""))</f>
        <v/>
      </c>
      <c r="V631">
        <f>IF(OR($T631="",$U631=""),"",$U631-$T631)</f>
        <v/>
      </c>
    </row>
    <row r="632">
      <c r="A632">
        <f>IF(games!$A632="","",games!$A632)</f>
        <v/>
      </c>
      <c r="B632">
        <f>IF($A632="","",games!$B632)</f>
        <v/>
      </c>
      <c r="C632">
        <f>IF($A632="","",games!$C632)</f>
        <v/>
      </c>
      <c r="D632">
        <f>IF($A632="","",COUNTIF(connections!$A$2:$A$1400,$A632)+COUNTIF(connections!$B$2:$B$1400,$A632))</f>
        <v/>
      </c>
      <c r="E632">
        <f>IF($A632="","",IFERROR(MATCH($C632,$R$2:$R$5,0),0))</f>
        <v/>
      </c>
      <c r="F632">
        <f>IF($A632="","",MOD(ROW(),34))</f>
        <v/>
      </c>
      <c r="G632">
        <f>IF($A632="",NA(),IF($C632="Action",$B632,NA()))</f>
        <v/>
      </c>
      <c r="H632">
        <f>IF($A632="",NA(),IF($C632="Action",1+$F632*0.023,NA()))</f>
        <v/>
      </c>
      <c r="I632">
        <f>IF($A632="",NA(),IF($C632="Strategy",$B632,NA()))</f>
        <v/>
      </c>
      <c r="J632">
        <f>IF($A632="",NA(),IF($C632="Strategy",2+$F632*0.023,NA()))</f>
        <v/>
      </c>
      <c r="K632">
        <f>IF($A632="",NA(),IF($C632="Deckbuilder",$B632,NA()))</f>
        <v/>
      </c>
      <c r="L632">
        <f>IF($A632="",NA(),IF($C632="Deckbuilder",3+$F632*0.023,NA()))</f>
        <v/>
      </c>
      <c r="M632">
        <f>IF($A632="",NA(),IF($C632="Traditional",$B632,NA()))</f>
        <v/>
      </c>
      <c r="N632">
        <f>IF($A632="",NA(),IF($C632="Traditional",4+$F632*0.023,NA()))</f>
        <v/>
      </c>
      <c r="O632">
        <f>IF($A632="","",$D632+ROW()/1000000)</f>
        <v/>
      </c>
      <c r="P632">
        <f>IF(OR($A632="",games!$H632=""),"",games!$H632)</f>
        <v/>
      </c>
      <c r="Q632">
        <f>IF(OR($A632="",$P632&lt;&gt;"Yes"),"",$D632+ROW()/1000000)</f>
        <v/>
      </c>
      <c r="T632">
        <f>IF(connections!$A632="","",IFERROR(INDEX(games!$B$2:$B$950,MATCH(connections!$A632,games!$A$2:$A$950,0)),""))</f>
        <v/>
      </c>
      <c r="U632">
        <f>IF(connections!$A632="","",IFERROR(INDEX(games!$B$2:$B$950,MATCH(connections!$B632,games!$A$2:$A$950,0)),""))</f>
        <v/>
      </c>
      <c r="V632">
        <f>IF(OR($T632="",$U632=""),"",$U632-$T632)</f>
        <v/>
      </c>
    </row>
    <row r="633">
      <c r="A633">
        <f>IF(games!$A633="","",games!$A633)</f>
        <v/>
      </c>
      <c r="B633">
        <f>IF($A633="","",games!$B633)</f>
        <v/>
      </c>
      <c r="C633">
        <f>IF($A633="","",games!$C633)</f>
        <v/>
      </c>
      <c r="D633">
        <f>IF($A633="","",COUNTIF(connections!$A$2:$A$1400,$A633)+COUNTIF(connections!$B$2:$B$1400,$A633))</f>
        <v/>
      </c>
      <c r="E633">
        <f>IF($A633="","",IFERROR(MATCH($C633,$R$2:$R$5,0),0))</f>
        <v/>
      </c>
      <c r="F633">
        <f>IF($A633="","",MOD(ROW(),34))</f>
        <v/>
      </c>
      <c r="G633">
        <f>IF($A633="",NA(),IF($C633="Action",$B633,NA()))</f>
        <v/>
      </c>
      <c r="H633">
        <f>IF($A633="",NA(),IF($C633="Action",1+$F633*0.023,NA()))</f>
        <v/>
      </c>
      <c r="I633">
        <f>IF($A633="",NA(),IF($C633="Strategy",$B633,NA()))</f>
        <v/>
      </c>
      <c r="J633">
        <f>IF($A633="",NA(),IF($C633="Strategy",2+$F633*0.023,NA()))</f>
        <v/>
      </c>
      <c r="K633">
        <f>IF($A633="",NA(),IF($C633="Deckbuilder",$B633,NA()))</f>
        <v/>
      </c>
      <c r="L633">
        <f>IF($A633="",NA(),IF($C633="Deckbuilder",3+$F633*0.023,NA()))</f>
        <v/>
      </c>
      <c r="M633">
        <f>IF($A633="",NA(),IF($C633="Traditional",$B633,NA()))</f>
        <v/>
      </c>
      <c r="N633">
        <f>IF($A633="",NA(),IF($C633="Traditional",4+$F633*0.023,NA()))</f>
        <v/>
      </c>
      <c r="O633">
        <f>IF($A633="","",$D633+ROW()/1000000)</f>
        <v/>
      </c>
      <c r="P633">
        <f>IF(OR($A633="",games!$H633=""),"",games!$H633)</f>
        <v/>
      </c>
      <c r="Q633">
        <f>IF(OR($A633="",$P633&lt;&gt;"Yes"),"",$D633+ROW()/1000000)</f>
        <v/>
      </c>
      <c r="T633">
        <f>IF(connections!$A633="","",IFERROR(INDEX(games!$B$2:$B$950,MATCH(connections!$A633,games!$A$2:$A$950,0)),""))</f>
        <v/>
      </c>
      <c r="U633">
        <f>IF(connections!$A633="","",IFERROR(INDEX(games!$B$2:$B$950,MATCH(connections!$B633,games!$A$2:$A$950,0)),""))</f>
        <v/>
      </c>
      <c r="V633">
        <f>IF(OR($T633="",$U633=""),"",$U633-$T633)</f>
        <v/>
      </c>
    </row>
    <row r="634">
      <c r="A634">
        <f>IF(games!$A634="","",games!$A634)</f>
        <v/>
      </c>
      <c r="B634">
        <f>IF($A634="","",games!$B634)</f>
        <v/>
      </c>
      <c r="C634">
        <f>IF($A634="","",games!$C634)</f>
        <v/>
      </c>
      <c r="D634">
        <f>IF($A634="","",COUNTIF(connections!$A$2:$A$1400,$A634)+COUNTIF(connections!$B$2:$B$1400,$A634))</f>
        <v/>
      </c>
      <c r="E634">
        <f>IF($A634="","",IFERROR(MATCH($C634,$R$2:$R$5,0),0))</f>
        <v/>
      </c>
      <c r="F634">
        <f>IF($A634="","",MOD(ROW(),34))</f>
        <v/>
      </c>
      <c r="G634">
        <f>IF($A634="",NA(),IF($C634="Action",$B634,NA()))</f>
        <v/>
      </c>
      <c r="H634">
        <f>IF($A634="",NA(),IF($C634="Action",1+$F634*0.023,NA()))</f>
        <v/>
      </c>
      <c r="I634">
        <f>IF($A634="",NA(),IF($C634="Strategy",$B634,NA()))</f>
        <v/>
      </c>
      <c r="J634">
        <f>IF($A634="",NA(),IF($C634="Strategy",2+$F634*0.023,NA()))</f>
        <v/>
      </c>
      <c r="K634">
        <f>IF($A634="",NA(),IF($C634="Deckbuilder",$B634,NA()))</f>
        <v/>
      </c>
      <c r="L634">
        <f>IF($A634="",NA(),IF($C634="Deckbuilder",3+$F634*0.023,NA()))</f>
        <v/>
      </c>
      <c r="M634">
        <f>IF($A634="",NA(),IF($C634="Traditional",$B634,NA()))</f>
        <v/>
      </c>
      <c r="N634">
        <f>IF($A634="",NA(),IF($C634="Traditional",4+$F634*0.023,NA()))</f>
        <v/>
      </c>
      <c r="O634">
        <f>IF($A634="","",$D634+ROW()/1000000)</f>
        <v/>
      </c>
      <c r="P634">
        <f>IF(OR($A634="",games!$H634=""),"",games!$H634)</f>
        <v/>
      </c>
      <c r="Q634">
        <f>IF(OR($A634="",$P634&lt;&gt;"Yes"),"",$D634+ROW()/1000000)</f>
        <v/>
      </c>
      <c r="T634">
        <f>IF(connections!$A634="","",IFERROR(INDEX(games!$B$2:$B$950,MATCH(connections!$A634,games!$A$2:$A$950,0)),""))</f>
        <v/>
      </c>
      <c r="U634">
        <f>IF(connections!$A634="","",IFERROR(INDEX(games!$B$2:$B$950,MATCH(connections!$B634,games!$A$2:$A$950,0)),""))</f>
        <v/>
      </c>
      <c r="V634">
        <f>IF(OR($T634="",$U634=""),"",$U634-$T634)</f>
        <v/>
      </c>
    </row>
    <row r="635">
      <c r="A635">
        <f>IF(games!$A635="","",games!$A635)</f>
        <v/>
      </c>
      <c r="B635">
        <f>IF($A635="","",games!$B635)</f>
        <v/>
      </c>
      <c r="C635">
        <f>IF($A635="","",games!$C635)</f>
        <v/>
      </c>
      <c r="D635">
        <f>IF($A635="","",COUNTIF(connections!$A$2:$A$1400,$A635)+COUNTIF(connections!$B$2:$B$1400,$A635))</f>
        <v/>
      </c>
      <c r="E635">
        <f>IF($A635="","",IFERROR(MATCH($C635,$R$2:$R$5,0),0))</f>
        <v/>
      </c>
      <c r="F635">
        <f>IF($A635="","",MOD(ROW(),34))</f>
        <v/>
      </c>
      <c r="G635">
        <f>IF($A635="",NA(),IF($C635="Action",$B635,NA()))</f>
        <v/>
      </c>
      <c r="H635">
        <f>IF($A635="",NA(),IF($C635="Action",1+$F635*0.023,NA()))</f>
        <v/>
      </c>
      <c r="I635">
        <f>IF($A635="",NA(),IF($C635="Strategy",$B635,NA()))</f>
        <v/>
      </c>
      <c r="J635">
        <f>IF($A635="",NA(),IF($C635="Strategy",2+$F635*0.023,NA()))</f>
        <v/>
      </c>
      <c r="K635">
        <f>IF($A635="",NA(),IF($C635="Deckbuilder",$B635,NA()))</f>
        <v/>
      </c>
      <c r="L635">
        <f>IF($A635="",NA(),IF($C635="Deckbuilder",3+$F635*0.023,NA()))</f>
        <v/>
      </c>
      <c r="M635">
        <f>IF($A635="",NA(),IF($C635="Traditional",$B635,NA()))</f>
        <v/>
      </c>
      <c r="N635">
        <f>IF($A635="",NA(),IF($C635="Traditional",4+$F635*0.023,NA()))</f>
        <v/>
      </c>
      <c r="O635">
        <f>IF($A635="","",$D635+ROW()/1000000)</f>
        <v/>
      </c>
      <c r="P635">
        <f>IF(OR($A635="",games!$H635=""),"",games!$H635)</f>
        <v/>
      </c>
      <c r="Q635">
        <f>IF(OR($A635="",$P635&lt;&gt;"Yes"),"",$D635+ROW()/1000000)</f>
        <v/>
      </c>
      <c r="T635">
        <f>IF(connections!$A635="","",IFERROR(INDEX(games!$B$2:$B$950,MATCH(connections!$A635,games!$A$2:$A$950,0)),""))</f>
        <v/>
      </c>
      <c r="U635">
        <f>IF(connections!$A635="","",IFERROR(INDEX(games!$B$2:$B$950,MATCH(connections!$B635,games!$A$2:$A$950,0)),""))</f>
        <v/>
      </c>
      <c r="V635">
        <f>IF(OR($T635="",$U635=""),"",$U635-$T635)</f>
        <v/>
      </c>
    </row>
    <row r="636">
      <c r="A636">
        <f>IF(games!$A636="","",games!$A636)</f>
        <v/>
      </c>
      <c r="B636">
        <f>IF($A636="","",games!$B636)</f>
        <v/>
      </c>
      <c r="C636">
        <f>IF($A636="","",games!$C636)</f>
        <v/>
      </c>
      <c r="D636">
        <f>IF($A636="","",COUNTIF(connections!$A$2:$A$1400,$A636)+COUNTIF(connections!$B$2:$B$1400,$A636))</f>
        <v/>
      </c>
      <c r="E636">
        <f>IF($A636="","",IFERROR(MATCH($C636,$R$2:$R$5,0),0))</f>
        <v/>
      </c>
      <c r="F636">
        <f>IF($A636="","",MOD(ROW(),34))</f>
        <v/>
      </c>
      <c r="G636">
        <f>IF($A636="",NA(),IF($C636="Action",$B636,NA()))</f>
        <v/>
      </c>
      <c r="H636">
        <f>IF($A636="",NA(),IF($C636="Action",1+$F636*0.023,NA()))</f>
        <v/>
      </c>
      <c r="I636">
        <f>IF($A636="",NA(),IF($C636="Strategy",$B636,NA()))</f>
        <v/>
      </c>
      <c r="J636">
        <f>IF($A636="",NA(),IF($C636="Strategy",2+$F636*0.023,NA()))</f>
        <v/>
      </c>
      <c r="K636">
        <f>IF($A636="",NA(),IF($C636="Deckbuilder",$B636,NA()))</f>
        <v/>
      </c>
      <c r="L636">
        <f>IF($A636="",NA(),IF($C636="Deckbuilder",3+$F636*0.023,NA()))</f>
        <v/>
      </c>
      <c r="M636">
        <f>IF($A636="",NA(),IF($C636="Traditional",$B636,NA()))</f>
        <v/>
      </c>
      <c r="N636">
        <f>IF($A636="",NA(),IF($C636="Traditional",4+$F636*0.023,NA()))</f>
        <v/>
      </c>
      <c r="O636">
        <f>IF($A636="","",$D636+ROW()/1000000)</f>
        <v/>
      </c>
      <c r="P636">
        <f>IF(OR($A636="",games!$H636=""),"",games!$H636)</f>
        <v/>
      </c>
      <c r="Q636">
        <f>IF(OR($A636="",$P636&lt;&gt;"Yes"),"",$D636+ROW()/1000000)</f>
        <v/>
      </c>
      <c r="T636">
        <f>IF(connections!$A636="","",IFERROR(INDEX(games!$B$2:$B$950,MATCH(connections!$A636,games!$A$2:$A$950,0)),""))</f>
        <v/>
      </c>
      <c r="U636">
        <f>IF(connections!$A636="","",IFERROR(INDEX(games!$B$2:$B$950,MATCH(connections!$B636,games!$A$2:$A$950,0)),""))</f>
        <v/>
      </c>
      <c r="V636">
        <f>IF(OR($T636="",$U636=""),"",$U636-$T636)</f>
        <v/>
      </c>
    </row>
    <row r="637">
      <c r="A637">
        <f>IF(games!$A637="","",games!$A637)</f>
        <v/>
      </c>
      <c r="B637">
        <f>IF($A637="","",games!$B637)</f>
        <v/>
      </c>
      <c r="C637">
        <f>IF($A637="","",games!$C637)</f>
        <v/>
      </c>
      <c r="D637">
        <f>IF($A637="","",COUNTIF(connections!$A$2:$A$1400,$A637)+COUNTIF(connections!$B$2:$B$1400,$A637))</f>
        <v/>
      </c>
      <c r="E637">
        <f>IF($A637="","",IFERROR(MATCH($C637,$R$2:$R$5,0),0))</f>
        <v/>
      </c>
      <c r="F637">
        <f>IF($A637="","",MOD(ROW(),34))</f>
        <v/>
      </c>
      <c r="G637">
        <f>IF($A637="",NA(),IF($C637="Action",$B637,NA()))</f>
        <v/>
      </c>
      <c r="H637">
        <f>IF($A637="",NA(),IF($C637="Action",1+$F637*0.023,NA()))</f>
        <v/>
      </c>
      <c r="I637">
        <f>IF($A637="",NA(),IF($C637="Strategy",$B637,NA()))</f>
        <v/>
      </c>
      <c r="J637">
        <f>IF($A637="",NA(),IF($C637="Strategy",2+$F637*0.023,NA()))</f>
        <v/>
      </c>
      <c r="K637">
        <f>IF($A637="",NA(),IF($C637="Deckbuilder",$B637,NA()))</f>
        <v/>
      </c>
      <c r="L637">
        <f>IF($A637="",NA(),IF($C637="Deckbuilder",3+$F637*0.023,NA()))</f>
        <v/>
      </c>
      <c r="M637">
        <f>IF($A637="",NA(),IF($C637="Traditional",$B637,NA()))</f>
        <v/>
      </c>
      <c r="N637">
        <f>IF($A637="",NA(),IF($C637="Traditional",4+$F637*0.023,NA()))</f>
        <v/>
      </c>
      <c r="O637">
        <f>IF($A637="","",$D637+ROW()/1000000)</f>
        <v/>
      </c>
      <c r="P637">
        <f>IF(OR($A637="",games!$H637=""),"",games!$H637)</f>
        <v/>
      </c>
      <c r="Q637">
        <f>IF(OR($A637="",$P637&lt;&gt;"Yes"),"",$D637+ROW()/1000000)</f>
        <v/>
      </c>
      <c r="T637">
        <f>IF(connections!$A637="","",IFERROR(INDEX(games!$B$2:$B$950,MATCH(connections!$A637,games!$A$2:$A$950,0)),""))</f>
        <v/>
      </c>
      <c r="U637">
        <f>IF(connections!$A637="","",IFERROR(INDEX(games!$B$2:$B$950,MATCH(connections!$B637,games!$A$2:$A$950,0)),""))</f>
        <v/>
      </c>
      <c r="V637">
        <f>IF(OR($T637="",$U637=""),"",$U637-$T637)</f>
        <v/>
      </c>
    </row>
    <row r="638">
      <c r="A638">
        <f>IF(games!$A638="","",games!$A638)</f>
        <v/>
      </c>
      <c r="B638">
        <f>IF($A638="","",games!$B638)</f>
        <v/>
      </c>
      <c r="C638">
        <f>IF($A638="","",games!$C638)</f>
        <v/>
      </c>
      <c r="D638">
        <f>IF($A638="","",COUNTIF(connections!$A$2:$A$1400,$A638)+COUNTIF(connections!$B$2:$B$1400,$A638))</f>
        <v/>
      </c>
      <c r="E638">
        <f>IF($A638="","",IFERROR(MATCH($C638,$R$2:$R$5,0),0))</f>
        <v/>
      </c>
      <c r="F638">
        <f>IF($A638="","",MOD(ROW(),34))</f>
        <v/>
      </c>
      <c r="G638">
        <f>IF($A638="",NA(),IF($C638="Action",$B638,NA()))</f>
        <v/>
      </c>
      <c r="H638">
        <f>IF($A638="",NA(),IF($C638="Action",1+$F638*0.023,NA()))</f>
        <v/>
      </c>
      <c r="I638">
        <f>IF($A638="",NA(),IF($C638="Strategy",$B638,NA()))</f>
        <v/>
      </c>
      <c r="J638">
        <f>IF($A638="",NA(),IF($C638="Strategy",2+$F638*0.023,NA()))</f>
        <v/>
      </c>
      <c r="K638">
        <f>IF($A638="",NA(),IF($C638="Deckbuilder",$B638,NA()))</f>
        <v/>
      </c>
      <c r="L638">
        <f>IF($A638="",NA(),IF($C638="Deckbuilder",3+$F638*0.023,NA()))</f>
        <v/>
      </c>
      <c r="M638">
        <f>IF($A638="",NA(),IF($C638="Traditional",$B638,NA()))</f>
        <v/>
      </c>
      <c r="N638">
        <f>IF($A638="",NA(),IF($C638="Traditional",4+$F638*0.023,NA()))</f>
        <v/>
      </c>
      <c r="O638">
        <f>IF($A638="","",$D638+ROW()/1000000)</f>
        <v/>
      </c>
      <c r="P638">
        <f>IF(OR($A638="",games!$H638=""),"",games!$H638)</f>
        <v/>
      </c>
      <c r="Q638">
        <f>IF(OR($A638="",$P638&lt;&gt;"Yes"),"",$D638+ROW()/1000000)</f>
        <v/>
      </c>
      <c r="T638">
        <f>IF(connections!$A638="","",IFERROR(INDEX(games!$B$2:$B$950,MATCH(connections!$A638,games!$A$2:$A$950,0)),""))</f>
        <v/>
      </c>
      <c r="U638">
        <f>IF(connections!$A638="","",IFERROR(INDEX(games!$B$2:$B$950,MATCH(connections!$B638,games!$A$2:$A$950,0)),""))</f>
        <v/>
      </c>
      <c r="V638">
        <f>IF(OR($T638="",$U638=""),"",$U638-$T638)</f>
        <v/>
      </c>
    </row>
    <row r="639">
      <c r="A639">
        <f>IF(games!$A639="","",games!$A639)</f>
        <v/>
      </c>
      <c r="B639">
        <f>IF($A639="","",games!$B639)</f>
        <v/>
      </c>
      <c r="C639">
        <f>IF($A639="","",games!$C639)</f>
        <v/>
      </c>
      <c r="D639">
        <f>IF($A639="","",COUNTIF(connections!$A$2:$A$1400,$A639)+COUNTIF(connections!$B$2:$B$1400,$A639))</f>
        <v/>
      </c>
      <c r="E639">
        <f>IF($A639="","",IFERROR(MATCH($C639,$R$2:$R$5,0),0))</f>
        <v/>
      </c>
      <c r="F639">
        <f>IF($A639="","",MOD(ROW(),34))</f>
        <v/>
      </c>
      <c r="G639">
        <f>IF($A639="",NA(),IF($C639="Action",$B639,NA()))</f>
        <v/>
      </c>
      <c r="H639">
        <f>IF($A639="",NA(),IF($C639="Action",1+$F639*0.023,NA()))</f>
        <v/>
      </c>
      <c r="I639">
        <f>IF($A639="",NA(),IF($C639="Strategy",$B639,NA()))</f>
        <v/>
      </c>
      <c r="J639">
        <f>IF($A639="",NA(),IF($C639="Strategy",2+$F639*0.023,NA()))</f>
        <v/>
      </c>
      <c r="K639">
        <f>IF($A639="",NA(),IF($C639="Deckbuilder",$B639,NA()))</f>
        <v/>
      </c>
      <c r="L639">
        <f>IF($A639="",NA(),IF($C639="Deckbuilder",3+$F639*0.023,NA()))</f>
        <v/>
      </c>
      <c r="M639">
        <f>IF($A639="",NA(),IF($C639="Traditional",$B639,NA()))</f>
        <v/>
      </c>
      <c r="N639">
        <f>IF($A639="",NA(),IF($C639="Traditional",4+$F639*0.023,NA()))</f>
        <v/>
      </c>
      <c r="O639">
        <f>IF($A639="","",$D639+ROW()/1000000)</f>
        <v/>
      </c>
      <c r="P639">
        <f>IF(OR($A639="",games!$H639=""),"",games!$H639)</f>
        <v/>
      </c>
      <c r="Q639">
        <f>IF(OR($A639="",$P639&lt;&gt;"Yes"),"",$D639+ROW()/1000000)</f>
        <v/>
      </c>
      <c r="T639">
        <f>IF(connections!$A639="","",IFERROR(INDEX(games!$B$2:$B$950,MATCH(connections!$A639,games!$A$2:$A$950,0)),""))</f>
        <v/>
      </c>
      <c r="U639">
        <f>IF(connections!$A639="","",IFERROR(INDEX(games!$B$2:$B$950,MATCH(connections!$B639,games!$A$2:$A$950,0)),""))</f>
        <v/>
      </c>
      <c r="V639">
        <f>IF(OR($T639="",$U639=""),"",$U639-$T639)</f>
        <v/>
      </c>
    </row>
    <row r="640">
      <c r="A640">
        <f>IF(games!$A640="","",games!$A640)</f>
        <v/>
      </c>
      <c r="B640">
        <f>IF($A640="","",games!$B640)</f>
        <v/>
      </c>
      <c r="C640">
        <f>IF($A640="","",games!$C640)</f>
        <v/>
      </c>
      <c r="D640">
        <f>IF($A640="","",COUNTIF(connections!$A$2:$A$1400,$A640)+COUNTIF(connections!$B$2:$B$1400,$A640))</f>
        <v/>
      </c>
      <c r="E640">
        <f>IF($A640="","",IFERROR(MATCH($C640,$R$2:$R$5,0),0))</f>
        <v/>
      </c>
      <c r="F640">
        <f>IF($A640="","",MOD(ROW(),34))</f>
        <v/>
      </c>
      <c r="G640">
        <f>IF($A640="",NA(),IF($C640="Action",$B640,NA()))</f>
        <v/>
      </c>
      <c r="H640">
        <f>IF($A640="",NA(),IF($C640="Action",1+$F640*0.023,NA()))</f>
        <v/>
      </c>
      <c r="I640">
        <f>IF($A640="",NA(),IF($C640="Strategy",$B640,NA()))</f>
        <v/>
      </c>
      <c r="J640">
        <f>IF($A640="",NA(),IF($C640="Strategy",2+$F640*0.023,NA()))</f>
        <v/>
      </c>
      <c r="K640">
        <f>IF($A640="",NA(),IF($C640="Deckbuilder",$B640,NA()))</f>
        <v/>
      </c>
      <c r="L640">
        <f>IF($A640="",NA(),IF($C640="Deckbuilder",3+$F640*0.023,NA()))</f>
        <v/>
      </c>
      <c r="M640">
        <f>IF($A640="",NA(),IF($C640="Traditional",$B640,NA()))</f>
        <v/>
      </c>
      <c r="N640">
        <f>IF($A640="",NA(),IF($C640="Traditional",4+$F640*0.023,NA()))</f>
        <v/>
      </c>
      <c r="O640">
        <f>IF($A640="","",$D640+ROW()/1000000)</f>
        <v/>
      </c>
      <c r="P640">
        <f>IF(OR($A640="",games!$H640=""),"",games!$H640)</f>
        <v/>
      </c>
      <c r="Q640">
        <f>IF(OR($A640="",$P640&lt;&gt;"Yes"),"",$D640+ROW()/1000000)</f>
        <v/>
      </c>
      <c r="T640">
        <f>IF(connections!$A640="","",IFERROR(INDEX(games!$B$2:$B$950,MATCH(connections!$A640,games!$A$2:$A$950,0)),""))</f>
        <v/>
      </c>
      <c r="U640">
        <f>IF(connections!$A640="","",IFERROR(INDEX(games!$B$2:$B$950,MATCH(connections!$B640,games!$A$2:$A$950,0)),""))</f>
        <v/>
      </c>
      <c r="V640">
        <f>IF(OR($T640="",$U640=""),"",$U640-$T640)</f>
        <v/>
      </c>
    </row>
    <row r="641">
      <c r="A641">
        <f>IF(games!$A641="","",games!$A641)</f>
        <v/>
      </c>
      <c r="B641">
        <f>IF($A641="","",games!$B641)</f>
        <v/>
      </c>
      <c r="C641">
        <f>IF($A641="","",games!$C641)</f>
        <v/>
      </c>
      <c r="D641">
        <f>IF($A641="","",COUNTIF(connections!$A$2:$A$1400,$A641)+COUNTIF(connections!$B$2:$B$1400,$A641))</f>
        <v/>
      </c>
      <c r="E641">
        <f>IF($A641="","",IFERROR(MATCH($C641,$R$2:$R$5,0),0))</f>
        <v/>
      </c>
      <c r="F641">
        <f>IF($A641="","",MOD(ROW(),34))</f>
        <v/>
      </c>
      <c r="G641">
        <f>IF($A641="",NA(),IF($C641="Action",$B641,NA()))</f>
        <v/>
      </c>
      <c r="H641">
        <f>IF($A641="",NA(),IF($C641="Action",1+$F641*0.023,NA()))</f>
        <v/>
      </c>
      <c r="I641">
        <f>IF($A641="",NA(),IF($C641="Strategy",$B641,NA()))</f>
        <v/>
      </c>
      <c r="J641">
        <f>IF($A641="",NA(),IF($C641="Strategy",2+$F641*0.023,NA()))</f>
        <v/>
      </c>
      <c r="K641">
        <f>IF($A641="",NA(),IF($C641="Deckbuilder",$B641,NA()))</f>
        <v/>
      </c>
      <c r="L641">
        <f>IF($A641="",NA(),IF($C641="Deckbuilder",3+$F641*0.023,NA()))</f>
        <v/>
      </c>
      <c r="M641">
        <f>IF($A641="",NA(),IF($C641="Traditional",$B641,NA()))</f>
        <v/>
      </c>
      <c r="N641">
        <f>IF($A641="",NA(),IF($C641="Traditional",4+$F641*0.023,NA()))</f>
        <v/>
      </c>
      <c r="O641">
        <f>IF($A641="","",$D641+ROW()/1000000)</f>
        <v/>
      </c>
      <c r="P641">
        <f>IF(OR($A641="",games!$H641=""),"",games!$H641)</f>
        <v/>
      </c>
      <c r="Q641">
        <f>IF(OR($A641="",$P641&lt;&gt;"Yes"),"",$D641+ROW()/1000000)</f>
        <v/>
      </c>
      <c r="T641">
        <f>IF(connections!$A641="","",IFERROR(INDEX(games!$B$2:$B$950,MATCH(connections!$A641,games!$A$2:$A$950,0)),""))</f>
        <v/>
      </c>
      <c r="U641">
        <f>IF(connections!$A641="","",IFERROR(INDEX(games!$B$2:$B$950,MATCH(connections!$B641,games!$A$2:$A$950,0)),""))</f>
        <v/>
      </c>
      <c r="V641">
        <f>IF(OR($T641="",$U641=""),"",$U641-$T641)</f>
        <v/>
      </c>
    </row>
    <row r="642">
      <c r="A642">
        <f>IF(games!$A642="","",games!$A642)</f>
        <v/>
      </c>
      <c r="B642">
        <f>IF($A642="","",games!$B642)</f>
        <v/>
      </c>
      <c r="C642">
        <f>IF($A642="","",games!$C642)</f>
        <v/>
      </c>
      <c r="D642">
        <f>IF($A642="","",COUNTIF(connections!$A$2:$A$1400,$A642)+COUNTIF(connections!$B$2:$B$1400,$A642))</f>
        <v/>
      </c>
      <c r="E642">
        <f>IF($A642="","",IFERROR(MATCH($C642,$R$2:$R$5,0),0))</f>
        <v/>
      </c>
      <c r="F642">
        <f>IF($A642="","",MOD(ROW(),34))</f>
        <v/>
      </c>
      <c r="G642">
        <f>IF($A642="",NA(),IF($C642="Action",$B642,NA()))</f>
        <v/>
      </c>
      <c r="H642">
        <f>IF($A642="",NA(),IF($C642="Action",1+$F642*0.023,NA()))</f>
        <v/>
      </c>
      <c r="I642">
        <f>IF($A642="",NA(),IF($C642="Strategy",$B642,NA()))</f>
        <v/>
      </c>
      <c r="J642">
        <f>IF($A642="",NA(),IF($C642="Strategy",2+$F642*0.023,NA()))</f>
        <v/>
      </c>
      <c r="K642">
        <f>IF($A642="",NA(),IF($C642="Deckbuilder",$B642,NA()))</f>
        <v/>
      </c>
      <c r="L642">
        <f>IF($A642="",NA(),IF($C642="Deckbuilder",3+$F642*0.023,NA()))</f>
        <v/>
      </c>
      <c r="M642">
        <f>IF($A642="",NA(),IF($C642="Traditional",$B642,NA()))</f>
        <v/>
      </c>
      <c r="N642">
        <f>IF($A642="",NA(),IF($C642="Traditional",4+$F642*0.023,NA()))</f>
        <v/>
      </c>
      <c r="O642">
        <f>IF($A642="","",$D642+ROW()/1000000)</f>
        <v/>
      </c>
      <c r="P642">
        <f>IF(OR($A642="",games!$H642=""),"",games!$H642)</f>
        <v/>
      </c>
      <c r="Q642">
        <f>IF(OR($A642="",$P642&lt;&gt;"Yes"),"",$D642+ROW()/1000000)</f>
        <v/>
      </c>
      <c r="T642">
        <f>IF(connections!$A642="","",IFERROR(INDEX(games!$B$2:$B$950,MATCH(connections!$A642,games!$A$2:$A$950,0)),""))</f>
        <v/>
      </c>
      <c r="U642">
        <f>IF(connections!$A642="","",IFERROR(INDEX(games!$B$2:$B$950,MATCH(connections!$B642,games!$A$2:$A$950,0)),""))</f>
        <v/>
      </c>
      <c r="V642">
        <f>IF(OR($T642="",$U642=""),"",$U642-$T642)</f>
        <v/>
      </c>
    </row>
    <row r="643">
      <c r="A643">
        <f>IF(games!$A643="","",games!$A643)</f>
        <v/>
      </c>
      <c r="B643">
        <f>IF($A643="","",games!$B643)</f>
        <v/>
      </c>
      <c r="C643">
        <f>IF($A643="","",games!$C643)</f>
        <v/>
      </c>
      <c r="D643">
        <f>IF($A643="","",COUNTIF(connections!$A$2:$A$1400,$A643)+COUNTIF(connections!$B$2:$B$1400,$A643))</f>
        <v/>
      </c>
      <c r="E643">
        <f>IF($A643="","",IFERROR(MATCH($C643,$R$2:$R$5,0),0))</f>
        <v/>
      </c>
      <c r="F643">
        <f>IF($A643="","",MOD(ROW(),34))</f>
        <v/>
      </c>
      <c r="G643">
        <f>IF($A643="",NA(),IF($C643="Action",$B643,NA()))</f>
        <v/>
      </c>
      <c r="H643">
        <f>IF($A643="",NA(),IF($C643="Action",1+$F643*0.023,NA()))</f>
        <v/>
      </c>
      <c r="I643">
        <f>IF($A643="",NA(),IF($C643="Strategy",$B643,NA()))</f>
        <v/>
      </c>
      <c r="J643">
        <f>IF($A643="",NA(),IF($C643="Strategy",2+$F643*0.023,NA()))</f>
        <v/>
      </c>
      <c r="K643">
        <f>IF($A643="",NA(),IF($C643="Deckbuilder",$B643,NA()))</f>
        <v/>
      </c>
      <c r="L643">
        <f>IF($A643="",NA(),IF($C643="Deckbuilder",3+$F643*0.023,NA()))</f>
        <v/>
      </c>
      <c r="M643">
        <f>IF($A643="",NA(),IF($C643="Traditional",$B643,NA()))</f>
        <v/>
      </c>
      <c r="N643">
        <f>IF($A643="",NA(),IF($C643="Traditional",4+$F643*0.023,NA()))</f>
        <v/>
      </c>
      <c r="O643">
        <f>IF($A643="","",$D643+ROW()/1000000)</f>
        <v/>
      </c>
      <c r="P643">
        <f>IF(OR($A643="",games!$H643=""),"",games!$H643)</f>
        <v/>
      </c>
      <c r="Q643">
        <f>IF(OR($A643="",$P643&lt;&gt;"Yes"),"",$D643+ROW()/1000000)</f>
        <v/>
      </c>
      <c r="T643">
        <f>IF(connections!$A643="","",IFERROR(INDEX(games!$B$2:$B$950,MATCH(connections!$A643,games!$A$2:$A$950,0)),""))</f>
        <v/>
      </c>
      <c r="U643">
        <f>IF(connections!$A643="","",IFERROR(INDEX(games!$B$2:$B$950,MATCH(connections!$B643,games!$A$2:$A$950,0)),""))</f>
        <v/>
      </c>
      <c r="V643">
        <f>IF(OR($T643="",$U643=""),"",$U643-$T643)</f>
        <v/>
      </c>
    </row>
    <row r="644">
      <c r="A644">
        <f>IF(games!$A644="","",games!$A644)</f>
        <v/>
      </c>
      <c r="B644">
        <f>IF($A644="","",games!$B644)</f>
        <v/>
      </c>
      <c r="C644">
        <f>IF($A644="","",games!$C644)</f>
        <v/>
      </c>
      <c r="D644">
        <f>IF($A644="","",COUNTIF(connections!$A$2:$A$1400,$A644)+COUNTIF(connections!$B$2:$B$1400,$A644))</f>
        <v/>
      </c>
      <c r="E644">
        <f>IF($A644="","",IFERROR(MATCH($C644,$R$2:$R$5,0),0))</f>
        <v/>
      </c>
      <c r="F644">
        <f>IF($A644="","",MOD(ROW(),34))</f>
        <v/>
      </c>
      <c r="G644">
        <f>IF($A644="",NA(),IF($C644="Action",$B644,NA()))</f>
        <v/>
      </c>
      <c r="H644">
        <f>IF($A644="",NA(),IF($C644="Action",1+$F644*0.023,NA()))</f>
        <v/>
      </c>
      <c r="I644">
        <f>IF($A644="",NA(),IF($C644="Strategy",$B644,NA()))</f>
        <v/>
      </c>
      <c r="J644">
        <f>IF($A644="",NA(),IF($C644="Strategy",2+$F644*0.023,NA()))</f>
        <v/>
      </c>
      <c r="K644">
        <f>IF($A644="",NA(),IF($C644="Deckbuilder",$B644,NA()))</f>
        <v/>
      </c>
      <c r="L644">
        <f>IF($A644="",NA(),IF($C644="Deckbuilder",3+$F644*0.023,NA()))</f>
        <v/>
      </c>
      <c r="M644">
        <f>IF($A644="",NA(),IF($C644="Traditional",$B644,NA()))</f>
        <v/>
      </c>
      <c r="N644">
        <f>IF($A644="",NA(),IF($C644="Traditional",4+$F644*0.023,NA()))</f>
        <v/>
      </c>
      <c r="O644">
        <f>IF($A644="","",$D644+ROW()/1000000)</f>
        <v/>
      </c>
      <c r="P644">
        <f>IF(OR($A644="",games!$H644=""),"",games!$H644)</f>
        <v/>
      </c>
      <c r="Q644">
        <f>IF(OR($A644="",$P644&lt;&gt;"Yes"),"",$D644+ROW()/1000000)</f>
        <v/>
      </c>
      <c r="T644">
        <f>IF(connections!$A644="","",IFERROR(INDEX(games!$B$2:$B$950,MATCH(connections!$A644,games!$A$2:$A$950,0)),""))</f>
        <v/>
      </c>
      <c r="U644">
        <f>IF(connections!$A644="","",IFERROR(INDEX(games!$B$2:$B$950,MATCH(connections!$B644,games!$A$2:$A$950,0)),""))</f>
        <v/>
      </c>
      <c r="V644">
        <f>IF(OR($T644="",$U644=""),"",$U644-$T644)</f>
        <v/>
      </c>
    </row>
    <row r="645">
      <c r="A645">
        <f>IF(games!$A645="","",games!$A645)</f>
        <v/>
      </c>
      <c r="B645">
        <f>IF($A645="","",games!$B645)</f>
        <v/>
      </c>
      <c r="C645">
        <f>IF($A645="","",games!$C645)</f>
        <v/>
      </c>
      <c r="D645">
        <f>IF($A645="","",COUNTIF(connections!$A$2:$A$1400,$A645)+COUNTIF(connections!$B$2:$B$1400,$A645))</f>
        <v/>
      </c>
      <c r="E645">
        <f>IF($A645="","",IFERROR(MATCH($C645,$R$2:$R$5,0),0))</f>
        <v/>
      </c>
      <c r="F645">
        <f>IF($A645="","",MOD(ROW(),34))</f>
        <v/>
      </c>
      <c r="G645">
        <f>IF($A645="",NA(),IF($C645="Action",$B645,NA()))</f>
        <v/>
      </c>
      <c r="H645">
        <f>IF($A645="",NA(),IF($C645="Action",1+$F645*0.023,NA()))</f>
        <v/>
      </c>
      <c r="I645">
        <f>IF($A645="",NA(),IF($C645="Strategy",$B645,NA()))</f>
        <v/>
      </c>
      <c r="J645">
        <f>IF($A645="",NA(),IF($C645="Strategy",2+$F645*0.023,NA()))</f>
        <v/>
      </c>
      <c r="K645">
        <f>IF($A645="",NA(),IF($C645="Deckbuilder",$B645,NA()))</f>
        <v/>
      </c>
      <c r="L645">
        <f>IF($A645="",NA(),IF($C645="Deckbuilder",3+$F645*0.023,NA()))</f>
        <v/>
      </c>
      <c r="M645">
        <f>IF($A645="",NA(),IF($C645="Traditional",$B645,NA()))</f>
        <v/>
      </c>
      <c r="N645">
        <f>IF($A645="",NA(),IF($C645="Traditional",4+$F645*0.023,NA()))</f>
        <v/>
      </c>
      <c r="O645">
        <f>IF($A645="","",$D645+ROW()/1000000)</f>
        <v/>
      </c>
      <c r="P645">
        <f>IF(OR($A645="",games!$H645=""),"",games!$H645)</f>
        <v/>
      </c>
      <c r="Q645">
        <f>IF(OR($A645="",$P645&lt;&gt;"Yes"),"",$D645+ROW()/1000000)</f>
        <v/>
      </c>
      <c r="T645">
        <f>IF(connections!$A645="","",IFERROR(INDEX(games!$B$2:$B$950,MATCH(connections!$A645,games!$A$2:$A$950,0)),""))</f>
        <v/>
      </c>
      <c r="U645">
        <f>IF(connections!$A645="","",IFERROR(INDEX(games!$B$2:$B$950,MATCH(connections!$B645,games!$A$2:$A$950,0)),""))</f>
        <v/>
      </c>
      <c r="V645">
        <f>IF(OR($T645="",$U645=""),"",$U645-$T645)</f>
        <v/>
      </c>
    </row>
    <row r="646">
      <c r="A646">
        <f>IF(games!$A646="","",games!$A646)</f>
        <v/>
      </c>
      <c r="B646">
        <f>IF($A646="","",games!$B646)</f>
        <v/>
      </c>
      <c r="C646">
        <f>IF($A646="","",games!$C646)</f>
        <v/>
      </c>
      <c r="D646">
        <f>IF($A646="","",COUNTIF(connections!$A$2:$A$1400,$A646)+COUNTIF(connections!$B$2:$B$1400,$A646))</f>
        <v/>
      </c>
      <c r="E646">
        <f>IF($A646="","",IFERROR(MATCH($C646,$R$2:$R$5,0),0))</f>
        <v/>
      </c>
      <c r="F646">
        <f>IF($A646="","",MOD(ROW(),34))</f>
        <v/>
      </c>
      <c r="G646">
        <f>IF($A646="",NA(),IF($C646="Action",$B646,NA()))</f>
        <v/>
      </c>
      <c r="H646">
        <f>IF($A646="",NA(),IF($C646="Action",1+$F646*0.023,NA()))</f>
        <v/>
      </c>
      <c r="I646">
        <f>IF($A646="",NA(),IF($C646="Strategy",$B646,NA()))</f>
        <v/>
      </c>
      <c r="J646">
        <f>IF($A646="",NA(),IF($C646="Strategy",2+$F646*0.023,NA()))</f>
        <v/>
      </c>
      <c r="K646">
        <f>IF($A646="",NA(),IF($C646="Deckbuilder",$B646,NA()))</f>
        <v/>
      </c>
      <c r="L646">
        <f>IF($A646="",NA(),IF($C646="Deckbuilder",3+$F646*0.023,NA()))</f>
        <v/>
      </c>
      <c r="M646">
        <f>IF($A646="",NA(),IF($C646="Traditional",$B646,NA()))</f>
        <v/>
      </c>
      <c r="N646">
        <f>IF($A646="",NA(),IF($C646="Traditional",4+$F646*0.023,NA()))</f>
        <v/>
      </c>
      <c r="O646">
        <f>IF($A646="","",$D646+ROW()/1000000)</f>
        <v/>
      </c>
      <c r="P646">
        <f>IF(OR($A646="",games!$H646=""),"",games!$H646)</f>
        <v/>
      </c>
      <c r="Q646">
        <f>IF(OR($A646="",$P646&lt;&gt;"Yes"),"",$D646+ROW()/1000000)</f>
        <v/>
      </c>
      <c r="T646">
        <f>IF(connections!$A646="","",IFERROR(INDEX(games!$B$2:$B$950,MATCH(connections!$A646,games!$A$2:$A$950,0)),""))</f>
        <v/>
      </c>
      <c r="U646">
        <f>IF(connections!$A646="","",IFERROR(INDEX(games!$B$2:$B$950,MATCH(connections!$B646,games!$A$2:$A$950,0)),""))</f>
        <v/>
      </c>
      <c r="V646">
        <f>IF(OR($T646="",$U646=""),"",$U646-$T646)</f>
        <v/>
      </c>
    </row>
    <row r="647">
      <c r="A647">
        <f>IF(games!$A647="","",games!$A647)</f>
        <v/>
      </c>
      <c r="B647">
        <f>IF($A647="","",games!$B647)</f>
        <v/>
      </c>
      <c r="C647">
        <f>IF($A647="","",games!$C647)</f>
        <v/>
      </c>
      <c r="D647">
        <f>IF($A647="","",COUNTIF(connections!$A$2:$A$1400,$A647)+COUNTIF(connections!$B$2:$B$1400,$A647))</f>
        <v/>
      </c>
      <c r="E647">
        <f>IF($A647="","",IFERROR(MATCH($C647,$R$2:$R$5,0),0))</f>
        <v/>
      </c>
      <c r="F647">
        <f>IF($A647="","",MOD(ROW(),34))</f>
        <v/>
      </c>
      <c r="G647">
        <f>IF($A647="",NA(),IF($C647="Action",$B647,NA()))</f>
        <v/>
      </c>
      <c r="H647">
        <f>IF($A647="",NA(),IF($C647="Action",1+$F647*0.023,NA()))</f>
        <v/>
      </c>
      <c r="I647">
        <f>IF($A647="",NA(),IF($C647="Strategy",$B647,NA()))</f>
        <v/>
      </c>
      <c r="J647">
        <f>IF($A647="",NA(),IF($C647="Strategy",2+$F647*0.023,NA()))</f>
        <v/>
      </c>
      <c r="K647">
        <f>IF($A647="",NA(),IF($C647="Deckbuilder",$B647,NA()))</f>
        <v/>
      </c>
      <c r="L647">
        <f>IF($A647="",NA(),IF($C647="Deckbuilder",3+$F647*0.023,NA()))</f>
        <v/>
      </c>
      <c r="M647">
        <f>IF($A647="",NA(),IF($C647="Traditional",$B647,NA()))</f>
        <v/>
      </c>
      <c r="N647">
        <f>IF($A647="",NA(),IF($C647="Traditional",4+$F647*0.023,NA()))</f>
        <v/>
      </c>
      <c r="O647">
        <f>IF($A647="","",$D647+ROW()/1000000)</f>
        <v/>
      </c>
      <c r="P647">
        <f>IF(OR($A647="",games!$H647=""),"",games!$H647)</f>
        <v/>
      </c>
      <c r="Q647">
        <f>IF(OR($A647="",$P647&lt;&gt;"Yes"),"",$D647+ROW()/1000000)</f>
        <v/>
      </c>
      <c r="T647">
        <f>IF(connections!$A647="","",IFERROR(INDEX(games!$B$2:$B$950,MATCH(connections!$A647,games!$A$2:$A$950,0)),""))</f>
        <v/>
      </c>
      <c r="U647">
        <f>IF(connections!$A647="","",IFERROR(INDEX(games!$B$2:$B$950,MATCH(connections!$B647,games!$A$2:$A$950,0)),""))</f>
        <v/>
      </c>
      <c r="V647">
        <f>IF(OR($T647="",$U647=""),"",$U647-$T647)</f>
        <v/>
      </c>
    </row>
    <row r="648">
      <c r="A648">
        <f>IF(games!$A648="","",games!$A648)</f>
        <v/>
      </c>
      <c r="B648">
        <f>IF($A648="","",games!$B648)</f>
        <v/>
      </c>
      <c r="C648">
        <f>IF($A648="","",games!$C648)</f>
        <v/>
      </c>
      <c r="D648">
        <f>IF($A648="","",COUNTIF(connections!$A$2:$A$1400,$A648)+COUNTIF(connections!$B$2:$B$1400,$A648))</f>
        <v/>
      </c>
      <c r="E648">
        <f>IF($A648="","",IFERROR(MATCH($C648,$R$2:$R$5,0),0))</f>
        <v/>
      </c>
      <c r="F648">
        <f>IF($A648="","",MOD(ROW(),34))</f>
        <v/>
      </c>
      <c r="G648">
        <f>IF($A648="",NA(),IF($C648="Action",$B648,NA()))</f>
        <v/>
      </c>
      <c r="H648">
        <f>IF($A648="",NA(),IF($C648="Action",1+$F648*0.023,NA()))</f>
        <v/>
      </c>
      <c r="I648">
        <f>IF($A648="",NA(),IF($C648="Strategy",$B648,NA()))</f>
        <v/>
      </c>
      <c r="J648">
        <f>IF($A648="",NA(),IF($C648="Strategy",2+$F648*0.023,NA()))</f>
        <v/>
      </c>
      <c r="K648">
        <f>IF($A648="",NA(),IF($C648="Deckbuilder",$B648,NA()))</f>
        <v/>
      </c>
      <c r="L648">
        <f>IF($A648="",NA(),IF($C648="Deckbuilder",3+$F648*0.023,NA()))</f>
        <v/>
      </c>
      <c r="M648">
        <f>IF($A648="",NA(),IF($C648="Traditional",$B648,NA()))</f>
        <v/>
      </c>
      <c r="N648">
        <f>IF($A648="",NA(),IF($C648="Traditional",4+$F648*0.023,NA()))</f>
        <v/>
      </c>
      <c r="O648">
        <f>IF($A648="","",$D648+ROW()/1000000)</f>
        <v/>
      </c>
      <c r="P648">
        <f>IF(OR($A648="",games!$H648=""),"",games!$H648)</f>
        <v/>
      </c>
      <c r="Q648">
        <f>IF(OR($A648="",$P648&lt;&gt;"Yes"),"",$D648+ROW()/1000000)</f>
        <v/>
      </c>
      <c r="T648">
        <f>IF(connections!$A648="","",IFERROR(INDEX(games!$B$2:$B$950,MATCH(connections!$A648,games!$A$2:$A$950,0)),""))</f>
        <v/>
      </c>
      <c r="U648">
        <f>IF(connections!$A648="","",IFERROR(INDEX(games!$B$2:$B$950,MATCH(connections!$B648,games!$A$2:$A$950,0)),""))</f>
        <v/>
      </c>
      <c r="V648">
        <f>IF(OR($T648="",$U648=""),"",$U648-$T648)</f>
        <v/>
      </c>
    </row>
    <row r="649">
      <c r="A649">
        <f>IF(games!$A649="","",games!$A649)</f>
        <v/>
      </c>
      <c r="B649">
        <f>IF($A649="","",games!$B649)</f>
        <v/>
      </c>
      <c r="C649">
        <f>IF($A649="","",games!$C649)</f>
        <v/>
      </c>
      <c r="D649">
        <f>IF($A649="","",COUNTIF(connections!$A$2:$A$1400,$A649)+COUNTIF(connections!$B$2:$B$1400,$A649))</f>
        <v/>
      </c>
      <c r="E649">
        <f>IF($A649="","",IFERROR(MATCH($C649,$R$2:$R$5,0),0))</f>
        <v/>
      </c>
      <c r="F649">
        <f>IF($A649="","",MOD(ROW(),34))</f>
        <v/>
      </c>
      <c r="G649">
        <f>IF($A649="",NA(),IF($C649="Action",$B649,NA()))</f>
        <v/>
      </c>
      <c r="H649">
        <f>IF($A649="",NA(),IF($C649="Action",1+$F649*0.023,NA()))</f>
        <v/>
      </c>
      <c r="I649">
        <f>IF($A649="",NA(),IF($C649="Strategy",$B649,NA()))</f>
        <v/>
      </c>
      <c r="J649">
        <f>IF($A649="",NA(),IF($C649="Strategy",2+$F649*0.023,NA()))</f>
        <v/>
      </c>
      <c r="K649">
        <f>IF($A649="",NA(),IF($C649="Deckbuilder",$B649,NA()))</f>
        <v/>
      </c>
      <c r="L649">
        <f>IF($A649="",NA(),IF($C649="Deckbuilder",3+$F649*0.023,NA()))</f>
        <v/>
      </c>
      <c r="M649">
        <f>IF($A649="",NA(),IF($C649="Traditional",$B649,NA()))</f>
        <v/>
      </c>
      <c r="N649">
        <f>IF($A649="",NA(),IF($C649="Traditional",4+$F649*0.023,NA()))</f>
        <v/>
      </c>
      <c r="O649">
        <f>IF($A649="","",$D649+ROW()/1000000)</f>
        <v/>
      </c>
      <c r="P649">
        <f>IF(OR($A649="",games!$H649=""),"",games!$H649)</f>
        <v/>
      </c>
      <c r="Q649">
        <f>IF(OR($A649="",$P649&lt;&gt;"Yes"),"",$D649+ROW()/1000000)</f>
        <v/>
      </c>
      <c r="T649">
        <f>IF(connections!$A649="","",IFERROR(INDEX(games!$B$2:$B$950,MATCH(connections!$A649,games!$A$2:$A$950,0)),""))</f>
        <v/>
      </c>
      <c r="U649">
        <f>IF(connections!$A649="","",IFERROR(INDEX(games!$B$2:$B$950,MATCH(connections!$B649,games!$A$2:$A$950,0)),""))</f>
        <v/>
      </c>
      <c r="V649">
        <f>IF(OR($T649="",$U649=""),"",$U649-$T649)</f>
        <v/>
      </c>
    </row>
    <row r="650">
      <c r="A650">
        <f>IF(games!$A650="","",games!$A650)</f>
        <v/>
      </c>
      <c r="B650">
        <f>IF($A650="","",games!$B650)</f>
        <v/>
      </c>
      <c r="C650">
        <f>IF($A650="","",games!$C650)</f>
        <v/>
      </c>
      <c r="D650">
        <f>IF($A650="","",COUNTIF(connections!$A$2:$A$1400,$A650)+COUNTIF(connections!$B$2:$B$1400,$A650))</f>
        <v/>
      </c>
      <c r="E650">
        <f>IF($A650="","",IFERROR(MATCH($C650,$R$2:$R$5,0),0))</f>
        <v/>
      </c>
      <c r="F650">
        <f>IF($A650="","",MOD(ROW(),34))</f>
        <v/>
      </c>
      <c r="G650">
        <f>IF($A650="",NA(),IF($C650="Action",$B650,NA()))</f>
        <v/>
      </c>
      <c r="H650">
        <f>IF($A650="",NA(),IF($C650="Action",1+$F650*0.023,NA()))</f>
        <v/>
      </c>
      <c r="I650">
        <f>IF($A650="",NA(),IF($C650="Strategy",$B650,NA()))</f>
        <v/>
      </c>
      <c r="J650">
        <f>IF($A650="",NA(),IF($C650="Strategy",2+$F650*0.023,NA()))</f>
        <v/>
      </c>
      <c r="K650">
        <f>IF($A650="",NA(),IF($C650="Deckbuilder",$B650,NA()))</f>
        <v/>
      </c>
      <c r="L650">
        <f>IF($A650="",NA(),IF($C650="Deckbuilder",3+$F650*0.023,NA()))</f>
        <v/>
      </c>
      <c r="M650">
        <f>IF($A650="",NA(),IF($C650="Traditional",$B650,NA()))</f>
        <v/>
      </c>
      <c r="N650">
        <f>IF($A650="",NA(),IF($C650="Traditional",4+$F650*0.023,NA()))</f>
        <v/>
      </c>
      <c r="O650">
        <f>IF($A650="","",$D650+ROW()/1000000)</f>
        <v/>
      </c>
      <c r="P650">
        <f>IF(OR($A650="",games!$H650=""),"",games!$H650)</f>
        <v/>
      </c>
      <c r="Q650">
        <f>IF(OR($A650="",$P650&lt;&gt;"Yes"),"",$D650+ROW()/1000000)</f>
        <v/>
      </c>
      <c r="T650">
        <f>IF(connections!$A650="","",IFERROR(INDEX(games!$B$2:$B$950,MATCH(connections!$A650,games!$A$2:$A$950,0)),""))</f>
        <v/>
      </c>
      <c r="U650">
        <f>IF(connections!$A650="","",IFERROR(INDEX(games!$B$2:$B$950,MATCH(connections!$B650,games!$A$2:$A$950,0)),""))</f>
        <v/>
      </c>
      <c r="V650">
        <f>IF(OR($T650="",$U650=""),"",$U650-$T650)</f>
        <v/>
      </c>
    </row>
    <row r="651">
      <c r="A651">
        <f>IF(games!$A651="","",games!$A651)</f>
        <v/>
      </c>
      <c r="B651">
        <f>IF($A651="","",games!$B651)</f>
        <v/>
      </c>
      <c r="C651">
        <f>IF($A651="","",games!$C651)</f>
        <v/>
      </c>
      <c r="D651">
        <f>IF($A651="","",COUNTIF(connections!$A$2:$A$1400,$A651)+COUNTIF(connections!$B$2:$B$1400,$A651))</f>
        <v/>
      </c>
      <c r="E651">
        <f>IF($A651="","",IFERROR(MATCH($C651,$R$2:$R$5,0),0))</f>
        <v/>
      </c>
      <c r="F651">
        <f>IF($A651="","",MOD(ROW(),34))</f>
        <v/>
      </c>
      <c r="G651">
        <f>IF($A651="",NA(),IF($C651="Action",$B651,NA()))</f>
        <v/>
      </c>
      <c r="H651">
        <f>IF($A651="",NA(),IF($C651="Action",1+$F651*0.023,NA()))</f>
        <v/>
      </c>
      <c r="I651">
        <f>IF($A651="",NA(),IF($C651="Strategy",$B651,NA()))</f>
        <v/>
      </c>
      <c r="J651">
        <f>IF($A651="",NA(),IF($C651="Strategy",2+$F651*0.023,NA()))</f>
        <v/>
      </c>
      <c r="K651">
        <f>IF($A651="",NA(),IF($C651="Deckbuilder",$B651,NA()))</f>
        <v/>
      </c>
      <c r="L651">
        <f>IF($A651="",NA(),IF($C651="Deckbuilder",3+$F651*0.023,NA()))</f>
        <v/>
      </c>
      <c r="M651">
        <f>IF($A651="",NA(),IF($C651="Traditional",$B651,NA()))</f>
        <v/>
      </c>
      <c r="N651">
        <f>IF($A651="",NA(),IF($C651="Traditional",4+$F651*0.023,NA()))</f>
        <v/>
      </c>
      <c r="O651">
        <f>IF($A651="","",$D651+ROW()/1000000)</f>
        <v/>
      </c>
      <c r="P651">
        <f>IF(OR($A651="",games!$H651=""),"",games!$H651)</f>
        <v/>
      </c>
      <c r="Q651">
        <f>IF(OR($A651="",$P651&lt;&gt;"Yes"),"",$D651+ROW()/1000000)</f>
        <v/>
      </c>
      <c r="T651">
        <f>IF(connections!$A651="","",IFERROR(INDEX(games!$B$2:$B$950,MATCH(connections!$A651,games!$A$2:$A$950,0)),""))</f>
        <v/>
      </c>
      <c r="U651">
        <f>IF(connections!$A651="","",IFERROR(INDEX(games!$B$2:$B$950,MATCH(connections!$B651,games!$A$2:$A$950,0)),""))</f>
        <v/>
      </c>
      <c r="V651">
        <f>IF(OR($T651="",$U651=""),"",$U651-$T651)</f>
        <v/>
      </c>
    </row>
    <row r="652">
      <c r="A652">
        <f>IF(games!$A652="","",games!$A652)</f>
        <v/>
      </c>
      <c r="B652">
        <f>IF($A652="","",games!$B652)</f>
        <v/>
      </c>
      <c r="C652">
        <f>IF($A652="","",games!$C652)</f>
        <v/>
      </c>
      <c r="D652">
        <f>IF($A652="","",COUNTIF(connections!$A$2:$A$1400,$A652)+COUNTIF(connections!$B$2:$B$1400,$A652))</f>
        <v/>
      </c>
      <c r="E652">
        <f>IF($A652="","",IFERROR(MATCH($C652,$R$2:$R$5,0),0))</f>
        <v/>
      </c>
      <c r="F652">
        <f>IF($A652="","",MOD(ROW(),34))</f>
        <v/>
      </c>
      <c r="G652">
        <f>IF($A652="",NA(),IF($C652="Action",$B652,NA()))</f>
        <v/>
      </c>
      <c r="H652">
        <f>IF($A652="",NA(),IF($C652="Action",1+$F652*0.023,NA()))</f>
        <v/>
      </c>
      <c r="I652">
        <f>IF($A652="",NA(),IF($C652="Strategy",$B652,NA()))</f>
        <v/>
      </c>
      <c r="J652">
        <f>IF($A652="",NA(),IF($C652="Strategy",2+$F652*0.023,NA()))</f>
        <v/>
      </c>
      <c r="K652">
        <f>IF($A652="",NA(),IF($C652="Deckbuilder",$B652,NA()))</f>
        <v/>
      </c>
      <c r="L652">
        <f>IF($A652="",NA(),IF($C652="Deckbuilder",3+$F652*0.023,NA()))</f>
        <v/>
      </c>
      <c r="M652">
        <f>IF($A652="",NA(),IF($C652="Traditional",$B652,NA()))</f>
        <v/>
      </c>
      <c r="N652">
        <f>IF($A652="",NA(),IF($C652="Traditional",4+$F652*0.023,NA()))</f>
        <v/>
      </c>
      <c r="O652">
        <f>IF($A652="","",$D652+ROW()/1000000)</f>
        <v/>
      </c>
      <c r="P652">
        <f>IF(OR($A652="",games!$H652=""),"",games!$H652)</f>
        <v/>
      </c>
      <c r="Q652">
        <f>IF(OR($A652="",$P652&lt;&gt;"Yes"),"",$D652+ROW()/1000000)</f>
        <v/>
      </c>
      <c r="T652">
        <f>IF(connections!$A652="","",IFERROR(INDEX(games!$B$2:$B$950,MATCH(connections!$A652,games!$A$2:$A$950,0)),""))</f>
        <v/>
      </c>
      <c r="U652">
        <f>IF(connections!$A652="","",IFERROR(INDEX(games!$B$2:$B$950,MATCH(connections!$B652,games!$A$2:$A$950,0)),""))</f>
        <v/>
      </c>
      <c r="V652">
        <f>IF(OR($T652="",$U652=""),"",$U652-$T652)</f>
        <v/>
      </c>
    </row>
    <row r="653">
      <c r="A653">
        <f>IF(games!$A653="","",games!$A653)</f>
        <v/>
      </c>
      <c r="B653">
        <f>IF($A653="","",games!$B653)</f>
        <v/>
      </c>
      <c r="C653">
        <f>IF($A653="","",games!$C653)</f>
        <v/>
      </c>
      <c r="D653">
        <f>IF($A653="","",COUNTIF(connections!$A$2:$A$1400,$A653)+COUNTIF(connections!$B$2:$B$1400,$A653))</f>
        <v/>
      </c>
      <c r="E653">
        <f>IF($A653="","",IFERROR(MATCH($C653,$R$2:$R$5,0),0))</f>
        <v/>
      </c>
      <c r="F653">
        <f>IF($A653="","",MOD(ROW(),34))</f>
        <v/>
      </c>
      <c r="G653">
        <f>IF($A653="",NA(),IF($C653="Action",$B653,NA()))</f>
        <v/>
      </c>
      <c r="H653">
        <f>IF($A653="",NA(),IF($C653="Action",1+$F653*0.023,NA()))</f>
        <v/>
      </c>
      <c r="I653">
        <f>IF($A653="",NA(),IF($C653="Strategy",$B653,NA()))</f>
        <v/>
      </c>
      <c r="J653">
        <f>IF($A653="",NA(),IF($C653="Strategy",2+$F653*0.023,NA()))</f>
        <v/>
      </c>
      <c r="K653">
        <f>IF($A653="",NA(),IF($C653="Deckbuilder",$B653,NA()))</f>
        <v/>
      </c>
      <c r="L653">
        <f>IF($A653="",NA(),IF($C653="Deckbuilder",3+$F653*0.023,NA()))</f>
        <v/>
      </c>
      <c r="M653">
        <f>IF($A653="",NA(),IF($C653="Traditional",$B653,NA()))</f>
        <v/>
      </c>
      <c r="N653">
        <f>IF($A653="",NA(),IF($C653="Traditional",4+$F653*0.023,NA()))</f>
        <v/>
      </c>
      <c r="O653">
        <f>IF($A653="","",$D653+ROW()/1000000)</f>
        <v/>
      </c>
      <c r="P653">
        <f>IF(OR($A653="",games!$H653=""),"",games!$H653)</f>
        <v/>
      </c>
      <c r="Q653">
        <f>IF(OR($A653="",$P653&lt;&gt;"Yes"),"",$D653+ROW()/1000000)</f>
        <v/>
      </c>
      <c r="T653">
        <f>IF(connections!$A653="","",IFERROR(INDEX(games!$B$2:$B$950,MATCH(connections!$A653,games!$A$2:$A$950,0)),""))</f>
        <v/>
      </c>
      <c r="U653">
        <f>IF(connections!$A653="","",IFERROR(INDEX(games!$B$2:$B$950,MATCH(connections!$B653,games!$A$2:$A$950,0)),""))</f>
        <v/>
      </c>
      <c r="V653">
        <f>IF(OR($T653="",$U653=""),"",$U653-$T653)</f>
        <v/>
      </c>
    </row>
    <row r="654">
      <c r="A654">
        <f>IF(games!$A654="","",games!$A654)</f>
        <v/>
      </c>
      <c r="B654">
        <f>IF($A654="","",games!$B654)</f>
        <v/>
      </c>
      <c r="C654">
        <f>IF($A654="","",games!$C654)</f>
        <v/>
      </c>
      <c r="D654">
        <f>IF($A654="","",COUNTIF(connections!$A$2:$A$1400,$A654)+COUNTIF(connections!$B$2:$B$1400,$A654))</f>
        <v/>
      </c>
      <c r="E654">
        <f>IF($A654="","",IFERROR(MATCH($C654,$R$2:$R$5,0),0))</f>
        <v/>
      </c>
      <c r="F654">
        <f>IF($A654="","",MOD(ROW(),34))</f>
        <v/>
      </c>
      <c r="G654">
        <f>IF($A654="",NA(),IF($C654="Action",$B654,NA()))</f>
        <v/>
      </c>
      <c r="H654">
        <f>IF($A654="",NA(),IF($C654="Action",1+$F654*0.023,NA()))</f>
        <v/>
      </c>
      <c r="I654">
        <f>IF($A654="",NA(),IF($C654="Strategy",$B654,NA()))</f>
        <v/>
      </c>
      <c r="J654">
        <f>IF($A654="",NA(),IF($C654="Strategy",2+$F654*0.023,NA()))</f>
        <v/>
      </c>
      <c r="K654">
        <f>IF($A654="",NA(),IF($C654="Deckbuilder",$B654,NA()))</f>
        <v/>
      </c>
      <c r="L654">
        <f>IF($A654="",NA(),IF($C654="Deckbuilder",3+$F654*0.023,NA()))</f>
        <v/>
      </c>
      <c r="M654">
        <f>IF($A654="",NA(),IF($C654="Traditional",$B654,NA()))</f>
        <v/>
      </c>
      <c r="N654">
        <f>IF($A654="",NA(),IF($C654="Traditional",4+$F654*0.023,NA()))</f>
        <v/>
      </c>
      <c r="O654">
        <f>IF($A654="","",$D654+ROW()/1000000)</f>
        <v/>
      </c>
      <c r="P654">
        <f>IF(OR($A654="",games!$H654=""),"",games!$H654)</f>
        <v/>
      </c>
      <c r="Q654">
        <f>IF(OR($A654="",$P654&lt;&gt;"Yes"),"",$D654+ROW()/1000000)</f>
        <v/>
      </c>
      <c r="T654">
        <f>IF(connections!$A654="","",IFERROR(INDEX(games!$B$2:$B$950,MATCH(connections!$A654,games!$A$2:$A$950,0)),""))</f>
        <v/>
      </c>
      <c r="U654">
        <f>IF(connections!$A654="","",IFERROR(INDEX(games!$B$2:$B$950,MATCH(connections!$B654,games!$A$2:$A$950,0)),""))</f>
        <v/>
      </c>
      <c r="V654">
        <f>IF(OR($T654="",$U654=""),"",$U654-$T654)</f>
        <v/>
      </c>
    </row>
    <row r="655">
      <c r="A655">
        <f>IF(games!$A655="","",games!$A655)</f>
        <v/>
      </c>
      <c r="B655">
        <f>IF($A655="","",games!$B655)</f>
        <v/>
      </c>
      <c r="C655">
        <f>IF($A655="","",games!$C655)</f>
        <v/>
      </c>
      <c r="D655">
        <f>IF($A655="","",COUNTIF(connections!$A$2:$A$1400,$A655)+COUNTIF(connections!$B$2:$B$1400,$A655))</f>
        <v/>
      </c>
      <c r="E655">
        <f>IF($A655="","",IFERROR(MATCH($C655,$R$2:$R$5,0),0))</f>
        <v/>
      </c>
      <c r="F655">
        <f>IF($A655="","",MOD(ROW(),34))</f>
        <v/>
      </c>
      <c r="G655">
        <f>IF($A655="",NA(),IF($C655="Action",$B655,NA()))</f>
        <v/>
      </c>
      <c r="H655">
        <f>IF($A655="",NA(),IF($C655="Action",1+$F655*0.023,NA()))</f>
        <v/>
      </c>
      <c r="I655">
        <f>IF($A655="",NA(),IF($C655="Strategy",$B655,NA()))</f>
        <v/>
      </c>
      <c r="J655">
        <f>IF($A655="",NA(),IF($C655="Strategy",2+$F655*0.023,NA()))</f>
        <v/>
      </c>
      <c r="K655">
        <f>IF($A655="",NA(),IF($C655="Deckbuilder",$B655,NA()))</f>
        <v/>
      </c>
      <c r="L655">
        <f>IF($A655="",NA(),IF($C655="Deckbuilder",3+$F655*0.023,NA()))</f>
        <v/>
      </c>
      <c r="M655">
        <f>IF($A655="",NA(),IF($C655="Traditional",$B655,NA()))</f>
        <v/>
      </c>
      <c r="N655">
        <f>IF($A655="",NA(),IF($C655="Traditional",4+$F655*0.023,NA()))</f>
        <v/>
      </c>
      <c r="O655">
        <f>IF($A655="","",$D655+ROW()/1000000)</f>
        <v/>
      </c>
      <c r="P655">
        <f>IF(OR($A655="",games!$H655=""),"",games!$H655)</f>
        <v/>
      </c>
      <c r="Q655">
        <f>IF(OR($A655="",$P655&lt;&gt;"Yes"),"",$D655+ROW()/1000000)</f>
        <v/>
      </c>
      <c r="T655">
        <f>IF(connections!$A655="","",IFERROR(INDEX(games!$B$2:$B$950,MATCH(connections!$A655,games!$A$2:$A$950,0)),""))</f>
        <v/>
      </c>
      <c r="U655">
        <f>IF(connections!$A655="","",IFERROR(INDEX(games!$B$2:$B$950,MATCH(connections!$B655,games!$A$2:$A$950,0)),""))</f>
        <v/>
      </c>
      <c r="V655">
        <f>IF(OR($T655="",$U655=""),"",$U655-$T655)</f>
        <v/>
      </c>
    </row>
    <row r="656">
      <c r="A656">
        <f>IF(games!$A656="","",games!$A656)</f>
        <v/>
      </c>
      <c r="B656">
        <f>IF($A656="","",games!$B656)</f>
        <v/>
      </c>
      <c r="C656">
        <f>IF($A656="","",games!$C656)</f>
        <v/>
      </c>
      <c r="D656">
        <f>IF($A656="","",COUNTIF(connections!$A$2:$A$1400,$A656)+COUNTIF(connections!$B$2:$B$1400,$A656))</f>
        <v/>
      </c>
      <c r="E656">
        <f>IF($A656="","",IFERROR(MATCH($C656,$R$2:$R$5,0),0))</f>
        <v/>
      </c>
      <c r="F656">
        <f>IF($A656="","",MOD(ROW(),34))</f>
        <v/>
      </c>
      <c r="G656">
        <f>IF($A656="",NA(),IF($C656="Action",$B656,NA()))</f>
        <v/>
      </c>
      <c r="H656">
        <f>IF($A656="",NA(),IF($C656="Action",1+$F656*0.023,NA()))</f>
        <v/>
      </c>
      <c r="I656">
        <f>IF($A656="",NA(),IF($C656="Strategy",$B656,NA()))</f>
        <v/>
      </c>
      <c r="J656">
        <f>IF($A656="",NA(),IF($C656="Strategy",2+$F656*0.023,NA()))</f>
        <v/>
      </c>
      <c r="K656">
        <f>IF($A656="",NA(),IF($C656="Deckbuilder",$B656,NA()))</f>
        <v/>
      </c>
      <c r="L656">
        <f>IF($A656="",NA(),IF($C656="Deckbuilder",3+$F656*0.023,NA()))</f>
        <v/>
      </c>
      <c r="M656">
        <f>IF($A656="",NA(),IF($C656="Traditional",$B656,NA()))</f>
        <v/>
      </c>
      <c r="N656">
        <f>IF($A656="",NA(),IF($C656="Traditional",4+$F656*0.023,NA()))</f>
        <v/>
      </c>
      <c r="O656">
        <f>IF($A656="","",$D656+ROW()/1000000)</f>
        <v/>
      </c>
      <c r="P656">
        <f>IF(OR($A656="",games!$H656=""),"",games!$H656)</f>
        <v/>
      </c>
      <c r="Q656">
        <f>IF(OR($A656="",$P656&lt;&gt;"Yes"),"",$D656+ROW()/1000000)</f>
        <v/>
      </c>
      <c r="T656">
        <f>IF(connections!$A656="","",IFERROR(INDEX(games!$B$2:$B$950,MATCH(connections!$A656,games!$A$2:$A$950,0)),""))</f>
        <v/>
      </c>
      <c r="U656">
        <f>IF(connections!$A656="","",IFERROR(INDEX(games!$B$2:$B$950,MATCH(connections!$B656,games!$A$2:$A$950,0)),""))</f>
        <v/>
      </c>
      <c r="V656">
        <f>IF(OR($T656="",$U656=""),"",$U656-$T656)</f>
        <v/>
      </c>
    </row>
    <row r="657">
      <c r="A657">
        <f>IF(games!$A657="","",games!$A657)</f>
        <v/>
      </c>
      <c r="B657">
        <f>IF($A657="","",games!$B657)</f>
        <v/>
      </c>
      <c r="C657">
        <f>IF($A657="","",games!$C657)</f>
        <v/>
      </c>
      <c r="D657">
        <f>IF($A657="","",COUNTIF(connections!$A$2:$A$1400,$A657)+COUNTIF(connections!$B$2:$B$1400,$A657))</f>
        <v/>
      </c>
      <c r="E657">
        <f>IF($A657="","",IFERROR(MATCH($C657,$R$2:$R$5,0),0))</f>
        <v/>
      </c>
      <c r="F657">
        <f>IF($A657="","",MOD(ROW(),34))</f>
        <v/>
      </c>
      <c r="G657">
        <f>IF($A657="",NA(),IF($C657="Action",$B657,NA()))</f>
        <v/>
      </c>
      <c r="H657">
        <f>IF($A657="",NA(),IF($C657="Action",1+$F657*0.023,NA()))</f>
        <v/>
      </c>
      <c r="I657">
        <f>IF($A657="",NA(),IF($C657="Strategy",$B657,NA()))</f>
        <v/>
      </c>
      <c r="J657">
        <f>IF($A657="",NA(),IF($C657="Strategy",2+$F657*0.023,NA()))</f>
        <v/>
      </c>
      <c r="K657">
        <f>IF($A657="",NA(),IF($C657="Deckbuilder",$B657,NA()))</f>
        <v/>
      </c>
      <c r="L657">
        <f>IF($A657="",NA(),IF($C657="Deckbuilder",3+$F657*0.023,NA()))</f>
        <v/>
      </c>
      <c r="M657">
        <f>IF($A657="",NA(),IF($C657="Traditional",$B657,NA()))</f>
        <v/>
      </c>
      <c r="N657">
        <f>IF($A657="",NA(),IF($C657="Traditional",4+$F657*0.023,NA()))</f>
        <v/>
      </c>
      <c r="O657">
        <f>IF($A657="","",$D657+ROW()/1000000)</f>
        <v/>
      </c>
      <c r="P657">
        <f>IF(OR($A657="",games!$H657=""),"",games!$H657)</f>
        <v/>
      </c>
      <c r="Q657">
        <f>IF(OR($A657="",$P657&lt;&gt;"Yes"),"",$D657+ROW()/1000000)</f>
        <v/>
      </c>
      <c r="T657">
        <f>IF(connections!$A657="","",IFERROR(INDEX(games!$B$2:$B$950,MATCH(connections!$A657,games!$A$2:$A$950,0)),""))</f>
        <v/>
      </c>
      <c r="U657">
        <f>IF(connections!$A657="","",IFERROR(INDEX(games!$B$2:$B$950,MATCH(connections!$B657,games!$A$2:$A$950,0)),""))</f>
        <v/>
      </c>
      <c r="V657">
        <f>IF(OR($T657="",$U657=""),"",$U657-$T657)</f>
        <v/>
      </c>
    </row>
    <row r="658">
      <c r="A658">
        <f>IF(games!$A658="","",games!$A658)</f>
        <v/>
      </c>
      <c r="B658">
        <f>IF($A658="","",games!$B658)</f>
        <v/>
      </c>
      <c r="C658">
        <f>IF($A658="","",games!$C658)</f>
        <v/>
      </c>
      <c r="D658">
        <f>IF($A658="","",COUNTIF(connections!$A$2:$A$1400,$A658)+COUNTIF(connections!$B$2:$B$1400,$A658))</f>
        <v/>
      </c>
      <c r="E658">
        <f>IF($A658="","",IFERROR(MATCH($C658,$R$2:$R$5,0),0))</f>
        <v/>
      </c>
      <c r="F658">
        <f>IF($A658="","",MOD(ROW(),34))</f>
        <v/>
      </c>
      <c r="G658">
        <f>IF($A658="",NA(),IF($C658="Action",$B658,NA()))</f>
        <v/>
      </c>
      <c r="H658">
        <f>IF($A658="",NA(),IF($C658="Action",1+$F658*0.023,NA()))</f>
        <v/>
      </c>
      <c r="I658">
        <f>IF($A658="",NA(),IF($C658="Strategy",$B658,NA()))</f>
        <v/>
      </c>
      <c r="J658">
        <f>IF($A658="",NA(),IF($C658="Strategy",2+$F658*0.023,NA()))</f>
        <v/>
      </c>
      <c r="K658">
        <f>IF($A658="",NA(),IF($C658="Deckbuilder",$B658,NA()))</f>
        <v/>
      </c>
      <c r="L658">
        <f>IF($A658="",NA(),IF($C658="Deckbuilder",3+$F658*0.023,NA()))</f>
        <v/>
      </c>
      <c r="M658">
        <f>IF($A658="",NA(),IF($C658="Traditional",$B658,NA()))</f>
        <v/>
      </c>
      <c r="N658">
        <f>IF($A658="",NA(),IF($C658="Traditional",4+$F658*0.023,NA()))</f>
        <v/>
      </c>
      <c r="O658">
        <f>IF($A658="","",$D658+ROW()/1000000)</f>
        <v/>
      </c>
      <c r="P658">
        <f>IF(OR($A658="",games!$H658=""),"",games!$H658)</f>
        <v/>
      </c>
      <c r="Q658">
        <f>IF(OR($A658="",$P658&lt;&gt;"Yes"),"",$D658+ROW()/1000000)</f>
        <v/>
      </c>
      <c r="T658">
        <f>IF(connections!$A658="","",IFERROR(INDEX(games!$B$2:$B$950,MATCH(connections!$A658,games!$A$2:$A$950,0)),""))</f>
        <v/>
      </c>
      <c r="U658">
        <f>IF(connections!$A658="","",IFERROR(INDEX(games!$B$2:$B$950,MATCH(connections!$B658,games!$A$2:$A$950,0)),""))</f>
        <v/>
      </c>
      <c r="V658">
        <f>IF(OR($T658="",$U658=""),"",$U658-$T658)</f>
        <v/>
      </c>
    </row>
    <row r="659">
      <c r="A659">
        <f>IF(games!$A659="","",games!$A659)</f>
        <v/>
      </c>
      <c r="B659">
        <f>IF($A659="","",games!$B659)</f>
        <v/>
      </c>
      <c r="C659">
        <f>IF($A659="","",games!$C659)</f>
        <v/>
      </c>
      <c r="D659">
        <f>IF($A659="","",COUNTIF(connections!$A$2:$A$1400,$A659)+COUNTIF(connections!$B$2:$B$1400,$A659))</f>
        <v/>
      </c>
      <c r="E659">
        <f>IF($A659="","",IFERROR(MATCH($C659,$R$2:$R$5,0),0))</f>
        <v/>
      </c>
      <c r="F659">
        <f>IF($A659="","",MOD(ROW(),34))</f>
        <v/>
      </c>
      <c r="G659">
        <f>IF($A659="",NA(),IF($C659="Action",$B659,NA()))</f>
        <v/>
      </c>
      <c r="H659">
        <f>IF($A659="",NA(),IF($C659="Action",1+$F659*0.023,NA()))</f>
        <v/>
      </c>
      <c r="I659">
        <f>IF($A659="",NA(),IF($C659="Strategy",$B659,NA()))</f>
        <v/>
      </c>
      <c r="J659">
        <f>IF($A659="",NA(),IF($C659="Strategy",2+$F659*0.023,NA()))</f>
        <v/>
      </c>
      <c r="K659">
        <f>IF($A659="",NA(),IF($C659="Deckbuilder",$B659,NA()))</f>
        <v/>
      </c>
      <c r="L659">
        <f>IF($A659="",NA(),IF($C659="Deckbuilder",3+$F659*0.023,NA()))</f>
        <v/>
      </c>
      <c r="M659">
        <f>IF($A659="",NA(),IF($C659="Traditional",$B659,NA()))</f>
        <v/>
      </c>
      <c r="N659">
        <f>IF($A659="",NA(),IF($C659="Traditional",4+$F659*0.023,NA()))</f>
        <v/>
      </c>
      <c r="O659">
        <f>IF($A659="","",$D659+ROW()/1000000)</f>
        <v/>
      </c>
      <c r="P659">
        <f>IF(OR($A659="",games!$H659=""),"",games!$H659)</f>
        <v/>
      </c>
      <c r="Q659">
        <f>IF(OR($A659="",$P659&lt;&gt;"Yes"),"",$D659+ROW()/1000000)</f>
        <v/>
      </c>
      <c r="T659">
        <f>IF(connections!$A659="","",IFERROR(INDEX(games!$B$2:$B$950,MATCH(connections!$A659,games!$A$2:$A$950,0)),""))</f>
        <v/>
      </c>
      <c r="U659">
        <f>IF(connections!$A659="","",IFERROR(INDEX(games!$B$2:$B$950,MATCH(connections!$B659,games!$A$2:$A$950,0)),""))</f>
        <v/>
      </c>
      <c r="V659">
        <f>IF(OR($T659="",$U659=""),"",$U659-$T659)</f>
        <v/>
      </c>
    </row>
    <row r="660">
      <c r="A660">
        <f>IF(games!$A660="","",games!$A660)</f>
        <v/>
      </c>
      <c r="B660">
        <f>IF($A660="","",games!$B660)</f>
        <v/>
      </c>
      <c r="C660">
        <f>IF($A660="","",games!$C660)</f>
        <v/>
      </c>
      <c r="D660">
        <f>IF($A660="","",COUNTIF(connections!$A$2:$A$1400,$A660)+COUNTIF(connections!$B$2:$B$1400,$A660))</f>
        <v/>
      </c>
      <c r="E660">
        <f>IF($A660="","",IFERROR(MATCH($C660,$R$2:$R$5,0),0))</f>
        <v/>
      </c>
      <c r="F660">
        <f>IF($A660="","",MOD(ROW(),34))</f>
        <v/>
      </c>
      <c r="G660">
        <f>IF($A660="",NA(),IF($C660="Action",$B660,NA()))</f>
        <v/>
      </c>
      <c r="H660">
        <f>IF($A660="",NA(),IF($C660="Action",1+$F660*0.023,NA()))</f>
        <v/>
      </c>
      <c r="I660">
        <f>IF($A660="",NA(),IF($C660="Strategy",$B660,NA()))</f>
        <v/>
      </c>
      <c r="J660">
        <f>IF($A660="",NA(),IF($C660="Strategy",2+$F660*0.023,NA()))</f>
        <v/>
      </c>
      <c r="K660">
        <f>IF($A660="",NA(),IF($C660="Deckbuilder",$B660,NA()))</f>
        <v/>
      </c>
      <c r="L660">
        <f>IF($A660="",NA(),IF($C660="Deckbuilder",3+$F660*0.023,NA()))</f>
        <v/>
      </c>
      <c r="M660">
        <f>IF($A660="",NA(),IF($C660="Traditional",$B660,NA()))</f>
        <v/>
      </c>
      <c r="N660">
        <f>IF($A660="",NA(),IF($C660="Traditional",4+$F660*0.023,NA()))</f>
        <v/>
      </c>
      <c r="O660">
        <f>IF($A660="","",$D660+ROW()/1000000)</f>
        <v/>
      </c>
      <c r="P660">
        <f>IF(OR($A660="",games!$H660=""),"",games!$H660)</f>
        <v/>
      </c>
      <c r="Q660">
        <f>IF(OR($A660="",$P660&lt;&gt;"Yes"),"",$D660+ROW()/1000000)</f>
        <v/>
      </c>
      <c r="T660">
        <f>IF(connections!$A660="","",IFERROR(INDEX(games!$B$2:$B$950,MATCH(connections!$A660,games!$A$2:$A$950,0)),""))</f>
        <v/>
      </c>
      <c r="U660">
        <f>IF(connections!$A660="","",IFERROR(INDEX(games!$B$2:$B$950,MATCH(connections!$B660,games!$A$2:$A$950,0)),""))</f>
        <v/>
      </c>
      <c r="V660">
        <f>IF(OR($T660="",$U660=""),"",$U660-$T660)</f>
        <v/>
      </c>
    </row>
    <row r="661">
      <c r="A661">
        <f>IF(games!$A661="","",games!$A661)</f>
        <v/>
      </c>
      <c r="B661">
        <f>IF($A661="","",games!$B661)</f>
        <v/>
      </c>
      <c r="C661">
        <f>IF($A661="","",games!$C661)</f>
        <v/>
      </c>
      <c r="D661">
        <f>IF($A661="","",COUNTIF(connections!$A$2:$A$1400,$A661)+COUNTIF(connections!$B$2:$B$1400,$A661))</f>
        <v/>
      </c>
      <c r="E661">
        <f>IF($A661="","",IFERROR(MATCH($C661,$R$2:$R$5,0),0))</f>
        <v/>
      </c>
      <c r="F661">
        <f>IF($A661="","",MOD(ROW(),34))</f>
        <v/>
      </c>
      <c r="G661">
        <f>IF($A661="",NA(),IF($C661="Action",$B661,NA()))</f>
        <v/>
      </c>
      <c r="H661">
        <f>IF($A661="",NA(),IF($C661="Action",1+$F661*0.023,NA()))</f>
        <v/>
      </c>
      <c r="I661">
        <f>IF($A661="",NA(),IF($C661="Strategy",$B661,NA()))</f>
        <v/>
      </c>
      <c r="J661">
        <f>IF($A661="",NA(),IF($C661="Strategy",2+$F661*0.023,NA()))</f>
        <v/>
      </c>
      <c r="K661">
        <f>IF($A661="",NA(),IF($C661="Deckbuilder",$B661,NA()))</f>
        <v/>
      </c>
      <c r="L661">
        <f>IF($A661="",NA(),IF($C661="Deckbuilder",3+$F661*0.023,NA()))</f>
        <v/>
      </c>
      <c r="M661">
        <f>IF($A661="",NA(),IF($C661="Traditional",$B661,NA()))</f>
        <v/>
      </c>
      <c r="N661">
        <f>IF($A661="",NA(),IF($C661="Traditional",4+$F661*0.023,NA()))</f>
        <v/>
      </c>
      <c r="O661">
        <f>IF($A661="","",$D661+ROW()/1000000)</f>
        <v/>
      </c>
      <c r="P661">
        <f>IF(OR($A661="",games!$H661=""),"",games!$H661)</f>
        <v/>
      </c>
      <c r="Q661">
        <f>IF(OR($A661="",$P661&lt;&gt;"Yes"),"",$D661+ROW()/1000000)</f>
        <v/>
      </c>
      <c r="T661">
        <f>IF(connections!$A661="","",IFERROR(INDEX(games!$B$2:$B$950,MATCH(connections!$A661,games!$A$2:$A$950,0)),""))</f>
        <v/>
      </c>
      <c r="U661">
        <f>IF(connections!$A661="","",IFERROR(INDEX(games!$B$2:$B$950,MATCH(connections!$B661,games!$A$2:$A$950,0)),""))</f>
        <v/>
      </c>
      <c r="V661">
        <f>IF(OR($T661="",$U661=""),"",$U661-$T661)</f>
        <v/>
      </c>
    </row>
    <row r="662">
      <c r="A662">
        <f>IF(games!$A662="","",games!$A662)</f>
        <v/>
      </c>
      <c r="B662">
        <f>IF($A662="","",games!$B662)</f>
        <v/>
      </c>
      <c r="C662">
        <f>IF($A662="","",games!$C662)</f>
        <v/>
      </c>
      <c r="D662">
        <f>IF($A662="","",COUNTIF(connections!$A$2:$A$1400,$A662)+COUNTIF(connections!$B$2:$B$1400,$A662))</f>
        <v/>
      </c>
      <c r="E662">
        <f>IF($A662="","",IFERROR(MATCH($C662,$R$2:$R$5,0),0))</f>
        <v/>
      </c>
      <c r="F662">
        <f>IF($A662="","",MOD(ROW(),34))</f>
        <v/>
      </c>
      <c r="G662">
        <f>IF($A662="",NA(),IF($C662="Action",$B662,NA()))</f>
        <v/>
      </c>
      <c r="H662">
        <f>IF($A662="",NA(),IF($C662="Action",1+$F662*0.023,NA()))</f>
        <v/>
      </c>
      <c r="I662">
        <f>IF($A662="",NA(),IF($C662="Strategy",$B662,NA()))</f>
        <v/>
      </c>
      <c r="J662">
        <f>IF($A662="",NA(),IF($C662="Strategy",2+$F662*0.023,NA()))</f>
        <v/>
      </c>
      <c r="K662">
        <f>IF($A662="",NA(),IF($C662="Deckbuilder",$B662,NA()))</f>
        <v/>
      </c>
      <c r="L662">
        <f>IF($A662="",NA(),IF($C662="Deckbuilder",3+$F662*0.023,NA()))</f>
        <v/>
      </c>
      <c r="M662">
        <f>IF($A662="",NA(),IF($C662="Traditional",$B662,NA()))</f>
        <v/>
      </c>
      <c r="N662">
        <f>IF($A662="",NA(),IF($C662="Traditional",4+$F662*0.023,NA()))</f>
        <v/>
      </c>
      <c r="O662">
        <f>IF($A662="","",$D662+ROW()/1000000)</f>
        <v/>
      </c>
      <c r="P662">
        <f>IF(OR($A662="",games!$H662=""),"",games!$H662)</f>
        <v/>
      </c>
      <c r="Q662">
        <f>IF(OR($A662="",$P662&lt;&gt;"Yes"),"",$D662+ROW()/1000000)</f>
        <v/>
      </c>
      <c r="T662">
        <f>IF(connections!$A662="","",IFERROR(INDEX(games!$B$2:$B$950,MATCH(connections!$A662,games!$A$2:$A$950,0)),""))</f>
        <v/>
      </c>
      <c r="U662">
        <f>IF(connections!$A662="","",IFERROR(INDEX(games!$B$2:$B$950,MATCH(connections!$B662,games!$A$2:$A$950,0)),""))</f>
        <v/>
      </c>
      <c r="V662">
        <f>IF(OR($T662="",$U662=""),"",$U662-$T662)</f>
        <v/>
      </c>
    </row>
    <row r="663">
      <c r="A663">
        <f>IF(games!$A663="","",games!$A663)</f>
        <v/>
      </c>
      <c r="B663">
        <f>IF($A663="","",games!$B663)</f>
        <v/>
      </c>
      <c r="C663">
        <f>IF($A663="","",games!$C663)</f>
        <v/>
      </c>
      <c r="D663">
        <f>IF($A663="","",COUNTIF(connections!$A$2:$A$1400,$A663)+COUNTIF(connections!$B$2:$B$1400,$A663))</f>
        <v/>
      </c>
      <c r="E663">
        <f>IF($A663="","",IFERROR(MATCH($C663,$R$2:$R$5,0),0))</f>
        <v/>
      </c>
      <c r="F663">
        <f>IF($A663="","",MOD(ROW(),34))</f>
        <v/>
      </c>
      <c r="G663">
        <f>IF($A663="",NA(),IF($C663="Action",$B663,NA()))</f>
        <v/>
      </c>
      <c r="H663">
        <f>IF($A663="",NA(),IF($C663="Action",1+$F663*0.023,NA()))</f>
        <v/>
      </c>
      <c r="I663">
        <f>IF($A663="",NA(),IF($C663="Strategy",$B663,NA()))</f>
        <v/>
      </c>
      <c r="J663">
        <f>IF($A663="",NA(),IF($C663="Strategy",2+$F663*0.023,NA()))</f>
        <v/>
      </c>
      <c r="K663">
        <f>IF($A663="",NA(),IF($C663="Deckbuilder",$B663,NA()))</f>
        <v/>
      </c>
      <c r="L663">
        <f>IF($A663="",NA(),IF($C663="Deckbuilder",3+$F663*0.023,NA()))</f>
        <v/>
      </c>
      <c r="M663">
        <f>IF($A663="",NA(),IF($C663="Traditional",$B663,NA()))</f>
        <v/>
      </c>
      <c r="N663">
        <f>IF($A663="",NA(),IF($C663="Traditional",4+$F663*0.023,NA()))</f>
        <v/>
      </c>
      <c r="O663">
        <f>IF($A663="","",$D663+ROW()/1000000)</f>
        <v/>
      </c>
      <c r="P663">
        <f>IF(OR($A663="",games!$H663=""),"",games!$H663)</f>
        <v/>
      </c>
      <c r="Q663">
        <f>IF(OR($A663="",$P663&lt;&gt;"Yes"),"",$D663+ROW()/1000000)</f>
        <v/>
      </c>
      <c r="T663">
        <f>IF(connections!$A663="","",IFERROR(INDEX(games!$B$2:$B$950,MATCH(connections!$A663,games!$A$2:$A$950,0)),""))</f>
        <v/>
      </c>
      <c r="U663">
        <f>IF(connections!$A663="","",IFERROR(INDEX(games!$B$2:$B$950,MATCH(connections!$B663,games!$A$2:$A$950,0)),""))</f>
        <v/>
      </c>
      <c r="V663">
        <f>IF(OR($T663="",$U663=""),"",$U663-$T663)</f>
        <v/>
      </c>
    </row>
    <row r="664">
      <c r="A664">
        <f>IF(games!$A664="","",games!$A664)</f>
        <v/>
      </c>
      <c r="B664">
        <f>IF($A664="","",games!$B664)</f>
        <v/>
      </c>
      <c r="C664">
        <f>IF($A664="","",games!$C664)</f>
        <v/>
      </c>
      <c r="D664">
        <f>IF($A664="","",COUNTIF(connections!$A$2:$A$1400,$A664)+COUNTIF(connections!$B$2:$B$1400,$A664))</f>
        <v/>
      </c>
      <c r="E664">
        <f>IF($A664="","",IFERROR(MATCH($C664,$R$2:$R$5,0),0))</f>
        <v/>
      </c>
      <c r="F664">
        <f>IF($A664="","",MOD(ROW(),34))</f>
        <v/>
      </c>
      <c r="G664">
        <f>IF($A664="",NA(),IF($C664="Action",$B664,NA()))</f>
        <v/>
      </c>
      <c r="H664">
        <f>IF($A664="",NA(),IF($C664="Action",1+$F664*0.023,NA()))</f>
        <v/>
      </c>
      <c r="I664">
        <f>IF($A664="",NA(),IF($C664="Strategy",$B664,NA()))</f>
        <v/>
      </c>
      <c r="J664">
        <f>IF($A664="",NA(),IF($C664="Strategy",2+$F664*0.023,NA()))</f>
        <v/>
      </c>
      <c r="K664">
        <f>IF($A664="",NA(),IF($C664="Deckbuilder",$B664,NA()))</f>
        <v/>
      </c>
      <c r="L664">
        <f>IF($A664="",NA(),IF($C664="Deckbuilder",3+$F664*0.023,NA()))</f>
        <v/>
      </c>
      <c r="M664">
        <f>IF($A664="",NA(),IF($C664="Traditional",$B664,NA()))</f>
        <v/>
      </c>
      <c r="N664">
        <f>IF($A664="",NA(),IF($C664="Traditional",4+$F664*0.023,NA()))</f>
        <v/>
      </c>
      <c r="O664">
        <f>IF($A664="","",$D664+ROW()/1000000)</f>
        <v/>
      </c>
      <c r="P664">
        <f>IF(OR($A664="",games!$H664=""),"",games!$H664)</f>
        <v/>
      </c>
      <c r="Q664">
        <f>IF(OR($A664="",$P664&lt;&gt;"Yes"),"",$D664+ROW()/1000000)</f>
        <v/>
      </c>
      <c r="T664">
        <f>IF(connections!$A664="","",IFERROR(INDEX(games!$B$2:$B$950,MATCH(connections!$A664,games!$A$2:$A$950,0)),""))</f>
        <v/>
      </c>
      <c r="U664">
        <f>IF(connections!$A664="","",IFERROR(INDEX(games!$B$2:$B$950,MATCH(connections!$B664,games!$A$2:$A$950,0)),""))</f>
        <v/>
      </c>
      <c r="V664">
        <f>IF(OR($T664="",$U664=""),"",$U664-$T664)</f>
        <v/>
      </c>
    </row>
    <row r="665">
      <c r="A665">
        <f>IF(games!$A665="","",games!$A665)</f>
        <v/>
      </c>
      <c r="B665">
        <f>IF($A665="","",games!$B665)</f>
        <v/>
      </c>
      <c r="C665">
        <f>IF($A665="","",games!$C665)</f>
        <v/>
      </c>
      <c r="D665">
        <f>IF($A665="","",COUNTIF(connections!$A$2:$A$1400,$A665)+COUNTIF(connections!$B$2:$B$1400,$A665))</f>
        <v/>
      </c>
      <c r="E665">
        <f>IF($A665="","",IFERROR(MATCH($C665,$R$2:$R$5,0),0))</f>
        <v/>
      </c>
      <c r="F665">
        <f>IF($A665="","",MOD(ROW(),34))</f>
        <v/>
      </c>
      <c r="G665">
        <f>IF($A665="",NA(),IF($C665="Action",$B665,NA()))</f>
        <v/>
      </c>
      <c r="H665">
        <f>IF($A665="",NA(),IF($C665="Action",1+$F665*0.023,NA()))</f>
        <v/>
      </c>
      <c r="I665">
        <f>IF($A665="",NA(),IF($C665="Strategy",$B665,NA()))</f>
        <v/>
      </c>
      <c r="J665">
        <f>IF($A665="",NA(),IF($C665="Strategy",2+$F665*0.023,NA()))</f>
        <v/>
      </c>
      <c r="K665">
        <f>IF($A665="",NA(),IF($C665="Deckbuilder",$B665,NA()))</f>
        <v/>
      </c>
      <c r="L665">
        <f>IF($A665="",NA(),IF($C665="Deckbuilder",3+$F665*0.023,NA()))</f>
        <v/>
      </c>
      <c r="M665">
        <f>IF($A665="",NA(),IF($C665="Traditional",$B665,NA()))</f>
        <v/>
      </c>
      <c r="N665">
        <f>IF($A665="",NA(),IF($C665="Traditional",4+$F665*0.023,NA()))</f>
        <v/>
      </c>
      <c r="O665">
        <f>IF($A665="","",$D665+ROW()/1000000)</f>
        <v/>
      </c>
      <c r="P665">
        <f>IF(OR($A665="",games!$H665=""),"",games!$H665)</f>
        <v/>
      </c>
      <c r="Q665">
        <f>IF(OR($A665="",$P665&lt;&gt;"Yes"),"",$D665+ROW()/1000000)</f>
        <v/>
      </c>
      <c r="T665">
        <f>IF(connections!$A665="","",IFERROR(INDEX(games!$B$2:$B$950,MATCH(connections!$A665,games!$A$2:$A$950,0)),""))</f>
        <v/>
      </c>
      <c r="U665">
        <f>IF(connections!$A665="","",IFERROR(INDEX(games!$B$2:$B$950,MATCH(connections!$B665,games!$A$2:$A$950,0)),""))</f>
        <v/>
      </c>
      <c r="V665">
        <f>IF(OR($T665="",$U665=""),"",$U665-$T665)</f>
        <v/>
      </c>
    </row>
    <row r="666">
      <c r="A666">
        <f>IF(games!$A666="","",games!$A666)</f>
        <v/>
      </c>
      <c r="B666">
        <f>IF($A666="","",games!$B666)</f>
        <v/>
      </c>
      <c r="C666">
        <f>IF($A666="","",games!$C666)</f>
        <v/>
      </c>
      <c r="D666">
        <f>IF($A666="","",COUNTIF(connections!$A$2:$A$1400,$A666)+COUNTIF(connections!$B$2:$B$1400,$A666))</f>
        <v/>
      </c>
      <c r="E666">
        <f>IF($A666="","",IFERROR(MATCH($C666,$R$2:$R$5,0),0))</f>
        <v/>
      </c>
      <c r="F666">
        <f>IF($A666="","",MOD(ROW(),34))</f>
        <v/>
      </c>
      <c r="G666">
        <f>IF($A666="",NA(),IF($C666="Action",$B666,NA()))</f>
        <v/>
      </c>
      <c r="H666">
        <f>IF($A666="",NA(),IF($C666="Action",1+$F666*0.023,NA()))</f>
        <v/>
      </c>
      <c r="I666">
        <f>IF($A666="",NA(),IF($C666="Strategy",$B666,NA()))</f>
        <v/>
      </c>
      <c r="J666">
        <f>IF($A666="",NA(),IF($C666="Strategy",2+$F666*0.023,NA()))</f>
        <v/>
      </c>
      <c r="K666">
        <f>IF($A666="",NA(),IF($C666="Deckbuilder",$B666,NA()))</f>
        <v/>
      </c>
      <c r="L666">
        <f>IF($A666="",NA(),IF($C666="Deckbuilder",3+$F666*0.023,NA()))</f>
        <v/>
      </c>
      <c r="M666">
        <f>IF($A666="",NA(),IF($C666="Traditional",$B666,NA()))</f>
        <v/>
      </c>
      <c r="N666">
        <f>IF($A666="",NA(),IF($C666="Traditional",4+$F666*0.023,NA()))</f>
        <v/>
      </c>
      <c r="O666">
        <f>IF($A666="","",$D666+ROW()/1000000)</f>
        <v/>
      </c>
      <c r="P666">
        <f>IF(OR($A666="",games!$H666=""),"",games!$H666)</f>
        <v/>
      </c>
      <c r="Q666">
        <f>IF(OR($A666="",$P666&lt;&gt;"Yes"),"",$D666+ROW()/1000000)</f>
        <v/>
      </c>
      <c r="T666">
        <f>IF(connections!$A666="","",IFERROR(INDEX(games!$B$2:$B$950,MATCH(connections!$A666,games!$A$2:$A$950,0)),""))</f>
        <v/>
      </c>
      <c r="U666">
        <f>IF(connections!$A666="","",IFERROR(INDEX(games!$B$2:$B$950,MATCH(connections!$B666,games!$A$2:$A$950,0)),""))</f>
        <v/>
      </c>
      <c r="V666">
        <f>IF(OR($T666="",$U666=""),"",$U666-$T666)</f>
        <v/>
      </c>
    </row>
    <row r="667">
      <c r="A667">
        <f>IF(games!$A667="","",games!$A667)</f>
        <v/>
      </c>
      <c r="B667">
        <f>IF($A667="","",games!$B667)</f>
        <v/>
      </c>
      <c r="C667">
        <f>IF($A667="","",games!$C667)</f>
        <v/>
      </c>
      <c r="D667">
        <f>IF($A667="","",COUNTIF(connections!$A$2:$A$1400,$A667)+COUNTIF(connections!$B$2:$B$1400,$A667))</f>
        <v/>
      </c>
      <c r="E667">
        <f>IF($A667="","",IFERROR(MATCH($C667,$R$2:$R$5,0),0))</f>
        <v/>
      </c>
      <c r="F667">
        <f>IF($A667="","",MOD(ROW(),34))</f>
        <v/>
      </c>
      <c r="G667">
        <f>IF($A667="",NA(),IF($C667="Action",$B667,NA()))</f>
        <v/>
      </c>
      <c r="H667">
        <f>IF($A667="",NA(),IF($C667="Action",1+$F667*0.023,NA()))</f>
        <v/>
      </c>
      <c r="I667">
        <f>IF($A667="",NA(),IF($C667="Strategy",$B667,NA()))</f>
        <v/>
      </c>
      <c r="J667">
        <f>IF($A667="",NA(),IF($C667="Strategy",2+$F667*0.023,NA()))</f>
        <v/>
      </c>
      <c r="K667">
        <f>IF($A667="",NA(),IF($C667="Deckbuilder",$B667,NA()))</f>
        <v/>
      </c>
      <c r="L667">
        <f>IF($A667="",NA(),IF($C667="Deckbuilder",3+$F667*0.023,NA()))</f>
        <v/>
      </c>
      <c r="M667">
        <f>IF($A667="",NA(),IF($C667="Traditional",$B667,NA()))</f>
        <v/>
      </c>
      <c r="N667">
        <f>IF($A667="",NA(),IF($C667="Traditional",4+$F667*0.023,NA()))</f>
        <v/>
      </c>
      <c r="O667">
        <f>IF($A667="","",$D667+ROW()/1000000)</f>
        <v/>
      </c>
      <c r="P667">
        <f>IF(OR($A667="",games!$H667=""),"",games!$H667)</f>
        <v/>
      </c>
      <c r="Q667">
        <f>IF(OR($A667="",$P667&lt;&gt;"Yes"),"",$D667+ROW()/1000000)</f>
        <v/>
      </c>
      <c r="T667">
        <f>IF(connections!$A667="","",IFERROR(INDEX(games!$B$2:$B$950,MATCH(connections!$A667,games!$A$2:$A$950,0)),""))</f>
        <v/>
      </c>
      <c r="U667">
        <f>IF(connections!$A667="","",IFERROR(INDEX(games!$B$2:$B$950,MATCH(connections!$B667,games!$A$2:$A$950,0)),""))</f>
        <v/>
      </c>
      <c r="V667">
        <f>IF(OR($T667="",$U667=""),"",$U667-$T667)</f>
        <v/>
      </c>
    </row>
    <row r="668">
      <c r="A668">
        <f>IF(games!$A668="","",games!$A668)</f>
        <v/>
      </c>
      <c r="B668">
        <f>IF($A668="","",games!$B668)</f>
        <v/>
      </c>
      <c r="C668">
        <f>IF($A668="","",games!$C668)</f>
        <v/>
      </c>
      <c r="D668">
        <f>IF($A668="","",COUNTIF(connections!$A$2:$A$1400,$A668)+COUNTIF(connections!$B$2:$B$1400,$A668))</f>
        <v/>
      </c>
      <c r="E668">
        <f>IF($A668="","",IFERROR(MATCH($C668,$R$2:$R$5,0),0))</f>
        <v/>
      </c>
      <c r="F668">
        <f>IF($A668="","",MOD(ROW(),34))</f>
        <v/>
      </c>
      <c r="G668">
        <f>IF($A668="",NA(),IF($C668="Action",$B668,NA()))</f>
        <v/>
      </c>
      <c r="H668">
        <f>IF($A668="",NA(),IF($C668="Action",1+$F668*0.023,NA()))</f>
        <v/>
      </c>
      <c r="I668">
        <f>IF($A668="",NA(),IF($C668="Strategy",$B668,NA()))</f>
        <v/>
      </c>
      <c r="J668">
        <f>IF($A668="",NA(),IF($C668="Strategy",2+$F668*0.023,NA()))</f>
        <v/>
      </c>
      <c r="K668">
        <f>IF($A668="",NA(),IF($C668="Deckbuilder",$B668,NA()))</f>
        <v/>
      </c>
      <c r="L668">
        <f>IF($A668="",NA(),IF($C668="Deckbuilder",3+$F668*0.023,NA()))</f>
        <v/>
      </c>
      <c r="M668">
        <f>IF($A668="",NA(),IF($C668="Traditional",$B668,NA()))</f>
        <v/>
      </c>
      <c r="N668">
        <f>IF($A668="",NA(),IF($C668="Traditional",4+$F668*0.023,NA()))</f>
        <v/>
      </c>
      <c r="O668">
        <f>IF($A668="","",$D668+ROW()/1000000)</f>
        <v/>
      </c>
      <c r="P668">
        <f>IF(OR($A668="",games!$H668=""),"",games!$H668)</f>
        <v/>
      </c>
      <c r="Q668">
        <f>IF(OR($A668="",$P668&lt;&gt;"Yes"),"",$D668+ROW()/1000000)</f>
        <v/>
      </c>
      <c r="T668">
        <f>IF(connections!$A668="","",IFERROR(INDEX(games!$B$2:$B$950,MATCH(connections!$A668,games!$A$2:$A$950,0)),""))</f>
        <v/>
      </c>
      <c r="U668">
        <f>IF(connections!$A668="","",IFERROR(INDEX(games!$B$2:$B$950,MATCH(connections!$B668,games!$A$2:$A$950,0)),""))</f>
        <v/>
      </c>
      <c r="V668">
        <f>IF(OR($T668="",$U668=""),"",$U668-$T668)</f>
        <v/>
      </c>
    </row>
    <row r="669">
      <c r="A669">
        <f>IF(games!$A669="","",games!$A669)</f>
        <v/>
      </c>
      <c r="B669">
        <f>IF($A669="","",games!$B669)</f>
        <v/>
      </c>
      <c r="C669">
        <f>IF($A669="","",games!$C669)</f>
        <v/>
      </c>
      <c r="D669">
        <f>IF($A669="","",COUNTIF(connections!$A$2:$A$1400,$A669)+COUNTIF(connections!$B$2:$B$1400,$A669))</f>
        <v/>
      </c>
      <c r="E669">
        <f>IF($A669="","",IFERROR(MATCH($C669,$R$2:$R$5,0),0))</f>
        <v/>
      </c>
      <c r="F669">
        <f>IF($A669="","",MOD(ROW(),34))</f>
        <v/>
      </c>
      <c r="G669">
        <f>IF($A669="",NA(),IF($C669="Action",$B669,NA()))</f>
        <v/>
      </c>
      <c r="H669">
        <f>IF($A669="",NA(),IF($C669="Action",1+$F669*0.023,NA()))</f>
        <v/>
      </c>
      <c r="I669">
        <f>IF($A669="",NA(),IF($C669="Strategy",$B669,NA()))</f>
        <v/>
      </c>
      <c r="J669">
        <f>IF($A669="",NA(),IF($C669="Strategy",2+$F669*0.023,NA()))</f>
        <v/>
      </c>
      <c r="K669">
        <f>IF($A669="",NA(),IF($C669="Deckbuilder",$B669,NA()))</f>
        <v/>
      </c>
      <c r="L669">
        <f>IF($A669="",NA(),IF($C669="Deckbuilder",3+$F669*0.023,NA()))</f>
        <v/>
      </c>
      <c r="M669">
        <f>IF($A669="",NA(),IF($C669="Traditional",$B669,NA()))</f>
        <v/>
      </c>
      <c r="N669">
        <f>IF($A669="",NA(),IF($C669="Traditional",4+$F669*0.023,NA()))</f>
        <v/>
      </c>
      <c r="O669">
        <f>IF($A669="","",$D669+ROW()/1000000)</f>
        <v/>
      </c>
      <c r="P669">
        <f>IF(OR($A669="",games!$H669=""),"",games!$H669)</f>
        <v/>
      </c>
      <c r="Q669">
        <f>IF(OR($A669="",$P669&lt;&gt;"Yes"),"",$D669+ROW()/1000000)</f>
        <v/>
      </c>
      <c r="T669">
        <f>IF(connections!$A669="","",IFERROR(INDEX(games!$B$2:$B$950,MATCH(connections!$A669,games!$A$2:$A$950,0)),""))</f>
        <v/>
      </c>
      <c r="U669">
        <f>IF(connections!$A669="","",IFERROR(INDEX(games!$B$2:$B$950,MATCH(connections!$B669,games!$A$2:$A$950,0)),""))</f>
        <v/>
      </c>
      <c r="V669">
        <f>IF(OR($T669="",$U669=""),"",$U669-$T669)</f>
        <v/>
      </c>
    </row>
    <row r="670">
      <c r="A670">
        <f>IF(games!$A670="","",games!$A670)</f>
        <v/>
      </c>
      <c r="B670">
        <f>IF($A670="","",games!$B670)</f>
        <v/>
      </c>
      <c r="C670">
        <f>IF($A670="","",games!$C670)</f>
        <v/>
      </c>
      <c r="D670">
        <f>IF($A670="","",COUNTIF(connections!$A$2:$A$1400,$A670)+COUNTIF(connections!$B$2:$B$1400,$A670))</f>
        <v/>
      </c>
      <c r="E670">
        <f>IF($A670="","",IFERROR(MATCH($C670,$R$2:$R$5,0),0))</f>
        <v/>
      </c>
      <c r="F670">
        <f>IF($A670="","",MOD(ROW(),34))</f>
        <v/>
      </c>
      <c r="G670">
        <f>IF($A670="",NA(),IF($C670="Action",$B670,NA()))</f>
        <v/>
      </c>
      <c r="H670">
        <f>IF($A670="",NA(),IF($C670="Action",1+$F670*0.023,NA()))</f>
        <v/>
      </c>
      <c r="I670">
        <f>IF($A670="",NA(),IF($C670="Strategy",$B670,NA()))</f>
        <v/>
      </c>
      <c r="J670">
        <f>IF($A670="",NA(),IF($C670="Strategy",2+$F670*0.023,NA()))</f>
        <v/>
      </c>
      <c r="K670">
        <f>IF($A670="",NA(),IF($C670="Deckbuilder",$B670,NA()))</f>
        <v/>
      </c>
      <c r="L670">
        <f>IF($A670="",NA(),IF($C670="Deckbuilder",3+$F670*0.023,NA()))</f>
        <v/>
      </c>
      <c r="M670">
        <f>IF($A670="",NA(),IF($C670="Traditional",$B670,NA()))</f>
        <v/>
      </c>
      <c r="N670">
        <f>IF($A670="",NA(),IF($C670="Traditional",4+$F670*0.023,NA()))</f>
        <v/>
      </c>
      <c r="O670">
        <f>IF($A670="","",$D670+ROW()/1000000)</f>
        <v/>
      </c>
      <c r="P670">
        <f>IF(OR($A670="",games!$H670=""),"",games!$H670)</f>
        <v/>
      </c>
      <c r="Q670">
        <f>IF(OR($A670="",$P670&lt;&gt;"Yes"),"",$D670+ROW()/1000000)</f>
        <v/>
      </c>
      <c r="T670">
        <f>IF(connections!$A670="","",IFERROR(INDEX(games!$B$2:$B$950,MATCH(connections!$A670,games!$A$2:$A$950,0)),""))</f>
        <v/>
      </c>
      <c r="U670">
        <f>IF(connections!$A670="","",IFERROR(INDEX(games!$B$2:$B$950,MATCH(connections!$B670,games!$A$2:$A$950,0)),""))</f>
        <v/>
      </c>
      <c r="V670">
        <f>IF(OR($T670="",$U670=""),"",$U670-$T670)</f>
        <v/>
      </c>
    </row>
    <row r="671">
      <c r="A671">
        <f>IF(games!$A671="","",games!$A671)</f>
        <v/>
      </c>
      <c r="B671">
        <f>IF($A671="","",games!$B671)</f>
        <v/>
      </c>
      <c r="C671">
        <f>IF($A671="","",games!$C671)</f>
        <v/>
      </c>
      <c r="D671">
        <f>IF($A671="","",COUNTIF(connections!$A$2:$A$1400,$A671)+COUNTIF(connections!$B$2:$B$1400,$A671))</f>
        <v/>
      </c>
      <c r="E671">
        <f>IF($A671="","",IFERROR(MATCH($C671,$R$2:$R$5,0),0))</f>
        <v/>
      </c>
      <c r="F671">
        <f>IF($A671="","",MOD(ROW(),34))</f>
        <v/>
      </c>
      <c r="G671">
        <f>IF($A671="",NA(),IF($C671="Action",$B671,NA()))</f>
        <v/>
      </c>
      <c r="H671">
        <f>IF($A671="",NA(),IF($C671="Action",1+$F671*0.023,NA()))</f>
        <v/>
      </c>
      <c r="I671">
        <f>IF($A671="",NA(),IF($C671="Strategy",$B671,NA()))</f>
        <v/>
      </c>
      <c r="J671">
        <f>IF($A671="",NA(),IF($C671="Strategy",2+$F671*0.023,NA()))</f>
        <v/>
      </c>
      <c r="K671">
        <f>IF($A671="",NA(),IF($C671="Deckbuilder",$B671,NA()))</f>
        <v/>
      </c>
      <c r="L671">
        <f>IF($A671="",NA(),IF($C671="Deckbuilder",3+$F671*0.023,NA()))</f>
        <v/>
      </c>
      <c r="M671">
        <f>IF($A671="",NA(),IF($C671="Traditional",$B671,NA()))</f>
        <v/>
      </c>
      <c r="N671">
        <f>IF($A671="",NA(),IF($C671="Traditional",4+$F671*0.023,NA()))</f>
        <v/>
      </c>
      <c r="O671">
        <f>IF($A671="","",$D671+ROW()/1000000)</f>
        <v/>
      </c>
      <c r="P671">
        <f>IF(OR($A671="",games!$H671=""),"",games!$H671)</f>
        <v/>
      </c>
      <c r="Q671">
        <f>IF(OR($A671="",$P671&lt;&gt;"Yes"),"",$D671+ROW()/1000000)</f>
        <v/>
      </c>
      <c r="T671">
        <f>IF(connections!$A671="","",IFERROR(INDEX(games!$B$2:$B$950,MATCH(connections!$A671,games!$A$2:$A$950,0)),""))</f>
        <v/>
      </c>
      <c r="U671">
        <f>IF(connections!$A671="","",IFERROR(INDEX(games!$B$2:$B$950,MATCH(connections!$B671,games!$A$2:$A$950,0)),""))</f>
        <v/>
      </c>
      <c r="V671">
        <f>IF(OR($T671="",$U671=""),"",$U671-$T671)</f>
        <v/>
      </c>
    </row>
    <row r="672">
      <c r="A672">
        <f>IF(games!$A672="","",games!$A672)</f>
        <v/>
      </c>
      <c r="B672">
        <f>IF($A672="","",games!$B672)</f>
        <v/>
      </c>
      <c r="C672">
        <f>IF($A672="","",games!$C672)</f>
        <v/>
      </c>
      <c r="D672">
        <f>IF($A672="","",COUNTIF(connections!$A$2:$A$1400,$A672)+COUNTIF(connections!$B$2:$B$1400,$A672))</f>
        <v/>
      </c>
      <c r="E672">
        <f>IF($A672="","",IFERROR(MATCH($C672,$R$2:$R$5,0),0))</f>
        <v/>
      </c>
      <c r="F672">
        <f>IF($A672="","",MOD(ROW(),34))</f>
        <v/>
      </c>
      <c r="G672">
        <f>IF($A672="",NA(),IF($C672="Action",$B672,NA()))</f>
        <v/>
      </c>
      <c r="H672">
        <f>IF($A672="",NA(),IF($C672="Action",1+$F672*0.023,NA()))</f>
        <v/>
      </c>
      <c r="I672">
        <f>IF($A672="",NA(),IF($C672="Strategy",$B672,NA()))</f>
        <v/>
      </c>
      <c r="J672">
        <f>IF($A672="",NA(),IF($C672="Strategy",2+$F672*0.023,NA()))</f>
        <v/>
      </c>
      <c r="K672">
        <f>IF($A672="",NA(),IF($C672="Deckbuilder",$B672,NA()))</f>
        <v/>
      </c>
      <c r="L672">
        <f>IF($A672="",NA(),IF($C672="Deckbuilder",3+$F672*0.023,NA()))</f>
        <v/>
      </c>
      <c r="M672">
        <f>IF($A672="",NA(),IF($C672="Traditional",$B672,NA()))</f>
        <v/>
      </c>
      <c r="N672">
        <f>IF($A672="",NA(),IF($C672="Traditional",4+$F672*0.023,NA()))</f>
        <v/>
      </c>
      <c r="O672">
        <f>IF($A672="","",$D672+ROW()/1000000)</f>
        <v/>
      </c>
      <c r="P672">
        <f>IF(OR($A672="",games!$H672=""),"",games!$H672)</f>
        <v/>
      </c>
      <c r="Q672">
        <f>IF(OR($A672="",$P672&lt;&gt;"Yes"),"",$D672+ROW()/1000000)</f>
        <v/>
      </c>
      <c r="T672">
        <f>IF(connections!$A672="","",IFERROR(INDEX(games!$B$2:$B$950,MATCH(connections!$A672,games!$A$2:$A$950,0)),""))</f>
        <v/>
      </c>
      <c r="U672">
        <f>IF(connections!$A672="","",IFERROR(INDEX(games!$B$2:$B$950,MATCH(connections!$B672,games!$A$2:$A$950,0)),""))</f>
        <v/>
      </c>
      <c r="V672">
        <f>IF(OR($T672="",$U672=""),"",$U672-$T672)</f>
        <v/>
      </c>
    </row>
    <row r="673">
      <c r="A673">
        <f>IF(games!$A673="","",games!$A673)</f>
        <v/>
      </c>
      <c r="B673">
        <f>IF($A673="","",games!$B673)</f>
        <v/>
      </c>
      <c r="C673">
        <f>IF($A673="","",games!$C673)</f>
        <v/>
      </c>
      <c r="D673">
        <f>IF($A673="","",COUNTIF(connections!$A$2:$A$1400,$A673)+COUNTIF(connections!$B$2:$B$1400,$A673))</f>
        <v/>
      </c>
      <c r="E673">
        <f>IF($A673="","",IFERROR(MATCH($C673,$R$2:$R$5,0),0))</f>
        <v/>
      </c>
      <c r="F673">
        <f>IF($A673="","",MOD(ROW(),34))</f>
        <v/>
      </c>
      <c r="G673">
        <f>IF($A673="",NA(),IF($C673="Action",$B673,NA()))</f>
        <v/>
      </c>
      <c r="H673">
        <f>IF($A673="",NA(),IF($C673="Action",1+$F673*0.023,NA()))</f>
        <v/>
      </c>
      <c r="I673">
        <f>IF($A673="",NA(),IF($C673="Strategy",$B673,NA()))</f>
        <v/>
      </c>
      <c r="J673">
        <f>IF($A673="",NA(),IF($C673="Strategy",2+$F673*0.023,NA()))</f>
        <v/>
      </c>
      <c r="K673">
        <f>IF($A673="",NA(),IF($C673="Deckbuilder",$B673,NA()))</f>
        <v/>
      </c>
      <c r="L673">
        <f>IF($A673="",NA(),IF($C673="Deckbuilder",3+$F673*0.023,NA()))</f>
        <v/>
      </c>
      <c r="M673">
        <f>IF($A673="",NA(),IF($C673="Traditional",$B673,NA()))</f>
        <v/>
      </c>
      <c r="N673">
        <f>IF($A673="",NA(),IF($C673="Traditional",4+$F673*0.023,NA()))</f>
        <v/>
      </c>
      <c r="O673">
        <f>IF($A673="","",$D673+ROW()/1000000)</f>
        <v/>
      </c>
      <c r="P673">
        <f>IF(OR($A673="",games!$H673=""),"",games!$H673)</f>
        <v/>
      </c>
      <c r="Q673">
        <f>IF(OR($A673="",$P673&lt;&gt;"Yes"),"",$D673+ROW()/1000000)</f>
        <v/>
      </c>
      <c r="T673">
        <f>IF(connections!$A673="","",IFERROR(INDEX(games!$B$2:$B$950,MATCH(connections!$A673,games!$A$2:$A$950,0)),""))</f>
        <v/>
      </c>
      <c r="U673">
        <f>IF(connections!$A673="","",IFERROR(INDEX(games!$B$2:$B$950,MATCH(connections!$B673,games!$A$2:$A$950,0)),""))</f>
        <v/>
      </c>
      <c r="V673">
        <f>IF(OR($T673="",$U673=""),"",$U673-$T673)</f>
        <v/>
      </c>
    </row>
    <row r="674">
      <c r="A674">
        <f>IF(games!$A674="","",games!$A674)</f>
        <v/>
      </c>
      <c r="B674">
        <f>IF($A674="","",games!$B674)</f>
        <v/>
      </c>
      <c r="C674">
        <f>IF($A674="","",games!$C674)</f>
        <v/>
      </c>
      <c r="D674">
        <f>IF($A674="","",COUNTIF(connections!$A$2:$A$1400,$A674)+COUNTIF(connections!$B$2:$B$1400,$A674))</f>
        <v/>
      </c>
      <c r="E674">
        <f>IF($A674="","",IFERROR(MATCH($C674,$R$2:$R$5,0),0))</f>
        <v/>
      </c>
      <c r="F674">
        <f>IF($A674="","",MOD(ROW(),34))</f>
        <v/>
      </c>
      <c r="G674">
        <f>IF($A674="",NA(),IF($C674="Action",$B674,NA()))</f>
        <v/>
      </c>
      <c r="H674">
        <f>IF($A674="",NA(),IF($C674="Action",1+$F674*0.023,NA()))</f>
        <v/>
      </c>
      <c r="I674">
        <f>IF($A674="",NA(),IF($C674="Strategy",$B674,NA()))</f>
        <v/>
      </c>
      <c r="J674">
        <f>IF($A674="",NA(),IF($C674="Strategy",2+$F674*0.023,NA()))</f>
        <v/>
      </c>
      <c r="K674">
        <f>IF($A674="",NA(),IF($C674="Deckbuilder",$B674,NA()))</f>
        <v/>
      </c>
      <c r="L674">
        <f>IF($A674="",NA(),IF($C674="Deckbuilder",3+$F674*0.023,NA()))</f>
        <v/>
      </c>
      <c r="M674">
        <f>IF($A674="",NA(),IF($C674="Traditional",$B674,NA()))</f>
        <v/>
      </c>
      <c r="N674">
        <f>IF($A674="",NA(),IF($C674="Traditional",4+$F674*0.023,NA()))</f>
        <v/>
      </c>
      <c r="O674">
        <f>IF($A674="","",$D674+ROW()/1000000)</f>
        <v/>
      </c>
      <c r="P674">
        <f>IF(OR($A674="",games!$H674=""),"",games!$H674)</f>
        <v/>
      </c>
      <c r="Q674">
        <f>IF(OR($A674="",$P674&lt;&gt;"Yes"),"",$D674+ROW()/1000000)</f>
        <v/>
      </c>
      <c r="T674">
        <f>IF(connections!$A674="","",IFERROR(INDEX(games!$B$2:$B$950,MATCH(connections!$A674,games!$A$2:$A$950,0)),""))</f>
        <v/>
      </c>
      <c r="U674">
        <f>IF(connections!$A674="","",IFERROR(INDEX(games!$B$2:$B$950,MATCH(connections!$B674,games!$A$2:$A$950,0)),""))</f>
        <v/>
      </c>
      <c r="V674">
        <f>IF(OR($T674="",$U674=""),"",$U674-$T674)</f>
        <v/>
      </c>
    </row>
    <row r="675">
      <c r="A675">
        <f>IF(games!$A675="","",games!$A675)</f>
        <v/>
      </c>
      <c r="B675">
        <f>IF($A675="","",games!$B675)</f>
        <v/>
      </c>
      <c r="C675">
        <f>IF($A675="","",games!$C675)</f>
        <v/>
      </c>
      <c r="D675">
        <f>IF($A675="","",COUNTIF(connections!$A$2:$A$1400,$A675)+COUNTIF(connections!$B$2:$B$1400,$A675))</f>
        <v/>
      </c>
      <c r="E675">
        <f>IF($A675="","",IFERROR(MATCH($C675,$R$2:$R$5,0),0))</f>
        <v/>
      </c>
      <c r="F675">
        <f>IF($A675="","",MOD(ROW(),34))</f>
        <v/>
      </c>
      <c r="G675">
        <f>IF($A675="",NA(),IF($C675="Action",$B675,NA()))</f>
        <v/>
      </c>
      <c r="H675">
        <f>IF($A675="",NA(),IF($C675="Action",1+$F675*0.023,NA()))</f>
        <v/>
      </c>
      <c r="I675">
        <f>IF($A675="",NA(),IF($C675="Strategy",$B675,NA()))</f>
        <v/>
      </c>
      <c r="J675">
        <f>IF($A675="",NA(),IF($C675="Strategy",2+$F675*0.023,NA()))</f>
        <v/>
      </c>
      <c r="K675">
        <f>IF($A675="",NA(),IF($C675="Deckbuilder",$B675,NA()))</f>
        <v/>
      </c>
      <c r="L675">
        <f>IF($A675="",NA(),IF($C675="Deckbuilder",3+$F675*0.023,NA()))</f>
        <v/>
      </c>
      <c r="M675">
        <f>IF($A675="",NA(),IF($C675="Traditional",$B675,NA()))</f>
        <v/>
      </c>
      <c r="N675">
        <f>IF($A675="",NA(),IF($C675="Traditional",4+$F675*0.023,NA()))</f>
        <v/>
      </c>
      <c r="O675">
        <f>IF($A675="","",$D675+ROW()/1000000)</f>
        <v/>
      </c>
      <c r="P675">
        <f>IF(OR($A675="",games!$H675=""),"",games!$H675)</f>
        <v/>
      </c>
      <c r="Q675">
        <f>IF(OR($A675="",$P675&lt;&gt;"Yes"),"",$D675+ROW()/1000000)</f>
        <v/>
      </c>
      <c r="T675">
        <f>IF(connections!$A675="","",IFERROR(INDEX(games!$B$2:$B$950,MATCH(connections!$A675,games!$A$2:$A$950,0)),""))</f>
        <v/>
      </c>
      <c r="U675">
        <f>IF(connections!$A675="","",IFERROR(INDEX(games!$B$2:$B$950,MATCH(connections!$B675,games!$A$2:$A$950,0)),""))</f>
        <v/>
      </c>
      <c r="V675">
        <f>IF(OR($T675="",$U675=""),"",$U675-$T675)</f>
        <v/>
      </c>
    </row>
    <row r="676">
      <c r="A676">
        <f>IF(games!$A676="","",games!$A676)</f>
        <v/>
      </c>
      <c r="B676">
        <f>IF($A676="","",games!$B676)</f>
        <v/>
      </c>
      <c r="C676">
        <f>IF($A676="","",games!$C676)</f>
        <v/>
      </c>
      <c r="D676">
        <f>IF($A676="","",COUNTIF(connections!$A$2:$A$1400,$A676)+COUNTIF(connections!$B$2:$B$1400,$A676))</f>
        <v/>
      </c>
      <c r="E676">
        <f>IF($A676="","",IFERROR(MATCH($C676,$R$2:$R$5,0),0))</f>
        <v/>
      </c>
      <c r="F676">
        <f>IF($A676="","",MOD(ROW(),34))</f>
        <v/>
      </c>
      <c r="G676">
        <f>IF($A676="",NA(),IF($C676="Action",$B676,NA()))</f>
        <v/>
      </c>
      <c r="H676">
        <f>IF($A676="",NA(),IF($C676="Action",1+$F676*0.023,NA()))</f>
        <v/>
      </c>
      <c r="I676">
        <f>IF($A676="",NA(),IF($C676="Strategy",$B676,NA()))</f>
        <v/>
      </c>
      <c r="J676">
        <f>IF($A676="",NA(),IF($C676="Strategy",2+$F676*0.023,NA()))</f>
        <v/>
      </c>
      <c r="K676">
        <f>IF($A676="",NA(),IF($C676="Deckbuilder",$B676,NA()))</f>
        <v/>
      </c>
      <c r="L676">
        <f>IF($A676="",NA(),IF($C676="Deckbuilder",3+$F676*0.023,NA()))</f>
        <v/>
      </c>
      <c r="M676">
        <f>IF($A676="",NA(),IF($C676="Traditional",$B676,NA()))</f>
        <v/>
      </c>
      <c r="N676">
        <f>IF($A676="",NA(),IF($C676="Traditional",4+$F676*0.023,NA()))</f>
        <v/>
      </c>
      <c r="O676">
        <f>IF($A676="","",$D676+ROW()/1000000)</f>
        <v/>
      </c>
      <c r="P676">
        <f>IF(OR($A676="",games!$H676=""),"",games!$H676)</f>
        <v/>
      </c>
      <c r="Q676">
        <f>IF(OR($A676="",$P676&lt;&gt;"Yes"),"",$D676+ROW()/1000000)</f>
        <v/>
      </c>
      <c r="T676">
        <f>IF(connections!$A676="","",IFERROR(INDEX(games!$B$2:$B$950,MATCH(connections!$A676,games!$A$2:$A$950,0)),""))</f>
        <v/>
      </c>
      <c r="U676">
        <f>IF(connections!$A676="","",IFERROR(INDEX(games!$B$2:$B$950,MATCH(connections!$B676,games!$A$2:$A$950,0)),""))</f>
        <v/>
      </c>
      <c r="V676">
        <f>IF(OR($T676="",$U676=""),"",$U676-$T676)</f>
        <v/>
      </c>
    </row>
    <row r="677">
      <c r="A677">
        <f>IF(games!$A677="","",games!$A677)</f>
        <v/>
      </c>
      <c r="B677">
        <f>IF($A677="","",games!$B677)</f>
        <v/>
      </c>
      <c r="C677">
        <f>IF($A677="","",games!$C677)</f>
        <v/>
      </c>
      <c r="D677">
        <f>IF($A677="","",COUNTIF(connections!$A$2:$A$1400,$A677)+COUNTIF(connections!$B$2:$B$1400,$A677))</f>
        <v/>
      </c>
      <c r="E677">
        <f>IF($A677="","",IFERROR(MATCH($C677,$R$2:$R$5,0),0))</f>
        <v/>
      </c>
      <c r="F677">
        <f>IF($A677="","",MOD(ROW(),34))</f>
        <v/>
      </c>
      <c r="G677">
        <f>IF($A677="",NA(),IF($C677="Action",$B677,NA()))</f>
        <v/>
      </c>
      <c r="H677">
        <f>IF($A677="",NA(),IF($C677="Action",1+$F677*0.023,NA()))</f>
        <v/>
      </c>
      <c r="I677">
        <f>IF($A677="",NA(),IF($C677="Strategy",$B677,NA()))</f>
        <v/>
      </c>
      <c r="J677">
        <f>IF($A677="",NA(),IF($C677="Strategy",2+$F677*0.023,NA()))</f>
        <v/>
      </c>
      <c r="K677">
        <f>IF($A677="",NA(),IF($C677="Deckbuilder",$B677,NA()))</f>
        <v/>
      </c>
      <c r="L677">
        <f>IF($A677="",NA(),IF($C677="Deckbuilder",3+$F677*0.023,NA()))</f>
        <v/>
      </c>
      <c r="M677">
        <f>IF($A677="",NA(),IF($C677="Traditional",$B677,NA()))</f>
        <v/>
      </c>
      <c r="N677">
        <f>IF($A677="",NA(),IF($C677="Traditional",4+$F677*0.023,NA()))</f>
        <v/>
      </c>
      <c r="O677">
        <f>IF($A677="","",$D677+ROW()/1000000)</f>
        <v/>
      </c>
      <c r="P677">
        <f>IF(OR($A677="",games!$H677=""),"",games!$H677)</f>
        <v/>
      </c>
      <c r="Q677">
        <f>IF(OR($A677="",$P677&lt;&gt;"Yes"),"",$D677+ROW()/1000000)</f>
        <v/>
      </c>
      <c r="T677">
        <f>IF(connections!$A677="","",IFERROR(INDEX(games!$B$2:$B$950,MATCH(connections!$A677,games!$A$2:$A$950,0)),""))</f>
        <v/>
      </c>
      <c r="U677">
        <f>IF(connections!$A677="","",IFERROR(INDEX(games!$B$2:$B$950,MATCH(connections!$B677,games!$A$2:$A$950,0)),""))</f>
        <v/>
      </c>
      <c r="V677">
        <f>IF(OR($T677="",$U677=""),"",$U677-$T677)</f>
        <v/>
      </c>
    </row>
    <row r="678">
      <c r="A678">
        <f>IF(games!$A678="","",games!$A678)</f>
        <v/>
      </c>
      <c r="B678">
        <f>IF($A678="","",games!$B678)</f>
        <v/>
      </c>
      <c r="C678">
        <f>IF($A678="","",games!$C678)</f>
        <v/>
      </c>
      <c r="D678">
        <f>IF($A678="","",COUNTIF(connections!$A$2:$A$1400,$A678)+COUNTIF(connections!$B$2:$B$1400,$A678))</f>
        <v/>
      </c>
      <c r="E678">
        <f>IF($A678="","",IFERROR(MATCH($C678,$R$2:$R$5,0),0))</f>
        <v/>
      </c>
      <c r="F678">
        <f>IF($A678="","",MOD(ROW(),34))</f>
        <v/>
      </c>
      <c r="G678">
        <f>IF($A678="",NA(),IF($C678="Action",$B678,NA()))</f>
        <v/>
      </c>
      <c r="H678">
        <f>IF($A678="",NA(),IF($C678="Action",1+$F678*0.023,NA()))</f>
        <v/>
      </c>
      <c r="I678">
        <f>IF($A678="",NA(),IF($C678="Strategy",$B678,NA()))</f>
        <v/>
      </c>
      <c r="J678">
        <f>IF($A678="",NA(),IF($C678="Strategy",2+$F678*0.023,NA()))</f>
        <v/>
      </c>
      <c r="K678">
        <f>IF($A678="",NA(),IF($C678="Deckbuilder",$B678,NA()))</f>
        <v/>
      </c>
      <c r="L678">
        <f>IF($A678="",NA(),IF($C678="Deckbuilder",3+$F678*0.023,NA()))</f>
        <v/>
      </c>
      <c r="M678">
        <f>IF($A678="",NA(),IF($C678="Traditional",$B678,NA()))</f>
        <v/>
      </c>
      <c r="N678">
        <f>IF($A678="",NA(),IF($C678="Traditional",4+$F678*0.023,NA()))</f>
        <v/>
      </c>
      <c r="O678">
        <f>IF($A678="","",$D678+ROW()/1000000)</f>
        <v/>
      </c>
      <c r="P678">
        <f>IF(OR($A678="",games!$H678=""),"",games!$H678)</f>
        <v/>
      </c>
      <c r="Q678">
        <f>IF(OR($A678="",$P678&lt;&gt;"Yes"),"",$D678+ROW()/1000000)</f>
        <v/>
      </c>
      <c r="T678">
        <f>IF(connections!$A678="","",IFERROR(INDEX(games!$B$2:$B$950,MATCH(connections!$A678,games!$A$2:$A$950,0)),""))</f>
        <v/>
      </c>
      <c r="U678">
        <f>IF(connections!$A678="","",IFERROR(INDEX(games!$B$2:$B$950,MATCH(connections!$B678,games!$A$2:$A$950,0)),""))</f>
        <v/>
      </c>
      <c r="V678">
        <f>IF(OR($T678="",$U678=""),"",$U678-$T678)</f>
        <v/>
      </c>
    </row>
    <row r="679">
      <c r="A679">
        <f>IF(games!$A679="","",games!$A679)</f>
        <v/>
      </c>
      <c r="B679">
        <f>IF($A679="","",games!$B679)</f>
        <v/>
      </c>
      <c r="C679">
        <f>IF($A679="","",games!$C679)</f>
        <v/>
      </c>
      <c r="D679">
        <f>IF($A679="","",COUNTIF(connections!$A$2:$A$1400,$A679)+COUNTIF(connections!$B$2:$B$1400,$A679))</f>
        <v/>
      </c>
      <c r="E679">
        <f>IF($A679="","",IFERROR(MATCH($C679,$R$2:$R$5,0),0))</f>
        <v/>
      </c>
      <c r="F679">
        <f>IF($A679="","",MOD(ROW(),34))</f>
        <v/>
      </c>
      <c r="G679">
        <f>IF($A679="",NA(),IF($C679="Action",$B679,NA()))</f>
        <v/>
      </c>
      <c r="H679">
        <f>IF($A679="",NA(),IF($C679="Action",1+$F679*0.023,NA()))</f>
        <v/>
      </c>
      <c r="I679">
        <f>IF($A679="",NA(),IF($C679="Strategy",$B679,NA()))</f>
        <v/>
      </c>
      <c r="J679">
        <f>IF($A679="",NA(),IF($C679="Strategy",2+$F679*0.023,NA()))</f>
        <v/>
      </c>
      <c r="K679">
        <f>IF($A679="",NA(),IF($C679="Deckbuilder",$B679,NA()))</f>
        <v/>
      </c>
      <c r="L679">
        <f>IF($A679="",NA(),IF($C679="Deckbuilder",3+$F679*0.023,NA()))</f>
        <v/>
      </c>
      <c r="M679">
        <f>IF($A679="",NA(),IF($C679="Traditional",$B679,NA()))</f>
        <v/>
      </c>
      <c r="N679">
        <f>IF($A679="",NA(),IF($C679="Traditional",4+$F679*0.023,NA()))</f>
        <v/>
      </c>
      <c r="O679">
        <f>IF($A679="","",$D679+ROW()/1000000)</f>
        <v/>
      </c>
      <c r="P679">
        <f>IF(OR($A679="",games!$H679=""),"",games!$H679)</f>
        <v/>
      </c>
      <c r="Q679">
        <f>IF(OR($A679="",$P679&lt;&gt;"Yes"),"",$D679+ROW()/1000000)</f>
        <v/>
      </c>
      <c r="T679">
        <f>IF(connections!$A679="","",IFERROR(INDEX(games!$B$2:$B$950,MATCH(connections!$A679,games!$A$2:$A$950,0)),""))</f>
        <v/>
      </c>
      <c r="U679">
        <f>IF(connections!$A679="","",IFERROR(INDEX(games!$B$2:$B$950,MATCH(connections!$B679,games!$A$2:$A$950,0)),""))</f>
        <v/>
      </c>
      <c r="V679">
        <f>IF(OR($T679="",$U679=""),"",$U679-$T679)</f>
        <v/>
      </c>
    </row>
    <row r="680">
      <c r="A680">
        <f>IF(games!$A680="","",games!$A680)</f>
        <v/>
      </c>
      <c r="B680">
        <f>IF($A680="","",games!$B680)</f>
        <v/>
      </c>
      <c r="C680">
        <f>IF($A680="","",games!$C680)</f>
        <v/>
      </c>
      <c r="D680">
        <f>IF($A680="","",COUNTIF(connections!$A$2:$A$1400,$A680)+COUNTIF(connections!$B$2:$B$1400,$A680))</f>
        <v/>
      </c>
      <c r="E680">
        <f>IF($A680="","",IFERROR(MATCH($C680,$R$2:$R$5,0),0))</f>
        <v/>
      </c>
      <c r="F680">
        <f>IF($A680="","",MOD(ROW(),34))</f>
        <v/>
      </c>
      <c r="G680">
        <f>IF($A680="",NA(),IF($C680="Action",$B680,NA()))</f>
        <v/>
      </c>
      <c r="H680">
        <f>IF($A680="",NA(),IF($C680="Action",1+$F680*0.023,NA()))</f>
        <v/>
      </c>
      <c r="I680">
        <f>IF($A680="",NA(),IF($C680="Strategy",$B680,NA()))</f>
        <v/>
      </c>
      <c r="J680">
        <f>IF($A680="",NA(),IF($C680="Strategy",2+$F680*0.023,NA()))</f>
        <v/>
      </c>
      <c r="K680">
        <f>IF($A680="",NA(),IF($C680="Deckbuilder",$B680,NA()))</f>
        <v/>
      </c>
      <c r="L680">
        <f>IF($A680="",NA(),IF($C680="Deckbuilder",3+$F680*0.023,NA()))</f>
        <v/>
      </c>
      <c r="M680">
        <f>IF($A680="",NA(),IF($C680="Traditional",$B680,NA()))</f>
        <v/>
      </c>
      <c r="N680">
        <f>IF($A680="",NA(),IF($C680="Traditional",4+$F680*0.023,NA()))</f>
        <v/>
      </c>
      <c r="O680">
        <f>IF($A680="","",$D680+ROW()/1000000)</f>
        <v/>
      </c>
      <c r="P680">
        <f>IF(OR($A680="",games!$H680=""),"",games!$H680)</f>
        <v/>
      </c>
      <c r="Q680">
        <f>IF(OR($A680="",$P680&lt;&gt;"Yes"),"",$D680+ROW()/1000000)</f>
        <v/>
      </c>
      <c r="T680">
        <f>IF(connections!$A680="","",IFERROR(INDEX(games!$B$2:$B$950,MATCH(connections!$A680,games!$A$2:$A$950,0)),""))</f>
        <v/>
      </c>
      <c r="U680">
        <f>IF(connections!$A680="","",IFERROR(INDEX(games!$B$2:$B$950,MATCH(connections!$B680,games!$A$2:$A$950,0)),""))</f>
        <v/>
      </c>
      <c r="V680">
        <f>IF(OR($T680="",$U680=""),"",$U680-$T680)</f>
        <v/>
      </c>
    </row>
    <row r="681">
      <c r="A681">
        <f>IF(games!$A681="","",games!$A681)</f>
        <v/>
      </c>
      <c r="B681">
        <f>IF($A681="","",games!$B681)</f>
        <v/>
      </c>
      <c r="C681">
        <f>IF($A681="","",games!$C681)</f>
        <v/>
      </c>
      <c r="D681">
        <f>IF($A681="","",COUNTIF(connections!$A$2:$A$1400,$A681)+COUNTIF(connections!$B$2:$B$1400,$A681))</f>
        <v/>
      </c>
      <c r="E681">
        <f>IF($A681="","",IFERROR(MATCH($C681,$R$2:$R$5,0),0))</f>
        <v/>
      </c>
      <c r="F681">
        <f>IF($A681="","",MOD(ROW(),34))</f>
        <v/>
      </c>
      <c r="G681">
        <f>IF($A681="",NA(),IF($C681="Action",$B681,NA()))</f>
        <v/>
      </c>
      <c r="H681">
        <f>IF($A681="",NA(),IF($C681="Action",1+$F681*0.023,NA()))</f>
        <v/>
      </c>
      <c r="I681">
        <f>IF($A681="",NA(),IF($C681="Strategy",$B681,NA()))</f>
        <v/>
      </c>
      <c r="J681">
        <f>IF($A681="",NA(),IF($C681="Strategy",2+$F681*0.023,NA()))</f>
        <v/>
      </c>
      <c r="K681">
        <f>IF($A681="",NA(),IF($C681="Deckbuilder",$B681,NA()))</f>
        <v/>
      </c>
      <c r="L681">
        <f>IF($A681="",NA(),IF($C681="Deckbuilder",3+$F681*0.023,NA()))</f>
        <v/>
      </c>
      <c r="M681">
        <f>IF($A681="",NA(),IF($C681="Traditional",$B681,NA()))</f>
        <v/>
      </c>
      <c r="N681">
        <f>IF($A681="",NA(),IF($C681="Traditional",4+$F681*0.023,NA()))</f>
        <v/>
      </c>
      <c r="O681">
        <f>IF($A681="","",$D681+ROW()/1000000)</f>
        <v/>
      </c>
      <c r="P681">
        <f>IF(OR($A681="",games!$H681=""),"",games!$H681)</f>
        <v/>
      </c>
      <c r="Q681">
        <f>IF(OR($A681="",$P681&lt;&gt;"Yes"),"",$D681+ROW()/1000000)</f>
        <v/>
      </c>
      <c r="T681">
        <f>IF(connections!$A681="","",IFERROR(INDEX(games!$B$2:$B$950,MATCH(connections!$A681,games!$A$2:$A$950,0)),""))</f>
        <v/>
      </c>
      <c r="U681">
        <f>IF(connections!$A681="","",IFERROR(INDEX(games!$B$2:$B$950,MATCH(connections!$B681,games!$A$2:$A$950,0)),""))</f>
        <v/>
      </c>
      <c r="V681">
        <f>IF(OR($T681="",$U681=""),"",$U681-$T681)</f>
        <v/>
      </c>
    </row>
    <row r="682">
      <c r="A682">
        <f>IF(games!$A682="","",games!$A682)</f>
        <v/>
      </c>
      <c r="B682">
        <f>IF($A682="","",games!$B682)</f>
        <v/>
      </c>
      <c r="C682">
        <f>IF($A682="","",games!$C682)</f>
        <v/>
      </c>
      <c r="D682">
        <f>IF($A682="","",COUNTIF(connections!$A$2:$A$1400,$A682)+COUNTIF(connections!$B$2:$B$1400,$A682))</f>
        <v/>
      </c>
      <c r="E682">
        <f>IF($A682="","",IFERROR(MATCH($C682,$R$2:$R$5,0),0))</f>
        <v/>
      </c>
      <c r="F682">
        <f>IF($A682="","",MOD(ROW(),34))</f>
        <v/>
      </c>
      <c r="G682">
        <f>IF($A682="",NA(),IF($C682="Action",$B682,NA()))</f>
        <v/>
      </c>
      <c r="H682">
        <f>IF($A682="",NA(),IF($C682="Action",1+$F682*0.023,NA()))</f>
        <v/>
      </c>
      <c r="I682">
        <f>IF($A682="",NA(),IF($C682="Strategy",$B682,NA()))</f>
        <v/>
      </c>
      <c r="J682">
        <f>IF($A682="",NA(),IF($C682="Strategy",2+$F682*0.023,NA()))</f>
        <v/>
      </c>
      <c r="K682">
        <f>IF($A682="",NA(),IF($C682="Deckbuilder",$B682,NA()))</f>
        <v/>
      </c>
      <c r="L682">
        <f>IF($A682="",NA(),IF($C682="Deckbuilder",3+$F682*0.023,NA()))</f>
        <v/>
      </c>
      <c r="M682">
        <f>IF($A682="",NA(),IF($C682="Traditional",$B682,NA()))</f>
        <v/>
      </c>
      <c r="N682">
        <f>IF($A682="",NA(),IF($C682="Traditional",4+$F682*0.023,NA()))</f>
        <v/>
      </c>
      <c r="O682">
        <f>IF($A682="","",$D682+ROW()/1000000)</f>
        <v/>
      </c>
      <c r="P682">
        <f>IF(OR($A682="",games!$H682=""),"",games!$H682)</f>
        <v/>
      </c>
      <c r="Q682">
        <f>IF(OR($A682="",$P682&lt;&gt;"Yes"),"",$D682+ROW()/1000000)</f>
        <v/>
      </c>
      <c r="T682">
        <f>IF(connections!$A682="","",IFERROR(INDEX(games!$B$2:$B$950,MATCH(connections!$A682,games!$A$2:$A$950,0)),""))</f>
        <v/>
      </c>
      <c r="U682">
        <f>IF(connections!$A682="","",IFERROR(INDEX(games!$B$2:$B$950,MATCH(connections!$B682,games!$A$2:$A$950,0)),""))</f>
        <v/>
      </c>
      <c r="V682">
        <f>IF(OR($T682="",$U682=""),"",$U682-$T682)</f>
        <v/>
      </c>
    </row>
    <row r="683">
      <c r="A683">
        <f>IF(games!$A683="","",games!$A683)</f>
        <v/>
      </c>
      <c r="B683">
        <f>IF($A683="","",games!$B683)</f>
        <v/>
      </c>
      <c r="C683">
        <f>IF($A683="","",games!$C683)</f>
        <v/>
      </c>
      <c r="D683">
        <f>IF($A683="","",COUNTIF(connections!$A$2:$A$1400,$A683)+COUNTIF(connections!$B$2:$B$1400,$A683))</f>
        <v/>
      </c>
      <c r="E683">
        <f>IF($A683="","",IFERROR(MATCH($C683,$R$2:$R$5,0),0))</f>
        <v/>
      </c>
      <c r="F683">
        <f>IF($A683="","",MOD(ROW(),34))</f>
        <v/>
      </c>
      <c r="G683">
        <f>IF($A683="",NA(),IF($C683="Action",$B683,NA()))</f>
        <v/>
      </c>
      <c r="H683">
        <f>IF($A683="",NA(),IF($C683="Action",1+$F683*0.023,NA()))</f>
        <v/>
      </c>
      <c r="I683">
        <f>IF($A683="",NA(),IF($C683="Strategy",$B683,NA()))</f>
        <v/>
      </c>
      <c r="J683">
        <f>IF($A683="",NA(),IF($C683="Strategy",2+$F683*0.023,NA()))</f>
        <v/>
      </c>
      <c r="K683">
        <f>IF($A683="",NA(),IF($C683="Deckbuilder",$B683,NA()))</f>
        <v/>
      </c>
      <c r="L683">
        <f>IF($A683="",NA(),IF($C683="Deckbuilder",3+$F683*0.023,NA()))</f>
        <v/>
      </c>
      <c r="M683">
        <f>IF($A683="",NA(),IF($C683="Traditional",$B683,NA()))</f>
        <v/>
      </c>
      <c r="N683">
        <f>IF($A683="",NA(),IF($C683="Traditional",4+$F683*0.023,NA()))</f>
        <v/>
      </c>
      <c r="O683">
        <f>IF($A683="","",$D683+ROW()/1000000)</f>
        <v/>
      </c>
      <c r="P683">
        <f>IF(OR($A683="",games!$H683=""),"",games!$H683)</f>
        <v/>
      </c>
      <c r="Q683">
        <f>IF(OR($A683="",$P683&lt;&gt;"Yes"),"",$D683+ROW()/1000000)</f>
        <v/>
      </c>
      <c r="T683">
        <f>IF(connections!$A683="","",IFERROR(INDEX(games!$B$2:$B$950,MATCH(connections!$A683,games!$A$2:$A$950,0)),""))</f>
        <v/>
      </c>
      <c r="U683">
        <f>IF(connections!$A683="","",IFERROR(INDEX(games!$B$2:$B$950,MATCH(connections!$B683,games!$A$2:$A$950,0)),""))</f>
        <v/>
      </c>
      <c r="V683">
        <f>IF(OR($T683="",$U683=""),"",$U683-$T683)</f>
        <v/>
      </c>
    </row>
    <row r="684">
      <c r="A684">
        <f>IF(games!$A684="","",games!$A684)</f>
        <v/>
      </c>
      <c r="B684">
        <f>IF($A684="","",games!$B684)</f>
        <v/>
      </c>
      <c r="C684">
        <f>IF($A684="","",games!$C684)</f>
        <v/>
      </c>
      <c r="D684">
        <f>IF($A684="","",COUNTIF(connections!$A$2:$A$1400,$A684)+COUNTIF(connections!$B$2:$B$1400,$A684))</f>
        <v/>
      </c>
      <c r="E684">
        <f>IF($A684="","",IFERROR(MATCH($C684,$R$2:$R$5,0),0))</f>
        <v/>
      </c>
      <c r="F684">
        <f>IF($A684="","",MOD(ROW(),34))</f>
        <v/>
      </c>
      <c r="G684">
        <f>IF($A684="",NA(),IF($C684="Action",$B684,NA()))</f>
        <v/>
      </c>
      <c r="H684">
        <f>IF($A684="",NA(),IF($C684="Action",1+$F684*0.023,NA()))</f>
        <v/>
      </c>
      <c r="I684">
        <f>IF($A684="",NA(),IF($C684="Strategy",$B684,NA()))</f>
        <v/>
      </c>
      <c r="J684">
        <f>IF($A684="",NA(),IF($C684="Strategy",2+$F684*0.023,NA()))</f>
        <v/>
      </c>
      <c r="K684">
        <f>IF($A684="",NA(),IF($C684="Deckbuilder",$B684,NA()))</f>
        <v/>
      </c>
      <c r="L684">
        <f>IF($A684="",NA(),IF($C684="Deckbuilder",3+$F684*0.023,NA()))</f>
        <v/>
      </c>
      <c r="M684">
        <f>IF($A684="",NA(),IF($C684="Traditional",$B684,NA()))</f>
        <v/>
      </c>
      <c r="N684">
        <f>IF($A684="",NA(),IF($C684="Traditional",4+$F684*0.023,NA()))</f>
        <v/>
      </c>
      <c r="O684">
        <f>IF($A684="","",$D684+ROW()/1000000)</f>
        <v/>
      </c>
      <c r="P684">
        <f>IF(OR($A684="",games!$H684=""),"",games!$H684)</f>
        <v/>
      </c>
      <c r="Q684">
        <f>IF(OR($A684="",$P684&lt;&gt;"Yes"),"",$D684+ROW()/1000000)</f>
        <v/>
      </c>
      <c r="T684">
        <f>IF(connections!$A684="","",IFERROR(INDEX(games!$B$2:$B$950,MATCH(connections!$A684,games!$A$2:$A$950,0)),""))</f>
        <v/>
      </c>
      <c r="U684">
        <f>IF(connections!$A684="","",IFERROR(INDEX(games!$B$2:$B$950,MATCH(connections!$B684,games!$A$2:$A$950,0)),""))</f>
        <v/>
      </c>
      <c r="V684">
        <f>IF(OR($T684="",$U684=""),"",$U684-$T684)</f>
        <v/>
      </c>
    </row>
    <row r="685">
      <c r="A685">
        <f>IF(games!$A685="","",games!$A685)</f>
        <v/>
      </c>
      <c r="B685">
        <f>IF($A685="","",games!$B685)</f>
        <v/>
      </c>
      <c r="C685">
        <f>IF($A685="","",games!$C685)</f>
        <v/>
      </c>
      <c r="D685">
        <f>IF($A685="","",COUNTIF(connections!$A$2:$A$1400,$A685)+COUNTIF(connections!$B$2:$B$1400,$A685))</f>
        <v/>
      </c>
      <c r="E685">
        <f>IF($A685="","",IFERROR(MATCH($C685,$R$2:$R$5,0),0))</f>
        <v/>
      </c>
      <c r="F685">
        <f>IF($A685="","",MOD(ROW(),34))</f>
        <v/>
      </c>
      <c r="G685">
        <f>IF($A685="",NA(),IF($C685="Action",$B685,NA()))</f>
        <v/>
      </c>
      <c r="H685">
        <f>IF($A685="",NA(),IF($C685="Action",1+$F685*0.023,NA()))</f>
        <v/>
      </c>
      <c r="I685">
        <f>IF($A685="",NA(),IF($C685="Strategy",$B685,NA()))</f>
        <v/>
      </c>
      <c r="J685">
        <f>IF($A685="",NA(),IF($C685="Strategy",2+$F685*0.023,NA()))</f>
        <v/>
      </c>
      <c r="K685">
        <f>IF($A685="",NA(),IF($C685="Deckbuilder",$B685,NA()))</f>
        <v/>
      </c>
      <c r="L685">
        <f>IF($A685="",NA(),IF($C685="Deckbuilder",3+$F685*0.023,NA()))</f>
        <v/>
      </c>
      <c r="M685">
        <f>IF($A685="",NA(),IF($C685="Traditional",$B685,NA()))</f>
        <v/>
      </c>
      <c r="N685">
        <f>IF($A685="",NA(),IF($C685="Traditional",4+$F685*0.023,NA()))</f>
        <v/>
      </c>
      <c r="O685">
        <f>IF($A685="","",$D685+ROW()/1000000)</f>
        <v/>
      </c>
      <c r="P685">
        <f>IF(OR($A685="",games!$H685=""),"",games!$H685)</f>
        <v/>
      </c>
      <c r="Q685">
        <f>IF(OR($A685="",$P685&lt;&gt;"Yes"),"",$D685+ROW()/1000000)</f>
        <v/>
      </c>
      <c r="T685">
        <f>IF(connections!$A685="","",IFERROR(INDEX(games!$B$2:$B$950,MATCH(connections!$A685,games!$A$2:$A$950,0)),""))</f>
        <v/>
      </c>
      <c r="U685">
        <f>IF(connections!$A685="","",IFERROR(INDEX(games!$B$2:$B$950,MATCH(connections!$B685,games!$A$2:$A$950,0)),""))</f>
        <v/>
      </c>
      <c r="V685">
        <f>IF(OR($T685="",$U685=""),"",$U685-$T685)</f>
        <v/>
      </c>
    </row>
    <row r="686">
      <c r="A686">
        <f>IF(games!$A686="","",games!$A686)</f>
        <v/>
      </c>
      <c r="B686">
        <f>IF($A686="","",games!$B686)</f>
        <v/>
      </c>
      <c r="C686">
        <f>IF($A686="","",games!$C686)</f>
        <v/>
      </c>
      <c r="D686">
        <f>IF($A686="","",COUNTIF(connections!$A$2:$A$1400,$A686)+COUNTIF(connections!$B$2:$B$1400,$A686))</f>
        <v/>
      </c>
      <c r="E686">
        <f>IF($A686="","",IFERROR(MATCH($C686,$R$2:$R$5,0),0))</f>
        <v/>
      </c>
      <c r="F686">
        <f>IF($A686="","",MOD(ROW(),34))</f>
        <v/>
      </c>
      <c r="G686">
        <f>IF($A686="",NA(),IF($C686="Action",$B686,NA()))</f>
        <v/>
      </c>
      <c r="H686">
        <f>IF($A686="",NA(),IF($C686="Action",1+$F686*0.023,NA()))</f>
        <v/>
      </c>
      <c r="I686">
        <f>IF($A686="",NA(),IF($C686="Strategy",$B686,NA()))</f>
        <v/>
      </c>
      <c r="J686">
        <f>IF($A686="",NA(),IF($C686="Strategy",2+$F686*0.023,NA()))</f>
        <v/>
      </c>
      <c r="K686">
        <f>IF($A686="",NA(),IF($C686="Deckbuilder",$B686,NA()))</f>
        <v/>
      </c>
      <c r="L686">
        <f>IF($A686="",NA(),IF($C686="Deckbuilder",3+$F686*0.023,NA()))</f>
        <v/>
      </c>
      <c r="M686">
        <f>IF($A686="",NA(),IF($C686="Traditional",$B686,NA()))</f>
        <v/>
      </c>
      <c r="N686">
        <f>IF($A686="",NA(),IF($C686="Traditional",4+$F686*0.023,NA()))</f>
        <v/>
      </c>
      <c r="O686">
        <f>IF($A686="","",$D686+ROW()/1000000)</f>
        <v/>
      </c>
      <c r="P686">
        <f>IF(OR($A686="",games!$H686=""),"",games!$H686)</f>
        <v/>
      </c>
      <c r="Q686">
        <f>IF(OR($A686="",$P686&lt;&gt;"Yes"),"",$D686+ROW()/1000000)</f>
        <v/>
      </c>
      <c r="T686">
        <f>IF(connections!$A686="","",IFERROR(INDEX(games!$B$2:$B$950,MATCH(connections!$A686,games!$A$2:$A$950,0)),""))</f>
        <v/>
      </c>
      <c r="U686">
        <f>IF(connections!$A686="","",IFERROR(INDEX(games!$B$2:$B$950,MATCH(connections!$B686,games!$A$2:$A$950,0)),""))</f>
        <v/>
      </c>
      <c r="V686">
        <f>IF(OR($T686="",$U686=""),"",$U686-$T686)</f>
        <v/>
      </c>
    </row>
    <row r="687">
      <c r="A687">
        <f>IF(games!$A687="","",games!$A687)</f>
        <v/>
      </c>
      <c r="B687">
        <f>IF($A687="","",games!$B687)</f>
        <v/>
      </c>
      <c r="C687">
        <f>IF($A687="","",games!$C687)</f>
        <v/>
      </c>
      <c r="D687">
        <f>IF($A687="","",COUNTIF(connections!$A$2:$A$1400,$A687)+COUNTIF(connections!$B$2:$B$1400,$A687))</f>
        <v/>
      </c>
      <c r="E687">
        <f>IF($A687="","",IFERROR(MATCH($C687,$R$2:$R$5,0),0))</f>
        <v/>
      </c>
      <c r="F687">
        <f>IF($A687="","",MOD(ROW(),34))</f>
        <v/>
      </c>
      <c r="G687">
        <f>IF($A687="",NA(),IF($C687="Action",$B687,NA()))</f>
        <v/>
      </c>
      <c r="H687">
        <f>IF($A687="",NA(),IF($C687="Action",1+$F687*0.023,NA()))</f>
        <v/>
      </c>
      <c r="I687">
        <f>IF($A687="",NA(),IF($C687="Strategy",$B687,NA()))</f>
        <v/>
      </c>
      <c r="J687">
        <f>IF($A687="",NA(),IF($C687="Strategy",2+$F687*0.023,NA()))</f>
        <v/>
      </c>
      <c r="K687">
        <f>IF($A687="",NA(),IF($C687="Deckbuilder",$B687,NA()))</f>
        <v/>
      </c>
      <c r="L687">
        <f>IF($A687="",NA(),IF($C687="Deckbuilder",3+$F687*0.023,NA()))</f>
        <v/>
      </c>
      <c r="M687">
        <f>IF($A687="",NA(),IF($C687="Traditional",$B687,NA()))</f>
        <v/>
      </c>
      <c r="N687">
        <f>IF($A687="",NA(),IF($C687="Traditional",4+$F687*0.023,NA()))</f>
        <v/>
      </c>
      <c r="O687">
        <f>IF($A687="","",$D687+ROW()/1000000)</f>
        <v/>
      </c>
      <c r="P687">
        <f>IF(OR($A687="",games!$H687=""),"",games!$H687)</f>
        <v/>
      </c>
      <c r="Q687">
        <f>IF(OR($A687="",$P687&lt;&gt;"Yes"),"",$D687+ROW()/1000000)</f>
        <v/>
      </c>
      <c r="T687">
        <f>IF(connections!$A687="","",IFERROR(INDEX(games!$B$2:$B$950,MATCH(connections!$A687,games!$A$2:$A$950,0)),""))</f>
        <v/>
      </c>
      <c r="U687">
        <f>IF(connections!$A687="","",IFERROR(INDEX(games!$B$2:$B$950,MATCH(connections!$B687,games!$A$2:$A$950,0)),""))</f>
        <v/>
      </c>
      <c r="V687">
        <f>IF(OR($T687="",$U687=""),"",$U687-$T687)</f>
        <v/>
      </c>
    </row>
    <row r="688">
      <c r="A688">
        <f>IF(games!$A688="","",games!$A688)</f>
        <v/>
      </c>
      <c r="B688">
        <f>IF($A688="","",games!$B688)</f>
        <v/>
      </c>
      <c r="C688">
        <f>IF($A688="","",games!$C688)</f>
        <v/>
      </c>
      <c r="D688">
        <f>IF($A688="","",COUNTIF(connections!$A$2:$A$1400,$A688)+COUNTIF(connections!$B$2:$B$1400,$A688))</f>
        <v/>
      </c>
      <c r="E688">
        <f>IF($A688="","",IFERROR(MATCH($C688,$R$2:$R$5,0),0))</f>
        <v/>
      </c>
      <c r="F688">
        <f>IF($A688="","",MOD(ROW(),34))</f>
        <v/>
      </c>
      <c r="G688">
        <f>IF($A688="",NA(),IF($C688="Action",$B688,NA()))</f>
        <v/>
      </c>
      <c r="H688">
        <f>IF($A688="",NA(),IF($C688="Action",1+$F688*0.023,NA()))</f>
        <v/>
      </c>
      <c r="I688">
        <f>IF($A688="",NA(),IF($C688="Strategy",$B688,NA()))</f>
        <v/>
      </c>
      <c r="J688">
        <f>IF($A688="",NA(),IF($C688="Strategy",2+$F688*0.023,NA()))</f>
        <v/>
      </c>
      <c r="K688">
        <f>IF($A688="",NA(),IF($C688="Deckbuilder",$B688,NA()))</f>
        <v/>
      </c>
      <c r="L688">
        <f>IF($A688="",NA(),IF($C688="Deckbuilder",3+$F688*0.023,NA()))</f>
        <v/>
      </c>
      <c r="M688">
        <f>IF($A688="",NA(),IF($C688="Traditional",$B688,NA()))</f>
        <v/>
      </c>
      <c r="N688">
        <f>IF($A688="",NA(),IF($C688="Traditional",4+$F688*0.023,NA()))</f>
        <v/>
      </c>
      <c r="O688">
        <f>IF($A688="","",$D688+ROW()/1000000)</f>
        <v/>
      </c>
      <c r="P688">
        <f>IF(OR($A688="",games!$H688=""),"",games!$H688)</f>
        <v/>
      </c>
      <c r="Q688">
        <f>IF(OR($A688="",$P688&lt;&gt;"Yes"),"",$D688+ROW()/1000000)</f>
        <v/>
      </c>
      <c r="T688">
        <f>IF(connections!$A688="","",IFERROR(INDEX(games!$B$2:$B$950,MATCH(connections!$A688,games!$A$2:$A$950,0)),""))</f>
        <v/>
      </c>
      <c r="U688">
        <f>IF(connections!$A688="","",IFERROR(INDEX(games!$B$2:$B$950,MATCH(connections!$B688,games!$A$2:$A$950,0)),""))</f>
        <v/>
      </c>
      <c r="V688">
        <f>IF(OR($T688="",$U688=""),"",$U688-$T688)</f>
        <v/>
      </c>
    </row>
    <row r="689">
      <c r="A689">
        <f>IF(games!$A689="","",games!$A689)</f>
        <v/>
      </c>
      <c r="B689">
        <f>IF($A689="","",games!$B689)</f>
        <v/>
      </c>
      <c r="C689">
        <f>IF($A689="","",games!$C689)</f>
        <v/>
      </c>
      <c r="D689">
        <f>IF($A689="","",COUNTIF(connections!$A$2:$A$1400,$A689)+COUNTIF(connections!$B$2:$B$1400,$A689))</f>
        <v/>
      </c>
      <c r="E689">
        <f>IF($A689="","",IFERROR(MATCH($C689,$R$2:$R$5,0),0))</f>
        <v/>
      </c>
      <c r="F689">
        <f>IF($A689="","",MOD(ROW(),34))</f>
        <v/>
      </c>
      <c r="G689">
        <f>IF($A689="",NA(),IF($C689="Action",$B689,NA()))</f>
        <v/>
      </c>
      <c r="H689">
        <f>IF($A689="",NA(),IF($C689="Action",1+$F689*0.023,NA()))</f>
        <v/>
      </c>
      <c r="I689">
        <f>IF($A689="",NA(),IF($C689="Strategy",$B689,NA()))</f>
        <v/>
      </c>
      <c r="J689">
        <f>IF($A689="",NA(),IF($C689="Strategy",2+$F689*0.023,NA()))</f>
        <v/>
      </c>
      <c r="K689">
        <f>IF($A689="",NA(),IF($C689="Deckbuilder",$B689,NA()))</f>
        <v/>
      </c>
      <c r="L689">
        <f>IF($A689="",NA(),IF($C689="Deckbuilder",3+$F689*0.023,NA()))</f>
        <v/>
      </c>
      <c r="M689">
        <f>IF($A689="",NA(),IF($C689="Traditional",$B689,NA()))</f>
        <v/>
      </c>
      <c r="N689">
        <f>IF($A689="",NA(),IF($C689="Traditional",4+$F689*0.023,NA()))</f>
        <v/>
      </c>
      <c r="O689">
        <f>IF($A689="","",$D689+ROW()/1000000)</f>
        <v/>
      </c>
      <c r="P689">
        <f>IF(OR($A689="",games!$H689=""),"",games!$H689)</f>
        <v/>
      </c>
      <c r="Q689">
        <f>IF(OR($A689="",$P689&lt;&gt;"Yes"),"",$D689+ROW()/1000000)</f>
        <v/>
      </c>
      <c r="T689">
        <f>IF(connections!$A689="","",IFERROR(INDEX(games!$B$2:$B$950,MATCH(connections!$A689,games!$A$2:$A$950,0)),""))</f>
        <v/>
      </c>
      <c r="U689">
        <f>IF(connections!$A689="","",IFERROR(INDEX(games!$B$2:$B$950,MATCH(connections!$B689,games!$A$2:$A$950,0)),""))</f>
        <v/>
      </c>
      <c r="V689">
        <f>IF(OR($T689="",$U689=""),"",$U689-$T689)</f>
        <v/>
      </c>
    </row>
    <row r="690">
      <c r="A690">
        <f>IF(games!$A690="","",games!$A690)</f>
        <v/>
      </c>
      <c r="B690">
        <f>IF($A690="","",games!$B690)</f>
        <v/>
      </c>
      <c r="C690">
        <f>IF($A690="","",games!$C690)</f>
        <v/>
      </c>
      <c r="D690">
        <f>IF($A690="","",COUNTIF(connections!$A$2:$A$1400,$A690)+COUNTIF(connections!$B$2:$B$1400,$A690))</f>
        <v/>
      </c>
      <c r="E690">
        <f>IF($A690="","",IFERROR(MATCH($C690,$R$2:$R$5,0),0))</f>
        <v/>
      </c>
      <c r="F690">
        <f>IF($A690="","",MOD(ROW(),34))</f>
        <v/>
      </c>
      <c r="G690">
        <f>IF($A690="",NA(),IF($C690="Action",$B690,NA()))</f>
        <v/>
      </c>
      <c r="H690">
        <f>IF($A690="",NA(),IF($C690="Action",1+$F690*0.023,NA()))</f>
        <v/>
      </c>
      <c r="I690">
        <f>IF($A690="",NA(),IF($C690="Strategy",$B690,NA()))</f>
        <v/>
      </c>
      <c r="J690">
        <f>IF($A690="",NA(),IF($C690="Strategy",2+$F690*0.023,NA()))</f>
        <v/>
      </c>
      <c r="K690">
        <f>IF($A690="",NA(),IF($C690="Deckbuilder",$B690,NA()))</f>
        <v/>
      </c>
      <c r="L690">
        <f>IF($A690="",NA(),IF($C690="Deckbuilder",3+$F690*0.023,NA()))</f>
        <v/>
      </c>
      <c r="M690">
        <f>IF($A690="",NA(),IF($C690="Traditional",$B690,NA()))</f>
        <v/>
      </c>
      <c r="N690">
        <f>IF($A690="",NA(),IF($C690="Traditional",4+$F690*0.023,NA()))</f>
        <v/>
      </c>
      <c r="O690">
        <f>IF($A690="","",$D690+ROW()/1000000)</f>
        <v/>
      </c>
      <c r="P690">
        <f>IF(OR($A690="",games!$H690=""),"",games!$H690)</f>
        <v/>
      </c>
      <c r="Q690">
        <f>IF(OR($A690="",$P690&lt;&gt;"Yes"),"",$D690+ROW()/1000000)</f>
        <v/>
      </c>
      <c r="T690">
        <f>IF(connections!$A690="","",IFERROR(INDEX(games!$B$2:$B$950,MATCH(connections!$A690,games!$A$2:$A$950,0)),""))</f>
        <v/>
      </c>
      <c r="U690">
        <f>IF(connections!$A690="","",IFERROR(INDEX(games!$B$2:$B$950,MATCH(connections!$B690,games!$A$2:$A$950,0)),""))</f>
        <v/>
      </c>
      <c r="V690">
        <f>IF(OR($T690="",$U690=""),"",$U690-$T690)</f>
        <v/>
      </c>
    </row>
    <row r="691">
      <c r="A691">
        <f>IF(games!$A691="","",games!$A691)</f>
        <v/>
      </c>
      <c r="B691">
        <f>IF($A691="","",games!$B691)</f>
        <v/>
      </c>
      <c r="C691">
        <f>IF($A691="","",games!$C691)</f>
        <v/>
      </c>
      <c r="D691">
        <f>IF($A691="","",COUNTIF(connections!$A$2:$A$1400,$A691)+COUNTIF(connections!$B$2:$B$1400,$A691))</f>
        <v/>
      </c>
      <c r="E691">
        <f>IF($A691="","",IFERROR(MATCH($C691,$R$2:$R$5,0),0))</f>
        <v/>
      </c>
      <c r="F691">
        <f>IF($A691="","",MOD(ROW(),34))</f>
        <v/>
      </c>
      <c r="G691">
        <f>IF($A691="",NA(),IF($C691="Action",$B691,NA()))</f>
        <v/>
      </c>
      <c r="H691">
        <f>IF($A691="",NA(),IF($C691="Action",1+$F691*0.023,NA()))</f>
        <v/>
      </c>
      <c r="I691">
        <f>IF($A691="",NA(),IF($C691="Strategy",$B691,NA()))</f>
        <v/>
      </c>
      <c r="J691">
        <f>IF($A691="",NA(),IF($C691="Strategy",2+$F691*0.023,NA()))</f>
        <v/>
      </c>
      <c r="K691">
        <f>IF($A691="",NA(),IF($C691="Deckbuilder",$B691,NA()))</f>
        <v/>
      </c>
      <c r="L691">
        <f>IF($A691="",NA(),IF($C691="Deckbuilder",3+$F691*0.023,NA()))</f>
        <v/>
      </c>
      <c r="M691">
        <f>IF($A691="",NA(),IF($C691="Traditional",$B691,NA()))</f>
        <v/>
      </c>
      <c r="N691">
        <f>IF($A691="",NA(),IF($C691="Traditional",4+$F691*0.023,NA()))</f>
        <v/>
      </c>
      <c r="O691">
        <f>IF($A691="","",$D691+ROW()/1000000)</f>
        <v/>
      </c>
      <c r="P691">
        <f>IF(OR($A691="",games!$H691=""),"",games!$H691)</f>
        <v/>
      </c>
      <c r="Q691">
        <f>IF(OR($A691="",$P691&lt;&gt;"Yes"),"",$D691+ROW()/1000000)</f>
        <v/>
      </c>
      <c r="T691">
        <f>IF(connections!$A691="","",IFERROR(INDEX(games!$B$2:$B$950,MATCH(connections!$A691,games!$A$2:$A$950,0)),""))</f>
        <v/>
      </c>
      <c r="U691">
        <f>IF(connections!$A691="","",IFERROR(INDEX(games!$B$2:$B$950,MATCH(connections!$B691,games!$A$2:$A$950,0)),""))</f>
        <v/>
      </c>
      <c r="V691">
        <f>IF(OR($T691="",$U691=""),"",$U691-$T691)</f>
        <v/>
      </c>
    </row>
    <row r="692">
      <c r="A692">
        <f>IF(games!$A692="","",games!$A692)</f>
        <v/>
      </c>
      <c r="B692">
        <f>IF($A692="","",games!$B692)</f>
        <v/>
      </c>
      <c r="C692">
        <f>IF($A692="","",games!$C692)</f>
        <v/>
      </c>
      <c r="D692">
        <f>IF($A692="","",COUNTIF(connections!$A$2:$A$1400,$A692)+COUNTIF(connections!$B$2:$B$1400,$A692))</f>
        <v/>
      </c>
      <c r="E692">
        <f>IF($A692="","",IFERROR(MATCH($C692,$R$2:$R$5,0),0))</f>
        <v/>
      </c>
      <c r="F692">
        <f>IF($A692="","",MOD(ROW(),34))</f>
        <v/>
      </c>
      <c r="G692">
        <f>IF($A692="",NA(),IF($C692="Action",$B692,NA()))</f>
        <v/>
      </c>
      <c r="H692">
        <f>IF($A692="",NA(),IF($C692="Action",1+$F692*0.023,NA()))</f>
        <v/>
      </c>
      <c r="I692">
        <f>IF($A692="",NA(),IF($C692="Strategy",$B692,NA()))</f>
        <v/>
      </c>
      <c r="J692">
        <f>IF($A692="",NA(),IF($C692="Strategy",2+$F692*0.023,NA()))</f>
        <v/>
      </c>
      <c r="K692">
        <f>IF($A692="",NA(),IF($C692="Deckbuilder",$B692,NA()))</f>
        <v/>
      </c>
      <c r="L692">
        <f>IF($A692="",NA(),IF($C692="Deckbuilder",3+$F692*0.023,NA()))</f>
        <v/>
      </c>
      <c r="M692">
        <f>IF($A692="",NA(),IF($C692="Traditional",$B692,NA()))</f>
        <v/>
      </c>
      <c r="N692">
        <f>IF($A692="",NA(),IF($C692="Traditional",4+$F692*0.023,NA()))</f>
        <v/>
      </c>
      <c r="O692">
        <f>IF($A692="","",$D692+ROW()/1000000)</f>
        <v/>
      </c>
      <c r="P692">
        <f>IF(OR($A692="",games!$H692=""),"",games!$H692)</f>
        <v/>
      </c>
      <c r="Q692">
        <f>IF(OR($A692="",$P692&lt;&gt;"Yes"),"",$D692+ROW()/1000000)</f>
        <v/>
      </c>
      <c r="T692">
        <f>IF(connections!$A692="","",IFERROR(INDEX(games!$B$2:$B$950,MATCH(connections!$A692,games!$A$2:$A$950,0)),""))</f>
        <v/>
      </c>
      <c r="U692">
        <f>IF(connections!$A692="","",IFERROR(INDEX(games!$B$2:$B$950,MATCH(connections!$B692,games!$A$2:$A$950,0)),""))</f>
        <v/>
      </c>
      <c r="V692">
        <f>IF(OR($T692="",$U692=""),"",$U692-$T692)</f>
        <v/>
      </c>
    </row>
    <row r="693">
      <c r="A693">
        <f>IF(games!$A693="","",games!$A693)</f>
        <v/>
      </c>
      <c r="B693">
        <f>IF($A693="","",games!$B693)</f>
        <v/>
      </c>
      <c r="C693">
        <f>IF($A693="","",games!$C693)</f>
        <v/>
      </c>
      <c r="D693">
        <f>IF($A693="","",COUNTIF(connections!$A$2:$A$1400,$A693)+COUNTIF(connections!$B$2:$B$1400,$A693))</f>
        <v/>
      </c>
      <c r="E693">
        <f>IF($A693="","",IFERROR(MATCH($C693,$R$2:$R$5,0),0))</f>
        <v/>
      </c>
      <c r="F693">
        <f>IF($A693="","",MOD(ROW(),34))</f>
        <v/>
      </c>
      <c r="G693">
        <f>IF($A693="",NA(),IF($C693="Action",$B693,NA()))</f>
        <v/>
      </c>
      <c r="H693">
        <f>IF($A693="",NA(),IF($C693="Action",1+$F693*0.023,NA()))</f>
        <v/>
      </c>
      <c r="I693">
        <f>IF($A693="",NA(),IF($C693="Strategy",$B693,NA()))</f>
        <v/>
      </c>
      <c r="J693">
        <f>IF($A693="",NA(),IF($C693="Strategy",2+$F693*0.023,NA()))</f>
        <v/>
      </c>
      <c r="K693">
        <f>IF($A693="",NA(),IF($C693="Deckbuilder",$B693,NA()))</f>
        <v/>
      </c>
      <c r="L693">
        <f>IF($A693="",NA(),IF($C693="Deckbuilder",3+$F693*0.023,NA()))</f>
        <v/>
      </c>
      <c r="M693">
        <f>IF($A693="",NA(),IF($C693="Traditional",$B693,NA()))</f>
        <v/>
      </c>
      <c r="N693">
        <f>IF($A693="",NA(),IF($C693="Traditional",4+$F693*0.023,NA()))</f>
        <v/>
      </c>
      <c r="O693">
        <f>IF($A693="","",$D693+ROW()/1000000)</f>
        <v/>
      </c>
      <c r="P693">
        <f>IF(OR($A693="",games!$H693=""),"",games!$H693)</f>
        <v/>
      </c>
      <c r="Q693">
        <f>IF(OR($A693="",$P693&lt;&gt;"Yes"),"",$D693+ROW()/1000000)</f>
        <v/>
      </c>
      <c r="T693">
        <f>IF(connections!$A693="","",IFERROR(INDEX(games!$B$2:$B$950,MATCH(connections!$A693,games!$A$2:$A$950,0)),""))</f>
        <v/>
      </c>
      <c r="U693">
        <f>IF(connections!$A693="","",IFERROR(INDEX(games!$B$2:$B$950,MATCH(connections!$B693,games!$A$2:$A$950,0)),""))</f>
        <v/>
      </c>
      <c r="V693">
        <f>IF(OR($T693="",$U693=""),"",$U693-$T693)</f>
        <v/>
      </c>
    </row>
    <row r="694">
      <c r="A694">
        <f>IF(games!$A694="","",games!$A694)</f>
        <v/>
      </c>
      <c r="B694">
        <f>IF($A694="","",games!$B694)</f>
        <v/>
      </c>
      <c r="C694">
        <f>IF($A694="","",games!$C694)</f>
        <v/>
      </c>
      <c r="D694">
        <f>IF($A694="","",COUNTIF(connections!$A$2:$A$1400,$A694)+COUNTIF(connections!$B$2:$B$1400,$A694))</f>
        <v/>
      </c>
      <c r="E694">
        <f>IF($A694="","",IFERROR(MATCH($C694,$R$2:$R$5,0),0))</f>
        <v/>
      </c>
      <c r="F694">
        <f>IF($A694="","",MOD(ROW(),34))</f>
        <v/>
      </c>
      <c r="G694">
        <f>IF($A694="",NA(),IF($C694="Action",$B694,NA()))</f>
        <v/>
      </c>
      <c r="H694">
        <f>IF($A694="",NA(),IF($C694="Action",1+$F694*0.023,NA()))</f>
        <v/>
      </c>
      <c r="I694">
        <f>IF($A694="",NA(),IF($C694="Strategy",$B694,NA()))</f>
        <v/>
      </c>
      <c r="J694">
        <f>IF($A694="",NA(),IF($C694="Strategy",2+$F694*0.023,NA()))</f>
        <v/>
      </c>
      <c r="K694">
        <f>IF($A694="",NA(),IF($C694="Deckbuilder",$B694,NA()))</f>
        <v/>
      </c>
      <c r="L694">
        <f>IF($A694="",NA(),IF($C694="Deckbuilder",3+$F694*0.023,NA()))</f>
        <v/>
      </c>
      <c r="M694">
        <f>IF($A694="",NA(),IF($C694="Traditional",$B694,NA()))</f>
        <v/>
      </c>
      <c r="N694">
        <f>IF($A694="",NA(),IF($C694="Traditional",4+$F694*0.023,NA()))</f>
        <v/>
      </c>
      <c r="O694">
        <f>IF($A694="","",$D694+ROW()/1000000)</f>
        <v/>
      </c>
      <c r="P694">
        <f>IF(OR($A694="",games!$H694=""),"",games!$H694)</f>
        <v/>
      </c>
      <c r="Q694">
        <f>IF(OR($A694="",$P694&lt;&gt;"Yes"),"",$D694+ROW()/1000000)</f>
        <v/>
      </c>
      <c r="T694">
        <f>IF(connections!$A694="","",IFERROR(INDEX(games!$B$2:$B$950,MATCH(connections!$A694,games!$A$2:$A$950,0)),""))</f>
        <v/>
      </c>
      <c r="U694">
        <f>IF(connections!$A694="","",IFERROR(INDEX(games!$B$2:$B$950,MATCH(connections!$B694,games!$A$2:$A$950,0)),""))</f>
        <v/>
      </c>
      <c r="V694">
        <f>IF(OR($T694="",$U694=""),"",$U694-$T694)</f>
        <v/>
      </c>
    </row>
    <row r="695">
      <c r="A695">
        <f>IF(games!$A695="","",games!$A695)</f>
        <v/>
      </c>
      <c r="B695">
        <f>IF($A695="","",games!$B695)</f>
        <v/>
      </c>
      <c r="C695">
        <f>IF($A695="","",games!$C695)</f>
        <v/>
      </c>
      <c r="D695">
        <f>IF($A695="","",COUNTIF(connections!$A$2:$A$1400,$A695)+COUNTIF(connections!$B$2:$B$1400,$A695))</f>
        <v/>
      </c>
      <c r="E695">
        <f>IF($A695="","",IFERROR(MATCH($C695,$R$2:$R$5,0),0))</f>
        <v/>
      </c>
      <c r="F695">
        <f>IF($A695="","",MOD(ROW(),34))</f>
        <v/>
      </c>
      <c r="G695">
        <f>IF($A695="",NA(),IF($C695="Action",$B695,NA()))</f>
        <v/>
      </c>
      <c r="H695">
        <f>IF($A695="",NA(),IF($C695="Action",1+$F695*0.023,NA()))</f>
        <v/>
      </c>
      <c r="I695">
        <f>IF($A695="",NA(),IF($C695="Strategy",$B695,NA()))</f>
        <v/>
      </c>
      <c r="J695">
        <f>IF($A695="",NA(),IF($C695="Strategy",2+$F695*0.023,NA()))</f>
        <v/>
      </c>
      <c r="K695">
        <f>IF($A695="",NA(),IF($C695="Deckbuilder",$B695,NA()))</f>
        <v/>
      </c>
      <c r="L695">
        <f>IF($A695="",NA(),IF($C695="Deckbuilder",3+$F695*0.023,NA()))</f>
        <v/>
      </c>
      <c r="M695">
        <f>IF($A695="",NA(),IF($C695="Traditional",$B695,NA()))</f>
        <v/>
      </c>
      <c r="N695">
        <f>IF($A695="",NA(),IF($C695="Traditional",4+$F695*0.023,NA()))</f>
        <v/>
      </c>
      <c r="O695">
        <f>IF($A695="","",$D695+ROW()/1000000)</f>
        <v/>
      </c>
      <c r="P695">
        <f>IF(OR($A695="",games!$H695=""),"",games!$H695)</f>
        <v/>
      </c>
      <c r="Q695">
        <f>IF(OR($A695="",$P695&lt;&gt;"Yes"),"",$D695+ROW()/1000000)</f>
        <v/>
      </c>
      <c r="T695">
        <f>IF(connections!$A695="","",IFERROR(INDEX(games!$B$2:$B$950,MATCH(connections!$A695,games!$A$2:$A$950,0)),""))</f>
        <v/>
      </c>
      <c r="U695">
        <f>IF(connections!$A695="","",IFERROR(INDEX(games!$B$2:$B$950,MATCH(connections!$B695,games!$A$2:$A$950,0)),""))</f>
        <v/>
      </c>
      <c r="V695">
        <f>IF(OR($T695="",$U695=""),"",$U695-$T695)</f>
        <v/>
      </c>
    </row>
    <row r="696">
      <c r="A696">
        <f>IF(games!$A696="","",games!$A696)</f>
        <v/>
      </c>
      <c r="B696">
        <f>IF($A696="","",games!$B696)</f>
        <v/>
      </c>
      <c r="C696">
        <f>IF($A696="","",games!$C696)</f>
        <v/>
      </c>
      <c r="D696">
        <f>IF($A696="","",COUNTIF(connections!$A$2:$A$1400,$A696)+COUNTIF(connections!$B$2:$B$1400,$A696))</f>
        <v/>
      </c>
      <c r="E696">
        <f>IF($A696="","",IFERROR(MATCH($C696,$R$2:$R$5,0),0))</f>
        <v/>
      </c>
      <c r="F696">
        <f>IF($A696="","",MOD(ROW(),34))</f>
        <v/>
      </c>
      <c r="G696">
        <f>IF($A696="",NA(),IF($C696="Action",$B696,NA()))</f>
        <v/>
      </c>
      <c r="H696">
        <f>IF($A696="",NA(),IF($C696="Action",1+$F696*0.023,NA()))</f>
        <v/>
      </c>
      <c r="I696">
        <f>IF($A696="",NA(),IF($C696="Strategy",$B696,NA()))</f>
        <v/>
      </c>
      <c r="J696">
        <f>IF($A696="",NA(),IF($C696="Strategy",2+$F696*0.023,NA()))</f>
        <v/>
      </c>
      <c r="K696">
        <f>IF($A696="",NA(),IF($C696="Deckbuilder",$B696,NA()))</f>
        <v/>
      </c>
      <c r="L696">
        <f>IF($A696="",NA(),IF($C696="Deckbuilder",3+$F696*0.023,NA()))</f>
        <v/>
      </c>
      <c r="M696">
        <f>IF($A696="",NA(),IF($C696="Traditional",$B696,NA()))</f>
        <v/>
      </c>
      <c r="N696">
        <f>IF($A696="",NA(),IF($C696="Traditional",4+$F696*0.023,NA()))</f>
        <v/>
      </c>
      <c r="O696">
        <f>IF($A696="","",$D696+ROW()/1000000)</f>
        <v/>
      </c>
      <c r="P696">
        <f>IF(OR($A696="",games!$H696=""),"",games!$H696)</f>
        <v/>
      </c>
      <c r="Q696">
        <f>IF(OR($A696="",$P696&lt;&gt;"Yes"),"",$D696+ROW()/1000000)</f>
        <v/>
      </c>
      <c r="T696">
        <f>IF(connections!$A696="","",IFERROR(INDEX(games!$B$2:$B$950,MATCH(connections!$A696,games!$A$2:$A$950,0)),""))</f>
        <v/>
      </c>
      <c r="U696">
        <f>IF(connections!$A696="","",IFERROR(INDEX(games!$B$2:$B$950,MATCH(connections!$B696,games!$A$2:$A$950,0)),""))</f>
        <v/>
      </c>
      <c r="V696">
        <f>IF(OR($T696="",$U696=""),"",$U696-$T696)</f>
        <v/>
      </c>
    </row>
    <row r="697">
      <c r="A697">
        <f>IF(games!$A697="","",games!$A697)</f>
        <v/>
      </c>
      <c r="B697">
        <f>IF($A697="","",games!$B697)</f>
        <v/>
      </c>
      <c r="C697">
        <f>IF($A697="","",games!$C697)</f>
        <v/>
      </c>
      <c r="D697">
        <f>IF($A697="","",COUNTIF(connections!$A$2:$A$1400,$A697)+COUNTIF(connections!$B$2:$B$1400,$A697))</f>
        <v/>
      </c>
      <c r="E697">
        <f>IF($A697="","",IFERROR(MATCH($C697,$R$2:$R$5,0),0))</f>
        <v/>
      </c>
      <c r="F697">
        <f>IF($A697="","",MOD(ROW(),34))</f>
        <v/>
      </c>
      <c r="G697">
        <f>IF($A697="",NA(),IF($C697="Action",$B697,NA()))</f>
        <v/>
      </c>
      <c r="H697">
        <f>IF($A697="",NA(),IF($C697="Action",1+$F697*0.023,NA()))</f>
        <v/>
      </c>
      <c r="I697">
        <f>IF($A697="",NA(),IF($C697="Strategy",$B697,NA()))</f>
        <v/>
      </c>
      <c r="J697">
        <f>IF($A697="",NA(),IF($C697="Strategy",2+$F697*0.023,NA()))</f>
        <v/>
      </c>
      <c r="K697">
        <f>IF($A697="",NA(),IF($C697="Deckbuilder",$B697,NA()))</f>
        <v/>
      </c>
      <c r="L697">
        <f>IF($A697="",NA(),IF($C697="Deckbuilder",3+$F697*0.023,NA()))</f>
        <v/>
      </c>
      <c r="M697">
        <f>IF($A697="",NA(),IF($C697="Traditional",$B697,NA()))</f>
        <v/>
      </c>
      <c r="N697">
        <f>IF($A697="",NA(),IF($C697="Traditional",4+$F697*0.023,NA()))</f>
        <v/>
      </c>
      <c r="O697">
        <f>IF($A697="","",$D697+ROW()/1000000)</f>
        <v/>
      </c>
      <c r="P697">
        <f>IF(OR($A697="",games!$H697=""),"",games!$H697)</f>
        <v/>
      </c>
      <c r="Q697">
        <f>IF(OR($A697="",$P697&lt;&gt;"Yes"),"",$D697+ROW()/1000000)</f>
        <v/>
      </c>
      <c r="T697">
        <f>IF(connections!$A697="","",IFERROR(INDEX(games!$B$2:$B$950,MATCH(connections!$A697,games!$A$2:$A$950,0)),""))</f>
        <v/>
      </c>
      <c r="U697">
        <f>IF(connections!$A697="","",IFERROR(INDEX(games!$B$2:$B$950,MATCH(connections!$B697,games!$A$2:$A$950,0)),""))</f>
        <v/>
      </c>
      <c r="V697">
        <f>IF(OR($T697="",$U697=""),"",$U697-$T697)</f>
        <v/>
      </c>
    </row>
    <row r="698">
      <c r="A698">
        <f>IF(games!$A698="","",games!$A698)</f>
        <v/>
      </c>
      <c r="B698">
        <f>IF($A698="","",games!$B698)</f>
        <v/>
      </c>
      <c r="C698">
        <f>IF($A698="","",games!$C698)</f>
        <v/>
      </c>
      <c r="D698">
        <f>IF($A698="","",COUNTIF(connections!$A$2:$A$1400,$A698)+COUNTIF(connections!$B$2:$B$1400,$A698))</f>
        <v/>
      </c>
      <c r="E698">
        <f>IF($A698="","",IFERROR(MATCH($C698,$R$2:$R$5,0),0))</f>
        <v/>
      </c>
      <c r="F698">
        <f>IF($A698="","",MOD(ROW(),34))</f>
        <v/>
      </c>
      <c r="G698">
        <f>IF($A698="",NA(),IF($C698="Action",$B698,NA()))</f>
        <v/>
      </c>
      <c r="H698">
        <f>IF($A698="",NA(),IF($C698="Action",1+$F698*0.023,NA()))</f>
        <v/>
      </c>
      <c r="I698">
        <f>IF($A698="",NA(),IF($C698="Strategy",$B698,NA()))</f>
        <v/>
      </c>
      <c r="J698">
        <f>IF($A698="",NA(),IF($C698="Strategy",2+$F698*0.023,NA()))</f>
        <v/>
      </c>
      <c r="K698">
        <f>IF($A698="",NA(),IF($C698="Deckbuilder",$B698,NA()))</f>
        <v/>
      </c>
      <c r="L698">
        <f>IF($A698="",NA(),IF($C698="Deckbuilder",3+$F698*0.023,NA()))</f>
        <v/>
      </c>
      <c r="M698">
        <f>IF($A698="",NA(),IF($C698="Traditional",$B698,NA()))</f>
        <v/>
      </c>
      <c r="N698">
        <f>IF($A698="",NA(),IF($C698="Traditional",4+$F698*0.023,NA()))</f>
        <v/>
      </c>
      <c r="O698">
        <f>IF($A698="","",$D698+ROW()/1000000)</f>
        <v/>
      </c>
      <c r="P698">
        <f>IF(OR($A698="",games!$H698=""),"",games!$H698)</f>
        <v/>
      </c>
      <c r="Q698">
        <f>IF(OR($A698="",$P698&lt;&gt;"Yes"),"",$D698+ROW()/1000000)</f>
        <v/>
      </c>
      <c r="T698">
        <f>IF(connections!$A698="","",IFERROR(INDEX(games!$B$2:$B$950,MATCH(connections!$A698,games!$A$2:$A$950,0)),""))</f>
        <v/>
      </c>
      <c r="U698">
        <f>IF(connections!$A698="","",IFERROR(INDEX(games!$B$2:$B$950,MATCH(connections!$B698,games!$A$2:$A$950,0)),""))</f>
        <v/>
      </c>
      <c r="V698">
        <f>IF(OR($T698="",$U698=""),"",$U698-$T698)</f>
        <v/>
      </c>
    </row>
    <row r="699">
      <c r="A699">
        <f>IF(games!$A699="","",games!$A699)</f>
        <v/>
      </c>
      <c r="B699">
        <f>IF($A699="","",games!$B699)</f>
        <v/>
      </c>
      <c r="C699">
        <f>IF($A699="","",games!$C699)</f>
        <v/>
      </c>
      <c r="D699">
        <f>IF($A699="","",COUNTIF(connections!$A$2:$A$1400,$A699)+COUNTIF(connections!$B$2:$B$1400,$A699))</f>
        <v/>
      </c>
      <c r="E699">
        <f>IF($A699="","",IFERROR(MATCH($C699,$R$2:$R$5,0),0))</f>
        <v/>
      </c>
      <c r="F699">
        <f>IF($A699="","",MOD(ROW(),34))</f>
        <v/>
      </c>
      <c r="G699">
        <f>IF($A699="",NA(),IF($C699="Action",$B699,NA()))</f>
        <v/>
      </c>
      <c r="H699">
        <f>IF($A699="",NA(),IF($C699="Action",1+$F699*0.023,NA()))</f>
        <v/>
      </c>
      <c r="I699">
        <f>IF($A699="",NA(),IF($C699="Strategy",$B699,NA()))</f>
        <v/>
      </c>
      <c r="J699">
        <f>IF($A699="",NA(),IF($C699="Strategy",2+$F699*0.023,NA()))</f>
        <v/>
      </c>
      <c r="K699">
        <f>IF($A699="",NA(),IF($C699="Deckbuilder",$B699,NA()))</f>
        <v/>
      </c>
      <c r="L699">
        <f>IF($A699="",NA(),IF($C699="Deckbuilder",3+$F699*0.023,NA()))</f>
        <v/>
      </c>
      <c r="M699">
        <f>IF($A699="",NA(),IF($C699="Traditional",$B699,NA()))</f>
        <v/>
      </c>
      <c r="N699">
        <f>IF($A699="",NA(),IF($C699="Traditional",4+$F699*0.023,NA()))</f>
        <v/>
      </c>
      <c r="O699">
        <f>IF($A699="","",$D699+ROW()/1000000)</f>
        <v/>
      </c>
      <c r="P699">
        <f>IF(OR($A699="",games!$H699=""),"",games!$H699)</f>
        <v/>
      </c>
      <c r="Q699">
        <f>IF(OR($A699="",$P699&lt;&gt;"Yes"),"",$D699+ROW()/1000000)</f>
        <v/>
      </c>
      <c r="T699">
        <f>IF(connections!$A699="","",IFERROR(INDEX(games!$B$2:$B$950,MATCH(connections!$A699,games!$A$2:$A$950,0)),""))</f>
        <v/>
      </c>
      <c r="U699">
        <f>IF(connections!$A699="","",IFERROR(INDEX(games!$B$2:$B$950,MATCH(connections!$B699,games!$A$2:$A$950,0)),""))</f>
        <v/>
      </c>
      <c r="V699">
        <f>IF(OR($T699="",$U699=""),"",$U699-$T699)</f>
        <v/>
      </c>
    </row>
    <row r="700">
      <c r="A700">
        <f>IF(games!$A700="","",games!$A700)</f>
        <v/>
      </c>
      <c r="B700">
        <f>IF($A700="","",games!$B700)</f>
        <v/>
      </c>
      <c r="C700">
        <f>IF($A700="","",games!$C700)</f>
        <v/>
      </c>
      <c r="D700">
        <f>IF($A700="","",COUNTIF(connections!$A$2:$A$1400,$A700)+COUNTIF(connections!$B$2:$B$1400,$A700))</f>
        <v/>
      </c>
      <c r="E700">
        <f>IF($A700="","",IFERROR(MATCH($C700,$R$2:$R$5,0),0))</f>
        <v/>
      </c>
      <c r="F700">
        <f>IF($A700="","",MOD(ROW(),34))</f>
        <v/>
      </c>
      <c r="G700">
        <f>IF($A700="",NA(),IF($C700="Action",$B700,NA()))</f>
        <v/>
      </c>
      <c r="H700">
        <f>IF($A700="",NA(),IF($C700="Action",1+$F700*0.023,NA()))</f>
        <v/>
      </c>
      <c r="I700">
        <f>IF($A700="",NA(),IF($C700="Strategy",$B700,NA()))</f>
        <v/>
      </c>
      <c r="J700">
        <f>IF($A700="",NA(),IF($C700="Strategy",2+$F700*0.023,NA()))</f>
        <v/>
      </c>
      <c r="K700">
        <f>IF($A700="",NA(),IF($C700="Deckbuilder",$B700,NA()))</f>
        <v/>
      </c>
      <c r="L700">
        <f>IF($A700="",NA(),IF($C700="Deckbuilder",3+$F700*0.023,NA()))</f>
        <v/>
      </c>
      <c r="M700">
        <f>IF($A700="",NA(),IF($C700="Traditional",$B700,NA()))</f>
        <v/>
      </c>
      <c r="N700">
        <f>IF($A700="",NA(),IF($C700="Traditional",4+$F700*0.023,NA()))</f>
        <v/>
      </c>
      <c r="O700">
        <f>IF($A700="","",$D700+ROW()/1000000)</f>
        <v/>
      </c>
      <c r="P700">
        <f>IF(OR($A700="",games!$H700=""),"",games!$H700)</f>
        <v/>
      </c>
      <c r="Q700">
        <f>IF(OR($A700="",$P700&lt;&gt;"Yes"),"",$D700+ROW()/1000000)</f>
        <v/>
      </c>
      <c r="T700">
        <f>IF(connections!$A700="","",IFERROR(INDEX(games!$B$2:$B$950,MATCH(connections!$A700,games!$A$2:$A$950,0)),""))</f>
        <v/>
      </c>
      <c r="U700">
        <f>IF(connections!$A700="","",IFERROR(INDEX(games!$B$2:$B$950,MATCH(connections!$B700,games!$A$2:$A$950,0)),""))</f>
        <v/>
      </c>
      <c r="V700">
        <f>IF(OR($T700="",$U700=""),"",$U700-$T700)</f>
        <v/>
      </c>
    </row>
    <row r="701">
      <c r="A701">
        <f>IF(games!$A701="","",games!$A701)</f>
        <v/>
      </c>
      <c r="B701">
        <f>IF($A701="","",games!$B701)</f>
        <v/>
      </c>
      <c r="C701">
        <f>IF($A701="","",games!$C701)</f>
        <v/>
      </c>
      <c r="D701">
        <f>IF($A701="","",COUNTIF(connections!$A$2:$A$1400,$A701)+COUNTIF(connections!$B$2:$B$1400,$A701))</f>
        <v/>
      </c>
      <c r="E701">
        <f>IF($A701="","",IFERROR(MATCH($C701,$R$2:$R$5,0),0))</f>
        <v/>
      </c>
      <c r="F701">
        <f>IF($A701="","",MOD(ROW(),34))</f>
        <v/>
      </c>
      <c r="G701">
        <f>IF($A701="",NA(),IF($C701="Action",$B701,NA()))</f>
        <v/>
      </c>
      <c r="H701">
        <f>IF($A701="",NA(),IF($C701="Action",1+$F701*0.023,NA()))</f>
        <v/>
      </c>
      <c r="I701">
        <f>IF($A701="",NA(),IF($C701="Strategy",$B701,NA()))</f>
        <v/>
      </c>
      <c r="J701">
        <f>IF($A701="",NA(),IF($C701="Strategy",2+$F701*0.023,NA()))</f>
        <v/>
      </c>
      <c r="K701">
        <f>IF($A701="",NA(),IF($C701="Deckbuilder",$B701,NA()))</f>
        <v/>
      </c>
      <c r="L701">
        <f>IF($A701="",NA(),IF($C701="Deckbuilder",3+$F701*0.023,NA()))</f>
        <v/>
      </c>
      <c r="M701">
        <f>IF($A701="",NA(),IF($C701="Traditional",$B701,NA()))</f>
        <v/>
      </c>
      <c r="N701">
        <f>IF($A701="",NA(),IF($C701="Traditional",4+$F701*0.023,NA()))</f>
        <v/>
      </c>
      <c r="O701">
        <f>IF($A701="","",$D701+ROW()/1000000)</f>
        <v/>
      </c>
      <c r="P701">
        <f>IF(OR($A701="",games!$H701=""),"",games!$H701)</f>
        <v/>
      </c>
      <c r="Q701">
        <f>IF(OR($A701="",$P701&lt;&gt;"Yes"),"",$D701+ROW()/1000000)</f>
        <v/>
      </c>
      <c r="T701">
        <f>IF(connections!$A701="","",IFERROR(INDEX(games!$B$2:$B$950,MATCH(connections!$A701,games!$A$2:$A$950,0)),""))</f>
        <v/>
      </c>
      <c r="U701">
        <f>IF(connections!$A701="","",IFERROR(INDEX(games!$B$2:$B$950,MATCH(connections!$B701,games!$A$2:$A$950,0)),""))</f>
        <v/>
      </c>
      <c r="V701">
        <f>IF(OR($T701="",$U701=""),"",$U701-$T701)</f>
        <v/>
      </c>
    </row>
    <row r="702">
      <c r="A702">
        <f>IF(games!$A702="","",games!$A702)</f>
        <v/>
      </c>
      <c r="B702">
        <f>IF($A702="","",games!$B702)</f>
        <v/>
      </c>
      <c r="C702">
        <f>IF($A702="","",games!$C702)</f>
        <v/>
      </c>
      <c r="D702">
        <f>IF($A702="","",COUNTIF(connections!$A$2:$A$1400,$A702)+COUNTIF(connections!$B$2:$B$1400,$A702))</f>
        <v/>
      </c>
      <c r="E702">
        <f>IF($A702="","",IFERROR(MATCH($C702,$R$2:$R$5,0),0))</f>
        <v/>
      </c>
      <c r="F702">
        <f>IF($A702="","",MOD(ROW(),34))</f>
        <v/>
      </c>
      <c r="G702">
        <f>IF($A702="",NA(),IF($C702="Action",$B702,NA()))</f>
        <v/>
      </c>
      <c r="H702">
        <f>IF($A702="",NA(),IF($C702="Action",1+$F702*0.023,NA()))</f>
        <v/>
      </c>
      <c r="I702">
        <f>IF($A702="",NA(),IF($C702="Strategy",$B702,NA()))</f>
        <v/>
      </c>
      <c r="J702">
        <f>IF($A702="",NA(),IF($C702="Strategy",2+$F702*0.023,NA()))</f>
        <v/>
      </c>
      <c r="K702">
        <f>IF($A702="",NA(),IF($C702="Deckbuilder",$B702,NA()))</f>
        <v/>
      </c>
      <c r="L702">
        <f>IF($A702="",NA(),IF($C702="Deckbuilder",3+$F702*0.023,NA()))</f>
        <v/>
      </c>
      <c r="M702">
        <f>IF($A702="",NA(),IF($C702="Traditional",$B702,NA()))</f>
        <v/>
      </c>
      <c r="N702">
        <f>IF($A702="",NA(),IF($C702="Traditional",4+$F702*0.023,NA()))</f>
        <v/>
      </c>
      <c r="O702">
        <f>IF($A702="","",$D702+ROW()/1000000)</f>
        <v/>
      </c>
      <c r="P702">
        <f>IF(OR($A702="",games!$H702=""),"",games!$H702)</f>
        <v/>
      </c>
      <c r="Q702">
        <f>IF(OR($A702="",$P702&lt;&gt;"Yes"),"",$D702+ROW()/1000000)</f>
        <v/>
      </c>
      <c r="T702">
        <f>IF(connections!$A702="","",IFERROR(INDEX(games!$B$2:$B$950,MATCH(connections!$A702,games!$A$2:$A$950,0)),""))</f>
        <v/>
      </c>
      <c r="U702">
        <f>IF(connections!$A702="","",IFERROR(INDEX(games!$B$2:$B$950,MATCH(connections!$B702,games!$A$2:$A$950,0)),""))</f>
        <v/>
      </c>
      <c r="V702">
        <f>IF(OR($T702="",$U702=""),"",$U702-$T702)</f>
        <v/>
      </c>
    </row>
    <row r="703">
      <c r="A703">
        <f>IF(games!$A703="","",games!$A703)</f>
        <v/>
      </c>
      <c r="B703">
        <f>IF($A703="","",games!$B703)</f>
        <v/>
      </c>
      <c r="C703">
        <f>IF($A703="","",games!$C703)</f>
        <v/>
      </c>
      <c r="D703">
        <f>IF($A703="","",COUNTIF(connections!$A$2:$A$1400,$A703)+COUNTIF(connections!$B$2:$B$1400,$A703))</f>
        <v/>
      </c>
      <c r="E703">
        <f>IF($A703="","",IFERROR(MATCH($C703,$R$2:$R$5,0),0))</f>
        <v/>
      </c>
      <c r="F703">
        <f>IF($A703="","",MOD(ROW(),34))</f>
        <v/>
      </c>
      <c r="G703">
        <f>IF($A703="",NA(),IF($C703="Action",$B703,NA()))</f>
        <v/>
      </c>
      <c r="H703">
        <f>IF($A703="",NA(),IF($C703="Action",1+$F703*0.023,NA()))</f>
        <v/>
      </c>
      <c r="I703">
        <f>IF($A703="",NA(),IF($C703="Strategy",$B703,NA()))</f>
        <v/>
      </c>
      <c r="J703">
        <f>IF($A703="",NA(),IF($C703="Strategy",2+$F703*0.023,NA()))</f>
        <v/>
      </c>
      <c r="K703">
        <f>IF($A703="",NA(),IF($C703="Deckbuilder",$B703,NA()))</f>
        <v/>
      </c>
      <c r="L703">
        <f>IF($A703="",NA(),IF($C703="Deckbuilder",3+$F703*0.023,NA()))</f>
        <v/>
      </c>
      <c r="M703">
        <f>IF($A703="",NA(),IF($C703="Traditional",$B703,NA()))</f>
        <v/>
      </c>
      <c r="N703">
        <f>IF($A703="",NA(),IF($C703="Traditional",4+$F703*0.023,NA()))</f>
        <v/>
      </c>
      <c r="O703">
        <f>IF($A703="","",$D703+ROW()/1000000)</f>
        <v/>
      </c>
      <c r="P703">
        <f>IF(OR($A703="",games!$H703=""),"",games!$H703)</f>
        <v/>
      </c>
      <c r="Q703">
        <f>IF(OR($A703="",$P703&lt;&gt;"Yes"),"",$D703+ROW()/1000000)</f>
        <v/>
      </c>
      <c r="T703">
        <f>IF(connections!$A703="","",IFERROR(INDEX(games!$B$2:$B$950,MATCH(connections!$A703,games!$A$2:$A$950,0)),""))</f>
        <v/>
      </c>
      <c r="U703">
        <f>IF(connections!$A703="","",IFERROR(INDEX(games!$B$2:$B$950,MATCH(connections!$B703,games!$A$2:$A$950,0)),""))</f>
        <v/>
      </c>
      <c r="V703">
        <f>IF(OR($T703="",$U703=""),"",$U703-$T703)</f>
        <v/>
      </c>
    </row>
    <row r="704">
      <c r="A704">
        <f>IF(games!$A704="","",games!$A704)</f>
        <v/>
      </c>
      <c r="B704">
        <f>IF($A704="","",games!$B704)</f>
        <v/>
      </c>
      <c r="C704">
        <f>IF($A704="","",games!$C704)</f>
        <v/>
      </c>
      <c r="D704">
        <f>IF($A704="","",COUNTIF(connections!$A$2:$A$1400,$A704)+COUNTIF(connections!$B$2:$B$1400,$A704))</f>
        <v/>
      </c>
      <c r="E704">
        <f>IF($A704="","",IFERROR(MATCH($C704,$R$2:$R$5,0),0))</f>
        <v/>
      </c>
      <c r="F704">
        <f>IF($A704="","",MOD(ROW(),34))</f>
        <v/>
      </c>
      <c r="G704">
        <f>IF($A704="",NA(),IF($C704="Action",$B704,NA()))</f>
        <v/>
      </c>
      <c r="H704">
        <f>IF($A704="",NA(),IF($C704="Action",1+$F704*0.023,NA()))</f>
        <v/>
      </c>
      <c r="I704">
        <f>IF($A704="",NA(),IF($C704="Strategy",$B704,NA()))</f>
        <v/>
      </c>
      <c r="J704">
        <f>IF($A704="",NA(),IF($C704="Strategy",2+$F704*0.023,NA()))</f>
        <v/>
      </c>
      <c r="K704">
        <f>IF($A704="",NA(),IF($C704="Deckbuilder",$B704,NA()))</f>
        <v/>
      </c>
      <c r="L704">
        <f>IF($A704="",NA(),IF($C704="Deckbuilder",3+$F704*0.023,NA()))</f>
        <v/>
      </c>
      <c r="M704">
        <f>IF($A704="",NA(),IF($C704="Traditional",$B704,NA()))</f>
        <v/>
      </c>
      <c r="N704">
        <f>IF($A704="",NA(),IF($C704="Traditional",4+$F704*0.023,NA()))</f>
        <v/>
      </c>
      <c r="O704">
        <f>IF($A704="","",$D704+ROW()/1000000)</f>
        <v/>
      </c>
      <c r="P704">
        <f>IF(OR($A704="",games!$H704=""),"",games!$H704)</f>
        <v/>
      </c>
      <c r="Q704">
        <f>IF(OR($A704="",$P704&lt;&gt;"Yes"),"",$D704+ROW()/1000000)</f>
        <v/>
      </c>
      <c r="T704">
        <f>IF(connections!$A704="","",IFERROR(INDEX(games!$B$2:$B$950,MATCH(connections!$A704,games!$A$2:$A$950,0)),""))</f>
        <v/>
      </c>
      <c r="U704">
        <f>IF(connections!$A704="","",IFERROR(INDEX(games!$B$2:$B$950,MATCH(connections!$B704,games!$A$2:$A$950,0)),""))</f>
        <v/>
      </c>
      <c r="V704">
        <f>IF(OR($T704="",$U704=""),"",$U704-$T704)</f>
        <v/>
      </c>
    </row>
    <row r="705">
      <c r="A705">
        <f>IF(games!$A705="","",games!$A705)</f>
        <v/>
      </c>
      <c r="B705">
        <f>IF($A705="","",games!$B705)</f>
        <v/>
      </c>
      <c r="C705">
        <f>IF($A705="","",games!$C705)</f>
        <v/>
      </c>
      <c r="D705">
        <f>IF($A705="","",COUNTIF(connections!$A$2:$A$1400,$A705)+COUNTIF(connections!$B$2:$B$1400,$A705))</f>
        <v/>
      </c>
      <c r="E705">
        <f>IF($A705="","",IFERROR(MATCH($C705,$R$2:$R$5,0),0))</f>
        <v/>
      </c>
      <c r="F705">
        <f>IF($A705="","",MOD(ROW(),34))</f>
        <v/>
      </c>
      <c r="G705">
        <f>IF($A705="",NA(),IF($C705="Action",$B705,NA()))</f>
        <v/>
      </c>
      <c r="H705">
        <f>IF($A705="",NA(),IF($C705="Action",1+$F705*0.023,NA()))</f>
        <v/>
      </c>
      <c r="I705">
        <f>IF($A705="",NA(),IF($C705="Strategy",$B705,NA()))</f>
        <v/>
      </c>
      <c r="J705">
        <f>IF($A705="",NA(),IF($C705="Strategy",2+$F705*0.023,NA()))</f>
        <v/>
      </c>
      <c r="K705">
        <f>IF($A705="",NA(),IF($C705="Deckbuilder",$B705,NA()))</f>
        <v/>
      </c>
      <c r="L705">
        <f>IF($A705="",NA(),IF($C705="Deckbuilder",3+$F705*0.023,NA()))</f>
        <v/>
      </c>
      <c r="M705">
        <f>IF($A705="",NA(),IF($C705="Traditional",$B705,NA()))</f>
        <v/>
      </c>
      <c r="N705">
        <f>IF($A705="",NA(),IF($C705="Traditional",4+$F705*0.023,NA()))</f>
        <v/>
      </c>
      <c r="O705">
        <f>IF($A705="","",$D705+ROW()/1000000)</f>
        <v/>
      </c>
      <c r="P705">
        <f>IF(OR($A705="",games!$H705=""),"",games!$H705)</f>
        <v/>
      </c>
      <c r="Q705">
        <f>IF(OR($A705="",$P705&lt;&gt;"Yes"),"",$D705+ROW()/1000000)</f>
        <v/>
      </c>
      <c r="T705">
        <f>IF(connections!$A705="","",IFERROR(INDEX(games!$B$2:$B$950,MATCH(connections!$A705,games!$A$2:$A$950,0)),""))</f>
        <v/>
      </c>
      <c r="U705">
        <f>IF(connections!$A705="","",IFERROR(INDEX(games!$B$2:$B$950,MATCH(connections!$B705,games!$A$2:$A$950,0)),""))</f>
        <v/>
      </c>
      <c r="V705">
        <f>IF(OR($T705="",$U705=""),"",$U705-$T705)</f>
        <v/>
      </c>
    </row>
    <row r="706">
      <c r="A706">
        <f>IF(games!$A706="","",games!$A706)</f>
        <v/>
      </c>
      <c r="B706">
        <f>IF($A706="","",games!$B706)</f>
        <v/>
      </c>
      <c r="C706">
        <f>IF($A706="","",games!$C706)</f>
        <v/>
      </c>
      <c r="D706">
        <f>IF($A706="","",COUNTIF(connections!$A$2:$A$1400,$A706)+COUNTIF(connections!$B$2:$B$1400,$A706))</f>
        <v/>
      </c>
      <c r="E706">
        <f>IF($A706="","",IFERROR(MATCH($C706,$R$2:$R$5,0),0))</f>
        <v/>
      </c>
      <c r="F706">
        <f>IF($A706="","",MOD(ROW(),34))</f>
        <v/>
      </c>
      <c r="G706">
        <f>IF($A706="",NA(),IF($C706="Action",$B706,NA()))</f>
        <v/>
      </c>
      <c r="H706">
        <f>IF($A706="",NA(),IF($C706="Action",1+$F706*0.023,NA()))</f>
        <v/>
      </c>
      <c r="I706">
        <f>IF($A706="",NA(),IF($C706="Strategy",$B706,NA()))</f>
        <v/>
      </c>
      <c r="J706">
        <f>IF($A706="",NA(),IF($C706="Strategy",2+$F706*0.023,NA()))</f>
        <v/>
      </c>
      <c r="K706">
        <f>IF($A706="",NA(),IF($C706="Deckbuilder",$B706,NA()))</f>
        <v/>
      </c>
      <c r="L706">
        <f>IF($A706="",NA(),IF($C706="Deckbuilder",3+$F706*0.023,NA()))</f>
        <v/>
      </c>
      <c r="M706">
        <f>IF($A706="",NA(),IF($C706="Traditional",$B706,NA()))</f>
        <v/>
      </c>
      <c r="N706">
        <f>IF($A706="",NA(),IF($C706="Traditional",4+$F706*0.023,NA()))</f>
        <v/>
      </c>
      <c r="O706">
        <f>IF($A706="","",$D706+ROW()/1000000)</f>
        <v/>
      </c>
      <c r="P706">
        <f>IF(OR($A706="",games!$H706=""),"",games!$H706)</f>
        <v/>
      </c>
      <c r="Q706">
        <f>IF(OR($A706="",$P706&lt;&gt;"Yes"),"",$D706+ROW()/1000000)</f>
        <v/>
      </c>
      <c r="T706">
        <f>IF(connections!$A706="","",IFERROR(INDEX(games!$B$2:$B$950,MATCH(connections!$A706,games!$A$2:$A$950,0)),""))</f>
        <v/>
      </c>
      <c r="U706">
        <f>IF(connections!$A706="","",IFERROR(INDEX(games!$B$2:$B$950,MATCH(connections!$B706,games!$A$2:$A$950,0)),""))</f>
        <v/>
      </c>
      <c r="V706">
        <f>IF(OR($T706="",$U706=""),"",$U706-$T706)</f>
        <v/>
      </c>
    </row>
    <row r="707">
      <c r="A707">
        <f>IF(games!$A707="","",games!$A707)</f>
        <v/>
      </c>
      <c r="B707">
        <f>IF($A707="","",games!$B707)</f>
        <v/>
      </c>
      <c r="C707">
        <f>IF($A707="","",games!$C707)</f>
        <v/>
      </c>
      <c r="D707">
        <f>IF($A707="","",COUNTIF(connections!$A$2:$A$1400,$A707)+COUNTIF(connections!$B$2:$B$1400,$A707))</f>
        <v/>
      </c>
      <c r="E707">
        <f>IF($A707="","",IFERROR(MATCH($C707,$R$2:$R$5,0),0))</f>
        <v/>
      </c>
      <c r="F707">
        <f>IF($A707="","",MOD(ROW(),34))</f>
        <v/>
      </c>
      <c r="G707">
        <f>IF($A707="",NA(),IF($C707="Action",$B707,NA()))</f>
        <v/>
      </c>
      <c r="H707">
        <f>IF($A707="",NA(),IF($C707="Action",1+$F707*0.023,NA()))</f>
        <v/>
      </c>
      <c r="I707">
        <f>IF($A707="",NA(),IF($C707="Strategy",$B707,NA()))</f>
        <v/>
      </c>
      <c r="J707">
        <f>IF($A707="",NA(),IF($C707="Strategy",2+$F707*0.023,NA()))</f>
        <v/>
      </c>
      <c r="K707">
        <f>IF($A707="",NA(),IF($C707="Deckbuilder",$B707,NA()))</f>
        <v/>
      </c>
      <c r="L707">
        <f>IF($A707="",NA(),IF($C707="Deckbuilder",3+$F707*0.023,NA()))</f>
        <v/>
      </c>
      <c r="M707">
        <f>IF($A707="",NA(),IF($C707="Traditional",$B707,NA()))</f>
        <v/>
      </c>
      <c r="N707">
        <f>IF($A707="",NA(),IF($C707="Traditional",4+$F707*0.023,NA()))</f>
        <v/>
      </c>
      <c r="O707">
        <f>IF($A707="","",$D707+ROW()/1000000)</f>
        <v/>
      </c>
      <c r="P707">
        <f>IF(OR($A707="",games!$H707=""),"",games!$H707)</f>
        <v/>
      </c>
      <c r="Q707">
        <f>IF(OR($A707="",$P707&lt;&gt;"Yes"),"",$D707+ROW()/1000000)</f>
        <v/>
      </c>
      <c r="T707">
        <f>IF(connections!$A707="","",IFERROR(INDEX(games!$B$2:$B$950,MATCH(connections!$A707,games!$A$2:$A$950,0)),""))</f>
        <v/>
      </c>
      <c r="U707">
        <f>IF(connections!$A707="","",IFERROR(INDEX(games!$B$2:$B$950,MATCH(connections!$B707,games!$A$2:$A$950,0)),""))</f>
        <v/>
      </c>
      <c r="V707">
        <f>IF(OR($T707="",$U707=""),"",$U707-$T707)</f>
        <v/>
      </c>
    </row>
    <row r="708">
      <c r="A708">
        <f>IF(games!$A708="","",games!$A708)</f>
        <v/>
      </c>
      <c r="B708">
        <f>IF($A708="","",games!$B708)</f>
        <v/>
      </c>
      <c r="C708">
        <f>IF($A708="","",games!$C708)</f>
        <v/>
      </c>
      <c r="D708">
        <f>IF($A708="","",COUNTIF(connections!$A$2:$A$1400,$A708)+COUNTIF(connections!$B$2:$B$1400,$A708))</f>
        <v/>
      </c>
      <c r="E708">
        <f>IF($A708="","",IFERROR(MATCH($C708,$R$2:$R$5,0),0))</f>
        <v/>
      </c>
      <c r="F708">
        <f>IF($A708="","",MOD(ROW(),34))</f>
        <v/>
      </c>
      <c r="G708">
        <f>IF($A708="",NA(),IF($C708="Action",$B708,NA()))</f>
        <v/>
      </c>
      <c r="H708">
        <f>IF($A708="",NA(),IF($C708="Action",1+$F708*0.023,NA()))</f>
        <v/>
      </c>
      <c r="I708">
        <f>IF($A708="",NA(),IF($C708="Strategy",$B708,NA()))</f>
        <v/>
      </c>
      <c r="J708">
        <f>IF($A708="",NA(),IF($C708="Strategy",2+$F708*0.023,NA()))</f>
        <v/>
      </c>
      <c r="K708">
        <f>IF($A708="",NA(),IF($C708="Deckbuilder",$B708,NA()))</f>
        <v/>
      </c>
      <c r="L708">
        <f>IF($A708="",NA(),IF($C708="Deckbuilder",3+$F708*0.023,NA()))</f>
        <v/>
      </c>
      <c r="M708">
        <f>IF($A708="",NA(),IF($C708="Traditional",$B708,NA()))</f>
        <v/>
      </c>
      <c r="N708">
        <f>IF($A708="",NA(),IF($C708="Traditional",4+$F708*0.023,NA()))</f>
        <v/>
      </c>
      <c r="O708">
        <f>IF($A708="","",$D708+ROW()/1000000)</f>
        <v/>
      </c>
      <c r="P708">
        <f>IF(OR($A708="",games!$H708=""),"",games!$H708)</f>
        <v/>
      </c>
      <c r="Q708">
        <f>IF(OR($A708="",$P708&lt;&gt;"Yes"),"",$D708+ROW()/1000000)</f>
        <v/>
      </c>
      <c r="T708">
        <f>IF(connections!$A708="","",IFERROR(INDEX(games!$B$2:$B$950,MATCH(connections!$A708,games!$A$2:$A$950,0)),""))</f>
        <v/>
      </c>
      <c r="U708">
        <f>IF(connections!$A708="","",IFERROR(INDEX(games!$B$2:$B$950,MATCH(connections!$B708,games!$A$2:$A$950,0)),""))</f>
        <v/>
      </c>
      <c r="V708">
        <f>IF(OR($T708="",$U708=""),"",$U708-$T708)</f>
        <v/>
      </c>
    </row>
    <row r="709">
      <c r="A709">
        <f>IF(games!$A709="","",games!$A709)</f>
        <v/>
      </c>
      <c r="B709">
        <f>IF($A709="","",games!$B709)</f>
        <v/>
      </c>
      <c r="C709">
        <f>IF($A709="","",games!$C709)</f>
        <v/>
      </c>
      <c r="D709">
        <f>IF($A709="","",COUNTIF(connections!$A$2:$A$1400,$A709)+COUNTIF(connections!$B$2:$B$1400,$A709))</f>
        <v/>
      </c>
      <c r="E709">
        <f>IF($A709="","",IFERROR(MATCH($C709,$R$2:$R$5,0),0))</f>
        <v/>
      </c>
      <c r="F709">
        <f>IF($A709="","",MOD(ROW(),34))</f>
        <v/>
      </c>
      <c r="G709">
        <f>IF($A709="",NA(),IF($C709="Action",$B709,NA()))</f>
        <v/>
      </c>
      <c r="H709">
        <f>IF($A709="",NA(),IF($C709="Action",1+$F709*0.023,NA()))</f>
        <v/>
      </c>
      <c r="I709">
        <f>IF($A709="",NA(),IF($C709="Strategy",$B709,NA()))</f>
        <v/>
      </c>
      <c r="J709">
        <f>IF($A709="",NA(),IF($C709="Strategy",2+$F709*0.023,NA()))</f>
        <v/>
      </c>
      <c r="K709">
        <f>IF($A709="",NA(),IF($C709="Deckbuilder",$B709,NA()))</f>
        <v/>
      </c>
      <c r="L709">
        <f>IF($A709="",NA(),IF($C709="Deckbuilder",3+$F709*0.023,NA()))</f>
        <v/>
      </c>
      <c r="M709">
        <f>IF($A709="",NA(),IF($C709="Traditional",$B709,NA()))</f>
        <v/>
      </c>
      <c r="N709">
        <f>IF($A709="",NA(),IF($C709="Traditional",4+$F709*0.023,NA()))</f>
        <v/>
      </c>
      <c r="O709">
        <f>IF($A709="","",$D709+ROW()/1000000)</f>
        <v/>
      </c>
      <c r="P709">
        <f>IF(OR($A709="",games!$H709=""),"",games!$H709)</f>
        <v/>
      </c>
      <c r="Q709">
        <f>IF(OR($A709="",$P709&lt;&gt;"Yes"),"",$D709+ROW()/1000000)</f>
        <v/>
      </c>
      <c r="T709">
        <f>IF(connections!$A709="","",IFERROR(INDEX(games!$B$2:$B$950,MATCH(connections!$A709,games!$A$2:$A$950,0)),""))</f>
        <v/>
      </c>
      <c r="U709">
        <f>IF(connections!$A709="","",IFERROR(INDEX(games!$B$2:$B$950,MATCH(connections!$B709,games!$A$2:$A$950,0)),""))</f>
        <v/>
      </c>
      <c r="V709">
        <f>IF(OR($T709="",$U709=""),"",$U709-$T709)</f>
        <v/>
      </c>
    </row>
    <row r="710">
      <c r="A710">
        <f>IF(games!$A710="","",games!$A710)</f>
        <v/>
      </c>
      <c r="B710">
        <f>IF($A710="","",games!$B710)</f>
        <v/>
      </c>
      <c r="C710">
        <f>IF($A710="","",games!$C710)</f>
        <v/>
      </c>
      <c r="D710">
        <f>IF($A710="","",COUNTIF(connections!$A$2:$A$1400,$A710)+COUNTIF(connections!$B$2:$B$1400,$A710))</f>
        <v/>
      </c>
      <c r="E710">
        <f>IF($A710="","",IFERROR(MATCH($C710,$R$2:$R$5,0),0))</f>
        <v/>
      </c>
      <c r="F710">
        <f>IF($A710="","",MOD(ROW(),34))</f>
        <v/>
      </c>
      <c r="G710">
        <f>IF($A710="",NA(),IF($C710="Action",$B710,NA()))</f>
        <v/>
      </c>
      <c r="H710">
        <f>IF($A710="",NA(),IF($C710="Action",1+$F710*0.023,NA()))</f>
        <v/>
      </c>
      <c r="I710">
        <f>IF($A710="",NA(),IF($C710="Strategy",$B710,NA()))</f>
        <v/>
      </c>
      <c r="J710">
        <f>IF($A710="",NA(),IF($C710="Strategy",2+$F710*0.023,NA()))</f>
        <v/>
      </c>
      <c r="K710">
        <f>IF($A710="",NA(),IF($C710="Deckbuilder",$B710,NA()))</f>
        <v/>
      </c>
      <c r="L710">
        <f>IF($A710="",NA(),IF($C710="Deckbuilder",3+$F710*0.023,NA()))</f>
        <v/>
      </c>
      <c r="M710">
        <f>IF($A710="",NA(),IF($C710="Traditional",$B710,NA()))</f>
        <v/>
      </c>
      <c r="N710">
        <f>IF($A710="",NA(),IF($C710="Traditional",4+$F710*0.023,NA()))</f>
        <v/>
      </c>
      <c r="O710">
        <f>IF($A710="","",$D710+ROW()/1000000)</f>
        <v/>
      </c>
      <c r="P710">
        <f>IF(OR($A710="",games!$H710=""),"",games!$H710)</f>
        <v/>
      </c>
      <c r="Q710">
        <f>IF(OR($A710="",$P710&lt;&gt;"Yes"),"",$D710+ROW()/1000000)</f>
        <v/>
      </c>
      <c r="T710">
        <f>IF(connections!$A710="","",IFERROR(INDEX(games!$B$2:$B$950,MATCH(connections!$A710,games!$A$2:$A$950,0)),""))</f>
        <v/>
      </c>
      <c r="U710">
        <f>IF(connections!$A710="","",IFERROR(INDEX(games!$B$2:$B$950,MATCH(connections!$B710,games!$A$2:$A$950,0)),""))</f>
        <v/>
      </c>
      <c r="V710">
        <f>IF(OR($T710="",$U710=""),"",$U710-$T710)</f>
        <v/>
      </c>
    </row>
    <row r="711">
      <c r="A711">
        <f>IF(games!$A711="","",games!$A711)</f>
        <v/>
      </c>
      <c r="B711">
        <f>IF($A711="","",games!$B711)</f>
        <v/>
      </c>
      <c r="C711">
        <f>IF($A711="","",games!$C711)</f>
        <v/>
      </c>
      <c r="D711">
        <f>IF($A711="","",COUNTIF(connections!$A$2:$A$1400,$A711)+COUNTIF(connections!$B$2:$B$1400,$A711))</f>
        <v/>
      </c>
      <c r="E711">
        <f>IF($A711="","",IFERROR(MATCH($C711,$R$2:$R$5,0),0))</f>
        <v/>
      </c>
      <c r="F711">
        <f>IF($A711="","",MOD(ROW(),34))</f>
        <v/>
      </c>
      <c r="G711">
        <f>IF($A711="",NA(),IF($C711="Action",$B711,NA()))</f>
        <v/>
      </c>
      <c r="H711">
        <f>IF($A711="",NA(),IF($C711="Action",1+$F711*0.023,NA()))</f>
        <v/>
      </c>
      <c r="I711">
        <f>IF($A711="",NA(),IF($C711="Strategy",$B711,NA()))</f>
        <v/>
      </c>
      <c r="J711">
        <f>IF($A711="",NA(),IF($C711="Strategy",2+$F711*0.023,NA()))</f>
        <v/>
      </c>
      <c r="K711">
        <f>IF($A711="",NA(),IF($C711="Deckbuilder",$B711,NA()))</f>
        <v/>
      </c>
      <c r="L711">
        <f>IF($A711="",NA(),IF($C711="Deckbuilder",3+$F711*0.023,NA()))</f>
        <v/>
      </c>
      <c r="M711">
        <f>IF($A711="",NA(),IF($C711="Traditional",$B711,NA()))</f>
        <v/>
      </c>
      <c r="N711">
        <f>IF($A711="",NA(),IF($C711="Traditional",4+$F711*0.023,NA()))</f>
        <v/>
      </c>
      <c r="O711">
        <f>IF($A711="","",$D711+ROW()/1000000)</f>
        <v/>
      </c>
      <c r="P711">
        <f>IF(OR($A711="",games!$H711=""),"",games!$H711)</f>
        <v/>
      </c>
      <c r="Q711">
        <f>IF(OR($A711="",$P711&lt;&gt;"Yes"),"",$D711+ROW()/1000000)</f>
        <v/>
      </c>
      <c r="T711">
        <f>IF(connections!$A711="","",IFERROR(INDEX(games!$B$2:$B$950,MATCH(connections!$A711,games!$A$2:$A$950,0)),""))</f>
        <v/>
      </c>
      <c r="U711">
        <f>IF(connections!$A711="","",IFERROR(INDEX(games!$B$2:$B$950,MATCH(connections!$B711,games!$A$2:$A$950,0)),""))</f>
        <v/>
      </c>
      <c r="V711">
        <f>IF(OR($T711="",$U711=""),"",$U711-$T711)</f>
        <v/>
      </c>
    </row>
    <row r="712">
      <c r="A712">
        <f>IF(games!$A712="","",games!$A712)</f>
        <v/>
      </c>
      <c r="B712">
        <f>IF($A712="","",games!$B712)</f>
        <v/>
      </c>
      <c r="C712">
        <f>IF($A712="","",games!$C712)</f>
        <v/>
      </c>
      <c r="D712">
        <f>IF($A712="","",COUNTIF(connections!$A$2:$A$1400,$A712)+COUNTIF(connections!$B$2:$B$1400,$A712))</f>
        <v/>
      </c>
      <c r="E712">
        <f>IF($A712="","",IFERROR(MATCH($C712,$R$2:$R$5,0),0))</f>
        <v/>
      </c>
      <c r="F712">
        <f>IF($A712="","",MOD(ROW(),34))</f>
        <v/>
      </c>
      <c r="G712">
        <f>IF($A712="",NA(),IF($C712="Action",$B712,NA()))</f>
        <v/>
      </c>
      <c r="H712">
        <f>IF($A712="",NA(),IF($C712="Action",1+$F712*0.023,NA()))</f>
        <v/>
      </c>
      <c r="I712">
        <f>IF($A712="",NA(),IF($C712="Strategy",$B712,NA()))</f>
        <v/>
      </c>
      <c r="J712">
        <f>IF($A712="",NA(),IF($C712="Strategy",2+$F712*0.023,NA()))</f>
        <v/>
      </c>
      <c r="K712">
        <f>IF($A712="",NA(),IF($C712="Deckbuilder",$B712,NA()))</f>
        <v/>
      </c>
      <c r="L712">
        <f>IF($A712="",NA(),IF($C712="Deckbuilder",3+$F712*0.023,NA()))</f>
        <v/>
      </c>
      <c r="M712">
        <f>IF($A712="",NA(),IF($C712="Traditional",$B712,NA()))</f>
        <v/>
      </c>
      <c r="N712">
        <f>IF($A712="",NA(),IF($C712="Traditional",4+$F712*0.023,NA()))</f>
        <v/>
      </c>
      <c r="O712">
        <f>IF($A712="","",$D712+ROW()/1000000)</f>
        <v/>
      </c>
      <c r="P712">
        <f>IF(OR($A712="",games!$H712=""),"",games!$H712)</f>
        <v/>
      </c>
      <c r="Q712">
        <f>IF(OR($A712="",$P712&lt;&gt;"Yes"),"",$D712+ROW()/1000000)</f>
        <v/>
      </c>
      <c r="T712">
        <f>IF(connections!$A712="","",IFERROR(INDEX(games!$B$2:$B$950,MATCH(connections!$A712,games!$A$2:$A$950,0)),""))</f>
        <v/>
      </c>
      <c r="U712">
        <f>IF(connections!$A712="","",IFERROR(INDEX(games!$B$2:$B$950,MATCH(connections!$B712,games!$A$2:$A$950,0)),""))</f>
        <v/>
      </c>
      <c r="V712">
        <f>IF(OR($T712="",$U712=""),"",$U712-$T712)</f>
        <v/>
      </c>
    </row>
    <row r="713">
      <c r="A713">
        <f>IF(games!$A713="","",games!$A713)</f>
        <v/>
      </c>
      <c r="B713">
        <f>IF($A713="","",games!$B713)</f>
        <v/>
      </c>
      <c r="C713">
        <f>IF($A713="","",games!$C713)</f>
        <v/>
      </c>
      <c r="D713">
        <f>IF($A713="","",COUNTIF(connections!$A$2:$A$1400,$A713)+COUNTIF(connections!$B$2:$B$1400,$A713))</f>
        <v/>
      </c>
      <c r="E713">
        <f>IF($A713="","",IFERROR(MATCH($C713,$R$2:$R$5,0),0))</f>
        <v/>
      </c>
      <c r="F713">
        <f>IF($A713="","",MOD(ROW(),34))</f>
        <v/>
      </c>
      <c r="G713">
        <f>IF($A713="",NA(),IF($C713="Action",$B713,NA()))</f>
        <v/>
      </c>
      <c r="H713">
        <f>IF($A713="",NA(),IF($C713="Action",1+$F713*0.023,NA()))</f>
        <v/>
      </c>
      <c r="I713">
        <f>IF($A713="",NA(),IF($C713="Strategy",$B713,NA()))</f>
        <v/>
      </c>
      <c r="J713">
        <f>IF($A713="",NA(),IF($C713="Strategy",2+$F713*0.023,NA()))</f>
        <v/>
      </c>
      <c r="K713">
        <f>IF($A713="",NA(),IF($C713="Deckbuilder",$B713,NA()))</f>
        <v/>
      </c>
      <c r="L713">
        <f>IF($A713="",NA(),IF($C713="Deckbuilder",3+$F713*0.023,NA()))</f>
        <v/>
      </c>
      <c r="M713">
        <f>IF($A713="",NA(),IF($C713="Traditional",$B713,NA()))</f>
        <v/>
      </c>
      <c r="N713">
        <f>IF($A713="",NA(),IF($C713="Traditional",4+$F713*0.023,NA()))</f>
        <v/>
      </c>
      <c r="O713">
        <f>IF($A713="","",$D713+ROW()/1000000)</f>
        <v/>
      </c>
      <c r="P713">
        <f>IF(OR($A713="",games!$H713=""),"",games!$H713)</f>
        <v/>
      </c>
      <c r="Q713">
        <f>IF(OR($A713="",$P713&lt;&gt;"Yes"),"",$D713+ROW()/1000000)</f>
        <v/>
      </c>
      <c r="T713">
        <f>IF(connections!$A713="","",IFERROR(INDEX(games!$B$2:$B$950,MATCH(connections!$A713,games!$A$2:$A$950,0)),""))</f>
        <v/>
      </c>
      <c r="U713">
        <f>IF(connections!$A713="","",IFERROR(INDEX(games!$B$2:$B$950,MATCH(connections!$B713,games!$A$2:$A$950,0)),""))</f>
        <v/>
      </c>
      <c r="V713">
        <f>IF(OR($T713="",$U713=""),"",$U713-$T713)</f>
        <v/>
      </c>
    </row>
    <row r="714">
      <c r="A714">
        <f>IF(games!$A714="","",games!$A714)</f>
        <v/>
      </c>
      <c r="B714">
        <f>IF($A714="","",games!$B714)</f>
        <v/>
      </c>
      <c r="C714">
        <f>IF($A714="","",games!$C714)</f>
        <v/>
      </c>
      <c r="D714">
        <f>IF($A714="","",COUNTIF(connections!$A$2:$A$1400,$A714)+COUNTIF(connections!$B$2:$B$1400,$A714))</f>
        <v/>
      </c>
      <c r="E714">
        <f>IF($A714="","",IFERROR(MATCH($C714,$R$2:$R$5,0),0))</f>
        <v/>
      </c>
      <c r="F714">
        <f>IF($A714="","",MOD(ROW(),34))</f>
        <v/>
      </c>
      <c r="G714">
        <f>IF($A714="",NA(),IF($C714="Action",$B714,NA()))</f>
        <v/>
      </c>
      <c r="H714">
        <f>IF($A714="",NA(),IF($C714="Action",1+$F714*0.023,NA()))</f>
        <v/>
      </c>
      <c r="I714">
        <f>IF($A714="",NA(),IF($C714="Strategy",$B714,NA()))</f>
        <v/>
      </c>
      <c r="J714">
        <f>IF($A714="",NA(),IF($C714="Strategy",2+$F714*0.023,NA()))</f>
        <v/>
      </c>
      <c r="K714">
        <f>IF($A714="",NA(),IF($C714="Deckbuilder",$B714,NA()))</f>
        <v/>
      </c>
      <c r="L714">
        <f>IF($A714="",NA(),IF($C714="Deckbuilder",3+$F714*0.023,NA()))</f>
        <v/>
      </c>
      <c r="M714">
        <f>IF($A714="",NA(),IF($C714="Traditional",$B714,NA()))</f>
        <v/>
      </c>
      <c r="N714">
        <f>IF($A714="",NA(),IF($C714="Traditional",4+$F714*0.023,NA()))</f>
        <v/>
      </c>
      <c r="O714">
        <f>IF($A714="","",$D714+ROW()/1000000)</f>
        <v/>
      </c>
      <c r="P714">
        <f>IF(OR($A714="",games!$H714=""),"",games!$H714)</f>
        <v/>
      </c>
      <c r="Q714">
        <f>IF(OR($A714="",$P714&lt;&gt;"Yes"),"",$D714+ROW()/1000000)</f>
        <v/>
      </c>
      <c r="T714">
        <f>IF(connections!$A714="","",IFERROR(INDEX(games!$B$2:$B$950,MATCH(connections!$A714,games!$A$2:$A$950,0)),""))</f>
        <v/>
      </c>
      <c r="U714">
        <f>IF(connections!$A714="","",IFERROR(INDEX(games!$B$2:$B$950,MATCH(connections!$B714,games!$A$2:$A$950,0)),""))</f>
        <v/>
      </c>
      <c r="V714">
        <f>IF(OR($T714="",$U714=""),"",$U714-$T714)</f>
        <v/>
      </c>
    </row>
    <row r="715">
      <c r="A715">
        <f>IF(games!$A715="","",games!$A715)</f>
        <v/>
      </c>
      <c r="B715">
        <f>IF($A715="","",games!$B715)</f>
        <v/>
      </c>
      <c r="C715">
        <f>IF($A715="","",games!$C715)</f>
        <v/>
      </c>
      <c r="D715">
        <f>IF($A715="","",COUNTIF(connections!$A$2:$A$1400,$A715)+COUNTIF(connections!$B$2:$B$1400,$A715))</f>
        <v/>
      </c>
      <c r="E715">
        <f>IF($A715="","",IFERROR(MATCH($C715,$R$2:$R$5,0),0))</f>
        <v/>
      </c>
      <c r="F715">
        <f>IF($A715="","",MOD(ROW(),34))</f>
        <v/>
      </c>
      <c r="G715">
        <f>IF($A715="",NA(),IF($C715="Action",$B715,NA()))</f>
        <v/>
      </c>
      <c r="H715">
        <f>IF($A715="",NA(),IF($C715="Action",1+$F715*0.023,NA()))</f>
        <v/>
      </c>
      <c r="I715">
        <f>IF($A715="",NA(),IF($C715="Strategy",$B715,NA()))</f>
        <v/>
      </c>
      <c r="J715">
        <f>IF($A715="",NA(),IF($C715="Strategy",2+$F715*0.023,NA()))</f>
        <v/>
      </c>
      <c r="K715">
        <f>IF($A715="",NA(),IF($C715="Deckbuilder",$B715,NA()))</f>
        <v/>
      </c>
      <c r="L715">
        <f>IF($A715="",NA(),IF($C715="Deckbuilder",3+$F715*0.023,NA()))</f>
        <v/>
      </c>
      <c r="M715">
        <f>IF($A715="",NA(),IF($C715="Traditional",$B715,NA()))</f>
        <v/>
      </c>
      <c r="N715">
        <f>IF($A715="",NA(),IF($C715="Traditional",4+$F715*0.023,NA()))</f>
        <v/>
      </c>
      <c r="O715">
        <f>IF($A715="","",$D715+ROW()/1000000)</f>
        <v/>
      </c>
      <c r="P715">
        <f>IF(OR($A715="",games!$H715=""),"",games!$H715)</f>
        <v/>
      </c>
      <c r="Q715">
        <f>IF(OR($A715="",$P715&lt;&gt;"Yes"),"",$D715+ROW()/1000000)</f>
        <v/>
      </c>
      <c r="T715">
        <f>IF(connections!$A715="","",IFERROR(INDEX(games!$B$2:$B$950,MATCH(connections!$A715,games!$A$2:$A$950,0)),""))</f>
        <v/>
      </c>
      <c r="U715">
        <f>IF(connections!$A715="","",IFERROR(INDEX(games!$B$2:$B$950,MATCH(connections!$B715,games!$A$2:$A$950,0)),""))</f>
        <v/>
      </c>
      <c r="V715">
        <f>IF(OR($T715="",$U715=""),"",$U715-$T715)</f>
        <v/>
      </c>
    </row>
    <row r="716">
      <c r="A716">
        <f>IF(games!$A716="","",games!$A716)</f>
        <v/>
      </c>
      <c r="B716">
        <f>IF($A716="","",games!$B716)</f>
        <v/>
      </c>
      <c r="C716">
        <f>IF($A716="","",games!$C716)</f>
        <v/>
      </c>
      <c r="D716">
        <f>IF($A716="","",COUNTIF(connections!$A$2:$A$1400,$A716)+COUNTIF(connections!$B$2:$B$1400,$A716))</f>
        <v/>
      </c>
      <c r="E716">
        <f>IF($A716="","",IFERROR(MATCH($C716,$R$2:$R$5,0),0))</f>
        <v/>
      </c>
      <c r="F716">
        <f>IF($A716="","",MOD(ROW(),34))</f>
        <v/>
      </c>
      <c r="G716">
        <f>IF($A716="",NA(),IF($C716="Action",$B716,NA()))</f>
        <v/>
      </c>
      <c r="H716">
        <f>IF($A716="",NA(),IF($C716="Action",1+$F716*0.023,NA()))</f>
        <v/>
      </c>
      <c r="I716">
        <f>IF($A716="",NA(),IF($C716="Strategy",$B716,NA()))</f>
        <v/>
      </c>
      <c r="J716">
        <f>IF($A716="",NA(),IF($C716="Strategy",2+$F716*0.023,NA()))</f>
        <v/>
      </c>
      <c r="K716">
        <f>IF($A716="",NA(),IF($C716="Deckbuilder",$B716,NA()))</f>
        <v/>
      </c>
      <c r="L716">
        <f>IF($A716="",NA(),IF($C716="Deckbuilder",3+$F716*0.023,NA()))</f>
        <v/>
      </c>
      <c r="M716">
        <f>IF($A716="",NA(),IF($C716="Traditional",$B716,NA()))</f>
        <v/>
      </c>
      <c r="N716">
        <f>IF($A716="",NA(),IF($C716="Traditional",4+$F716*0.023,NA()))</f>
        <v/>
      </c>
      <c r="O716">
        <f>IF($A716="","",$D716+ROW()/1000000)</f>
        <v/>
      </c>
      <c r="P716">
        <f>IF(OR($A716="",games!$H716=""),"",games!$H716)</f>
        <v/>
      </c>
      <c r="Q716">
        <f>IF(OR($A716="",$P716&lt;&gt;"Yes"),"",$D716+ROW()/1000000)</f>
        <v/>
      </c>
      <c r="T716">
        <f>IF(connections!$A716="","",IFERROR(INDEX(games!$B$2:$B$950,MATCH(connections!$A716,games!$A$2:$A$950,0)),""))</f>
        <v/>
      </c>
      <c r="U716">
        <f>IF(connections!$A716="","",IFERROR(INDEX(games!$B$2:$B$950,MATCH(connections!$B716,games!$A$2:$A$950,0)),""))</f>
        <v/>
      </c>
      <c r="V716">
        <f>IF(OR($T716="",$U716=""),"",$U716-$T716)</f>
        <v/>
      </c>
    </row>
    <row r="717">
      <c r="A717">
        <f>IF(games!$A717="","",games!$A717)</f>
        <v/>
      </c>
      <c r="B717">
        <f>IF($A717="","",games!$B717)</f>
        <v/>
      </c>
      <c r="C717">
        <f>IF($A717="","",games!$C717)</f>
        <v/>
      </c>
      <c r="D717">
        <f>IF($A717="","",COUNTIF(connections!$A$2:$A$1400,$A717)+COUNTIF(connections!$B$2:$B$1400,$A717))</f>
        <v/>
      </c>
      <c r="E717">
        <f>IF($A717="","",IFERROR(MATCH($C717,$R$2:$R$5,0),0))</f>
        <v/>
      </c>
      <c r="F717">
        <f>IF($A717="","",MOD(ROW(),34))</f>
        <v/>
      </c>
      <c r="G717">
        <f>IF($A717="",NA(),IF($C717="Action",$B717,NA()))</f>
        <v/>
      </c>
      <c r="H717">
        <f>IF($A717="",NA(),IF($C717="Action",1+$F717*0.023,NA()))</f>
        <v/>
      </c>
      <c r="I717">
        <f>IF($A717="",NA(),IF($C717="Strategy",$B717,NA()))</f>
        <v/>
      </c>
      <c r="J717">
        <f>IF($A717="",NA(),IF($C717="Strategy",2+$F717*0.023,NA()))</f>
        <v/>
      </c>
      <c r="K717">
        <f>IF($A717="",NA(),IF($C717="Deckbuilder",$B717,NA()))</f>
        <v/>
      </c>
      <c r="L717">
        <f>IF($A717="",NA(),IF($C717="Deckbuilder",3+$F717*0.023,NA()))</f>
        <v/>
      </c>
      <c r="M717">
        <f>IF($A717="",NA(),IF($C717="Traditional",$B717,NA()))</f>
        <v/>
      </c>
      <c r="N717">
        <f>IF($A717="",NA(),IF($C717="Traditional",4+$F717*0.023,NA()))</f>
        <v/>
      </c>
      <c r="O717">
        <f>IF($A717="","",$D717+ROW()/1000000)</f>
        <v/>
      </c>
      <c r="P717">
        <f>IF(OR($A717="",games!$H717=""),"",games!$H717)</f>
        <v/>
      </c>
      <c r="Q717">
        <f>IF(OR($A717="",$P717&lt;&gt;"Yes"),"",$D717+ROW()/1000000)</f>
        <v/>
      </c>
      <c r="T717">
        <f>IF(connections!$A717="","",IFERROR(INDEX(games!$B$2:$B$950,MATCH(connections!$A717,games!$A$2:$A$950,0)),""))</f>
        <v/>
      </c>
      <c r="U717">
        <f>IF(connections!$A717="","",IFERROR(INDEX(games!$B$2:$B$950,MATCH(connections!$B717,games!$A$2:$A$950,0)),""))</f>
        <v/>
      </c>
      <c r="V717">
        <f>IF(OR($T717="",$U717=""),"",$U717-$T717)</f>
        <v/>
      </c>
    </row>
    <row r="718">
      <c r="A718">
        <f>IF(games!$A718="","",games!$A718)</f>
        <v/>
      </c>
      <c r="B718">
        <f>IF($A718="","",games!$B718)</f>
        <v/>
      </c>
      <c r="C718">
        <f>IF($A718="","",games!$C718)</f>
        <v/>
      </c>
      <c r="D718">
        <f>IF($A718="","",COUNTIF(connections!$A$2:$A$1400,$A718)+COUNTIF(connections!$B$2:$B$1400,$A718))</f>
        <v/>
      </c>
      <c r="E718">
        <f>IF($A718="","",IFERROR(MATCH($C718,$R$2:$R$5,0),0))</f>
        <v/>
      </c>
      <c r="F718">
        <f>IF($A718="","",MOD(ROW(),34))</f>
        <v/>
      </c>
      <c r="G718">
        <f>IF($A718="",NA(),IF($C718="Action",$B718,NA()))</f>
        <v/>
      </c>
      <c r="H718">
        <f>IF($A718="",NA(),IF($C718="Action",1+$F718*0.023,NA()))</f>
        <v/>
      </c>
      <c r="I718">
        <f>IF($A718="",NA(),IF($C718="Strategy",$B718,NA()))</f>
        <v/>
      </c>
      <c r="J718">
        <f>IF($A718="",NA(),IF($C718="Strategy",2+$F718*0.023,NA()))</f>
        <v/>
      </c>
      <c r="K718">
        <f>IF($A718="",NA(),IF($C718="Deckbuilder",$B718,NA()))</f>
        <v/>
      </c>
      <c r="L718">
        <f>IF($A718="",NA(),IF($C718="Deckbuilder",3+$F718*0.023,NA()))</f>
        <v/>
      </c>
      <c r="M718">
        <f>IF($A718="",NA(),IF($C718="Traditional",$B718,NA()))</f>
        <v/>
      </c>
      <c r="N718">
        <f>IF($A718="",NA(),IF($C718="Traditional",4+$F718*0.023,NA()))</f>
        <v/>
      </c>
      <c r="O718">
        <f>IF($A718="","",$D718+ROW()/1000000)</f>
        <v/>
      </c>
      <c r="P718">
        <f>IF(OR($A718="",games!$H718=""),"",games!$H718)</f>
        <v/>
      </c>
      <c r="Q718">
        <f>IF(OR($A718="",$P718&lt;&gt;"Yes"),"",$D718+ROW()/1000000)</f>
        <v/>
      </c>
      <c r="T718">
        <f>IF(connections!$A718="","",IFERROR(INDEX(games!$B$2:$B$950,MATCH(connections!$A718,games!$A$2:$A$950,0)),""))</f>
        <v/>
      </c>
      <c r="U718">
        <f>IF(connections!$A718="","",IFERROR(INDEX(games!$B$2:$B$950,MATCH(connections!$B718,games!$A$2:$A$950,0)),""))</f>
        <v/>
      </c>
      <c r="V718">
        <f>IF(OR($T718="",$U718=""),"",$U718-$T718)</f>
        <v/>
      </c>
    </row>
    <row r="719">
      <c r="A719">
        <f>IF(games!$A719="","",games!$A719)</f>
        <v/>
      </c>
      <c r="B719">
        <f>IF($A719="","",games!$B719)</f>
        <v/>
      </c>
      <c r="C719">
        <f>IF($A719="","",games!$C719)</f>
        <v/>
      </c>
      <c r="D719">
        <f>IF($A719="","",COUNTIF(connections!$A$2:$A$1400,$A719)+COUNTIF(connections!$B$2:$B$1400,$A719))</f>
        <v/>
      </c>
      <c r="E719">
        <f>IF($A719="","",IFERROR(MATCH($C719,$R$2:$R$5,0),0))</f>
        <v/>
      </c>
      <c r="F719">
        <f>IF($A719="","",MOD(ROW(),34))</f>
        <v/>
      </c>
      <c r="G719">
        <f>IF($A719="",NA(),IF($C719="Action",$B719,NA()))</f>
        <v/>
      </c>
      <c r="H719">
        <f>IF($A719="",NA(),IF($C719="Action",1+$F719*0.023,NA()))</f>
        <v/>
      </c>
      <c r="I719">
        <f>IF($A719="",NA(),IF($C719="Strategy",$B719,NA()))</f>
        <v/>
      </c>
      <c r="J719">
        <f>IF($A719="",NA(),IF($C719="Strategy",2+$F719*0.023,NA()))</f>
        <v/>
      </c>
      <c r="K719">
        <f>IF($A719="",NA(),IF($C719="Deckbuilder",$B719,NA()))</f>
        <v/>
      </c>
      <c r="L719">
        <f>IF($A719="",NA(),IF($C719="Deckbuilder",3+$F719*0.023,NA()))</f>
        <v/>
      </c>
      <c r="M719">
        <f>IF($A719="",NA(),IF($C719="Traditional",$B719,NA()))</f>
        <v/>
      </c>
      <c r="N719">
        <f>IF($A719="",NA(),IF($C719="Traditional",4+$F719*0.023,NA()))</f>
        <v/>
      </c>
      <c r="O719">
        <f>IF($A719="","",$D719+ROW()/1000000)</f>
        <v/>
      </c>
      <c r="P719">
        <f>IF(OR($A719="",games!$H719=""),"",games!$H719)</f>
        <v/>
      </c>
      <c r="Q719">
        <f>IF(OR($A719="",$P719&lt;&gt;"Yes"),"",$D719+ROW()/1000000)</f>
        <v/>
      </c>
      <c r="T719">
        <f>IF(connections!$A719="","",IFERROR(INDEX(games!$B$2:$B$950,MATCH(connections!$A719,games!$A$2:$A$950,0)),""))</f>
        <v/>
      </c>
      <c r="U719">
        <f>IF(connections!$A719="","",IFERROR(INDEX(games!$B$2:$B$950,MATCH(connections!$B719,games!$A$2:$A$950,0)),""))</f>
        <v/>
      </c>
      <c r="V719">
        <f>IF(OR($T719="",$U719=""),"",$U719-$T719)</f>
        <v/>
      </c>
    </row>
    <row r="720">
      <c r="A720">
        <f>IF(games!$A720="","",games!$A720)</f>
        <v/>
      </c>
      <c r="B720">
        <f>IF($A720="","",games!$B720)</f>
        <v/>
      </c>
      <c r="C720">
        <f>IF($A720="","",games!$C720)</f>
        <v/>
      </c>
      <c r="D720">
        <f>IF($A720="","",COUNTIF(connections!$A$2:$A$1400,$A720)+COUNTIF(connections!$B$2:$B$1400,$A720))</f>
        <v/>
      </c>
      <c r="E720">
        <f>IF($A720="","",IFERROR(MATCH($C720,$R$2:$R$5,0),0))</f>
        <v/>
      </c>
      <c r="F720">
        <f>IF($A720="","",MOD(ROW(),34))</f>
        <v/>
      </c>
      <c r="G720">
        <f>IF($A720="",NA(),IF($C720="Action",$B720,NA()))</f>
        <v/>
      </c>
      <c r="H720">
        <f>IF($A720="",NA(),IF($C720="Action",1+$F720*0.023,NA()))</f>
        <v/>
      </c>
      <c r="I720">
        <f>IF($A720="",NA(),IF($C720="Strategy",$B720,NA()))</f>
        <v/>
      </c>
      <c r="J720">
        <f>IF($A720="",NA(),IF($C720="Strategy",2+$F720*0.023,NA()))</f>
        <v/>
      </c>
      <c r="K720">
        <f>IF($A720="",NA(),IF($C720="Deckbuilder",$B720,NA()))</f>
        <v/>
      </c>
      <c r="L720">
        <f>IF($A720="",NA(),IF($C720="Deckbuilder",3+$F720*0.023,NA()))</f>
        <v/>
      </c>
      <c r="M720">
        <f>IF($A720="",NA(),IF($C720="Traditional",$B720,NA()))</f>
        <v/>
      </c>
      <c r="N720">
        <f>IF($A720="",NA(),IF($C720="Traditional",4+$F720*0.023,NA()))</f>
        <v/>
      </c>
      <c r="O720">
        <f>IF($A720="","",$D720+ROW()/1000000)</f>
        <v/>
      </c>
      <c r="P720">
        <f>IF(OR($A720="",games!$H720=""),"",games!$H720)</f>
        <v/>
      </c>
      <c r="Q720">
        <f>IF(OR($A720="",$P720&lt;&gt;"Yes"),"",$D720+ROW()/1000000)</f>
        <v/>
      </c>
      <c r="T720">
        <f>IF(connections!$A720="","",IFERROR(INDEX(games!$B$2:$B$950,MATCH(connections!$A720,games!$A$2:$A$950,0)),""))</f>
        <v/>
      </c>
      <c r="U720">
        <f>IF(connections!$A720="","",IFERROR(INDEX(games!$B$2:$B$950,MATCH(connections!$B720,games!$A$2:$A$950,0)),""))</f>
        <v/>
      </c>
      <c r="V720">
        <f>IF(OR($T720="",$U720=""),"",$U720-$T720)</f>
        <v/>
      </c>
    </row>
    <row r="721">
      <c r="A721">
        <f>IF(games!$A721="","",games!$A721)</f>
        <v/>
      </c>
      <c r="B721">
        <f>IF($A721="","",games!$B721)</f>
        <v/>
      </c>
      <c r="C721">
        <f>IF($A721="","",games!$C721)</f>
        <v/>
      </c>
      <c r="D721">
        <f>IF($A721="","",COUNTIF(connections!$A$2:$A$1400,$A721)+COUNTIF(connections!$B$2:$B$1400,$A721))</f>
        <v/>
      </c>
      <c r="E721">
        <f>IF($A721="","",IFERROR(MATCH($C721,$R$2:$R$5,0),0))</f>
        <v/>
      </c>
      <c r="F721">
        <f>IF($A721="","",MOD(ROW(),34))</f>
        <v/>
      </c>
      <c r="G721">
        <f>IF($A721="",NA(),IF($C721="Action",$B721,NA()))</f>
        <v/>
      </c>
      <c r="H721">
        <f>IF($A721="",NA(),IF($C721="Action",1+$F721*0.023,NA()))</f>
        <v/>
      </c>
      <c r="I721">
        <f>IF($A721="",NA(),IF($C721="Strategy",$B721,NA()))</f>
        <v/>
      </c>
      <c r="J721">
        <f>IF($A721="",NA(),IF($C721="Strategy",2+$F721*0.023,NA()))</f>
        <v/>
      </c>
      <c r="K721">
        <f>IF($A721="",NA(),IF($C721="Deckbuilder",$B721,NA()))</f>
        <v/>
      </c>
      <c r="L721">
        <f>IF($A721="",NA(),IF($C721="Deckbuilder",3+$F721*0.023,NA()))</f>
        <v/>
      </c>
      <c r="M721">
        <f>IF($A721="",NA(),IF($C721="Traditional",$B721,NA()))</f>
        <v/>
      </c>
      <c r="N721">
        <f>IF($A721="",NA(),IF($C721="Traditional",4+$F721*0.023,NA()))</f>
        <v/>
      </c>
      <c r="O721">
        <f>IF($A721="","",$D721+ROW()/1000000)</f>
        <v/>
      </c>
      <c r="P721">
        <f>IF(OR($A721="",games!$H721=""),"",games!$H721)</f>
        <v/>
      </c>
      <c r="Q721">
        <f>IF(OR($A721="",$P721&lt;&gt;"Yes"),"",$D721+ROW()/1000000)</f>
        <v/>
      </c>
      <c r="T721">
        <f>IF(connections!$A721="","",IFERROR(INDEX(games!$B$2:$B$950,MATCH(connections!$A721,games!$A$2:$A$950,0)),""))</f>
        <v/>
      </c>
      <c r="U721">
        <f>IF(connections!$A721="","",IFERROR(INDEX(games!$B$2:$B$950,MATCH(connections!$B721,games!$A$2:$A$950,0)),""))</f>
        <v/>
      </c>
      <c r="V721">
        <f>IF(OR($T721="",$U721=""),"",$U721-$T721)</f>
        <v/>
      </c>
    </row>
    <row r="722">
      <c r="A722">
        <f>IF(games!$A722="","",games!$A722)</f>
        <v/>
      </c>
      <c r="B722">
        <f>IF($A722="","",games!$B722)</f>
        <v/>
      </c>
      <c r="C722">
        <f>IF($A722="","",games!$C722)</f>
        <v/>
      </c>
      <c r="D722">
        <f>IF($A722="","",COUNTIF(connections!$A$2:$A$1400,$A722)+COUNTIF(connections!$B$2:$B$1400,$A722))</f>
        <v/>
      </c>
      <c r="E722">
        <f>IF($A722="","",IFERROR(MATCH($C722,$R$2:$R$5,0),0))</f>
        <v/>
      </c>
      <c r="F722">
        <f>IF($A722="","",MOD(ROW(),34))</f>
        <v/>
      </c>
      <c r="G722">
        <f>IF($A722="",NA(),IF($C722="Action",$B722,NA()))</f>
        <v/>
      </c>
      <c r="H722">
        <f>IF($A722="",NA(),IF($C722="Action",1+$F722*0.023,NA()))</f>
        <v/>
      </c>
      <c r="I722">
        <f>IF($A722="",NA(),IF($C722="Strategy",$B722,NA()))</f>
        <v/>
      </c>
      <c r="J722">
        <f>IF($A722="",NA(),IF($C722="Strategy",2+$F722*0.023,NA()))</f>
        <v/>
      </c>
      <c r="K722">
        <f>IF($A722="",NA(),IF($C722="Deckbuilder",$B722,NA()))</f>
        <v/>
      </c>
      <c r="L722">
        <f>IF($A722="",NA(),IF($C722="Deckbuilder",3+$F722*0.023,NA()))</f>
        <v/>
      </c>
      <c r="M722">
        <f>IF($A722="",NA(),IF($C722="Traditional",$B722,NA()))</f>
        <v/>
      </c>
      <c r="N722">
        <f>IF($A722="",NA(),IF($C722="Traditional",4+$F722*0.023,NA()))</f>
        <v/>
      </c>
      <c r="O722">
        <f>IF($A722="","",$D722+ROW()/1000000)</f>
        <v/>
      </c>
      <c r="P722">
        <f>IF(OR($A722="",games!$H722=""),"",games!$H722)</f>
        <v/>
      </c>
      <c r="Q722">
        <f>IF(OR($A722="",$P722&lt;&gt;"Yes"),"",$D722+ROW()/1000000)</f>
        <v/>
      </c>
      <c r="T722">
        <f>IF(connections!$A722="","",IFERROR(INDEX(games!$B$2:$B$950,MATCH(connections!$A722,games!$A$2:$A$950,0)),""))</f>
        <v/>
      </c>
      <c r="U722">
        <f>IF(connections!$A722="","",IFERROR(INDEX(games!$B$2:$B$950,MATCH(connections!$B722,games!$A$2:$A$950,0)),""))</f>
        <v/>
      </c>
      <c r="V722">
        <f>IF(OR($T722="",$U722=""),"",$U722-$T722)</f>
        <v/>
      </c>
    </row>
    <row r="723">
      <c r="A723">
        <f>IF(games!$A723="","",games!$A723)</f>
        <v/>
      </c>
      <c r="B723">
        <f>IF($A723="","",games!$B723)</f>
        <v/>
      </c>
      <c r="C723">
        <f>IF($A723="","",games!$C723)</f>
        <v/>
      </c>
      <c r="D723">
        <f>IF($A723="","",COUNTIF(connections!$A$2:$A$1400,$A723)+COUNTIF(connections!$B$2:$B$1400,$A723))</f>
        <v/>
      </c>
      <c r="E723">
        <f>IF($A723="","",IFERROR(MATCH($C723,$R$2:$R$5,0),0))</f>
        <v/>
      </c>
      <c r="F723">
        <f>IF($A723="","",MOD(ROW(),34))</f>
        <v/>
      </c>
      <c r="G723">
        <f>IF($A723="",NA(),IF($C723="Action",$B723,NA()))</f>
        <v/>
      </c>
      <c r="H723">
        <f>IF($A723="",NA(),IF($C723="Action",1+$F723*0.023,NA()))</f>
        <v/>
      </c>
      <c r="I723">
        <f>IF($A723="",NA(),IF($C723="Strategy",$B723,NA()))</f>
        <v/>
      </c>
      <c r="J723">
        <f>IF($A723="",NA(),IF($C723="Strategy",2+$F723*0.023,NA()))</f>
        <v/>
      </c>
      <c r="K723">
        <f>IF($A723="",NA(),IF($C723="Deckbuilder",$B723,NA()))</f>
        <v/>
      </c>
      <c r="L723">
        <f>IF($A723="",NA(),IF($C723="Deckbuilder",3+$F723*0.023,NA()))</f>
        <v/>
      </c>
      <c r="M723">
        <f>IF($A723="",NA(),IF($C723="Traditional",$B723,NA()))</f>
        <v/>
      </c>
      <c r="N723">
        <f>IF($A723="",NA(),IF($C723="Traditional",4+$F723*0.023,NA()))</f>
        <v/>
      </c>
      <c r="O723">
        <f>IF($A723="","",$D723+ROW()/1000000)</f>
        <v/>
      </c>
      <c r="P723">
        <f>IF(OR($A723="",games!$H723=""),"",games!$H723)</f>
        <v/>
      </c>
      <c r="Q723">
        <f>IF(OR($A723="",$P723&lt;&gt;"Yes"),"",$D723+ROW()/1000000)</f>
        <v/>
      </c>
      <c r="T723">
        <f>IF(connections!$A723="","",IFERROR(INDEX(games!$B$2:$B$950,MATCH(connections!$A723,games!$A$2:$A$950,0)),""))</f>
        <v/>
      </c>
      <c r="U723">
        <f>IF(connections!$A723="","",IFERROR(INDEX(games!$B$2:$B$950,MATCH(connections!$B723,games!$A$2:$A$950,0)),""))</f>
        <v/>
      </c>
      <c r="V723">
        <f>IF(OR($T723="",$U723=""),"",$U723-$T723)</f>
        <v/>
      </c>
    </row>
    <row r="724">
      <c r="A724">
        <f>IF(games!$A724="","",games!$A724)</f>
        <v/>
      </c>
      <c r="B724">
        <f>IF($A724="","",games!$B724)</f>
        <v/>
      </c>
      <c r="C724">
        <f>IF($A724="","",games!$C724)</f>
        <v/>
      </c>
      <c r="D724">
        <f>IF($A724="","",COUNTIF(connections!$A$2:$A$1400,$A724)+COUNTIF(connections!$B$2:$B$1400,$A724))</f>
        <v/>
      </c>
      <c r="E724">
        <f>IF($A724="","",IFERROR(MATCH($C724,$R$2:$R$5,0),0))</f>
        <v/>
      </c>
      <c r="F724">
        <f>IF($A724="","",MOD(ROW(),34))</f>
        <v/>
      </c>
      <c r="G724">
        <f>IF($A724="",NA(),IF($C724="Action",$B724,NA()))</f>
        <v/>
      </c>
      <c r="H724">
        <f>IF($A724="",NA(),IF($C724="Action",1+$F724*0.023,NA()))</f>
        <v/>
      </c>
      <c r="I724">
        <f>IF($A724="",NA(),IF($C724="Strategy",$B724,NA()))</f>
        <v/>
      </c>
      <c r="J724">
        <f>IF($A724="",NA(),IF($C724="Strategy",2+$F724*0.023,NA()))</f>
        <v/>
      </c>
      <c r="K724">
        <f>IF($A724="",NA(),IF($C724="Deckbuilder",$B724,NA()))</f>
        <v/>
      </c>
      <c r="L724">
        <f>IF($A724="",NA(),IF($C724="Deckbuilder",3+$F724*0.023,NA()))</f>
        <v/>
      </c>
      <c r="M724">
        <f>IF($A724="",NA(),IF($C724="Traditional",$B724,NA()))</f>
        <v/>
      </c>
      <c r="N724">
        <f>IF($A724="",NA(),IF($C724="Traditional",4+$F724*0.023,NA()))</f>
        <v/>
      </c>
      <c r="O724">
        <f>IF($A724="","",$D724+ROW()/1000000)</f>
        <v/>
      </c>
      <c r="P724">
        <f>IF(OR($A724="",games!$H724=""),"",games!$H724)</f>
        <v/>
      </c>
      <c r="Q724">
        <f>IF(OR($A724="",$P724&lt;&gt;"Yes"),"",$D724+ROW()/1000000)</f>
        <v/>
      </c>
      <c r="T724">
        <f>IF(connections!$A724="","",IFERROR(INDEX(games!$B$2:$B$950,MATCH(connections!$A724,games!$A$2:$A$950,0)),""))</f>
        <v/>
      </c>
      <c r="U724">
        <f>IF(connections!$A724="","",IFERROR(INDEX(games!$B$2:$B$950,MATCH(connections!$B724,games!$A$2:$A$950,0)),""))</f>
        <v/>
      </c>
      <c r="V724">
        <f>IF(OR($T724="",$U724=""),"",$U724-$T724)</f>
        <v/>
      </c>
    </row>
    <row r="725">
      <c r="A725">
        <f>IF(games!$A725="","",games!$A725)</f>
        <v/>
      </c>
      <c r="B725">
        <f>IF($A725="","",games!$B725)</f>
        <v/>
      </c>
      <c r="C725">
        <f>IF($A725="","",games!$C725)</f>
        <v/>
      </c>
      <c r="D725">
        <f>IF($A725="","",COUNTIF(connections!$A$2:$A$1400,$A725)+COUNTIF(connections!$B$2:$B$1400,$A725))</f>
        <v/>
      </c>
      <c r="E725">
        <f>IF($A725="","",IFERROR(MATCH($C725,$R$2:$R$5,0),0))</f>
        <v/>
      </c>
      <c r="F725">
        <f>IF($A725="","",MOD(ROW(),34))</f>
        <v/>
      </c>
      <c r="G725">
        <f>IF($A725="",NA(),IF($C725="Action",$B725,NA()))</f>
        <v/>
      </c>
      <c r="H725">
        <f>IF($A725="",NA(),IF($C725="Action",1+$F725*0.023,NA()))</f>
        <v/>
      </c>
      <c r="I725">
        <f>IF($A725="",NA(),IF($C725="Strategy",$B725,NA()))</f>
        <v/>
      </c>
      <c r="J725">
        <f>IF($A725="",NA(),IF($C725="Strategy",2+$F725*0.023,NA()))</f>
        <v/>
      </c>
      <c r="K725">
        <f>IF($A725="",NA(),IF($C725="Deckbuilder",$B725,NA()))</f>
        <v/>
      </c>
      <c r="L725">
        <f>IF($A725="",NA(),IF($C725="Deckbuilder",3+$F725*0.023,NA()))</f>
        <v/>
      </c>
      <c r="M725">
        <f>IF($A725="",NA(),IF($C725="Traditional",$B725,NA()))</f>
        <v/>
      </c>
      <c r="N725">
        <f>IF($A725="",NA(),IF($C725="Traditional",4+$F725*0.023,NA()))</f>
        <v/>
      </c>
      <c r="O725">
        <f>IF($A725="","",$D725+ROW()/1000000)</f>
        <v/>
      </c>
      <c r="P725">
        <f>IF(OR($A725="",games!$H725=""),"",games!$H725)</f>
        <v/>
      </c>
      <c r="Q725">
        <f>IF(OR($A725="",$P725&lt;&gt;"Yes"),"",$D725+ROW()/1000000)</f>
        <v/>
      </c>
      <c r="T725">
        <f>IF(connections!$A725="","",IFERROR(INDEX(games!$B$2:$B$950,MATCH(connections!$A725,games!$A$2:$A$950,0)),""))</f>
        <v/>
      </c>
      <c r="U725">
        <f>IF(connections!$A725="","",IFERROR(INDEX(games!$B$2:$B$950,MATCH(connections!$B725,games!$A$2:$A$950,0)),""))</f>
        <v/>
      </c>
      <c r="V725">
        <f>IF(OR($T725="",$U725=""),"",$U725-$T725)</f>
        <v/>
      </c>
    </row>
    <row r="726">
      <c r="A726">
        <f>IF(games!$A726="","",games!$A726)</f>
        <v/>
      </c>
      <c r="B726">
        <f>IF($A726="","",games!$B726)</f>
        <v/>
      </c>
      <c r="C726">
        <f>IF($A726="","",games!$C726)</f>
        <v/>
      </c>
      <c r="D726">
        <f>IF($A726="","",COUNTIF(connections!$A$2:$A$1400,$A726)+COUNTIF(connections!$B$2:$B$1400,$A726))</f>
        <v/>
      </c>
      <c r="E726">
        <f>IF($A726="","",IFERROR(MATCH($C726,$R$2:$R$5,0),0))</f>
        <v/>
      </c>
      <c r="F726">
        <f>IF($A726="","",MOD(ROW(),34))</f>
        <v/>
      </c>
      <c r="G726">
        <f>IF($A726="",NA(),IF($C726="Action",$B726,NA()))</f>
        <v/>
      </c>
      <c r="H726">
        <f>IF($A726="",NA(),IF($C726="Action",1+$F726*0.023,NA()))</f>
        <v/>
      </c>
      <c r="I726">
        <f>IF($A726="",NA(),IF($C726="Strategy",$B726,NA()))</f>
        <v/>
      </c>
      <c r="J726">
        <f>IF($A726="",NA(),IF($C726="Strategy",2+$F726*0.023,NA()))</f>
        <v/>
      </c>
      <c r="K726">
        <f>IF($A726="",NA(),IF($C726="Deckbuilder",$B726,NA()))</f>
        <v/>
      </c>
      <c r="L726">
        <f>IF($A726="",NA(),IF($C726="Deckbuilder",3+$F726*0.023,NA()))</f>
        <v/>
      </c>
      <c r="M726">
        <f>IF($A726="",NA(),IF($C726="Traditional",$B726,NA()))</f>
        <v/>
      </c>
      <c r="N726">
        <f>IF($A726="",NA(),IF($C726="Traditional",4+$F726*0.023,NA()))</f>
        <v/>
      </c>
      <c r="O726">
        <f>IF($A726="","",$D726+ROW()/1000000)</f>
        <v/>
      </c>
      <c r="P726">
        <f>IF(OR($A726="",games!$H726=""),"",games!$H726)</f>
        <v/>
      </c>
      <c r="Q726">
        <f>IF(OR($A726="",$P726&lt;&gt;"Yes"),"",$D726+ROW()/1000000)</f>
        <v/>
      </c>
      <c r="T726">
        <f>IF(connections!$A726="","",IFERROR(INDEX(games!$B$2:$B$950,MATCH(connections!$A726,games!$A$2:$A$950,0)),""))</f>
        <v/>
      </c>
      <c r="U726">
        <f>IF(connections!$A726="","",IFERROR(INDEX(games!$B$2:$B$950,MATCH(connections!$B726,games!$A$2:$A$950,0)),""))</f>
        <v/>
      </c>
      <c r="V726">
        <f>IF(OR($T726="",$U726=""),"",$U726-$T726)</f>
        <v/>
      </c>
    </row>
    <row r="727">
      <c r="A727">
        <f>IF(games!$A727="","",games!$A727)</f>
        <v/>
      </c>
      <c r="B727">
        <f>IF($A727="","",games!$B727)</f>
        <v/>
      </c>
      <c r="C727">
        <f>IF($A727="","",games!$C727)</f>
        <v/>
      </c>
      <c r="D727">
        <f>IF($A727="","",COUNTIF(connections!$A$2:$A$1400,$A727)+COUNTIF(connections!$B$2:$B$1400,$A727))</f>
        <v/>
      </c>
      <c r="E727">
        <f>IF($A727="","",IFERROR(MATCH($C727,$R$2:$R$5,0),0))</f>
        <v/>
      </c>
      <c r="F727">
        <f>IF($A727="","",MOD(ROW(),34))</f>
        <v/>
      </c>
      <c r="G727">
        <f>IF($A727="",NA(),IF($C727="Action",$B727,NA()))</f>
        <v/>
      </c>
      <c r="H727">
        <f>IF($A727="",NA(),IF($C727="Action",1+$F727*0.023,NA()))</f>
        <v/>
      </c>
      <c r="I727">
        <f>IF($A727="",NA(),IF($C727="Strategy",$B727,NA()))</f>
        <v/>
      </c>
      <c r="J727">
        <f>IF($A727="",NA(),IF($C727="Strategy",2+$F727*0.023,NA()))</f>
        <v/>
      </c>
      <c r="K727">
        <f>IF($A727="",NA(),IF($C727="Deckbuilder",$B727,NA()))</f>
        <v/>
      </c>
      <c r="L727">
        <f>IF($A727="",NA(),IF($C727="Deckbuilder",3+$F727*0.023,NA()))</f>
        <v/>
      </c>
      <c r="M727">
        <f>IF($A727="",NA(),IF($C727="Traditional",$B727,NA()))</f>
        <v/>
      </c>
      <c r="N727">
        <f>IF($A727="",NA(),IF($C727="Traditional",4+$F727*0.023,NA()))</f>
        <v/>
      </c>
      <c r="O727">
        <f>IF($A727="","",$D727+ROW()/1000000)</f>
        <v/>
      </c>
      <c r="P727">
        <f>IF(OR($A727="",games!$H727=""),"",games!$H727)</f>
        <v/>
      </c>
      <c r="Q727">
        <f>IF(OR($A727="",$P727&lt;&gt;"Yes"),"",$D727+ROW()/1000000)</f>
        <v/>
      </c>
      <c r="T727">
        <f>IF(connections!$A727="","",IFERROR(INDEX(games!$B$2:$B$950,MATCH(connections!$A727,games!$A$2:$A$950,0)),""))</f>
        <v/>
      </c>
      <c r="U727">
        <f>IF(connections!$A727="","",IFERROR(INDEX(games!$B$2:$B$950,MATCH(connections!$B727,games!$A$2:$A$950,0)),""))</f>
        <v/>
      </c>
      <c r="V727">
        <f>IF(OR($T727="",$U727=""),"",$U727-$T727)</f>
        <v/>
      </c>
    </row>
    <row r="728">
      <c r="A728">
        <f>IF(games!$A728="","",games!$A728)</f>
        <v/>
      </c>
      <c r="B728">
        <f>IF($A728="","",games!$B728)</f>
        <v/>
      </c>
      <c r="C728">
        <f>IF($A728="","",games!$C728)</f>
        <v/>
      </c>
      <c r="D728">
        <f>IF($A728="","",COUNTIF(connections!$A$2:$A$1400,$A728)+COUNTIF(connections!$B$2:$B$1400,$A728))</f>
        <v/>
      </c>
      <c r="E728">
        <f>IF($A728="","",IFERROR(MATCH($C728,$R$2:$R$5,0),0))</f>
        <v/>
      </c>
      <c r="F728">
        <f>IF($A728="","",MOD(ROW(),34))</f>
        <v/>
      </c>
      <c r="G728">
        <f>IF($A728="",NA(),IF($C728="Action",$B728,NA()))</f>
        <v/>
      </c>
      <c r="H728">
        <f>IF($A728="",NA(),IF($C728="Action",1+$F728*0.023,NA()))</f>
        <v/>
      </c>
      <c r="I728">
        <f>IF($A728="",NA(),IF($C728="Strategy",$B728,NA()))</f>
        <v/>
      </c>
      <c r="J728">
        <f>IF($A728="",NA(),IF($C728="Strategy",2+$F728*0.023,NA()))</f>
        <v/>
      </c>
      <c r="K728">
        <f>IF($A728="",NA(),IF($C728="Deckbuilder",$B728,NA()))</f>
        <v/>
      </c>
      <c r="L728">
        <f>IF($A728="",NA(),IF($C728="Deckbuilder",3+$F728*0.023,NA()))</f>
        <v/>
      </c>
      <c r="M728">
        <f>IF($A728="",NA(),IF($C728="Traditional",$B728,NA()))</f>
        <v/>
      </c>
      <c r="N728">
        <f>IF($A728="",NA(),IF($C728="Traditional",4+$F728*0.023,NA()))</f>
        <v/>
      </c>
      <c r="O728">
        <f>IF($A728="","",$D728+ROW()/1000000)</f>
        <v/>
      </c>
      <c r="P728">
        <f>IF(OR($A728="",games!$H728=""),"",games!$H728)</f>
        <v/>
      </c>
      <c r="Q728">
        <f>IF(OR($A728="",$P728&lt;&gt;"Yes"),"",$D728+ROW()/1000000)</f>
        <v/>
      </c>
      <c r="T728">
        <f>IF(connections!$A728="","",IFERROR(INDEX(games!$B$2:$B$950,MATCH(connections!$A728,games!$A$2:$A$950,0)),""))</f>
        <v/>
      </c>
      <c r="U728">
        <f>IF(connections!$A728="","",IFERROR(INDEX(games!$B$2:$B$950,MATCH(connections!$B728,games!$A$2:$A$950,0)),""))</f>
        <v/>
      </c>
      <c r="V728">
        <f>IF(OR($T728="",$U728=""),"",$U728-$T728)</f>
        <v/>
      </c>
    </row>
    <row r="729">
      <c r="A729">
        <f>IF(games!$A729="","",games!$A729)</f>
        <v/>
      </c>
      <c r="B729">
        <f>IF($A729="","",games!$B729)</f>
        <v/>
      </c>
      <c r="C729">
        <f>IF($A729="","",games!$C729)</f>
        <v/>
      </c>
      <c r="D729">
        <f>IF($A729="","",COUNTIF(connections!$A$2:$A$1400,$A729)+COUNTIF(connections!$B$2:$B$1400,$A729))</f>
        <v/>
      </c>
      <c r="E729">
        <f>IF($A729="","",IFERROR(MATCH($C729,$R$2:$R$5,0),0))</f>
        <v/>
      </c>
      <c r="F729">
        <f>IF($A729="","",MOD(ROW(),34))</f>
        <v/>
      </c>
      <c r="G729">
        <f>IF($A729="",NA(),IF($C729="Action",$B729,NA()))</f>
        <v/>
      </c>
      <c r="H729">
        <f>IF($A729="",NA(),IF($C729="Action",1+$F729*0.023,NA()))</f>
        <v/>
      </c>
      <c r="I729">
        <f>IF($A729="",NA(),IF($C729="Strategy",$B729,NA()))</f>
        <v/>
      </c>
      <c r="J729">
        <f>IF($A729="",NA(),IF($C729="Strategy",2+$F729*0.023,NA()))</f>
        <v/>
      </c>
      <c r="K729">
        <f>IF($A729="",NA(),IF($C729="Deckbuilder",$B729,NA()))</f>
        <v/>
      </c>
      <c r="L729">
        <f>IF($A729="",NA(),IF($C729="Deckbuilder",3+$F729*0.023,NA()))</f>
        <v/>
      </c>
      <c r="M729">
        <f>IF($A729="",NA(),IF($C729="Traditional",$B729,NA()))</f>
        <v/>
      </c>
      <c r="N729">
        <f>IF($A729="",NA(),IF($C729="Traditional",4+$F729*0.023,NA()))</f>
        <v/>
      </c>
      <c r="O729">
        <f>IF($A729="","",$D729+ROW()/1000000)</f>
        <v/>
      </c>
      <c r="P729">
        <f>IF(OR($A729="",games!$H729=""),"",games!$H729)</f>
        <v/>
      </c>
      <c r="Q729">
        <f>IF(OR($A729="",$P729&lt;&gt;"Yes"),"",$D729+ROW()/1000000)</f>
        <v/>
      </c>
      <c r="T729">
        <f>IF(connections!$A729="","",IFERROR(INDEX(games!$B$2:$B$950,MATCH(connections!$A729,games!$A$2:$A$950,0)),""))</f>
        <v/>
      </c>
      <c r="U729">
        <f>IF(connections!$A729="","",IFERROR(INDEX(games!$B$2:$B$950,MATCH(connections!$B729,games!$A$2:$A$950,0)),""))</f>
        <v/>
      </c>
      <c r="V729">
        <f>IF(OR($T729="",$U729=""),"",$U729-$T729)</f>
        <v/>
      </c>
    </row>
    <row r="730">
      <c r="A730">
        <f>IF(games!$A730="","",games!$A730)</f>
        <v/>
      </c>
      <c r="B730">
        <f>IF($A730="","",games!$B730)</f>
        <v/>
      </c>
      <c r="C730">
        <f>IF($A730="","",games!$C730)</f>
        <v/>
      </c>
      <c r="D730">
        <f>IF($A730="","",COUNTIF(connections!$A$2:$A$1400,$A730)+COUNTIF(connections!$B$2:$B$1400,$A730))</f>
        <v/>
      </c>
      <c r="E730">
        <f>IF($A730="","",IFERROR(MATCH($C730,$R$2:$R$5,0),0))</f>
        <v/>
      </c>
      <c r="F730">
        <f>IF($A730="","",MOD(ROW(),34))</f>
        <v/>
      </c>
      <c r="G730">
        <f>IF($A730="",NA(),IF($C730="Action",$B730,NA()))</f>
        <v/>
      </c>
      <c r="H730">
        <f>IF($A730="",NA(),IF($C730="Action",1+$F730*0.023,NA()))</f>
        <v/>
      </c>
      <c r="I730">
        <f>IF($A730="",NA(),IF($C730="Strategy",$B730,NA()))</f>
        <v/>
      </c>
      <c r="J730">
        <f>IF($A730="",NA(),IF($C730="Strategy",2+$F730*0.023,NA()))</f>
        <v/>
      </c>
      <c r="K730">
        <f>IF($A730="",NA(),IF($C730="Deckbuilder",$B730,NA()))</f>
        <v/>
      </c>
      <c r="L730">
        <f>IF($A730="",NA(),IF($C730="Deckbuilder",3+$F730*0.023,NA()))</f>
        <v/>
      </c>
      <c r="M730">
        <f>IF($A730="",NA(),IF($C730="Traditional",$B730,NA()))</f>
        <v/>
      </c>
      <c r="N730">
        <f>IF($A730="",NA(),IF($C730="Traditional",4+$F730*0.023,NA()))</f>
        <v/>
      </c>
      <c r="O730">
        <f>IF($A730="","",$D730+ROW()/1000000)</f>
        <v/>
      </c>
      <c r="P730">
        <f>IF(OR($A730="",games!$H730=""),"",games!$H730)</f>
        <v/>
      </c>
      <c r="Q730">
        <f>IF(OR($A730="",$P730&lt;&gt;"Yes"),"",$D730+ROW()/1000000)</f>
        <v/>
      </c>
      <c r="T730">
        <f>IF(connections!$A730="","",IFERROR(INDEX(games!$B$2:$B$950,MATCH(connections!$A730,games!$A$2:$A$950,0)),""))</f>
        <v/>
      </c>
      <c r="U730">
        <f>IF(connections!$A730="","",IFERROR(INDEX(games!$B$2:$B$950,MATCH(connections!$B730,games!$A$2:$A$950,0)),""))</f>
        <v/>
      </c>
      <c r="V730">
        <f>IF(OR($T730="",$U730=""),"",$U730-$T730)</f>
        <v/>
      </c>
    </row>
    <row r="731">
      <c r="A731">
        <f>IF(games!$A731="","",games!$A731)</f>
        <v/>
      </c>
      <c r="B731">
        <f>IF($A731="","",games!$B731)</f>
        <v/>
      </c>
      <c r="C731">
        <f>IF($A731="","",games!$C731)</f>
        <v/>
      </c>
      <c r="D731">
        <f>IF($A731="","",COUNTIF(connections!$A$2:$A$1400,$A731)+COUNTIF(connections!$B$2:$B$1400,$A731))</f>
        <v/>
      </c>
      <c r="E731">
        <f>IF($A731="","",IFERROR(MATCH($C731,$R$2:$R$5,0),0))</f>
        <v/>
      </c>
      <c r="F731">
        <f>IF($A731="","",MOD(ROW(),34))</f>
        <v/>
      </c>
      <c r="G731">
        <f>IF($A731="",NA(),IF($C731="Action",$B731,NA()))</f>
        <v/>
      </c>
      <c r="H731">
        <f>IF($A731="",NA(),IF($C731="Action",1+$F731*0.023,NA()))</f>
        <v/>
      </c>
      <c r="I731">
        <f>IF($A731="",NA(),IF($C731="Strategy",$B731,NA()))</f>
        <v/>
      </c>
      <c r="J731">
        <f>IF($A731="",NA(),IF($C731="Strategy",2+$F731*0.023,NA()))</f>
        <v/>
      </c>
      <c r="K731">
        <f>IF($A731="",NA(),IF($C731="Deckbuilder",$B731,NA()))</f>
        <v/>
      </c>
      <c r="L731">
        <f>IF($A731="",NA(),IF($C731="Deckbuilder",3+$F731*0.023,NA()))</f>
        <v/>
      </c>
      <c r="M731">
        <f>IF($A731="",NA(),IF($C731="Traditional",$B731,NA()))</f>
        <v/>
      </c>
      <c r="N731">
        <f>IF($A731="",NA(),IF($C731="Traditional",4+$F731*0.023,NA()))</f>
        <v/>
      </c>
      <c r="O731">
        <f>IF($A731="","",$D731+ROW()/1000000)</f>
        <v/>
      </c>
      <c r="P731">
        <f>IF(OR($A731="",games!$H731=""),"",games!$H731)</f>
        <v/>
      </c>
      <c r="Q731">
        <f>IF(OR($A731="",$P731&lt;&gt;"Yes"),"",$D731+ROW()/1000000)</f>
        <v/>
      </c>
      <c r="T731">
        <f>IF(connections!$A731="","",IFERROR(INDEX(games!$B$2:$B$950,MATCH(connections!$A731,games!$A$2:$A$950,0)),""))</f>
        <v/>
      </c>
      <c r="U731">
        <f>IF(connections!$A731="","",IFERROR(INDEX(games!$B$2:$B$950,MATCH(connections!$B731,games!$A$2:$A$950,0)),""))</f>
        <v/>
      </c>
      <c r="V731">
        <f>IF(OR($T731="",$U731=""),"",$U731-$T731)</f>
        <v/>
      </c>
    </row>
    <row r="732">
      <c r="A732">
        <f>IF(games!$A732="","",games!$A732)</f>
        <v/>
      </c>
      <c r="B732">
        <f>IF($A732="","",games!$B732)</f>
        <v/>
      </c>
      <c r="C732">
        <f>IF($A732="","",games!$C732)</f>
        <v/>
      </c>
      <c r="D732">
        <f>IF($A732="","",COUNTIF(connections!$A$2:$A$1400,$A732)+COUNTIF(connections!$B$2:$B$1400,$A732))</f>
        <v/>
      </c>
      <c r="E732">
        <f>IF($A732="","",IFERROR(MATCH($C732,$R$2:$R$5,0),0))</f>
        <v/>
      </c>
      <c r="F732">
        <f>IF($A732="","",MOD(ROW(),34))</f>
        <v/>
      </c>
      <c r="G732">
        <f>IF($A732="",NA(),IF($C732="Action",$B732,NA()))</f>
        <v/>
      </c>
      <c r="H732">
        <f>IF($A732="",NA(),IF($C732="Action",1+$F732*0.023,NA()))</f>
        <v/>
      </c>
      <c r="I732">
        <f>IF($A732="",NA(),IF($C732="Strategy",$B732,NA()))</f>
        <v/>
      </c>
      <c r="J732">
        <f>IF($A732="",NA(),IF($C732="Strategy",2+$F732*0.023,NA()))</f>
        <v/>
      </c>
      <c r="K732">
        <f>IF($A732="",NA(),IF($C732="Deckbuilder",$B732,NA()))</f>
        <v/>
      </c>
      <c r="L732">
        <f>IF($A732="",NA(),IF($C732="Deckbuilder",3+$F732*0.023,NA()))</f>
        <v/>
      </c>
      <c r="M732">
        <f>IF($A732="",NA(),IF($C732="Traditional",$B732,NA()))</f>
        <v/>
      </c>
      <c r="N732">
        <f>IF($A732="",NA(),IF($C732="Traditional",4+$F732*0.023,NA()))</f>
        <v/>
      </c>
      <c r="O732">
        <f>IF($A732="","",$D732+ROW()/1000000)</f>
        <v/>
      </c>
      <c r="P732">
        <f>IF(OR($A732="",games!$H732=""),"",games!$H732)</f>
        <v/>
      </c>
      <c r="Q732">
        <f>IF(OR($A732="",$P732&lt;&gt;"Yes"),"",$D732+ROW()/1000000)</f>
        <v/>
      </c>
      <c r="T732">
        <f>IF(connections!$A732="","",IFERROR(INDEX(games!$B$2:$B$950,MATCH(connections!$A732,games!$A$2:$A$950,0)),""))</f>
        <v/>
      </c>
      <c r="U732">
        <f>IF(connections!$A732="","",IFERROR(INDEX(games!$B$2:$B$950,MATCH(connections!$B732,games!$A$2:$A$950,0)),""))</f>
        <v/>
      </c>
      <c r="V732">
        <f>IF(OR($T732="",$U732=""),"",$U732-$T732)</f>
        <v/>
      </c>
    </row>
    <row r="733">
      <c r="A733">
        <f>IF(games!$A733="","",games!$A733)</f>
        <v/>
      </c>
      <c r="B733">
        <f>IF($A733="","",games!$B733)</f>
        <v/>
      </c>
      <c r="C733">
        <f>IF($A733="","",games!$C733)</f>
        <v/>
      </c>
      <c r="D733">
        <f>IF($A733="","",COUNTIF(connections!$A$2:$A$1400,$A733)+COUNTIF(connections!$B$2:$B$1400,$A733))</f>
        <v/>
      </c>
      <c r="E733">
        <f>IF($A733="","",IFERROR(MATCH($C733,$R$2:$R$5,0),0))</f>
        <v/>
      </c>
      <c r="F733">
        <f>IF($A733="","",MOD(ROW(),34))</f>
        <v/>
      </c>
      <c r="G733">
        <f>IF($A733="",NA(),IF($C733="Action",$B733,NA()))</f>
        <v/>
      </c>
      <c r="H733">
        <f>IF($A733="",NA(),IF($C733="Action",1+$F733*0.023,NA()))</f>
        <v/>
      </c>
      <c r="I733">
        <f>IF($A733="",NA(),IF($C733="Strategy",$B733,NA()))</f>
        <v/>
      </c>
      <c r="J733">
        <f>IF($A733="",NA(),IF($C733="Strategy",2+$F733*0.023,NA()))</f>
        <v/>
      </c>
      <c r="K733">
        <f>IF($A733="",NA(),IF($C733="Deckbuilder",$B733,NA()))</f>
        <v/>
      </c>
      <c r="L733">
        <f>IF($A733="",NA(),IF($C733="Deckbuilder",3+$F733*0.023,NA()))</f>
        <v/>
      </c>
      <c r="M733">
        <f>IF($A733="",NA(),IF($C733="Traditional",$B733,NA()))</f>
        <v/>
      </c>
      <c r="N733">
        <f>IF($A733="",NA(),IF($C733="Traditional",4+$F733*0.023,NA()))</f>
        <v/>
      </c>
      <c r="O733">
        <f>IF($A733="","",$D733+ROW()/1000000)</f>
        <v/>
      </c>
      <c r="P733">
        <f>IF(OR($A733="",games!$H733=""),"",games!$H733)</f>
        <v/>
      </c>
      <c r="Q733">
        <f>IF(OR($A733="",$P733&lt;&gt;"Yes"),"",$D733+ROW()/1000000)</f>
        <v/>
      </c>
      <c r="T733">
        <f>IF(connections!$A733="","",IFERROR(INDEX(games!$B$2:$B$950,MATCH(connections!$A733,games!$A$2:$A$950,0)),""))</f>
        <v/>
      </c>
      <c r="U733">
        <f>IF(connections!$A733="","",IFERROR(INDEX(games!$B$2:$B$950,MATCH(connections!$B733,games!$A$2:$A$950,0)),""))</f>
        <v/>
      </c>
      <c r="V733">
        <f>IF(OR($T733="",$U733=""),"",$U733-$T733)</f>
        <v/>
      </c>
    </row>
    <row r="734">
      <c r="A734">
        <f>IF(games!$A734="","",games!$A734)</f>
        <v/>
      </c>
      <c r="B734">
        <f>IF($A734="","",games!$B734)</f>
        <v/>
      </c>
      <c r="C734">
        <f>IF($A734="","",games!$C734)</f>
        <v/>
      </c>
      <c r="D734">
        <f>IF($A734="","",COUNTIF(connections!$A$2:$A$1400,$A734)+COUNTIF(connections!$B$2:$B$1400,$A734))</f>
        <v/>
      </c>
      <c r="E734">
        <f>IF($A734="","",IFERROR(MATCH($C734,$R$2:$R$5,0),0))</f>
        <v/>
      </c>
      <c r="F734">
        <f>IF($A734="","",MOD(ROW(),34))</f>
        <v/>
      </c>
      <c r="G734">
        <f>IF($A734="",NA(),IF($C734="Action",$B734,NA()))</f>
        <v/>
      </c>
      <c r="H734">
        <f>IF($A734="",NA(),IF($C734="Action",1+$F734*0.023,NA()))</f>
        <v/>
      </c>
      <c r="I734">
        <f>IF($A734="",NA(),IF($C734="Strategy",$B734,NA()))</f>
        <v/>
      </c>
      <c r="J734">
        <f>IF($A734="",NA(),IF($C734="Strategy",2+$F734*0.023,NA()))</f>
        <v/>
      </c>
      <c r="K734">
        <f>IF($A734="",NA(),IF($C734="Deckbuilder",$B734,NA()))</f>
        <v/>
      </c>
      <c r="L734">
        <f>IF($A734="",NA(),IF($C734="Deckbuilder",3+$F734*0.023,NA()))</f>
        <v/>
      </c>
      <c r="M734">
        <f>IF($A734="",NA(),IF($C734="Traditional",$B734,NA()))</f>
        <v/>
      </c>
      <c r="N734">
        <f>IF($A734="",NA(),IF($C734="Traditional",4+$F734*0.023,NA()))</f>
        <v/>
      </c>
      <c r="O734">
        <f>IF($A734="","",$D734+ROW()/1000000)</f>
        <v/>
      </c>
      <c r="P734">
        <f>IF(OR($A734="",games!$H734=""),"",games!$H734)</f>
        <v/>
      </c>
      <c r="Q734">
        <f>IF(OR($A734="",$P734&lt;&gt;"Yes"),"",$D734+ROW()/1000000)</f>
        <v/>
      </c>
      <c r="T734">
        <f>IF(connections!$A734="","",IFERROR(INDEX(games!$B$2:$B$950,MATCH(connections!$A734,games!$A$2:$A$950,0)),""))</f>
        <v/>
      </c>
      <c r="U734">
        <f>IF(connections!$A734="","",IFERROR(INDEX(games!$B$2:$B$950,MATCH(connections!$B734,games!$A$2:$A$950,0)),""))</f>
        <v/>
      </c>
      <c r="V734">
        <f>IF(OR($T734="",$U734=""),"",$U734-$T734)</f>
        <v/>
      </c>
    </row>
    <row r="735">
      <c r="A735">
        <f>IF(games!$A735="","",games!$A735)</f>
        <v/>
      </c>
      <c r="B735">
        <f>IF($A735="","",games!$B735)</f>
        <v/>
      </c>
      <c r="C735">
        <f>IF($A735="","",games!$C735)</f>
        <v/>
      </c>
      <c r="D735">
        <f>IF($A735="","",COUNTIF(connections!$A$2:$A$1400,$A735)+COUNTIF(connections!$B$2:$B$1400,$A735))</f>
        <v/>
      </c>
      <c r="E735">
        <f>IF($A735="","",IFERROR(MATCH($C735,$R$2:$R$5,0),0))</f>
        <v/>
      </c>
      <c r="F735">
        <f>IF($A735="","",MOD(ROW(),34))</f>
        <v/>
      </c>
      <c r="G735">
        <f>IF($A735="",NA(),IF($C735="Action",$B735,NA()))</f>
        <v/>
      </c>
      <c r="H735">
        <f>IF($A735="",NA(),IF($C735="Action",1+$F735*0.023,NA()))</f>
        <v/>
      </c>
      <c r="I735">
        <f>IF($A735="",NA(),IF($C735="Strategy",$B735,NA()))</f>
        <v/>
      </c>
      <c r="J735">
        <f>IF($A735="",NA(),IF($C735="Strategy",2+$F735*0.023,NA()))</f>
        <v/>
      </c>
      <c r="K735">
        <f>IF($A735="",NA(),IF($C735="Deckbuilder",$B735,NA()))</f>
        <v/>
      </c>
      <c r="L735">
        <f>IF($A735="",NA(),IF($C735="Deckbuilder",3+$F735*0.023,NA()))</f>
        <v/>
      </c>
      <c r="M735">
        <f>IF($A735="",NA(),IF($C735="Traditional",$B735,NA()))</f>
        <v/>
      </c>
      <c r="N735">
        <f>IF($A735="",NA(),IF($C735="Traditional",4+$F735*0.023,NA()))</f>
        <v/>
      </c>
      <c r="O735">
        <f>IF($A735="","",$D735+ROW()/1000000)</f>
        <v/>
      </c>
      <c r="P735">
        <f>IF(OR($A735="",games!$H735=""),"",games!$H735)</f>
        <v/>
      </c>
      <c r="Q735">
        <f>IF(OR($A735="",$P735&lt;&gt;"Yes"),"",$D735+ROW()/1000000)</f>
        <v/>
      </c>
      <c r="T735">
        <f>IF(connections!$A735="","",IFERROR(INDEX(games!$B$2:$B$950,MATCH(connections!$A735,games!$A$2:$A$950,0)),""))</f>
        <v/>
      </c>
      <c r="U735">
        <f>IF(connections!$A735="","",IFERROR(INDEX(games!$B$2:$B$950,MATCH(connections!$B735,games!$A$2:$A$950,0)),""))</f>
        <v/>
      </c>
      <c r="V735">
        <f>IF(OR($T735="",$U735=""),"",$U735-$T735)</f>
        <v/>
      </c>
    </row>
    <row r="736">
      <c r="A736">
        <f>IF(games!$A736="","",games!$A736)</f>
        <v/>
      </c>
      <c r="B736">
        <f>IF($A736="","",games!$B736)</f>
        <v/>
      </c>
      <c r="C736">
        <f>IF($A736="","",games!$C736)</f>
        <v/>
      </c>
      <c r="D736">
        <f>IF($A736="","",COUNTIF(connections!$A$2:$A$1400,$A736)+COUNTIF(connections!$B$2:$B$1400,$A736))</f>
        <v/>
      </c>
      <c r="E736">
        <f>IF($A736="","",IFERROR(MATCH($C736,$R$2:$R$5,0),0))</f>
        <v/>
      </c>
      <c r="F736">
        <f>IF($A736="","",MOD(ROW(),34))</f>
        <v/>
      </c>
      <c r="G736">
        <f>IF($A736="",NA(),IF($C736="Action",$B736,NA()))</f>
        <v/>
      </c>
      <c r="H736">
        <f>IF($A736="",NA(),IF($C736="Action",1+$F736*0.023,NA()))</f>
        <v/>
      </c>
      <c r="I736">
        <f>IF($A736="",NA(),IF($C736="Strategy",$B736,NA()))</f>
        <v/>
      </c>
      <c r="J736">
        <f>IF($A736="",NA(),IF($C736="Strategy",2+$F736*0.023,NA()))</f>
        <v/>
      </c>
      <c r="K736">
        <f>IF($A736="",NA(),IF($C736="Deckbuilder",$B736,NA()))</f>
        <v/>
      </c>
      <c r="L736">
        <f>IF($A736="",NA(),IF($C736="Deckbuilder",3+$F736*0.023,NA()))</f>
        <v/>
      </c>
      <c r="M736">
        <f>IF($A736="",NA(),IF($C736="Traditional",$B736,NA()))</f>
        <v/>
      </c>
      <c r="N736">
        <f>IF($A736="",NA(),IF($C736="Traditional",4+$F736*0.023,NA()))</f>
        <v/>
      </c>
      <c r="O736">
        <f>IF($A736="","",$D736+ROW()/1000000)</f>
        <v/>
      </c>
      <c r="P736">
        <f>IF(OR($A736="",games!$H736=""),"",games!$H736)</f>
        <v/>
      </c>
      <c r="Q736">
        <f>IF(OR($A736="",$P736&lt;&gt;"Yes"),"",$D736+ROW()/1000000)</f>
        <v/>
      </c>
      <c r="T736">
        <f>IF(connections!$A736="","",IFERROR(INDEX(games!$B$2:$B$950,MATCH(connections!$A736,games!$A$2:$A$950,0)),""))</f>
        <v/>
      </c>
      <c r="U736">
        <f>IF(connections!$A736="","",IFERROR(INDEX(games!$B$2:$B$950,MATCH(connections!$B736,games!$A$2:$A$950,0)),""))</f>
        <v/>
      </c>
      <c r="V736">
        <f>IF(OR($T736="",$U736=""),"",$U736-$T736)</f>
        <v/>
      </c>
    </row>
    <row r="737">
      <c r="A737">
        <f>IF(games!$A737="","",games!$A737)</f>
        <v/>
      </c>
      <c r="B737">
        <f>IF($A737="","",games!$B737)</f>
        <v/>
      </c>
      <c r="C737">
        <f>IF($A737="","",games!$C737)</f>
        <v/>
      </c>
      <c r="D737">
        <f>IF($A737="","",COUNTIF(connections!$A$2:$A$1400,$A737)+COUNTIF(connections!$B$2:$B$1400,$A737))</f>
        <v/>
      </c>
      <c r="E737">
        <f>IF($A737="","",IFERROR(MATCH($C737,$R$2:$R$5,0),0))</f>
        <v/>
      </c>
      <c r="F737">
        <f>IF($A737="","",MOD(ROW(),34))</f>
        <v/>
      </c>
      <c r="G737">
        <f>IF($A737="",NA(),IF($C737="Action",$B737,NA()))</f>
        <v/>
      </c>
      <c r="H737">
        <f>IF($A737="",NA(),IF($C737="Action",1+$F737*0.023,NA()))</f>
        <v/>
      </c>
      <c r="I737">
        <f>IF($A737="",NA(),IF($C737="Strategy",$B737,NA()))</f>
        <v/>
      </c>
      <c r="J737">
        <f>IF($A737="",NA(),IF($C737="Strategy",2+$F737*0.023,NA()))</f>
        <v/>
      </c>
      <c r="K737">
        <f>IF($A737="",NA(),IF($C737="Deckbuilder",$B737,NA()))</f>
        <v/>
      </c>
      <c r="L737">
        <f>IF($A737="",NA(),IF($C737="Deckbuilder",3+$F737*0.023,NA()))</f>
        <v/>
      </c>
      <c r="M737">
        <f>IF($A737="",NA(),IF($C737="Traditional",$B737,NA()))</f>
        <v/>
      </c>
      <c r="N737">
        <f>IF($A737="",NA(),IF($C737="Traditional",4+$F737*0.023,NA()))</f>
        <v/>
      </c>
      <c r="O737">
        <f>IF($A737="","",$D737+ROW()/1000000)</f>
        <v/>
      </c>
      <c r="P737">
        <f>IF(OR($A737="",games!$H737=""),"",games!$H737)</f>
        <v/>
      </c>
      <c r="Q737">
        <f>IF(OR($A737="",$P737&lt;&gt;"Yes"),"",$D737+ROW()/1000000)</f>
        <v/>
      </c>
      <c r="T737">
        <f>IF(connections!$A737="","",IFERROR(INDEX(games!$B$2:$B$950,MATCH(connections!$A737,games!$A$2:$A$950,0)),""))</f>
        <v/>
      </c>
      <c r="U737">
        <f>IF(connections!$A737="","",IFERROR(INDEX(games!$B$2:$B$950,MATCH(connections!$B737,games!$A$2:$A$950,0)),""))</f>
        <v/>
      </c>
      <c r="V737">
        <f>IF(OR($T737="",$U737=""),"",$U737-$T737)</f>
        <v/>
      </c>
    </row>
    <row r="738">
      <c r="A738">
        <f>IF(games!$A738="","",games!$A738)</f>
        <v/>
      </c>
      <c r="B738">
        <f>IF($A738="","",games!$B738)</f>
        <v/>
      </c>
      <c r="C738">
        <f>IF($A738="","",games!$C738)</f>
        <v/>
      </c>
      <c r="D738">
        <f>IF($A738="","",COUNTIF(connections!$A$2:$A$1400,$A738)+COUNTIF(connections!$B$2:$B$1400,$A738))</f>
        <v/>
      </c>
      <c r="E738">
        <f>IF($A738="","",IFERROR(MATCH($C738,$R$2:$R$5,0),0))</f>
        <v/>
      </c>
      <c r="F738">
        <f>IF($A738="","",MOD(ROW(),34))</f>
        <v/>
      </c>
      <c r="G738">
        <f>IF($A738="",NA(),IF($C738="Action",$B738,NA()))</f>
        <v/>
      </c>
      <c r="H738">
        <f>IF($A738="",NA(),IF($C738="Action",1+$F738*0.023,NA()))</f>
        <v/>
      </c>
      <c r="I738">
        <f>IF($A738="",NA(),IF($C738="Strategy",$B738,NA()))</f>
        <v/>
      </c>
      <c r="J738">
        <f>IF($A738="",NA(),IF($C738="Strategy",2+$F738*0.023,NA()))</f>
        <v/>
      </c>
      <c r="K738">
        <f>IF($A738="",NA(),IF($C738="Deckbuilder",$B738,NA()))</f>
        <v/>
      </c>
      <c r="L738">
        <f>IF($A738="",NA(),IF($C738="Deckbuilder",3+$F738*0.023,NA()))</f>
        <v/>
      </c>
      <c r="M738">
        <f>IF($A738="",NA(),IF($C738="Traditional",$B738,NA()))</f>
        <v/>
      </c>
      <c r="N738">
        <f>IF($A738="",NA(),IF($C738="Traditional",4+$F738*0.023,NA()))</f>
        <v/>
      </c>
      <c r="O738">
        <f>IF($A738="","",$D738+ROW()/1000000)</f>
        <v/>
      </c>
      <c r="P738">
        <f>IF(OR($A738="",games!$H738=""),"",games!$H738)</f>
        <v/>
      </c>
      <c r="Q738">
        <f>IF(OR($A738="",$P738&lt;&gt;"Yes"),"",$D738+ROW()/1000000)</f>
        <v/>
      </c>
      <c r="T738">
        <f>IF(connections!$A738="","",IFERROR(INDEX(games!$B$2:$B$950,MATCH(connections!$A738,games!$A$2:$A$950,0)),""))</f>
        <v/>
      </c>
      <c r="U738">
        <f>IF(connections!$A738="","",IFERROR(INDEX(games!$B$2:$B$950,MATCH(connections!$B738,games!$A$2:$A$950,0)),""))</f>
        <v/>
      </c>
      <c r="V738">
        <f>IF(OR($T738="",$U738=""),"",$U738-$T738)</f>
        <v/>
      </c>
    </row>
    <row r="739">
      <c r="A739">
        <f>IF(games!$A739="","",games!$A739)</f>
        <v/>
      </c>
      <c r="B739">
        <f>IF($A739="","",games!$B739)</f>
        <v/>
      </c>
      <c r="C739">
        <f>IF($A739="","",games!$C739)</f>
        <v/>
      </c>
      <c r="D739">
        <f>IF($A739="","",COUNTIF(connections!$A$2:$A$1400,$A739)+COUNTIF(connections!$B$2:$B$1400,$A739))</f>
        <v/>
      </c>
      <c r="E739">
        <f>IF($A739="","",IFERROR(MATCH($C739,$R$2:$R$5,0),0))</f>
        <v/>
      </c>
      <c r="F739">
        <f>IF($A739="","",MOD(ROW(),34))</f>
        <v/>
      </c>
      <c r="G739">
        <f>IF($A739="",NA(),IF($C739="Action",$B739,NA()))</f>
        <v/>
      </c>
      <c r="H739">
        <f>IF($A739="",NA(),IF($C739="Action",1+$F739*0.023,NA()))</f>
        <v/>
      </c>
      <c r="I739">
        <f>IF($A739="",NA(),IF($C739="Strategy",$B739,NA()))</f>
        <v/>
      </c>
      <c r="J739">
        <f>IF($A739="",NA(),IF($C739="Strategy",2+$F739*0.023,NA()))</f>
        <v/>
      </c>
      <c r="K739">
        <f>IF($A739="",NA(),IF($C739="Deckbuilder",$B739,NA()))</f>
        <v/>
      </c>
      <c r="L739">
        <f>IF($A739="",NA(),IF($C739="Deckbuilder",3+$F739*0.023,NA()))</f>
        <v/>
      </c>
      <c r="M739">
        <f>IF($A739="",NA(),IF($C739="Traditional",$B739,NA()))</f>
        <v/>
      </c>
      <c r="N739">
        <f>IF($A739="",NA(),IF($C739="Traditional",4+$F739*0.023,NA()))</f>
        <v/>
      </c>
      <c r="O739">
        <f>IF($A739="","",$D739+ROW()/1000000)</f>
        <v/>
      </c>
      <c r="P739">
        <f>IF(OR($A739="",games!$H739=""),"",games!$H739)</f>
        <v/>
      </c>
      <c r="Q739">
        <f>IF(OR($A739="",$P739&lt;&gt;"Yes"),"",$D739+ROW()/1000000)</f>
        <v/>
      </c>
      <c r="T739">
        <f>IF(connections!$A739="","",IFERROR(INDEX(games!$B$2:$B$950,MATCH(connections!$A739,games!$A$2:$A$950,0)),""))</f>
        <v/>
      </c>
      <c r="U739">
        <f>IF(connections!$A739="","",IFERROR(INDEX(games!$B$2:$B$950,MATCH(connections!$B739,games!$A$2:$A$950,0)),""))</f>
        <v/>
      </c>
      <c r="V739">
        <f>IF(OR($T739="",$U739=""),"",$U739-$T739)</f>
        <v/>
      </c>
    </row>
    <row r="740">
      <c r="A740">
        <f>IF(games!$A740="","",games!$A740)</f>
        <v/>
      </c>
      <c r="B740">
        <f>IF($A740="","",games!$B740)</f>
        <v/>
      </c>
      <c r="C740">
        <f>IF($A740="","",games!$C740)</f>
        <v/>
      </c>
      <c r="D740">
        <f>IF($A740="","",COUNTIF(connections!$A$2:$A$1400,$A740)+COUNTIF(connections!$B$2:$B$1400,$A740))</f>
        <v/>
      </c>
      <c r="E740">
        <f>IF($A740="","",IFERROR(MATCH($C740,$R$2:$R$5,0),0))</f>
        <v/>
      </c>
      <c r="F740">
        <f>IF($A740="","",MOD(ROW(),34))</f>
        <v/>
      </c>
      <c r="G740">
        <f>IF($A740="",NA(),IF($C740="Action",$B740,NA()))</f>
        <v/>
      </c>
      <c r="H740">
        <f>IF($A740="",NA(),IF($C740="Action",1+$F740*0.023,NA()))</f>
        <v/>
      </c>
      <c r="I740">
        <f>IF($A740="",NA(),IF($C740="Strategy",$B740,NA()))</f>
        <v/>
      </c>
      <c r="J740">
        <f>IF($A740="",NA(),IF($C740="Strategy",2+$F740*0.023,NA()))</f>
        <v/>
      </c>
      <c r="K740">
        <f>IF($A740="",NA(),IF($C740="Deckbuilder",$B740,NA()))</f>
        <v/>
      </c>
      <c r="L740">
        <f>IF($A740="",NA(),IF($C740="Deckbuilder",3+$F740*0.023,NA()))</f>
        <v/>
      </c>
      <c r="M740">
        <f>IF($A740="",NA(),IF($C740="Traditional",$B740,NA()))</f>
        <v/>
      </c>
      <c r="N740">
        <f>IF($A740="",NA(),IF($C740="Traditional",4+$F740*0.023,NA()))</f>
        <v/>
      </c>
      <c r="O740">
        <f>IF($A740="","",$D740+ROW()/1000000)</f>
        <v/>
      </c>
      <c r="P740">
        <f>IF(OR($A740="",games!$H740=""),"",games!$H740)</f>
        <v/>
      </c>
      <c r="Q740">
        <f>IF(OR($A740="",$P740&lt;&gt;"Yes"),"",$D740+ROW()/1000000)</f>
        <v/>
      </c>
      <c r="T740">
        <f>IF(connections!$A740="","",IFERROR(INDEX(games!$B$2:$B$950,MATCH(connections!$A740,games!$A$2:$A$950,0)),""))</f>
        <v/>
      </c>
      <c r="U740">
        <f>IF(connections!$A740="","",IFERROR(INDEX(games!$B$2:$B$950,MATCH(connections!$B740,games!$A$2:$A$950,0)),""))</f>
        <v/>
      </c>
      <c r="V740">
        <f>IF(OR($T740="",$U740=""),"",$U740-$T740)</f>
        <v/>
      </c>
    </row>
    <row r="741">
      <c r="A741">
        <f>IF(games!$A741="","",games!$A741)</f>
        <v/>
      </c>
      <c r="B741">
        <f>IF($A741="","",games!$B741)</f>
        <v/>
      </c>
      <c r="C741">
        <f>IF($A741="","",games!$C741)</f>
        <v/>
      </c>
      <c r="D741">
        <f>IF($A741="","",COUNTIF(connections!$A$2:$A$1400,$A741)+COUNTIF(connections!$B$2:$B$1400,$A741))</f>
        <v/>
      </c>
      <c r="E741">
        <f>IF($A741="","",IFERROR(MATCH($C741,$R$2:$R$5,0),0))</f>
        <v/>
      </c>
      <c r="F741">
        <f>IF($A741="","",MOD(ROW(),34))</f>
        <v/>
      </c>
      <c r="G741">
        <f>IF($A741="",NA(),IF($C741="Action",$B741,NA()))</f>
        <v/>
      </c>
      <c r="H741">
        <f>IF($A741="",NA(),IF($C741="Action",1+$F741*0.023,NA()))</f>
        <v/>
      </c>
      <c r="I741">
        <f>IF($A741="",NA(),IF($C741="Strategy",$B741,NA()))</f>
        <v/>
      </c>
      <c r="J741">
        <f>IF($A741="",NA(),IF($C741="Strategy",2+$F741*0.023,NA()))</f>
        <v/>
      </c>
      <c r="K741">
        <f>IF($A741="",NA(),IF($C741="Deckbuilder",$B741,NA()))</f>
        <v/>
      </c>
      <c r="L741">
        <f>IF($A741="",NA(),IF($C741="Deckbuilder",3+$F741*0.023,NA()))</f>
        <v/>
      </c>
      <c r="M741">
        <f>IF($A741="",NA(),IF($C741="Traditional",$B741,NA()))</f>
        <v/>
      </c>
      <c r="N741">
        <f>IF($A741="",NA(),IF($C741="Traditional",4+$F741*0.023,NA()))</f>
        <v/>
      </c>
      <c r="O741">
        <f>IF($A741="","",$D741+ROW()/1000000)</f>
        <v/>
      </c>
      <c r="P741">
        <f>IF(OR($A741="",games!$H741=""),"",games!$H741)</f>
        <v/>
      </c>
      <c r="Q741">
        <f>IF(OR($A741="",$P741&lt;&gt;"Yes"),"",$D741+ROW()/1000000)</f>
        <v/>
      </c>
      <c r="T741">
        <f>IF(connections!$A741="","",IFERROR(INDEX(games!$B$2:$B$950,MATCH(connections!$A741,games!$A$2:$A$950,0)),""))</f>
        <v/>
      </c>
      <c r="U741">
        <f>IF(connections!$A741="","",IFERROR(INDEX(games!$B$2:$B$950,MATCH(connections!$B741,games!$A$2:$A$950,0)),""))</f>
        <v/>
      </c>
      <c r="V741">
        <f>IF(OR($T741="",$U741=""),"",$U741-$T741)</f>
        <v/>
      </c>
    </row>
    <row r="742">
      <c r="A742">
        <f>IF(games!$A742="","",games!$A742)</f>
        <v/>
      </c>
      <c r="B742">
        <f>IF($A742="","",games!$B742)</f>
        <v/>
      </c>
      <c r="C742">
        <f>IF($A742="","",games!$C742)</f>
        <v/>
      </c>
      <c r="D742">
        <f>IF($A742="","",COUNTIF(connections!$A$2:$A$1400,$A742)+COUNTIF(connections!$B$2:$B$1400,$A742))</f>
        <v/>
      </c>
      <c r="E742">
        <f>IF($A742="","",IFERROR(MATCH($C742,$R$2:$R$5,0),0))</f>
        <v/>
      </c>
      <c r="F742">
        <f>IF($A742="","",MOD(ROW(),34))</f>
        <v/>
      </c>
      <c r="G742">
        <f>IF($A742="",NA(),IF($C742="Action",$B742,NA()))</f>
        <v/>
      </c>
      <c r="H742">
        <f>IF($A742="",NA(),IF($C742="Action",1+$F742*0.023,NA()))</f>
        <v/>
      </c>
      <c r="I742">
        <f>IF($A742="",NA(),IF($C742="Strategy",$B742,NA()))</f>
        <v/>
      </c>
      <c r="J742">
        <f>IF($A742="",NA(),IF($C742="Strategy",2+$F742*0.023,NA()))</f>
        <v/>
      </c>
      <c r="K742">
        <f>IF($A742="",NA(),IF($C742="Deckbuilder",$B742,NA()))</f>
        <v/>
      </c>
      <c r="L742">
        <f>IF($A742="",NA(),IF($C742="Deckbuilder",3+$F742*0.023,NA()))</f>
        <v/>
      </c>
      <c r="M742">
        <f>IF($A742="",NA(),IF($C742="Traditional",$B742,NA()))</f>
        <v/>
      </c>
      <c r="N742">
        <f>IF($A742="",NA(),IF($C742="Traditional",4+$F742*0.023,NA()))</f>
        <v/>
      </c>
      <c r="O742">
        <f>IF($A742="","",$D742+ROW()/1000000)</f>
        <v/>
      </c>
      <c r="P742">
        <f>IF(OR($A742="",games!$H742=""),"",games!$H742)</f>
        <v/>
      </c>
      <c r="Q742">
        <f>IF(OR($A742="",$P742&lt;&gt;"Yes"),"",$D742+ROW()/1000000)</f>
        <v/>
      </c>
      <c r="T742">
        <f>IF(connections!$A742="","",IFERROR(INDEX(games!$B$2:$B$950,MATCH(connections!$A742,games!$A$2:$A$950,0)),""))</f>
        <v/>
      </c>
      <c r="U742">
        <f>IF(connections!$A742="","",IFERROR(INDEX(games!$B$2:$B$950,MATCH(connections!$B742,games!$A$2:$A$950,0)),""))</f>
        <v/>
      </c>
      <c r="V742">
        <f>IF(OR($T742="",$U742=""),"",$U742-$T742)</f>
        <v/>
      </c>
    </row>
    <row r="743">
      <c r="A743">
        <f>IF(games!$A743="","",games!$A743)</f>
        <v/>
      </c>
      <c r="B743">
        <f>IF($A743="","",games!$B743)</f>
        <v/>
      </c>
      <c r="C743">
        <f>IF($A743="","",games!$C743)</f>
        <v/>
      </c>
      <c r="D743">
        <f>IF($A743="","",COUNTIF(connections!$A$2:$A$1400,$A743)+COUNTIF(connections!$B$2:$B$1400,$A743))</f>
        <v/>
      </c>
      <c r="E743">
        <f>IF($A743="","",IFERROR(MATCH($C743,$R$2:$R$5,0),0))</f>
        <v/>
      </c>
      <c r="F743">
        <f>IF($A743="","",MOD(ROW(),34))</f>
        <v/>
      </c>
      <c r="G743">
        <f>IF($A743="",NA(),IF($C743="Action",$B743,NA()))</f>
        <v/>
      </c>
      <c r="H743">
        <f>IF($A743="",NA(),IF($C743="Action",1+$F743*0.023,NA()))</f>
        <v/>
      </c>
      <c r="I743">
        <f>IF($A743="",NA(),IF($C743="Strategy",$B743,NA()))</f>
        <v/>
      </c>
      <c r="J743">
        <f>IF($A743="",NA(),IF($C743="Strategy",2+$F743*0.023,NA()))</f>
        <v/>
      </c>
      <c r="K743">
        <f>IF($A743="",NA(),IF($C743="Deckbuilder",$B743,NA()))</f>
        <v/>
      </c>
      <c r="L743">
        <f>IF($A743="",NA(),IF($C743="Deckbuilder",3+$F743*0.023,NA()))</f>
        <v/>
      </c>
      <c r="M743">
        <f>IF($A743="",NA(),IF($C743="Traditional",$B743,NA()))</f>
        <v/>
      </c>
      <c r="N743">
        <f>IF($A743="",NA(),IF($C743="Traditional",4+$F743*0.023,NA()))</f>
        <v/>
      </c>
      <c r="O743">
        <f>IF($A743="","",$D743+ROW()/1000000)</f>
        <v/>
      </c>
      <c r="P743">
        <f>IF(OR($A743="",games!$H743=""),"",games!$H743)</f>
        <v/>
      </c>
      <c r="Q743">
        <f>IF(OR($A743="",$P743&lt;&gt;"Yes"),"",$D743+ROW()/1000000)</f>
        <v/>
      </c>
      <c r="T743">
        <f>IF(connections!$A743="","",IFERROR(INDEX(games!$B$2:$B$950,MATCH(connections!$A743,games!$A$2:$A$950,0)),""))</f>
        <v/>
      </c>
      <c r="U743">
        <f>IF(connections!$A743="","",IFERROR(INDEX(games!$B$2:$B$950,MATCH(connections!$B743,games!$A$2:$A$950,0)),""))</f>
        <v/>
      </c>
      <c r="V743">
        <f>IF(OR($T743="",$U743=""),"",$U743-$T743)</f>
        <v/>
      </c>
    </row>
    <row r="744">
      <c r="A744">
        <f>IF(games!$A744="","",games!$A744)</f>
        <v/>
      </c>
      <c r="B744">
        <f>IF($A744="","",games!$B744)</f>
        <v/>
      </c>
      <c r="C744">
        <f>IF($A744="","",games!$C744)</f>
        <v/>
      </c>
      <c r="D744">
        <f>IF($A744="","",COUNTIF(connections!$A$2:$A$1400,$A744)+COUNTIF(connections!$B$2:$B$1400,$A744))</f>
        <v/>
      </c>
      <c r="E744">
        <f>IF($A744="","",IFERROR(MATCH($C744,$R$2:$R$5,0),0))</f>
        <v/>
      </c>
      <c r="F744">
        <f>IF($A744="","",MOD(ROW(),34))</f>
        <v/>
      </c>
      <c r="G744">
        <f>IF($A744="",NA(),IF($C744="Action",$B744,NA()))</f>
        <v/>
      </c>
      <c r="H744">
        <f>IF($A744="",NA(),IF($C744="Action",1+$F744*0.023,NA()))</f>
        <v/>
      </c>
      <c r="I744">
        <f>IF($A744="",NA(),IF($C744="Strategy",$B744,NA()))</f>
        <v/>
      </c>
      <c r="J744">
        <f>IF($A744="",NA(),IF($C744="Strategy",2+$F744*0.023,NA()))</f>
        <v/>
      </c>
      <c r="K744">
        <f>IF($A744="",NA(),IF($C744="Deckbuilder",$B744,NA()))</f>
        <v/>
      </c>
      <c r="L744">
        <f>IF($A744="",NA(),IF($C744="Deckbuilder",3+$F744*0.023,NA()))</f>
        <v/>
      </c>
      <c r="M744">
        <f>IF($A744="",NA(),IF($C744="Traditional",$B744,NA()))</f>
        <v/>
      </c>
      <c r="N744">
        <f>IF($A744="",NA(),IF($C744="Traditional",4+$F744*0.023,NA()))</f>
        <v/>
      </c>
      <c r="O744">
        <f>IF($A744="","",$D744+ROW()/1000000)</f>
        <v/>
      </c>
      <c r="P744">
        <f>IF(OR($A744="",games!$H744=""),"",games!$H744)</f>
        <v/>
      </c>
      <c r="Q744">
        <f>IF(OR($A744="",$P744&lt;&gt;"Yes"),"",$D744+ROW()/1000000)</f>
        <v/>
      </c>
      <c r="T744">
        <f>IF(connections!$A744="","",IFERROR(INDEX(games!$B$2:$B$950,MATCH(connections!$A744,games!$A$2:$A$950,0)),""))</f>
        <v/>
      </c>
      <c r="U744">
        <f>IF(connections!$A744="","",IFERROR(INDEX(games!$B$2:$B$950,MATCH(connections!$B744,games!$A$2:$A$950,0)),""))</f>
        <v/>
      </c>
      <c r="V744">
        <f>IF(OR($T744="",$U744=""),"",$U744-$T744)</f>
        <v/>
      </c>
    </row>
    <row r="745">
      <c r="A745">
        <f>IF(games!$A745="","",games!$A745)</f>
        <v/>
      </c>
      <c r="B745">
        <f>IF($A745="","",games!$B745)</f>
        <v/>
      </c>
      <c r="C745">
        <f>IF($A745="","",games!$C745)</f>
        <v/>
      </c>
      <c r="D745">
        <f>IF($A745="","",COUNTIF(connections!$A$2:$A$1400,$A745)+COUNTIF(connections!$B$2:$B$1400,$A745))</f>
        <v/>
      </c>
      <c r="E745">
        <f>IF($A745="","",IFERROR(MATCH($C745,$R$2:$R$5,0),0))</f>
        <v/>
      </c>
      <c r="F745">
        <f>IF($A745="","",MOD(ROW(),34))</f>
        <v/>
      </c>
      <c r="G745">
        <f>IF($A745="",NA(),IF($C745="Action",$B745,NA()))</f>
        <v/>
      </c>
      <c r="H745">
        <f>IF($A745="",NA(),IF($C745="Action",1+$F745*0.023,NA()))</f>
        <v/>
      </c>
      <c r="I745">
        <f>IF($A745="",NA(),IF($C745="Strategy",$B745,NA()))</f>
        <v/>
      </c>
      <c r="J745">
        <f>IF($A745="",NA(),IF($C745="Strategy",2+$F745*0.023,NA()))</f>
        <v/>
      </c>
      <c r="K745">
        <f>IF($A745="",NA(),IF($C745="Deckbuilder",$B745,NA()))</f>
        <v/>
      </c>
      <c r="L745">
        <f>IF($A745="",NA(),IF($C745="Deckbuilder",3+$F745*0.023,NA()))</f>
        <v/>
      </c>
      <c r="M745">
        <f>IF($A745="",NA(),IF($C745="Traditional",$B745,NA()))</f>
        <v/>
      </c>
      <c r="N745">
        <f>IF($A745="",NA(),IF($C745="Traditional",4+$F745*0.023,NA()))</f>
        <v/>
      </c>
      <c r="O745">
        <f>IF($A745="","",$D745+ROW()/1000000)</f>
        <v/>
      </c>
      <c r="P745">
        <f>IF(OR($A745="",games!$H745=""),"",games!$H745)</f>
        <v/>
      </c>
      <c r="Q745">
        <f>IF(OR($A745="",$P745&lt;&gt;"Yes"),"",$D745+ROW()/1000000)</f>
        <v/>
      </c>
      <c r="T745">
        <f>IF(connections!$A745="","",IFERROR(INDEX(games!$B$2:$B$950,MATCH(connections!$A745,games!$A$2:$A$950,0)),""))</f>
        <v/>
      </c>
      <c r="U745">
        <f>IF(connections!$A745="","",IFERROR(INDEX(games!$B$2:$B$950,MATCH(connections!$B745,games!$A$2:$A$950,0)),""))</f>
        <v/>
      </c>
      <c r="V745">
        <f>IF(OR($T745="",$U745=""),"",$U745-$T745)</f>
        <v/>
      </c>
    </row>
    <row r="746">
      <c r="A746">
        <f>IF(games!$A746="","",games!$A746)</f>
        <v/>
      </c>
      <c r="B746">
        <f>IF($A746="","",games!$B746)</f>
        <v/>
      </c>
      <c r="C746">
        <f>IF($A746="","",games!$C746)</f>
        <v/>
      </c>
      <c r="D746">
        <f>IF($A746="","",COUNTIF(connections!$A$2:$A$1400,$A746)+COUNTIF(connections!$B$2:$B$1400,$A746))</f>
        <v/>
      </c>
      <c r="E746">
        <f>IF($A746="","",IFERROR(MATCH($C746,$R$2:$R$5,0),0))</f>
        <v/>
      </c>
      <c r="F746">
        <f>IF($A746="","",MOD(ROW(),34))</f>
        <v/>
      </c>
      <c r="G746">
        <f>IF($A746="",NA(),IF($C746="Action",$B746,NA()))</f>
        <v/>
      </c>
      <c r="H746">
        <f>IF($A746="",NA(),IF($C746="Action",1+$F746*0.023,NA()))</f>
        <v/>
      </c>
      <c r="I746">
        <f>IF($A746="",NA(),IF($C746="Strategy",$B746,NA()))</f>
        <v/>
      </c>
      <c r="J746">
        <f>IF($A746="",NA(),IF($C746="Strategy",2+$F746*0.023,NA()))</f>
        <v/>
      </c>
      <c r="K746">
        <f>IF($A746="",NA(),IF($C746="Deckbuilder",$B746,NA()))</f>
        <v/>
      </c>
      <c r="L746">
        <f>IF($A746="",NA(),IF($C746="Deckbuilder",3+$F746*0.023,NA()))</f>
        <v/>
      </c>
      <c r="M746">
        <f>IF($A746="",NA(),IF($C746="Traditional",$B746,NA()))</f>
        <v/>
      </c>
      <c r="N746">
        <f>IF($A746="",NA(),IF($C746="Traditional",4+$F746*0.023,NA()))</f>
        <v/>
      </c>
      <c r="O746">
        <f>IF($A746="","",$D746+ROW()/1000000)</f>
        <v/>
      </c>
      <c r="P746">
        <f>IF(OR($A746="",games!$H746=""),"",games!$H746)</f>
        <v/>
      </c>
      <c r="Q746">
        <f>IF(OR($A746="",$P746&lt;&gt;"Yes"),"",$D746+ROW()/1000000)</f>
        <v/>
      </c>
      <c r="T746">
        <f>IF(connections!$A746="","",IFERROR(INDEX(games!$B$2:$B$950,MATCH(connections!$A746,games!$A$2:$A$950,0)),""))</f>
        <v/>
      </c>
      <c r="U746">
        <f>IF(connections!$A746="","",IFERROR(INDEX(games!$B$2:$B$950,MATCH(connections!$B746,games!$A$2:$A$950,0)),""))</f>
        <v/>
      </c>
      <c r="V746">
        <f>IF(OR($T746="",$U746=""),"",$U746-$T746)</f>
        <v/>
      </c>
    </row>
    <row r="747">
      <c r="A747">
        <f>IF(games!$A747="","",games!$A747)</f>
        <v/>
      </c>
      <c r="B747">
        <f>IF($A747="","",games!$B747)</f>
        <v/>
      </c>
      <c r="C747">
        <f>IF($A747="","",games!$C747)</f>
        <v/>
      </c>
      <c r="D747">
        <f>IF($A747="","",COUNTIF(connections!$A$2:$A$1400,$A747)+COUNTIF(connections!$B$2:$B$1400,$A747))</f>
        <v/>
      </c>
      <c r="E747">
        <f>IF($A747="","",IFERROR(MATCH($C747,$R$2:$R$5,0),0))</f>
        <v/>
      </c>
      <c r="F747">
        <f>IF($A747="","",MOD(ROW(),34))</f>
        <v/>
      </c>
      <c r="G747">
        <f>IF($A747="",NA(),IF($C747="Action",$B747,NA()))</f>
        <v/>
      </c>
      <c r="H747">
        <f>IF($A747="",NA(),IF($C747="Action",1+$F747*0.023,NA()))</f>
        <v/>
      </c>
      <c r="I747">
        <f>IF($A747="",NA(),IF($C747="Strategy",$B747,NA()))</f>
        <v/>
      </c>
      <c r="J747">
        <f>IF($A747="",NA(),IF($C747="Strategy",2+$F747*0.023,NA()))</f>
        <v/>
      </c>
      <c r="K747">
        <f>IF($A747="",NA(),IF($C747="Deckbuilder",$B747,NA()))</f>
        <v/>
      </c>
      <c r="L747">
        <f>IF($A747="",NA(),IF($C747="Deckbuilder",3+$F747*0.023,NA()))</f>
        <v/>
      </c>
      <c r="M747">
        <f>IF($A747="",NA(),IF($C747="Traditional",$B747,NA()))</f>
        <v/>
      </c>
      <c r="N747">
        <f>IF($A747="",NA(),IF($C747="Traditional",4+$F747*0.023,NA()))</f>
        <v/>
      </c>
      <c r="O747">
        <f>IF($A747="","",$D747+ROW()/1000000)</f>
        <v/>
      </c>
      <c r="P747">
        <f>IF(OR($A747="",games!$H747=""),"",games!$H747)</f>
        <v/>
      </c>
      <c r="Q747">
        <f>IF(OR($A747="",$P747&lt;&gt;"Yes"),"",$D747+ROW()/1000000)</f>
        <v/>
      </c>
      <c r="T747">
        <f>IF(connections!$A747="","",IFERROR(INDEX(games!$B$2:$B$950,MATCH(connections!$A747,games!$A$2:$A$950,0)),""))</f>
        <v/>
      </c>
      <c r="U747">
        <f>IF(connections!$A747="","",IFERROR(INDEX(games!$B$2:$B$950,MATCH(connections!$B747,games!$A$2:$A$950,0)),""))</f>
        <v/>
      </c>
      <c r="V747">
        <f>IF(OR($T747="",$U747=""),"",$U747-$T747)</f>
        <v/>
      </c>
    </row>
    <row r="748">
      <c r="A748">
        <f>IF(games!$A748="","",games!$A748)</f>
        <v/>
      </c>
      <c r="B748">
        <f>IF($A748="","",games!$B748)</f>
        <v/>
      </c>
      <c r="C748">
        <f>IF($A748="","",games!$C748)</f>
        <v/>
      </c>
      <c r="D748">
        <f>IF($A748="","",COUNTIF(connections!$A$2:$A$1400,$A748)+COUNTIF(connections!$B$2:$B$1400,$A748))</f>
        <v/>
      </c>
      <c r="E748">
        <f>IF($A748="","",IFERROR(MATCH($C748,$R$2:$R$5,0),0))</f>
        <v/>
      </c>
      <c r="F748">
        <f>IF($A748="","",MOD(ROW(),34))</f>
        <v/>
      </c>
      <c r="G748">
        <f>IF($A748="",NA(),IF($C748="Action",$B748,NA()))</f>
        <v/>
      </c>
      <c r="H748">
        <f>IF($A748="",NA(),IF($C748="Action",1+$F748*0.023,NA()))</f>
        <v/>
      </c>
      <c r="I748">
        <f>IF($A748="",NA(),IF($C748="Strategy",$B748,NA()))</f>
        <v/>
      </c>
      <c r="J748">
        <f>IF($A748="",NA(),IF($C748="Strategy",2+$F748*0.023,NA()))</f>
        <v/>
      </c>
      <c r="K748">
        <f>IF($A748="",NA(),IF($C748="Deckbuilder",$B748,NA()))</f>
        <v/>
      </c>
      <c r="L748">
        <f>IF($A748="",NA(),IF($C748="Deckbuilder",3+$F748*0.023,NA()))</f>
        <v/>
      </c>
      <c r="M748">
        <f>IF($A748="",NA(),IF($C748="Traditional",$B748,NA()))</f>
        <v/>
      </c>
      <c r="N748">
        <f>IF($A748="",NA(),IF($C748="Traditional",4+$F748*0.023,NA()))</f>
        <v/>
      </c>
      <c r="O748">
        <f>IF($A748="","",$D748+ROW()/1000000)</f>
        <v/>
      </c>
      <c r="P748">
        <f>IF(OR($A748="",games!$H748=""),"",games!$H748)</f>
        <v/>
      </c>
      <c r="Q748">
        <f>IF(OR($A748="",$P748&lt;&gt;"Yes"),"",$D748+ROW()/1000000)</f>
        <v/>
      </c>
      <c r="T748">
        <f>IF(connections!$A748="","",IFERROR(INDEX(games!$B$2:$B$950,MATCH(connections!$A748,games!$A$2:$A$950,0)),""))</f>
        <v/>
      </c>
      <c r="U748">
        <f>IF(connections!$A748="","",IFERROR(INDEX(games!$B$2:$B$950,MATCH(connections!$B748,games!$A$2:$A$950,0)),""))</f>
        <v/>
      </c>
      <c r="V748">
        <f>IF(OR($T748="",$U748=""),"",$U748-$T748)</f>
        <v/>
      </c>
    </row>
    <row r="749">
      <c r="A749">
        <f>IF(games!$A749="","",games!$A749)</f>
        <v/>
      </c>
      <c r="B749">
        <f>IF($A749="","",games!$B749)</f>
        <v/>
      </c>
      <c r="C749">
        <f>IF($A749="","",games!$C749)</f>
        <v/>
      </c>
      <c r="D749">
        <f>IF($A749="","",COUNTIF(connections!$A$2:$A$1400,$A749)+COUNTIF(connections!$B$2:$B$1400,$A749))</f>
        <v/>
      </c>
      <c r="E749">
        <f>IF($A749="","",IFERROR(MATCH($C749,$R$2:$R$5,0),0))</f>
        <v/>
      </c>
      <c r="F749">
        <f>IF($A749="","",MOD(ROW(),34))</f>
        <v/>
      </c>
      <c r="G749">
        <f>IF($A749="",NA(),IF($C749="Action",$B749,NA()))</f>
        <v/>
      </c>
      <c r="H749">
        <f>IF($A749="",NA(),IF($C749="Action",1+$F749*0.023,NA()))</f>
        <v/>
      </c>
      <c r="I749">
        <f>IF($A749="",NA(),IF($C749="Strategy",$B749,NA()))</f>
        <v/>
      </c>
      <c r="J749">
        <f>IF($A749="",NA(),IF($C749="Strategy",2+$F749*0.023,NA()))</f>
        <v/>
      </c>
      <c r="K749">
        <f>IF($A749="",NA(),IF($C749="Deckbuilder",$B749,NA()))</f>
        <v/>
      </c>
      <c r="L749">
        <f>IF($A749="",NA(),IF($C749="Deckbuilder",3+$F749*0.023,NA()))</f>
        <v/>
      </c>
      <c r="M749">
        <f>IF($A749="",NA(),IF($C749="Traditional",$B749,NA()))</f>
        <v/>
      </c>
      <c r="N749">
        <f>IF($A749="",NA(),IF($C749="Traditional",4+$F749*0.023,NA()))</f>
        <v/>
      </c>
      <c r="O749">
        <f>IF($A749="","",$D749+ROW()/1000000)</f>
        <v/>
      </c>
      <c r="P749">
        <f>IF(OR($A749="",games!$H749=""),"",games!$H749)</f>
        <v/>
      </c>
      <c r="Q749">
        <f>IF(OR($A749="",$P749&lt;&gt;"Yes"),"",$D749+ROW()/1000000)</f>
        <v/>
      </c>
      <c r="T749">
        <f>IF(connections!$A749="","",IFERROR(INDEX(games!$B$2:$B$950,MATCH(connections!$A749,games!$A$2:$A$950,0)),""))</f>
        <v/>
      </c>
      <c r="U749">
        <f>IF(connections!$A749="","",IFERROR(INDEX(games!$B$2:$B$950,MATCH(connections!$B749,games!$A$2:$A$950,0)),""))</f>
        <v/>
      </c>
      <c r="V749">
        <f>IF(OR($T749="",$U749=""),"",$U749-$T749)</f>
        <v/>
      </c>
    </row>
    <row r="750">
      <c r="A750">
        <f>IF(games!$A750="","",games!$A750)</f>
        <v/>
      </c>
      <c r="B750">
        <f>IF($A750="","",games!$B750)</f>
        <v/>
      </c>
      <c r="C750">
        <f>IF($A750="","",games!$C750)</f>
        <v/>
      </c>
      <c r="D750">
        <f>IF($A750="","",COUNTIF(connections!$A$2:$A$1400,$A750)+COUNTIF(connections!$B$2:$B$1400,$A750))</f>
        <v/>
      </c>
      <c r="E750">
        <f>IF($A750="","",IFERROR(MATCH($C750,$R$2:$R$5,0),0))</f>
        <v/>
      </c>
      <c r="F750">
        <f>IF($A750="","",MOD(ROW(),34))</f>
        <v/>
      </c>
      <c r="G750">
        <f>IF($A750="",NA(),IF($C750="Action",$B750,NA()))</f>
        <v/>
      </c>
      <c r="H750">
        <f>IF($A750="",NA(),IF($C750="Action",1+$F750*0.023,NA()))</f>
        <v/>
      </c>
      <c r="I750">
        <f>IF($A750="",NA(),IF($C750="Strategy",$B750,NA()))</f>
        <v/>
      </c>
      <c r="J750">
        <f>IF($A750="",NA(),IF($C750="Strategy",2+$F750*0.023,NA()))</f>
        <v/>
      </c>
      <c r="K750">
        <f>IF($A750="",NA(),IF($C750="Deckbuilder",$B750,NA()))</f>
        <v/>
      </c>
      <c r="L750">
        <f>IF($A750="",NA(),IF($C750="Deckbuilder",3+$F750*0.023,NA()))</f>
        <v/>
      </c>
      <c r="M750">
        <f>IF($A750="",NA(),IF($C750="Traditional",$B750,NA()))</f>
        <v/>
      </c>
      <c r="N750">
        <f>IF($A750="",NA(),IF($C750="Traditional",4+$F750*0.023,NA()))</f>
        <v/>
      </c>
      <c r="O750">
        <f>IF($A750="","",$D750+ROW()/1000000)</f>
        <v/>
      </c>
      <c r="P750">
        <f>IF(OR($A750="",games!$H750=""),"",games!$H750)</f>
        <v/>
      </c>
      <c r="Q750">
        <f>IF(OR($A750="",$P750&lt;&gt;"Yes"),"",$D750+ROW()/1000000)</f>
        <v/>
      </c>
      <c r="T750">
        <f>IF(connections!$A750="","",IFERROR(INDEX(games!$B$2:$B$950,MATCH(connections!$A750,games!$A$2:$A$950,0)),""))</f>
        <v/>
      </c>
      <c r="U750">
        <f>IF(connections!$A750="","",IFERROR(INDEX(games!$B$2:$B$950,MATCH(connections!$B750,games!$A$2:$A$950,0)),""))</f>
        <v/>
      </c>
      <c r="V750">
        <f>IF(OR($T750="",$U750=""),"",$U750-$T750)</f>
        <v/>
      </c>
    </row>
    <row r="751">
      <c r="A751">
        <f>IF(games!$A751="","",games!$A751)</f>
        <v/>
      </c>
      <c r="B751">
        <f>IF($A751="","",games!$B751)</f>
        <v/>
      </c>
      <c r="C751">
        <f>IF($A751="","",games!$C751)</f>
        <v/>
      </c>
      <c r="D751">
        <f>IF($A751="","",COUNTIF(connections!$A$2:$A$1400,$A751)+COUNTIF(connections!$B$2:$B$1400,$A751))</f>
        <v/>
      </c>
      <c r="E751">
        <f>IF($A751="","",IFERROR(MATCH($C751,$R$2:$R$5,0),0))</f>
        <v/>
      </c>
      <c r="F751">
        <f>IF($A751="","",MOD(ROW(),34))</f>
        <v/>
      </c>
      <c r="G751">
        <f>IF($A751="",NA(),IF($C751="Action",$B751,NA()))</f>
        <v/>
      </c>
      <c r="H751">
        <f>IF($A751="",NA(),IF($C751="Action",1+$F751*0.023,NA()))</f>
        <v/>
      </c>
      <c r="I751">
        <f>IF($A751="",NA(),IF($C751="Strategy",$B751,NA()))</f>
        <v/>
      </c>
      <c r="J751">
        <f>IF($A751="",NA(),IF($C751="Strategy",2+$F751*0.023,NA()))</f>
        <v/>
      </c>
      <c r="K751">
        <f>IF($A751="",NA(),IF($C751="Deckbuilder",$B751,NA()))</f>
        <v/>
      </c>
      <c r="L751">
        <f>IF($A751="",NA(),IF($C751="Deckbuilder",3+$F751*0.023,NA()))</f>
        <v/>
      </c>
      <c r="M751">
        <f>IF($A751="",NA(),IF($C751="Traditional",$B751,NA()))</f>
        <v/>
      </c>
      <c r="N751">
        <f>IF($A751="",NA(),IF($C751="Traditional",4+$F751*0.023,NA()))</f>
        <v/>
      </c>
      <c r="O751">
        <f>IF($A751="","",$D751+ROW()/1000000)</f>
        <v/>
      </c>
      <c r="P751">
        <f>IF(OR($A751="",games!$H751=""),"",games!$H751)</f>
        <v/>
      </c>
      <c r="Q751">
        <f>IF(OR($A751="",$P751&lt;&gt;"Yes"),"",$D751+ROW()/1000000)</f>
        <v/>
      </c>
      <c r="T751">
        <f>IF(connections!$A751="","",IFERROR(INDEX(games!$B$2:$B$950,MATCH(connections!$A751,games!$A$2:$A$950,0)),""))</f>
        <v/>
      </c>
      <c r="U751">
        <f>IF(connections!$A751="","",IFERROR(INDEX(games!$B$2:$B$950,MATCH(connections!$B751,games!$A$2:$A$950,0)),""))</f>
        <v/>
      </c>
      <c r="V751">
        <f>IF(OR($T751="",$U751=""),"",$U751-$T751)</f>
        <v/>
      </c>
    </row>
    <row r="752">
      <c r="A752">
        <f>IF(games!$A752="","",games!$A752)</f>
        <v/>
      </c>
      <c r="B752">
        <f>IF($A752="","",games!$B752)</f>
        <v/>
      </c>
      <c r="C752">
        <f>IF($A752="","",games!$C752)</f>
        <v/>
      </c>
      <c r="D752">
        <f>IF($A752="","",COUNTIF(connections!$A$2:$A$1400,$A752)+COUNTIF(connections!$B$2:$B$1400,$A752))</f>
        <v/>
      </c>
      <c r="E752">
        <f>IF($A752="","",IFERROR(MATCH($C752,$R$2:$R$5,0),0))</f>
        <v/>
      </c>
      <c r="F752">
        <f>IF($A752="","",MOD(ROW(),34))</f>
        <v/>
      </c>
      <c r="G752">
        <f>IF($A752="",NA(),IF($C752="Action",$B752,NA()))</f>
        <v/>
      </c>
      <c r="H752">
        <f>IF($A752="",NA(),IF($C752="Action",1+$F752*0.023,NA()))</f>
        <v/>
      </c>
      <c r="I752">
        <f>IF($A752="",NA(),IF($C752="Strategy",$B752,NA()))</f>
        <v/>
      </c>
      <c r="J752">
        <f>IF($A752="",NA(),IF($C752="Strategy",2+$F752*0.023,NA()))</f>
        <v/>
      </c>
      <c r="K752">
        <f>IF($A752="",NA(),IF($C752="Deckbuilder",$B752,NA()))</f>
        <v/>
      </c>
      <c r="L752">
        <f>IF($A752="",NA(),IF($C752="Deckbuilder",3+$F752*0.023,NA()))</f>
        <v/>
      </c>
      <c r="M752">
        <f>IF($A752="",NA(),IF($C752="Traditional",$B752,NA()))</f>
        <v/>
      </c>
      <c r="N752">
        <f>IF($A752="",NA(),IF($C752="Traditional",4+$F752*0.023,NA()))</f>
        <v/>
      </c>
      <c r="O752">
        <f>IF($A752="","",$D752+ROW()/1000000)</f>
        <v/>
      </c>
      <c r="P752">
        <f>IF(OR($A752="",games!$H752=""),"",games!$H752)</f>
        <v/>
      </c>
      <c r="Q752">
        <f>IF(OR($A752="",$P752&lt;&gt;"Yes"),"",$D752+ROW()/1000000)</f>
        <v/>
      </c>
      <c r="T752">
        <f>IF(connections!$A752="","",IFERROR(INDEX(games!$B$2:$B$950,MATCH(connections!$A752,games!$A$2:$A$950,0)),""))</f>
        <v/>
      </c>
      <c r="U752">
        <f>IF(connections!$A752="","",IFERROR(INDEX(games!$B$2:$B$950,MATCH(connections!$B752,games!$A$2:$A$950,0)),""))</f>
        <v/>
      </c>
      <c r="V752">
        <f>IF(OR($T752="",$U752=""),"",$U752-$T752)</f>
        <v/>
      </c>
    </row>
    <row r="753">
      <c r="A753">
        <f>IF(games!$A753="","",games!$A753)</f>
        <v/>
      </c>
      <c r="B753">
        <f>IF($A753="","",games!$B753)</f>
        <v/>
      </c>
      <c r="C753">
        <f>IF($A753="","",games!$C753)</f>
        <v/>
      </c>
      <c r="D753">
        <f>IF($A753="","",COUNTIF(connections!$A$2:$A$1400,$A753)+COUNTIF(connections!$B$2:$B$1400,$A753))</f>
        <v/>
      </c>
      <c r="E753">
        <f>IF($A753="","",IFERROR(MATCH($C753,$R$2:$R$5,0),0))</f>
        <v/>
      </c>
      <c r="F753">
        <f>IF($A753="","",MOD(ROW(),34))</f>
        <v/>
      </c>
      <c r="G753">
        <f>IF($A753="",NA(),IF($C753="Action",$B753,NA()))</f>
        <v/>
      </c>
      <c r="H753">
        <f>IF($A753="",NA(),IF($C753="Action",1+$F753*0.023,NA()))</f>
        <v/>
      </c>
      <c r="I753">
        <f>IF($A753="",NA(),IF($C753="Strategy",$B753,NA()))</f>
        <v/>
      </c>
      <c r="J753">
        <f>IF($A753="",NA(),IF($C753="Strategy",2+$F753*0.023,NA()))</f>
        <v/>
      </c>
      <c r="K753">
        <f>IF($A753="",NA(),IF($C753="Deckbuilder",$B753,NA()))</f>
        <v/>
      </c>
      <c r="L753">
        <f>IF($A753="",NA(),IF($C753="Deckbuilder",3+$F753*0.023,NA()))</f>
        <v/>
      </c>
      <c r="M753">
        <f>IF($A753="",NA(),IF($C753="Traditional",$B753,NA()))</f>
        <v/>
      </c>
      <c r="N753">
        <f>IF($A753="",NA(),IF($C753="Traditional",4+$F753*0.023,NA()))</f>
        <v/>
      </c>
      <c r="O753">
        <f>IF($A753="","",$D753+ROW()/1000000)</f>
        <v/>
      </c>
      <c r="P753">
        <f>IF(OR($A753="",games!$H753=""),"",games!$H753)</f>
        <v/>
      </c>
      <c r="Q753">
        <f>IF(OR($A753="",$P753&lt;&gt;"Yes"),"",$D753+ROW()/1000000)</f>
        <v/>
      </c>
      <c r="T753">
        <f>IF(connections!$A753="","",IFERROR(INDEX(games!$B$2:$B$950,MATCH(connections!$A753,games!$A$2:$A$950,0)),""))</f>
        <v/>
      </c>
      <c r="U753">
        <f>IF(connections!$A753="","",IFERROR(INDEX(games!$B$2:$B$950,MATCH(connections!$B753,games!$A$2:$A$950,0)),""))</f>
        <v/>
      </c>
      <c r="V753">
        <f>IF(OR($T753="",$U753=""),"",$U753-$T753)</f>
        <v/>
      </c>
    </row>
    <row r="754">
      <c r="A754">
        <f>IF(games!$A754="","",games!$A754)</f>
        <v/>
      </c>
      <c r="B754">
        <f>IF($A754="","",games!$B754)</f>
        <v/>
      </c>
      <c r="C754">
        <f>IF($A754="","",games!$C754)</f>
        <v/>
      </c>
      <c r="D754">
        <f>IF($A754="","",COUNTIF(connections!$A$2:$A$1400,$A754)+COUNTIF(connections!$B$2:$B$1400,$A754))</f>
        <v/>
      </c>
      <c r="E754">
        <f>IF($A754="","",IFERROR(MATCH($C754,$R$2:$R$5,0),0))</f>
        <v/>
      </c>
      <c r="F754">
        <f>IF($A754="","",MOD(ROW(),34))</f>
        <v/>
      </c>
      <c r="G754">
        <f>IF($A754="",NA(),IF($C754="Action",$B754,NA()))</f>
        <v/>
      </c>
      <c r="H754">
        <f>IF($A754="",NA(),IF($C754="Action",1+$F754*0.023,NA()))</f>
        <v/>
      </c>
      <c r="I754">
        <f>IF($A754="",NA(),IF($C754="Strategy",$B754,NA()))</f>
        <v/>
      </c>
      <c r="J754">
        <f>IF($A754="",NA(),IF($C754="Strategy",2+$F754*0.023,NA()))</f>
        <v/>
      </c>
      <c r="K754">
        <f>IF($A754="",NA(),IF($C754="Deckbuilder",$B754,NA()))</f>
        <v/>
      </c>
      <c r="L754">
        <f>IF($A754="",NA(),IF($C754="Deckbuilder",3+$F754*0.023,NA()))</f>
        <v/>
      </c>
      <c r="M754">
        <f>IF($A754="",NA(),IF($C754="Traditional",$B754,NA()))</f>
        <v/>
      </c>
      <c r="N754">
        <f>IF($A754="",NA(),IF($C754="Traditional",4+$F754*0.023,NA()))</f>
        <v/>
      </c>
      <c r="O754">
        <f>IF($A754="","",$D754+ROW()/1000000)</f>
        <v/>
      </c>
      <c r="P754">
        <f>IF(OR($A754="",games!$H754=""),"",games!$H754)</f>
        <v/>
      </c>
      <c r="Q754">
        <f>IF(OR($A754="",$P754&lt;&gt;"Yes"),"",$D754+ROW()/1000000)</f>
        <v/>
      </c>
      <c r="T754">
        <f>IF(connections!$A754="","",IFERROR(INDEX(games!$B$2:$B$950,MATCH(connections!$A754,games!$A$2:$A$950,0)),""))</f>
        <v/>
      </c>
      <c r="U754">
        <f>IF(connections!$A754="","",IFERROR(INDEX(games!$B$2:$B$950,MATCH(connections!$B754,games!$A$2:$A$950,0)),""))</f>
        <v/>
      </c>
      <c r="V754">
        <f>IF(OR($T754="",$U754=""),"",$U754-$T754)</f>
        <v/>
      </c>
    </row>
    <row r="755">
      <c r="A755">
        <f>IF(games!$A755="","",games!$A755)</f>
        <v/>
      </c>
      <c r="B755">
        <f>IF($A755="","",games!$B755)</f>
        <v/>
      </c>
      <c r="C755">
        <f>IF($A755="","",games!$C755)</f>
        <v/>
      </c>
      <c r="D755">
        <f>IF($A755="","",COUNTIF(connections!$A$2:$A$1400,$A755)+COUNTIF(connections!$B$2:$B$1400,$A755))</f>
        <v/>
      </c>
      <c r="E755">
        <f>IF($A755="","",IFERROR(MATCH($C755,$R$2:$R$5,0),0))</f>
        <v/>
      </c>
      <c r="F755">
        <f>IF($A755="","",MOD(ROW(),34))</f>
        <v/>
      </c>
      <c r="G755">
        <f>IF($A755="",NA(),IF($C755="Action",$B755,NA()))</f>
        <v/>
      </c>
      <c r="H755">
        <f>IF($A755="",NA(),IF($C755="Action",1+$F755*0.023,NA()))</f>
        <v/>
      </c>
      <c r="I755">
        <f>IF($A755="",NA(),IF($C755="Strategy",$B755,NA()))</f>
        <v/>
      </c>
      <c r="J755">
        <f>IF($A755="",NA(),IF($C755="Strategy",2+$F755*0.023,NA()))</f>
        <v/>
      </c>
      <c r="K755">
        <f>IF($A755="",NA(),IF($C755="Deckbuilder",$B755,NA()))</f>
        <v/>
      </c>
      <c r="L755">
        <f>IF($A755="",NA(),IF($C755="Deckbuilder",3+$F755*0.023,NA()))</f>
        <v/>
      </c>
      <c r="M755">
        <f>IF($A755="",NA(),IF($C755="Traditional",$B755,NA()))</f>
        <v/>
      </c>
      <c r="N755">
        <f>IF($A755="",NA(),IF($C755="Traditional",4+$F755*0.023,NA()))</f>
        <v/>
      </c>
      <c r="O755">
        <f>IF($A755="","",$D755+ROW()/1000000)</f>
        <v/>
      </c>
      <c r="P755">
        <f>IF(OR($A755="",games!$H755=""),"",games!$H755)</f>
        <v/>
      </c>
      <c r="Q755">
        <f>IF(OR($A755="",$P755&lt;&gt;"Yes"),"",$D755+ROW()/1000000)</f>
        <v/>
      </c>
      <c r="T755">
        <f>IF(connections!$A755="","",IFERROR(INDEX(games!$B$2:$B$950,MATCH(connections!$A755,games!$A$2:$A$950,0)),""))</f>
        <v/>
      </c>
      <c r="U755">
        <f>IF(connections!$A755="","",IFERROR(INDEX(games!$B$2:$B$950,MATCH(connections!$B755,games!$A$2:$A$950,0)),""))</f>
        <v/>
      </c>
      <c r="V755">
        <f>IF(OR($T755="",$U755=""),"",$U755-$T755)</f>
        <v/>
      </c>
    </row>
    <row r="756">
      <c r="A756">
        <f>IF(games!$A756="","",games!$A756)</f>
        <v/>
      </c>
      <c r="B756">
        <f>IF($A756="","",games!$B756)</f>
        <v/>
      </c>
      <c r="C756">
        <f>IF($A756="","",games!$C756)</f>
        <v/>
      </c>
      <c r="D756">
        <f>IF($A756="","",COUNTIF(connections!$A$2:$A$1400,$A756)+COUNTIF(connections!$B$2:$B$1400,$A756))</f>
        <v/>
      </c>
      <c r="E756">
        <f>IF($A756="","",IFERROR(MATCH($C756,$R$2:$R$5,0),0))</f>
        <v/>
      </c>
      <c r="F756">
        <f>IF($A756="","",MOD(ROW(),34))</f>
        <v/>
      </c>
      <c r="G756">
        <f>IF($A756="",NA(),IF($C756="Action",$B756,NA()))</f>
        <v/>
      </c>
      <c r="H756">
        <f>IF($A756="",NA(),IF($C756="Action",1+$F756*0.023,NA()))</f>
        <v/>
      </c>
      <c r="I756">
        <f>IF($A756="",NA(),IF($C756="Strategy",$B756,NA()))</f>
        <v/>
      </c>
      <c r="J756">
        <f>IF($A756="",NA(),IF($C756="Strategy",2+$F756*0.023,NA()))</f>
        <v/>
      </c>
      <c r="K756">
        <f>IF($A756="",NA(),IF($C756="Deckbuilder",$B756,NA()))</f>
        <v/>
      </c>
      <c r="L756">
        <f>IF($A756="",NA(),IF($C756="Deckbuilder",3+$F756*0.023,NA()))</f>
        <v/>
      </c>
      <c r="M756">
        <f>IF($A756="",NA(),IF($C756="Traditional",$B756,NA()))</f>
        <v/>
      </c>
      <c r="N756">
        <f>IF($A756="",NA(),IF($C756="Traditional",4+$F756*0.023,NA()))</f>
        <v/>
      </c>
      <c r="O756">
        <f>IF($A756="","",$D756+ROW()/1000000)</f>
        <v/>
      </c>
      <c r="P756">
        <f>IF(OR($A756="",games!$H756=""),"",games!$H756)</f>
        <v/>
      </c>
      <c r="Q756">
        <f>IF(OR($A756="",$P756&lt;&gt;"Yes"),"",$D756+ROW()/1000000)</f>
        <v/>
      </c>
      <c r="T756">
        <f>IF(connections!$A756="","",IFERROR(INDEX(games!$B$2:$B$950,MATCH(connections!$A756,games!$A$2:$A$950,0)),""))</f>
        <v/>
      </c>
      <c r="U756">
        <f>IF(connections!$A756="","",IFERROR(INDEX(games!$B$2:$B$950,MATCH(connections!$B756,games!$A$2:$A$950,0)),""))</f>
        <v/>
      </c>
      <c r="V756">
        <f>IF(OR($T756="",$U756=""),"",$U756-$T756)</f>
        <v/>
      </c>
    </row>
    <row r="757">
      <c r="A757">
        <f>IF(games!$A757="","",games!$A757)</f>
        <v/>
      </c>
      <c r="B757">
        <f>IF($A757="","",games!$B757)</f>
        <v/>
      </c>
      <c r="C757">
        <f>IF($A757="","",games!$C757)</f>
        <v/>
      </c>
      <c r="D757">
        <f>IF($A757="","",COUNTIF(connections!$A$2:$A$1400,$A757)+COUNTIF(connections!$B$2:$B$1400,$A757))</f>
        <v/>
      </c>
      <c r="E757">
        <f>IF($A757="","",IFERROR(MATCH($C757,$R$2:$R$5,0),0))</f>
        <v/>
      </c>
      <c r="F757">
        <f>IF($A757="","",MOD(ROW(),34))</f>
        <v/>
      </c>
      <c r="G757">
        <f>IF($A757="",NA(),IF($C757="Action",$B757,NA()))</f>
        <v/>
      </c>
      <c r="H757">
        <f>IF($A757="",NA(),IF($C757="Action",1+$F757*0.023,NA()))</f>
        <v/>
      </c>
      <c r="I757">
        <f>IF($A757="",NA(),IF($C757="Strategy",$B757,NA()))</f>
        <v/>
      </c>
      <c r="J757">
        <f>IF($A757="",NA(),IF($C757="Strategy",2+$F757*0.023,NA()))</f>
        <v/>
      </c>
      <c r="K757">
        <f>IF($A757="",NA(),IF($C757="Deckbuilder",$B757,NA()))</f>
        <v/>
      </c>
      <c r="L757">
        <f>IF($A757="",NA(),IF($C757="Deckbuilder",3+$F757*0.023,NA()))</f>
        <v/>
      </c>
      <c r="M757">
        <f>IF($A757="",NA(),IF($C757="Traditional",$B757,NA()))</f>
        <v/>
      </c>
      <c r="N757">
        <f>IF($A757="",NA(),IF($C757="Traditional",4+$F757*0.023,NA()))</f>
        <v/>
      </c>
      <c r="O757">
        <f>IF($A757="","",$D757+ROW()/1000000)</f>
        <v/>
      </c>
      <c r="P757">
        <f>IF(OR($A757="",games!$H757=""),"",games!$H757)</f>
        <v/>
      </c>
      <c r="Q757">
        <f>IF(OR($A757="",$P757&lt;&gt;"Yes"),"",$D757+ROW()/1000000)</f>
        <v/>
      </c>
      <c r="T757">
        <f>IF(connections!$A757="","",IFERROR(INDEX(games!$B$2:$B$950,MATCH(connections!$A757,games!$A$2:$A$950,0)),""))</f>
        <v/>
      </c>
      <c r="U757">
        <f>IF(connections!$A757="","",IFERROR(INDEX(games!$B$2:$B$950,MATCH(connections!$B757,games!$A$2:$A$950,0)),""))</f>
        <v/>
      </c>
      <c r="V757">
        <f>IF(OR($T757="",$U757=""),"",$U757-$T757)</f>
        <v/>
      </c>
    </row>
    <row r="758">
      <c r="A758">
        <f>IF(games!$A758="","",games!$A758)</f>
        <v/>
      </c>
      <c r="B758">
        <f>IF($A758="","",games!$B758)</f>
        <v/>
      </c>
      <c r="C758">
        <f>IF($A758="","",games!$C758)</f>
        <v/>
      </c>
      <c r="D758">
        <f>IF($A758="","",COUNTIF(connections!$A$2:$A$1400,$A758)+COUNTIF(connections!$B$2:$B$1400,$A758))</f>
        <v/>
      </c>
      <c r="E758">
        <f>IF($A758="","",IFERROR(MATCH($C758,$R$2:$R$5,0),0))</f>
        <v/>
      </c>
      <c r="F758">
        <f>IF($A758="","",MOD(ROW(),34))</f>
        <v/>
      </c>
      <c r="G758">
        <f>IF($A758="",NA(),IF($C758="Action",$B758,NA()))</f>
        <v/>
      </c>
      <c r="H758">
        <f>IF($A758="",NA(),IF($C758="Action",1+$F758*0.023,NA()))</f>
        <v/>
      </c>
      <c r="I758">
        <f>IF($A758="",NA(),IF($C758="Strategy",$B758,NA()))</f>
        <v/>
      </c>
      <c r="J758">
        <f>IF($A758="",NA(),IF($C758="Strategy",2+$F758*0.023,NA()))</f>
        <v/>
      </c>
      <c r="K758">
        <f>IF($A758="",NA(),IF($C758="Deckbuilder",$B758,NA()))</f>
        <v/>
      </c>
      <c r="L758">
        <f>IF($A758="",NA(),IF($C758="Deckbuilder",3+$F758*0.023,NA()))</f>
        <v/>
      </c>
      <c r="M758">
        <f>IF($A758="",NA(),IF($C758="Traditional",$B758,NA()))</f>
        <v/>
      </c>
      <c r="N758">
        <f>IF($A758="",NA(),IF($C758="Traditional",4+$F758*0.023,NA()))</f>
        <v/>
      </c>
      <c r="O758">
        <f>IF($A758="","",$D758+ROW()/1000000)</f>
        <v/>
      </c>
      <c r="P758">
        <f>IF(OR($A758="",games!$H758=""),"",games!$H758)</f>
        <v/>
      </c>
      <c r="Q758">
        <f>IF(OR($A758="",$P758&lt;&gt;"Yes"),"",$D758+ROW()/1000000)</f>
        <v/>
      </c>
      <c r="T758">
        <f>IF(connections!$A758="","",IFERROR(INDEX(games!$B$2:$B$950,MATCH(connections!$A758,games!$A$2:$A$950,0)),""))</f>
        <v/>
      </c>
      <c r="U758">
        <f>IF(connections!$A758="","",IFERROR(INDEX(games!$B$2:$B$950,MATCH(connections!$B758,games!$A$2:$A$950,0)),""))</f>
        <v/>
      </c>
      <c r="V758">
        <f>IF(OR($T758="",$U758=""),"",$U758-$T758)</f>
        <v/>
      </c>
    </row>
    <row r="759">
      <c r="A759">
        <f>IF(games!$A759="","",games!$A759)</f>
        <v/>
      </c>
      <c r="B759">
        <f>IF($A759="","",games!$B759)</f>
        <v/>
      </c>
      <c r="C759">
        <f>IF($A759="","",games!$C759)</f>
        <v/>
      </c>
      <c r="D759">
        <f>IF($A759="","",COUNTIF(connections!$A$2:$A$1400,$A759)+COUNTIF(connections!$B$2:$B$1400,$A759))</f>
        <v/>
      </c>
      <c r="E759">
        <f>IF($A759="","",IFERROR(MATCH($C759,$R$2:$R$5,0),0))</f>
        <v/>
      </c>
      <c r="F759">
        <f>IF($A759="","",MOD(ROW(),34))</f>
        <v/>
      </c>
      <c r="G759">
        <f>IF($A759="",NA(),IF($C759="Action",$B759,NA()))</f>
        <v/>
      </c>
      <c r="H759">
        <f>IF($A759="",NA(),IF($C759="Action",1+$F759*0.023,NA()))</f>
        <v/>
      </c>
      <c r="I759">
        <f>IF($A759="",NA(),IF($C759="Strategy",$B759,NA()))</f>
        <v/>
      </c>
      <c r="J759">
        <f>IF($A759="",NA(),IF($C759="Strategy",2+$F759*0.023,NA()))</f>
        <v/>
      </c>
      <c r="K759">
        <f>IF($A759="",NA(),IF($C759="Deckbuilder",$B759,NA()))</f>
        <v/>
      </c>
      <c r="L759">
        <f>IF($A759="",NA(),IF($C759="Deckbuilder",3+$F759*0.023,NA()))</f>
        <v/>
      </c>
      <c r="M759">
        <f>IF($A759="",NA(),IF($C759="Traditional",$B759,NA()))</f>
        <v/>
      </c>
      <c r="N759">
        <f>IF($A759="",NA(),IF($C759="Traditional",4+$F759*0.023,NA()))</f>
        <v/>
      </c>
      <c r="O759">
        <f>IF($A759="","",$D759+ROW()/1000000)</f>
        <v/>
      </c>
      <c r="P759">
        <f>IF(OR($A759="",games!$H759=""),"",games!$H759)</f>
        <v/>
      </c>
      <c r="Q759">
        <f>IF(OR($A759="",$P759&lt;&gt;"Yes"),"",$D759+ROW()/1000000)</f>
        <v/>
      </c>
      <c r="T759">
        <f>IF(connections!$A759="","",IFERROR(INDEX(games!$B$2:$B$950,MATCH(connections!$A759,games!$A$2:$A$950,0)),""))</f>
        <v/>
      </c>
      <c r="U759">
        <f>IF(connections!$A759="","",IFERROR(INDEX(games!$B$2:$B$950,MATCH(connections!$B759,games!$A$2:$A$950,0)),""))</f>
        <v/>
      </c>
      <c r="V759">
        <f>IF(OR($T759="",$U759=""),"",$U759-$T759)</f>
        <v/>
      </c>
    </row>
    <row r="760">
      <c r="A760">
        <f>IF(games!$A760="","",games!$A760)</f>
        <v/>
      </c>
      <c r="B760">
        <f>IF($A760="","",games!$B760)</f>
        <v/>
      </c>
      <c r="C760">
        <f>IF($A760="","",games!$C760)</f>
        <v/>
      </c>
      <c r="D760">
        <f>IF($A760="","",COUNTIF(connections!$A$2:$A$1400,$A760)+COUNTIF(connections!$B$2:$B$1400,$A760))</f>
        <v/>
      </c>
      <c r="E760">
        <f>IF($A760="","",IFERROR(MATCH($C760,$R$2:$R$5,0),0))</f>
        <v/>
      </c>
      <c r="F760">
        <f>IF($A760="","",MOD(ROW(),34))</f>
        <v/>
      </c>
      <c r="G760">
        <f>IF($A760="",NA(),IF($C760="Action",$B760,NA()))</f>
        <v/>
      </c>
      <c r="H760">
        <f>IF($A760="",NA(),IF($C760="Action",1+$F760*0.023,NA()))</f>
        <v/>
      </c>
      <c r="I760">
        <f>IF($A760="",NA(),IF($C760="Strategy",$B760,NA()))</f>
        <v/>
      </c>
      <c r="J760">
        <f>IF($A760="",NA(),IF($C760="Strategy",2+$F760*0.023,NA()))</f>
        <v/>
      </c>
      <c r="K760">
        <f>IF($A760="",NA(),IF($C760="Deckbuilder",$B760,NA()))</f>
        <v/>
      </c>
      <c r="L760">
        <f>IF($A760="",NA(),IF($C760="Deckbuilder",3+$F760*0.023,NA()))</f>
        <v/>
      </c>
      <c r="M760">
        <f>IF($A760="",NA(),IF($C760="Traditional",$B760,NA()))</f>
        <v/>
      </c>
      <c r="N760">
        <f>IF($A760="",NA(),IF($C760="Traditional",4+$F760*0.023,NA()))</f>
        <v/>
      </c>
      <c r="O760">
        <f>IF($A760="","",$D760+ROW()/1000000)</f>
        <v/>
      </c>
      <c r="P760">
        <f>IF(OR($A760="",games!$H760=""),"",games!$H760)</f>
        <v/>
      </c>
      <c r="Q760">
        <f>IF(OR($A760="",$P760&lt;&gt;"Yes"),"",$D760+ROW()/1000000)</f>
        <v/>
      </c>
      <c r="T760">
        <f>IF(connections!$A760="","",IFERROR(INDEX(games!$B$2:$B$950,MATCH(connections!$A760,games!$A$2:$A$950,0)),""))</f>
        <v/>
      </c>
      <c r="U760">
        <f>IF(connections!$A760="","",IFERROR(INDEX(games!$B$2:$B$950,MATCH(connections!$B760,games!$A$2:$A$950,0)),""))</f>
        <v/>
      </c>
      <c r="V760">
        <f>IF(OR($T760="",$U760=""),"",$U760-$T760)</f>
        <v/>
      </c>
    </row>
    <row r="761">
      <c r="A761">
        <f>IF(games!$A761="","",games!$A761)</f>
        <v/>
      </c>
      <c r="B761">
        <f>IF($A761="","",games!$B761)</f>
        <v/>
      </c>
      <c r="C761">
        <f>IF($A761="","",games!$C761)</f>
        <v/>
      </c>
      <c r="D761">
        <f>IF($A761="","",COUNTIF(connections!$A$2:$A$1400,$A761)+COUNTIF(connections!$B$2:$B$1400,$A761))</f>
        <v/>
      </c>
      <c r="E761">
        <f>IF($A761="","",IFERROR(MATCH($C761,$R$2:$R$5,0),0))</f>
        <v/>
      </c>
      <c r="F761">
        <f>IF($A761="","",MOD(ROW(),34))</f>
        <v/>
      </c>
      <c r="G761">
        <f>IF($A761="",NA(),IF($C761="Action",$B761,NA()))</f>
        <v/>
      </c>
      <c r="H761">
        <f>IF($A761="",NA(),IF($C761="Action",1+$F761*0.023,NA()))</f>
        <v/>
      </c>
      <c r="I761">
        <f>IF($A761="",NA(),IF($C761="Strategy",$B761,NA()))</f>
        <v/>
      </c>
      <c r="J761">
        <f>IF($A761="",NA(),IF($C761="Strategy",2+$F761*0.023,NA()))</f>
        <v/>
      </c>
      <c r="K761">
        <f>IF($A761="",NA(),IF($C761="Deckbuilder",$B761,NA()))</f>
        <v/>
      </c>
      <c r="L761">
        <f>IF($A761="",NA(),IF($C761="Deckbuilder",3+$F761*0.023,NA()))</f>
        <v/>
      </c>
      <c r="M761">
        <f>IF($A761="",NA(),IF($C761="Traditional",$B761,NA()))</f>
        <v/>
      </c>
      <c r="N761">
        <f>IF($A761="",NA(),IF($C761="Traditional",4+$F761*0.023,NA()))</f>
        <v/>
      </c>
      <c r="O761">
        <f>IF($A761="","",$D761+ROW()/1000000)</f>
        <v/>
      </c>
      <c r="P761">
        <f>IF(OR($A761="",games!$H761=""),"",games!$H761)</f>
        <v/>
      </c>
      <c r="Q761">
        <f>IF(OR($A761="",$P761&lt;&gt;"Yes"),"",$D761+ROW()/1000000)</f>
        <v/>
      </c>
      <c r="T761">
        <f>IF(connections!$A761="","",IFERROR(INDEX(games!$B$2:$B$950,MATCH(connections!$A761,games!$A$2:$A$950,0)),""))</f>
        <v/>
      </c>
      <c r="U761">
        <f>IF(connections!$A761="","",IFERROR(INDEX(games!$B$2:$B$950,MATCH(connections!$B761,games!$A$2:$A$950,0)),""))</f>
        <v/>
      </c>
      <c r="V761">
        <f>IF(OR($T761="",$U761=""),"",$U761-$T761)</f>
        <v/>
      </c>
    </row>
    <row r="762">
      <c r="A762">
        <f>IF(games!$A762="","",games!$A762)</f>
        <v/>
      </c>
      <c r="B762">
        <f>IF($A762="","",games!$B762)</f>
        <v/>
      </c>
      <c r="C762">
        <f>IF($A762="","",games!$C762)</f>
        <v/>
      </c>
      <c r="D762">
        <f>IF($A762="","",COUNTIF(connections!$A$2:$A$1400,$A762)+COUNTIF(connections!$B$2:$B$1400,$A762))</f>
        <v/>
      </c>
      <c r="E762">
        <f>IF($A762="","",IFERROR(MATCH($C762,$R$2:$R$5,0),0))</f>
        <v/>
      </c>
      <c r="F762">
        <f>IF($A762="","",MOD(ROW(),34))</f>
        <v/>
      </c>
      <c r="G762">
        <f>IF($A762="",NA(),IF($C762="Action",$B762,NA()))</f>
        <v/>
      </c>
      <c r="H762">
        <f>IF($A762="",NA(),IF($C762="Action",1+$F762*0.023,NA()))</f>
        <v/>
      </c>
      <c r="I762">
        <f>IF($A762="",NA(),IF($C762="Strategy",$B762,NA()))</f>
        <v/>
      </c>
      <c r="J762">
        <f>IF($A762="",NA(),IF($C762="Strategy",2+$F762*0.023,NA()))</f>
        <v/>
      </c>
      <c r="K762">
        <f>IF($A762="",NA(),IF($C762="Deckbuilder",$B762,NA()))</f>
        <v/>
      </c>
      <c r="L762">
        <f>IF($A762="",NA(),IF($C762="Deckbuilder",3+$F762*0.023,NA()))</f>
        <v/>
      </c>
      <c r="M762">
        <f>IF($A762="",NA(),IF($C762="Traditional",$B762,NA()))</f>
        <v/>
      </c>
      <c r="N762">
        <f>IF($A762="",NA(),IF($C762="Traditional",4+$F762*0.023,NA()))</f>
        <v/>
      </c>
      <c r="O762">
        <f>IF($A762="","",$D762+ROW()/1000000)</f>
        <v/>
      </c>
      <c r="P762">
        <f>IF(OR($A762="",games!$H762=""),"",games!$H762)</f>
        <v/>
      </c>
      <c r="Q762">
        <f>IF(OR($A762="",$P762&lt;&gt;"Yes"),"",$D762+ROW()/1000000)</f>
        <v/>
      </c>
      <c r="T762">
        <f>IF(connections!$A762="","",IFERROR(INDEX(games!$B$2:$B$950,MATCH(connections!$A762,games!$A$2:$A$950,0)),""))</f>
        <v/>
      </c>
      <c r="U762">
        <f>IF(connections!$A762="","",IFERROR(INDEX(games!$B$2:$B$950,MATCH(connections!$B762,games!$A$2:$A$950,0)),""))</f>
        <v/>
      </c>
      <c r="V762">
        <f>IF(OR($T762="",$U762=""),"",$U762-$T762)</f>
        <v/>
      </c>
    </row>
    <row r="763">
      <c r="A763">
        <f>IF(games!$A763="","",games!$A763)</f>
        <v/>
      </c>
      <c r="B763">
        <f>IF($A763="","",games!$B763)</f>
        <v/>
      </c>
      <c r="C763">
        <f>IF($A763="","",games!$C763)</f>
        <v/>
      </c>
      <c r="D763">
        <f>IF($A763="","",COUNTIF(connections!$A$2:$A$1400,$A763)+COUNTIF(connections!$B$2:$B$1400,$A763))</f>
        <v/>
      </c>
      <c r="E763">
        <f>IF($A763="","",IFERROR(MATCH($C763,$R$2:$R$5,0),0))</f>
        <v/>
      </c>
      <c r="F763">
        <f>IF($A763="","",MOD(ROW(),34))</f>
        <v/>
      </c>
      <c r="G763">
        <f>IF($A763="",NA(),IF($C763="Action",$B763,NA()))</f>
        <v/>
      </c>
      <c r="H763">
        <f>IF($A763="",NA(),IF($C763="Action",1+$F763*0.023,NA()))</f>
        <v/>
      </c>
      <c r="I763">
        <f>IF($A763="",NA(),IF($C763="Strategy",$B763,NA()))</f>
        <v/>
      </c>
      <c r="J763">
        <f>IF($A763="",NA(),IF($C763="Strategy",2+$F763*0.023,NA()))</f>
        <v/>
      </c>
      <c r="K763">
        <f>IF($A763="",NA(),IF($C763="Deckbuilder",$B763,NA()))</f>
        <v/>
      </c>
      <c r="L763">
        <f>IF($A763="",NA(),IF($C763="Deckbuilder",3+$F763*0.023,NA()))</f>
        <v/>
      </c>
      <c r="M763">
        <f>IF($A763="",NA(),IF($C763="Traditional",$B763,NA()))</f>
        <v/>
      </c>
      <c r="N763">
        <f>IF($A763="",NA(),IF($C763="Traditional",4+$F763*0.023,NA()))</f>
        <v/>
      </c>
      <c r="O763">
        <f>IF($A763="","",$D763+ROW()/1000000)</f>
        <v/>
      </c>
      <c r="P763">
        <f>IF(OR($A763="",games!$H763=""),"",games!$H763)</f>
        <v/>
      </c>
      <c r="Q763">
        <f>IF(OR($A763="",$P763&lt;&gt;"Yes"),"",$D763+ROW()/1000000)</f>
        <v/>
      </c>
      <c r="T763">
        <f>IF(connections!$A763="","",IFERROR(INDEX(games!$B$2:$B$950,MATCH(connections!$A763,games!$A$2:$A$950,0)),""))</f>
        <v/>
      </c>
      <c r="U763">
        <f>IF(connections!$A763="","",IFERROR(INDEX(games!$B$2:$B$950,MATCH(connections!$B763,games!$A$2:$A$950,0)),""))</f>
        <v/>
      </c>
      <c r="V763">
        <f>IF(OR($T763="",$U763=""),"",$U763-$T763)</f>
        <v/>
      </c>
    </row>
    <row r="764">
      <c r="A764">
        <f>IF(games!$A764="","",games!$A764)</f>
        <v/>
      </c>
      <c r="B764">
        <f>IF($A764="","",games!$B764)</f>
        <v/>
      </c>
      <c r="C764">
        <f>IF($A764="","",games!$C764)</f>
        <v/>
      </c>
      <c r="D764">
        <f>IF($A764="","",COUNTIF(connections!$A$2:$A$1400,$A764)+COUNTIF(connections!$B$2:$B$1400,$A764))</f>
        <v/>
      </c>
      <c r="E764">
        <f>IF($A764="","",IFERROR(MATCH($C764,$R$2:$R$5,0),0))</f>
        <v/>
      </c>
      <c r="F764">
        <f>IF($A764="","",MOD(ROW(),34))</f>
        <v/>
      </c>
      <c r="G764">
        <f>IF($A764="",NA(),IF($C764="Action",$B764,NA()))</f>
        <v/>
      </c>
      <c r="H764">
        <f>IF($A764="",NA(),IF($C764="Action",1+$F764*0.023,NA()))</f>
        <v/>
      </c>
      <c r="I764">
        <f>IF($A764="",NA(),IF($C764="Strategy",$B764,NA()))</f>
        <v/>
      </c>
      <c r="J764">
        <f>IF($A764="",NA(),IF($C764="Strategy",2+$F764*0.023,NA()))</f>
        <v/>
      </c>
      <c r="K764">
        <f>IF($A764="",NA(),IF($C764="Deckbuilder",$B764,NA()))</f>
        <v/>
      </c>
      <c r="L764">
        <f>IF($A764="",NA(),IF($C764="Deckbuilder",3+$F764*0.023,NA()))</f>
        <v/>
      </c>
      <c r="M764">
        <f>IF($A764="",NA(),IF($C764="Traditional",$B764,NA()))</f>
        <v/>
      </c>
      <c r="N764">
        <f>IF($A764="",NA(),IF($C764="Traditional",4+$F764*0.023,NA()))</f>
        <v/>
      </c>
      <c r="O764">
        <f>IF($A764="","",$D764+ROW()/1000000)</f>
        <v/>
      </c>
      <c r="P764">
        <f>IF(OR($A764="",games!$H764=""),"",games!$H764)</f>
        <v/>
      </c>
      <c r="Q764">
        <f>IF(OR($A764="",$P764&lt;&gt;"Yes"),"",$D764+ROW()/1000000)</f>
        <v/>
      </c>
      <c r="T764">
        <f>IF(connections!$A764="","",IFERROR(INDEX(games!$B$2:$B$950,MATCH(connections!$A764,games!$A$2:$A$950,0)),""))</f>
        <v/>
      </c>
      <c r="U764">
        <f>IF(connections!$A764="","",IFERROR(INDEX(games!$B$2:$B$950,MATCH(connections!$B764,games!$A$2:$A$950,0)),""))</f>
        <v/>
      </c>
      <c r="V764">
        <f>IF(OR($T764="",$U764=""),"",$U764-$T764)</f>
        <v/>
      </c>
    </row>
    <row r="765">
      <c r="A765">
        <f>IF(games!$A765="","",games!$A765)</f>
        <v/>
      </c>
      <c r="B765">
        <f>IF($A765="","",games!$B765)</f>
        <v/>
      </c>
      <c r="C765">
        <f>IF($A765="","",games!$C765)</f>
        <v/>
      </c>
      <c r="D765">
        <f>IF($A765="","",COUNTIF(connections!$A$2:$A$1400,$A765)+COUNTIF(connections!$B$2:$B$1400,$A765))</f>
        <v/>
      </c>
      <c r="E765">
        <f>IF($A765="","",IFERROR(MATCH($C765,$R$2:$R$5,0),0))</f>
        <v/>
      </c>
      <c r="F765">
        <f>IF($A765="","",MOD(ROW(),34))</f>
        <v/>
      </c>
      <c r="G765">
        <f>IF($A765="",NA(),IF($C765="Action",$B765,NA()))</f>
        <v/>
      </c>
      <c r="H765">
        <f>IF($A765="",NA(),IF($C765="Action",1+$F765*0.023,NA()))</f>
        <v/>
      </c>
      <c r="I765">
        <f>IF($A765="",NA(),IF($C765="Strategy",$B765,NA()))</f>
        <v/>
      </c>
      <c r="J765">
        <f>IF($A765="",NA(),IF($C765="Strategy",2+$F765*0.023,NA()))</f>
        <v/>
      </c>
      <c r="K765">
        <f>IF($A765="",NA(),IF($C765="Deckbuilder",$B765,NA()))</f>
        <v/>
      </c>
      <c r="L765">
        <f>IF($A765="",NA(),IF($C765="Deckbuilder",3+$F765*0.023,NA()))</f>
        <v/>
      </c>
      <c r="M765">
        <f>IF($A765="",NA(),IF($C765="Traditional",$B765,NA()))</f>
        <v/>
      </c>
      <c r="N765">
        <f>IF($A765="",NA(),IF($C765="Traditional",4+$F765*0.023,NA()))</f>
        <v/>
      </c>
      <c r="O765">
        <f>IF($A765="","",$D765+ROW()/1000000)</f>
        <v/>
      </c>
      <c r="P765">
        <f>IF(OR($A765="",games!$H765=""),"",games!$H765)</f>
        <v/>
      </c>
      <c r="Q765">
        <f>IF(OR($A765="",$P765&lt;&gt;"Yes"),"",$D765+ROW()/1000000)</f>
        <v/>
      </c>
      <c r="T765">
        <f>IF(connections!$A765="","",IFERROR(INDEX(games!$B$2:$B$950,MATCH(connections!$A765,games!$A$2:$A$950,0)),""))</f>
        <v/>
      </c>
      <c r="U765">
        <f>IF(connections!$A765="","",IFERROR(INDEX(games!$B$2:$B$950,MATCH(connections!$B765,games!$A$2:$A$950,0)),""))</f>
        <v/>
      </c>
      <c r="V765">
        <f>IF(OR($T765="",$U765=""),"",$U765-$T765)</f>
        <v/>
      </c>
    </row>
    <row r="766">
      <c r="A766">
        <f>IF(games!$A766="","",games!$A766)</f>
        <v/>
      </c>
      <c r="B766">
        <f>IF($A766="","",games!$B766)</f>
        <v/>
      </c>
      <c r="C766">
        <f>IF($A766="","",games!$C766)</f>
        <v/>
      </c>
      <c r="D766">
        <f>IF($A766="","",COUNTIF(connections!$A$2:$A$1400,$A766)+COUNTIF(connections!$B$2:$B$1400,$A766))</f>
        <v/>
      </c>
      <c r="E766">
        <f>IF($A766="","",IFERROR(MATCH($C766,$R$2:$R$5,0),0))</f>
        <v/>
      </c>
      <c r="F766">
        <f>IF($A766="","",MOD(ROW(),34))</f>
        <v/>
      </c>
      <c r="G766">
        <f>IF($A766="",NA(),IF($C766="Action",$B766,NA()))</f>
        <v/>
      </c>
      <c r="H766">
        <f>IF($A766="",NA(),IF($C766="Action",1+$F766*0.023,NA()))</f>
        <v/>
      </c>
      <c r="I766">
        <f>IF($A766="",NA(),IF($C766="Strategy",$B766,NA()))</f>
        <v/>
      </c>
      <c r="J766">
        <f>IF($A766="",NA(),IF($C766="Strategy",2+$F766*0.023,NA()))</f>
        <v/>
      </c>
      <c r="K766">
        <f>IF($A766="",NA(),IF($C766="Deckbuilder",$B766,NA()))</f>
        <v/>
      </c>
      <c r="L766">
        <f>IF($A766="",NA(),IF($C766="Deckbuilder",3+$F766*0.023,NA()))</f>
        <v/>
      </c>
      <c r="M766">
        <f>IF($A766="",NA(),IF($C766="Traditional",$B766,NA()))</f>
        <v/>
      </c>
      <c r="N766">
        <f>IF($A766="",NA(),IF($C766="Traditional",4+$F766*0.023,NA()))</f>
        <v/>
      </c>
      <c r="O766">
        <f>IF($A766="","",$D766+ROW()/1000000)</f>
        <v/>
      </c>
      <c r="P766">
        <f>IF(OR($A766="",games!$H766=""),"",games!$H766)</f>
        <v/>
      </c>
      <c r="Q766">
        <f>IF(OR($A766="",$P766&lt;&gt;"Yes"),"",$D766+ROW()/1000000)</f>
        <v/>
      </c>
      <c r="T766">
        <f>IF(connections!$A766="","",IFERROR(INDEX(games!$B$2:$B$950,MATCH(connections!$A766,games!$A$2:$A$950,0)),""))</f>
        <v/>
      </c>
      <c r="U766">
        <f>IF(connections!$A766="","",IFERROR(INDEX(games!$B$2:$B$950,MATCH(connections!$B766,games!$A$2:$A$950,0)),""))</f>
        <v/>
      </c>
      <c r="V766">
        <f>IF(OR($T766="",$U766=""),"",$U766-$T766)</f>
        <v/>
      </c>
    </row>
    <row r="767">
      <c r="A767">
        <f>IF(games!$A767="","",games!$A767)</f>
        <v/>
      </c>
      <c r="B767">
        <f>IF($A767="","",games!$B767)</f>
        <v/>
      </c>
      <c r="C767">
        <f>IF($A767="","",games!$C767)</f>
        <v/>
      </c>
      <c r="D767">
        <f>IF($A767="","",COUNTIF(connections!$A$2:$A$1400,$A767)+COUNTIF(connections!$B$2:$B$1400,$A767))</f>
        <v/>
      </c>
      <c r="E767">
        <f>IF($A767="","",IFERROR(MATCH($C767,$R$2:$R$5,0),0))</f>
        <v/>
      </c>
      <c r="F767">
        <f>IF($A767="","",MOD(ROW(),34))</f>
        <v/>
      </c>
      <c r="G767">
        <f>IF($A767="",NA(),IF($C767="Action",$B767,NA()))</f>
        <v/>
      </c>
      <c r="H767">
        <f>IF($A767="",NA(),IF($C767="Action",1+$F767*0.023,NA()))</f>
        <v/>
      </c>
      <c r="I767">
        <f>IF($A767="",NA(),IF($C767="Strategy",$B767,NA()))</f>
        <v/>
      </c>
      <c r="J767">
        <f>IF($A767="",NA(),IF($C767="Strategy",2+$F767*0.023,NA()))</f>
        <v/>
      </c>
      <c r="K767">
        <f>IF($A767="",NA(),IF($C767="Deckbuilder",$B767,NA()))</f>
        <v/>
      </c>
      <c r="L767">
        <f>IF($A767="",NA(),IF($C767="Deckbuilder",3+$F767*0.023,NA()))</f>
        <v/>
      </c>
      <c r="M767">
        <f>IF($A767="",NA(),IF($C767="Traditional",$B767,NA()))</f>
        <v/>
      </c>
      <c r="N767">
        <f>IF($A767="",NA(),IF($C767="Traditional",4+$F767*0.023,NA()))</f>
        <v/>
      </c>
      <c r="O767">
        <f>IF($A767="","",$D767+ROW()/1000000)</f>
        <v/>
      </c>
      <c r="P767">
        <f>IF(OR($A767="",games!$H767=""),"",games!$H767)</f>
        <v/>
      </c>
      <c r="Q767">
        <f>IF(OR($A767="",$P767&lt;&gt;"Yes"),"",$D767+ROW()/1000000)</f>
        <v/>
      </c>
      <c r="T767">
        <f>IF(connections!$A767="","",IFERROR(INDEX(games!$B$2:$B$950,MATCH(connections!$A767,games!$A$2:$A$950,0)),""))</f>
        <v/>
      </c>
      <c r="U767">
        <f>IF(connections!$A767="","",IFERROR(INDEX(games!$B$2:$B$950,MATCH(connections!$B767,games!$A$2:$A$950,0)),""))</f>
        <v/>
      </c>
      <c r="V767">
        <f>IF(OR($T767="",$U767=""),"",$U767-$T767)</f>
        <v/>
      </c>
    </row>
    <row r="768">
      <c r="A768">
        <f>IF(games!$A768="","",games!$A768)</f>
        <v/>
      </c>
      <c r="B768">
        <f>IF($A768="","",games!$B768)</f>
        <v/>
      </c>
      <c r="C768">
        <f>IF($A768="","",games!$C768)</f>
        <v/>
      </c>
      <c r="D768">
        <f>IF($A768="","",COUNTIF(connections!$A$2:$A$1400,$A768)+COUNTIF(connections!$B$2:$B$1400,$A768))</f>
        <v/>
      </c>
      <c r="E768">
        <f>IF($A768="","",IFERROR(MATCH($C768,$R$2:$R$5,0),0))</f>
        <v/>
      </c>
      <c r="F768">
        <f>IF($A768="","",MOD(ROW(),34))</f>
        <v/>
      </c>
      <c r="G768">
        <f>IF($A768="",NA(),IF($C768="Action",$B768,NA()))</f>
        <v/>
      </c>
      <c r="H768">
        <f>IF($A768="",NA(),IF($C768="Action",1+$F768*0.023,NA()))</f>
        <v/>
      </c>
      <c r="I768">
        <f>IF($A768="",NA(),IF($C768="Strategy",$B768,NA()))</f>
        <v/>
      </c>
      <c r="J768">
        <f>IF($A768="",NA(),IF($C768="Strategy",2+$F768*0.023,NA()))</f>
        <v/>
      </c>
      <c r="K768">
        <f>IF($A768="",NA(),IF($C768="Deckbuilder",$B768,NA()))</f>
        <v/>
      </c>
      <c r="L768">
        <f>IF($A768="",NA(),IF($C768="Deckbuilder",3+$F768*0.023,NA()))</f>
        <v/>
      </c>
      <c r="M768">
        <f>IF($A768="",NA(),IF($C768="Traditional",$B768,NA()))</f>
        <v/>
      </c>
      <c r="N768">
        <f>IF($A768="",NA(),IF($C768="Traditional",4+$F768*0.023,NA()))</f>
        <v/>
      </c>
      <c r="O768">
        <f>IF($A768="","",$D768+ROW()/1000000)</f>
        <v/>
      </c>
      <c r="P768">
        <f>IF(OR($A768="",games!$H768=""),"",games!$H768)</f>
        <v/>
      </c>
      <c r="Q768">
        <f>IF(OR($A768="",$P768&lt;&gt;"Yes"),"",$D768+ROW()/1000000)</f>
        <v/>
      </c>
      <c r="T768">
        <f>IF(connections!$A768="","",IFERROR(INDEX(games!$B$2:$B$950,MATCH(connections!$A768,games!$A$2:$A$950,0)),""))</f>
        <v/>
      </c>
      <c r="U768">
        <f>IF(connections!$A768="","",IFERROR(INDEX(games!$B$2:$B$950,MATCH(connections!$B768,games!$A$2:$A$950,0)),""))</f>
        <v/>
      </c>
      <c r="V768">
        <f>IF(OR($T768="",$U768=""),"",$U768-$T768)</f>
        <v/>
      </c>
    </row>
    <row r="769">
      <c r="A769">
        <f>IF(games!$A769="","",games!$A769)</f>
        <v/>
      </c>
      <c r="B769">
        <f>IF($A769="","",games!$B769)</f>
        <v/>
      </c>
      <c r="C769">
        <f>IF($A769="","",games!$C769)</f>
        <v/>
      </c>
      <c r="D769">
        <f>IF($A769="","",COUNTIF(connections!$A$2:$A$1400,$A769)+COUNTIF(connections!$B$2:$B$1400,$A769))</f>
        <v/>
      </c>
      <c r="E769">
        <f>IF($A769="","",IFERROR(MATCH($C769,$R$2:$R$5,0),0))</f>
        <v/>
      </c>
      <c r="F769">
        <f>IF($A769="","",MOD(ROW(),34))</f>
        <v/>
      </c>
      <c r="G769">
        <f>IF($A769="",NA(),IF($C769="Action",$B769,NA()))</f>
        <v/>
      </c>
      <c r="H769">
        <f>IF($A769="",NA(),IF($C769="Action",1+$F769*0.023,NA()))</f>
        <v/>
      </c>
      <c r="I769">
        <f>IF($A769="",NA(),IF($C769="Strategy",$B769,NA()))</f>
        <v/>
      </c>
      <c r="J769">
        <f>IF($A769="",NA(),IF($C769="Strategy",2+$F769*0.023,NA()))</f>
        <v/>
      </c>
      <c r="K769">
        <f>IF($A769="",NA(),IF($C769="Deckbuilder",$B769,NA()))</f>
        <v/>
      </c>
      <c r="L769">
        <f>IF($A769="",NA(),IF($C769="Deckbuilder",3+$F769*0.023,NA()))</f>
        <v/>
      </c>
      <c r="M769">
        <f>IF($A769="",NA(),IF($C769="Traditional",$B769,NA()))</f>
        <v/>
      </c>
      <c r="N769">
        <f>IF($A769="",NA(),IF($C769="Traditional",4+$F769*0.023,NA()))</f>
        <v/>
      </c>
      <c r="O769">
        <f>IF($A769="","",$D769+ROW()/1000000)</f>
        <v/>
      </c>
      <c r="P769">
        <f>IF(OR($A769="",games!$H769=""),"",games!$H769)</f>
        <v/>
      </c>
      <c r="Q769">
        <f>IF(OR($A769="",$P769&lt;&gt;"Yes"),"",$D769+ROW()/1000000)</f>
        <v/>
      </c>
      <c r="T769">
        <f>IF(connections!$A769="","",IFERROR(INDEX(games!$B$2:$B$950,MATCH(connections!$A769,games!$A$2:$A$950,0)),""))</f>
        <v/>
      </c>
      <c r="U769">
        <f>IF(connections!$A769="","",IFERROR(INDEX(games!$B$2:$B$950,MATCH(connections!$B769,games!$A$2:$A$950,0)),""))</f>
        <v/>
      </c>
      <c r="V769">
        <f>IF(OR($T769="",$U769=""),"",$U769-$T769)</f>
        <v/>
      </c>
    </row>
    <row r="770">
      <c r="A770">
        <f>IF(games!$A770="","",games!$A770)</f>
        <v/>
      </c>
      <c r="B770">
        <f>IF($A770="","",games!$B770)</f>
        <v/>
      </c>
      <c r="C770">
        <f>IF($A770="","",games!$C770)</f>
        <v/>
      </c>
      <c r="D770">
        <f>IF($A770="","",COUNTIF(connections!$A$2:$A$1400,$A770)+COUNTIF(connections!$B$2:$B$1400,$A770))</f>
        <v/>
      </c>
      <c r="E770">
        <f>IF($A770="","",IFERROR(MATCH($C770,$R$2:$R$5,0),0))</f>
        <v/>
      </c>
      <c r="F770">
        <f>IF($A770="","",MOD(ROW(),34))</f>
        <v/>
      </c>
      <c r="G770">
        <f>IF($A770="",NA(),IF($C770="Action",$B770,NA()))</f>
        <v/>
      </c>
      <c r="H770">
        <f>IF($A770="",NA(),IF($C770="Action",1+$F770*0.023,NA()))</f>
        <v/>
      </c>
      <c r="I770">
        <f>IF($A770="",NA(),IF($C770="Strategy",$B770,NA()))</f>
        <v/>
      </c>
      <c r="J770">
        <f>IF($A770="",NA(),IF($C770="Strategy",2+$F770*0.023,NA()))</f>
        <v/>
      </c>
      <c r="K770">
        <f>IF($A770="",NA(),IF($C770="Deckbuilder",$B770,NA()))</f>
        <v/>
      </c>
      <c r="L770">
        <f>IF($A770="",NA(),IF($C770="Deckbuilder",3+$F770*0.023,NA()))</f>
        <v/>
      </c>
      <c r="M770">
        <f>IF($A770="",NA(),IF($C770="Traditional",$B770,NA()))</f>
        <v/>
      </c>
      <c r="N770">
        <f>IF($A770="",NA(),IF($C770="Traditional",4+$F770*0.023,NA()))</f>
        <v/>
      </c>
      <c r="O770">
        <f>IF($A770="","",$D770+ROW()/1000000)</f>
        <v/>
      </c>
      <c r="P770">
        <f>IF(OR($A770="",games!$H770=""),"",games!$H770)</f>
        <v/>
      </c>
      <c r="Q770">
        <f>IF(OR($A770="",$P770&lt;&gt;"Yes"),"",$D770+ROW()/1000000)</f>
        <v/>
      </c>
      <c r="T770">
        <f>IF(connections!$A770="","",IFERROR(INDEX(games!$B$2:$B$950,MATCH(connections!$A770,games!$A$2:$A$950,0)),""))</f>
        <v/>
      </c>
      <c r="U770">
        <f>IF(connections!$A770="","",IFERROR(INDEX(games!$B$2:$B$950,MATCH(connections!$B770,games!$A$2:$A$950,0)),""))</f>
        <v/>
      </c>
      <c r="V770">
        <f>IF(OR($T770="",$U770=""),"",$U770-$T770)</f>
        <v/>
      </c>
    </row>
    <row r="771">
      <c r="A771">
        <f>IF(games!$A771="","",games!$A771)</f>
        <v/>
      </c>
      <c r="B771">
        <f>IF($A771="","",games!$B771)</f>
        <v/>
      </c>
      <c r="C771">
        <f>IF($A771="","",games!$C771)</f>
        <v/>
      </c>
      <c r="D771">
        <f>IF($A771="","",COUNTIF(connections!$A$2:$A$1400,$A771)+COUNTIF(connections!$B$2:$B$1400,$A771))</f>
        <v/>
      </c>
      <c r="E771">
        <f>IF($A771="","",IFERROR(MATCH($C771,$R$2:$R$5,0),0))</f>
        <v/>
      </c>
      <c r="F771">
        <f>IF($A771="","",MOD(ROW(),34))</f>
        <v/>
      </c>
      <c r="G771">
        <f>IF($A771="",NA(),IF($C771="Action",$B771,NA()))</f>
        <v/>
      </c>
      <c r="H771">
        <f>IF($A771="",NA(),IF($C771="Action",1+$F771*0.023,NA()))</f>
        <v/>
      </c>
      <c r="I771">
        <f>IF($A771="",NA(),IF($C771="Strategy",$B771,NA()))</f>
        <v/>
      </c>
      <c r="J771">
        <f>IF($A771="",NA(),IF($C771="Strategy",2+$F771*0.023,NA()))</f>
        <v/>
      </c>
      <c r="K771">
        <f>IF($A771="",NA(),IF($C771="Deckbuilder",$B771,NA()))</f>
        <v/>
      </c>
      <c r="L771">
        <f>IF($A771="",NA(),IF($C771="Deckbuilder",3+$F771*0.023,NA()))</f>
        <v/>
      </c>
      <c r="M771">
        <f>IF($A771="",NA(),IF($C771="Traditional",$B771,NA()))</f>
        <v/>
      </c>
      <c r="N771">
        <f>IF($A771="",NA(),IF($C771="Traditional",4+$F771*0.023,NA()))</f>
        <v/>
      </c>
      <c r="O771">
        <f>IF($A771="","",$D771+ROW()/1000000)</f>
        <v/>
      </c>
      <c r="P771">
        <f>IF(OR($A771="",games!$H771=""),"",games!$H771)</f>
        <v/>
      </c>
      <c r="Q771">
        <f>IF(OR($A771="",$P771&lt;&gt;"Yes"),"",$D771+ROW()/1000000)</f>
        <v/>
      </c>
      <c r="T771">
        <f>IF(connections!$A771="","",IFERROR(INDEX(games!$B$2:$B$950,MATCH(connections!$A771,games!$A$2:$A$950,0)),""))</f>
        <v/>
      </c>
      <c r="U771">
        <f>IF(connections!$A771="","",IFERROR(INDEX(games!$B$2:$B$950,MATCH(connections!$B771,games!$A$2:$A$950,0)),""))</f>
        <v/>
      </c>
      <c r="V771">
        <f>IF(OR($T771="",$U771=""),"",$U771-$T771)</f>
        <v/>
      </c>
    </row>
    <row r="772">
      <c r="A772">
        <f>IF(games!$A772="","",games!$A772)</f>
        <v/>
      </c>
      <c r="B772">
        <f>IF($A772="","",games!$B772)</f>
        <v/>
      </c>
      <c r="C772">
        <f>IF($A772="","",games!$C772)</f>
        <v/>
      </c>
      <c r="D772">
        <f>IF($A772="","",COUNTIF(connections!$A$2:$A$1400,$A772)+COUNTIF(connections!$B$2:$B$1400,$A772))</f>
        <v/>
      </c>
      <c r="E772">
        <f>IF($A772="","",IFERROR(MATCH($C772,$R$2:$R$5,0),0))</f>
        <v/>
      </c>
      <c r="F772">
        <f>IF($A772="","",MOD(ROW(),34))</f>
        <v/>
      </c>
      <c r="G772">
        <f>IF($A772="",NA(),IF($C772="Action",$B772,NA()))</f>
        <v/>
      </c>
      <c r="H772">
        <f>IF($A772="",NA(),IF($C772="Action",1+$F772*0.023,NA()))</f>
        <v/>
      </c>
      <c r="I772">
        <f>IF($A772="",NA(),IF($C772="Strategy",$B772,NA()))</f>
        <v/>
      </c>
      <c r="J772">
        <f>IF($A772="",NA(),IF($C772="Strategy",2+$F772*0.023,NA()))</f>
        <v/>
      </c>
      <c r="K772">
        <f>IF($A772="",NA(),IF($C772="Deckbuilder",$B772,NA()))</f>
        <v/>
      </c>
      <c r="L772">
        <f>IF($A772="",NA(),IF($C772="Deckbuilder",3+$F772*0.023,NA()))</f>
        <v/>
      </c>
      <c r="M772">
        <f>IF($A772="",NA(),IF($C772="Traditional",$B772,NA()))</f>
        <v/>
      </c>
      <c r="N772">
        <f>IF($A772="",NA(),IF($C772="Traditional",4+$F772*0.023,NA()))</f>
        <v/>
      </c>
      <c r="O772">
        <f>IF($A772="","",$D772+ROW()/1000000)</f>
        <v/>
      </c>
      <c r="P772">
        <f>IF(OR($A772="",games!$H772=""),"",games!$H772)</f>
        <v/>
      </c>
      <c r="Q772">
        <f>IF(OR($A772="",$P772&lt;&gt;"Yes"),"",$D772+ROW()/1000000)</f>
        <v/>
      </c>
      <c r="T772">
        <f>IF(connections!$A772="","",IFERROR(INDEX(games!$B$2:$B$950,MATCH(connections!$A772,games!$A$2:$A$950,0)),""))</f>
        <v/>
      </c>
      <c r="U772">
        <f>IF(connections!$A772="","",IFERROR(INDEX(games!$B$2:$B$950,MATCH(connections!$B772,games!$A$2:$A$950,0)),""))</f>
        <v/>
      </c>
      <c r="V772">
        <f>IF(OR($T772="",$U772=""),"",$U772-$T772)</f>
        <v/>
      </c>
    </row>
    <row r="773">
      <c r="A773">
        <f>IF(games!$A773="","",games!$A773)</f>
        <v/>
      </c>
      <c r="B773">
        <f>IF($A773="","",games!$B773)</f>
        <v/>
      </c>
      <c r="C773">
        <f>IF($A773="","",games!$C773)</f>
        <v/>
      </c>
      <c r="D773">
        <f>IF($A773="","",COUNTIF(connections!$A$2:$A$1400,$A773)+COUNTIF(connections!$B$2:$B$1400,$A773))</f>
        <v/>
      </c>
      <c r="E773">
        <f>IF($A773="","",IFERROR(MATCH($C773,$R$2:$R$5,0),0))</f>
        <v/>
      </c>
      <c r="F773">
        <f>IF($A773="","",MOD(ROW(),34))</f>
        <v/>
      </c>
      <c r="G773">
        <f>IF($A773="",NA(),IF($C773="Action",$B773,NA()))</f>
        <v/>
      </c>
      <c r="H773">
        <f>IF($A773="",NA(),IF($C773="Action",1+$F773*0.023,NA()))</f>
        <v/>
      </c>
      <c r="I773">
        <f>IF($A773="",NA(),IF($C773="Strategy",$B773,NA()))</f>
        <v/>
      </c>
      <c r="J773">
        <f>IF($A773="",NA(),IF($C773="Strategy",2+$F773*0.023,NA()))</f>
        <v/>
      </c>
      <c r="K773">
        <f>IF($A773="",NA(),IF($C773="Deckbuilder",$B773,NA()))</f>
        <v/>
      </c>
      <c r="L773">
        <f>IF($A773="",NA(),IF($C773="Deckbuilder",3+$F773*0.023,NA()))</f>
        <v/>
      </c>
      <c r="M773">
        <f>IF($A773="",NA(),IF($C773="Traditional",$B773,NA()))</f>
        <v/>
      </c>
      <c r="N773">
        <f>IF($A773="",NA(),IF($C773="Traditional",4+$F773*0.023,NA()))</f>
        <v/>
      </c>
      <c r="O773">
        <f>IF($A773="","",$D773+ROW()/1000000)</f>
        <v/>
      </c>
      <c r="P773">
        <f>IF(OR($A773="",games!$H773=""),"",games!$H773)</f>
        <v/>
      </c>
      <c r="Q773">
        <f>IF(OR($A773="",$P773&lt;&gt;"Yes"),"",$D773+ROW()/1000000)</f>
        <v/>
      </c>
      <c r="T773">
        <f>IF(connections!$A773="","",IFERROR(INDEX(games!$B$2:$B$950,MATCH(connections!$A773,games!$A$2:$A$950,0)),""))</f>
        <v/>
      </c>
      <c r="U773">
        <f>IF(connections!$A773="","",IFERROR(INDEX(games!$B$2:$B$950,MATCH(connections!$B773,games!$A$2:$A$950,0)),""))</f>
        <v/>
      </c>
      <c r="V773">
        <f>IF(OR($T773="",$U773=""),"",$U773-$T773)</f>
        <v/>
      </c>
    </row>
    <row r="774">
      <c r="A774">
        <f>IF(games!$A774="","",games!$A774)</f>
        <v/>
      </c>
      <c r="B774">
        <f>IF($A774="","",games!$B774)</f>
        <v/>
      </c>
      <c r="C774">
        <f>IF($A774="","",games!$C774)</f>
        <v/>
      </c>
      <c r="D774">
        <f>IF($A774="","",COUNTIF(connections!$A$2:$A$1400,$A774)+COUNTIF(connections!$B$2:$B$1400,$A774))</f>
        <v/>
      </c>
      <c r="E774">
        <f>IF($A774="","",IFERROR(MATCH($C774,$R$2:$R$5,0),0))</f>
        <v/>
      </c>
      <c r="F774">
        <f>IF($A774="","",MOD(ROW(),34))</f>
        <v/>
      </c>
      <c r="G774">
        <f>IF($A774="",NA(),IF($C774="Action",$B774,NA()))</f>
        <v/>
      </c>
      <c r="H774">
        <f>IF($A774="",NA(),IF($C774="Action",1+$F774*0.023,NA()))</f>
        <v/>
      </c>
      <c r="I774">
        <f>IF($A774="",NA(),IF($C774="Strategy",$B774,NA()))</f>
        <v/>
      </c>
      <c r="J774">
        <f>IF($A774="",NA(),IF($C774="Strategy",2+$F774*0.023,NA()))</f>
        <v/>
      </c>
      <c r="K774">
        <f>IF($A774="",NA(),IF($C774="Deckbuilder",$B774,NA()))</f>
        <v/>
      </c>
      <c r="L774">
        <f>IF($A774="",NA(),IF($C774="Deckbuilder",3+$F774*0.023,NA()))</f>
        <v/>
      </c>
      <c r="M774">
        <f>IF($A774="",NA(),IF($C774="Traditional",$B774,NA()))</f>
        <v/>
      </c>
      <c r="N774">
        <f>IF($A774="",NA(),IF($C774="Traditional",4+$F774*0.023,NA()))</f>
        <v/>
      </c>
      <c r="O774">
        <f>IF($A774="","",$D774+ROW()/1000000)</f>
        <v/>
      </c>
      <c r="P774">
        <f>IF(OR($A774="",games!$H774=""),"",games!$H774)</f>
        <v/>
      </c>
      <c r="Q774">
        <f>IF(OR($A774="",$P774&lt;&gt;"Yes"),"",$D774+ROW()/1000000)</f>
        <v/>
      </c>
      <c r="T774">
        <f>IF(connections!$A774="","",IFERROR(INDEX(games!$B$2:$B$950,MATCH(connections!$A774,games!$A$2:$A$950,0)),""))</f>
        <v/>
      </c>
      <c r="U774">
        <f>IF(connections!$A774="","",IFERROR(INDEX(games!$B$2:$B$950,MATCH(connections!$B774,games!$A$2:$A$950,0)),""))</f>
        <v/>
      </c>
      <c r="V774">
        <f>IF(OR($T774="",$U774=""),"",$U774-$T774)</f>
        <v/>
      </c>
    </row>
    <row r="775">
      <c r="A775">
        <f>IF(games!$A775="","",games!$A775)</f>
        <v/>
      </c>
      <c r="B775">
        <f>IF($A775="","",games!$B775)</f>
        <v/>
      </c>
      <c r="C775">
        <f>IF($A775="","",games!$C775)</f>
        <v/>
      </c>
      <c r="D775">
        <f>IF($A775="","",COUNTIF(connections!$A$2:$A$1400,$A775)+COUNTIF(connections!$B$2:$B$1400,$A775))</f>
        <v/>
      </c>
      <c r="E775">
        <f>IF($A775="","",IFERROR(MATCH($C775,$R$2:$R$5,0),0))</f>
        <v/>
      </c>
      <c r="F775">
        <f>IF($A775="","",MOD(ROW(),34))</f>
        <v/>
      </c>
      <c r="G775">
        <f>IF($A775="",NA(),IF($C775="Action",$B775,NA()))</f>
        <v/>
      </c>
      <c r="H775">
        <f>IF($A775="",NA(),IF($C775="Action",1+$F775*0.023,NA()))</f>
        <v/>
      </c>
      <c r="I775">
        <f>IF($A775="",NA(),IF($C775="Strategy",$B775,NA()))</f>
        <v/>
      </c>
      <c r="J775">
        <f>IF($A775="",NA(),IF($C775="Strategy",2+$F775*0.023,NA()))</f>
        <v/>
      </c>
      <c r="K775">
        <f>IF($A775="",NA(),IF($C775="Deckbuilder",$B775,NA()))</f>
        <v/>
      </c>
      <c r="L775">
        <f>IF($A775="",NA(),IF($C775="Deckbuilder",3+$F775*0.023,NA()))</f>
        <v/>
      </c>
      <c r="M775">
        <f>IF($A775="",NA(),IF($C775="Traditional",$B775,NA()))</f>
        <v/>
      </c>
      <c r="N775">
        <f>IF($A775="",NA(),IF($C775="Traditional",4+$F775*0.023,NA()))</f>
        <v/>
      </c>
      <c r="O775">
        <f>IF($A775="","",$D775+ROW()/1000000)</f>
        <v/>
      </c>
      <c r="P775">
        <f>IF(OR($A775="",games!$H775=""),"",games!$H775)</f>
        <v/>
      </c>
      <c r="Q775">
        <f>IF(OR($A775="",$P775&lt;&gt;"Yes"),"",$D775+ROW()/1000000)</f>
        <v/>
      </c>
      <c r="T775">
        <f>IF(connections!$A775="","",IFERROR(INDEX(games!$B$2:$B$950,MATCH(connections!$A775,games!$A$2:$A$950,0)),""))</f>
        <v/>
      </c>
      <c r="U775">
        <f>IF(connections!$A775="","",IFERROR(INDEX(games!$B$2:$B$950,MATCH(connections!$B775,games!$A$2:$A$950,0)),""))</f>
        <v/>
      </c>
      <c r="V775">
        <f>IF(OR($T775="",$U775=""),"",$U775-$T775)</f>
        <v/>
      </c>
    </row>
    <row r="776">
      <c r="A776">
        <f>IF(games!$A776="","",games!$A776)</f>
        <v/>
      </c>
      <c r="B776">
        <f>IF($A776="","",games!$B776)</f>
        <v/>
      </c>
      <c r="C776">
        <f>IF($A776="","",games!$C776)</f>
        <v/>
      </c>
      <c r="D776">
        <f>IF($A776="","",COUNTIF(connections!$A$2:$A$1400,$A776)+COUNTIF(connections!$B$2:$B$1400,$A776))</f>
        <v/>
      </c>
      <c r="E776">
        <f>IF($A776="","",IFERROR(MATCH($C776,$R$2:$R$5,0),0))</f>
        <v/>
      </c>
      <c r="F776">
        <f>IF($A776="","",MOD(ROW(),34))</f>
        <v/>
      </c>
      <c r="G776">
        <f>IF($A776="",NA(),IF($C776="Action",$B776,NA()))</f>
        <v/>
      </c>
      <c r="H776">
        <f>IF($A776="",NA(),IF($C776="Action",1+$F776*0.023,NA()))</f>
        <v/>
      </c>
      <c r="I776">
        <f>IF($A776="",NA(),IF($C776="Strategy",$B776,NA()))</f>
        <v/>
      </c>
      <c r="J776">
        <f>IF($A776="",NA(),IF($C776="Strategy",2+$F776*0.023,NA()))</f>
        <v/>
      </c>
      <c r="K776">
        <f>IF($A776="",NA(),IF($C776="Deckbuilder",$B776,NA()))</f>
        <v/>
      </c>
      <c r="L776">
        <f>IF($A776="",NA(),IF($C776="Deckbuilder",3+$F776*0.023,NA()))</f>
        <v/>
      </c>
      <c r="M776">
        <f>IF($A776="",NA(),IF($C776="Traditional",$B776,NA()))</f>
        <v/>
      </c>
      <c r="N776">
        <f>IF($A776="",NA(),IF($C776="Traditional",4+$F776*0.023,NA()))</f>
        <v/>
      </c>
      <c r="O776">
        <f>IF($A776="","",$D776+ROW()/1000000)</f>
        <v/>
      </c>
      <c r="P776">
        <f>IF(OR($A776="",games!$H776=""),"",games!$H776)</f>
        <v/>
      </c>
      <c r="Q776">
        <f>IF(OR($A776="",$P776&lt;&gt;"Yes"),"",$D776+ROW()/1000000)</f>
        <v/>
      </c>
      <c r="T776">
        <f>IF(connections!$A776="","",IFERROR(INDEX(games!$B$2:$B$950,MATCH(connections!$A776,games!$A$2:$A$950,0)),""))</f>
        <v/>
      </c>
      <c r="U776">
        <f>IF(connections!$A776="","",IFERROR(INDEX(games!$B$2:$B$950,MATCH(connections!$B776,games!$A$2:$A$950,0)),""))</f>
        <v/>
      </c>
      <c r="V776">
        <f>IF(OR($T776="",$U776=""),"",$U776-$T776)</f>
        <v/>
      </c>
    </row>
    <row r="777">
      <c r="A777">
        <f>IF(games!$A777="","",games!$A777)</f>
        <v/>
      </c>
      <c r="B777">
        <f>IF($A777="","",games!$B777)</f>
        <v/>
      </c>
      <c r="C777">
        <f>IF($A777="","",games!$C777)</f>
        <v/>
      </c>
      <c r="D777">
        <f>IF($A777="","",COUNTIF(connections!$A$2:$A$1400,$A777)+COUNTIF(connections!$B$2:$B$1400,$A777))</f>
        <v/>
      </c>
      <c r="E777">
        <f>IF($A777="","",IFERROR(MATCH($C777,$R$2:$R$5,0),0))</f>
        <v/>
      </c>
      <c r="F777">
        <f>IF($A777="","",MOD(ROW(),34))</f>
        <v/>
      </c>
      <c r="G777">
        <f>IF($A777="",NA(),IF($C777="Action",$B777,NA()))</f>
        <v/>
      </c>
      <c r="H777">
        <f>IF($A777="",NA(),IF($C777="Action",1+$F777*0.023,NA()))</f>
        <v/>
      </c>
      <c r="I777">
        <f>IF($A777="",NA(),IF($C777="Strategy",$B777,NA()))</f>
        <v/>
      </c>
      <c r="J777">
        <f>IF($A777="",NA(),IF($C777="Strategy",2+$F777*0.023,NA()))</f>
        <v/>
      </c>
      <c r="K777">
        <f>IF($A777="",NA(),IF($C777="Deckbuilder",$B777,NA()))</f>
        <v/>
      </c>
      <c r="L777">
        <f>IF($A777="",NA(),IF($C777="Deckbuilder",3+$F777*0.023,NA()))</f>
        <v/>
      </c>
      <c r="M777">
        <f>IF($A777="",NA(),IF($C777="Traditional",$B777,NA()))</f>
        <v/>
      </c>
      <c r="N777">
        <f>IF($A777="",NA(),IF($C777="Traditional",4+$F777*0.023,NA()))</f>
        <v/>
      </c>
      <c r="O777">
        <f>IF($A777="","",$D777+ROW()/1000000)</f>
        <v/>
      </c>
      <c r="P777">
        <f>IF(OR($A777="",games!$H777=""),"",games!$H777)</f>
        <v/>
      </c>
      <c r="Q777">
        <f>IF(OR($A777="",$P777&lt;&gt;"Yes"),"",$D777+ROW()/1000000)</f>
        <v/>
      </c>
      <c r="T777">
        <f>IF(connections!$A777="","",IFERROR(INDEX(games!$B$2:$B$950,MATCH(connections!$A777,games!$A$2:$A$950,0)),""))</f>
        <v/>
      </c>
      <c r="U777">
        <f>IF(connections!$A777="","",IFERROR(INDEX(games!$B$2:$B$950,MATCH(connections!$B777,games!$A$2:$A$950,0)),""))</f>
        <v/>
      </c>
      <c r="V777">
        <f>IF(OR($T777="",$U777=""),"",$U777-$T777)</f>
        <v/>
      </c>
    </row>
    <row r="778">
      <c r="A778">
        <f>IF(games!$A778="","",games!$A778)</f>
        <v/>
      </c>
      <c r="B778">
        <f>IF($A778="","",games!$B778)</f>
        <v/>
      </c>
      <c r="C778">
        <f>IF($A778="","",games!$C778)</f>
        <v/>
      </c>
      <c r="D778">
        <f>IF($A778="","",COUNTIF(connections!$A$2:$A$1400,$A778)+COUNTIF(connections!$B$2:$B$1400,$A778))</f>
        <v/>
      </c>
      <c r="E778">
        <f>IF($A778="","",IFERROR(MATCH($C778,$R$2:$R$5,0),0))</f>
        <v/>
      </c>
      <c r="F778">
        <f>IF($A778="","",MOD(ROW(),34))</f>
        <v/>
      </c>
      <c r="G778">
        <f>IF($A778="",NA(),IF($C778="Action",$B778,NA()))</f>
        <v/>
      </c>
      <c r="H778">
        <f>IF($A778="",NA(),IF($C778="Action",1+$F778*0.023,NA()))</f>
        <v/>
      </c>
      <c r="I778">
        <f>IF($A778="",NA(),IF($C778="Strategy",$B778,NA()))</f>
        <v/>
      </c>
      <c r="J778">
        <f>IF($A778="",NA(),IF($C778="Strategy",2+$F778*0.023,NA()))</f>
        <v/>
      </c>
      <c r="K778">
        <f>IF($A778="",NA(),IF($C778="Deckbuilder",$B778,NA()))</f>
        <v/>
      </c>
      <c r="L778">
        <f>IF($A778="",NA(),IF($C778="Deckbuilder",3+$F778*0.023,NA()))</f>
        <v/>
      </c>
      <c r="M778">
        <f>IF($A778="",NA(),IF($C778="Traditional",$B778,NA()))</f>
        <v/>
      </c>
      <c r="N778">
        <f>IF($A778="",NA(),IF($C778="Traditional",4+$F778*0.023,NA()))</f>
        <v/>
      </c>
      <c r="O778">
        <f>IF($A778="","",$D778+ROW()/1000000)</f>
        <v/>
      </c>
      <c r="P778">
        <f>IF(OR($A778="",games!$H778=""),"",games!$H778)</f>
        <v/>
      </c>
      <c r="Q778">
        <f>IF(OR($A778="",$P778&lt;&gt;"Yes"),"",$D778+ROW()/1000000)</f>
        <v/>
      </c>
      <c r="T778">
        <f>IF(connections!$A778="","",IFERROR(INDEX(games!$B$2:$B$950,MATCH(connections!$A778,games!$A$2:$A$950,0)),""))</f>
        <v/>
      </c>
      <c r="U778">
        <f>IF(connections!$A778="","",IFERROR(INDEX(games!$B$2:$B$950,MATCH(connections!$B778,games!$A$2:$A$950,0)),""))</f>
        <v/>
      </c>
      <c r="V778">
        <f>IF(OR($T778="",$U778=""),"",$U778-$T778)</f>
        <v/>
      </c>
    </row>
    <row r="779">
      <c r="A779">
        <f>IF(games!$A779="","",games!$A779)</f>
        <v/>
      </c>
      <c r="B779">
        <f>IF($A779="","",games!$B779)</f>
        <v/>
      </c>
      <c r="C779">
        <f>IF($A779="","",games!$C779)</f>
        <v/>
      </c>
      <c r="D779">
        <f>IF($A779="","",COUNTIF(connections!$A$2:$A$1400,$A779)+COUNTIF(connections!$B$2:$B$1400,$A779))</f>
        <v/>
      </c>
      <c r="E779">
        <f>IF($A779="","",IFERROR(MATCH($C779,$R$2:$R$5,0),0))</f>
        <v/>
      </c>
      <c r="F779">
        <f>IF($A779="","",MOD(ROW(),34))</f>
        <v/>
      </c>
      <c r="G779">
        <f>IF($A779="",NA(),IF($C779="Action",$B779,NA()))</f>
        <v/>
      </c>
      <c r="H779">
        <f>IF($A779="",NA(),IF($C779="Action",1+$F779*0.023,NA()))</f>
        <v/>
      </c>
      <c r="I779">
        <f>IF($A779="",NA(),IF($C779="Strategy",$B779,NA()))</f>
        <v/>
      </c>
      <c r="J779">
        <f>IF($A779="",NA(),IF($C779="Strategy",2+$F779*0.023,NA()))</f>
        <v/>
      </c>
      <c r="K779">
        <f>IF($A779="",NA(),IF($C779="Deckbuilder",$B779,NA()))</f>
        <v/>
      </c>
      <c r="L779">
        <f>IF($A779="",NA(),IF($C779="Deckbuilder",3+$F779*0.023,NA()))</f>
        <v/>
      </c>
      <c r="M779">
        <f>IF($A779="",NA(),IF($C779="Traditional",$B779,NA()))</f>
        <v/>
      </c>
      <c r="N779">
        <f>IF($A779="",NA(),IF($C779="Traditional",4+$F779*0.023,NA()))</f>
        <v/>
      </c>
      <c r="O779">
        <f>IF($A779="","",$D779+ROW()/1000000)</f>
        <v/>
      </c>
      <c r="P779">
        <f>IF(OR($A779="",games!$H779=""),"",games!$H779)</f>
        <v/>
      </c>
      <c r="Q779">
        <f>IF(OR($A779="",$P779&lt;&gt;"Yes"),"",$D779+ROW()/1000000)</f>
        <v/>
      </c>
      <c r="T779">
        <f>IF(connections!$A779="","",IFERROR(INDEX(games!$B$2:$B$950,MATCH(connections!$A779,games!$A$2:$A$950,0)),""))</f>
        <v/>
      </c>
      <c r="U779">
        <f>IF(connections!$A779="","",IFERROR(INDEX(games!$B$2:$B$950,MATCH(connections!$B779,games!$A$2:$A$950,0)),""))</f>
        <v/>
      </c>
      <c r="V779">
        <f>IF(OR($T779="",$U779=""),"",$U779-$T779)</f>
        <v/>
      </c>
    </row>
    <row r="780">
      <c r="A780">
        <f>IF(games!$A780="","",games!$A780)</f>
        <v/>
      </c>
      <c r="B780">
        <f>IF($A780="","",games!$B780)</f>
        <v/>
      </c>
      <c r="C780">
        <f>IF($A780="","",games!$C780)</f>
        <v/>
      </c>
      <c r="D780">
        <f>IF($A780="","",COUNTIF(connections!$A$2:$A$1400,$A780)+COUNTIF(connections!$B$2:$B$1400,$A780))</f>
        <v/>
      </c>
      <c r="E780">
        <f>IF($A780="","",IFERROR(MATCH($C780,$R$2:$R$5,0),0))</f>
        <v/>
      </c>
      <c r="F780">
        <f>IF($A780="","",MOD(ROW(),34))</f>
        <v/>
      </c>
      <c r="G780">
        <f>IF($A780="",NA(),IF($C780="Action",$B780,NA()))</f>
        <v/>
      </c>
      <c r="H780">
        <f>IF($A780="",NA(),IF($C780="Action",1+$F780*0.023,NA()))</f>
        <v/>
      </c>
      <c r="I780">
        <f>IF($A780="",NA(),IF($C780="Strategy",$B780,NA()))</f>
        <v/>
      </c>
      <c r="J780">
        <f>IF($A780="",NA(),IF($C780="Strategy",2+$F780*0.023,NA()))</f>
        <v/>
      </c>
      <c r="K780">
        <f>IF($A780="",NA(),IF($C780="Deckbuilder",$B780,NA()))</f>
        <v/>
      </c>
      <c r="L780">
        <f>IF($A780="",NA(),IF($C780="Deckbuilder",3+$F780*0.023,NA()))</f>
        <v/>
      </c>
      <c r="M780">
        <f>IF($A780="",NA(),IF($C780="Traditional",$B780,NA()))</f>
        <v/>
      </c>
      <c r="N780">
        <f>IF($A780="",NA(),IF($C780="Traditional",4+$F780*0.023,NA()))</f>
        <v/>
      </c>
      <c r="O780">
        <f>IF($A780="","",$D780+ROW()/1000000)</f>
        <v/>
      </c>
      <c r="P780">
        <f>IF(OR($A780="",games!$H780=""),"",games!$H780)</f>
        <v/>
      </c>
      <c r="Q780">
        <f>IF(OR($A780="",$P780&lt;&gt;"Yes"),"",$D780+ROW()/1000000)</f>
        <v/>
      </c>
      <c r="T780">
        <f>IF(connections!$A780="","",IFERROR(INDEX(games!$B$2:$B$950,MATCH(connections!$A780,games!$A$2:$A$950,0)),""))</f>
        <v/>
      </c>
      <c r="U780">
        <f>IF(connections!$A780="","",IFERROR(INDEX(games!$B$2:$B$950,MATCH(connections!$B780,games!$A$2:$A$950,0)),""))</f>
        <v/>
      </c>
      <c r="V780">
        <f>IF(OR($T780="",$U780=""),"",$U780-$T780)</f>
        <v/>
      </c>
    </row>
    <row r="781">
      <c r="A781">
        <f>IF(games!$A781="","",games!$A781)</f>
        <v/>
      </c>
      <c r="B781">
        <f>IF($A781="","",games!$B781)</f>
        <v/>
      </c>
      <c r="C781">
        <f>IF($A781="","",games!$C781)</f>
        <v/>
      </c>
      <c r="D781">
        <f>IF($A781="","",COUNTIF(connections!$A$2:$A$1400,$A781)+COUNTIF(connections!$B$2:$B$1400,$A781))</f>
        <v/>
      </c>
      <c r="E781">
        <f>IF($A781="","",IFERROR(MATCH($C781,$R$2:$R$5,0),0))</f>
        <v/>
      </c>
      <c r="F781">
        <f>IF($A781="","",MOD(ROW(),34))</f>
        <v/>
      </c>
      <c r="G781">
        <f>IF($A781="",NA(),IF($C781="Action",$B781,NA()))</f>
        <v/>
      </c>
      <c r="H781">
        <f>IF($A781="",NA(),IF($C781="Action",1+$F781*0.023,NA()))</f>
        <v/>
      </c>
      <c r="I781">
        <f>IF($A781="",NA(),IF($C781="Strategy",$B781,NA()))</f>
        <v/>
      </c>
      <c r="J781">
        <f>IF($A781="",NA(),IF($C781="Strategy",2+$F781*0.023,NA()))</f>
        <v/>
      </c>
      <c r="K781">
        <f>IF($A781="",NA(),IF($C781="Deckbuilder",$B781,NA()))</f>
        <v/>
      </c>
      <c r="L781">
        <f>IF($A781="",NA(),IF($C781="Deckbuilder",3+$F781*0.023,NA()))</f>
        <v/>
      </c>
      <c r="M781">
        <f>IF($A781="",NA(),IF($C781="Traditional",$B781,NA()))</f>
        <v/>
      </c>
      <c r="N781">
        <f>IF($A781="",NA(),IF($C781="Traditional",4+$F781*0.023,NA()))</f>
        <v/>
      </c>
      <c r="O781">
        <f>IF($A781="","",$D781+ROW()/1000000)</f>
        <v/>
      </c>
      <c r="P781">
        <f>IF(OR($A781="",games!$H781=""),"",games!$H781)</f>
        <v/>
      </c>
      <c r="Q781">
        <f>IF(OR($A781="",$P781&lt;&gt;"Yes"),"",$D781+ROW()/1000000)</f>
        <v/>
      </c>
      <c r="T781">
        <f>IF(connections!$A781="","",IFERROR(INDEX(games!$B$2:$B$950,MATCH(connections!$A781,games!$A$2:$A$950,0)),""))</f>
        <v/>
      </c>
      <c r="U781">
        <f>IF(connections!$A781="","",IFERROR(INDEX(games!$B$2:$B$950,MATCH(connections!$B781,games!$A$2:$A$950,0)),""))</f>
        <v/>
      </c>
      <c r="V781">
        <f>IF(OR($T781="",$U781=""),"",$U781-$T781)</f>
        <v/>
      </c>
    </row>
    <row r="782">
      <c r="A782">
        <f>IF(games!$A782="","",games!$A782)</f>
        <v/>
      </c>
      <c r="B782">
        <f>IF($A782="","",games!$B782)</f>
        <v/>
      </c>
      <c r="C782">
        <f>IF($A782="","",games!$C782)</f>
        <v/>
      </c>
      <c r="D782">
        <f>IF($A782="","",COUNTIF(connections!$A$2:$A$1400,$A782)+COUNTIF(connections!$B$2:$B$1400,$A782))</f>
        <v/>
      </c>
      <c r="E782">
        <f>IF($A782="","",IFERROR(MATCH($C782,$R$2:$R$5,0),0))</f>
        <v/>
      </c>
      <c r="F782">
        <f>IF($A782="","",MOD(ROW(),34))</f>
        <v/>
      </c>
      <c r="G782">
        <f>IF($A782="",NA(),IF($C782="Action",$B782,NA()))</f>
        <v/>
      </c>
      <c r="H782">
        <f>IF($A782="",NA(),IF($C782="Action",1+$F782*0.023,NA()))</f>
        <v/>
      </c>
      <c r="I782">
        <f>IF($A782="",NA(),IF($C782="Strategy",$B782,NA()))</f>
        <v/>
      </c>
      <c r="J782">
        <f>IF($A782="",NA(),IF($C782="Strategy",2+$F782*0.023,NA()))</f>
        <v/>
      </c>
      <c r="K782">
        <f>IF($A782="",NA(),IF($C782="Deckbuilder",$B782,NA()))</f>
        <v/>
      </c>
      <c r="L782">
        <f>IF($A782="",NA(),IF($C782="Deckbuilder",3+$F782*0.023,NA()))</f>
        <v/>
      </c>
      <c r="M782">
        <f>IF($A782="",NA(),IF($C782="Traditional",$B782,NA()))</f>
        <v/>
      </c>
      <c r="N782">
        <f>IF($A782="",NA(),IF($C782="Traditional",4+$F782*0.023,NA()))</f>
        <v/>
      </c>
      <c r="O782">
        <f>IF($A782="","",$D782+ROW()/1000000)</f>
        <v/>
      </c>
      <c r="P782">
        <f>IF(OR($A782="",games!$H782=""),"",games!$H782)</f>
        <v/>
      </c>
      <c r="Q782">
        <f>IF(OR($A782="",$P782&lt;&gt;"Yes"),"",$D782+ROW()/1000000)</f>
        <v/>
      </c>
      <c r="T782">
        <f>IF(connections!$A782="","",IFERROR(INDEX(games!$B$2:$B$950,MATCH(connections!$A782,games!$A$2:$A$950,0)),""))</f>
        <v/>
      </c>
      <c r="U782">
        <f>IF(connections!$A782="","",IFERROR(INDEX(games!$B$2:$B$950,MATCH(connections!$B782,games!$A$2:$A$950,0)),""))</f>
        <v/>
      </c>
      <c r="V782">
        <f>IF(OR($T782="",$U782=""),"",$U782-$T782)</f>
        <v/>
      </c>
    </row>
    <row r="783">
      <c r="A783">
        <f>IF(games!$A783="","",games!$A783)</f>
        <v/>
      </c>
      <c r="B783">
        <f>IF($A783="","",games!$B783)</f>
        <v/>
      </c>
      <c r="C783">
        <f>IF($A783="","",games!$C783)</f>
        <v/>
      </c>
      <c r="D783">
        <f>IF($A783="","",COUNTIF(connections!$A$2:$A$1400,$A783)+COUNTIF(connections!$B$2:$B$1400,$A783))</f>
        <v/>
      </c>
      <c r="E783">
        <f>IF($A783="","",IFERROR(MATCH($C783,$R$2:$R$5,0),0))</f>
        <v/>
      </c>
      <c r="F783">
        <f>IF($A783="","",MOD(ROW(),34))</f>
        <v/>
      </c>
      <c r="G783">
        <f>IF($A783="",NA(),IF($C783="Action",$B783,NA()))</f>
        <v/>
      </c>
      <c r="H783">
        <f>IF($A783="",NA(),IF($C783="Action",1+$F783*0.023,NA()))</f>
        <v/>
      </c>
      <c r="I783">
        <f>IF($A783="",NA(),IF($C783="Strategy",$B783,NA()))</f>
        <v/>
      </c>
      <c r="J783">
        <f>IF($A783="",NA(),IF($C783="Strategy",2+$F783*0.023,NA()))</f>
        <v/>
      </c>
      <c r="K783">
        <f>IF($A783="",NA(),IF($C783="Deckbuilder",$B783,NA()))</f>
        <v/>
      </c>
      <c r="L783">
        <f>IF($A783="",NA(),IF($C783="Deckbuilder",3+$F783*0.023,NA()))</f>
        <v/>
      </c>
      <c r="M783">
        <f>IF($A783="",NA(),IF($C783="Traditional",$B783,NA()))</f>
        <v/>
      </c>
      <c r="N783">
        <f>IF($A783="",NA(),IF($C783="Traditional",4+$F783*0.023,NA()))</f>
        <v/>
      </c>
      <c r="O783">
        <f>IF($A783="","",$D783+ROW()/1000000)</f>
        <v/>
      </c>
      <c r="P783">
        <f>IF(OR($A783="",games!$H783=""),"",games!$H783)</f>
        <v/>
      </c>
      <c r="Q783">
        <f>IF(OR($A783="",$P783&lt;&gt;"Yes"),"",$D783+ROW()/1000000)</f>
        <v/>
      </c>
      <c r="T783">
        <f>IF(connections!$A783="","",IFERROR(INDEX(games!$B$2:$B$950,MATCH(connections!$A783,games!$A$2:$A$950,0)),""))</f>
        <v/>
      </c>
      <c r="U783">
        <f>IF(connections!$A783="","",IFERROR(INDEX(games!$B$2:$B$950,MATCH(connections!$B783,games!$A$2:$A$950,0)),""))</f>
        <v/>
      </c>
      <c r="V783">
        <f>IF(OR($T783="",$U783=""),"",$U783-$T783)</f>
        <v/>
      </c>
    </row>
    <row r="784">
      <c r="A784">
        <f>IF(games!$A784="","",games!$A784)</f>
        <v/>
      </c>
      <c r="B784">
        <f>IF($A784="","",games!$B784)</f>
        <v/>
      </c>
      <c r="C784">
        <f>IF($A784="","",games!$C784)</f>
        <v/>
      </c>
      <c r="D784">
        <f>IF($A784="","",COUNTIF(connections!$A$2:$A$1400,$A784)+COUNTIF(connections!$B$2:$B$1400,$A784))</f>
        <v/>
      </c>
      <c r="E784">
        <f>IF($A784="","",IFERROR(MATCH($C784,$R$2:$R$5,0),0))</f>
        <v/>
      </c>
      <c r="F784">
        <f>IF($A784="","",MOD(ROW(),34))</f>
        <v/>
      </c>
      <c r="G784">
        <f>IF($A784="",NA(),IF($C784="Action",$B784,NA()))</f>
        <v/>
      </c>
      <c r="H784">
        <f>IF($A784="",NA(),IF($C784="Action",1+$F784*0.023,NA()))</f>
        <v/>
      </c>
      <c r="I784">
        <f>IF($A784="",NA(),IF($C784="Strategy",$B784,NA()))</f>
        <v/>
      </c>
      <c r="J784">
        <f>IF($A784="",NA(),IF($C784="Strategy",2+$F784*0.023,NA()))</f>
        <v/>
      </c>
      <c r="K784">
        <f>IF($A784="",NA(),IF($C784="Deckbuilder",$B784,NA()))</f>
        <v/>
      </c>
      <c r="L784">
        <f>IF($A784="",NA(),IF($C784="Deckbuilder",3+$F784*0.023,NA()))</f>
        <v/>
      </c>
      <c r="M784">
        <f>IF($A784="",NA(),IF($C784="Traditional",$B784,NA()))</f>
        <v/>
      </c>
      <c r="N784">
        <f>IF($A784="",NA(),IF($C784="Traditional",4+$F784*0.023,NA()))</f>
        <v/>
      </c>
      <c r="O784">
        <f>IF($A784="","",$D784+ROW()/1000000)</f>
        <v/>
      </c>
      <c r="P784">
        <f>IF(OR($A784="",games!$H784=""),"",games!$H784)</f>
        <v/>
      </c>
      <c r="Q784">
        <f>IF(OR($A784="",$P784&lt;&gt;"Yes"),"",$D784+ROW()/1000000)</f>
        <v/>
      </c>
      <c r="T784">
        <f>IF(connections!$A784="","",IFERROR(INDEX(games!$B$2:$B$950,MATCH(connections!$A784,games!$A$2:$A$950,0)),""))</f>
        <v/>
      </c>
      <c r="U784">
        <f>IF(connections!$A784="","",IFERROR(INDEX(games!$B$2:$B$950,MATCH(connections!$B784,games!$A$2:$A$950,0)),""))</f>
        <v/>
      </c>
      <c r="V784">
        <f>IF(OR($T784="",$U784=""),"",$U784-$T784)</f>
        <v/>
      </c>
    </row>
    <row r="785">
      <c r="A785">
        <f>IF(games!$A785="","",games!$A785)</f>
        <v/>
      </c>
      <c r="B785">
        <f>IF($A785="","",games!$B785)</f>
        <v/>
      </c>
      <c r="C785">
        <f>IF($A785="","",games!$C785)</f>
        <v/>
      </c>
      <c r="D785">
        <f>IF($A785="","",COUNTIF(connections!$A$2:$A$1400,$A785)+COUNTIF(connections!$B$2:$B$1400,$A785))</f>
        <v/>
      </c>
      <c r="E785">
        <f>IF($A785="","",IFERROR(MATCH($C785,$R$2:$R$5,0),0))</f>
        <v/>
      </c>
      <c r="F785">
        <f>IF($A785="","",MOD(ROW(),34))</f>
        <v/>
      </c>
      <c r="G785">
        <f>IF($A785="",NA(),IF($C785="Action",$B785,NA()))</f>
        <v/>
      </c>
      <c r="H785">
        <f>IF($A785="",NA(),IF($C785="Action",1+$F785*0.023,NA()))</f>
        <v/>
      </c>
      <c r="I785">
        <f>IF($A785="",NA(),IF($C785="Strategy",$B785,NA()))</f>
        <v/>
      </c>
      <c r="J785">
        <f>IF($A785="",NA(),IF($C785="Strategy",2+$F785*0.023,NA()))</f>
        <v/>
      </c>
      <c r="K785">
        <f>IF($A785="",NA(),IF($C785="Deckbuilder",$B785,NA()))</f>
        <v/>
      </c>
      <c r="L785">
        <f>IF($A785="",NA(),IF($C785="Deckbuilder",3+$F785*0.023,NA()))</f>
        <v/>
      </c>
      <c r="M785">
        <f>IF($A785="",NA(),IF($C785="Traditional",$B785,NA()))</f>
        <v/>
      </c>
      <c r="N785">
        <f>IF($A785="",NA(),IF($C785="Traditional",4+$F785*0.023,NA()))</f>
        <v/>
      </c>
      <c r="O785">
        <f>IF($A785="","",$D785+ROW()/1000000)</f>
        <v/>
      </c>
      <c r="P785">
        <f>IF(OR($A785="",games!$H785=""),"",games!$H785)</f>
        <v/>
      </c>
      <c r="Q785">
        <f>IF(OR($A785="",$P785&lt;&gt;"Yes"),"",$D785+ROW()/1000000)</f>
        <v/>
      </c>
      <c r="T785">
        <f>IF(connections!$A785="","",IFERROR(INDEX(games!$B$2:$B$950,MATCH(connections!$A785,games!$A$2:$A$950,0)),""))</f>
        <v/>
      </c>
      <c r="U785">
        <f>IF(connections!$A785="","",IFERROR(INDEX(games!$B$2:$B$950,MATCH(connections!$B785,games!$A$2:$A$950,0)),""))</f>
        <v/>
      </c>
      <c r="V785">
        <f>IF(OR($T785="",$U785=""),"",$U785-$T785)</f>
        <v/>
      </c>
    </row>
    <row r="786">
      <c r="A786">
        <f>IF(games!$A786="","",games!$A786)</f>
        <v/>
      </c>
      <c r="B786">
        <f>IF($A786="","",games!$B786)</f>
        <v/>
      </c>
      <c r="C786">
        <f>IF($A786="","",games!$C786)</f>
        <v/>
      </c>
      <c r="D786">
        <f>IF($A786="","",COUNTIF(connections!$A$2:$A$1400,$A786)+COUNTIF(connections!$B$2:$B$1400,$A786))</f>
        <v/>
      </c>
      <c r="E786">
        <f>IF($A786="","",IFERROR(MATCH($C786,$R$2:$R$5,0),0))</f>
        <v/>
      </c>
      <c r="F786">
        <f>IF($A786="","",MOD(ROW(),34))</f>
        <v/>
      </c>
      <c r="G786">
        <f>IF($A786="",NA(),IF($C786="Action",$B786,NA()))</f>
        <v/>
      </c>
      <c r="H786">
        <f>IF($A786="",NA(),IF($C786="Action",1+$F786*0.023,NA()))</f>
        <v/>
      </c>
      <c r="I786">
        <f>IF($A786="",NA(),IF($C786="Strategy",$B786,NA()))</f>
        <v/>
      </c>
      <c r="J786">
        <f>IF($A786="",NA(),IF($C786="Strategy",2+$F786*0.023,NA()))</f>
        <v/>
      </c>
      <c r="K786">
        <f>IF($A786="",NA(),IF($C786="Deckbuilder",$B786,NA()))</f>
        <v/>
      </c>
      <c r="L786">
        <f>IF($A786="",NA(),IF($C786="Deckbuilder",3+$F786*0.023,NA()))</f>
        <v/>
      </c>
      <c r="M786">
        <f>IF($A786="",NA(),IF($C786="Traditional",$B786,NA()))</f>
        <v/>
      </c>
      <c r="N786">
        <f>IF($A786="",NA(),IF($C786="Traditional",4+$F786*0.023,NA()))</f>
        <v/>
      </c>
      <c r="O786">
        <f>IF($A786="","",$D786+ROW()/1000000)</f>
        <v/>
      </c>
      <c r="P786">
        <f>IF(OR($A786="",games!$H786=""),"",games!$H786)</f>
        <v/>
      </c>
      <c r="Q786">
        <f>IF(OR($A786="",$P786&lt;&gt;"Yes"),"",$D786+ROW()/1000000)</f>
        <v/>
      </c>
      <c r="T786">
        <f>IF(connections!$A786="","",IFERROR(INDEX(games!$B$2:$B$950,MATCH(connections!$A786,games!$A$2:$A$950,0)),""))</f>
        <v/>
      </c>
      <c r="U786">
        <f>IF(connections!$A786="","",IFERROR(INDEX(games!$B$2:$B$950,MATCH(connections!$B786,games!$A$2:$A$950,0)),""))</f>
        <v/>
      </c>
      <c r="V786">
        <f>IF(OR($T786="",$U786=""),"",$U786-$T786)</f>
        <v/>
      </c>
    </row>
    <row r="787">
      <c r="A787">
        <f>IF(games!$A787="","",games!$A787)</f>
        <v/>
      </c>
      <c r="B787">
        <f>IF($A787="","",games!$B787)</f>
        <v/>
      </c>
      <c r="C787">
        <f>IF($A787="","",games!$C787)</f>
        <v/>
      </c>
      <c r="D787">
        <f>IF($A787="","",COUNTIF(connections!$A$2:$A$1400,$A787)+COUNTIF(connections!$B$2:$B$1400,$A787))</f>
        <v/>
      </c>
      <c r="E787">
        <f>IF($A787="","",IFERROR(MATCH($C787,$R$2:$R$5,0),0))</f>
        <v/>
      </c>
      <c r="F787">
        <f>IF($A787="","",MOD(ROW(),34))</f>
        <v/>
      </c>
      <c r="G787">
        <f>IF($A787="",NA(),IF($C787="Action",$B787,NA()))</f>
        <v/>
      </c>
      <c r="H787">
        <f>IF($A787="",NA(),IF($C787="Action",1+$F787*0.023,NA()))</f>
        <v/>
      </c>
      <c r="I787">
        <f>IF($A787="",NA(),IF($C787="Strategy",$B787,NA()))</f>
        <v/>
      </c>
      <c r="J787">
        <f>IF($A787="",NA(),IF($C787="Strategy",2+$F787*0.023,NA()))</f>
        <v/>
      </c>
      <c r="K787">
        <f>IF($A787="",NA(),IF($C787="Deckbuilder",$B787,NA()))</f>
        <v/>
      </c>
      <c r="L787">
        <f>IF($A787="",NA(),IF($C787="Deckbuilder",3+$F787*0.023,NA()))</f>
        <v/>
      </c>
      <c r="M787">
        <f>IF($A787="",NA(),IF($C787="Traditional",$B787,NA()))</f>
        <v/>
      </c>
      <c r="N787">
        <f>IF($A787="",NA(),IF($C787="Traditional",4+$F787*0.023,NA()))</f>
        <v/>
      </c>
      <c r="O787">
        <f>IF($A787="","",$D787+ROW()/1000000)</f>
        <v/>
      </c>
      <c r="P787">
        <f>IF(OR($A787="",games!$H787=""),"",games!$H787)</f>
        <v/>
      </c>
      <c r="Q787">
        <f>IF(OR($A787="",$P787&lt;&gt;"Yes"),"",$D787+ROW()/1000000)</f>
        <v/>
      </c>
      <c r="T787">
        <f>IF(connections!$A787="","",IFERROR(INDEX(games!$B$2:$B$950,MATCH(connections!$A787,games!$A$2:$A$950,0)),""))</f>
        <v/>
      </c>
      <c r="U787">
        <f>IF(connections!$A787="","",IFERROR(INDEX(games!$B$2:$B$950,MATCH(connections!$B787,games!$A$2:$A$950,0)),""))</f>
        <v/>
      </c>
      <c r="V787">
        <f>IF(OR($T787="",$U787=""),"",$U787-$T787)</f>
        <v/>
      </c>
    </row>
    <row r="788">
      <c r="A788">
        <f>IF(games!$A788="","",games!$A788)</f>
        <v/>
      </c>
      <c r="B788">
        <f>IF($A788="","",games!$B788)</f>
        <v/>
      </c>
      <c r="C788">
        <f>IF($A788="","",games!$C788)</f>
        <v/>
      </c>
      <c r="D788">
        <f>IF($A788="","",COUNTIF(connections!$A$2:$A$1400,$A788)+COUNTIF(connections!$B$2:$B$1400,$A788))</f>
        <v/>
      </c>
      <c r="E788">
        <f>IF($A788="","",IFERROR(MATCH($C788,$R$2:$R$5,0),0))</f>
        <v/>
      </c>
      <c r="F788">
        <f>IF($A788="","",MOD(ROW(),34))</f>
        <v/>
      </c>
      <c r="G788">
        <f>IF($A788="",NA(),IF($C788="Action",$B788,NA()))</f>
        <v/>
      </c>
      <c r="H788">
        <f>IF($A788="",NA(),IF($C788="Action",1+$F788*0.023,NA()))</f>
        <v/>
      </c>
      <c r="I788">
        <f>IF($A788="",NA(),IF($C788="Strategy",$B788,NA()))</f>
        <v/>
      </c>
      <c r="J788">
        <f>IF($A788="",NA(),IF($C788="Strategy",2+$F788*0.023,NA()))</f>
        <v/>
      </c>
      <c r="K788">
        <f>IF($A788="",NA(),IF($C788="Deckbuilder",$B788,NA()))</f>
        <v/>
      </c>
      <c r="L788">
        <f>IF($A788="",NA(),IF($C788="Deckbuilder",3+$F788*0.023,NA()))</f>
        <v/>
      </c>
      <c r="M788">
        <f>IF($A788="",NA(),IF($C788="Traditional",$B788,NA()))</f>
        <v/>
      </c>
      <c r="N788">
        <f>IF($A788="",NA(),IF($C788="Traditional",4+$F788*0.023,NA()))</f>
        <v/>
      </c>
      <c r="O788">
        <f>IF($A788="","",$D788+ROW()/1000000)</f>
        <v/>
      </c>
      <c r="P788">
        <f>IF(OR($A788="",games!$H788=""),"",games!$H788)</f>
        <v/>
      </c>
      <c r="Q788">
        <f>IF(OR($A788="",$P788&lt;&gt;"Yes"),"",$D788+ROW()/1000000)</f>
        <v/>
      </c>
      <c r="T788">
        <f>IF(connections!$A788="","",IFERROR(INDEX(games!$B$2:$B$950,MATCH(connections!$A788,games!$A$2:$A$950,0)),""))</f>
        <v/>
      </c>
      <c r="U788">
        <f>IF(connections!$A788="","",IFERROR(INDEX(games!$B$2:$B$950,MATCH(connections!$B788,games!$A$2:$A$950,0)),""))</f>
        <v/>
      </c>
      <c r="V788">
        <f>IF(OR($T788="",$U788=""),"",$U788-$T788)</f>
        <v/>
      </c>
    </row>
    <row r="789">
      <c r="A789">
        <f>IF(games!$A789="","",games!$A789)</f>
        <v/>
      </c>
      <c r="B789">
        <f>IF($A789="","",games!$B789)</f>
        <v/>
      </c>
      <c r="C789">
        <f>IF($A789="","",games!$C789)</f>
        <v/>
      </c>
      <c r="D789">
        <f>IF($A789="","",COUNTIF(connections!$A$2:$A$1400,$A789)+COUNTIF(connections!$B$2:$B$1400,$A789))</f>
        <v/>
      </c>
      <c r="E789">
        <f>IF($A789="","",IFERROR(MATCH($C789,$R$2:$R$5,0),0))</f>
        <v/>
      </c>
      <c r="F789">
        <f>IF($A789="","",MOD(ROW(),34))</f>
        <v/>
      </c>
      <c r="G789">
        <f>IF($A789="",NA(),IF($C789="Action",$B789,NA()))</f>
        <v/>
      </c>
      <c r="H789">
        <f>IF($A789="",NA(),IF($C789="Action",1+$F789*0.023,NA()))</f>
        <v/>
      </c>
      <c r="I789">
        <f>IF($A789="",NA(),IF($C789="Strategy",$B789,NA()))</f>
        <v/>
      </c>
      <c r="J789">
        <f>IF($A789="",NA(),IF($C789="Strategy",2+$F789*0.023,NA()))</f>
        <v/>
      </c>
      <c r="K789">
        <f>IF($A789="",NA(),IF($C789="Deckbuilder",$B789,NA()))</f>
        <v/>
      </c>
      <c r="L789">
        <f>IF($A789="",NA(),IF($C789="Deckbuilder",3+$F789*0.023,NA()))</f>
        <v/>
      </c>
      <c r="M789">
        <f>IF($A789="",NA(),IF($C789="Traditional",$B789,NA()))</f>
        <v/>
      </c>
      <c r="N789">
        <f>IF($A789="",NA(),IF($C789="Traditional",4+$F789*0.023,NA()))</f>
        <v/>
      </c>
      <c r="O789">
        <f>IF($A789="","",$D789+ROW()/1000000)</f>
        <v/>
      </c>
      <c r="P789">
        <f>IF(OR($A789="",games!$H789=""),"",games!$H789)</f>
        <v/>
      </c>
      <c r="Q789">
        <f>IF(OR($A789="",$P789&lt;&gt;"Yes"),"",$D789+ROW()/1000000)</f>
        <v/>
      </c>
      <c r="T789">
        <f>IF(connections!$A789="","",IFERROR(INDEX(games!$B$2:$B$950,MATCH(connections!$A789,games!$A$2:$A$950,0)),""))</f>
        <v/>
      </c>
      <c r="U789">
        <f>IF(connections!$A789="","",IFERROR(INDEX(games!$B$2:$B$950,MATCH(connections!$B789,games!$A$2:$A$950,0)),""))</f>
        <v/>
      </c>
      <c r="V789">
        <f>IF(OR($T789="",$U789=""),"",$U789-$T789)</f>
        <v/>
      </c>
    </row>
    <row r="790">
      <c r="A790">
        <f>IF(games!$A790="","",games!$A790)</f>
        <v/>
      </c>
      <c r="B790">
        <f>IF($A790="","",games!$B790)</f>
        <v/>
      </c>
      <c r="C790">
        <f>IF($A790="","",games!$C790)</f>
        <v/>
      </c>
      <c r="D790">
        <f>IF($A790="","",COUNTIF(connections!$A$2:$A$1400,$A790)+COUNTIF(connections!$B$2:$B$1400,$A790))</f>
        <v/>
      </c>
      <c r="E790">
        <f>IF($A790="","",IFERROR(MATCH($C790,$R$2:$R$5,0),0))</f>
        <v/>
      </c>
      <c r="F790">
        <f>IF($A790="","",MOD(ROW(),34))</f>
        <v/>
      </c>
      <c r="G790">
        <f>IF($A790="",NA(),IF($C790="Action",$B790,NA()))</f>
        <v/>
      </c>
      <c r="H790">
        <f>IF($A790="",NA(),IF($C790="Action",1+$F790*0.023,NA()))</f>
        <v/>
      </c>
      <c r="I790">
        <f>IF($A790="",NA(),IF($C790="Strategy",$B790,NA()))</f>
        <v/>
      </c>
      <c r="J790">
        <f>IF($A790="",NA(),IF($C790="Strategy",2+$F790*0.023,NA()))</f>
        <v/>
      </c>
      <c r="K790">
        <f>IF($A790="",NA(),IF($C790="Deckbuilder",$B790,NA()))</f>
        <v/>
      </c>
      <c r="L790">
        <f>IF($A790="",NA(),IF($C790="Deckbuilder",3+$F790*0.023,NA()))</f>
        <v/>
      </c>
      <c r="M790">
        <f>IF($A790="",NA(),IF($C790="Traditional",$B790,NA()))</f>
        <v/>
      </c>
      <c r="N790">
        <f>IF($A790="",NA(),IF($C790="Traditional",4+$F790*0.023,NA()))</f>
        <v/>
      </c>
      <c r="O790">
        <f>IF($A790="","",$D790+ROW()/1000000)</f>
        <v/>
      </c>
      <c r="P790">
        <f>IF(OR($A790="",games!$H790=""),"",games!$H790)</f>
        <v/>
      </c>
      <c r="Q790">
        <f>IF(OR($A790="",$P790&lt;&gt;"Yes"),"",$D790+ROW()/1000000)</f>
        <v/>
      </c>
      <c r="T790">
        <f>IF(connections!$A790="","",IFERROR(INDEX(games!$B$2:$B$950,MATCH(connections!$A790,games!$A$2:$A$950,0)),""))</f>
        <v/>
      </c>
      <c r="U790">
        <f>IF(connections!$A790="","",IFERROR(INDEX(games!$B$2:$B$950,MATCH(connections!$B790,games!$A$2:$A$950,0)),""))</f>
        <v/>
      </c>
      <c r="V790">
        <f>IF(OR($T790="",$U790=""),"",$U790-$T790)</f>
        <v/>
      </c>
    </row>
    <row r="791">
      <c r="A791">
        <f>IF(games!$A791="","",games!$A791)</f>
        <v/>
      </c>
      <c r="B791">
        <f>IF($A791="","",games!$B791)</f>
        <v/>
      </c>
      <c r="C791">
        <f>IF($A791="","",games!$C791)</f>
        <v/>
      </c>
      <c r="D791">
        <f>IF($A791="","",COUNTIF(connections!$A$2:$A$1400,$A791)+COUNTIF(connections!$B$2:$B$1400,$A791))</f>
        <v/>
      </c>
      <c r="E791">
        <f>IF($A791="","",IFERROR(MATCH($C791,$R$2:$R$5,0),0))</f>
        <v/>
      </c>
      <c r="F791">
        <f>IF($A791="","",MOD(ROW(),34))</f>
        <v/>
      </c>
      <c r="G791">
        <f>IF($A791="",NA(),IF($C791="Action",$B791,NA()))</f>
        <v/>
      </c>
      <c r="H791">
        <f>IF($A791="",NA(),IF($C791="Action",1+$F791*0.023,NA()))</f>
        <v/>
      </c>
      <c r="I791">
        <f>IF($A791="",NA(),IF($C791="Strategy",$B791,NA()))</f>
        <v/>
      </c>
      <c r="J791">
        <f>IF($A791="",NA(),IF($C791="Strategy",2+$F791*0.023,NA()))</f>
        <v/>
      </c>
      <c r="K791">
        <f>IF($A791="",NA(),IF($C791="Deckbuilder",$B791,NA()))</f>
        <v/>
      </c>
      <c r="L791">
        <f>IF($A791="",NA(),IF($C791="Deckbuilder",3+$F791*0.023,NA()))</f>
        <v/>
      </c>
      <c r="M791">
        <f>IF($A791="",NA(),IF($C791="Traditional",$B791,NA()))</f>
        <v/>
      </c>
      <c r="N791">
        <f>IF($A791="",NA(),IF($C791="Traditional",4+$F791*0.023,NA()))</f>
        <v/>
      </c>
      <c r="O791">
        <f>IF($A791="","",$D791+ROW()/1000000)</f>
        <v/>
      </c>
      <c r="P791">
        <f>IF(OR($A791="",games!$H791=""),"",games!$H791)</f>
        <v/>
      </c>
      <c r="Q791">
        <f>IF(OR($A791="",$P791&lt;&gt;"Yes"),"",$D791+ROW()/1000000)</f>
        <v/>
      </c>
      <c r="T791">
        <f>IF(connections!$A791="","",IFERROR(INDEX(games!$B$2:$B$950,MATCH(connections!$A791,games!$A$2:$A$950,0)),""))</f>
        <v/>
      </c>
      <c r="U791">
        <f>IF(connections!$A791="","",IFERROR(INDEX(games!$B$2:$B$950,MATCH(connections!$B791,games!$A$2:$A$950,0)),""))</f>
        <v/>
      </c>
      <c r="V791">
        <f>IF(OR($T791="",$U791=""),"",$U791-$T791)</f>
        <v/>
      </c>
    </row>
    <row r="792">
      <c r="A792">
        <f>IF(games!$A792="","",games!$A792)</f>
        <v/>
      </c>
      <c r="B792">
        <f>IF($A792="","",games!$B792)</f>
        <v/>
      </c>
      <c r="C792">
        <f>IF($A792="","",games!$C792)</f>
        <v/>
      </c>
      <c r="D792">
        <f>IF($A792="","",COUNTIF(connections!$A$2:$A$1400,$A792)+COUNTIF(connections!$B$2:$B$1400,$A792))</f>
        <v/>
      </c>
      <c r="E792">
        <f>IF($A792="","",IFERROR(MATCH($C792,$R$2:$R$5,0),0))</f>
        <v/>
      </c>
      <c r="F792">
        <f>IF($A792="","",MOD(ROW(),34))</f>
        <v/>
      </c>
      <c r="G792">
        <f>IF($A792="",NA(),IF($C792="Action",$B792,NA()))</f>
        <v/>
      </c>
      <c r="H792">
        <f>IF($A792="",NA(),IF($C792="Action",1+$F792*0.023,NA()))</f>
        <v/>
      </c>
      <c r="I792">
        <f>IF($A792="",NA(),IF($C792="Strategy",$B792,NA()))</f>
        <v/>
      </c>
      <c r="J792">
        <f>IF($A792="",NA(),IF($C792="Strategy",2+$F792*0.023,NA()))</f>
        <v/>
      </c>
      <c r="K792">
        <f>IF($A792="",NA(),IF($C792="Deckbuilder",$B792,NA()))</f>
        <v/>
      </c>
      <c r="L792">
        <f>IF($A792="",NA(),IF($C792="Deckbuilder",3+$F792*0.023,NA()))</f>
        <v/>
      </c>
      <c r="M792">
        <f>IF($A792="",NA(),IF($C792="Traditional",$B792,NA()))</f>
        <v/>
      </c>
      <c r="N792">
        <f>IF($A792="",NA(),IF($C792="Traditional",4+$F792*0.023,NA()))</f>
        <v/>
      </c>
      <c r="O792">
        <f>IF($A792="","",$D792+ROW()/1000000)</f>
        <v/>
      </c>
      <c r="P792">
        <f>IF(OR($A792="",games!$H792=""),"",games!$H792)</f>
        <v/>
      </c>
      <c r="Q792">
        <f>IF(OR($A792="",$P792&lt;&gt;"Yes"),"",$D792+ROW()/1000000)</f>
        <v/>
      </c>
      <c r="T792">
        <f>IF(connections!$A792="","",IFERROR(INDEX(games!$B$2:$B$950,MATCH(connections!$A792,games!$A$2:$A$950,0)),""))</f>
        <v/>
      </c>
      <c r="U792">
        <f>IF(connections!$A792="","",IFERROR(INDEX(games!$B$2:$B$950,MATCH(connections!$B792,games!$A$2:$A$950,0)),""))</f>
        <v/>
      </c>
      <c r="V792">
        <f>IF(OR($T792="",$U792=""),"",$U792-$T792)</f>
        <v/>
      </c>
    </row>
    <row r="793">
      <c r="A793">
        <f>IF(games!$A793="","",games!$A793)</f>
        <v/>
      </c>
      <c r="B793">
        <f>IF($A793="","",games!$B793)</f>
        <v/>
      </c>
      <c r="C793">
        <f>IF($A793="","",games!$C793)</f>
        <v/>
      </c>
      <c r="D793">
        <f>IF($A793="","",COUNTIF(connections!$A$2:$A$1400,$A793)+COUNTIF(connections!$B$2:$B$1400,$A793))</f>
        <v/>
      </c>
      <c r="E793">
        <f>IF($A793="","",IFERROR(MATCH($C793,$R$2:$R$5,0),0))</f>
        <v/>
      </c>
      <c r="F793">
        <f>IF($A793="","",MOD(ROW(),34))</f>
        <v/>
      </c>
      <c r="G793">
        <f>IF($A793="",NA(),IF($C793="Action",$B793,NA()))</f>
        <v/>
      </c>
      <c r="H793">
        <f>IF($A793="",NA(),IF($C793="Action",1+$F793*0.023,NA()))</f>
        <v/>
      </c>
      <c r="I793">
        <f>IF($A793="",NA(),IF($C793="Strategy",$B793,NA()))</f>
        <v/>
      </c>
      <c r="J793">
        <f>IF($A793="",NA(),IF($C793="Strategy",2+$F793*0.023,NA()))</f>
        <v/>
      </c>
      <c r="K793">
        <f>IF($A793="",NA(),IF($C793="Deckbuilder",$B793,NA()))</f>
        <v/>
      </c>
      <c r="L793">
        <f>IF($A793="",NA(),IF($C793="Deckbuilder",3+$F793*0.023,NA()))</f>
        <v/>
      </c>
      <c r="M793">
        <f>IF($A793="",NA(),IF($C793="Traditional",$B793,NA()))</f>
        <v/>
      </c>
      <c r="N793">
        <f>IF($A793="",NA(),IF($C793="Traditional",4+$F793*0.023,NA()))</f>
        <v/>
      </c>
      <c r="O793">
        <f>IF($A793="","",$D793+ROW()/1000000)</f>
        <v/>
      </c>
      <c r="P793">
        <f>IF(OR($A793="",games!$H793=""),"",games!$H793)</f>
        <v/>
      </c>
      <c r="Q793">
        <f>IF(OR($A793="",$P793&lt;&gt;"Yes"),"",$D793+ROW()/1000000)</f>
        <v/>
      </c>
      <c r="T793">
        <f>IF(connections!$A793="","",IFERROR(INDEX(games!$B$2:$B$950,MATCH(connections!$A793,games!$A$2:$A$950,0)),""))</f>
        <v/>
      </c>
      <c r="U793">
        <f>IF(connections!$A793="","",IFERROR(INDEX(games!$B$2:$B$950,MATCH(connections!$B793,games!$A$2:$A$950,0)),""))</f>
        <v/>
      </c>
      <c r="V793">
        <f>IF(OR($T793="",$U793=""),"",$U793-$T793)</f>
        <v/>
      </c>
    </row>
    <row r="794">
      <c r="A794">
        <f>IF(games!$A794="","",games!$A794)</f>
        <v/>
      </c>
      <c r="B794">
        <f>IF($A794="","",games!$B794)</f>
        <v/>
      </c>
      <c r="C794">
        <f>IF($A794="","",games!$C794)</f>
        <v/>
      </c>
      <c r="D794">
        <f>IF($A794="","",COUNTIF(connections!$A$2:$A$1400,$A794)+COUNTIF(connections!$B$2:$B$1400,$A794))</f>
        <v/>
      </c>
      <c r="E794">
        <f>IF($A794="","",IFERROR(MATCH($C794,$R$2:$R$5,0),0))</f>
        <v/>
      </c>
      <c r="F794">
        <f>IF($A794="","",MOD(ROW(),34))</f>
        <v/>
      </c>
      <c r="G794">
        <f>IF($A794="",NA(),IF($C794="Action",$B794,NA()))</f>
        <v/>
      </c>
      <c r="H794">
        <f>IF($A794="",NA(),IF($C794="Action",1+$F794*0.023,NA()))</f>
        <v/>
      </c>
      <c r="I794">
        <f>IF($A794="",NA(),IF($C794="Strategy",$B794,NA()))</f>
        <v/>
      </c>
      <c r="J794">
        <f>IF($A794="",NA(),IF($C794="Strategy",2+$F794*0.023,NA()))</f>
        <v/>
      </c>
      <c r="K794">
        <f>IF($A794="",NA(),IF($C794="Deckbuilder",$B794,NA()))</f>
        <v/>
      </c>
      <c r="L794">
        <f>IF($A794="",NA(),IF($C794="Deckbuilder",3+$F794*0.023,NA()))</f>
        <v/>
      </c>
      <c r="M794">
        <f>IF($A794="",NA(),IF($C794="Traditional",$B794,NA()))</f>
        <v/>
      </c>
      <c r="N794">
        <f>IF($A794="",NA(),IF($C794="Traditional",4+$F794*0.023,NA()))</f>
        <v/>
      </c>
      <c r="O794">
        <f>IF($A794="","",$D794+ROW()/1000000)</f>
        <v/>
      </c>
      <c r="P794">
        <f>IF(OR($A794="",games!$H794=""),"",games!$H794)</f>
        <v/>
      </c>
      <c r="Q794">
        <f>IF(OR($A794="",$P794&lt;&gt;"Yes"),"",$D794+ROW()/1000000)</f>
        <v/>
      </c>
      <c r="T794">
        <f>IF(connections!$A794="","",IFERROR(INDEX(games!$B$2:$B$950,MATCH(connections!$A794,games!$A$2:$A$950,0)),""))</f>
        <v/>
      </c>
      <c r="U794">
        <f>IF(connections!$A794="","",IFERROR(INDEX(games!$B$2:$B$950,MATCH(connections!$B794,games!$A$2:$A$950,0)),""))</f>
        <v/>
      </c>
      <c r="V794">
        <f>IF(OR($T794="",$U794=""),"",$U794-$T794)</f>
        <v/>
      </c>
    </row>
    <row r="795">
      <c r="A795">
        <f>IF(games!$A795="","",games!$A795)</f>
        <v/>
      </c>
      <c r="B795">
        <f>IF($A795="","",games!$B795)</f>
        <v/>
      </c>
      <c r="C795">
        <f>IF($A795="","",games!$C795)</f>
        <v/>
      </c>
      <c r="D795">
        <f>IF($A795="","",COUNTIF(connections!$A$2:$A$1400,$A795)+COUNTIF(connections!$B$2:$B$1400,$A795))</f>
        <v/>
      </c>
      <c r="E795">
        <f>IF($A795="","",IFERROR(MATCH($C795,$R$2:$R$5,0),0))</f>
        <v/>
      </c>
      <c r="F795">
        <f>IF($A795="","",MOD(ROW(),34))</f>
        <v/>
      </c>
      <c r="G795">
        <f>IF($A795="",NA(),IF($C795="Action",$B795,NA()))</f>
        <v/>
      </c>
      <c r="H795">
        <f>IF($A795="",NA(),IF($C795="Action",1+$F795*0.023,NA()))</f>
        <v/>
      </c>
      <c r="I795">
        <f>IF($A795="",NA(),IF($C795="Strategy",$B795,NA()))</f>
        <v/>
      </c>
      <c r="J795">
        <f>IF($A795="",NA(),IF($C795="Strategy",2+$F795*0.023,NA()))</f>
        <v/>
      </c>
      <c r="K795">
        <f>IF($A795="",NA(),IF($C795="Deckbuilder",$B795,NA()))</f>
        <v/>
      </c>
      <c r="L795">
        <f>IF($A795="",NA(),IF($C795="Deckbuilder",3+$F795*0.023,NA()))</f>
        <v/>
      </c>
      <c r="M795">
        <f>IF($A795="",NA(),IF($C795="Traditional",$B795,NA()))</f>
        <v/>
      </c>
      <c r="N795">
        <f>IF($A795="",NA(),IF($C795="Traditional",4+$F795*0.023,NA()))</f>
        <v/>
      </c>
      <c r="O795">
        <f>IF($A795="","",$D795+ROW()/1000000)</f>
        <v/>
      </c>
      <c r="P795">
        <f>IF(OR($A795="",games!$H795=""),"",games!$H795)</f>
        <v/>
      </c>
      <c r="Q795">
        <f>IF(OR($A795="",$P795&lt;&gt;"Yes"),"",$D795+ROW()/1000000)</f>
        <v/>
      </c>
      <c r="T795">
        <f>IF(connections!$A795="","",IFERROR(INDEX(games!$B$2:$B$950,MATCH(connections!$A795,games!$A$2:$A$950,0)),""))</f>
        <v/>
      </c>
      <c r="U795">
        <f>IF(connections!$A795="","",IFERROR(INDEX(games!$B$2:$B$950,MATCH(connections!$B795,games!$A$2:$A$950,0)),""))</f>
        <v/>
      </c>
      <c r="V795">
        <f>IF(OR($T795="",$U795=""),"",$U795-$T795)</f>
        <v/>
      </c>
    </row>
    <row r="796">
      <c r="A796">
        <f>IF(games!$A796="","",games!$A796)</f>
        <v/>
      </c>
      <c r="B796">
        <f>IF($A796="","",games!$B796)</f>
        <v/>
      </c>
      <c r="C796">
        <f>IF($A796="","",games!$C796)</f>
        <v/>
      </c>
      <c r="D796">
        <f>IF($A796="","",COUNTIF(connections!$A$2:$A$1400,$A796)+COUNTIF(connections!$B$2:$B$1400,$A796))</f>
        <v/>
      </c>
      <c r="E796">
        <f>IF($A796="","",IFERROR(MATCH($C796,$R$2:$R$5,0),0))</f>
        <v/>
      </c>
      <c r="F796">
        <f>IF($A796="","",MOD(ROW(),34))</f>
        <v/>
      </c>
      <c r="G796">
        <f>IF($A796="",NA(),IF($C796="Action",$B796,NA()))</f>
        <v/>
      </c>
      <c r="H796">
        <f>IF($A796="",NA(),IF($C796="Action",1+$F796*0.023,NA()))</f>
        <v/>
      </c>
      <c r="I796">
        <f>IF($A796="",NA(),IF($C796="Strategy",$B796,NA()))</f>
        <v/>
      </c>
      <c r="J796">
        <f>IF($A796="",NA(),IF($C796="Strategy",2+$F796*0.023,NA()))</f>
        <v/>
      </c>
      <c r="K796">
        <f>IF($A796="",NA(),IF($C796="Deckbuilder",$B796,NA()))</f>
        <v/>
      </c>
      <c r="L796">
        <f>IF($A796="",NA(),IF($C796="Deckbuilder",3+$F796*0.023,NA()))</f>
        <v/>
      </c>
      <c r="M796">
        <f>IF($A796="",NA(),IF($C796="Traditional",$B796,NA()))</f>
        <v/>
      </c>
      <c r="N796">
        <f>IF($A796="",NA(),IF($C796="Traditional",4+$F796*0.023,NA()))</f>
        <v/>
      </c>
      <c r="O796">
        <f>IF($A796="","",$D796+ROW()/1000000)</f>
        <v/>
      </c>
      <c r="P796">
        <f>IF(OR($A796="",games!$H796=""),"",games!$H796)</f>
        <v/>
      </c>
      <c r="Q796">
        <f>IF(OR($A796="",$P796&lt;&gt;"Yes"),"",$D796+ROW()/1000000)</f>
        <v/>
      </c>
      <c r="T796">
        <f>IF(connections!$A796="","",IFERROR(INDEX(games!$B$2:$B$950,MATCH(connections!$A796,games!$A$2:$A$950,0)),""))</f>
        <v/>
      </c>
      <c r="U796">
        <f>IF(connections!$A796="","",IFERROR(INDEX(games!$B$2:$B$950,MATCH(connections!$B796,games!$A$2:$A$950,0)),""))</f>
        <v/>
      </c>
      <c r="V796">
        <f>IF(OR($T796="",$U796=""),"",$U796-$T796)</f>
        <v/>
      </c>
    </row>
    <row r="797">
      <c r="A797">
        <f>IF(games!$A797="","",games!$A797)</f>
        <v/>
      </c>
      <c r="B797">
        <f>IF($A797="","",games!$B797)</f>
        <v/>
      </c>
      <c r="C797">
        <f>IF($A797="","",games!$C797)</f>
        <v/>
      </c>
      <c r="D797">
        <f>IF($A797="","",COUNTIF(connections!$A$2:$A$1400,$A797)+COUNTIF(connections!$B$2:$B$1400,$A797))</f>
        <v/>
      </c>
      <c r="E797">
        <f>IF($A797="","",IFERROR(MATCH($C797,$R$2:$R$5,0),0))</f>
        <v/>
      </c>
      <c r="F797">
        <f>IF($A797="","",MOD(ROW(),34))</f>
        <v/>
      </c>
      <c r="G797">
        <f>IF($A797="",NA(),IF($C797="Action",$B797,NA()))</f>
        <v/>
      </c>
      <c r="H797">
        <f>IF($A797="",NA(),IF($C797="Action",1+$F797*0.023,NA()))</f>
        <v/>
      </c>
      <c r="I797">
        <f>IF($A797="",NA(),IF($C797="Strategy",$B797,NA()))</f>
        <v/>
      </c>
      <c r="J797">
        <f>IF($A797="",NA(),IF($C797="Strategy",2+$F797*0.023,NA()))</f>
        <v/>
      </c>
      <c r="K797">
        <f>IF($A797="",NA(),IF($C797="Deckbuilder",$B797,NA()))</f>
        <v/>
      </c>
      <c r="L797">
        <f>IF($A797="",NA(),IF($C797="Deckbuilder",3+$F797*0.023,NA()))</f>
        <v/>
      </c>
      <c r="M797">
        <f>IF($A797="",NA(),IF($C797="Traditional",$B797,NA()))</f>
        <v/>
      </c>
      <c r="N797">
        <f>IF($A797="",NA(),IF($C797="Traditional",4+$F797*0.023,NA()))</f>
        <v/>
      </c>
      <c r="O797">
        <f>IF($A797="","",$D797+ROW()/1000000)</f>
        <v/>
      </c>
      <c r="P797">
        <f>IF(OR($A797="",games!$H797=""),"",games!$H797)</f>
        <v/>
      </c>
      <c r="Q797">
        <f>IF(OR($A797="",$P797&lt;&gt;"Yes"),"",$D797+ROW()/1000000)</f>
        <v/>
      </c>
      <c r="T797">
        <f>IF(connections!$A797="","",IFERROR(INDEX(games!$B$2:$B$950,MATCH(connections!$A797,games!$A$2:$A$950,0)),""))</f>
        <v/>
      </c>
      <c r="U797">
        <f>IF(connections!$A797="","",IFERROR(INDEX(games!$B$2:$B$950,MATCH(connections!$B797,games!$A$2:$A$950,0)),""))</f>
        <v/>
      </c>
      <c r="V797">
        <f>IF(OR($T797="",$U797=""),"",$U797-$T797)</f>
        <v/>
      </c>
    </row>
    <row r="798">
      <c r="A798">
        <f>IF(games!$A798="","",games!$A798)</f>
        <v/>
      </c>
      <c r="B798">
        <f>IF($A798="","",games!$B798)</f>
        <v/>
      </c>
      <c r="C798">
        <f>IF($A798="","",games!$C798)</f>
        <v/>
      </c>
      <c r="D798">
        <f>IF($A798="","",COUNTIF(connections!$A$2:$A$1400,$A798)+COUNTIF(connections!$B$2:$B$1400,$A798))</f>
        <v/>
      </c>
      <c r="E798">
        <f>IF($A798="","",IFERROR(MATCH($C798,$R$2:$R$5,0),0))</f>
        <v/>
      </c>
      <c r="F798">
        <f>IF($A798="","",MOD(ROW(),34))</f>
        <v/>
      </c>
      <c r="G798">
        <f>IF($A798="",NA(),IF($C798="Action",$B798,NA()))</f>
        <v/>
      </c>
      <c r="H798">
        <f>IF($A798="",NA(),IF($C798="Action",1+$F798*0.023,NA()))</f>
        <v/>
      </c>
      <c r="I798">
        <f>IF($A798="",NA(),IF($C798="Strategy",$B798,NA()))</f>
        <v/>
      </c>
      <c r="J798">
        <f>IF($A798="",NA(),IF($C798="Strategy",2+$F798*0.023,NA()))</f>
        <v/>
      </c>
      <c r="K798">
        <f>IF($A798="",NA(),IF($C798="Deckbuilder",$B798,NA()))</f>
        <v/>
      </c>
      <c r="L798">
        <f>IF($A798="",NA(),IF($C798="Deckbuilder",3+$F798*0.023,NA()))</f>
        <v/>
      </c>
      <c r="M798">
        <f>IF($A798="",NA(),IF($C798="Traditional",$B798,NA()))</f>
        <v/>
      </c>
      <c r="N798">
        <f>IF($A798="",NA(),IF($C798="Traditional",4+$F798*0.023,NA()))</f>
        <v/>
      </c>
      <c r="O798">
        <f>IF($A798="","",$D798+ROW()/1000000)</f>
        <v/>
      </c>
      <c r="P798">
        <f>IF(OR($A798="",games!$H798=""),"",games!$H798)</f>
        <v/>
      </c>
      <c r="Q798">
        <f>IF(OR($A798="",$P798&lt;&gt;"Yes"),"",$D798+ROW()/1000000)</f>
        <v/>
      </c>
      <c r="T798">
        <f>IF(connections!$A798="","",IFERROR(INDEX(games!$B$2:$B$950,MATCH(connections!$A798,games!$A$2:$A$950,0)),""))</f>
        <v/>
      </c>
      <c r="U798">
        <f>IF(connections!$A798="","",IFERROR(INDEX(games!$B$2:$B$950,MATCH(connections!$B798,games!$A$2:$A$950,0)),""))</f>
        <v/>
      </c>
      <c r="V798">
        <f>IF(OR($T798="",$U798=""),"",$U798-$T798)</f>
        <v/>
      </c>
    </row>
    <row r="799">
      <c r="A799">
        <f>IF(games!$A799="","",games!$A799)</f>
        <v/>
      </c>
      <c r="B799">
        <f>IF($A799="","",games!$B799)</f>
        <v/>
      </c>
      <c r="C799">
        <f>IF($A799="","",games!$C799)</f>
        <v/>
      </c>
      <c r="D799">
        <f>IF($A799="","",COUNTIF(connections!$A$2:$A$1400,$A799)+COUNTIF(connections!$B$2:$B$1400,$A799))</f>
        <v/>
      </c>
      <c r="E799">
        <f>IF($A799="","",IFERROR(MATCH($C799,$R$2:$R$5,0),0))</f>
        <v/>
      </c>
      <c r="F799">
        <f>IF($A799="","",MOD(ROW(),34))</f>
        <v/>
      </c>
      <c r="G799">
        <f>IF($A799="",NA(),IF($C799="Action",$B799,NA()))</f>
        <v/>
      </c>
      <c r="H799">
        <f>IF($A799="",NA(),IF($C799="Action",1+$F799*0.023,NA()))</f>
        <v/>
      </c>
      <c r="I799">
        <f>IF($A799="",NA(),IF($C799="Strategy",$B799,NA()))</f>
        <v/>
      </c>
      <c r="J799">
        <f>IF($A799="",NA(),IF($C799="Strategy",2+$F799*0.023,NA()))</f>
        <v/>
      </c>
      <c r="K799">
        <f>IF($A799="",NA(),IF($C799="Deckbuilder",$B799,NA()))</f>
        <v/>
      </c>
      <c r="L799">
        <f>IF($A799="",NA(),IF($C799="Deckbuilder",3+$F799*0.023,NA()))</f>
        <v/>
      </c>
      <c r="M799">
        <f>IF($A799="",NA(),IF($C799="Traditional",$B799,NA()))</f>
        <v/>
      </c>
      <c r="N799">
        <f>IF($A799="",NA(),IF($C799="Traditional",4+$F799*0.023,NA()))</f>
        <v/>
      </c>
      <c r="O799">
        <f>IF($A799="","",$D799+ROW()/1000000)</f>
        <v/>
      </c>
      <c r="P799">
        <f>IF(OR($A799="",games!$H799=""),"",games!$H799)</f>
        <v/>
      </c>
      <c r="Q799">
        <f>IF(OR($A799="",$P799&lt;&gt;"Yes"),"",$D799+ROW()/1000000)</f>
        <v/>
      </c>
      <c r="T799">
        <f>IF(connections!$A799="","",IFERROR(INDEX(games!$B$2:$B$950,MATCH(connections!$A799,games!$A$2:$A$950,0)),""))</f>
        <v/>
      </c>
      <c r="U799">
        <f>IF(connections!$A799="","",IFERROR(INDEX(games!$B$2:$B$950,MATCH(connections!$B799,games!$A$2:$A$950,0)),""))</f>
        <v/>
      </c>
      <c r="V799">
        <f>IF(OR($T799="",$U799=""),"",$U799-$T799)</f>
        <v/>
      </c>
    </row>
    <row r="800">
      <c r="A800">
        <f>IF(games!$A800="","",games!$A800)</f>
        <v/>
      </c>
      <c r="B800">
        <f>IF($A800="","",games!$B800)</f>
        <v/>
      </c>
      <c r="C800">
        <f>IF($A800="","",games!$C800)</f>
        <v/>
      </c>
      <c r="D800">
        <f>IF($A800="","",COUNTIF(connections!$A$2:$A$1400,$A800)+COUNTIF(connections!$B$2:$B$1400,$A800))</f>
        <v/>
      </c>
      <c r="E800">
        <f>IF($A800="","",IFERROR(MATCH($C800,$R$2:$R$5,0),0))</f>
        <v/>
      </c>
      <c r="F800">
        <f>IF($A800="","",MOD(ROW(),34))</f>
        <v/>
      </c>
      <c r="G800">
        <f>IF($A800="",NA(),IF($C800="Action",$B800,NA()))</f>
        <v/>
      </c>
      <c r="H800">
        <f>IF($A800="",NA(),IF($C800="Action",1+$F800*0.023,NA()))</f>
        <v/>
      </c>
      <c r="I800">
        <f>IF($A800="",NA(),IF($C800="Strategy",$B800,NA()))</f>
        <v/>
      </c>
      <c r="J800">
        <f>IF($A800="",NA(),IF($C800="Strategy",2+$F800*0.023,NA()))</f>
        <v/>
      </c>
      <c r="K800">
        <f>IF($A800="",NA(),IF($C800="Deckbuilder",$B800,NA()))</f>
        <v/>
      </c>
      <c r="L800">
        <f>IF($A800="",NA(),IF($C800="Deckbuilder",3+$F800*0.023,NA()))</f>
        <v/>
      </c>
      <c r="M800">
        <f>IF($A800="",NA(),IF($C800="Traditional",$B800,NA()))</f>
        <v/>
      </c>
      <c r="N800">
        <f>IF($A800="",NA(),IF($C800="Traditional",4+$F800*0.023,NA()))</f>
        <v/>
      </c>
      <c r="O800">
        <f>IF($A800="","",$D800+ROW()/1000000)</f>
        <v/>
      </c>
      <c r="P800">
        <f>IF(OR($A800="",games!$H800=""),"",games!$H800)</f>
        <v/>
      </c>
      <c r="Q800">
        <f>IF(OR($A800="",$P800&lt;&gt;"Yes"),"",$D800+ROW()/1000000)</f>
        <v/>
      </c>
      <c r="T800">
        <f>IF(connections!$A800="","",IFERROR(INDEX(games!$B$2:$B$950,MATCH(connections!$A800,games!$A$2:$A$950,0)),""))</f>
        <v/>
      </c>
      <c r="U800">
        <f>IF(connections!$A800="","",IFERROR(INDEX(games!$B$2:$B$950,MATCH(connections!$B800,games!$A$2:$A$950,0)),""))</f>
        <v/>
      </c>
      <c r="V800">
        <f>IF(OR($T800="",$U800=""),"",$U800-$T800)</f>
        <v/>
      </c>
    </row>
    <row r="801">
      <c r="A801">
        <f>IF(games!$A801="","",games!$A801)</f>
        <v/>
      </c>
      <c r="B801">
        <f>IF($A801="","",games!$B801)</f>
        <v/>
      </c>
      <c r="C801">
        <f>IF($A801="","",games!$C801)</f>
        <v/>
      </c>
      <c r="D801">
        <f>IF($A801="","",COUNTIF(connections!$A$2:$A$1400,$A801)+COUNTIF(connections!$B$2:$B$1400,$A801))</f>
        <v/>
      </c>
      <c r="E801">
        <f>IF($A801="","",IFERROR(MATCH($C801,$R$2:$R$5,0),0))</f>
        <v/>
      </c>
      <c r="F801">
        <f>IF($A801="","",MOD(ROW(),34))</f>
        <v/>
      </c>
      <c r="G801">
        <f>IF($A801="",NA(),IF($C801="Action",$B801,NA()))</f>
        <v/>
      </c>
      <c r="H801">
        <f>IF($A801="",NA(),IF($C801="Action",1+$F801*0.023,NA()))</f>
        <v/>
      </c>
      <c r="I801">
        <f>IF($A801="",NA(),IF($C801="Strategy",$B801,NA()))</f>
        <v/>
      </c>
      <c r="J801">
        <f>IF($A801="",NA(),IF($C801="Strategy",2+$F801*0.023,NA()))</f>
        <v/>
      </c>
      <c r="K801">
        <f>IF($A801="",NA(),IF($C801="Deckbuilder",$B801,NA()))</f>
        <v/>
      </c>
      <c r="L801">
        <f>IF($A801="",NA(),IF($C801="Deckbuilder",3+$F801*0.023,NA()))</f>
        <v/>
      </c>
      <c r="M801">
        <f>IF($A801="",NA(),IF($C801="Traditional",$B801,NA()))</f>
        <v/>
      </c>
      <c r="N801">
        <f>IF($A801="",NA(),IF($C801="Traditional",4+$F801*0.023,NA()))</f>
        <v/>
      </c>
      <c r="O801">
        <f>IF($A801="","",$D801+ROW()/1000000)</f>
        <v/>
      </c>
      <c r="P801">
        <f>IF(OR($A801="",games!$H801=""),"",games!$H801)</f>
        <v/>
      </c>
      <c r="Q801">
        <f>IF(OR($A801="",$P801&lt;&gt;"Yes"),"",$D801+ROW()/1000000)</f>
        <v/>
      </c>
      <c r="T801">
        <f>IF(connections!$A801="","",IFERROR(INDEX(games!$B$2:$B$950,MATCH(connections!$A801,games!$A$2:$A$950,0)),""))</f>
        <v/>
      </c>
      <c r="U801">
        <f>IF(connections!$A801="","",IFERROR(INDEX(games!$B$2:$B$950,MATCH(connections!$B801,games!$A$2:$A$950,0)),""))</f>
        <v/>
      </c>
      <c r="V801">
        <f>IF(OR($T801="",$U801=""),"",$U801-$T801)</f>
        <v/>
      </c>
    </row>
    <row r="802">
      <c r="A802">
        <f>IF(games!$A802="","",games!$A802)</f>
        <v/>
      </c>
      <c r="B802">
        <f>IF($A802="","",games!$B802)</f>
        <v/>
      </c>
      <c r="C802">
        <f>IF($A802="","",games!$C802)</f>
        <v/>
      </c>
      <c r="D802">
        <f>IF($A802="","",COUNTIF(connections!$A$2:$A$1400,$A802)+COUNTIF(connections!$B$2:$B$1400,$A802))</f>
        <v/>
      </c>
      <c r="E802">
        <f>IF($A802="","",IFERROR(MATCH($C802,$R$2:$R$5,0),0))</f>
        <v/>
      </c>
      <c r="F802">
        <f>IF($A802="","",MOD(ROW(),34))</f>
        <v/>
      </c>
      <c r="G802">
        <f>IF($A802="",NA(),IF($C802="Action",$B802,NA()))</f>
        <v/>
      </c>
      <c r="H802">
        <f>IF($A802="",NA(),IF($C802="Action",1+$F802*0.023,NA()))</f>
        <v/>
      </c>
      <c r="I802">
        <f>IF($A802="",NA(),IF($C802="Strategy",$B802,NA()))</f>
        <v/>
      </c>
      <c r="J802">
        <f>IF($A802="",NA(),IF($C802="Strategy",2+$F802*0.023,NA()))</f>
        <v/>
      </c>
      <c r="K802">
        <f>IF($A802="",NA(),IF($C802="Deckbuilder",$B802,NA()))</f>
        <v/>
      </c>
      <c r="L802">
        <f>IF($A802="",NA(),IF($C802="Deckbuilder",3+$F802*0.023,NA()))</f>
        <v/>
      </c>
      <c r="M802">
        <f>IF($A802="",NA(),IF($C802="Traditional",$B802,NA()))</f>
        <v/>
      </c>
      <c r="N802">
        <f>IF($A802="",NA(),IF($C802="Traditional",4+$F802*0.023,NA()))</f>
        <v/>
      </c>
      <c r="O802">
        <f>IF($A802="","",$D802+ROW()/1000000)</f>
        <v/>
      </c>
      <c r="P802">
        <f>IF(OR($A802="",games!$H802=""),"",games!$H802)</f>
        <v/>
      </c>
      <c r="Q802">
        <f>IF(OR($A802="",$P802&lt;&gt;"Yes"),"",$D802+ROW()/1000000)</f>
        <v/>
      </c>
      <c r="T802">
        <f>IF(connections!$A802="","",IFERROR(INDEX(games!$B$2:$B$950,MATCH(connections!$A802,games!$A$2:$A$950,0)),""))</f>
        <v/>
      </c>
      <c r="U802">
        <f>IF(connections!$A802="","",IFERROR(INDEX(games!$B$2:$B$950,MATCH(connections!$B802,games!$A$2:$A$950,0)),""))</f>
        <v/>
      </c>
      <c r="V802">
        <f>IF(OR($T802="",$U802=""),"",$U802-$T802)</f>
        <v/>
      </c>
    </row>
    <row r="803">
      <c r="A803">
        <f>IF(games!$A803="","",games!$A803)</f>
        <v/>
      </c>
      <c r="B803">
        <f>IF($A803="","",games!$B803)</f>
        <v/>
      </c>
      <c r="C803">
        <f>IF($A803="","",games!$C803)</f>
        <v/>
      </c>
      <c r="D803">
        <f>IF($A803="","",COUNTIF(connections!$A$2:$A$1400,$A803)+COUNTIF(connections!$B$2:$B$1400,$A803))</f>
        <v/>
      </c>
      <c r="E803">
        <f>IF($A803="","",IFERROR(MATCH($C803,$R$2:$R$5,0),0))</f>
        <v/>
      </c>
      <c r="F803">
        <f>IF($A803="","",MOD(ROW(),34))</f>
        <v/>
      </c>
      <c r="G803">
        <f>IF($A803="",NA(),IF($C803="Action",$B803,NA()))</f>
        <v/>
      </c>
      <c r="H803">
        <f>IF($A803="",NA(),IF($C803="Action",1+$F803*0.023,NA()))</f>
        <v/>
      </c>
      <c r="I803">
        <f>IF($A803="",NA(),IF($C803="Strategy",$B803,NA()))</f>
        <v/>
      </c>
      <c r="J803">
        <f>IF($A803="",NA(),IF($C803="Strategy",2+$F803*0.023,NA()))</f>
        <v/>
      </c>
      <c r="K803">
        <f>IF($A803="",NA(),IF($C803="Deckbuilder",$B803,NA()))</f>
        <v/>
      </c>
      <c r="L803">
        <f>IF($A803="",NA(),IF($C803="Deckbuilder",3+$F803*0.023,NA()))</f>
        <v/>
      </c>
      <c r="M803">
        <f>IF($A803="",NA(),IF($C803="Traditional",$B803,NA()))</f>
        <v/>
      </c>
      <c r="N803">
        <f>IF($A803="",NA(),IF($C803="Traditional",4+$F803*0.023,NA()))</f>
        <v/>
      </c>
      <c r="O803">
        <f>IF($A803="","",$D803+ROW()/1000000)</f>
        <v/>
      </c>
      <c r="P803">
        <f>IF(OR($A803="",games!$H803=""),"",games!$H803)</f>
        <v/>
      </c>
      <c r="Q803">
        <f>IF(OR($A803="",$P803&lt;&gt;"Yes"),"",$D803+ROW()/1000000)</f>
        <v/>
      </c>
      <c r="T803">
        <f>IF(connections!$A803="","",IFERROR(INDEX(games!$B$2:$B$950,MATCH(connections!$A803,games!$A$2:$A$950,0)),""))</f>
        <v/>
      </c>
      <c r="U803">
        <f>IF(connections!$A803="","",IFERROR(INDEX(games!$B$2:$B$950,MATCH(connections!$B803,games!$A$2:$A$950,0)),""))</f>
        <v/>
      </c>
      <c r="V803">
        <f>IF(OR($T803="",$U803=""),"",$U803-$T803)</f>
        <v/>
      </c>
    </row>
    <row r="804">
      <c r="A804">
        <f>IF(games!$A804="","",games!$A804)</f>
        <v/>
      </c>
      <c r="B804">
        <f>IF($A804="","",games!$B804)</f>
        <v/>
      </c>
      <c r="C804">
        <f>IF($A804="","",games!$C804)</f>
        <v/>
      </c>
      <c r="D804">
        <f>IF($A804="","",COUNTIF(connections!$A$2:$A$1400,$A804)+COUNTIF(connections!$B$2:$B$1400,$A804))</f>
        <v/>
      </c>
      <c r="E804">
        <f>IF($A804="","",IFERROR(MATCH($C804,$R$2:$R$5,0),0))</f>
        <v/>
      </c>
      <c r="F804">
        <f>IF($A804="","",MOD(ROW(),34))</f>
        <v/>
      </c>
      <c r="G804">
        <f>IF($A804="",NA(),IF($C804="Action",$B804,NA()))</f>
        <v/>
      </c>
      <c r="H804">
        <f>IF($A804="",NA(),IF($C804="Action",1+$F804*0.023,NA()))</f>
        <v/>
      </c>
      <c r="I804">
        <f>IF($A804="",NA(),IF($C804="Strategy",$B804,NA()))</f>
        <v/>
      </c>
      <c r="J804">
        <f>IF($A804="",NA(),IF($C804="Strategy",2+$F804*0.023,NA()))</f>
        <v/>
      </c>
      <c r="K804">
        <f>IF($A804="",NA(),IF($C804="Deckbuilder",$B804,NA()))</f>
        <v/>
      </c>
      <c r="L804">
        <f>IF($A804="",NA(),IF($C804="Deckbuilder",3+$F804*0.023,NA()))</f>
        <v/>
      </c>
      <c r="M804">
        <f>IF($A804="",NA(),IF($C804="Traditional",$B804,NA()))</f>
        <v/>
      </c>
      <c r="N804">
        <f>IF($A804="",NA(),IF($C804="Traditional",4+$F804*0.023,NA()))</f>
        <v/>
      </c>
      <c r="O804">
        <f>IF($A804="","",$D804+ROW()/1000000)</f>
        <v/>
      </c>
      <c r="P804">
        <f>IF(OR($A804="",games!$H804=""),"",games!$H804)</f>
        <v/>
      </c>
      <c r="Q804">
        <f>IF(OR($A804="",$P804&lt;&gt;"Yes"),"",$D804+ROW()/1000000)</f>
        <v/>
      </c>
      <c r="T804">
        <f>IF(connections!$A804="","",IFERROR(INDEX(games!$B$2:$B$950,MATCH(connections!$A804,games!$A$2:$A$950,0)),""))</f>
        <v/>
      </c>
      <c r="U804">
        <f>IF(connections!$A804="","",IFERROR(INDEX(games!$B$2:$B$950,MATCH(connections!$B804,games!$A$2:$A$950,0)),""))</f>
        <v/>
      </c>
      <c r="V804">
        <f>IF(OR($T804="",$U804=""),"",$U804-$T804)</f>
        <v/>
      </c>
    </row>
    <row r="805">
      <c r="A805">
        <f>IF(games!$A805="","",games!$A805)</f>
        <v/>
      </c>
      <c r="B805">
        <f>IF($A805="","",games!$B805)</f>
        <v/>
      </c>
      <c r="C805">
        <f>IF($A805="","",games!$C805)</f>
        <v/>
      </c>
      <c r="D805">
        <f>IF($A805="","",COUNTIF(connections!$A$2:$A$1400,$A805)+COUNTIF(connections!$B$2:$B$1400,$A805))</f>
        <v/>
      </c>
      <c r="E805">
        <f>IF($A805="","",IFERROR(MATCH($C805,$R$2:$R$5,0),0))</f>
        <v/>
      </c>
      <c r="F805">
        <f>IF($A805="","",MOD(ROW(),34))</f>
        <v/>
      </c>
      <c r="G805">
        <f>IF($A805="",NA(),IF($C805="Action",$B805,NA()))</f>
        <v/>
      </c>
      <c r="H805">
        <f>IF($A805="",NA(),IF($C805="Action",1+$F805*0.023,NA()))</f>
        <v/>
      </c>
      <c r="I805">
        <f>IF($A805="",NA(),IF($C805="Strategy",$B805,NA()))</f>
        <v/>
      </c>
      <c r="J805">
        <f>IF($A805="",NA(),IF($C805="Strategy",2+$F805*0.023,NA()))</f>
        <v/>
      </c>
      <c r="K805">
        <f>IF($A805="",NA(),IF($C805="Deckbuilder",$B805,NA()))</f>
        <v/>
      </c>
      <c r="L805">
        <f>IF($A805="",NA(),IF($C805="Deckbuilder",3+$F805*0.023,NA()))</f>
        <v/>
      </c>
      <c r="M805">
        <f>IF($A805="",NA(),IF($C805="Traditional",$B805,NA()))</f>
        <v/>
      </c>
      <c r="N805">
        <f>IF($A805="",NA(),IF($C805="Traditional",4+$F805*0.023,NA()))</f>
        <v/>
      </c>
      <c r="O805">
        <f>IF($A805="","",$D805+ROW()/1000000)</f>
        <v/>
      </c>
      <c r="P805">
        <f>IF(OR($A805="",games!$H805=""),"",games!$H805)</f>
        <v/>
      </c>
      <c r="Q805">
        <f>IF(OR($A805="",$P805&lt;&gt;"Yes"),"",$D805+ROW()/1000000)</f>
        <v/>
      </c>
      <c r="T805">
        <f>IF(connections!$A805="","",IFERROR(INDEX(games!$B$2:$B$950,MATCH(connections!$A805,games!$A$2:$A$950,0)),""))</f>
        <v/>
      </c>
      <c r="U805">
        <f>IF(connections!$A805="","",IFERROR(INDEX(games!$B$2:$B$950,MATCH(connections!$B805,games!$A$2:$A$950,0)),""))</f>
        <v/>
      </c>
      <c r="V805">
        <f>IF(OR($T805="",$U805=""),"",$U805-$T805)</f>
        <v/>
      </c>
    </row>
    <row r="806">
      <c r="A806">
        <f>IF(games!$A806="","",games!$A806)</f>
        <v/>
      </c>
      <c r="B806">
        <f>IF($A806="","",games!$B806)</f>
        <v/>
      </c>
      <c r="C806">
        <f>IF($A806="","",games!$C806)</f>
        <v/>
      </c>
      <c r="D806">
        <f>IF($A806="","",COUNTIF(connections!$A$2:$A$1400,$A806)+COUNTIF(connections!$B$2:$B$1400,$A806))</f>
        <v/>
      </c>
      <c r="E806">
        <f>IF($A806="","",IFERROR(MATCH($C806,$R$2:$R$5,0),0))</f>
        <v/>
      </c>
      <c r="F806">
        <f>IF($A806="","",MOD(ROW(),34))</f>
        <v/>
      </c>
      <c r="G806">
        <f>IF($A806="",NA(),IF($C806="Action",$B806,NA()))</f>
        <v/>
      </c>
      <c r="H806">
        <f>IF($A806="",NA(),IF($C806="Action",1+$F806*0.023,NA()))</f>
        <v/>
      </c>
      <c r="I806">
        <f>IF($A806="",NA(),IF($C806="Strategy",$B806,NA()))</f>
        <v/>
      </c>
      <c r="J806">
        <f>IF($A806="",NA(),IF($C806="Strategy",2+$F806*0.023,NA()))</f>
        <v/>
      </c>
      <c r="K806">
        <f>IF($A806="",NA(),IF($C806="Deckbuilder",$B806,NA()))</f>
        <v/>
      </c>
      <c r="L806">
        <f>IF($A806="",NA(),IF($C806="Deckbuilder",3+$F806*0.023,NA()))</f>
        <v/>
      </c>
      <c r="M806">
        <f>IF($A806="",NA(),IF($C806="Traditional",$B806,NA()))</f>
        <v/>
      </c>
      <c r="N806">
        <f>IF($A806="",NA(),IF($C806="Traditional",4+$F806*0.023,NA()))</f>
        <v/>
      </c>
      <c r="O806">
        <f>IF($A806="","",$D806+ROW()/1000000)</f>
        <v/>
      </c>
      <c r="P806">
        <f>IF(OR($A806="",games!$H806=""),"",games!$H806)</f>
        <v/>
      </c>
      <c r="Q806">
        <f>IF(OR($A806="",$P806&lt;&gt;"Yes"),"",$D806+ROW()/1000000)</f>
        <v/>
      </c>
      <c r="T806">
        <f>IF(connections!$A806="","",IFERROR(INDEX(games!$B$2:$B$950,MATCH(connections!$A806,games!$A$2:$A$950,0)),""))</f>
        <v/>
      </c>
      <c r="U806">
        <f>IF(connections!$A806="","",IFERROR(INDEX(games!$B$2:$B$950,MATCH(connections!$B806,games!$A$2:$A$950,0)),""))</f>
        <v/>
      </c>
      <c r="V806">
        <f>IF(OR($T806="",$U806=""),"",$U806-$T806)</f>
        <v/>
      </c>
    </row>
    <row r="807">
      <c r="A807">
        <f>IF(games!$A807="","",games!$A807)</f>
        <v/>
      </c>
      <c r="B807">
        <f>IF($A807="","",games!$B807)</f>
        <v/>
      </c>
      <c r="C807">
        <f>IF($A807="","",games!$C807)</f>
        <v/>
      </c>
      <c r="D807">
        <f>IF($A807="","",COUNTIF(connections!$A$2:$A$1400,$A807)+COUNTIF(connections!$B$2:$B$1400,$A807))</f>
        <v/>
      </c>
      <c r="E807">
        <f>IF($A807="","",IFERROR(MATCH($C807,$R$2:$R$5,0),0))</f>
        <v/>
      </c>
      <c r="F807">
        <f>IF($A807="","",MOD(ROW(),34))</f>
        <v/>
      </c>
      <c r="G807">
        <f>IF($A807="",NA(),IF($C807="Action",$B807,NA()))</f>
        <v/>
      </c>
      <c r="H807">
        <f>IF($A807="",NA(),IF($C807="Action",1+$F807*0.023,NA()))</f>
        <v/>
      </c>
      <c r="I807">
        <f>IF($A807="",NA(),IF($C807="Strategy",$B807,NA()))</f>
        <v/>
      </c>
      <c r="J807">
        <f>IF($A807="",NA(),IF($C807="Strategy",2+$F807*0.023,NA()))</f>
        <v/>
      </c>
      <c r="K807">
        <f>IF($A807="",NA(),IF($C807="Deckbuilder",$B807,NA()))</f>
        <v/>
      </c>
      <c r="L807">
        <f>IF($A807="",NA(),IF($C807="Deckbuilder",3+$F807*0.023,NA()))</f>
        <v/>
      </c>
      <c r="M807">
        <f>IF($A807="",NA(),IF($C807="Traditional",$B807,NA()))</f>
        <v/>
      </c>
      <c r="N807">
        <f>IF($A807="",NA(),IF($C807="Traditional",4+$F807*0.023,NA()))</f>
        <v/>
      </c>
      <c r="O807">
        <f>IF($A807="","",$D807+ROW()/1000000)</f>
        <v/>
      </c>
      <c r="P807">
        <f>IF(OR($A807="",games!$H807=""),"",games!$H807)</f>
        <v/>
      </c>
      <c r="Q807">
        <f>IF(OR($A807="",$P807&lt;&gt;"Yes"),"",$D807+ROW()/1000000)</f>
        <v/>
      </c>
      <c r="T807">
        <f>IF(connections!$A807="","",IFERROR(INDEX(games!$B$2:$B$950,MATCH(connections!$A807,games!$A$2:$A$950,0)),""))</f>
        <v/>
      </c>
      <c r="U807">
        <f>IF(connections!$A807="","",IFERROR(INDEX(games!$B$2:$B$950,MATCH(connections!$B807,games!$A$2:$A$950,0)),""))</f>
        <v/>
      </c>
      <c r="V807">
        <f>IF(OR($T807="",$U807=""),"",$U807-$T807)</f>
        <v/>
      </c>
    </row>
    <row r="808">
      <c r="A808">
        <f>IF(games!$A808="","",games!$A808)</f>
        <v/>
      </c>
      <c r="B808">
        <f>IF($A808="","",games!$B808)</f>
        <v/>
      </c>
      <c r="C808">
        <f>IF($A808="","",games!$C808)</f>
        <v/>
      </c>
      <c r="D808">
        <f>IF($A808="","",COUNTIF(connections!$A$2:$A$1400,$A808)+COUNTIF(connections!$B$2:$B$1400,$A808))</f>
        <v/>
      </c>
      <c r="E808">
        <f>IF($A808="","",IFERROR(MATCH($C808,$R$2:$R$5,0),0))</f>
        <v/>
      </c>
      <c r="F808">
        <f>IF($A808="","",MOD(ROW(),34))</f>
        <v/>
      </c>
      <c r="G808">
        <f>IF($A808="",NA(),IF($C808="Action",$B808,NA()))</f>
        <v/>
      </c>
      <c r="H808">
        <f>IF($A808="",NA(),IF($C808="Action",1+$F808*0.023,NA()))</f>
        <v/>
      </c>
      <c r="I808">
        <f>IF($A808="",NA(),IF($C808="Strategy",$B808,NA()))</f>
        <v/>
      </c>
      <c r="J808">
        <f>IF($A808="",NA(),IF($C808="Strategy",2+$F808*0.023,NA()))</f>
        <v/>
      </c>
      <c r="K808">
        <f>IF($A808="",NA(),IF($C808="Deckbuilder",$B808,NA()))</f>
        <v/>
      </c>
      <c r="L808">
        <f>IF($A808="",NA(),IF($C808="Deckbuilder",3+$F808*0.023,NA()))</f>
        <v/>
      </c>
      <c r="M808">
        <f>IF($A808="",NA(),IF($C808="Traditional",$B808,NA()))</f>
        <v/>
      </c>
      <c r="N808">
        <f>IF($A808="",NA(),IF($C808="Traditional",4+$F808*0.023,NA()))</f>
        <v/>
      </c>
      <c r="O808">
        <f>IF($A808="","",$D808+ROW()/1000000)</f>
        <v/>
      </c>
      <c r="P808">
        <f>IF(OR($A808="",games!$H808=""),"",games!$H808)</f>
        <v/>
      </c>
      <c r="Q808">
        <f>IF(OR($A808="",$P808&lt;&gt;"Yes"),"",$D808+ROW()/1000000)</f>
        <v/>
      </c>
      <c r="T808">
        <f>IF(connections!$A808="","",IFERROR(INDEX(games!$B$2:$B$950,MATCH(connections!$A808,games!$A$2:$A$950,0)),""))</f>
        <v/>
      </c>
      <c r="U808">
        <f>IF(connections!$A808="","",IFERROR(INDEX(games!$B$2:$B$950,MATCH(connections!$B808,games!$A$2:$A$950,0)),""))</f>
        <v/>
      </c>
      <c r="V808">
        <f>IF(OR($T808="",$U808=""),"",$U808-$T808)</f>
        <v/>
      </c>
    </row>
    <row r="809">
      <c r="A809">
        <f>IF(games!$A809="","",games!$A809)</f>
        <v/>
      </c>
      <c r="B809">
        <f>IF($A809="","",games!$B809)</f>
        <v/>
      </c>
      <c r="C809">
        <f>IF($A809="","",games!$C809)</f>
        <v/>
      </c>
      <c r="D809">
        <f>IF($A809="","",COUNTIF(connections!$A$2:$A$1400,$A809)+COUNTIF(connections!$B$2:$B$1400,$A809))</f>
        <v/>
      </c>
      <c r="E809">
        <f>IF($A809="","",IFERROR(MATCH($C809,$R$2:$R$5,0),0))</f>
        <v/>
      </c>
      <c r="F809">
        <f>IF($A809="","",MOD(ROW(),34))</f>
        <v/>
      </c>
      <c r="G809">
        <f>IF($A809="",NA(),IF($C809="Action",$B809,NA()))</f>
        <v/>
      </c>
      <c r="H809">
        <f>IF($A809="",NA(),IF($C809="Action",1+$F809*0.023,NA()))</f>
        <v/>
      </c>
      <c r="I809">
        <f>IF($A809="",NA(),IF($C809="Strategy",$B809,NA()))</f>
        <v/>
      </c>
      <c r="J809">
        <f>IF($A809="",NA(),IF($C809="Strategy",2+$F809*0.023,NA()))</f>
        <v/>
      </c>
      <c r="K809">
        <f>IF($A809="",NA(),IF($C809="Deckbuilder",$B809,NA()))</f>
        <v/>
      </c>
      <c r="L809">
        <f>IF($A809="",NA(),IF($C809="Deckbuilder",3+$F809*0.023,NA()))</f>
        <v/>
      </c>
      <c r="M809">
        <f>IF($A809="",NA(),IF($C809="Traditional",$B809,NA()))</f>
        <v/>
      </c>
      <c r="N809">
        <f>IF($A809="",NA(),IF($C809="Traditional",4+$F809*0.023,NA()))</f>
        <v/>
      </c>
      <c r="O809">
        <f>IF($A809="","",$D809+ROW()/1000000)</f>
        <v/>
      </c>
      <c r="P809">
        <f>IF(OR($A809="",games!$H809=""),"",games!$H809)</f>
        <v/>
      </c>
      <c r="Q809">
        <f>IF(OR($A809="",$P809&lt;&gt;"Yes"),"",$D809+ROW()/1000000)</f>
        <v/>
      </c>
      <c r="T809">
        <f>IF(connections!$A809="","",IFERROR(INDEX(games!$B$2:$B$950,MATCH(connections!$A809,games!$A$2:$A$950,0)),""))</f>
        <v/>
      </c>
      <c r="U809">
        <f>IF(connections!$A809="","",IFERROR(INDEX(games!$B$2:$B$950,MATCH(connections!$B809,games!$A$2:$A$950,0)),""))</f>
        <v/>
      </c>
      <c r="V809">
        <f>IF(OR($T809="",$U809=""),"",$U809-$T809)</f>
        <v/>
      </c>
    </row>
    <row r="810">
      <c r="A810">
        <f>IF(games!$A810="","",games!$A810)</f>
        <v/>
      </c>
      <c r="B810">
        <f>IF($A810="","",games!$B810)</f>
        <v/>
      </c>
      <c r="C810">
        <f>IF($A810="","",games!$C810)</f>
        <v/>
      </c>
      <c r="D810">
        <f>IF($A810="","",COUNTIF(connections!$A$2:$A$1400,$A810)+COUNTIF(connections!$B$2:$B$1400,$A810))</f>
        <v/>
      </c>
      <c r="E810">
        <f>IF($A810="","",IFERROR(MATCH($C810,$R$2:$R$5,0),0))</f>
        <v/>
      </c>
      <c r="F810">
        <f>IF($A810="","",MOD(ROW(),34))</f>
        <v/>
      </c>
      <c r="G810">
        <f>IF($A810="",NA(),IF($C810="Action",$B810,NA()))</f>
        <v/>
      </c>
      <c r="H810">
        <f>IF($A810="",NA(),IF($C810="Action",1+$F810*0.023,NA()))</f>
        <v/>
      </c>
      <c r="I810">
        <f>IF($A810="",NA(),IF($C810="Strategy",$B810,NA()))</f>
        <v/>
      </c>
      <c r="J810">
        <f>IF($A810="",NA(),IF($C810="Strategy",2+$F810*0.023,NA()))</f>
        <v/>
      </c>
      <c r="K810">
        <f>IF($A810="",NA(),IF($C810="Deckbuilder",$B810,NA()))</f>
        <v/>
      </c>
      <c r="L810">
        <f>IF($A810="",NA(),IF($C810="Deckbuilder",3+$F810*0.023,NA()))</f>
        <v/>
      </c>
      <c r="M810">
        <f>IF($A810="",NA(),IF($C810="Traditional",$B810,NA()))</f>
        <v/>
      </c>
      <c r="N810">
        <f>IF($A810="",NA(),IF($C810="Traditional",4+$F810*0.023,NA()))</f>
        <v/>
      </c>
      <c r="O810">
        <f>IF($A810="","",$D810+ROW()/1000000)</f>
        <v/>
      </c>
      <c r="P810">
        <f>IF(OR($A810="",games!$H810=""),"",games!$H810)</f>
        <v/>
      </c>
      <c r="Q810">
        <f>IF(OR($A810="",$P810&lt;&gt;"Yes"),"",$D810+ROW()/1000000)</f>
        <v/>
      </c>
      <c r="T810">
        <f>IF(connections!$A810="","",IFERROR(INDEX(games!$B$2:$B$950,MATCH(connections!$A810,games!$A$2:$A$950,0)),""))</f>
        <v/>
      </c>
      <c r="U810">
        <f>IF(connections!$A810="","",IFERROR(INDEX(games!$B$2:$B$950,MATCH(connections!$B810,games!$A$2:$A$950,0)),""))</f>
        <v/>
      </c>
      <c r="V810">
        <f>IF(OR($T810="",$U810=""),"",$U810-$T810)</f>
        <v/>
      </c>
    </row>
    <row r="811">
      <c r="A811">
        <f>IF(games!$A811="","",games!$A811)</f>
        <v/>
      </c>
      <c r="B811">
        <f>IF($A811="","",games!$B811)</f>
        <v/>
      </c>
      <c r="C811">
        <f>IF($A811="","",games!$C811)</f>
        <v/>
      </c>
      <c r="D811">
        <f>IF($A811="","",COUNTIF(connections!$A$2:$A$1400,$A811)+COUNTIF(connections!$B$2:$B$1400,$A811))</f>
        <v/>
      </c>
      <c r="E811">
        <f>IF($A811="","",IFERROR(MATCH($C811,$R$2:$R$5,0),0))</f>
        <v/>
      </c>
      <c r="F811">
        <f>IF($A811="","",MOD(ROW(),34))</f>
        <v/>
      </c>
      <c r="G811">
        <f>IF($A811="",NA(),IF($C811="Action",$B811,NA()))</f>
        <v/>
      </c>
      <c r="H811">
        <f>IF($A811="",NA(),IF($C811="Action",1+$F811*0.023,NA()))</f>
        <v/>
      </c>
      <c r="I811">
        <f>IF($A811="",NA(),IF($C811="Strategy",$B811,NA()))</f>
        <v/>
      </c>
      <c r="J811">
        <f>IF($A811="",NA(),IF($C811="Strategy",2+$F811*0.023,NA()))</f>
        <v/>
      </c>
      <c r="K811">
        <f>IF($A811="",NA(),IF($C811="Deckbuilder",$B811,NA()))</f>
        <v/>
      </c>
      <c r="L811">
        <f>IF($A811="",NA(),IF($C811="Deckbuilder",3+$F811*0.023,NA()))</f>
        <v/>
      </c>
      <c r="M811">
        <f>IF($A811="",NA(),IF($C811="Traditional",$B811,NA()))</f>
        <v/>
      </c>
      <c r="N811">
        <f>IF($A811="",NA(),IF($C811="Traditional",4+$F811*0.023,NA()))</f>
        <v/>
      </c>
      <c r="O811">
        <f>IF($A811="","",$D811+ROW()/1000000)</f>
        <v/>
      </c>
      <c r="P811">
        <f>IF(OR($A811="",games!$H811=""),"",games!$H811)</f>
        <v/>
      </c>
      <c r="Q811">
        <f>IF(OR($A811="",$P811&lt;&gt;"Yes"),"",$D811+ROW()/1000000)</f>
        <v/>
      </c>
      <c r="T811">
        <f>IF(connections!$A811="","",IFERROR(INDEX(games!$B$2:$B$950,MATCH(connections!$A811,games!$A$2:$A$950,0)),""))</f>
        <v/>
      </c>
      <c r="U811">
        <f>IF(connections!$A811="","",IFERROR(INDEX(games!$B$2:$B$950,MATCH(connections!$B811,games!$A$2:$A$950,0)),""))</f>
        <v/>
      </c>
      <c r="V811">
        <f>IF(OR($T811="",$U811=""),"",$U811-$T811)</f>
        <v/>
      </c>
    </row>
    <row r="812">
      <c r="A812">
        <f>IF(games!$A812="","",games!$A812)</f>
        <v/>
      </c>
      <c r="B812">
        <f>IF($A812="","",games!$B812)</f>
        <v/>
      </c>
      <c r="C812">
        <f>IF($A812="","",games!$C812)</f>
        <v/>
      </c>
      <c r="D812">
        <f>IF($A812="","",COUNTIF(connections!$A$2:$A$1400,$A812)+COUNTIF(connections!$B$2:$B$1400,$A812))</f>
        <v/>
      </c>
      <c r="E812">
        <f>IF($A812="","",IFERROR(MATCH($C812,$R$2:$R$5,0),0))</f>
        <v/>
      </c>
      <c r="F812">
        <f>IF($A812="","",MOD(ROW(),34))</f>
        <v/>
      </c>
      <c r="G812">
        <f>IF($A812="",NA(),IF($C812="Action",$B812,NA()))</f>
        <v/>
      </c>
      <c r="H812">
        <f>IF($A812="",NA(),IF($C812="Action",1+$F812*0.023,NA()))</f>
        <v/>
      </c>
      <c r="I812">
        <f>IF($A812="",NA(),IF($C812="Strategy",$B812,NA()))</f>
        <v/>
      </c>
      <c r="J812">
        <f>IF($A812="",NA(),IF($C812="Strategy",2+$F812*0.023,NA()))</f>
        <v/>
      </c>
      <c r="K812">
        <f>IF($A812="",NA(),IF($C812="Deckbuilder",$B812,NA()))</f>
        <v/>
      </c>
      <c r="L812">
        <f>IF($A812="",NA(),IF($C812="Deckbuilder",3+$F812*0.023,NA()))</f>
        <v/>
      </c>
      <c r="M812">
        <f>IF($A812="",NA(),IF($C812="Traditional",$B812,NA()))</f>
        <v/>
      </c>
      <c r="N812">
        <f>IF($A812="",NA(),IF($C812="Traditional",4+$F812*0.023,NA()))</f>
        <v/>
      </c>
      <c r="O812">
        <f>IF($A812="","",$D812+ROW()/1000000)</f>
        <v/>
      </c>
      <c r="P812">
        <f>IF(OR($A812="",games!$H812=""),"",games!$H812)</f>
        <v/>
      </c>
      <c r="Q812">
        <f>IF(OR($A812="",$P812&lt;&gt;"Yes"),"",$D812+ROW()/1000000)</f>
        <v/>
      </c>
      <c r="T812">
        <f>IF(connections!$A812="","",IFERROR(INDEX(games!$B$2:$B$950,MATCH(connections!$A812,games!$A$2:$A$950,0)),""))</f>
        <v/>
      </c>
      <c r="U812">
        <f>IF(connections!$A812="","",IFERROR(INDEX(games!$B$2:$B$950,MATCH(connections!$B812,games!$A$2:$A$950,0)),""))</f>
        <v/>
      </c>
      <c r="V812">
        <f>IF(OR($T812="",$U812=""),"",$U812-$T812)</f>
        <v/>
      </c>
    </row>
    <row r="813">
      <c r="A813">
        <f>IF(games!$A813="","",games!$A813)</f>
        <v/>
      </c>
      <c r="B813">
        <f>IF($A813="","",games!$B813)</f>
        <v/>
      </c>
      <c r="C813">
        <f>IF($A813="","",games!$C813)</f>
        <v/>
      </c>
      <c r="D813">
        <f>IF($A813="","",COUNTIF(connections!$A$2:$A$1400,$A813)+COUNTIF(connections!$B$2:$B$1400,$A813))</f>
        <v/>
      </c>
      <c r="E813">
        <f>IF($A813="","",IFERROR(MATCH($C813,$R$2:$R$5,0),0))</f>
        <v/>
      </c>
      <c r="F813">
        <f>IF($A813="","",MOD(ROW(),34))</f>
        <v/>
      </c>
      <c r="G813">
        <f>IF($A813="",NA(),IF($C813="Action",$B813,NA()))</f>
        <v/>
      </c>
      <c r="H813">
        <f>IF($A813="",NA(),IF($C813="Action",1+$F813*0.023,NA()))</f>
        <v/>
      </c>
      <c r="I813">
        <f>IF($A813="",NA(),IF($C813="Strategy",$B813,NA()))</f>
        <v/>
      </c>
      <c r="J813">
        <f>IF($A813="",NA(),IF($C813="Strategy",2+$F813*0.023,NA()))</f>
        <v/>
      </c>
      <c r="K813">
        <f>IF($A813="",NA(),IF($C813="Deckbuilder",$B813,NA()))</f>
        <v/>
      </c>
      <c r="L813">
        <f>IF($A813="",NA(),IF($C813="Deckbuilder",3+$F813*0.023,NA()))</f>
        <v/>
      </c>
      <c r="M813">
        <f>IF($A813="",NA(),IF($C813="Traditional",$B813,NA()))</f>
        <v/>
      </c>
      <c r="N813">
        <f>IF($A813="",NA(),IF($C813="Traditional",4+$F813*0.023,NA()))</f>
        <v/>
      </c>
      <c r="O813">
        <f>IF($A813="","",$D813+ROW()/1000000)</f>
        <v/>
      </c>
      <c r="P813">
        <f>IF(OR($A813="",games!$H813=""),"",games!$H813)</f>
        <v/>
      </c>
      <c r="Q813">
        <f>IF(OR($A813="",$P813&lt;&gt;"Yes"),"",$D813+ROW()/1000000)</f>
        <v/>
      </c>
      <c r="T813">
        <f>IF(connections!$A813="","",IFERROR(INDEX(games!$B$2:$B$950,MATCH(connections!$A813,games!$A$2:$A$950,0)),""))</f>
        <v/>
      </c>
      <c r="U813">
        <f>IF(connections!$A813="","",IFERROR(INDEX(games!$B$2:$B$950,MATCH(connections!$B813,games!$A$2:$A$950,0)),""))</f>
        <v/>
      </c>
      <c r="V813">
        <f>IF(OR($T813="",$U813=""),"",$U813-$T813)</f>
        <v/>
      </c>
    </row>
    <row r="814">
      <c r="A814">
        <f>IF(games!$A814="","",games!$A814)</f>
        <v/>
      </c>
      <c r="B814">
        <f>IF($A814="","",games!$B814)</f>
        <v/>
      </c>
      <c r="C814">
        <f>IF($A814="","",games!$C814)</f>
        <v/>
      </c>
      <c r="D814">
        <f>IF($A814="","",COUNTIF(connections!$A$2:$A$1400,$A814)+COUNTIF(connections!$B$2:$B$1400,$A814))</f>
        <v/>
      </c>
      <c r="E814">
        <f>IF($A814="","",IFERROR(MATCH($C814,$R$2:$R$5,0),0))</f>
        <v/>
      </c>
      <c r="F814">
        <f>IF($A814="","",MOD(ROW(),34))</f>
        <v/>
      </c>
      <c r="G814">
        <f>IF($A814="",NA(),IF($C814="Action",$B814,NA()))</f>
        <v/>
      </c>
      <c r="H814">
        <f>IF($A814="",NA(),IF($C814="Action",1+$F814*0.023,NA()))</f>
        <v/>
      </c>
      <c r="I814">
        <f>IF($A814="",NA(),IF($C814="Strategy",$B814,NA()))</f>
        <v/>
      </c>
      <c r="J814">
        <f>IF($A814="",NA(),IF($C814="Strategy",2+$F814*0.023,NA()))</f>
        <v/>
      </c>
      <c r="K814">
        <f>IF($A814="",NA(),IF($C814="Deckbuilder",$B814,NA()))</f>
        <v/>
      </c>
      <c r="L814">
        <f>IF($A814="",NA(),IF($C814="Deckbuilder",3+$F814*0.023,NA()))</f>
        <v/>
      </c>
      <c r="M814">
        <f>IF($A814="",NA(),IF($C814="Traditional",$B814,NA()))</f>
        <v/>
      </c>
      <c r="N814">
        <f>IF($A814="",NA(),IF($C814="Traditional",4+$F814*0.023,NA()))</f>
        <v/>
      </c>
      <c r="O814">
        <f>IF($A814="","",$D814+ROW()/1000000)</f>
        <v/>
      </c>
      <c r="P814">
        <f>IF(OR($A814="",games!$H814=""),"",games!$H814)</f>
        <v/>
      </c>
      <c r="Q814">
        <f>IF(OR($A814="",$P814&lt;&gt;"Yes"),"",$D814+ROW()/1000000)</f>
        <v/>
      </c>
      <c r="T814">
        <f>IF(connections!$A814="","",IFERROR(INDEX(games!$B$2:$B$950,MATCH(connections!$A814,games!$A$2:$A$950,0)),""))</f>
        <v/>
      </c>
      <c r="U814">
        <f>IF(connections!$A814="","",IFERROR(INDEX(games!$B$2:$B$950,MATCH(connections!$B814,games!$A$2:$A$950,0)),""))</f>
        <v/>
      </c>
      <c r="V814">
        <f>IF(OR($T814="",$U814=""),"",$U814-$T814)</f>
        <v/>
      </c>
    </row>
    <row r="815">
      <c r="A815">
        <f>IF(games!$A815="","",games!$A815)</f>
        <v/>
      </c>
      <c r="B815">
        <f>IF($A815="","",games!$B815)</f>
        <v/>
      </c>
      <c r="C815">
        <f>IF($A815="","",games!$C815)</f>
        <v/>
      </c>
      <c r="D815">
        <f>IF($A815="","",COUNTIF(connections!$A$2:$A$1400,$A815)+COUNTIF(connections!$B$2:$B$1400,$A815))</f>
        <v/>
      </c>
      <c r="E815">
        <f>IF($A815="","",IFERROR(MATCH($C815,$R$2:$R$5,0),0))</f>
        <v/>
      </c>
      <c r="F815">
        <f>IF($A815="","",MOD(ROW(),34))</f>
        <v/>
      </c>
      <c r="G815">
        <f>IF($A815="",NA(),IF($C815="Action",$B815,NA()))</f>
        <v/>
      </c>
      <c r="H815">
        <f>IF($A815="",NA(),IF($C815="Action",1+$F815*0.023,NA()))</f>
        <v/>
      </c>
      <c r="I815">
        <f>IF($A815="",NA(),IF($C815="Strategy",$B815,NA()))</f>
        <v/>
      </c>
      <c r="J815">
        <f>IF($A815="",NA(),IF($C815="Strategy",2+$F815*0.023,NA()))</f>
        <v/>
      </c>
      <c r="K815">
        <f>IF($A815="",NA(),IF($C815="Deckbuilder",$B815,NA()))</f>
        <v/>
      </c>
      <c r="L815">
        <f>IF($A815="",NA(),IF($C815="Deckbuilder",3+$F815*0.023,NA()))</f>
        <v/>
      </c>
      <c r="M815">
        <f>IF($A815="",NA(),IF($C815="Traditional",$B815,NA()))</f>
        <v/>
      </c>
      <c r="N815">
        <f>IF($A815="",NA(),IF($C815="Traditional",4+$F815*0.023,NA()))</f>
        <v/>
      </c>
      <c r="O815">
        <f>IF($A815="","",$D815+ROW()/1000000)</f>
        <v/>
      </c>
      <c r="P815">
        <f>IF(OR($A815="",games!$H815=""),"",games!$H815)</f>
        <v/>
      </c>
      <c r="Q815">
        <f>IF(OR($A815="",$P815&lt;&gt;"Yes"),"",$D815+ROW()/1000000)</f>
        <v/>
      </c>
      <c r="T815">
        <f>IF(connections!$A815="","",IFERROR(INDEX(games!$B$2:$B$950,MATCH(connections!$A815,games!$A$2:$A$950,0)),""))</f>
        <v/>
      </c>
      <c r="U815">
        <f>IF(connections!$A815="","",IFERROR(INDEX(games!$B$2:$B$950,MATCH(connections!$B815,games!$A$2:$A$950,0)),""))</f>
        <v/>
      </c>
      <c r="V815">
        <f>IF(OR($T815="",$U815=""),"",$U815-$T815)</f>
        <v/>
      </c>
    </row>
    <row r="816">
      <c r="A816">
        <f>IF(games!$A816="","",games!$A816)</f>
        <v/>
      </c>
      <c r="B816">
        <f>IF($A816="","",games!$B816)</f>
        <v/>
      </c>
      <c r="C816">
        <f>IF($A816="","",games!$C816)</f>
        <v/>
      </c>
      <c r="D816">
        <f>IF($A816="","",COUNTIF(connections!$A$2:$A$1400,$A816)+COUNTIF(connections!$B$2:$B$1400,$A816))</f>
        <v/>
      </c>
      <c r="E816">
        <f>IF($A816="","",IFERROR(MATCH($C816,$R$2:$R$5,0),0))</f>
        <v/>
      </c>
      <c r="F816">
        <f>IF($A816="","",MOD(ROW(),34))</f>
        <v/>
      </c>
      <c r="G816">
        <f>IF($A816="",NA(),IF($C816="Action",$B816,NA()))</f>
        <v/>
      </c>
      <c r="H816">
        <f>IF($A816="",NA(),IF($C816="Action",1+$F816*0.023,NA()))</f>
        <v/>
      </c>
      <c r="I816">
        <f>IF($A816="",NA(),IF($C816="Strategy",$B816,NA()))</f>
        <v/>
      </c>
      <c r="J816">
        <f>IF($A816="",NA(),IF($C816="Strategy",2+$F816*0.023,NA()))</f>
        <v/>
      </c>
      <c r="K816">
        <f>IF($A816="",NA(),IF($C816="Deckbuilder",$B816,NA()))</f>
        <v/>
      </c>
      <c r="L816">
        <f>IF($A816="",NA(),IF($C816="Deckbuilder",3+$F816*0.023,NA()))</f>
        <v/>
      </c>
      <c r="M816">
        <f>IF($A816="",NA(),IF($C816="Traditional",$B816,NA()))</f>
        <v/>
      </c>
      <c r="N816">
        <f>IF($A816="",NA(),IF($C816="Traditional",4+$F816*0.023,NA()))</f>
        <v/>
      </c>
      <c r="O816">
        <f>IF($A816="","",$D816+ROW()/1000000)</f>
        <v/>
      </c>
      <c r="P816">
        <f>IF(OR($A816="",games!$H816=""),"",games!$H816)</f>
        <v/>
      </c>
      <c r="Q816">
        <f>IF(OR($A816="",$P816&lt;&gt;"Yes"),"",$D816+ROW()/1000000)</f>
        <v/>
      </c>
      <c r="T816">
        <f>IF(connections!$A816="","",IFERROR(INDEX(games!$B$2:$B$950,MATCH(connections!$A816,games!$A$2:$A$950,0)),""))</f>
        <v/>
      </c>
      <c r="U816">
        <f>IF(connections!$A816="","",IFERROR(INDEX(games!$B$2:$B$950,MATCH(connections!$B816,games!$A$2:$A$950,0)),""))</f>
        <v/>
      </c>
      <c r="V816">
        <f>IF(OR($T816="",$U816=""),"",$U816-$T816)</f>
        <v/>
      </c>
    </row>
    <row r="817">
      <c r="A817">
        <f>IF(games!$A817="","",games!$A817)</f>
        <v/>
      </c>
      <c r="B817">
        <f>IF($A817="","",games!$B817)</f>
        <v/>
      </c>
      <c r="C817">
        <f>IF($A817="","",games!$C817)</f>
        <v/>
      </c>
      <c r="D817">
        <f>IF($A817="","",COUNTIF(connections!$A$2:$A$1400,$A817)+COUNTIF(connections!$B$2:$B$1400,$A817))</f>
        <v/>
      </c>
      <c r="E817">
        <f>IF($A817="","",IFERROR(MATCH($C817,$R$2:$R$5,0),0))</f>
        <v/>
      </c>
      <c r="F817">
        <f>IF($A817="","",MOD(ROW(),34))</f>
        <v/>
      </c>
      <c r="G817">
        <f>IF($A817="",NA(),IF($C817="Action",$B817,NA()))</f>
        <v/>
      </c>
      <c r="H817">
        <f>IF($A817="",NA(),IF($C817="Action",1+$F817*0.023,NA()))</f>
        <v/>
      </c>
      <c r="I817">
        <f>IF($A817="",NA(),IF($C817="Strategy",$B817,NA()))</f>
        <v/>
      </c>
      <c r="J817">
        <f>IF($A817="",NA(),IF($C817="Strategy",2+$F817*0.023,NA()))</f>
        <v/>
      </c>
      <c r="K817">
        <f>IF($A817="",NA(),IF($C817="Deckbuilder",$B817,NA()))</f>
        <v/>
      </c>
      <c r="L817">
        <f>IF($A817="",NA(),IF($C817="Deckbuilder",3+$F817*0.023,NA()))</f>
        <v/>
      </c>
      <c r="M817">
        <f>IF($A817="",NA(),IF($C817="Traditional",$B817,NA()))</f>
        <v/>
      </c>
      <c r="N817">
        <f>IF($A817="",NA(),IF($C817="Traditional",4+$F817*0.023,NA()))</f>
        <v/>
      </c>
      <c r="O817">
        <f>IF($A817="","",$D817+ROW()/1000000)</f>
        <v/>
      </c>
      <c r="P817">
        <f>IF(OR($A817="",games!$H817=""),"",games!$H817)</f>
        <v/>
      </c>
      <c r="Q817">
        <f>IF(OR($A817="",$P817&lt;&gt;"Yes"),"",$D817+ROW()/1000000)</f>
        <v/>
      </c>
      <c r="T817">
        <f>IF(connections!$A817="","",IFERROR(INDEX(games!$B$2:$B$950,MATCH(connections!$A817,games!$A$2:$A$950,0)),""))</f>
        <v/>
      </c>
      <c r="U817">
        <f>IF(connections!$A817="","",IFERROR(INDEX(games!$B$2:$B$950,MATCH(connections!$B817,games!$A$2:$A$950,0)),""))</f>
        <v/>
      </c>
      <c r="V817">
        <f>IF(OR($T817="",$U817=""),"",$U817-$T817)</f>
        <v/>
      </c>
    </row>
    <row r="818">
      <c r="A818">
        <f>IF(games!$A818="","",games!$A818)</f>
        <v/>
      </c>
      <c r="B818">
        <f>IF($A818="","",games!$B818)</f>
        <v/>
      </c>
      <c r="C818">
        <f>IF($A818="","",games!$C818)</f>
        <v/>
      </c>
      <c r="D818">
        <f>IF($A818="","",COUNTIF(connections!$A$2:$A$1400,$A818)+COUNTIF(connections!$B$2:$B$1400,$A818))</f>
        <v/>
      </c>
      <c r="E818">
        <f>IF($A818="","",IFERROR(MATCH($C818,$R$2:$R$5,0),0))</f>
        <v/>
      </c>
      <c r="F818">
        <f>IF($A818="","",MOD(ROW(),34))</f>
        <v/>
      </c>
      <c r="G818">
        <f>IF($A818="",NA(),IF($C818="Action",$B818,NA()))</f>
        <v/>
      </c>
      <c r="H818">
        <f>IF($A818="",NA(),IF($C818="Action",1+$F818*0.023,NA()))</f>
        <v/>
      </c>
      <c r="I818">
        <f>IF($A818="",NA(),IF($C818="Strategy",$B818,NA()))</f>
        <v/>
      </c>
      <c r="J818">
        <f>IF($A818="",NA(),IF($C818="Strategy",2+$F818*0.023,NA()))</f>
        <v/>
      </c>
      <c r="K818">
        <f>IF($A818="",NA(),IF($C818="Deckbuilder",$B818,NA()))</f>
        <v/>
      </c>
      <c r="L818">
        <f>IF($A818="",NA(),IF($C818="Deckbuilder",3+$F818*0.023,NA()))</f>
        <v/>
      </c>
      <c r="M818">
        <f>IF($A818="",NA(),IF($C818="Traditional",$B818,NA()))</f>
        <v/>
      </c>
      <c r="N818">
        <f>IF($A818="",NA(),IF($C818="Traditional",4+$F818*0.023,NA()))</f>
        <v/>
      </c>
      <c r="O818">
        <f>IF($A818="","",$D818+ROW()/1000000)</f>
        <v/>
      </c>
      <c r="P818">
        <f>IF(OR($A818="",games!$H818=""),"",games!$H818)</f>
        <v/>
      </c>
      <c r="Q818">
        <f>IF(OR($A818="",$P818&lt;&gt;"Yes"),"",$D818+ROW()/1000000)</f>
        <v/>
      </c>
      <c r="T818">
        <f>IF(connections!$A818="","",IFERROR(INDEX(games!$B$2:$B$950,MATCH(connections!$A818,games!$A$2:$A$950,0)),""))</f>
        <v/>
      </c>
      <c r="U818">
        <f>IF(connections!$A818="","",IFERROR(INDEX(games!$B$2:$B$950,MATCH(connections!$B818,games!$A$2:$A$950,0)),""))</f>
        <v/>
      </c>
      <c r="V818">
        <f>IF(OR($T818="",$U818=""),"",$U818-$T818)</f>
        <v/>
      </c>
    </row>
    <row r="819">
      <c r="A819">
        <f>IF(games!$A819="","",games!$A819)</f>
        <v/>
      </c>
      <c r="B819">
        <f>IF($A819="","",games!$B819)</f>
        <v/>
      </c>
      <c r="C819">
        <f>IF($A819="","",games!$C819)</f>
        <v/>
      </c>
      <c r="D819">
        <f>IF($A819="","",COUNTIF(connections!$A$2:$A$1400,$A819)+COUNTIF(connections!$B$2:$B$1400,$A819))</f>
        <v/>
      </c>
      <c r="E819">
        <f>IF($A819="","",IFERROR(MATCH($C819,$R$2:$R$5,0),0))</f>
        <v/>
      </c>
      <c r="F819">
        <f>IF($A819="","",MOD(ROW(),34))</f>
        <v/>
      </c>
      <c r="G819">
        <f>IF($A819="",NA(),IF($C819="Action",$B819,NA()))</f>
        <v/>
      </c>
      <c r="H819">
        <f>IF($A819="",NA(),IF($C819="Action",1+$F819*0.023,NA()))</f>
        <v/>
      </c>
      <c r="I819">
        <f>IF($A819="",NA(),IF($C819="Strategy",$B819,NA()))</f>
        <v/>
      </c>
      <c r="J819">
        <f>IF($A819="",NA(),IF($C819="Strategy",2+$F819*0.023,NA()))</f>
        <v/>
      </c>
      <c r="K819">
        <f>IF($A819="",NA(),IF($C819="Deckbuilder",$B819,NA()))</f>
        <v/>
      </c>
      <c r="L819">
        <f>IF($A819="",NA(),IF($C819="Deckbuilder",3+$F819*0.023,NA()))</f>
        <v/>
      </c>
      <c r="M819">
        <f>IF($A819="",NA(),IF($C819="Traditional",$B819,NA()))</f>
        <v/>
      </c>
      <c r="N819">
        <f>IF($A819="",NA(),IF($C819="Traditional",4+$F819*0.023,NA()))</f>
        <v/>
      </c>
      <c r="O819">
        <f>IF($A819="","",$D819+ROW()/1000000)</f>
        <v/>
      </c>
      <c r="P819">
        <f>IF(OR($A819="",games!$H819=""),"",games!$H819)</f>
        <v/>
      </c>
      <c r="Q819">
        <f>IF(OR($A819="",$P819&lt;&gt;"Yes"),"",$D819+ROW()/1000000)</f>
        <v/>
      </c>
      <c r="T819">
        <f>IF(connections!$A819="","",IFERROR(INDEX(games!$B$2:$B$950,MATCH(connections!$A819,games!$A$2:$A$950,0)),""))</f>
        <v/>
      </c>
      <c r="U819">
        <f>IF(connections!$A819="","",IFERROR(INDEX(games!$B$2:$B$950,MATCH(connections!$B819,games!$A$2:$A$950,0)),""))</f>
        <v/>
      </c>
      <c r="V819">
        <f>IF(OR($T819="",$U819=""),"",$U819-$T819)</f>
        <v/>
      </c>
    </row>
    <row r="820">
      <c r="A820">
        <f>IF(games!$A820="","",games!$A820)</f>
        <v/>
      </c>
      <c r="B820">
        <f>IF($A820="","",games!$B820)</f>
        <v/>
      </c>
      <c r="C820">
        <f>IF($A820="","",games!$C820)</f>
        <v/>
      </c>
      <c r="D820">
        <f>IF($A820="","",COUNTIF(connections!$A$2:$A$1400,$A820)+COUNTIF(connections!$B$2:$B$1400,$A820))</f>
        <v/>
      </c>
      <c r="E820">
        <f>IF($A820="","",IFERROR(MATCH($C820,$R$2:$R$5,0),0))</f>
        <v/>
      </c>
      <c r="F820">
        <f>IF($A820="","",MOD(ROW(),34))</f>
        <v/>
      </c>
      <c r="G820">
        <f>IF($A820="",NA(),IF($C820="Action",$B820,NA()))</f>
        <v/>
      </c>
      <c r="H820">
        <f>IF($A820="",NA(),IF($C820="Action",1+$F820*0.023,NA()))</f>
        <v/>
      </c>
      <c r="I820">
        <f>IF($A820="",NA(),IF($C820="Strategy",$B820,NA()))</f>
        <v/>
      </c>
      <c r="J820">
        <f>IF($A820="",NA(),IF($C820="Strategy",2+$F820*0.023,NA()))</f>
        <v/>
      </c>
      <c r="K820">
        <f>IF($A820="",NA(),IF($C820="Deckbuilder",$B820,NA()))</f>
        <v/>
      </c>
      <c r="L820">
        <f>IF($A820="",NA(),IF($C820="Deckbuilder",3+$F820*0.023,NA()))</f>
        <v/>
      </c>
      <c r="M820">
        <f>IF($A820="",NA(),IF($C820="Traditional",$B820,NA()))</f>
        <v/>
      </c>
      <c r="N820">
        <f>IF($A820="",NA(),IF($C820="Traditional",4+$F820*0.023,NA()))</f>
        <v/>
      </c>
      <c r="O820">
        <f>IF($A820="","",$D820+ROW()/1000000)</f>
        <v/>
      </c>
      <c r="P820">
        <f>IF(OR($A820="",games!$H820=""),"",games!$H820)</f>
        <v/>
      </c>
      <c r="Q820">
        <f>IF(OR($A820="",$P820&lt;&gt;"Yes"),"",$D820+ROW()/1000000)</f>
        <v/>
      </c>
      <c r="T820">
        <f>IF(connections!$A820="","",IFERROR(INDEX(games!$B$2:$B$950,MATCH(connections!$A820,games!$A$2:$A$950,0)),""))</f>
        <v/>
      </c>
      <c r="U820">
        <f>IF(connections!$A820="","",IFERROR(INDEX(games!$B$2:$B$950,MATCH(connections!$B820,games!$A$2:$A$950,0)),""))</f>
        <v/>
      </c>
      <c r="V820">
        <f>IF(OR($T820="",$U820=""),"",$U820-$T820)</f>
        <v/>
      </c>
    </row>
    <row r="821">
      <c r="A821">
        <f>IF(games!$A821="","",games!$A821)</f>
        <v/>
      </c>
      <c r="B821">
        <f>IF($A821="","",games!$B821)</f>
        <v/>
      </c>
      <c r="C821">
        <f>IF($A821="","",games!$C821)</f>
        <v/>
      </c>
      <c r="D821">
        <f>IF($A821="","",COUNTIF(connections!$A$2:$A$1400,$A821)+COUNTIF(connections!$B$2:$B$1400,$A821))</f>
        <v/>
      </c>
      <c r="E821">
        <f>IF($A821="","",IFERROR(MATCH($C821,$R$2:$R$5,0),0))</f>
        <v/>
      </c>
      <c r="F821">
        <f>IF($A821="","",MOD(ROW(),34))</f>
        <v/>
      </c>
      <c r="G821">
        <f>IF($A821="",NA(),IF($C821="Action",$B821,NA()))</f>
        <v/>
      </c>
      <c r="H821">
        <f>IF($A821="",NA(),IF($C821="Action",1+$F821*0.023,NA()))</f>
        <v/>
      </c>
      <c r="I821">
        <f>IF($A821="",NA(),IF($C821="Strategy",$B821,NA()))</f>
        <v/>
      </c>
      <c r="J821">
        <f>IF($A821="",NA(),IF($C821="Strategy",2+$F821*0.023,NA()))</f>
        <v/>
      </c>
      <c r="K821">
        <f>IF($A821="",NA(),IF($C821="Deckbuilder",$B821,NA()))</f>
        <v/>
      </c>
      <c r="L821">
        <f>IF($A821="",NA(),IF($C821="Deckbuilder",3+$F821*0.023,NA()))</f>
        <v/>
      </c>
      <c r="M821">
        <f>IF($A821="",NA(),IF($C821="Traditional",$B821,NA()))</f>
        <v/>
      </c>
      <c r="N821">
        <f>IF($A821="",NA(),IF($C821="Traditional",4+$F821*0.023,NA()))</f>
        <v/>
      </c>
      <c r="O821">
        <f>IF($A821="","",$D821+ROW()/1000000)</f>
        <v/>
      </c>
      <c r="P821">
        <f>IF(OR($A821="",games!$H821=""),"",games!$H821)</f>
        <v/>
      </c>
      <c r="Q821">
        <f>IF(OR($A821="",$P821&lt;&gt;"Yes"),"",$D821+ROW()/1000000)</f>
        <v/>
      </c>
      <c r="T821">
        <f>IF(connections!$A821="","",IFERROR(INDEX(games!$B$2:$B$950,MATCH(connections!$A821,games!$A$2:$A$950,0)),""))</f>
        <v/>
      </c>
      <c r="U821">
        <f>IF(connections!$A821="","",IFERROR(INDEX(games!$B$2:$B$950,MATCH(connections!$B821,games!$A$2:$A$950,0)),""))</f>
        <v/>
      </c>
      <c r="V821">
        <f>IF(OR($T821="",$U821=""),"",$U821-$T821)</f>
        <v/>
      </c>
    </row>
    <row r="822">
      <c r="A822">
        <f>IF(games!$A822="","",games!$A822)</f>
        <v/>
      </c>
      <c r="B822">
        <f>IF($A822="","",games!$B822)</f>
        <v/>
      </c>
      <c r="C822">
        <f>IF($A822="","",games!$C822)</f>
        <v/>
      </c>
      <c r="D822">
        <f>IF($A822="","",COUNTIF(connections!$A$2:$A$1400,$A822)+COUNTIF(connections!$B$2:$B$1400,$A822))</f>
        <v/>
      </c>
      <c r="E822">
        <f>IF($A822="","",IFERROR(MATCH($C822,$R$2:$R$5,0),0))</f>
        <v/>
      </c>
      <c r="F822">
        <f>IF($A822="","",MOD(ROW(),34))</f>
        <v/>
      </c>
      <c r="G822">
        <f>IF($A822="",NA(),IF($C822="Action",$B822,NA()))</f>
        <v/>
      </c>
      <c r="H822">
        <f>IF($A822="",NA(),IF($C822="Action",1+$F822*0.023,NA()))</f>
        <v/>
      </c>
      <c r="I822">
        <f>IF($A822="",NA(),IF($C822="Strategy",$B822,NA()))</f>
        <v/>
      </c>
      <c r="J822">
        <f>IF($A822="",NA(),IF($C822="Strategy",2+$F822*0.023,NA()))</f>
        <v/>
      </c>
      <c r="K822">
        <f>IF($A822="",NA(),IF($C822="Deckbuilder",$B822,NA()))</f>
        <v/>
      </c>
      <c r="L822">
        <f>IF($A822="",NA(),IF($C822="Deckbuilder",3+$F822*0.023,NA()))</f>
        <v/>
      </c>
      <c r="M822">
        <f>IF($A822="",NA(),IF($C822="Traditional",$B822,NA()))</f>
        <v/>
      </c>
      <c r="N822">
        <f>IF($A822="",NA(),IF($C822="Traditional",4+$F822*0.023,NA()))</f>
        <v/>
      </c>
      <c r="O822">
        <f>IF($A822="","",$D822+ROW()/1000000)</f>
        <v/>
      </c>
      <c r="P822">
        <f>IF(OR($A822="",games!$H822=""),"",games!$H822)</f>
        <v/>
      </c>
      <c r="Q822">
        <f>IF(OR($A822="",$P822&lt;&gt;"Yes"),"",$D822+ROW()/1000000)</f>
        <v/>
      </c>
      <c r="T822">
        <f>IF(connections!$A822="","",IFERROR(INDEX(games!$B$2:$B$950,MATCH(connections!$A822,games!$A$2:$A$950,0)),""))</f>
        <v/>
      </c>
      <c r="U822">
        <f>IF(connections!$A822="","",IFERROR(INDEX(games!$B$2:$B$950,MATCH(connections!$B822,games!$A$2:$A$950,0)),""))</f>
        <v/>
      </c>
      <c r="V822">
        <f>IF(OR($T822="",$U822=""),"",$U822-$T822)</f>
        <v/>
      </c>
    </row>
    <row r="823">
      <c r="A823">
        <f>IF(games!$A823="","",games!$A823)</f>
        <v/>
      </c>
      <c r="B823">
        <f>IF($A823="","",games!$B823)</f>
        <v/>
      </c>
      <c r="C823">
        <f>IF($A823="","",games!$C823)</f>
        <v/>
      </c>
      <c r="D823">
        <f>IF($A823="","",COUNTIF(connections!$A$2:$A$1400,$A823)+COUNTIF(connections!$B$2:$B$1400,$A823))</f>
        <v/>
      </c>
      <c r="E823">
        <f>IF($A823="","",IFERROR(MATCH($C823,$R$2:$R$5,0),0))</f>
        <v/>
      </c>
      <c r="F823">
        <f>IF($A823="","",MOD(ROW(),34))</f>
        <v/>
      </c>
      <c r="G823">
        <f>IF($A823="",NA(),IF($C823="Action",$B823,NA()))</f>
        <v/>
      </c>
      <c r="H823">
        <f>IF($A823="",NA(),IF($C823="Action",1+$F823*0.023,NA()))</f>
        <v/>
      </c>
      <c r="I823">
        <f>IF($A823="",NA(),IF($C823="Strategy",$B823,NA()))</f>
        <v/>
      </c>
      <c r="J823">
        <f>IF($A823="",NA(),IF($C823="Strategy",2+$F823*0.023,NA()))</f>
        <v/>
      </c>
      <c r="K823">
        <f>IF($A823="",NA(),IF($C823="Deckbuilder",$B823,NA()))</f>
        <v/>
      </c>
      <c r="L823">
        <f>IF($A823="",NA(),IF($C823="Deckbuilder",3+$F823*0.023,NA()))</f>
        <v/>
      </c>
      <c r="M823">
        <f>IF($A823="",NA(),IF($C823="Traditional",$B823,NA()))</f>
        <v/>
      </c>
      <c r="N823">
        <f>IF($A823="",NA(),IF($C823="Traditional",4+$F823*0.023,NA()))</f>
        <v/>
      </c>
      <c r="O823">
        <f>IF($A823="","",$D823+ROW()/1000000)</f>
        <v/>
      </c>
      <c r="P823">
        <f>IF(OR($A823="",games!$H823=""),"",games!$H823)</f>
        <v/>
      </c>
      <c r="Q823">
        <f>IF(OR($A823="",$P823&lt;&gt;"Yes"),"",$D823+ROW()/1000000)</f>
        <v/>
      </c>
      <c r="T823">
        <f>IF(connections!$A823="","",IFERROR(INDEX(games!$B$2:$B$950,MATCH(connections!$A823,games!$A$2:$A$950,0)),""))</f>
        <v/>
      </c>
      <c r="U823">
        <f>IF(connections!$A823="","",IFERROR(INDEX(games!$B$2:$B$950,MATCH(connections!$B823,games!$A$2:$A$950,0)),""))</f>
        <v/>
      </c>
      <c r="V823">
        <f>IF(OR($T823="",$U823=""),"",$U823-$T823)</f>
        <v/>
      </c>
    </row>
    <row r="824">
      <c r="A824">
        <f>IF(games!$A824="","",games!$A824)</f>
        <v/>
      </c>
      <c r="B824">
        <f>IF($A824="","",games!$B824)</f>
        <v/>
      </c>
      <c r="C824">
        <f>IF($A824="","",games!$C824)</f>
        <v/>
      </c>
      <c r="D824">
        <f>IF($A824="","",COUNTIF(connections!$A$2:$A$1400,$A824)+COUNTIF(connections!$B$2:$B$1400,$A824))</f>
        <v/>
      </c>
      <c r="E824">
        <f>IF($A824="","",IFERROR(MATCH($C824,$R$2:$R$5,0),0))</f>
        <v/>
      </c>
      <c r="F824">
        <f>IF($A824="","",MOD(ROW(),34))</f>
        <v/>
      </c>
      <c r="G824">
        <f>IF($A824="",NA(),IF($C824="Action",$B824,NA()))</f>
        <v/>
      </c>
      <c r="H824">
        <f>IF($A824="",NA(),IF($C824="Action",1+$F824*0.023,NA()))</f>
        <v/>
      </c>
      <c r="I824">
        <f>IF($A824="",NA(),IF($C824="Strategy",$B824,NA()))</f>
        <v/>
      </c>
      <c r="J824">
        <f>IF($A824="",NA(),IF($C824="Strategy",2+$F824*0.023,NA()))</f>
        <v/>
      </c>
      <c r="K824">
        <f>IF($A824="",NA(),IF($C824="Deckbuilder",$B824,NA()))</f>
        <v/>
      </c>
      <c r="L824">
        <f>IF($A824="",NA(),IF($C824="Deckbuilder",3+$F824*0.023,NA()))</f>
        <v/>
      </c>
      <c r="M824">
        <f>IF($A824="",NA(),IF($C824="Traditional",$B824,NA()))</f>
        <v/>
      </c>
      <c r="N824">
        <f>IF($A824="",NA(),IF($C824="Traditional",4+$F824*0.023,NA()))</f>
        <v/>
      </c>
      <c r="O824">
        <f>IF($A824="","",$D824+ROW()/1000000)</f>
        <v/>
      </c>
      <c r="P824">
        <f>IF(OR($A824="",games!$H824=""),"",games!$H824)</f>
        <v/>
      </c>
      <c r="Q824">
        <f>IF(OR($A824="",$P824&lt;&gt;"Yes"),"",$D824+ROW()/1000000)</f>
        <v/>
      </c>
      <c r="T824">
        <f>IF(connections!$A824="","",IFERROR(INDEX(games!$B$2:$B$950,MATCH(connections!$A824,games!$A$2:$A$950,0)),""))</f>
        <v/>
      </c>
      <c r="U824">
        <f>IF(connections!$A824="","",IFERROR(INDEX(games!$B$2:$B$950,MATCH(connections!$B824,games!$A$2:$A$950,0)),""))</f>
        <v/>
      </c>
      <c r="V824">
        <f>IF(OR($T824="",$U824=""),"",$U824-$T824)</f>
        <v/>
      </c>
    </row>
    <row r="825">
      <c r="A825">
        <f>IF(games!$A825="","",games!$A825)</f>
        <v/>
      </c>
      <c r="B825">
        <f>IF($A825="","",games!$B825)</f>
        <v/>
      </c>
      <c r="C825">
        <f>IF($A825="","",games!$C825)</f>
        <v/>
      </c>
      <c r="D825">
        <f>IF($A825="","",COUNTIF(connections!$A$2:$A$1400,$A825)+COUNTIF(connections!$B$2:$B$1400,$A825))</f>
        <v/>
      </c>
      <c r="E825">
        <f>IF($A825="","",IFERROR(MATCH($C825,$R$2:$R$5,0),0))</f>
        <v/>
      </c>
      <c r="F825">
        <f>IF($A825="","",MOD(ROW(),34))</f>
        <v/>
      </c>
      <c r="G825">
        <f>IF($A825="",NA(),IF($C825="Action",$B825,NA()))</f>
        <v/>
      </c>
      <c r="H825">
        <f>IF($A825="",NA(),IF($C825="Action",1+$F825*0.023,NA()))</f>
        <v/>
      </c>
      <c r="I825">
        <f>IF($A825="",NA(),IF($C825="Strategy",$B825,NA()))</f>
        <v/>
      </c>
      <c r="J825">
        <f>IF($A825="",NA(),IF($C825="Strategy",2+$F825*0.023,NA()))</f>
        <v/>
      </c>
      <c r="K825">
        <f>IF($A825="",NA(),IF($C825="Deckbuilder",$B825,NA()))</f>
        <v/>
      </c>
      <c r="L825">
        <f>IF($A825="",NA(),IF($C825="Deckbuilder",3+$F825*0.023,NA()))</f>
        <v/>
      </c>
      <c r="M825">
        <f>IF($A825="",NA(),IF($C825="Traditional",$B825,NA()))</f>
        <v/>
      </c>
      <c r="N825">
        <f>IF($A825="",NA(),IF($C825="Traditional",4+$F825*0.023,NA()))</f>
        <v/>
      </c>
      <c r="O825">
        <f>IF($A825="","",$D825+ROW()/1000000)</f>
        <v/>
      </c>
      <c r="P825">
        <f>IF(OR($A825="",games!$H825=""),"",games!$H825)</f>
        <v/>
      </c>
      <c r="Q825">
        <f>IF(OR($A825="",$P825&lt;&gt;"Yes"),"",$D825+ROW()/1000000)</f>
        <v/>
      </c>
      <c r="T825">
        <f>IF(connections!$A825="","",IFERROR(INDEX(games!$B$2:$B$950,MATCH(connections!$A825,games!$A$2:$A$950,0)),""))</f>
        <v/>
      </c>
      <c r="U825">
        <f>IF(connections!$A825="","",IFERROR(INDEX(games!$B$2:$B$950,MATCH(connections!$B825,games!$A$2:$A$950,0)),""))</f>
        <v/>
      </c>
      <c r="V825">
        <f>IF(OR($T825="",$U825=""),"",$U825-$T825)</f>
        <v/>
      </c>
    </row>
    <row r="826">
      <c r="A826">
        <f>IF(games!$A826="","",games!$A826)</f>
        <v/>
      </c>
      <c r="B826">
        <f>IF($A826="","",games!$B826)</f>
        <v/>
      </c>
      <c r="C826">
        <f>IF($A826="","",games!$C826)</f>
        <v/>
      </c>
      <c r="D826">
        <f>IF($A826="","",COUNTIF(connections!$A$2:$A$1400,$A826)+COUNTIF(connections!$B$2:$B$1400,$A826))</f>
        <v/>
      </c>
      <c r="E826">
        <f>IF($A826="","",IFERROR(MATCH($C826,$R$2:$R$5,0),0))</f>
        <v/>
      </c>
      <c r="F826">
        <f>IF($A826="","",MOD(ROW(),34))</f>
        <v/>
      </c>
      <c r="G826">
        <f>IF($A826="",NA(),IF($C826="Action",$B826,NA()))</f>
        <v/>
      </c>
      <c r="H826">
        <f>IF($A826="",NA(),IF($C826="Action",1+$F826*0.023,NA()))</f>
        <v/>
      </c>
      <c r="I826">
        <f>IF($A826="",NA(),IF($C826="Strategy",$B826,NA()))</f>
        <v/>
      </c>
      <c r="J826">
        <f>IF($A826="",NA(),IF($C826="Strategy",2+$F826*0.023,NA()))</f>
        <v/>
      </c>
      <c r="K826">
        <f>IF($A826="",NA(),IF($C826="Deckbuilder",$B826,NA()))</f>
        <v/>
      </c>
      <c r="L826">
        <f>IF($A826="",NA(),IF($C826="Deckbuilder",3+$F826*0.023,NA()))</f>
        <v/>
      </c>
      <c r="M826">
        <f>IF($A826="",NA(),IF($C826="Traditional",$B826,NA()))</f>
        <v/>
      </c>
      <c r="N826">
        <f>IF($A826="",NA(),IF($C826="Traditional",4+$F826*0.023,NA()))</f>
        <v/>
      </c>
      <c r="O826">
        <f>IF($A826="","",$D826+ROW()/1000000)</f>
        <v/>
      </c>
      <c r="P826">
        <f>IF(OR($A826="",games!$H826=""),"",games!$H826)</f>
        <v/>
      </c>
      <c r="Q826">
        <f>IF(OR($A826="",$P826&lt;&gt;"Yes"),"",$D826+ROW()/1000000)</f>
        <v/>
      </c>
      <c r="T826">
        <f>IF(connections!$A826="","",IFERROR(INDEX(games!$B$2:$B$950,MATCH(connections!$A826,games!$A$2:$A$950,0)),""))</f>
        <v/>
      </c>
      <c r="U826">
        <f>IF(connections!$A826="","",IFERROR(INDEX(games!$B$2:$B$950,MATCH(connections!$B826,games!$A$2:$A$950,0)),""))</f>
        <v/>
      </c>
      <c r="V826">
        <f>IF(OR($T826="",$U826=""),"",$U826-$T826)</f>
        <v/>
      </c>
    </row>
    <row r="827">
      <c r="A827">
        <f>IF(games!$A827="","",games!$A827)</f>
        <v/>
      </c>
      <c r="B827">
        <f>IF($A827="","",games!$B827)</f>
        <v/>
      </c>
      <c r="C827">
        <f>IF($A827="","",games!$C827)</f>
        <v/>
      </c>
      <c r="D827">
        <f>IF($A827="","",COUNTIF(connections!$A$2:$A$1400,$A827)+COUNTIF(connections!$B$2:$B$1400,$A827))</f>
        <v/>
      </c>
      <c r="E827">
        <f>IF($A827="","",IFERROR(MATCH($C827,$R$2:$R$5,0),0))</f>
        <v/>
      </c>
      <c r="F827">
        <f>IF($A827="","",MOD(ROW(),34))</f>
        <v/>
      </c>
      <c r="G827">
        <f>IF($A827="",NA(),IF($C827="Action",$B827,NA()))</f>
        <v/>
      </c>
      <c r="H827">
        <f>IF($A827="",NA(),IF($C827="Action",1+$F827*0.023,NA()))</f>
        <v/>
      </c>
      <c r="I827">
        <f>IF($A827="",NA(),IF($C827="Strategy",$B827,NA()))</f>
        <v/>
      </c>
      <c r="J827">
        <f>IF($A827="",NA(),IF($C827="Strategy",2+$F827*0.023,NA()))</f>
        <v/>
      </c>
      <c r="K827">
        <f>IF($A827="",NA(),IF($C827="Deckbuilder",$B827,NA()))</f>
        <v/>
      </c>
      <c r="L827">
        <f>IF($A827="",NA(),IF($C827="Deckbuilder",3+$F827*0.023,NA()))</f>
        <v/>
      </c>
      <c r="M827">
        <f>IF($A827="",NA(),IF($C827="Traditional",$B827,NA()))</f>
        <v/>
      </c>
      <c r="N827">
        <f>IF($A827="",NA(),IF($C827="Traditional",4+$F827*0.023,NA()))</f>
        <v/>
      </c>
      <c r="O827">
        <f>IF($A827="","",$D827+ROW()/1000000)</f>
        <v/>
      </c>
      <c r="P827">
        <f>IF(OR($A827="",games!$H827=""),"",games!$H827)</f>
        <v/>
      </c>
      <c r="Q827">
        <f>IF(OR($A827="",$P827&lt;&gt;"Yes"),"",$D827+ROW()/1000000)</f>
        <v/>
      </c>
      <c r="T827">
        <f>IF(connections!$A827="","",IFERROR(INDEX(games!$B$2:$B$950,MATCH(connections!$A827,games!$A$2:$A$950,0)),""))</f>
        <v/>
      </c>
      <c r="U827">
        <f>IF(connections!$A827="","",IFERROR(INDEX(games!$B$2:$B$950,MATCH(connections!$B827,games!$A$2:$A$950,0)),""))</f>
        <v/>
      </c>
      <c r="V827">
        <f>IF(OR($T827="",$U827=""),"",$U827-$T827)</f>
        <v/>
      </c>
    </row>
    <row r="828">
      <c r="A828">
        <f>IF(games!$A828="","",games!$A828)</f>
        <v/>
      </c>
      <c r="B828">
        <f>IF($A828="","",games!$B828)</f>
        <v/>
      </c>
      <c r="C828">
        <f>IF($A828="","",games!$C828)</f>
        <v/>
      </c>
      <c r="D828">
        <f>IF($A828="","",COUNTIF(connections!$A$2:$A$1400,$A828)+COUNTIF(connections!$B$2:$B$1400,$A828))</f>
        <v/>
      </c>
      <c r="E828">
        <f>IF($A828="","",IFERROR(MATCH($C828,$R$2:$R$5,0),0))</f>
        <v/>
      </c>
      <c r="F828">
        <f>IF($A828="","",MOD(ROW(),34))</f>
        <v/>
      </c>
      <c r="G828">
        <f>IF($A828="",NA(),IF($C828="Action",$B828,NA()))</f>
        <v/>
      </c>
      <c r="H828">
        <f>IF($A828="",NA(),IF($C828="Action",1+$F828*0.023,NA()))</f>
        <v/>
      </c>
      <c r="I828">
        <f>IF($A828="",NA(),IF($C828="Strategy",$B828,NA()))</f>
        <v/>
      </c>
      <c r="J828">
        <f>IF($A828="",NA(),IF($C828="Strategy",2+$F828*0.023,NA()))</f>
        <v/>
      </c>
      <c r="K828">
        <f>IF($A828="",NA(),IF($C828="Deckbuilder",$B828,NA()))</f>
        <v/>
      </c>
      <c r="L828">
        <f>IF($A828="",NA(),IF($C828="Deckbuilder",3+$F828*0.023,NA()))</f>
        <v/>
      </c>
      <c r="M828">
        <f>IF($A828="",NA(),IF($C828="Traditional",$B828,NA()))</f>
        <v/>
      </c>
      <c r="N828">
        <f>IF($A828="",NA(),IF($C828="Traditional",4+$F828*0.023,NA()))</f>
        <v/>
      </c>
      <c r="O828">
        <f>IF($A828="","",$D828+ROW()/1000000)</f>
        <v/>
      </c>
      <c r="P828">
        <f>IF(OR($A828="",games!$H828=""),"",games!$H828)</f>
        <v/>
      </c>
      <c r="Q828">
        <f>IF(OR($A828="",$P828&lt;&gt;"Yes"),"",$D828+ROW()/1000000)</f>
        <v/>
      </c>
      <c r="T828">
        <f>IF(connections!$A828="","",IFERROR(INDEX(games!$B$2:$B$950,MATCH(connections!$A828,games!$A$2:$A$950,0)),""))</f>
        <v/>
      </c>
      <c r="U828">
        <f>IF(connections!$A828="","",IFERROR(INDEX(games!$B$2:$B$950,MATCH(connections!$B828,games!$A$2:$A$950,0)),""))</f>
        <v/>
      </c>
      <c r="V828">
        <f>IF(OR($T828="",$U828=""),"",$U828-$T828)</f>
        <v/>
      </c>
    </row>
    <row r="829">
      <c r="A829">
        <f>IF(games!$A829="","",games!$A829)</f>
        <v/>
      </c>
      <c r="B829">
        <f>IF($A829="","",games!$B829)</f>
        <v/>
      </c>
      <c r="C829">
        <f>IF($A829="","",games!$C829)</f>
        <v/>
      </c>
      <c r="D829">
        <f>IF($A829="","",COUNTIF(connections!$A$2:$A$1400,$A829)+COUNTIF(connections!$B$2:$B$1400,$A829))</f>
        <v/>
      </c>
      <c r="E829">
        <f>IF($A829="","",IFERROR(MATCH($C829,$R$2:$R$5,0),0))</f>
        <v/>
      </c>
      <c r="F829">
        <f>IF($A829="","",MOD(ROW(),34))</f>
        <v/>
      </c>
      <c r="G829">
        <f>IF($A829="",NA(),IF($C829="Action",$B829,NA()))</f>
        <v/>
      </c>
      <c r="H829">
        <f>IF($A829="",NA(),IF($C829="Action",1+$F829*0.023,NA()))</f>
        <v/>
      </c>
      <c r="I829">
        <f>IF($A829="",NA(),IF($C829="Strategy",$B829,NA()))</f>
        <v/>
      </c>
      <c r="J829">
        <f>IF($A829="",NA(),IF($C829="Strategy",2+$F829*0.023,NA()))</f>
        <v/>
      </c>
      <c r="K829">
        <f>IF($A829="",NA(),IF($C829="Deckbuilder",$B829,NA()))</f>
        <v/>
      </c>
      <c r="L829">
        <f>IF($A829="",NA(),IF($C829="Deckbuilder",3+$F829*0.023,NA()))</f>
        <v/>
      </c>
      <c r="M829">
        <f>IF($A829="",NA(),IF($C829="Traditional",$B829,NA()))</f>
        <v/>
      </c>
      <c r="N829">
        <f>IF($A829="",NA(),IF($C829="Traditional",4+$F829*0.023,NA()))</f>
        <v/>
      </c>
      <c r="O829">
        <f>IF($A829="","",$D829+ROW()/1000000)</f>
        <v/>
      </c>
      <c r="P829">
        <f>IF(OR($A829="",games!$H829=""),"",games!$H829)</f>
        <v/>
      </c>
      <c r="Q829">
        <f>IF(OR($A829="",$P829&lt;&gt;"Yes"),"",$D829+ROW()/1000000)</f>
        <v/>
      </c>
      <c r="T829">
        <f>IF(connections!$A829="","",IFERROR(INDEX(games!$B$2:$B$950,MATCH(connections!$A829,games!$A$2:$A$950,0)),""))</f>
        <v/>
      </c>
      <c r="U829">
        <f>IF(connections!$A829="","",IFERROR(INDEX(games!$B$2:$B$950,MATCH(connections!$B829,games!$A$2:$A$950,0)),""))</f>
        <v/>
      </c>
      <c r="V829">
        <f>IF(OR($T829="",$U829=""),"",$U829-$T829)</f>
        <v/>
      </c>
    </row>
    <row r="830">
      <c r="A830">
        <f>IF(games!$A830="","",games!$A830)</f>
        <v/>
      </c>
      <c r="B830">
        <f>IF($A830="","",games!$B830)</f>
        <v/>
      </c>
      <c r="C830">
        <f>IF($A830="","",games!$C830)</f>
        <v/>
      </c>
      <c r="D830">
        <f>IF($A830="","",COUNTIF(connections!$A$2:$A$1400,$A830)+COUNTIF(connections!$B$2:$B$1400,$A830))</f>
        <v/>
      </c>
      <c r="E830">
        <f>IF($A830="","",IFERROR(MATCH($C830,$R$2:$R$5,0),0))</f>
        <v/>
      </c>
      <c r="F830">
        <f>IF($A830="","",MOD(ROW(),34))</f>
        <v/>
      </c>
      <c r="G830">
        <f>IF($A830="",NA(),IF($C830="Action",$B830,NA()))</f>
        <v/>
      </c>
      <c r="H830">
        <f>IF($A830="",NA(),IF($C830="Action",1+$F830*0.023,NA()))</f>
        <v/>
      </c>
      <c r="I830">
        <f>IF($A830="",NA(),IF($C830="Strategy",$B830,NA()))</f>
        <v/>
      </c>
      <c r="J830">
        <f>IF($A830="",NA(),IF($C830="Strategy",2+$F830*0.023,NA()))</f>
        <v/>
      </c>
      <c r="K830">
        <f>IF($A830="",NA(),IF($C830="Deckbuilder",$B830,NA()))</f>
        <v/>
      </c>
      <c r="L830">
        <f>IF($A830="",NA(),IF($C830="Deckbuilder",3+$F830*0.023,NA()))</f>
        <v/>
      </c>
      <c r="M830">
        <f>IF($A830="",NA(),IF($C830="Traditional",$B830,NA()))</f>
        <v/>
      </c>
      <c r="N830">
        <f>IF($A830="",NA(),IF($C830="Traditional",4+$F830*0.023,NA()))</f>
        <v/>
      </c>
      <c r="O830">
        <f>IF($A830="","",$D830+ROW()/1000000)</f>
        <v/>
      </c>
      <c r="P830">
        <f>IF(OR($A830="",games!$H830=""),"",games!$H830)</f>
        <v/>
      </c>
      <c r="Q830">
        <f>IF(OR($A830="",$P830&lt;&gt;"Yes"),"",$D830+ROW()/1000000)</f>
        <v/>
      </c>
      <c r="T830">
        <f>IF(connections!$A830="","",IFERROR(INDEX(games!$B$2:$B$950,MATCH(connections!$A830,games!$A$2:$A$950,0)),""))</f>
        <v/>
      </c>
      <c r="U830">
        <f>IF(connections!$A830="","",IFERROR(INDEX(games!$B$2:$B$950,MATCH(connections!$B830,games!$A$2:$A$950,0)),""))</f>
        <v/>
      </c>
      <c r="V830">
        <f>IF(OR($T830="",$U830=""),"",$U830-$T830)</f>
        <v/>
      </c>
    </row>
    <row r="831">
      <c r="A831">
        <f>IF(games!$A831="","",games!$A831)</f>
        <v/>
      </c>
      <c r="B831">
        <f>IF($A831="","",games!$B831)</f>
        <v/>
      </c>
      <c r="C831">
        <f>IF($A831="","",games!$C831)</f>
        <v/>
      </c>
      <c r="D831">
        <f>IF($A831="","",COUNTIF(connections!$A$2:$A$1400,$A831)+COUNTIF(connections!$B$2:$B$1400,$A831))</f>
        <v/>
      </c>
      <c r="E831">
        <f>IF($A831="","",IFERROR(MATCH($C831,$R$2:$R$5,0),0))</f>
        <v/>
      </c>
      <c r="F831">
        <f>IF($A831="","",MOD(ROW(),34))</f>
        <v/>
      </c>
      <c r="G831">
        <f>IF($A831="",NA(),IF($C831="Action",$B831,NA()))</f>
        <v/>
      </c>
      <c r="H831">
        <f>IF($A831="",NA(),IF($C831="Action",1+$F831*0.023,NA()))</f>
        <v/>
      </c>
      <c r="I831">
        <f>IF($A831="",NA(),IF($C831="Strategy",$B831,NA()))</f>
        <v/>
      </c>
      <c r="J831">
        <f>IF($A831="",NA(),IF($C831="Strategy",2+$F831*0.023,NA()))</f>
        <v/>
      </c>
      <c r="K831">
        <f>IF($A831="",NA(),IF($C831="Deckbuilder",$B831,NA()))</f>
        <v/>
      </c>
      <c r="L831">
        <f>IF($A831="",NA(),IF($C831="Deckbuilder",3+$F831*0.023,NA()))</f>
        <v/>
      </c>
      <c r="M831">
        <f>IF($A831="",NA(),IF($C831="Traditional",$B831,NA()))</f>
        <v/>
      </c>
      <c r="N831">
        <f>IF($A831="",NA(),IF($C831="Traditional",4+$F831*0.023,NA()))</f>
        <v/>
      </c>
      <c r="O831">
        <f>IF($A831="","",$D831+ROW()/1000000)</f>
        <v/>
      </c>
      <c r="P831">
        <f>IF(OR($A831="",games!$H831=""),"",games!$H831)</f>
        <v/>
      </c>
      <c r="Q831">
        <f>IF(OR($A831="",$P831&lt;&gt;"Yes"),"",$D831+ROW()/1000000)</f>
        <v/>
      </c>
      <c r="T831">
        <f>IF(connections!$A831="","",IFERROR(INDEX(games!$B$2:$B$950,MATCH(connections!$A831,games!$A$2:$A$950,0)),""))</f>
        <v/>
      </c>
      <c r="U831">
        <f>IF(connections!$A831="","",IFERROR(INDEX(games!$B$2:$B$950,MATCH(connections!$B831,games!$A$2:$A$950,0)),""))</f>
        <v/>
      </c>
      <c r="V831">
        <f>IF(OR($T831="",$U831=""),"",$U831-$T831)</f>
        <v/>
      </c>
    </row>
    <row r="832">
      <c r="A832">
        <f>IF(games!$A832="","",games!$A832)</f>
        <v/>
      </c>
      <c r="B832">
        <f>IF($A832="","",games!$B832)</f>
        <v/>
      </c>
      <c r="C832">
        <f>IF($A832="","",games!$C832)</f>
        <v/>
      </c>
      <c r="D832">
        <f>IF($A832="","",COUNTIF(connections!$A$2:$A$1400,$A832)+COUNTIF(connections!$B$2:$B$1400,$A832))</f>
        <v/>
      </c>
      <c r="E832">
        <f>IF($A832="","",IFERROR(MATCH($C832,$R$2:$R$5,0),0))</f>
        <v/>
      </c>
      <c r="F832">
        <f>IF($A832="","",MOD(ROW(),34))</f>
        <v/>
      </c>
      <c r="G832">
        <f>IF($A832="",NA(),IF($C832="Action",$B832,NA()))</f>
        <v/>
      </c>
      <c r="H832">
        <f>IF($A832="",NA(),IF($C832="Action",1+$F832*0.023,NA()))</f>
        <v/>
      </c>
      <c r="I832">
        <f>IF($A832="",NA(),IF($C832="Strategy",$B832,NA()))</f>
        <v/>
      </c>
      <c r="J832">
        <f>IF($A832="",NA(),IF($C832="Strategy",2+$F832*0.023,NA()))</f>
        <v/>
      </c>
      <c r="K832">
        <f>IF($A832="",NA(),IF($C832="Deckbuilder",$B832,NA()))</f>
        <v/>
      </c>
      <c r="L832">
        <f>IF($A832="",NA(),IF($C832="Deckbuilder",3+$F832*0.023,NA()))</f>
        <v/>
      </c>
      <c r="M832">
        <f>IF($A832="",NA(),IF($C832="Traditional",$B832,NA()))</f>
        <v/>
      </c>
      <c r="N832">
        <f>IF($A832="",NA(),IF($C832="Traditional",4+$F832*0.023,NA()))</f>
        <v/>
      </c>
      <c r="O832">
        <f>IF($A832="","",$D832+ROW()/1000000)</f>
        <v/>
      </c>
      <c r="P832">
        <f>IF(OR($A832="",games!$H832=""),"",games!$H832)</f>
        <v/>
      </c>
      <c r="Q832">
        <f>IF(OR($A832="",$P832&lt;&gt;"Yes"),"",$D832+ROW()/1000000)</f>
        <v/>
      </c>
      <c r="T832">
        <f>IF(connections!$A832="","",IFERROR(INDEX(games!$B$2:$B$950,MATCH(connections!$A832,games!$A$2:$A$950,0)),""))</f>
        <v/>
      </c>
      <c r="U832">
        <f>IF(connections!$A832="","",IFERROR(INDEX(games!$B$2:$B$950,MATCH(connections!$B832,games!$A$2:$A$950,0)),""))</f>
        <v/>
      </c>
      <c r="V832">
        <f>IF(OR($T832="",$U832=""),"",$U832-$T832)</f>
        <v/>
      </c>
    </row>
    <row r="833">
      <c r="A833">
        <f>IF(games!$A833="","",games!$A833)</f>
        <v/>
      </c>
      <c r="B833">
        <f>IF($A833="","",games!$B833)</f>
        <v/>
      </c>
      <c r="C833">
        <f>IF($A833="","",games!$C833)</f>
        <v/>
      </c>
      <c r="D833">
        <f>IF($A833="","",COUNTIF(connections!$A$2:$A$1400,$A833)+COUNTIF(connections!$B$2:$B$1400,$A833))</f>
        <v/>
      </c>
      <c r="E833">
        <f>IF($A833="","",IFERROR(MATCH($C833,$R$2:$R$5,0),0))</f>
        <v/>
      </c>
      <c r="F833">
        <f>IF($A833="","",MOD(ROW(),34))</f>
        <v/>
      </c>
      <c r="G833">
        <f>IF($A833="",NA(),IF($C833="Action",$B833,NA()))</f>
        <v/>
      </c>
      <c r="H833">
        <f>IF($A833="",NA(),IF($C833="Action",1+$F833*0.023,NA()))</f>
        <v/>
      </c>
      <c r="I833">
        <f>IF($A833="",NA(),IF($C833="Strategy",$B833,NA()))</f>
        <v/>
      </c>
      <c r="J833">
        <f>IF($A833="",NA(),IF($C833="Strategy",2+$F833*0.023,NA()))</f>
        <v/>
      </c>
      <c r="K833">
        <f>IF($A833="",NA(),IF($C833="Deckbuilder",$B833,NA()))</f>
        <v/>
      </c>
      <c r="L833">
        <f>IF($A833="",NA(),IF($C833="Deckbuilder",3+$F833*0.023,NA()))</f>
        <v/>
      </c>
      <c r="M833">
        <f>IF($A833="",NA(),IF($C833="Traditional",$B833,NA()))</f>
        <v/>
      </c>
      <c r="N833">
        <f>IF($A833="",NA(),IF($C833="Traditional",4+$F833*0.023,NA()))</f>
        <v/>
      </c>
      <c r="O833">
        <f>IF($A833="","",$D833+ROW()/1000000)</f>
        <v/>
      </c>
      <c r="P833">
        <f>IF(OR($A833="",games!$H833=""),"",games!$H833)</f>
        <v/>
      </c>
      <c r="Q833">
        <f>IF(OR($A833="",$P833&lt;&gt;"Yes"),"",$D833+ROW()/1000000)</f>
        <v/>
      </c>
      <c r="T833">
        <f>IF(connections!$A833="","",IFERROR(INDEX(games!$B$2:$B$950,MATCH(connections!$A833,games!$A$2:$A$950,0)),""))</f>
        <v/>
      </c>
      <c r="U833">
        <f>IF(connections!$A833="","",IFERROR(INDEX(games!$B$2:$B$950,MATCH(connections!$B833,games!$A$2:$A$950,0)),""))</f>
        <v/>
      </c>
      <c r="V833">
        <f>IF(OR($T833="",$U833=""),"",$U833-$T833)</f>
        <v/>
      </c>
    </row>
    <row r="834">
      <c r="A834">
        <f>IF(games!$A834="","",games!$A834)</f>
        <v/>
      </c>
      <c r="B834">
        <f>IF($A834="","",games!$B834)</f>
        <v/>
      </c>
      <c r="C834">
        <f>IF($A834="","",games!$C834)</f>
        <v/>
      </c>
      <c r="D834">
        <f>IF($A834="","",COUNTIF(connections!$A$2:$A$1400,$A834)+COUNTIF(connections!$B$2:$B$1400,$A834))</f>
        <v/>
      </c>
      <c r="E834">
        <f>IF($A834="","",IFERROR(MATCH($C834,$R$2:$R$5,0),0))</f>
        <v/>
      </c>
      <c r="F834">
        <f>IF($A834="","",MOD(ROW(),34))</f>
        <v/>
      </c>
      <c r="G834">
        <f>IF($A834="",NA(),IF($C834="Action",$B834,NA()))</f>
        <v/>
      </c>
      <c r="H834">
        <f>IF($A834="",NA(),IF($C834="Action",1+$F834*0.023,NA()))</f>
        <v/>
      </c>
      <c r="I834">
        <f>IF($A834="",NA(),IF($C834="Strategy",$B834,NA()))</f>
        <v/>
      </c>
      <c r="J834">
        <f>IF($A834="",NA(),IF($C834="Strategy",2+$F834*0.023,NA()))</f>
        <v/>
      </c>
      <c r="K834">
        <f>IF($A834="",NA(),IF($C834="Deckbuilder",$B834,NA()))</f>
        <v/>
      </c>
      <c r="L834">
        <f>IF($A834="",NA(),IF($C834="Deckbuilder",3+$F834*0.023,NA()))</f>
        <v/>
      </c>
      <c r="M834">
        <f>IF($A834="",NA(),IF($C834="Traditional",$B834,NA()))</f>
        <v/>
      </c>
      <c r="N834">
        <f>IF($A834="",NA(),IF($C834="Traditional",4+$F834*0.023,NA()))</f>
        <v/>
      </c>
      <c r="O834">
        <f>IF($A834="","",$D834+ROW()/1000000)</f>
        <v/>
      </c>
      <c r="P834">
        <f>IF(OR($A834="",games!$H834=""),"",games!$H834)</f>
        <v/>
      </c>
      <c r="Q834">
        <f>IF(OR($A834="",$P834&lt;&gt;"Yes"),"",$D834+ROW()/1000000)</f>
        <v/>
      </c>
      <c r="T834">
        <f>IF(connections!$A834="","",IFERROR(INDEX(games!$B$2:$B$950,MATCH(connections!$A834,games!$A$2:$A$950,0)),""))</f>
        <v/>
      </c>
      <c r="U834">
        <f>IF(connections!$A834="","",IFERROR(INDEX(games!$B$2:$B$950,MATCH(connections!$B834,games!$A$2:$A$950,0)),""))</f>
        <v/>
      </c>
      <c r="V834">
        <f>IF(OR($T834="",$U834=""),"",$U834-$T834)</f>
        <v/>
      </c>
    </row>
    <row r="835">
      <c r="A835">
        <f>IF(games!$A835="","",games!$A835)</f>
        <v/>
      </c>
      <c r="B835">
        <f>IF($A835="","",games!$B835)</f>
        <v/>
      </c>
      <c r="C835">
        <f>IF($A835="","",games!$C835)</f>
        <v/>
      </c>
      <c r="D835">
        <f>IF($A835="","",COUNTIF(connections!$A$2:$A$1400,$A835)+COUNTIF(connections!$B$2:$B$1400,$A835))</f>
        <v/>
      </c>
      <c r="E835">
        <f>IF($A835="","",IFERROR(MATCH($C835,$R$2:$R$5,0),0))</f>
        <v/>
      </c>
      <c r="F835">
        <f>IF($A835="","",MOD(ROW(),34))</f>
        <v/>
      </c>
      <c r="G835">
        <f>IF($A835="",NA(),IF($C835="Action",$B835,NA()))</f>
        <v/>
      </c>
      <c r="H835">
        <f>IF($A835="",NA(),IF($C835="Action",1+$F835*0.023,NA()))</f>
        <v/>
      </c>
      <c r="I835">
        <f>IF($A835="",NA(),IF($C835="Strategy",$B835,NA()))</f>
        <v/>
      </c>
      <c r="J835">
        <f>IF($A835="",NA(),IF($C835="Strategy",2+$F835*0.023,NA()))</f>
        <v/>
      </c>
      <c r="K835">
        <f>IF($A835="",NA(),IF($C835="Deckbuilder",$B835,NA()))</f>
        <v/>
      </c>
      <c r="L835">
        <f>IF($A835="",NA(),IF($C835="Deckbuilder",3+$F835*0.023,NA()))</f>
        <v/>
      </c>
      <c r="M835">
        <f>IF($A835="",NA(),IF($C835="Traditional",$B835,NA()))</f>
        <v/>
      </c>
      <c r="N835">
        <f>IF($A835="",NA(),IF($C835="Traditional",4+$F835*0.023,NA()))</f>
        <v/>
      </c>
      <c r="O835">
        <f>IF($A835="","",$D835+ROW()/1000000)</f>
        <v/>
      </c>
      <c r="P835">
        <f>IF(OR($A835="",games!$H835=""),"",games!$H835)</f>
        <v/>
      </c>
      <c r="Q835">
        <f>IF(OR($A835="",$P835&lt;&gt;"Yes"),"",$D835+ROW()/1000000)</f>
        <v/>
      </c>
      <c r="T835">
        <f>IF(connections!$A835="","",IFERROR(INDEX(games!$B$2:$B$950,MATCH(connections!$A835,games!$A$2:$A$950,0)),""))</f>
        <v/>
      </c>
      <c r="U835">
        <f>IF(connections!$A835="","",IFERROR(INDEX(games!$B$2:$B$950,MATCH(connections!$B835,games!$A$2:$A$950,0)),""))</f>
        <v/>
      </c>
      <c r="V835">
        <f>IF(OR($T835="",$U835=""),"",$U835-$T835)</f>
        <v/>
      </c>
    </row>
    <row r="836">
      <c r="A836">
        <f>IF(games!$A836="","",games!$A836)</f>
        <v/>
      </c>
      <c r="B836">
        <f>IF($A836="","",games!$B836)</f>
        <v/>
      </c>
      <c r="C836">
        <f>IF($A836="","",games!$C836)</f>
        <v/>
      </c>
      <c r="D836">
        <f>IF($A836="","",COUNTIF(connections!$A$2:$A$1400,$A836)+COUNTIF(connections!$B$2:$B$1400,$A836))</f>
        <v/>
      </c>
      <c r="E836">
        <f>IF($A836="","",IFERROR(MATCH($C836,$R$2:$R$5,0),0))</f>
        <v/>
      </c>
      <c r="F836">
        <f>IF($A836="","",MOD(ROW(),34))</f>
        <v/>
      </c>
      <c r="G836">
        <f>IF($A836="",NA(),IF($C836="Action",$B836,NA()))</f>
        <v/>
      </c>
      <c r="H836">
        <f>IF($A836="",NA(),IF($C836="Action",1+$F836*0.023,NA()))</f>
        <v/>
      </c>
      <c r="I836">
        <f>IF($A836="",NA(),IF($C836="Strategy",$B836,NA()))</f>
        <v/>
      </c>
      <c r="J836">
        <f>IF($A836="",NA(),IF($C836="Strategy",2+$F836*0.023,NA()))</f>
        <v/>
      </c>
      <c r="K836">
        <f>IF($A836="",NA(),IF($C836="Deckbuilder",$B836,NA()))</f>
        <v/>
      </c>
      <c r="L836">
        <f>IF($A836="",NA(),IF($C836="Deckbuilder",3+$F836*0.023,NA()))</f>
        <v/>
      </c>
      <c r="M836">
        <f>IF($A836="",NA(),IF($C836="Traditional",$B836,NA()))</f>
        <v/>
      </c>
      <c r="N836">
        <f>IF($A836="",NA(),IF($C836="Traditional",4+$F836*0.023,NA()))</f>
        <v/>
      </c>
      <c r="O836">
        <f>IF($A836="","",$D836+ROW()/1000000)</f>
        <v/>
      </c>
      <c r="P836">
        <f>IF(OR($A836="",games!$H836=""),"",games!$H836)</f>
        <v/>
      </c>
      <c r="Q836">
        <f>IF(OR($A836="",$P836&lt;&gt;"Yes"),"",$D836+ROW()/1000000)</f>
        <v/>
      </c>
      <c r="T836">
        <f>IF(connections!$A836="","",IFERROR(INDEX(games!$B$2:$B$950,MATCH(connections!$A836,games!$A$2:$A$950,0)),""))</f>
        <v/>
      </c>
      <c r="U836">
        <f>IF(connections!$A836="","",IFERROR(INDEX(games!$B$2:$B$950,MATCH(connections!$B836,games!$A$2:$A$950,0)),""))</f>
        <v/>
      </c>
      <c r="V836">
        <f>IF(OR($T836="",$U836=""),"",$U836-$T836)</f>
        <v/>
      </c>
    </row>
    <row r="837">
      <c r="A837">
        <f>IF(games!$A837="","",games!$A837)</f>
        <v/>
      </c>
      <c r="B837">
        <f>IF($A837="","",games!$B837)</f>
        <v/>
      </c>
      <c r="C837">
        <f>IF($A837="","",games!$C837)</f>
        <v/>
      </c>
      <c r="D837">
        <f>IF($A837="","",COUNTIF(connections!$A$2:$A$1400,$A837)+COUNTIF(connections!$B$2:$B$1400,$A837))</f>
        <v/>
      </c>
      <c r="E837">
        <f>IF($A837="","",IFERROR(MATCH($C837,$R$2:$R$5,0),0))</f>
        <v/>
      </c>
      <c r="F837">
        <f>IF($A837="","",MOD(ROW(),34))</f>
        <v/>
      </c>
      <c r="G837">
        <f>IF($A837="",NA(),IF($C837="Action",$B837,NA()))</f>
        <v/>
      </c>
      <c r="H837">
        <f>IF($A837="",NA(),IF($C837="Action",1+$F837*0.023,NA()))</f>
        <v/>
      </c>
      <c r="I837">
        <f>IF($A837="",NA(),IF($C837="Strategy",$B837,NA()))</f>
        <v/>
      </c>
      <c r="J837">
        <f>IF($A837="",NA(),IF($C837="Strategy",2+$F837*0.023,NA()))</f>
        <v/>
      </c>
      <c r="K837">
        <f>IF($A837="",NA(),IF($C837="Deckbuilder",$B837,NA()))</f>
        <v/>
      </c>
      <c r="L837">
        <f>IF($A837="",NA(),IF($C837="Deckbuilder",3+$F837*0.023,NA()))</f>
        <v/>
      </c>
      <c r="M837">
        <f>IF($A837="",NA(),IF($C837="Traditional",$B837,NA()))</f>
        <v/>
      </c>
      <c r="N837">
        <f>IF($A837="",NA(),IF($C837="Traditional",4+$F837*0.023,NA()))</f>
        <v/>
      </c>
      <c r="O837">
        <f>IF($A837="","",$D837+ROW()/1000000)</f>
        <v/>
      </c>
      <c r="P837">
        <f>IF(OR($A837="",games!$H837=""),"",games!$H837)</f>
        <v/>
      </c>
      <c r="Q837">
        <f>IF(OR($A837="",$P837&lt;&gt;"Yes"),"",$D837+ROW()/1000000)</f>
        <v/>
      </c>
      <c r="T837">
        <f>IF(connections!$A837="","",IFERROR(INDEX(games!$B$2:$B$950,MATCH(connections!$A837,games!$A$2:$A$950,0)),""))</f>
        <v/>
      </c>
      <c r="U837">
        <f>IF(connections!$A837="","",IFERROR(INDEX(games!$B$2:$B$950,MATCH(connections!$B837,games!$A$2:$A$950,0)),""))</f>
        <v/>
      </c>
      <c r="V837">
        <f>IF(OR($T837="",$U837=""),"",$U837-$T837)</f>
        <v/>
      </c>
    </row>
    <row r="838">
      <c r="A838">
        <f>IF(games!$A838="","",games!$A838)</f>
        <v/>
      </c>
      <c r="B838">
        <f>IF($A838="","",games!$B838)</f>
        <v/>
      </c>
      <c r="C838">
        <f>IF($A838="","",games!$C838)</f>
        <v/>
      </c>
      <c r="D838">
        <f>IF($A838="","",COUNTIF(connections!$A$2:$A$1400,$A838)+COUNTIF(connections!$B$2:$B$1400,$A838))</f>
        <v/>
      </c>
      <c r="E838">
        <f>IF($A838="","",IFERROR(MATCH($C838,$R$2:$R$5,0),0))</f>
        <v/>
      </c>
      <c r="F838">
        <f>IF($A838="","",MOD(ROW(),34))</f>
        <v/>
      </c>
      <c r="G838">
        <f>IF($A838="",NA(),IF($C838="Action",$B838,NA()))</f>
        <v/>
      </c>
      <c r="H838">
        <f>IF($A838="",NA(),IF($C838="Action",1+$F838*0.023,NA()))</f>
        <v/>
      </c>
      <c r="I838">
        <f>IF($A838="",NA(),IF($C838="Strategy",$B838,NA()))</f>
        <v/>
      </c>
      <c r="J838">
        <f>IF($A838="",NA(),IF($C838="Strategy",2+$F838*0.023,NA()))</f>
        <v/>
      </c>
      <c r="K838">
        <f>IF($A838="",NA(),IF($C838="Deckbuilder",$B838,NA()))</f>
        <v/>
      </c>
      <c r="L838">
        <f>IF($A838="",NA(),IF($C838="Deckbuilder",3+$F838*0.023,NA()))</f>
        <v/>
      </c>
      <c r="M838">
        <f>IF($A838="",NA(),IF($C838="Traditional",$B838,NA()))</f>
        <v/>
      </c>
      <c r="N838">
        <f>IF($A838="",NA(),IF($C838="Traditional",4+$F838*0.023,NA()))</f>
        <v/>
      </c>
      <c r="O838">
        <f>IF($A838="","",$D838+ROW()/1000000)</f>
        <v/>
      </c>
      <c r="P838">
        <f>IF(OR($A838="",games!$H838=""),"",games!$H838)</f>
        <v/>
      </c>
      <c r="Q838">
        <f>IF(OR($A838="",$P838&lt;&gt;"Yes"),"",$D838+ROW()/1000000)</f>
        <v/>
      </c>
      <c r="T838">
        <f>IF(connections!$A838="","",IFERROR(INDEX(games!$B$2:$B$950,MATCH(connections!$A838,games!$A$2:$A$950,0)),""))</f>
        <v/>
      </c>
      <c r="U838">
        <f>IF(connections!$A838="","",IFERROR(INDEX(games!$B$2:$B$950,MATCH(connections!$B838,games!$A$2:$A$950,0)),""))</f>
        <v/>
      </c>
      <c r="V838">
        <f>IF(OR($T838="",$U838=""),"",$U838-$T838)</f>
        <v/>
      </c>
    </row>
    <row r="839">
      <c r="A839">
        <f>IF(games!$A839="","",games!$A839)</f>
        <v/>
      </c>
      <c r="B839">
        <f>IF($A839="","",games!$B839)</f>
        <v/>
      </c>
      <c r="C839">
        <f>IF($A839="","",games!$C839)</f>
        <v/>
      </c>
      <c r="D839">
        <f>IF($A839="","",COUNTIF(connections!$A$2:$A$1400,$A839)+COUNTIF(connections!$B$2:$B$1400,$A839))</f>
        <v/>
      </c>
      <c r="E839">
        <f>IF($A839="","",IFERROR(MATCH($C839,$R$2:$R$5,0),0))</f>
        <v/>
      </c>
      <c r="F839">
        <f>IF($A839="","",MOD(ROW(),34))</f>
        <v/>
      </c>
      <c r="G839">
        <f>IF($A839="",NA(),IF($C839="Action",$B839,NA()))</f>
        <v/>
      </c>
      <c r="H839">
        <f>IF($A839="",NA(),IF($C839="Action",1+$F839*0.023,NA()))</f>
        <v/>
      </c>
      <c r="I839">
        <f>IF($A839="",NA(),IF($C839="Strategy",$B839,NA()))</f>
        <v/>
      </c>
      <c r="J839">
        <f>IF($A839="",NA(),IF($C839="Strategy",2+$F839*0.023,NA()))</f>
        <v/>
      </c>
      <c r="K839">
        <f>IF($A839="",NA(),IF($C839="Deckbuilder",$B839,NA()))</f>
        <v/>
      </c>
      <c r="L839">
        <f>IF($A839="",NA(),IF($C839="Deckbuilder",3+$F839*0.023,NA()))</f>
        <v/>
      </c>
      <c r="M839">
        <f>IF($A839="",NA(),IF($C839="Traditional",$B839,NA()))</f>
        <v/>
      </c>
      <c r="N839">
        <f>IF($A839="",NA(),IF($C839="Traditional",4+$F839*0.023,NA()))</f>
        <v/>
      </c>
      <c r="O839">
        <f>IF($A839="","",$D839+ROW()/1000000)</f>
        <v/>
      </c>
      <c r="P839">
        <f>IF(OR($A839="",games!$H839=""),"",games!$H839)</f>
        <v/>
      </c>
      <c r="Q839">
        <f>IF(OR($A839="",$P839&lt;&gt;"Yes"),"",$D839+ROW()/1000000)</f>
        <v/>
      </c>
      <c r="T839">
        <f>IF(connections!$A839="","",IFERROR(INDEX(games!$B$2:$B$950,MATCH(connections!$A839,games!$A$2:$A$950,0)),""))</f>
        <v/>
      </c>
      <c r="U839">
        <f>IF(connections!$A839="","",IFERROR(INDEX(games!$B$2:$B$950,MATCH(connections!$B839,games!$A$2:$A$950,0)),""))</f>
        <v/>
      </c>
      <c r="V839">
        <f>IF(OR($T839="",$U839=""),"",$U839-$T839)</f>
        <v/>
      </c>
    </row>
    <row r="840">
      <c r="A840">
        <f>IF(games!$A840="","",games!$A840)</f>
        <v/>
      </c>
      <c r="B840">
        <f>IF($A840="","",games!$B840)</f>
        <v/>
      </c>
      <c r="C840">
        <f>IF($A840="","",games!$C840)</f>
        <v/>
      </c>
      <c r="D840">
        <f>IF($A840="","",COUNTIF(connections!$A$2:$A$1400,$A840)+COUNTIF(connections!$B$2:$B$1400,$A840))</f>
        <v/>
      </c>
      <c r="E840">
        <f>IF($A840="","",IFERROR(MATCH($C840,$R$2:$R$5,0),0))</f>
        <v/>
      </c>
      <c r="F840">
        <f>IF($A840="","",MOD(ROW(),34))</f>
        <v/>
      </c>
      <c r="G840">
        <f>IF($A840="",NA(),IF($C840="Action",$B840,NA()))</f>
        <v/>
      </c>
      <c r="H840">
        <f>IF($A840="",NA(),IF($C840="Action",1+$F840*0.023,NA()))</f>
        <v/>
      </c>
      <c r="I840">
        <f>IF($A840="",NA(),IF($C840="Strategy",$B840,NA()))</f>
        <v/>
      </c>
      <c r="J840">
        <f>IF($A840="",NA(),IF($C840="Strategy",2+$F840*0.023,NA()))</f>
        <v/>
      </c>
      <c r="K840">
        <f>IF($A840="",NA(),IF($C840="Deckbuilder",$B840,NA()))</f>
        <v/>
      </c>
      <c r="L840">
        <f>IF($A840="",NA(),IF($C840="Deckbuilder",3+$F840*0.023,NA()))</f>
        <v/>
      </c>
      <c r="M840">
        <f>IF($A840="",NA(),IF($C840="Traditional",$B840,NA()))</f>
        <v/>
      </c>
      <c r="N840">
        <f>IF($A840="",NA(),IF($C840="Traditional",4+$F840*0.023,NA()))</f>
        <v/>
      </c>
      <c r="O840">
        <f>IF($A840="","",$D840+ROW()/1000000)</f>
        <v/>
      </c>
      <c r="P840">
        <f>IF(OR($A840="",games!$H840=""),"",games!$H840)</f>
        <v/>
      </c>
      <c r="Q840">
        <f>IF(OR($A840="",$P840&lt;&gt;"Yes"),"",$D840+ROW()/1000000)</f>
        <v/>
      </c>
      <c r="T840">
        <f>IF(connections!$A840="","",IFERROR(INDEX(games!$B$2:$B$950,MATCH(connections!$A840,games!$A$2:$A$950,0)),""))</f>
        <v/>
      </c>
      <c r="U840">
        <f>IF(connections!$A840="","",IFERROR(INDEX(games!$B$2:$B$950,MATCH(connections!$B840,games!$A$2:$A$950,0)),""))</f>
        <v/>
      </c>
      <c r="V840">
        <f>IF(OR($T840="",$U840=""),"",$U840-$T840)</f>
        <v/>
      </c>
    </row>
    <row r="841">
      <c r="A841">
        <f>IF(games!$A841="","",games!$A841)</f>
        <v/>
      </c>
      <c r="B841">
        <f>IF($A841="","",games!$B841)</f>
        <v/>
      </c>
      <c r="C841">
        <f>IF($A841="","",games!$C841)</f>
        <v/>
      </c>
      <c r="D841">
        <f>IF($A841="","",COUNTIF(connections!$A$2:$A$1400,$A841)+COUNTIF(connections!$B$2:$B$1400,$A841))</f>
        <v/>
      </c>
      <c r="E841">
        <f>IF($A841="","",IFERROR(MATCH($C841,$R$2:$R$5,0),0))</f>
        <v/>
      </c>
      <c r="F841">
        <f>IF($A841="","",MOD(ROW(),34))</f>
        <v/>
      </c>
      <c r="G841">
        <f>IF($A841="",NA(),IF($C841="Action",$B841,NA()))</f>
        <v/>
      </c>
      <c r="H841">
        <f>IF($A841="",NA(),IF($C841="Action",1+$F841*0.023,NA()))</f>
        <v/>
      </c>
      <c r="I841">
        <f>IF($A841="",NA(),IF($C841="Strategy",$B841,NA()))</f>
        <v/>
      </c>
      <c r="J841">
        <f>IF($A841="",NA(),IF($C841="Strategy",2+$F841*0.023,NA()))</f>
        <v/>
      </c>
      <c r="K841">
        <f>IF($A841="",NA(),IF($C841="Deckbuilder",$B841,NA()))</f>
        <v/>
      </c>
      <c r="L841">
        <f>IF($A841="",NA(),IF($C841="Deckbuilder",3+$F841*0.023,NA()))</f>
        <v/>
      </c>
      <c r="M841">
        <f>IF($A841="",NA(),IF($C841="Traditional",$B841,NA()))</f>
        <v/>
      </c>
      <c r="N841">
        <f>IF($A841="",NA(),IF($C841="Traditional",4+$F841*0.023,NA()))</f>
        <v/>
      </c>
      <c r="O841">
        <f>IF($A841="","",$D841+ROW()/1000000)</f>
        <v/>
      </c>
      <c r="P841">
        <f>IF(OR($A841="",games!$H841=""),"",games!$H841)</f>
        <v/>
      </c>
      <c r="Q841">
        <f>IF(OR($A841="",$P841&lt;&gt;"Yes"),"",$D841+ROW()/1000000)</f>
        <v/>
      </c>
      <c r="T841">
        <f>IF(connections!$A841="","",IFERROR(INDEX(games!$B$2:$B$950,MATCH(connections!$A841,games!$A$2:$A$950,0)),""))</f>
        <v/>
      </c>
      <c r="U841">
        <f>IF(connections!$A841="","",IFERROR(INDEX(games!$B$2:$B$950,MATCH(connections!$B841,games!$A$2:$A$950,0)),""))</f>
        <v/>
      </c>
      <c r="V841">
        <f>IF(OR($T841="",$U841=""),"",$U841-$T841)</f>
        <v/>
      </c>
    </row>
    <row r="842">
      <c r="A842">
        <f>IF(games!$A842="","",games!$A842)</f>
        <v/>
      </c>
      <c r="B842">
        <f>IF($A842="","",games!$B842)</f>
        <v/>
      </c>
      <c r="C842">
        <f>IF($A842="","",games!$C842)</f>
        <v/>
      </c>
      <c r="D842">
        <f>IF($A842="","",COUNTIF(connections!$A$2:$A$1400,$A842)+COUNTIF(connections!$B$2:$B$1400,$A842))</f>
        <v/>
      </c>
      <c r="E842">
        <f>IF($A842="","",IFERROR(MATCH($C842,$R$2:$R$5,0),0))</f>
        <v/>
      </c>
      <c r="F842">
        <f>IF($A842="","",MOD(ROW(),34))</f>
        <v/>
      </c>
      <c r="G842">
        <f>IF($A842="",NA(),IF($C842="Action",$B842,NA()))</f>
        <v/>
      </c>
      <c r="H842">
        <f>IF($A842="",NA(),IF($C842="Action",1+$F842*0.023,NA()))</f>
        <v/>
      </c>
      <c r="I842">
        <f>IF($A842="",NA(),IF($C842="Strategy",$B842,NA()))</f>
        <v/>
      </c>
      <c r="J842">
        <f>IF($A842="",NA(),IF($C842="Strategy",2+$F842*0.023,NA()))</f>
        <v/>
      </c>
      <c r="K842">
        <f>IF($A842="",NA(),IF($C842="Deckbuilder",$B842,NA()))</f>
        <v/>
      </c>
      <c r="L842">
        <f>IF($A842="",NA(),IF($C842="Deckbuilder",3+$F842*0.023,NA()))</f>
        <v/>
      </c>
      <c r="M842">
        <f>IF($A842="",NA(),IF($C842="Traditional",$B842,NA()))</f>
        <v/>
      </c>
      <c r="N842">
        <f>IF($A842="",NA(),IF($C842="Traditional",4+$F842*0.023,NA()))</f>
        <v/>
      </c>
      <c r="O842">
        <f>IF($A842="","",$D842+ROW()/1000000)</f>
        <v/>
      </c>
      <c r="P842">
        <f>IF(OR($A842="",games!$H842=""),"",games!$H842)</f>
        <v/>
      </c>
      <c r="Q842">
        <f>IF(OR($A842="",$P842&lt;&gt;"Yes"),"",$D842+ROW()/1000000)</f>
        <v/>
      </c>
      <c r="T842">
        <f>IF(connections!$A842="","",IFERROR(INDEX(games!$B$2:$B$950,MATCH(connections!$A842,games!$A$2:$A$950,0)),""))</f>
        <v/>
      </c>
      <c r="U842">
        <f>IF(connections!$A842="","",IFERROR(INDEX(games!$B$2:$B$950,MATCH(connections!$B842,games!$A$2:$A$950,0)),""))</f>
        <v/>
      </c>
      <c r="V842">
        <f>IF(OR($T842="",$U842=""),"",$U842-$T842)</f>
        <v/>
      </c>
    </row>
    <row r="843">
      <c r="A843">
        <f>IF(games!$A843="","",games!$A843)</f>
        <v/>
      </c>
      <c r="B843">
        <f>IF($A843="","",games!$B843)</f>
        <v/>
      </c>
      <c r="C843">
        <f>IF($A843="","",games!$C843)</f>
        <v/>
      </c>
      <c r="D843">
        <f>IF($A843="","",COUNTIF(connections!$A$2:$A$1400,$A843)+COUNTIF(connections!$B$2:$B$1400,$A843))</f>
        <v/>
      </c>
      <c r="E843">
        <f>IF($A843="","",IFERROR(MATCH($C843,$R$2:$R$5,0),0))</f>
        <v/>
      </c>
      <c r="F843">
        <f>IF($A843="","",MOD(ROW(),34))</f>
        <v/>
      </c>
      <c r="G843">
        <f>IF($A843="",NA(),IF($C843="Action",$B843,NA()))</f>
        <v/>
      </c>
      <c r="H843">
        <f>IF($A843="",NA(),IF($C843="Action",1+$F843*0.023,NA()))</f>
        <v/>
      </c>
      <c r="I843">
        <f>IF($A843="",NA(),IF($C843="Strategy",$B843,NA()))</f>
        <v/>
      </c>
      <c r="J843">
        <f>IF($A843="",NA(),IF($C843="Strategy",2+$F843*0.023,NA()))</f>
        <v/>
      </c>
      <c r="K843">
        <f>IF($A843="",NA(),IF($C843="Deckbuilder",$B843,NA()))</f>
        <v/>
      </c>
      <c r="L843">
        <f>IF($A843="",NA(),IF($C843="Deckbuilder",3+$F843*0.023,NA()))</f>
        <v/>
      </c>
      <c r="M843">
        <f>IF($A843="",NA(),IF($C843="Traditional",$B843,NA()))</f>
        <v/>
      </c>
      <c r="N843">
        <f>IF($A843="",NA(),IF($C843="Traditional",4+$F843*0.023,NA()))</f>
        <v/>
      </c>
      <c r="O843">
        <f>IF($A843="","",$D843+ROW()/1000000)</f>
        <v/>
      </c>
      <c r="P843">
        <f>IF(OR($A843="",games!$H843=""),"",games!$H843)</f>
        <v/>
      </c>
      <c r="Q843">
        <f>IF(OR($A843="",$P843&lt;&gt;"Yes"),"",$D843+ROW()/1000000)</f>
        <v/>
      </c>
      <c r="T843">
        <f>IF(connections!$A843="","",IFERROR(INDEX(games!$B$2:$B$950,MATCH(connections!$A843,games!$A$2:$A$950,0)),""))</f>
        <v/>
      </c>
      <c r="U843">
        <f>IF(connections!$A843="","",IFERROR(INDEX(games!$B$2:$B$950,MATCH(connections!$B843,games!$A$2:$A$950,0)),""))</f>
        <v/>
      </c>
      <c r="V843">
        <f>IF(OR($T843="",$U843=""),"",$U843-$T843)</f>
        <v/>
      </c>
    </row>
    <row r="844">
      <c r="A844">
        <f>IF(games!$A844="","",games!$A844)</f>
        <v/>
      </c>
      <c r="B844">
        <f>IF($A844="","",games!$B844)</f>
        <v/>
      </c>
      <c r="C844">
        <f>IF($A844="","",games!$C844)</f>
        <v/>
      </c>
      <c r="D844">
        <f>IF($A844="","",COUNTIF(connections!$A$2:$A$1400,$A844)+COUNTIF(connections!$B$2:$B$1400,$A844))</f>
        <v/>
      </c>
      <c r="E844">
        <f>IF($A844="","",IFERROR(MATCH($C844,$R$2:$R$5,0),0))</f>
        <v/>
      </c>
      <c r="F844">
        <f>IF($A844="","",MOD(ROW(),34))</f>
        <v/>
      </c>
      <c r="G844">
        <f>IF($A844="",NA(),IF($C844="Action",$B844,NA()))</f>
        <v/>
      </c>
      <c r="H844">
        <f>IF($A844="",NA(),IF($C844="Action",1+$F844*0.023,NA()))</f>
        <v/>
      </c>
      <c r="I844">
        <f>IF($A844="",NA(),IF($C844="Strategy",$B844,NA()))</f>
        <v/>
      </c>
      <c r="J844">
        <f>IF($A844="",NA(),IF($C844="Strategy",2+$F844*0.023,NA()))</f>
        <v/>
      </c>
      <c r="K844">
        <f>IF($A844="",NA(),IF($C844="Deckbuilder",$B844,NA()))</f>
        <v/>
      </c>
      <c r="L844">
        <f>IF($A844="",NA(),IF($C844="Deckbuilder",3+$F844*0.023,NA()))</f>
        <v/>
      </c>
      <c r="M844">
        <f>IF($A844="",NA(),IF($C844="Traditional",$B844,NA()))</f>
        <v/>
      </c>
      <c r="N844">
        <f>IF($A844="",NA(),IF($C844="Traditional",4+$F844*0.023,NA()))</f>
        <v/>
      </c>
      <c r="O844">
        <f>IF($A844="","",$D844+ROW()/1000000)</f>
        <v/>
      </c>
      <c r="P844">
        <f>IF(OR($A844="",games!$H844=""),"",games!$H844)</f>
        <v/>
      </c>
      <c r="Q844">
        <f>IF(OR($A844="",$P844&lt;&gt;"Yes"),"",$D844+ROW()/1000000)</f>
        <v/>
      </c>
      <c r="T844">
        <f>IF(connections!$A844="","",IFERROR(INDEX(games!$B$2:$B$950,MATCH(connections!$A844,games!$A$2:$A$950,0)),""))</f>
        <v/>
      </c>
      <c r="U844">
        <f>IF(connections!$A844="","",IFERROR(INDEX(games!$B$2:$B$950,MATCH(connections!$B844,games!$A$2:$A$950,0)),""))</f>
        <v/>
      </c>
      <c r="V844">
        <f>IF(OR($T844="",$U844=""),"",$U844-$T844)</f>
        <v/>
      </c>
    </row>
    <row r="845">
      <c r="A845">
        <f>IF(games!$A845="","",games!$A845)</f>
        <v/>
      </c>
      <c r="B845">
        <f>IF($A845="","",games!$B845)</f>
        <v/>
      </c>
      <c r="C845">
        <f>IF($A845="","",games!$C845)</f>
        <v/>
      </c>
      <c r="D845">
        <f>IF($A845="","",COUNTIF(connections!$A$2:$A$1400,$A845)+COUNTIF(connections!$B$2:$B$1400,$A845))</f>
        <v/>
      </c>
      <c r="E845">
        <f>IF($A845="","",IFERROR(MATCH($C845,$R$2:$R$5,0),0))</f>
        <v/>
      </c>
      <c r="F845">
        <f>IF($A845="","",MOD(ROW(),34))</f>
        <v/>
      </c>
      <c r="G845">
        <f>IF($A845="",NA(),IF($C845="Action",$B845,NA()))</f>
        <v/>
      </c>
      <c r="H845">
        <f>IF($A845="",NA(),IF($C845="Action",1+$F845*0.023,NA()))</f>
        <v/>
      </c>
      <c r="I845">
        <f>IF($A845="",NA(),IF($C845="Strategy",$B845,NA()))</f>
        <v/>
      </c>
      <c r="J845">
        <f>IF($A845="",NA(),IF($C845="Strategy",2+$F845*0.023,NA()))</f>
        <v/>
      </c>
      <c r="K845">
        <f>IF($A845="",NA(),IF($C845="Deckbuilder",$B845,NA()))</f>
        <v/>
      </c>
      <c r="L845">
        <f>IF($A845="",NA(),IF($C845="Deckbuilder",3+$F845*0.023,NA()))</f>
        <v/>
      </c>
      <c r="M845">
        <f>IF($A845="",NA(),IF($C845="Traditional",$B845,NA()))</f>
        <v/>
      </c>
      <c r="N845">
        <f>IF($A845="",NA(),IF($C845="Traditional",4+$F845*0.023,NA()))</f>
        <v/>
      </c>
      <c r="O845">
        <f>IF($A845="","",$D845+ROW()/1000000)</f>
        <v/>
      </c>
      <c r="P845">
        <f>IF(OR($A845="",games!$H845=""),"",games!$H845)</f>
        <v/>
      </c>
      <c r="Q845">
        <f>IF(OR($A845="",$P845&lt;&gt;"Yes"),"",$D845+ROW()/1000000)</f>
        <v/>
      </c>
      <c r="T845">
        <f>IF(connections!$A845="","",IFERROR(INDEX(games!$B$2:$B$950,MATCH(connections!$A845,games!$A$2:$A$950,0)),""))</f>
        <v/>
      </c>
      <c r="U845">
        <f>IF(connections!$A845="","",IFERROR(INDEX(games!$B$2:$B$950,MATCH(connections!$B845,games!$A$2:$A$950,0)),""))</f>
        <v/>
      </c>
      <c r="V845">
        <f>IF(OR($T845="",$U845=""),"",$U845-$T845)</f>
        <v/>
      </c>
    </row>
    <row r="846">
      <c r="A846">
        <f>IF(games!$A846="","",games!$A846)</f>
        <v/>
      </c>
      <c r="B846">
        <f>IF($A846="","",games!$B846)</f>
        <v/>
      </c>
      <c r="C846">
        <f>IF($A846="","",games!$C846)</f>
        <v/>
      </c>
      <c r="D846">
        <f>IF($A846="","",COUNTIF(connections!$A$2:$A$1400,$A846)+COUNTIF(connections!$B$2:$B$1400,$A846))</f>
        <v/>
      </c>
      <c r="E846">
        <f>IF($A846="","",IFERROR(MATCH($C846,$R$2:$R$5,0),0))</f>
        <v/>
      </c>
      <c r="F846">
        <f>IF($A846="","",MOD(ROW(),34))</f>
        <v/>
      </c>
      <c r="G846">
        <f>IF($A846="",NA(),IF($C846="Action",$B846,NA()))</f>
        <v/>
      </c>
      <c r="H846">
        <f>IF($A846="",NA(),IF($C846="Action",1+$F846*0.023,NA()))</f>
        <v/>
      </c>
      <c r="I846">
        <f>IF($A846="",NA(),IF($C846="Strategy",$B846,NA()))</f>
        <v/>
      </c>
      <c r="J846">
        <f>IF($A846="",NA(),IF($C846="Strategy",2+$F846*0.023,NA()))</f>
        <v/>
      </c>
      <c r="K846">
        <f>IF($A846="",NA(),IF($C846="Deckbuilder",$B846,NA()))</f>
        <v/>
      </c>
      <c r="L846">
        <f>IF($A846="",NA(),IF($C846="Deckbuilder",3+$F846*0.023,NA()))</f>
        <v/>
      </c>
      <c r="M846">
        <f>IF($A846="",NA(),IF($C846="Traditional",$B846,NA()))</f>
        <v/>
      </c>
      <c r="N846">
        <f>IF($A846="",NA(),IF($C846="Traditional",4+$F846*0.023,NA()))</f>
        <v/>
      </c>
      <c r="O846">
        <f>IF($A846="","",$D846+ROW()/1000000)</f>
        <v/>
      </c>
      <c r="P846">
        <f>IF(OR($A846="",games!$H846=""),"",games!$H846)</f>
        <v/>
      </c>
      <c r="Q846">
        <f>IF(OR($A846="",$P846&lt;&gt;"Yes"),"",$D846+ROW()/1000000)</f>
        <v/>
      </c>
      <c r="T846">
        <f>IF(connections!$A846="","",IFERROR(INDEX(games!$B$2:$B$950,MATCH(connections!$A846,games!$A$2:$A$950,0)),""))</f>
        <v/>
      </c>
      <c r="U846">
        <f>IF(connections!$A846="","",IFERROR(INDEX(games!$B$2:$B$950,MATCH(connections!$B846,games!$A$2:$A$950,0)),""))</f>
        <v/>
      </c>
      <c r="V846">
        <f>IF(OR($T846="",$U846=""),"",$U846-$T846)</f>
        <v/>
      </c>
    </row>
    <row r="847">
      <c r="A847">
        <f>IF(games!$A847="","",games!$A847)</f>
        <v/>
      </c>
      <c r="B847">
        <f>IF($A847="","",games!$B847)</f>
        <v/>
      </c>
      <c r="C847">
        <f>IF($A847="","",games!$C847)</f>
        <v/>
      </c>
      <c r="D847">
        <f>IF($A847="","",COUNTIF(connections!$A$2:$A$1400,$A847)+COUNTIF(connections!$B$2:$B$1400,$A847))</f>
        <v/>
      </c>
      <c r="E847">
        <f>IF($A847="","",IFERROR(MATCH($C847,$R$2:$R$5,0),0))</f>
        <v/>
      </c>
      <c r="F847">
        <f>IF($A847="","",MOD(ROW(),34))</f>
        <v/>
      </c>
      <c r="G847">
        <f>IF($A847="",NA(),IF($C847="Action",$B847,NA()))</f>
        <v/>
      </c>
      <c r="H847">
        <f>IF($A847="",NA(),IF($C847="Action",1+$F847*0.023,NA()))</f>
        <v/>
      </c>
      <c r="I847">
        <f>IF($A847="",NA(),IF($C847="Strategy",$B847,NA()))</f>
        <v/>
      </c>
      <c r="J847">
        <f>IF($A847="",NA(),IF($C847="Strategy",2+$F847*0.023,NA()))</f>
        <v/>
      </c>
      <c r="K847">
        <f>IF($A847="",NA(),IF($C847="Deckbuilder",$B847,NA()))</f>
        <v/>
      </c>
      <c r="L847">
        <f>IF($A847="",NA(),IF($C847="Deckbuilder",3+$F847*0.023,NA()))</f>
        <v/>
      </c>
      <c r="M847">
        <f>IF($A847="",NA(),IF($C847="Traditional",$B847,NA()))</f>
        <v/>
      </c>
      <c r="N847">
        <f>IF($A847="",NA(),IF($C847="Traditional",4+$F847*0.023,NA()))</f>
        <v/>
      </c>
      <c r="O847">
        <f>IF($A847="","",$D847+ROW()/1000000)</f>
        <v/>
      </c>
      <c r="P847">
        <f>IF(OR($A847="",games!$H847=""),"",games!$H847)</f>
        <v/>
      </c>
      <c r="Q847">
        <f>IF(OR($A847="",$P847&lt;&gt;"Yes"),"",$D847+ROW()/1000000)</f>
        <v/>
      </c>
      <c r="T847">
        <f>IF(connections!$A847="","",IFERROR(INDEX(games!$B$2:$B$950,MATCH(connections!$A847,games!$A$2:$A$950,0)),""))</f>
        <v/>
      </c>
      <c r="U847">
        <f>IF(connections!$A847="","",IFERROR(INDEX(games!$B$2:$B$950,MATCH(connections!$B847,games!$A$2:$A$950,0)),""))</f>
        <v/>
      </c>
      <c r="V847">
        <f>IF(OR($T847="",$U847=""),"",$U847-$T847)</f>
        <v/>
      </c>
    </row>
    <row r="848">
      <c r="A848">
        <f>IF(games!$A848="","",games!$A848)</f>
        <v/>
      </c>
      <c r="B848">
        <f>IF($A848="","",games!$B848)</f>
        <v/>
      </c>
      <c r="C848">
        <f>IF($A848="","",games!$C848)</f>
        <v/>
      </c>
      <c r="D848">
        <f>IF($A848="","",COUNTIF(connections!$A$2:$A$1400,$A848)+COUNTIF(connections!$B$2:$B$1400,$A848))</f>
        <v/>
      </c>
      <c r="E848">
        <f>IF($A848="","",IFERROR(MATCH($C848,$R$2:$R$5,0),0))</f>
        <v/>
      </c>
      <c r="F848">
        <f>IF($A848="","",MOD(ROW(),34))</f>
        <v/>
      </c>
      <c r="G848">
        <f>IF($A848="",NA(),IF($C848="Action",$B848,NA()))</f>
        <v/>
      </c>
      <c r="H848">
        <f>IF($A848="",NA(),IF($C848="Action",1+$F848*0.023,NA()))</f>
        <v/>
      </c>
      <c r="I848">
        <f>IF($A848="",NA(),IF($C848="Strategy",$B848,NA()))</f>
        <v/>
      </c>
      <c r="J848">
        <f>IF($A848="",NA(),IF($C848="Strategy",2+$F848*0.023,NA()))</f>
        <v/>
      </c>
      <c r="K848">
        <f>IF($A848="",NA(),IF($C848="Deckbuilder",$B848,NA()))</f>
        <v/>
      </c>
      <c r="L848">
        <f>IF($A848="",NA(),IF($C848="Deckbuilder",3+$F848*0.023,NA()))</f>
        <v/>
      </c>
      <c r="M848">
        <f>IF($A848="",NA(),IF($C848="Traditional",$B848,NA()))</f>
        <v/>
      </c>
      <c r="N848">
        <f>IF($A848="",NA(),IF($C848="Traditional",4+$F848*0.023,NA()))</f>
        <v/>
      </c>
      <c r="O848">
        <f>IF($A848="","",$D848+ROW()/1000000)</f>
        <v/>
      </c>
      <c r="P848">
        <f>IF(OR($A848="",games!$H848=""),"",games!$H848)</f>
        <v/>
      </c>
      <c r="Q848">
        <f>IF(OR($A848="",$P848&lt;&gt;"Yes"),"",$D848+ROW()/1000000)</f>
        <v/>
      </c>
      <c r="T848">
        <f>IF(connections!$A848="","",IFERROR(INDEX(games!$B$2:$B$950,MATCH(connections!$A848,games!$A$2:$A$950,0)),""))</f>
        <v/>
      </c>
      <c r="U848">
        <f>IF(connections!$A848="","",IFERROR(INDEX(games!$B$2:$B$950,MATCH(connections!$B848,games!$A$2:$A$950,0)),""))</f>
        <v/>
      </c>
      <c r="V848">
        <f>IF(OR($T848="",$U848=""),"",$U848-$T848)</f>
        <v/>
      </c>
    </row>
    <row r="849">
      <c r="A849">
        <f>IF(games!$A849="","",games!$A849)</f>
        <v/>
      </c>
      <c r="B849">
        <f>IF($A849="","",games!$B849)</f>
        <v/>
      </c>
      <c r="C849">
        <f>IF($A849="","",games!$C849)</f>
        <v/>
      </c>
      <c r="D849">
        <f>IF($A849="","",COUNTIF(connections!$A$2:$A$1400,$A849)+COUNTIF(connections!$B$2:$B$1400,$A849))</f>
        <v/>
      </c>
      <c r="E849">
        <f>IF($A849="","",IFERROR(MATCH($C849,$R$2:$R$5,0),0))</f>
        <v/>
      </c>
      <c r="F849">
        <f>IF($A849="","",MOD(ROW(),34))</f>
        <v/>
      </c>
      <c r="G849">
        <f>IF($A849="",NA(),IF($C849="Action",$B849,NA()))</f>
        <v/>
      </c>
      <c r="H849">
        <f>IF($A849="",NA(),IF($C849="Action",1+$F849*0.023,NA()))</f>
        <v/>
      </c>
      <c r="I849">
        <f>IF($A849="",NA(),IF($C849="Strategy",$B849,NA()))</f>
        <v/>
      </c>
      <c r="J849">
        <f>IF($A849="",NA(),IF($C849="Strategy",2+$F849*0.023,NA()))</f>
        <v/>
      </c>
      <c r="K849">
        <f>IF($A849="",NA(),IF($C849="Deckbuilder",$B849,NA()))</f>
        <v/>
      </c>
      <c r="L849">
        <f>IF($A849="",NA(),IF($C849="Deckbuilder",3+$F849*0.023,NA()))</f>
        <v/>
      </c>
      <c r="M849">
        <f>IF($A849="",NA(),IF($C849="Traditional",$B849,NA()))</f>
        <v/>
      </c>
      <c r="N849">
        <f>IF($A849="",NA(),IF($C849="Traditional",4+$F849*0.023,NA()))</f>
        <v/>
      </c>
      <c r="O849">
        <f>IF($A849="","",$D849+ROW()/1000000)</f>
        <v/>
      </c>
      <c r="P849">
        <f>IF(OR($A849="",games!$H849=""),"",games!$H849)</f>
        <v/>
      </c>
      <c r="Q849">
        <f>IF(OR($A849="",$P849&lt;&gt;"Yes"),"",$D849+ROW()/1000000)</f>
        <v/>
      </c>
      <c r="T849">
        <f>IF(connections!$A849="","",IFERROR(INDEX(games!$B$2:$B$950,MATCH(connections!$A849,games!$A$2:$A$950,0)),""))</f>
        <v/>
      </c>
      <c r="U849">
        <f>IF(connections!$A849="","",IFERROR(INDEX(games!$B$2:$B$950,MATCH(connections!$B849,games!$A$2:$A$950,0)),""))</f>
        <v/>
      </c>
      <c r="V849">
        <f>IF(OR($T849="",$U849=""),"",$U849-$T849)</f>
        <v/>
      </c>
    </row>
    <row r="850">
      <c r="A850">
        <f>IF(games!$A850="","",games!$A850)</f>
        <v/>
      </c>
      <c r="B850">
        <f>IF($A850="","",games!$B850)</f>
        <v/>
      </c>
      <c r="C850">
        <f>IF($A850="","",games!$C850)</f>
        <v/>
      </c>
      <c r="D850">
        <f>IF($A850="","",COUNTIF(connections!$A$2:$A$1400,$A850)+COUNTIF(connections!$B$2:$B$1400,$A850))</f>
        <v/>
      </c>
      <c r="E850">
        <f>IF($A850="","",IFERROR(MATCH($C850,$R$2:$R$5,0),0))</f>
        <v/>
      </c>
      <c r="F850">
        <f>IF($A850="","",MOD(ROW(),34))</f>
        <v/>
      </c>
      <c r="G850">
        <f>IF($A850="",NA(),IF($C850="Action",$B850,NA()))</f>
        <v/>
      </c>
      <c r="H850">
        <f>IF($A850="",NA(),IF($C850="Action",1+$F850*0.023,NA()))</f>
        <v/>
      </c>
      <c r="I850">
        <f>IF($A850="",NA(),IF($C850="Strategy",$B850,NA()))</f>
        <v/>
      </c>
      <c r="J850">
        <f>IF($A850="",NA(),IF($C850="Strategy",2+$F850*0.023,NA()))</f>
        <v/>
      </c>
      <c r="K850">
        <f>IF($A850="",NA(),IF($C850="Deckbuilder",$B850,NA()))</f>
        <v/>
      </c>
      <c r="L850">
        <f>IF($A850="",NA(),IF($C850="Deckbuilder",3+$F850*0.023,NA()))</f>
        <v/>
      </c>
      <c r="M850">
        <f>IF($A850="",NA(),IF($C850="Traditional",$B850,NA()))</f>
        <v/>
      </c>
      <c r="N850">
        <f>IF($A850="",NA(),IF($C850="Traditional",4+$F850*0.023,NA()))</f>
        <v/>
      </c>
      <c r="O850">
        <f>IF($A850="","",$D850+ROW()/1000000)</f>
        <v/>
      </c>
      <c r="P850">
        <f>IF(OR($A850="",games!$H850=""),"",games!$H850)</f>
        <v/>
      </c>
      <c r="Q850">
        <f>IF(OR($A850="",$P850&lt;&gt;"Yes"),"",$D850+ROW()/1000000)</f>
        <v/>
      </c>
      <c r="T850">
        <f>IF(connections!$A850="","",IFERROR(INDEX(games!$B$2:$B$950,MATCH(connections!$A850,games!$A$2:$A$950,0)),""))</f>
        <v/>
      </c>
      <c r="U850">
        <f>IF(connections!$A850="","",IFERROR(INDEX(games!$B$2:$B$950,MATCH(connections!$B850,games!$A$2:$A$950,0)),""))</f>
        <v/>
      </c>
      <c r="V850">
        <f>IF(OR($T850="",$U850=""),"",$U850-$T850)</f>
        <v/>
      </c>
    </row>
    <row r="851">
      <c r="A851">
        <f>IF(games!$A851="","",games!$A851)</f>
        <v/>
      </c>
      <c r="B851">
        <f>IF($A851="","",games!$B851)</f>
        <v/>
      </c>
      <c r="C851">
        <f>IF($A851="","",games!$C851)</f>
        <v/>
      </c>
      <c r="D851">
        <f>IF($A851="","",COUNTIF(connections!$A$2:$A$1400,$A851)+COUNTIF(connections!$B$2:$B$1400,$A851))</f>
        <v/>
      </c>
      <c r="E851">
        <f>IF($A851="","",IFERROR(MATCH($C851,$R$2:$R$5,0),0))</f>
        <v/>
      </c>
      <c r="F851">
        <f>IF($A851="","",MOD(ROW(),34))</f>
        <v/>
      </c>
      <c r="G851">
        <f>IF($A851="",NA(),IF($C851="Action",$B851,NA()))</f>
        <v/>
      </c>
      <c r="H851">
        <f>IF($A851="",NA(),IF($C851="Action",1+$F851*0.023,NA()))</f>
        <v/>
      </c>
      <c r="I851">
        <f>IF($A851="",NA(),IF($C851="Strategy",$B851,NA()))</f>
        <v/>
      </c>
      <c r="J851">
        <f>IF($A851="",NA(),IF($C851="Strategy",2+$F851*0.023,NA()))</f>
        <v/>
      </c>
      <c r="K851">
        <f>IF($A851="",NA(),IF($C851="Deckbuilder",$B851,NA()))</f>
        <v/>
      </c>
      <c r="L851">
        <f>IF($A851="",NA(),IF($C851="Deckbuilder",3+$F851*0.023,NA()))</f>
        <v/>
      </c>
      <c r="M851">
        <f>IF($A851="",NA(),IF($C851="Traditional",$B851,NA()))</f>
        <v/>
      </c>
      <c r="N851">
        <f>IF($A851="",NA(),IF($C851="Traditional",4+$F851*0.023,NA()))</f>
        <v/>
      </c>
      <c r="O851">
        <f>IF($A851="","",$D851+ROW()/1000000)</f>
        <v/>
      </c>
      <c r="P851">
        <f>IF(OR($A851="",games!$H851=""),"",games!$H851)</f>
        <v/>
      </c>
      <c r="Q851">
        <f>IF(OR($A851="",$P851&lt;&gt;"Yes"),"",$D851+ROW()/1000000)</f>
        <v/>
      </c>
      <c r="T851">
        <f>IF(connections!$A851="","",IFERROR(INDEX(games!$B$2:$B$950,MATCH(connections!$A851,games!$A$2:$A$950,0)),""))</f>
        <v/>
      </c>
      <c r="U851">
        <f>IF(connections!$A851="","",IFERROR(INDEX(games!$B$2:$B$950,MATCH(connections!$B851,games!$A$2:$A$950,0)),""))</f>
        <v/>
      </c>
      <c r="V851">
        <f>IF(OR($T851="",$U851=""),"",$U851-$T851)</f>
        <v/>
      </c>
    </row>
    <row r="852">
      <c r="A852">
        <f>IF(games!$A852="","",games!$A852)</f>
        <v/>
      </c>
      <c r="B852">
        <f>IF($A852="","",games!$B852)</f>
        <v/>
      </c>
      <c r="C852">
        <f>IF($A852="","",games!$C852)</f>
        <v/>
      </c>
      <c r="D852">
        <f>IF($A852="","",COUNTIF(connections!$A$2:$A$1400,$A852)+COUNTIF(connections!$B$2:$B$1400,$A852))</f>
        <v/>
      </c>
      <c r="E852">
        <f>IF($A852="","",IFERROR(MATCH($C852,$R$2:$R$5,0),0))</f>
        <v/>
      </c>
      <c r="F852">
        <f>IF($A852="","",MOD(ROW(),34))</f>
        <v/>
      </c>
      <c r="G852">
        <f>IF($A852="",NA(),IF($C852="Action",$B852,NA()))</f>
        <v/>
      </c>
      <c r="H852">
        <f>IF($A852="",NA(),IF($C852="Action",1+$F852*0.023,NA()))</f>
        <v/>
      </c>
      <c r="I852">
        <f>IF($A852="",NA(),IF($C852="Strategy",$B852,NA()))</f>
        <v/>
      </c>
      <c r="J852">
        <f>IF($A852="",NA(),IF($C852="Strategy",2+$F852*0.023,NA()))</f>
        <v/>
      </c>
      <c r="K852">
        <f>IF($A852="",NA(),IF($C852="Deckbuilder",$B852,NA()))</f>
        <v/>
      </c>
      <c r="L852">
        <f>IF($A852="",NA(),IF($C852="Deckbuilder",3+$F852*0.023,NA()))</f>
        <v/>
      </c>
      <c r="M852">
        <f>IF($A852="",NA(),IF($C852="Traditional",$B852,NA()))</f>
        <v/>
      </c>
      <c r="N852">
        <f>IF($A852="",NA(),IF($C852="Traditional",4+$F852*0.023,NA()))</f>
        <v/>
      </c>
      <c r="O852">
        <f>IF($A852="","",$D852+ROW()/1000000)</f>
        <v/>
      </c>
      <c r="P852">
        <f>IF(OR($A852="",games!$H852=""),"",games!$H852)</f>
        <v/>
      </c>
      <c r="Q852">
        <f>IF(OR($A852="",$P852&lt;&gt;"Yes"),"",$D852+ROW()/1000000)</f>
        <v/>
      </c>
      <c r="T852">
        <f>IF(connections!$A852="","",IFERROR(INDEX(games!$B$2:$B$950,MATCH(connections!$A852,games!$A$2:$A$950,0)),""))</f>
        <v/>
      </c>
      <c r="U852">
        <f>IF(connections!$A852="","",IFERROR(INDEX(games!$B$2:$B$950,MATCH(connections!$B852,games!$A$2:$A$950,0)),""))</f>
        <v/>
      </c>
      <c r="V852">
        <f>IF(OR($T852="",$U852=""),"",$U852-$T852)</f>
        <v/>
      </c>
    </row>
    <row r="853">
      <c r="A853">
        <f>IF(games!$A853="","",games!$A853)</f>
        <v/>
      </c>
      <c r="B853">
        <f>IF($A853="","",games!$B853)</f>
        <v/>
      </c>
      <c r="C853">
        <f>IF($A853="","",games!$C853)</f>
        <v/>
      </c>
      <c r="D853">
        <f>IF($A853="","",COUNTIF(connections!$A$2:$A$1400,$A853)+COUNTIF(connections!$B$2:$B$1400,$A853))</f>
        <v/>
      </c>
      <c r="E853">
        <f>IF($A853="","",IFERROR(MATCH($C853,$R$2:$R$5,0),0))</f>
        <v/>
      </c>
      <c r="F853">
        <f>IF($A853="","",MOD(ROW(),34))</f>
        <v/>
      </c>
      <c r="G853">
        <f>IF($A853="",NA(),IF($C853="Action",$B853,NA()))</f>
        <v/>
      </c>
      <c r="H853">
        <f>IF($A853="",NA(),IF($C853="Action",1+$F853*0.023,NA()))</f>
        <v/>
      </c>
      <c r="I853">
        <f>IF($A853="",NA(),IF($C853="Strategy",$B853,NA()))</f>
        <v/>
      </c>
      <c r="J853">
        <f>IF($A853="",NA(),IF($C853="Strategy",2+$F853*0.023,NA()))</f>
        <v/>
      </c>
      <c r="K853">
        <f>IF($A853="",NA(),IF($C853="Deckbuilder",$B853,NA()))</f>
        <v/>
      </c>
      <c r="L853">
        <f>IF($A853="",NA(),IF($C853="Deckbuilder",3+$F853*0.023,NA()))</f>
        <v/>
      </c>
      <c r="M853">
        <f>IF($A853="",NA(),IF($C853="Traditional",$B853,NA()))</f>
        <v/>
      </c>
      <c r="N853">
        <f>IF($A853="",NA(),IF($C853="Traditional",4+$F853*0.023,NA()))</f>
        <v/>
      </c>
      <c r="O853">
        <f>IF($A853="","",$D853+ROW()/1000000)</f>
        <v/>
      </c>
      <c r="P853">
        <f>IF(OR($A853="",games!$H853=""),"",games!$H853)</f>
        <v/>
      </c>
      <c r="Q853">
        <f>IF(OR($A853="",$P853&lt;&gt;"Yes"),"",$D853+ROW()/1000000)</f>
        <v/>
      </c>
      <c r="T853">
        <f>IF(connections!$A853="","",IFERROR(INDEX(games!$B$2:$B$950,MATCH(connections!$A853,games!$A$2:$A$950,0)),""))</f>
        <v/>
      </c>
      <c r="U853">
        <f>IF(connections!$A853="","",IFERROR(INDEX(games!$B$2:$B$950,MATCH(connections!$B853,games!$A$2:$A$950,0)),""))</f>
        <v/>
      </c>
      <c r="V853">
        <f>IF(OR($T853="",$U853=""),"",$U853-$T853)</f>
        <v/>
      </c>
    </row>
    <row r="854">
      <c r="A854">
        <f>IF(games!$A854="","",games!$A854)</f>
        <v/>
      </c>
      <c r="B854">
        <f>IF($A854="","",games!$B854)</f>
        <v/>
      </c>
      <c r="C854">
        <f>IF($A854="","",games!$C854)</f>
        <v/>
      </c>
      <c r="D854">
        <f>IF($A854="","",COUNTIF(connections!$A$2:$A$1400,$A854)+COUNTIF(connections!$B$2:$B$1400,$A854))</f>
        <v/>
      </c>
      <c r="E854">
        <f>IF($A854="","",IFERROR(MATCH($C854,$R$2:$R$5,0),0))</f>
        <v/>
      </c>
      <c r="F854">
        <f>IF($A854="","",MOD(ROW(),34))</f>
        <v/>
      </c>
      <c r="G854">
        <f>IF($A854="",NA(),IF($C854="Action",$B854,NA()))</f>
        <v/>
      </c>
      <c r="H854">
        <f>IF($A854="",NA(),IF($C854="Action",1+$F854*0.023,NA()))</f>
        <v/>
      </c>
      <c r="I854">
        <f>IF($A854="",NA(),IF($C854="Strategy",$B854,NA()))</f>
        <v/>
      </c>
      <c r="J854">
        <f>IF($A854="",NA(),IF($C854="Strategy",2+$F854*0.023,NA()))</f>
        <v/>
      </c>
      <c r="K854">
        <f>IF($A854="",NA(),IF($C854="Deckbuilder",$B854,NA()))</f>
        <v/>
      </c>
      <c r="L854">
        <f>IF($A854="",NA(),IF($C854="Deckbuilder",3+$F854*0.023,NA()))</f>
        <v/>
      </c>
      <c r="M854">
        <f>IF($A854="",NA(),IF($C854="Traditional",$B854,NA()))</f>
        <v/>
      </c>
      <c r="N854">
        <f>IF($A854="",NA(),IF($C854="Traditional",4+$F854*0.023,NA()))</f>
        <v/>
      </c>
      <c r="O854">
        <f>IF($A854="","",$D854+ROW()/1000000)</f>
        <v/>
      </c>
      <c r="P854">
        <f>IF(OR($A854="",games!$H854=""),"",games!$H854)</f>
        <v/>
      </c>
      <c r="Q854">
        <f>IF(OR($A854="",$P854&lt;&gt;"Yes"),"",$D854+ROW()/1000000)</f>
        <v/>
      </c>
      <c r="T854">
        <f>IF(connections!$A854="","",IFERROR(INDEX(games!$B$2:$B$950,MATCH(connections!$A854,games!$A$2:$A$950,0)),""))</f>
        <v/>
      </c>
      <c r="U854">
        <f>IF(connections!$A854="","",IFERROR(INDEX(games!$B$2:$B$950,MATCH(connections!$B854,games!$A$2:$A$950,0)),""))</f>
        <v/>
      </c>
      <c r="V854">
        <f>IF(OR($T854="",$U854=""),"",$U854-$T854)</f>
        <v/>
      </c>
    </row>
    <row r="855">
      <c r="A855">
        <f>IF(games!$A855="","",games!$A855)</f>
        <v/>
      </c>
      <c r="B855">
        <f>IF($A855="","",games!$B855)</f>
        <v/>
      </c>
      <c r="C855">
        <f>IF($A855="","",games!$C855)</f>
        <v/>
      </c>
      <c r="D855">
        <f>IF($A855="","",COUNTIF(connections!$A$2:$A$1400,$A855)+COUNTIF(connections!$B$2:$B$1400,$A855))</f>
        <v/>
      </c>
      <c r="E855">
        <f>IF($A855="","",IFERROR(MATCH($C855,$R$2:$R$5,0),0))</f>
        <v/>
      </c>
      <c r="F855">
        <f>IF($A855="","",MOD(ROW(),34))</f>
        <v/>
      </c>
      <c r="G855">
        <f>IF($A855="",NA(),IF($C855="Action",$B855,NA()))</f>
        <v/>
      </c>
      <c r="H855">
        <f>IF($A855="",NA(),IF($C855="Action",1+$F855*0.023,NA()))</f>
        <v/>
      </c>
      <c r="I855">
        <f>IF($A855="",NA(),IF($C855="Strategy",$B855,NA()))</f>
        <v/>
      </c>
      <c r="J855">
        <f>IF($A855="",NA(),IF($C855="Strategy",2+$F855*0.023,NA()))</f>
        <v/>
      </c>
      <c r="K855">
        <f>IF($A855="",NA(),IF($C855="Deckbuilder",$B855,NA()))</f>
        <v/>
      </c>
      <c r="L855">
        <f>IF($A855="",NA(),IF($C855="Deckbuilder",3+$F855*0.023,NA()))</f>
        <v/>
      </c>
      <c r="M855">
        <f>IF($A855="",NA(),IF($C855="Traditional",$B855,NA()))</f>
        <v/>
      </c>
      <c r="N855">
        <f>IF($A855="",NA(),IF($C855="Traditional",4+$F855*0.023,NA()))</f>
        <v/>
      </c>
      <c r="O855">
        <f>IF($A855="","",$D855+ROW()/1000000)</f>
        <v/>
      </c>
      <c r="P855">
        <f>IF(OR($A855="",games!$H855=""),"",games!$H855)</f>
        <v/>
      </c>
      <c r="Q855">
        <f>IF(OR($A855="",$P855&lt;&gt;"Yes"),"",$D855+ROW()/1000000)</f>
        <v/>
      </c>
      <c r="T855">
        <f>IF(connections!$A855="","",IFERROR(INDEX(games!$B$2:$B$950,MATCH(connections!$A855,games!$A$2:$A$950,0)),""))</f>
        <v/>
      </c>
      <c r="U855">
        <f>IF(connections!$A855="","",IFERROR(INDEX(games!$B$2:$B$950,MATCH(connections!$B855,games!$A$2:$A$950,0)),""))</f>
        <v/>
      </c>
      <c r="V855">
        <f>IF(OR($T855="",$U855=""),"",$U855-$T855)</f>
        <v/>
      </c>
    </row>
    <row r="856">
      <c r="A856">
        <f>IF(games!$A856="","",games!$A856)</f>
        <v/>
      </c>
      <c r="B856">
        <f>IF($A856="","",games!$B856)</f>
        <v/>
      </c>
      <c r="C856">
        <f>IF($A856="","",games!$C856)</f>
        <v/>
      </c>
      <c r="D856">
        <f>IF($A856="","",COUNTIF(connections!$A$2:$A$1400,$A856)+COUNTIF(connections!$B$2:$B$1400,$A856))</f>
        <v/>
      </c>
      <c r="E856">
        <f>IF($A856="","",IFERROR(MATCH($C856,$R$2:$R$5,0),0))</f>
        <v/>
      </c>
      <c r="F856">
        <f>IF($A856="","",MOD(ROW(),34))</f>
        <v/>
      </c>
      <c r="G856">
        <f>IF($A856="",NA(),IF($C856="Action",$B856,NA()))</f>
        <v/>
      </c>
      <c r="H856">
        <f>IF($A856="",NA(),IF($C856="Action",1+$F856*0.023,NA()))</f>
        <v/>
      </c>
      <c r="I856">
        <f>IF($A856="",NA(),IF($C856="Strategy",$B856,NA()))</f>
        <v/>
      </c>
      <c r="J856">
        <f>IF($A856="",NA(),IF($C856="Strategy",2+$F856*0.023,NA()))</f>
        <v/>
      </c>
      <c r="K856">
        <f>IF($A856="",NA(),IF($C856="Deckbuilder",$B856,NA()))</f>
        <v/>
      </c>
      <c r="L856">
        <f>IF($A856="",NA(),IF($C856="Deckbuilder",3+$F856*0.023,NA()))</f>
        <v/>
      </c>
      <c r="M856">
        <f>IF($A856="",NA(),IF($C856="Traditional",$B856,NA()))</f>
        <v/>
      </c>
      <c r="N856">
        <f>IF($A856="",NA(),IF($C856="Traditional",4+$F856*0.023,NA()))</f>
        <v/>
      </c>
      <c r="O856">
        <f>IF($A856="","",$D856+ROW()/1000000)</f>
        <v/>
      </c>
      <c r="P856">
        <f>IF(OR($A856="",games!$H856=""),"",games!$H856)</f>
        <v/>
      </c>
      <c r="Q856">
        <f>IF(OR($A856="",$P856&lt;&gt;"Yes"),"",$D856+ROW()/1000000)</f>
        <v/>
      </c>
      <c r="T856">
        <f>IF(connections!$A856="","",IFERROR(INDEX(games!$B$2:$B$950,MATCH(connections!$A856,games!$A$2:$A$950,0)),""))</f>
        <v/>
      </c>
      <c r="U856">
        <f>IF(connections!$A856="","",IFERROR(INDEX(games!$B$2:$B$950,MATCH(connections!$B856,games!$A$2:$A$950,0)),""))</f>
        <v/>
      </c>
      <c r="V856">
        <f>IF(OR($T856="",$U856=""),"",$U856-$T856)</f>
        <v/>
      </c>
    </row>
    <row r="857">
      <c r="A857">
        <f>IF(games!$A857="","",games!$A857)</f>
        <v/>
      </c>
      <c r="B857">
        <f>IF($A857="","",games!$B857)</f>
        <v/>
      </c>
      <c r="C857">
        <f>IF($A857="","",games!$C857)</f>
        <v/>
      </c>
      <c r="D857">
        <f>IF($A857="","",COUNTIF(connections!$A$2:$A$1400,$A857)+COUNTIF(connections!$B$2:$B$1400,$A857))</f>
        <v/>
      </c>
      <c r="E857">
        <f>IF($A857="","",IFERROR(MATCH($C857,$R$2:$R$5,0),0))</f>
        <v/>
      </c>
      <c r="F857">
        <f>IF($A857="","",MOD(ROW(),34))</f>
        <v/>
      </c>
      <c r="G857">
        <f>IF($A857="",NA(),IF($C857="Action",$B857,NA()))</f>
        <v/>
      </c>
      <c r="H857">
        <f>IF($A857="",NA(),IF($C857="Action",1+$F857*0.023,NA()))</f>
        <v/>
      </c>
      <c r="I857">
        <f>IF($A857="",NA(),IF($C857="Strategy",$B857,NA()))</f>
        <v/>
      </c>
      <c r="J857">
        <f>IF($A857="",NA(),IF($C857="Strategy",2+$F857*0.023,NA()))</f>
        <v/>
      </c>
      <c r="K857">
        <f>IF($A857="",NA(),IF($C857="Deckbuilder",$B857,NA()))</f>
        <v/>
      </c>
      <c r="L857">
        <f>IF($A857="",NA(),IF($C857="Deckbuilder",3+$F857*0.023,NA()))</f>
        <v/>
      </c>
      <c r="M857">
        <f>IF($A857="",NA(),IF($C857="Traditional",$B857,NA()))</f>
        <v/>
      </c>
      <c r="N857">
        <f>IF($A857="",NA(),IF($C857="Traditional",4+$F857*0.023,NA()))</f>
        <v/>
      </c>
      <c r="O857">
        <f>IF($A857="","",$D857+ROW()/1000000)</f>
        <v/>
      </c>
      <c r="P857">
        <f>IF(OR($A857="",games!$H857=""),"",games!$H857)</f>
        <v/>
      </c>
      <c r="Q857">
        <f>IF(OR($A857="",$P857&lt;&gt;"Yes"),"",$D857+ROW()/1000000)</f>
        <v/>
      </c>
      <c r="T857">
        <f>IF(connections!$A857="","",IFERROR(INDEX(games!$B$2:$B$950,MATCH(connections!$A857,games!$A$2:$A$950,0)),""))</f>
        <v/>
      </c>
      <c r="U857">
        <f>IF(connections!$A857="","",IFERROR(INDEX(games!$B$2:$B$950,MATCH(connections!$B857,games!$A$2:$A$950,0)),""))</f>
        <v/>
      </c>
      <c r="V857">
        <f>IF(OR($T857="",$U857=""),"",$U857-$T857)</f>
        <v/>
      </c>
    </row>
    <row r="858">
      <c r="A858">
        <f>IF(games!$A858="","",games!$A858)</f>
        <v/>
      </c>
      <c r="B858">
        <f>IF($A858="","",games!$B858)</f>
        <v/>
      </c>
      <c r="C858">
        <f>IF($A858="","",games!$C858)</f>
        <v/>
      </c>
      <c r="D858">
        <f>IF($A858="","",COUNTIF(connections!$A$2:$A$1400,$A858)+COUNTIF(connections!$B$2:$B$1400,$A858))</f>
        <v/>
      </c>
      <c r="E858">
        <f>IF($A858="","",IFERROR(MATCH($C858,$R$2:$R$5,0),0))</f>
        <v/>
      </c>
      <c r="F858">
        <f>IF($A858="","",MOD(ROW(),34))</f>
        <v/>
      </c>
      <c r="G858">
        <f>IF($A858="",NA(),IF($C858="Action",$B858,NA()))</f>
        <v/>
      </c>
      <c r="H858">
        <f>IF($A858="",NA(),IF($C858="Action",1+$F858*0.023,NA()))</f>
        <v/>
      </c>
      <c r="I858">
        <f>IF($A858="",NA(),IF($C858="Strategy",$B858,NA()))</f>
        <v/>
      </c>
      <c r="J858">
        <f>IF($A858="",NA(),IF($C858="Strategy",2+$F858*0.023,NA()))</f>
        <v/>
      </c>
      <c r="K858">
        <f>IF($A858="",NA(),IF($C858="Deckbuilder",$B858,NA()))</f>
        <v/>
      </c>
      <c r="L858">
        <f>IF($A858="",NA(),IF($C858="Deckbuilder",3+$F858*0.023,NA()))</f>
        <v/>
      </c>
      <c r="M858">
        <f>IF($A858="",NA(),IF($C858="Traditional",$B858,NA()))</f>
        <v/>
      </c>
      <c r="N858">
        <f>IF($A858="",NA(),IF($C858="Traditional",4+$F858*0.023,NA()))</f>
        <v/>
      </c>
      <c r="O858">
        <f>IF($A858="","",$D858+ROW()/1000000)</f>
        <v/>
      </c>
      <c r="P858">
        <f>IF(OR($A858="",games!$H858=""),"",games!$H858)</f>
        <v/>
      </c>
      <c r="Q858">
        <f>IF(OR($A858="",$P858&lt;&gt;"Yes"),"",$D858+ROW()/1000000)</f>
        <v/>
      </c>
      <c r="T858">
        <f>IF(connections!$A858="","",IFERROR(INDEX(games!$B$2:$B$950,MATCH(connections!$A858,games!$A$2:$A$950,0)),""))</f>
        <v/>
      </c>
      <c r="U858">
        <f>IF(connections!$A858="","",IFERROR(INDEX(games!$B$2:$B$950,MATCH(connections!$B858,games!$A$2:$A$950,0)),""))</f>
        <v/>
      </c>
      <c r="V858">
        <f>IF(OR($T858="",$U858=""),"",$U858-$T858)</f>
        <v/>
      </c>
    </row>
    <row r="859">
      <c r="A859">
        <f>IF(games!$A859="","",games!$A859)</f>
        <v/>
      </c>
      <c r="B859">
        <f>IF($A859="","",games!$B859)</f>
        <v/>
      </c>
      <c r="C859">
        <f>IF($A859="","",games!$C859)</f>
        <v/>
      </c>
      <c r="D859">
        <f>IF($A859="","",COUNTIF(connections!$A$2:$A$1400,$A859)+COUNTIF(connections!$B$2:$B$1400,$A859))</f>
        <v/>
      </c>
      <c r="E859">
        <f>IF($A859="","",IFERROR(MATCH($C859,$R$2:$R$5,0),0))</f>
        <v/>
      </c>
      <c r="F859">
        <f>IF($A859="","",MOD(ROW(),34))</f>
        <v/>
      </c>
      <c r="G859">
        <f>IF($A859="",NA(),IF($C859="Action",$B859,NA()))</f>
        <v/>
      </c>
      <c r="H859">
        <f>IF($A859="",NA(),IF($C859="Action",1+$F859*0.023,NA()))</f>
        <v/>
      </c>
      <c r="I859">
        <f>IF($A859="",NA(),IF($C859="Strategy",$B859,NA()))</f>
        <v/>
      </c>
      <c r="J859">
        <f>IF($A859="",NA(),IF($C859="Strategy",2+$F859*0.023,NA()))</f>
        <v/>
      </c>
      <c r="K859">
        <f>IF($A859="",NA(),IF($C859="Deckbuilder",$B859,NA()))</f>
        <v/>
      </c>
      <c r="L859">
        <f>IF($A859="",NA(),IF($C859="Deckbuilder",3+$F859*0.023,NA()))</f>
        <v/>
      </c>
      <c r="M859">
        <f>IF($A859="",NA(),IF($C859="Traditional",$B859,NA()))</f>
        <v/>
      </c>
      <c r="N859">
        <f>IF($A859="",NA(),IF($C859="Traditional",4+$F859*0.023,NA()))</f>
        <v/>
      </c>
      <c r="O859">
        <f>IF($A859="","",$D859+ROW()/1000000)</f>
        <v/>
      </c>
      <c r="P859">
        <f>IF(OR($A859="",games!$H859=""),"",games!$H859)</f>
        <v/>
      </c>
      <c r="Q859">
        <f>IF(OR($A859="",$P859&lt;&gt;"Yes"),"",$D859+ROW()/1000000)</f>
        <v/>
      </c>
      <c r="T859">
        <f>IF(connections!$A859="","",IFERROR(INDEX(games!$B$2:$B$950,MATCH(connections!$A859,games!$A$2:$A$950,0)),""))</f>
        <v/>
      </c>
      <c r="U859">
        <f>IF(connections!$A859="","",IFERROR(INDEX(games!$B$2:$B$950,MATCH(connections!$B859,games!$A$2:$A$950,0)),""))</f>
        <v/>
      </c>
      <c r="V859">
        <f>IF(OR($T859="",$U859=""),"",$U859-$T859)</f>
        <v/>
      </c>
    </row>
    <row r="860">
      <c r="A860">
        <f>IF(games!$A860="","",games!$A860)</f>
        <v/>
      </c>
      <c r="B860">
        <f>IF($A860="","",games!$B860)</f>
        <v/>
      </c>
      <c r="C860">
        <f>IF($A860="","",games!$C860)</f>
        <v/>
      </c>
      <c r="D860">
        <f>IF($A860="","",COUNTIF(connections!$A$2:$A$1400,$A860)+COUNTIF(connections!$B$2:$B$1400,$A860))</f>
        <v/>
      </c>
      <c r="E860">
        <f>IF($A860="","",IFERROR(MATCH($C860,$R$2:$R$5,0),0))</f>
        <v/>
      </c>
      <c r="F860">
        <f>IF($A860="","",MOD(ROW(),34))</f>
        <v/>
      </c>
      <c r="G860">
        <f>IF($A860="",NA(),IF($C860="Action",$B860,NA()))</f>
        <v/>
      </c>
      <c r="H860">
        <f>IF($A860="",NA(),IF($C860="Action",1+$F860*0.023,NA()))</f>
        <v/>
      </c>
      <c r="I860">
        <f>IF($A860="",NA(),IF($C860="Strategy",$B860,NA()))</f>
        <v/>
      </c>
      <c r="J860">
        <f>IF($A860="",NA(),IF($C860="Strategy",2+$F860*0.023,NA()))</f>
        <v/>
      </c>
      <c r="K860">
        <f>IF($A860="",NA(),IF($C860="Deckbuilder",$B860,NA()))</f>
        <v/>
      </c>
      <c r="L860">
        <f>IF($A860="",NA(),IF($C860="Deckbuilder",3+$F860*0.023,NA()))</f>
        <v/>
      </c>
      <c r="M860">
        <f>IF($A860="",NA(),IF($C860="Traditional",$B860,NA()))</f>
        <v/>
      </c>
      <c r="N860">
        <f>IF($A860="",NA(),IF($C860="Traditional",4+$F860*0.023,NA()))</f>
        <v/>
      </c>
      <c r="O860">
        <f>IF($A860="","",$D860+ROW()/1000000)</f>
        <v/>
      </c>
      <c r="P860">
        <f>IF(OR($A860="",games!$H860=""),"",games!$H860)</f>
        <v/>
      </c>
      <c r="Q860">
        <f>IF(OR($A860="",$P860&lt;&gt;"Yes"),"",$D860+ROW()/1000000)</f>
        <v/>
      </c>
      <c r="T860">
        <f>IF(connections!$A860="","",IFERROR(INDEX(games!$B$2:$B$950,MATCH(connections!$A860,games!$A$2:$A$950,0)),""))</f>
        <v/>
      </c>
      <c r="U860">
        <f>IF(connections!$A860="","",IFERROR(INDEX(games!$B$2:$B$950,MATCH(connections!$B860,games!$A$2:$A$950,0)),""))</f>
        <v/>
      </c>
      <c r="V860">
        <f>IF(OR($T860="",$U860=""),"",$U860-$T860)</f>
        <v/>
      </c>
    </row>
    <row r="861">
      <c r="A861">
        <f>IF(games!$A861="","",games!$A861)</f>
        <v/>
      </c>
      <c r="B861">
        <f>IF($A861="","",games!$B861)</f>
        <v/>
      </c>
      <c r="C861">
        <f>IF($A861="","",games!$C861)</f>
        <v/>
      </c>
      <c r="D861">
        <f>IF($A861="","",COUNTIF(connections!$A$2:$A$1400,$A861)+COUNTIF(connections!$B$2:$B$1400,$A861))</f>
        <v/>
      </c>
      <c r="E861">
        <f>IF($A861="","",IFERROR(MATCH($C861,$R$2:$R$5,0),0))</f>
        <v/>
      </c>
      <c r="F861">
        <f>IF($A861="","",MOD(ROW(),34))</f>
        <v/>
      </c>
      <c r="G861">
        <f>IF($A861="",NA(),IF($C861="Action",$B861,NA()))</f>
        <v/>
      </c>
      <c r="H861">
        <f>IF($A861="",NA(),IF($C861="Action",1+$F861*0.023,NA()))</f>
        <v/>
      </c>
      <c r="I861">
        <f>IF($A861="",NA(),IF($C861="Strategy",$B861,NA()))</f>
        <v/>
      </c>
      <c r="J861">
        <f>IF($A861="",NA(),IF($C861="Strategy",2+$F861*0.023,NA()))</f>
        <v/>
      </c>
      <c r="K861">
        <f>IF($A861="",NA(),IF($C861="Deckbuilder",$B861,NA()))</f>
        <v/>
      </c>
      <c r="L861">
        <f>IF($A861="",NA(),IF($C861="Deckbuilder",3+$F861*0.023,NA()))</f>
        <v/>
      </c>
      <c r="M861">
        <f>IF($A861="",NA(),IF($C861="Traditional",$B861,NA()))</f>
        <v/>
      </c>
      <c r="N861">
        <f>IF($A861="",NA(),IF($C861="Traditional",4+$F861*0.023,NA()))</f>
        <v/>
      </c>
      <c r="O861">
        <f>IF($A861="","",$D861+ROW()/1000000)</f>
        <v/>
      </c>
      <c r="P861">
        <f>IF(OR($A861="",games!$H861=""),"",games!$H861)</f>
        <v/>
      </c>
      <c r="Q861">
        <f>IF(OR($A861="",$P861&lt;&gt;"Yes"),"",$D861+ROW()/1000000)</f>
        <v/>
      </c>
      <c r="T861">
        <f>IF(connections!$A861="","",IFERROR(INDEX(games!$B$2:$B$950,MATCH(connections!$A861,games!$A$2:$A$950,0)),""))</f>
        <v/>
      </c>
      <c r="U861">
        <f>IF(connections!$A861="","",IFERROR(INDEX(games!$B$2:$B$950,MATCH(connections!$B861,games!$A$2:$A$950,0)),""))</f>
        <v/>
      </c>
      <c r="V861">
        <f>IF(OR($T861="",$U861=""),"",$U861-$T861)</f>
        <v/>
      </c>
    </row>
    <row r="862">
      <c r="A862">
        <f>IF(games!$A862="","",games!$A862)</f>
        <v/>
      </c>
      <c r="B862">
        <f>IF($A862="","",games!$B862)</f>
        <v/>
      </c>
      <c r="C862">
        <f>IF($A862="","",games!$C862)</f>
        <v/>
      </c>
      <c r="D862">
        <f>IF($A862="","",COUNTIF(connections!$A$2:$A$1400,$A862)+COUNTIF(connections!$B$2:$B$1400,$A862))</f>
        <v/>
      </c>
      <c r="E862">
        <f>IF($A862="","",IFERROR(MATCH($C862,$R$2:$R$5,0),0))</f>
        <v/>
      </c>
      <c r="F862">
        <f>IF($A862="","",MOD(ROW(),34))</f>
        <v/>
      </c>
      <c r="G862">
        <f>IF($A862="",NA(),IF($C862="Action",$B862,NA()))</f>
        <v/>
      </c>
      <c r="H862">
        <f>IF($A862="",NA(),IF($C862="Action",1+$F862*0.023,NA()))</f>
        <v/>
      </c>
      <c r="I862">
        <f>IF($A862="",NA(),IF($C862="Strategy",$B862,NA()))</f>
        <v/>
      </c>
      <c r="J862">
        <f>IF($A862="",NA(),IF($C862="Strategy",2+$F862*0.023,NA()))</f>
        <v/>
      </c>
      <c r="K862">
        <f>IF($A862="",NA(),IF($C862="Deckbuilder",$B862,NA()))</f>
        <v/>
      </c>
      <c r="L862">
        <f>IF($A862="",NA(),IF($C862="Deckbuilder",3+$F862*0.023,NA()))</f>
        <v/>
      </c>
      <c r="M862">
        <f>IF($A862="",NA(),IF($C862="Traditional",$B862,NA()))</f>
        <v/>
      </c>
      <c r="N862">
        <f>IF($A862="",NA(),IF($C862="Traditional",4+$F862*0.023,NA()))</f>
        <v/>
      </c>
      <c r="O862">
        <f>IF($A862="","",$D862+ROW()/1000000)</f>
        <v/>
      </c>
      <c r="P862">
        <f>IF(OR($A862="",games!$H862=""),"",games!$H862)</f>
        <v/>
      </c>
      <c r="Q862">
        <f>IF(OR($A862="",$P862&lt;&gt;"Yes"),"",$D862+ROW()/1000000)</f>
        <v/>
      </c>
      <c r="T862">
        <f>IF(connections!$A862="","",IFERROR(INDEX(games!$B$2:$B$950,MATCH(connections!$A862,games!$A$2:$A$950,0)),""))</f>
        <v/>
      </c>
      <c r="U862">
        <f>IF(connections!$A862="","",IFERROR(INDEX(games!$B$2:$B$950,MATCH(connections!$B862,games!$A$2:$A$950,0)),""))</f>
        <v/>
      </c>
      <c r="V862">
        <f>IF(OR($T862="",$U862=""),"",$U862-$T862)</f>
        <v/>
      </c>
    </row>
    <row r="863">
      <c r="A863">
        <f>IF(games!$A863="","",games!$A863)</f>
        <v/>
      </c>
      <c r="B863">
        <f>IF($A863="","",games!$B863)</f>
        <v/>
      </c>
      <c r="C863">
        <f>IF($A863="","",games!$C863)</f>
        <v/>
      </c>
      <c r="D863">
        <f>IF($A863="","",COUNTIF(connections!$A$2:$A$1400,$A863)+COUNTIF(connections!$B$2:$B$1400,$A863))</f>
        <v/>
      </c>
      <c r="E863">
        <f>IF($A863="","",IFERROR(MATCH($C863,$R$2:$R$5,0),0))</f>
        <v/>
      </c>
      <c r="F863">
        <f>IF($A863="","",MOD(ROW(),34))</f>
        <v/>
      </c>
      <c r="G863">
        <f>IF($A863="",NA(),IF($C863="Action",$B863,NA()))</f>
        <v/>
      </c>
      <c r="H863">
        <f>IF($A863="",NA(),IF($C863="Action",1+$F863*0.023,NA()))</f>
        <v/>
      </c>
      <c r="I863">
        <f>IF($A863="",NA(),IF($C863="Strategy",$B863,NA()))</f>
        <v/>
      </c>
      <c r="J863">
        <f>IF($A863="",NA(),IF($C863="Strategy",2+$F863*0.023,NA()))</f>
        <v/>
      </c>
      <c r="K863">
        <f>IF($A863="",NA(),IF($C863="Deckbuilder",$B863,NA()))</f>
        <v/>
      </c>
      <c r="L863">
        <f>IF($A863="",NA(),IF($C863="Deckbuilder",3+$F863*0.023,NA()))</f>
        <v/>
      </c>
      <c r="M863">
        <f>IF($A863="",NA(),IF($C863="Traditional",$B863,NA()))</f>
        <v/>
      </c>
      <c r="N863">
        <f>IF($A863="",NA(),IF($C863="Traditional",4+$F863*0.023,NA()))</f>
        <v/>
      </c>
      <c r="O863">
        <f>IF($A863="","",$D863+ROW()/1000000)</f>
        <v/>
      </c>
      <c r="P863">
        <f>IF(OR($A863="",games!$H863=""),"",games!$H863)</f>
        <v/>
      </c>
      <c r="Q863">
        <f>IF(OR($A863="",$P863&lt;&gt;"Yes"),"",$D863+ROW()/1000000)</f>
        <v/>
      </c>
      <c r="T863">
        <f>IF(connections!$A863="","",IFERROR(INDEX(games!$B$2:$B$950,MATCH(connections!$A863,games!$A$2:$A$950,0)),""))</f>
        <v/>
      </c>
      <c r="U863">
        <f>IF(connections!$A863="","",IFERROR(INDEX(games!$B$2:$B$950,MATCH(connections!$B863,games!$A$2:$A$950,0)),""))</f>
        <v/>
      </c>
      <c r="V863">
        <f>IF(OR($T863="",$U863=""),"",$U863-$T863)</f>
        <v/>
      </c>
    </row>
    <row r="864">
      <c r="A864">
        <f>IF(games!$A864="","",games!$A864)</f>
        <v/>
      </c>
      <c r="B864">
        <f>IF($A864="","",games!$B864)</f>
        <v/>
      </c>
      <c r="C864">
        <f>IF($A864="","",games!$C864)</f>
        <v/>
      </c>
      <c r="D864">
        <f>IF($A864="","",COUNTIF(connections!$A$2:$A$1400,$A864)+COUNTIF(connections!$B$2:$B$1400,$A864))</f>
        <v/>
      </c>
      <c r="E864">
        <f>IF($A864="","",IFERROR(MATCH($C864,$R$2:$R$5,0),0))</f>
        <v/>
      </c>
      <c r="F864">
        <f>IF($A864="","",MOD(ROW(),34))</f>
        <v/>
      </c>
      <c r="G864">
        <f>IF($A864="",NA(),IF($C864="Action",$B864,NA()))</f>
        <v/>
      </c>
      <c r="H864">
        <f>IF($A864="",NA(),IF($C864="Action",1+$F864*0.023,NA()))</f>
        <v/>
      </c>
      <c r="I864">
        <f>IF($A864="",NA(),IF($C864="Strategy",$B864,NA()))</f>
        <v/>
      </c>
      <c r="J864">
        <f>IF($A864="",NA(),IF($C864="Strategy",2+$F864*0.023,NA()))</f>
        <v/>
      </c>
      <c r="K864">
        <f>IF($A864="",NA(),IF($C864="Deckbuilder",$B864,NA()))</f>
        <v/>
      </c>
      <c r="L864">
        <f>IF($A864="",NA(),IF($C864="Deckbuilder",3+$F864*0.023,NA()))</f>
        <v/>
      </c>
      <c r="M864">
        <f>IF($A864="",NA(),IF($C864="Traditional",$B864,NA()))</f>
        <v/>
      </c>
      <c r="N864">
        <f>IF($A864="",NA(),IF($C864="Traditional",4+$F864*0.023,NA()))</f>
        <v/>
      </c>
      <c r="O864">
        <f>IF($A864="","",$D864+ROW()/1000000)</f>
        <v/>
      </c>
      <c r="P864">
        <f>IF(OR($A864="",games!$H864=""),"",games!$H864)</f>
        <v/>
      </c>
      <c r="Q864">
        <f>IF(OR($A864="",$P864&lt;&gt;"Yes"),"",$D864+ROW()/1000000)</f>
        <v/>
      </c>
      <c r="T864">
        <f>IF(connections!$A864="","",IFERROR(INDEX(games!$B$2:$B$950,MATCH(connections!$A864,games!$A$2:$A$950,0)),""))</f>
        <v/>
      </c>
      <c r="U864">
        <f>IF(connections!$A864="","",IFERROR(INDEX(games!$B$2:$B$950,MATCH(connections!$B864,games!$A$2:$A$950,0)),""))</f>
        <v/>
      </c>
      <c r="V864">
        <f>IF(OR($T864="",$U864=""),"",$U864-$T864)</f>
        <v/>
      </c>
    </row>
    <row r="865">
      <c r="A865">
        <f>IF(games!$A865="","",games!$A865)</f>
        <v/>
      </c>
      <c r="B865">
        <f>IF($A865="","",games!$B865)</f>
        <v/>
      </c>
      <c r="C865">
        <f>IF($A865="","",games!$C865)</f>
        <v/>
      </c>
      <c r="D865">
        <f>IF($A865="","",COUNTIF(connections!$A$2:$A$1400,$A865)+COUNTIF(connections!$B$2:$B$1400,$A865))</f>
        <v/>
      </c>
      <c r="E865">
        <f>IF($A865="","",IFERROR(MATCH($C865,$R$2:$R$5,0),0))</f>
        <v/>
      </c>
      <c r="F865">
        <f>IF($A865="","",MOD(ROW(),34))</f>
        <v/>
      </c>
      <c r="G865">
        <f>IF($A865="",NA(),IF($C865="Action",$B865,NA()))</f>
        <v/>
      </c>
      <c r="H865">
        <f>IF($A865="",NA(),IF($C865="Action",1+$F865*0.023,NA()))</f>
        <v/>
      </c>
      <c r="I865">
        <f>IF($A865="",NA(),IF($C865="Strategy",$B865,NA()))</f>
        <v/>
      </c>
      <c r="J865">
        <f>IF($A865="",NA(),IF($C865="Strategy",2+$F865*0.023,NA()))</f>
        <v/>
      </c>
      <c r="K865">
        <f>IF($A865="",NA(),IF($C865="Deckbuilder",$B865,NA()))</f>
        <v/>
      </c>
      <c r="L865">
        <f>IF($A865="",NA(),IF($C865="Deckbuilder",3+$F865*0.023,NA()))</f>
        <v/>
      </c>
      <c r="M865">
        <f>IF($A865="",NA(),IF($C865="Traditional",$B865,NA()))</f>
        <v/>
      </c>
      <c r="N865">
        <f>IF($A865="",NA(),IF($C865="Traditional",4+$F865*0.023,NA()))</f>
        <v/>
      </c>
      <c r="O865">
        <f>IF($A865="","",$D865+ROW()/1000000)</f>
        <v/>
      </c>
      <c r="P865">
        <f>IF(OR($A865="",games!$H865=""),"",games!$H865)</f>
        <v/>
      </c>
      <c r="Q865">
        <f>IF(OR($A865="",$P865&lt;&gt;"Yes"),"",$D865+ROW()/1000000)</f>
        <v/>
      </c>
      <c r="T865">
        <f>IF(connections!$A865="","",IFERROR(INDEX(games!$B$2:$B$950,MATCH(connections!$A865,games!$A$2:$A$950,0)),""))</f>
        <v/>
      </c>
      <c r="U865">
        <f>IF(connections!$A865="","",IFERROR(INDEX(games!$B$2:$B$950,MATCH(connections!$B865,games!$A$2:$A$950,0)),""))</f>
        <v/>
      </c>
      <c r="V865">
        <f>IF(OR($T865="",$U865=""),"",$U865-$T865)</f>
        <v/>
      </c>
    </row>
    <row r="866">
      <c r="A866">
        <f>IF(games!$A866="","",games!$A866)</f>
        <v/>
      </c>
      <c r="B866">
        <f>IF($A866="","",games!$B866)</f>
        <v/>
      </c>
      <c r="C866">
        <f>IF($A866="","",games!$C866)</f>
        <v/>
      </c>
      <c r="D866">
        <f>IF($A866="","",COUNTIF(connections!$A$2:$A$1400,$A866)+COUNTIF(connections!$B$2:$B$1400,$A866))</f>
        <v/>
      </c>
      <c r="E866">
        <f>IF($A866="","",IFERROR(MATCH($C866,$R$2:$R$5,0),0))</f>
        <v/>
      </c>
      <c r="F866">
        <f>IF($A866="","",MOD(ROW(),34))</f>
        <v/>
      </c>
      <c r="G866">
        <f>IF($A866="",NA(),IF($C866="Action",$B866,NA()))</f>
        <v/>
      </c>
      <c r="H866">
        <f>IF($A866="",NA(),IF($C866="Action",1+$F866*0.023,NA()))</f>
        <v/>
      </c>
      <c r="I866">
        <f>IF($A866="",NA(),IF($C866="Strategy",$B866,NA()))</f>
        <v/>
      </c>
      <c r="J866">
        <f>IF($A866="",NA(),IF($C866="Strategy",2+$F866*0.023,NA()))</f>
        <v/>
      </c>
      <c r="K866">
        <f>IF($A866="",NA(),IF($C866="Deckbuilder",$B866,NA()))</f>
        <v/>
      </c>
      <c r="L866">
        <f>IF($A866="",NA(),IF($C866="Deckbuilder",3+$F866*0.023,NA()))</f>
        <v/>
      </c>
      <c r="M866">
        <f>IF($A866="",NA(),IF($C866="Traditional",$B866,NA()))</f>
        <v/>
      </c>
      <c r="N866">
        <f>IF($A866="",NA(),IF($C866="Traditional",4+$F866*0.023,NA()))</f>
        <v/>
      </c>
      <c r="O866">
        <f>IF($A866="","",$D866+ROW()/1000000)</f>
        <v/>
      </c>
      <c r="P866">
        <f>IF(OR($A866="",games!$H866=""),"",games!$H866)</f>
        <v/>
      </c>
      <c r="Q866">
        <f>IF(OR($A866="",$P866&lt;&gt;"Yes"),"",$D866+ROW()/1000000)</f>
        <v/>
      </c>
      <c r="T866">
        <f>IF(connections!$A866="","",IFERROR(INDEX(games!$B$2:$B$950,MATCH(connections!$A866,games!$A$2:$A$950,0)),""))</f>
        <v/>
      </c>
      <c r="U866">
        <f>IF(connections!$A866="","",IFERROR(INDEX(games!$B$2:$B$950,MATCH(connections!$B866,games!$A$2:$A$950,0)),""))</f>
        <v/>
      </c>
      <c r="V866">
        <f>IF(OR($T866="",$U866=""),"",$U866-$T866)</f>
        <v/>
      </c>
    </row>
    <row r="867">
      <c r="A867">
        <f>IF(games!$A867="","",games!$A867)</f>
        <v/>
      </c>
      <c r="B867">
        <f>IF($A867="","",games!$B867)</f>
        <v/>
      </c>
      <c r="C867">
        <f>IF($A867="","",games!$C867)</f>
        <v/>
      </c>
      <c r="D867">
        <f>IF($A867="","",COUNTIF(connections!$A$2:$A$1400,$A867)+COUNTIF(connections!$B$2:$B$1400,$A867))</f>
        <v/>
      </c>
      <c r="E867">
        <f>IF($A867="","",IFERROR(MATCH($C867,$R$2:$R$5,0),0))</f>
        <v/>
      </c>
      <c r="F867">
        <f>IF($A867="","",MOD(ROW(),34))</f>
        <v/>
      </c>
      <c r="G867">
        <f>IF($A867="",NA(),IF($C867="Action",$B867,NA()))</f>
        <v/>
      </c>
      <c r="H867">
        <f>IF($A867="",NA(),IF($C867="Action",1+$F867*0.023,NA()))</f>
        <v/>
      </c>
      <c r="I867">
        <f>IF($A867="",NA(),IF($C867="Strategy",$B867,NA()))</f>
        <v/>
      </c>
      <c r="J867">
        <f>IF($A867="",NA(),IF($C867="Strategy",2+$F867*0.023,NA()))</f>
        <v/>
      </c>
      <c r="K867">
        <f>IF($A867="",NA(),IF($C867="Deckbuilder",$B867,NA()))</f>
        <v/>
      </c>
      <c r="L867">
        <f>IF($A867="",NA(),IF($C867="Deckbuilder",3+$F867*0.023,NA()))</f>
        <v/>
      </c>
      <c r="M867">
        <f>IF($A867="",NA(),IF($C867="Traditional",$B867,NA()))</f>
        <v/>
      </c>
      <c r="N867">
        <f>IF($A867="",NA(),IF($C867="Traditional",4+$F867*0.023,NA()))</f>
        <v/>
      </c>
      <c r="O867">
        <f>IF($A867="","",$D867+ROW()/1000000)</f>
        <v/>
      </c>
      <c r="P867">
        <f>IF(OR($A867="",games!$H867=""),"",games!$H867)</f>
        <v/>
      </c>
      <c r="Q867">
        <f>IF(OR($A867="",$P867&lt;&gt;"Yes"),"",$D867+ROW()/1000000)</f>
        <v/>
      </c>
      <c r="T867">
        <f>IF(connections!$A867="","",IFERROR(INDEX(games!$B$2:$B$950,MATCH(connections!$A867,games!$A$2:$A$950,0)),""))</f>
        <v/>
      </c>
      <c r="U867">
        <f>IF(connections!$A867="","",IFERROR(INDEX(games!$B$2:$B$950,MATCH(connections!$B867,games!$A$2:$A$950,0)),""))</f>
        <v/>
      </c>
      <c r="V867">
        <f>IF(OR($T867="",$U867=""),"",$U867-$T867)</f>
        <v/>
      </c>
    </row>
    <row r="868">
      <c r="A868">
        <f>IF(games!$A868="","",games!$A868)</f>
        <v/>
      </c>
      <c r="B868">
        <f>IF($A868="","",games!$B868)</f>
        <v/>
      </c>
      <c r="C868">
        <f>IF($A868="","",games!$C868)</f>
        <v/>
      </c>
      <c r="D868">
        <f>IF($A868="","",COUNTIF(connections!$A$2:$A$1400,$A868)+COUNTIF(connections!$B$2:$B$1400,$A868))</f>
        <v/>
      </c>
      <c r="E868">
        <f>IF($A868="","",IFERROR(MATCH($C868,$R$2:$R$5,0),0))</f>
        <v/>
      </c>
      <c r="F868">
        <f>IF($A868="","",MOD(ROW(),34))</f>
        <v/>
      </c>
      <c r="G868">
        <f>IF($A868="",NA(),IF($C868="Action",$B868,NA()))</f>
        <v/>
      </c>
      <c r="H868">
        <f>IF($A868="",NA(),IF($C868="Action",1+$F868*0.023,NA()))</f>
        <v/>
      </c>
      <c r="I868">
        <f>IF($A868="",NA(),IF($C868="Strategy",$B868,NA()))</f>
        <v/>
      </c>
      <c r="J868">
        <f>IF($A868="",NA(),IF($C868="Strategy",2+$F868*0.023,NA()))</f>
        <v/>
      </c>
      <c r="K868">
        <f>IF($A868="",NA(),IF($C868="Deckbuilder",$B868,NA()))</f>
        <v/>
      </c>
      <c r="L868">
        <f>IF($A868="",NA(),IF($C868="Deckbuilder",3+$F868*0.023,NA()))</f>
        <v/>
      </c>
      <c r="M868">
        <f>IF($A868="",NA(),IF($C868="Traditional",$B868,NA()))</f>
        <v/>
      </c>
      <c r="N868">
        <f>IF($A868="",NA(),IF($C868="Traditional",4+$F868*0.023,NA()))</f>
        <v/>
      </c>
      <c r="O868">
        <f>IF($A868="","",$D868+ROW()/1000000)</f>
        <v/>
      </c>
      <c r="P868">
        <f>IF(OR($A868="",games!$H868=""),"",games!$H868)</f>
        <v/>
      </c>
      <c r="Q868">
        <f>IF(OR($A868="",$P868&lt;&gt;"Yes"),"",$D868+ROW()/1000000)</f>
        <v/>
      </c>
      <c r="T868">
        <f>IF(connections!$A868="","",IFERROR(INDEX(games!$B$2:$B$950,MATCH(connections!$A868,games!$A$2:$A$950,0)),""))</f>
        <v/>
      </c>
      <c r="U868">
        <f>IF(connections!$A868="","",IFERROR(INDEX(games!$B$2:$B$950,MATCH(connections!$B868,games!$A$2:$A$950,0)),""))</f>
        <v/>
      </c>
      <c r="V868">
        <f>IF(OR($T868="",$U868=""),"",$U868-$T868)</f>
        <v/>
      </c>
    </row>
    <row r="869">
      <c r="A869">
        <f>IF(games!$A869="","",games!$A869)</f>
        <v/>
      </c>
      <c r="B869">
        <f>IF($A869="","",games!$B869)</f>
        <v/>
      </c>
      <c r="C869">
        <f>IF($A869="","",games!$C869)</f>
        <v/>
      </c>
      <c r="D869">
        <f>IF($A869="","",COUNTIF(connections!$A$2:$A$1400,$A869)+COUNTIF(connections!$B$2:$B$1400,$A869))</f>
        <v/>
      </c>
      <c r="E869">
        <f>IF($A869="","",IFERROR(MATCH($C869,$R$2:$R$5,0),0))</f>
        <v/>
      </c>
      <c r="F869">
        <f>IF($A869="","",MOD(ROW(),34))</f>
        <v/>
      </c>
      <c r="G869">
        <f>IF($A869="",NA(),IF($C869="Action",$B869,NA()))</f>
        <v/>
      </c>
      <c r="H869">
        <f>IF($A869="",NA(),IF($C869="Action",1+$F869*0.023,NA()))</f>
        <v/>
      </c>
      <c r="I869">
        <f>IF($A869="",NA(),IF($C869="Strategy",$B869,NA()))</f>
        <v/>
      </c>
      <c r="J869">
        <f>IF($A869="",NA(),IF($C869="Strategy",2+$F869*0.023,NA()))</f>
        <v/>
      </c>
      <c r="K869">
        <f>IF($A869="",NA(),IF($C869="Deckbuilder",$B869,NA()))</f>
        <v/>
      </c>
      <c r="L869">
        <f>IF($A869="",NA(),IF($C869="Deckbuilder",3+$F869*0.023,NA()))</f>
        <v/>
      </c>
      <c r="M869">
        <f>IF($A869="",NA(),IF($C869="Traditional",$B869,NA()))</f>
        <v/>
      </c>
      <c r="N869">
        <f>IF($A869="",NA(),IF($C869="Traditional",4+$F869*0.023,NA()))</f>
        <v/>
      </c>
      <c r="O869">
        <f>IF($A869="","",$D869+ROW()/1000000)</f>
        <v/>
      </c>
      <c r="P869">
        <f>IF(OR($A869="",games!$H869=""),"",games!$H869)</f>
        <v/>
      </c>
      <c r="Q869">
        <f>IF(OR($A869="",$P869&lt;&gt;"Yes"),"",$D869+ROW()/1000000)</f>
        <v/>
      </c>
      <c r="T869">
        <f>IF(connections!$A869="","",IFERROR(INDEX(games!$B$2:$B$950,MATCH(connections!$A869,games!$A$2:$A$950,0)),""))</f>
        <v/>
      </c>
      <c r="U869">
        <f>IF(connections!$A869="","",IFERROR(INDEX(games!$B$2:$B$950,MATCH(connections!$B869,games!$A$2:$A$950,0)),""))</f>
        <v/>
      </c>
      <c r="V869">
        <f>IF(OR($T869="",$U869=""),"",$U869-$T869)</f>
        <v/>
      </c>
    </row>
    <row r="870">
      <c r="A870">
        <f>IF(games!$A870="","",games!$A870)</f>
        <v/>
      </c>
      <c r="B870">
        <f>IF($A870="","",games!$B870)</f>
        <v/>
      </c>
      <c r="C870">
        <f>IF($A870="","",games!$C870)</f>
        <v/>
      </c>
      <c r="D870">
        <f>IF($A870="","",COUNTIF(connections!$A$2:$A$1400,$A870)+COUNTIF(connections!$B$2:$B$1400,$A870))</f>
        <v/>
      </c>
      <c r="E870">
        <f>IF($A870="","",IFERROR(MATCH($C870,$R$2:$R$5,0),0))</f>
        <v/>
      </c>
      <c r="F870">
        <f>IF($A870="","",MOD(ROW(),34))</f>
        <v/>
      </c>
      <c r="G870">
        <f>IF($A870="",NA(),IF($C870="Action",$B870,NA()))</f>
        <v/>
      </c>
      <c r="H870">
        <f>IF($A870="",NA(),IF($C870="Action",1+$F870*0.023,NA()))</f>
        <v/>
      </c>
      <c r="I870">
        <f>IF($A870="",NA(),IF($C870="Strategy",$B870,NA()))</f>
        <v/>
      </c>
      <c r="J870">
        <f>IF($A870="",NA(),IF($C870="Strategy",2+$F870*0.023,NA()))</f>
        <v/>
      </c>
      <c r="K870">
        <f>IF($A870="",NA(),IF($C870="Deckbuilder",$B870,NA()))</f>
        <v/>
      </c>
      <c r="L870">
        <f>IF($A870="",NA(),IF($C870="Deckbuilder",3+$F870*0.023,NA()))</f>
        <v/>
      </c>
      <c r="M870">
        <f>IF($A870="",NA(),IF($C870="Traditional",$B870,NA()))</f>
        <v/>
      </c>
      <c r="N870">
        <f>IF($A870="",NA(),IF($C870="Traditional",4+$F870*0.023,NA()))</f>
        <v/>
      </c>
      <c r="O870">
        <f>IF($A870="","",$D870+ROW()/1000000)</f>
        <v/>
      </c>
      <c r="P870">
        <f>IF(OR($A870="",games!$H870=""),"",games!$H870)</f>
        <v/>
      </c>
      <c r="Q870">
        <f>IF(OR($A870="",$P870&lt;&gt;"Yes"),"",$D870+ROW()/1000000)</f>
        <v/>
      </c>
      <c r="T870">
        <f>IF(connections!$A870="","",IFERROR(INDEX(games!$B$2:$B$950,MATCH(connections!$A870,games!$A$2:$A$950,0)),""))</f>
        <v/>
      </c>
      <c r="U870">
        <f>IF(connections!$A870="","",IFERROR(INDEX(games!$B$2:$B$950,MATCH(connections!$B870,games!$A$2:$A$950,0)),""))</f>
        <v/>
      </c>
      <c r="V870">
        <f>IF(OR($T870="",$U870=""),"",$U870-$T870)</f>
        <v/>
      </c>
    </row>
    <row r="871">
      <c r="A871">
        <f>IF(games!$A871="","",games!$A871)</f>
        <v/>
      </c>
      <c r="B871">
        <f>IF($A871="","",games!$B871)</f>
        <v/>
      </c>
      <c r="C871">
        <f>IF($A871="","",games!$C871)</f>
        <v/>
      </c>
      <c r="D871">
        <f>IF($A871="","",COUNTIF(connections!$A$2:$A$1400,$A871)+COUNTIF(connections!$B$2:$B$1400,$A871))</f>
        <v/>
      </c>
      <c r="E871">
        <f>IF($A871="","",IFERROR(MATCH($C871,$R$2:$R$5,0),0))</f>
        <v/>
      </c>
      <c r="F871">
        <f>IF($A871="","",MOD(ROW(),34))</f>
        <v/>
      </c>
      <c r="G871">
        <f>IF($A871="",NA(),IF($C871="Action",$B871,NA()))</f>
        <v/>
      </c>
      <c r="H871">
        <f>IF($A871="",NA(),IF($C871="Action",1+$F871*0.023,NA()))</f>
        <v/>
      </c>
      <c r="I871">
        <f>IF($A871="",NA(),IF($C871="Strategy",$B871,NA()))</f>
        <v/>
      </c>
      <c r="J871">
        <f>IF($A871="",NA(),IF($C871="Strategy",2+$F871*0.023,NA()))</f>
        <v/>
      </c>
      <c r="K871">
        <f>IF($A871="",NA(),IF($C871="Deckbuilder",$B871,NA()))</f>
        <v/>
      </c>
      <c r="L871">
        <f>IF($A871="",NA(),IF($C871="Deckbuilder",3+$F871*0.023,NA()))</f>
        <v/>
      </c>
      <c r="M871">
        <f>IF($A871="",NA(),IF($C871="Traditional",$B871,NA()))</f>
        <v/>
      </c>
      <c r="N871">
        <f>IF($A871="",NA(),IF($C871="Traditional",4+$F871*0.023,NA()))</f>
        <v/>
      </c>
      <c r="O871">
        <f>IF($A871="","",$D871+ROW()/1000000)</f>
        <v/>
      </c>
      <c r="P871">
        <f>IF(OR($A871="",games!$H871=""),"",games!$H871)</f>
        <v/>
      </c>
      <c r="Q871">
        <f>IF(OR($A871="",$P871&lt;&gt;"Yes"),"",$D871+ROW()/1000000)</f>
        <v/>
      </c>
      <c r="T871">
        <f>IF(connections!$A871="","",IFERROR(INDEX(games!$B$2:$B$950,MATCH(connections!$A871,games!$A$2:$A$950,0)),""))</f>
        <v/>
      </c>
      <c r="U871">
        <f>IF(connections!$A871="","",IFERROR(INDEX(games!$B$2:$B$950,MATCH(connections!$B871,games!$A$2:$A$950,0)),""))</f>
        <v/>
      </c>
      <c r="V871">
        <f>IF(OR($T871="",$U871=""),"",$U871-$T871)</f>
        <v/>
      </c>
    </row>
    <row r="872">
      <c r="A872">
        <f>IF(games!$A872="","",games!$A872)</f>
        <v/>
      </c>
      <c r="B872">
        <f>IF($A872="","",games!$B872)</f>
        <v/>
      </c>
      <c r="C872">
        <f>IF($A872="","",games!$C872)</f>
        <v/>
      </c>
      <c r="D872">
        <f>IF($A872="","",COUNTIF(connections!$A$2:$A$1400,$A872)+COUNTIF(connections!$B$2:$B$1400,$A872))</f>
        <v/>
      </c>
      <c r="E872">
        <f>IF($A872="","",IFERROR(MATCH($C872,$R$2:$R$5,0),0))</f>
        <v/>
      </c>
      <c r="F872">
        <f>IF($A872="","",MOD(ROW(),34))</f>
        <v/>
      </c>
      <c r="G872">
        <f>IF($A872="",NA(),IF($C872="Action",$B872,NA()))</f>
        <v/>
      </c>
      <c r="H872">
        <f>IF($A872="",NA(),IF($C872="Action",1+$F872*0.023,NA()))</f>
        <v/>
      </c>
      <c r="I872">
        <f>IF($A872="",NA(),IF($C872="Strategy",$B872,NA()))</f>
        <v/>
      </c>
      <c r="J872">
        <f>IF($A872="",NA(),IF($C872="Strategy",2+$F872*0.023,NA()))</f>
        <v/>
      </c>
      <c r="K872">
        <f>IF($A872="",NA(),IF($C872="Deckbuilder",$B872,NA()))</f>
        <v/>
      </c>
      <c r="L872">
        <f>IF($A872="",NA(),IF($C872="Deckbuilder",3+$F872*0.023,NA()))</f>
        <v/>
      </c>
      <c r="M872">
        <f>IF($A872="",NA(),IF($C872="Traditional",$B872,NA()))</f>
        <v/>
      </c>
      <c r="N872">
        <f>IF($A872="",NA(),IF($C872="Traditional",4+$F872*0.023,NA()))</f>
        <v/>
      </c>
      <c r="O872">
        <f>IF($A872="","",$D872+ROW()/1000000)</f>
        <v/>
      </c>
      <c r="P872">
        <f>IF(OR($A872="",games!$H872=""),"",games!$H872)</f>
        <v/>
      </c>
      <c r="Q872">
        <f>IF(OR($A872="",$P872&lt;&gt;"Yes"),"",$D872+ROW()/1000000)</f>
        <v/>
      </c>
      <c r="T872">
        <f>IF(connections!$A872="","",IFERROR(INDEX(games!$B$2:$B$950,MATCH(connections!$A872,games!$A$2:$A$950,0)),""))</f>
        <v/>
      </c>
      <c r="U872">
        <f>IF(connections!$A872="","",IFERROR(INDEX(games!$B$2:$B$950,MATCH(connections!$B872,games!$A$2:$A$950,0)),""))</f>
        <v/>
      </c>
      <c r="V872">
        <f>IF(OR($T872="",$U872=""),"",$U872-$T872)</f>
        <v/>
      </c>
    </row>
    <row r="873">
      <c r="A873">
        <f>IF(games!$A873="","",games!$A873)</f>
        <v/>
      </c>
      <c r="B873">
        <f>IF($A873="","",games!$B873)</f>
        <v/>
      </c>
      <c r="C873">
        <f>IF($A873="","",games!$C873)</f>
        <v/>
      </c>
      <c r="D873">
        <f>IF($A873="","",COUNTIF(connections!$A$2:$A$1400,$A873)+COUNTIF(connections!$B$2:$B$1400,$A873))</f>
        <v/>
      </c>
      <c r="E873">
        <f>IF($A873="","",IFERROR(MATCH($C873,$R$2:$R$5,0),0))</f>
        <v/>
      </c>
      <c r="F873">
        <f>IF($A873="","",MOD(ROW(),34))</f>
        <v/>
      </c>
      <c r="G873">
        <f>IF($A873="",NA(),IF($C873="Action",$B873,NA()))</f>
        <v/>
      </c>
      <c r="H873">
        <f>IF($A873="",NA(),IF($C873="Action",1+$F873*0.023,NA()))</f>
        <v/>
      </c>
      <c r="I873">
        <f>IF($A873="",NA(),IF($C873="Strategy",$B873,NA()))</f>
        <v/>
      </c>
      <c r="J873">
        <f>IF($A873="",NA(),IF($C873="Strategy",2+$F873*0.023,NA()))</f>
        <v/>
      </c>
      <c r="K873">
        <f>IF($A873="",NA(),IF($C873="Deckbuilder",$B873,NA()))</f>
        <v/>
      </c>
      <c r="L873">
        <f>IF($A873="",NA(),IF($C873="Deckbuilder",3+$F873*0.023,NA()))</f>
        <v/>
      </c>
      <c r="M873">
        <f>IF($A873="",NA(),IF($C873="Traditional",$B873,NA()))</f>
        <v/>
      </c>
      <c r="N873">
        <f>IF($A873="",NA(),IF($C873="Traditional",4+$F873*0.023,NA()))</f>
        <v/>
      </c>
      <c r="O873">
        <f>IF($A873="","",$D873+ROW()/1000000)</f>
        <v/>
      </c>
      <c r="P873">
        <f>IF(OR($A873="",games!$H873=""),"",games!$H873)</f>
        <v/>
      </c>
      <c r="Q873">
        <f>IF(OR($A873="",$P873&lt;&gt;"Yes"),"",$D873+ROW()/1000000)</f>
        <v/>
      </c>
      <c r="T873">
        <f>IF(connections!$A873="","",IFERROR(INDEX(games!$B$2:$B$950,MATCH(connections!$A873,games!$A$2:$A$950,0)),""))</f>
        <v/>
      </c>
      <c r="U873">
        <f>IF(connections!$A873="","",IFERROR(INDEX(games!$B$2:$B$950,MATCH(connections!$B873,games!$A$2:$A$950,0)),""))</f>
        <v/>
      </c>
      <c r="V873">
        <f>IF(OR($T873="",$U873=""),"",$U873-$T873)</f>
        <v/>
      </c>
    </row>
    <row r="874">
      <c r="A874">
        <f>IF(games!$A874="","",games!$A874)</f>
        <v/>
      </c>
      <c r="B874">
        <f>IF($A874="","",games!$B874)</f>
        <v/>
      </c>
      <c r="C874">
        <f>IF($A874="","",games!$C874)</f>
        <v/>
      </c>
      <c r="D874">
        <f>IF($A874="","",COUNTIF(connections!$A$2:$A$1400,$A874)+COUNTIF(connections!$B$2:$B$1400,$A874))</f>
        <v/>
      </c>
      <c r="E874">
        <f>IF($A874="","",IFERROR(MATCH($C874,$R$2:$R$5,0),0))</f>
        <v/>
      </c>
      <c r="F874">
        <f>IF($A874="","",MOD(ROW(),34))</f>
        <v/>
      </c>
      <c r="G874">
        <f>IF($A874="",NA(),IF($C874="Action",$B874,NA()))</f>
        <v/>
      </c>
      <c r="H874">
        <f>IF($A874="",NA(),IF($C874="Action",1+$F874*0.023,NA()))</f>
        <v/>
      </c>
      <c r="I874">
        <f>IF($A874="",NA(),IF($C874="Strategy",$B874,NA()))</f>
        <v/>
      </c>
      <c r="J874">
        <f>IF($A874="",NA(),IF($C874="Strategy",2+$F874*0.023,NA()))</f>
        <v/>
      </c>
      <c r="K874">
        <f>IF($A874="",NA(),IF($C874="Deckbuilder",$B874,NA()))</f>
        <v/>
      </c>
      <c r="L874">
        <f>IF($A874="",NA(),IF($C874="Deckbuilder",3+$F874*0.023,NA()))</f>
        <v/>
      </c>
      <c r="M874">
        <f>IF($A874="",NA(),IF($C874="Traditional",$B874,NA()))</f>
        <v/>
      </c>
      <c r="N874">
        <f>IF($A874="",NA(),IF($C874="Traditional",4+$F874*0.023,NA()))</f>
        <v/>
      </c>
      <c r="O874">
        <f>IF($A874="","",$D874+ROW()/1000000)</f>
        <v/>
      </c>
      <c r="P874">
        <f>IF(OR($A874="",games!$H874=""),"",games!$H874)</f>
        <v/>
      </c>
      <c r="Q874">
        <f>IF(OR($A874="",$P874&lt;&gt;"Yes"),"",$D874+ROW()/1000000)</f>
        <v/>
      </c>
      <c r="T874">
        <f>IF(connections!$A874="","",IFERROR(INDEX(games!$B$2:$B$950,MATCH(connections!$A874,games!$A$2:$A$950,0)),""))</f>
        <v/>
      </c>
      <c r="U874">
        <f>IF(connections!$A874="","",IFERROR(INDEX(games!$B$2:$B$950,MATCH(connections!$B874,games!$A$2:$A$950,0)),""))</f>
        <v/>
      </c>
      <c r="V874">
        <f>IF(OR($T874="",$U874=""),"",$U874-$T874)</f>
        <v/>
      </c>
    </row>
    <row r="875">
      <c r="A875">
        <f>IF(games!$A875="","",games!$A875)</f>
        <v/>
      </c>
      <c r="B875">
        <f>IF($A875="","",games!$B875)</f>
        <v/>
      </c>
      <c r="C875">
        <f>IF($A875="","",games!$C875)</f>
        <v/>
      </c>
      <c r="D875">
        <f>IF($A875="","",COUNTIF(connections!$A$2:$A$1400,$A875)+COUNTIF(connections!$B$2:$B$1400,$A875))</f>
        <v/>
      </c>
      <c r="E875">
        <f>IF($A875="","",IFERROR(MATCH($C875,$R$2:$R$5,0),0))</f>
        <v/>
      </c>
      <c r="F875">
        <f>IF($A875="","",MOD(ROW(),34))</f>
        <v/>
      </c>
      <c r="G875">
        <f>IF($A875="",NA(),IF($C875="Action",$B875,NA()))</f>
        <v/>
      </c>
      <c r="H875">
        <f>IF($A875="",NA(),IF($C875="Action",1+$F875*0.023,NA()))</f>
        <v/>
      </c>
      <c r="I875">
        <f>IF($A875="",NA(),IF($C875="Strategy",$B875,NA()))</f>
        <v/>
      </c>
      <c r="J875">
        <f>IF($A875="",NA(),IF($C875="Strategy",2+$F875*0.023,NA()))</f>
        <v/>
      </c>
      <c r="K875">
        <f>IF($A875="",NA(),IF($C875="Deckbuilder",$B875,NA()))</f>
        <v/>
      </c>
      <c r="L875">
        <f>IF($A875="",NA(),IF($C875="Deckbuilder",3+$F875*0.023,NA()))</f>
        <v/>
      </c>
      <c r="M875">
        <f>IF($A875="",NA(),IF($C875="Traditional",$B875,NA()))</f>
        <v/>
      </c>
      <c r="N875">
        <f>IF($A875="",NA(),IF($C875="Traditional",4+$F875*0.023,NA()))</f>
        <v/>
      </c>
      <c r="O875">
        <f>IF($A875="","",$D875+ROW()/1000000)</f>
        <v/>
      </c>
      <c r="P875">
        <f>IF(OR($A875="",games!$H875=""),"",games!$H875)</f>
        <v/>
      </c>
      <c r="Q875">
        <f>IF(OR($A875="",$P875&lt;&gt;"Yes"),"",$D875+ROW()/1000000)</f>
        <v/>
      </c>
      <c r="T875">
        <f>IF(connections!$A875="","",IFERROR(INDEX(games!$B$2:$B$950,MATCH(connections!$A875,games!$A$2:$A$950,0)),""))</f>
        <v/>
      </c>
      <c r="U875">
        <f>IF(connections!$A875="","",IFERROR(INDEX(games!$B$2:$B$950,MATCH(connections!$B875,games!$A$2:$A$950,0)),""))</f>
        <v/>
      </c>
      <c r="V875">
        <f>IF(OR($T875="",$U875=""),"",$U875-$T875)</f>
        <v/>
      </c>
    </row>
    <row r="876">
      <c r="A876">
        <f>IF(games!$A876="","",games!$A876)</f>
        <v/>
      </c>
      <c r="B876">
        <f>IF($A876="","",games!$B876)</f>
        <v/>
      </c>
      <c r="C876">
        <f>IF($A876="","",games!$C876)</f>
        <v/>
      </c>
      <c r="D876">
        <f>IF($A876="","",COUNTIF(connections!$A$2:$A$1400,$A876)+COUNTIF(connections!$B$2:$B$1400,$A876))</f>
        <v/>
      </c>
      <c r="E876">
        <f>IF($A876="","",IFERROR(MATCH($C876,$R$2:$R$5,0),0))</f>
        <v/>
      </c>
      <c r="F876">
        <f>IF($A876="","",MOD(ROW(),34))</f>
        <v/>
      </c>
      <c r="G876">
        <f>IF($A876="",NA(),IF($C876="Action",$B876,NA()))</f>
        <v/>
      </c>
      <c r="H876">
        <f>IF($A876="",NA(),IF($C876="Action",1+$F876*0.023,NA()))</f>
        <v/>
      </c>
      <c r="I876">
        <f>IF($A876="",NA(),IF($C876="Strategy",$B876,NA()))</f>
        <v/>
      </c>
      <c r="J876">
        <f>IF($A876="",NA(),IF($C876="Strategy",2+$F876*0.023,NA()))</f>
        <v/>
      </c>
      <c r="K876">
        <f>IF($A876="",NA(),IF($C876="Deckbuilder",$B876,NA()))</f>
        <v/>
      </c>
      <c r="L876">
        <f>IF($A876="",NA(),IF($C876="Deckbuilder",3+$F876*0.023,NA()))</f>
        <v/>
      </c>
      <c r="M876">
        <f>IF($A876="",NA(),IF($C876="Traditional",$B876,NA()))</f>
        <v/>
      </c>
      <c r="N876">
        <f>IF($A876="",NA(),IF($C876="Traditional",4+$F876*0.023,NA()))</f>
        <v/>
      </c>
      <c r="O876">
        <f>IF($A876="","",$D876+ROW()/1000000)</f>
        <v/>
      </c>
      <c r="P876">
        <f>IF(OR($A876="",games!$H876=""),"",games!$H876)</f>
        <v/>
      </c>
      <c r="Q876">
        <f>IF(OR($A876="",$P876&lt;&gt;"Yes"),"",$D876+ROW()/1000000)</f>
        <v/>
      </c>
      <c r="T876">
        <f>IF(connections!$A876="","",IFERROR(INDEX(games!$B$2:$B$950,MATCH(connections!$A876,games!$A$2:$A$950,0)),""))</f>
        <v/>
      </c>
      <c r="U876">
        <f>IF(connections!$A876="","",IFERROR(INDEX(games!$B$2:$B$950,MATCH(connections!$B876,games!$A$2:$A$950,0)),""))</f>
        <v/>
      </c>
      <c r="V876">
        <f>IF(OR($T876="",$U876=""),"",$U876-$T876)</f>
        <v/>
      </c>
    </row>
    <row r="877">
      <c r="A877">
        <f>IF(games!$A877="","",games!$A877)</f>
        <v/>
      </c>
      <c r="B877">
        <f>IF($A877="","",games!$B877)</f>
        <v/>
      </c>
      <c r="C877">
        <f>IF($A877="","",games!$C877)</f>
        <v/>
      </c>
      <c r="D877">
        <f>IF($A877="","",COUNTIF(connections!$A$2:$A$1400,$A877)+COUNTIF(connections!$B$2:$B$1400,$A877))</f>
        <v/>
      </c>
      <c r="E877">
        <f>IF($A877="","",IFERROR(MATCH($C877,$R$2:$R$5,0),0))</f>
        <v/>
      </c>
      <c r="F877">
        <f>IF($A877="","",MOD(ROW(),34))</f>
        <v/>
      </c>
      <c r="G877">
        <f>IF($A877="",NA(),IF($C877="Action",$B877,NA()))</f>
        <v/>
      </c>
      <c r="H877">
        <f>IF($A877="",NA(),IF($C877="Action",1+$F877*0.023,NA()))</f>
        <v/>
      </c>
      <c r="I877">
        <f>IF($A877="",NA(),IF($C877="Strategy",$B877,NA()))</f>
        <v/>
      </c>
      <c r="J877">
        <f>IF($A877="",NA(),IF($C877="Strategy",2+$F877*0.023,NA()))</f>
        <v/>
      </c>
      <c r="K877">
        <f>IF($A877="",NA(),IF($C877="Deckbuilder",$B877,NA()))</f>
        <v/>
      </c>
      <c r="L877">
        <f>IF($A877="",NA(),IF($C877="Deckbuilder",3+$F877*0.023,NA()))</f>
        <v/>
      </c>
      <c r="M877">
        <f>IF($A877="",NA(),IF($C877="Traditional",$B877,NA()))</f>
        <v/>
      </c>
      <c r="N877">
        <f>IF($A877="",NA(),IF($C877="Traditional",4+$F877*0.023,NA()))</f>
        <v/>
      </c>
      <c r="O877">
        <f>IF($A877="","",$D877+ROW()/1000000)</f>
        <v/>
      </c>
      <c r="P877">
        <f>IF(OR($A877="",games!$H877=""),"",games!$H877)</f>
        <v/>
      </c>
      <c r="Q877">
        <f>IF(OR($A877="",$P877&lt;&gt;"Yes"),"",$D877+ROW()/1000000)</f>
        <v/>
      </c>
      <c r="T877">
        <f>IF(connections!$A877="","",IFERROR(INDEX(games!$B$2:$B$950,MATCH(connections!$A877,games!$A$2:$A$950,0)),""))</f>
        <v/>
      </c>
      <c r="U877">
        <f>IF(connections!$A877="","",IFERROR(INDEX(games!$B$2:$B$950,MATCH(connections!$B877,games!$A$2:$A$950,0)),""))</f>
        <v/>
      </c>
      <c r="V877">
        <f>IF(OR($T877="",$U877=""),"",$U877-$T877)</f>
        <v/>
      </c>
    </row>
    <row r="878">
      <c r="A878">
        <f>IF(games!$A878="","",games!$A878)</f>
        <v/>
      </c>
      <c r="B878">
        <f>IF($A878="","",games!$B878)</f>
        <v/>
      </c>
      <c r="C878">
        <f>IF($A878="","",games!$C878)</f>
        <v/>
      </c>
      <c r="D878">
        <f>IF($A878="","",COUNTIF(connections!$A$2:$A$1400,$A878)+COUNTIF(connections!$B$2:$B$1400,$A878))</f>
        <v/>
      </c>
      <c r="E878">
        <f>IF($A878="","",IFERROR(MATCH($C878,$R$2:$R$5,0),0))</f>
        <v/>
      </c>
      <c r="F878">
        <f>IF($A878="","",MOD(ROW(),34))</f>
        <v/>
      </c>
      <c r="G878">
        <f>IF($A878="",NA(),IF($C878="Action",$B878,NA()))</f>
        <v/>
      </c>
      <c r="H878">
        <f>IF($A878="",NA(),IF($C878="Action",1+$F878*0.023,NA()))</f>
        <v/>
      </c>
      <c r="I878">
        <f>IF($A878="",NA(),IF($C878="Strategy",$B878,NA()))</f>
        <v/>
      </c>
      <c r="J878">
        <f>IF($A878="",NA(),IF($C878="Strategy",2+$F878*0.023,NA()))</f>
        <v/>
      </c>
      <c r="K878">
        <f>IF($A878="",NA(),IF($C878="Deckbuilder",$B878,NA()))</f>
        <v/>
      </c>
      <c r="L878">
        <f>IF($A878="",NA(),IF($C878="Deckbuilder",3+$F878*0.023,NA()))</f>
        <v/>
      </c>
      <c r="M878">
        <f>IF($A878="",NA(),IF($C878="Traditional",$B878,NA()))</f>
        <v/>
      </c>
      <c r="N878">
        <f>IF($A878="",NA(),IF($C878="Traditional",4+$F878*0.023,NA()))</f>
        <v/>
      </c>
      <c r="O878">
        <f>IF($A878="","",$D878+ROW()/1000000)</f>
        <v/>
      </c>
      <c r="P878">
        <f>IF(OR($A878="",games!$H878=""),"",games!$H878)</f>
        <v/>
      </c>
      <c r="Q878">
        <f>IF(OR($A878="",$P878&lt;&gt;"Yes"),"",$D878+ROW()/1000000)</f>
        <v/>
      </c>
      <c r="T878">
        <f>IF(connections!$A878="","",IFERROR(INDEX(games!$B$2:$B$950,MATCH(connections!$A878,games!$A$2:$A$950,0)),""))</f>
        <v/>
      </c>
      <c r="U878">
        <f>IF(connections!$A878="","",IFERROR(INDEX(games!$B$2:$B$950,MATCH(connections!$B878,games!$A$2:$A$950,0)),""))</f>
        <v/>
      </c>
      <c r="V878">
        <f>IF(OR($T878="",$U878=""),"",$U878-$T878)</f>
        <v/>
      </c>
    </row>
    <row r="879">
      <c r="A879">
        <f>IF(games!$A879="","",games!$A879)</f>
        <v/>
      </c>
      <c r="B879">
        <f>IF($A879="","",games!$B879)</f>
        <v/>
      </c>
      <c r="C879">
        <f>IF($A879="","",games!$C879)</f>
        <v/>
      </c>
      <c r="D879">
        <f>IF($A879="","",COUNTIF(connections!$A$2:$A$1400,$A879)+COUNTIF(connections!$B$2:$B$1400,$A879))</f>
        <v/>
      </c>
      <c r="E879">
        <f>IF($A879="","",IFERROR(MATCH($C879,$R$2:$R$5,0),0))</f>
        <v/>
      </c>
      <c r="F879">
        <f>IF($A879="","",MOD(ROW(),34))</f>
        <v/>
      </c>
      <c r="G879">
        <f>IF($A879="",NA(),IF($C879="Action",$B879,NA()))</f>
        <v/>
      </c>
      <c r="H879">
        <f>IF($A879="",NA(),IF($C879="Action",1+$F879*0.023,NA()))</f>
        <v/>
      </c>
      <c r="I879">
        <f>IF($A879="",NA(),IF($C879="Strategy",$B879,NA()))</f>
        <v/>
      </c>
      <c r="J879">
        <f>IF($A879="",NA(),IF($C879="Strategy",2+$F879*0.023,NA()))</f>
        <v/>
      </c>
      <c r="K879">
        <f>IF($A879="",NA(),IF($C879="Deckbuilder",$B879,NA()))</f>
        <v/>
      </c>
      <c r="L879">
        <f>IF($A879="",NA(),IF($C879="Deckbuilder",3+$F879*0.023,NA()))</f>
        <v/>
      </c>
      <c r="M879">
        <f>IF($A879="",NA(),IF($C879="Traditional",$B879,NA()))</f>
        <v/>
      </c>
      <c r="N879">
        <f>IF($A879="",NA(),IF($C879="Traditional",4+$F879*0.023,NA()))</f>
        <v/>
      </c>
      <c r="O879">
        <f>IF($A879="","",$D879+ROW()/1000000)</f>
        <v/>
      </c>
      <c r="P879">
        <f>IF(OR($A879="",games!$H879=""),"",games!$H879)</f>
        <v/>
      </c>
      <c r="Q879">
        <f>IF(OR($A879="",$P879&lt;&gt;"Yes"),"",$D879+ROW()/1000000)</f>
        <v/>
      </c>
      <c r="T879">
        <f>IF(connections!$A879="","",IFERROR(INDEX(games!$B$2:$B$950,MATCH(connections!$A879,games!$A$2:$A$950,0)),""))</f>
        <v/>
      </c>
      <c r="U879">
        <f>IF(connections!$A879="","",IFERROR(INDEX(games!$B$2:$B$950,MATCH(connections!$B879,games!$A$2:$A$950,0)),""))</f>
        <v/>
      </c>
      <c r="V879">
        <f>IF(OR($T879="",$U879=""),"",$U879-$T879)</f>
        <v/>
      </c>
    </row>
    <row r="880">
      <c r="A880">
        <f>IF(games!$A880="","",games!$A880)</f>
        <v/>
      </c>
      <c r="B880">
        <f>IF($A880="","",games!$B880)</f>
        <v/>
      </c>
      <c r="C880">
        <f>IF($A880="","",games!$C880)</f>
        <v/>
      </c>
      <c r="D880">
        <f>IF($A880="","",COUNTIF(connections!$A$2:$A$1400,$A880)+COUNTIF(connections!$B$2:$B$1400,$A880))</f>
        <v/>
      </c>
      <c r="E880">
        <f>IF($A880="","",IFERROR(MATCH($C880,$R$2:$R$5,0),0))</f>
        <v/>
      </c>
      <c r="F880">
        <f>IF($A880="","",MOD(ROW(),34))</f>
        <v/>
      </c>
      <c r="G880">
        <f>IF($A880="",NA(),IF($C880="Action",$B880,NA()))</f>
        <v/>
      </c>
      <c r="H880">
        <f>IF($A880="",NA(),IF($C880="Action",1+$F880*0.023,NA()))</f>
        <v/>
      </c>
      <c r="I880">
        <f>IF($A880="",NA(),IF($C880="Strategy",$B880,NA()))</f>
        <v/>
      </c>
      <c r="J880">
        <f>IF($A880="",NA(),IF($C880="Strategy",2+$F880*0.023,NA()))</f>
        <v/>
      </c>
      <c r="K880">
        <f>IF($A880="",NA(),IF($C880="Deckbuilder",$B880,NA()))</f>
        <v/>
      </c>
      <c r="L880">
        <f>IF($A880="",NA(),IF($C880="Deckbuilder",3+$F880*0.023,NA()))</f>
        <v/>
      </c>
      <c r="M880">
        <f>IF($A880="",NA(),IF($C880="Traditional",$B880,NA()))</f>
        <v/>
      </c>
      <c r="N880">
        <f>IF($A880="",NA(),IF($C880="Traditional",4+$F880*0.023,NA()))</f>
        <v/>
      </c>
      <c r="O880">
        <f>IF($A880="","",$D880+ROW()/1000000)</f>
        <v/>
      </c>
      <c r="P880">
        <f>IF(OR($A880="",games!$H880=""),"",games!$H880)</f>
        <v/>
      </c>
      <c r="Q880">
        <f>IF(OR($A880="",$P880&lt;&gt;"Yes"),"",$D880+ROW()/1000000)</f>
        <v/>
      </c>
      <c r="T880">
        <f>IF(connections!$A880="","",IFERROR(INDEX(games!$B$2:$B$950,MATCH(connections!$A880,games!$A$2:$A$950,0)),""))</f>
        <v/>
      </c>
      <c r="U880">
        <f>IF(connections!$A880="","",IFERROR(INDEX(games!$B$2:$B$950,MATCH(connections!$B880,games!$A$2:$A$950,0)),""))</f>
        <v/>
      </c>
      <c r="V880">
        <f>IF(OR($T880="",$U880=""),"",$U880-$T880)</f>
        <v/>
      </c>
    </row>
    <row r="881">
      <c r="A881">
        <f>IF(games!$A881="","",games!$A881)</f>
        <v/>
      </c>
      <c r="B881">
        <f>IF($A881="","",games!$B881)</f>
        <v/>
      </c>
      <c r="C881">
        <f>IF($A881="","",games!$C881)</f>
        <v/>
      </c>
      <c r="D881">
        <f>IF($A881="","",COUNTIF(connections!$A$2:$A$1400,$A881)+COUNTIF(connections!$B$2:$B$1400,$A881))</f>
        <v/>
      </c>
      <c r="E881">
        <f>IF($A881="","",IFERROR(MATCH($C881,$R$2:$R$5,0),0))</f>
        <v/>
      </c>
      <c r="F881">
        <f>IF($A881="","",MOD(ROW(),34))</f>
        <v/>
      </c>
      <c r="G881">
        <f>IF($A881="",NA(),IF($C881="Action",$B881,NA()))</f>
        <v/>
      </c>
      <c r="H881">
        <f>IF($A881="",NA(),IF($C881="Action",1+$F881*0.023,NA()))</f>
        <v/>
      </c>
      <c r="I881">
        <f>IF($A881="",NA(),IF($C881="Strategy",$B881,NA()))</f>
        <v/>
      </c>
      <c r="J881">
        <f>IF($A881="",NA(),IF($C881="Strategy",2+$F881*0.023,NA()))</f>
        <v/>
      </c>
      <c r="K881">
        <f>IF($A881="",NA(),IF($C881="Deckbuilder",$B881,NA()))</f>
        <v/>
      </c>
      <c r="L881">
        <f>IF($A881="",NA(),IF($C881="Deckbuilder",3+$F881*0.023,NA()))</f>
        <v/>
      </c>
      <c r="M881">
        <f>IF($A881="",NA(),IF($C881="Traditional",$B881,NA()))</f>
        <v/>
      </c>
      <c r="N881">
        <f>IF($A881="",NA(),IF($C881="Traditional",4+$F881*0.023,NA()))</f>
        <v/>
      </c>
      <c r="O881">
        <f>IF($A881="","",$D881+ROW()/1000000)</f>
        <v/>
      </c>
      <c r="P881">
        <f>IF(OR($A881="",games!$H881=""),"",games!$H881)</f>
        <v/>
      </c>
      <c r="Q881">
        <f>IF(OR($A881="",$P881&lt;&gt;"Yes"),"",$D881+ROW()/1000000)</f>
        <v/>
      </c>
      <c r="T881">
        <f>IF(connections!$A881="","",IFERROR(INDEX(games!$B$2:$B$950,MATCH(connections!$A881,games!$A$2:$A$950,0)),""))</f>
        <v/>
      </c>
      <c r="U881">
        <f>IF(connections!$A881="","",IFERROR(INDEX(games!$B$2:$B$950,MATCH(connections!$B881,games!$A$2:$A$950,0)),""))</f>
        <v/>
      </c>
      <c r="V881">
        <f>IF(OR($T881="",$U881=""),"",$U881-$T881)</f>
        <v/>
      </c>
    </row>
    <row r="882">
      <c r="A882">
        <f>IF(games!$A882="","",games!$A882)</f>
        <v/>
      </c>
      <c r="B882">
        <f>IF($A882="","",games!$B882)</f>
        <v/>
      </c>
      <c r="C882">
        <f>IF($A882="","",games!$C882)</f>
        <v/>
      </c>
      <c r="D882">
        <f>IF($A882="","",COUNTIF(connections!$A$2:$A$1400,$A882)+COUNTIF(connections!$B$2:$B$1400,$A882))</f>
        <v/>
      </c>
      <c r="E882">
        <f>IF($A882="","",IFERROR(MATCH($C882,$R$2:$R$5,0),0))</f>
        <v/>
      </c>
      <c r="F882">
        <f>IF($A882="","",MOD(ROW(),34))</f>
        <v/>
      </c>
      <c r="G882">
        <f>IF($A882="",NA(),IF($C882="Action",$B882,NA()))</f>
        <v/>
      </c>
      <c r="H882">
        <f>IF($A882="",NA(),IF($C882="Action",1+$F882*0.023,NA()))</f>
        <v/>
      </c>
      <c r="I882">
        <f>IF($A882="",NA(),IF($C882="Strategy",$B882,NA()))</f>
        <v/>
      </c>
      <c r="J882">
        <f>IF($A882="",NA(),IF($C882="Strategy",2+$F882*0.023,NA()))</f>
        <v/>
      </c>
      <c r="K882">
        <f>IF($A882="",NA(),IF($C882="Deckbuilder",$B882,NA()))</f>
        <v/>
      </c>
      <c r="L882">
        <f>IF($A882="",NA(),IF($C882="Deckbuilder",3+$F882*0.023,NA()))</f>
        <v/>
      </c>
      <c r="M882">
        <f>IF($A882="",NA(),IF($C882="Traditional",$B882,NA()))</f>
        <v/>
      </c>
      <c r="N882">
        <f>IF($A882="",NA(),IF($C882="Traditional",4+$F882*0.023,NA()))</f>
        <v/>
      </c>
      <c r="O882">
        <f>IF($A882="","",$D882+ROW()/1000000)</f>
        <v/>
      </c>
      <c r="P882">
        <f>IF(OR($A882="",games!$H882=""),"",games!$H882)</f>
        <v/>
      </c>
      <c r="Q882">
        <f>IF(OR($A882="",$P882&lt;&gt;"Yes"),"",$D882+ROW()/1000000)</f>
        <v/>
      </c>
      <c r="T882">
        <f>IF(connections!$A882="","",IFERROR(INDEX(games!$B$2:$B$950,MATCH(connections!$A882,games!$A$2:$A$950,0)),""))</f>
        <v/>
      </c>
      <c r="U882">
        <f>IF(connections!$A882="","",IFERROR(INDEX(games!$B$2:$B$950,MATCH(connections!$B882,games!$A$2:$A$950,0)),""))</f>
        <v/>
      </c>
      <c r="V882">
        <f>IF(OR($T882="",$U882=""),"",$U882-$T882)</f>
        <v/>
      </c>
    </row>
    <row r="883">
      <c r="A883">
        <f>IF(games!$A883="","",games!$A883)</f>
        <v/>
      </c>
      <c r="B883">
        <f>IF($A883="","",games!$B883)</f>
        <v/>
      </c>
      <c r="C883">
        <f>IF($A883="","",games!$C883)</f>
        <v/>
      </c>
      <c r="D883">
        <f>IF($A883="","",COUNTIF(connections!$A$2:$A$1400,$A883)+COUNTIF(connections!$B$2:$B$1400,$A883))</f>
        <v/>
      </c>
      <c r="E883">
        <f>IF($A883="","",IFERROR(MATCH($C883,$R$2:$R$5,0),0))</f>
        <v/>
      </c>
      <c r="F883">
        <f>IF($A883="","",MOD(ROW(),34))</f>
        <v/>
      </c>
      <c r="G883">
        <f>IF($A883="",NA(),IF($C883="Action",$B883,NA()))</f>
        <v/>
      </c>
      <c r="H883">
        <f>IF($A883="",NA(),IF($C883="Action",1+$F883*0.023,NA()))</f>
        <v/>
      </c>
      <c r="I883">
        <f>IF($A883="",NA(),IF($C883="Strategy",$B883,NA()))</f>
        <v/>
      </c>
      <c r="J883">
        <f>IF($A883="",NA(),IF($C883="Strategy",2+$F883*0.023,NA()))</f>
        <v/>
      </c>
      <c r="K883">
        <f>IF($A883="",NA(),IF($C883="Deckbuilder",$B883,NA()))</f>
        <v/>
      </c>
      <c r="L883">
        <f>IF($A883="",NA(),IF($C883="Deckbuilder",3+$F883*0.023,NA()))</f>
        <v/>
      </c>
      <c r="M883">
        <f>IF($A883="",NA(),IF($C883="Traditional",$B883,NA()))</f>
        <v/>
      </c>
      <c r="N883">
        <f>IF($A883="",NA(),IF($C883="Traditional",4+$F883*0.023,NA()))</f>
        <v/>
      </c>
      <c r="O883">
        <f>IF($A883="","",$D883+ROW()/1000000)</f>
        <v/>
      </c>
      <c r="P883">
        <f>IF(OR($A883="",games!$H883=""),"",games!$H883)</f>
        <v/>
      </c>
      <c r="Q883">
        <f>IF(OR($A883="",$P883&lt;&gt;"Yes"),"",$D883+ROW()/1000000)</f>
        <v/>
      </c>
      <c r="T883">
        <f>IF(connections!$A883="","",IFERROR(INDEX(games!$B$2:$B$950,MATCH(connections!$A883,games!$A$2:$A$950,0)),""))</f>
        <v/>
      </c>
      <c r="U883">
        <f>IF(connections!$A883="","",IFERROR(INDEX(games!$B$2:$B$950,MATCH(connections!$B883,games!$A$2:$A$950,0)),""))</f>
        <v/>
      </c>
      <c r="V883">
        <f>IF(OR($T883="",$U883=""),"",$U883-$T883)</f>
        <v/>
      </c>
    </row>
    <row r="884">
      <c r="A884">
        <f>IF(games!$A884="","",games!$A884)</f>
        <v/>
      </c>
      <c r="B884">
        <f>IF($A884="","",games!$B884)</f>
        <v/>
      </c>
      <c r="C884">
        <f>IF($A884="","",games!$C884)</f>
        <v/>
      </c>
      <c r="D884">
        <f>IF($A884="","",COUNTIF(connections!$A$2:$A$1400,$A884)+COUNTIF(connections!$B$2:$B$1400,$A884))</f>
        <v/>
      </c>
      <c r="E884">
        <f>IF($A884="","",IFERROR(MATCH($C884,$R$2:$R$5,0),0))</f>
        <v/>
      </c>
      <c r="F884">
        <f>IF($A884="","",MOD(ROW(),34))</f>
        <v/>
      </c>
      <c r="G884">
        <f>IF($A884="",NA(),IF($C884="Action",$B884,NA()))</f>
        <v/>
      </c>
      <c r="H884">
        <f>IF($A884="",NA(),IF($C884="Action",1+$F884*0.023,NA()))</f>
        <v/>
      </c>
      <c r="I884">
        <f>IF($A884="",NA(),IF($C884="Strategy",$B884,NA()))</f>
        <v/>
      </c>
      <c r="J884">
        <f>IF($A884="",NA(),IF($C884="Strategy",2+$F884*0.023,NA()))</f>
        <v/>
      </c>
      <c r="K884">
        <f>IF($A884="",NA(),IF($C884="Deckbuilder",$B884,NA()))</f>
        <v/>
      </c>
      <c r="L884">
        <f>IF($A884="",NA(),IF($C884="Deckbuilder",3+$F884*0.023,NA()))</f>
        <v/>
      </c>
      <c r="M884">
        <f>IF($A884="",NA(),IF($C884="Traditional",$B884,NA()))</f>
        <v/>
      </c>
      <c r="N884">
        <f>IF($A884="",NA(),IF($C884="Traditional",4+$F884*0.023,NA()))</f>
        <v/>
      </c>
      <c r="O884">
        <f>IF($A884="","",$D884+ROW()/1000000)</f>
        <v/>
      </c>
      <c r="P884">
        <f>IF(OR($A884="",games!$H884=""),"",games!$H884)</f>
        <v/>
      </c>
      <c r="Q884">
        <f>IF(OR($A884="",$P884&lt;&gt;"Yes"),"",$D884+ROW()/1000000)</f>
        <v/>
      </c>
      <c r="T884">
        <f>IF(connections!$A884="","",IFERROR(INDEX(games!$B$2:$B$950,MATCH(connections!$A884,games!$A$2:$A$950,0)),""))</f>
        <v/>
      </c>
      <c r="U884">
        <f>IF(connections!$A884="","",IFERROR(INDEX(games!$B$2:$B$950,MATCH(connections!$B884,games!$A$2:$A$950,0)),""))</f>
        <v/>
      </c>
      <c r="V884">
        <f>IF(OR($T884="",$U884=""),"",$U884-$T884)</f>
        <v/>
      </c>
    </row>
    <row r="885">
      <c r="A885">
        <f>IF(games!$A885="","",games!$A885)</f>
        <v/>
      </c>
      <c r="B885">
        <f>IF($A885="","",games!$B885)</f>
        <v/>
      </c>
      <c r="C885">
        <f>IF($A885="","",games!$C885)</f>
        <v/>
      </c>
      <c r="D885">
        <f>IF($A885="","",COUNTIF(connections!$A$2:$A$1400,$A885)+COUNTIF(connections!$B$2:$B$1400,$A885))</f>
        <v/>
      </c>
      <c r="E885">
        <f>IF($A885="","",IFERROR(MATCH($C885,$R$2:$R$5,0),0))</f>
        <v/>
      </c>
      <c r="F885">
        <f>IF($A885="","",MOD(ROW(),34))</f>
        <v/>
      </c>
      <c r="G885">
        <f>IF($A885="",NA(),IF($C885="Action",$B885,NA()))</f>
        <v/>
      </c>
      <c r="H885">
        <f>IF($A885="",NA(),IF($C885="Action",1+$F885*0.023,NA()))</f>
        <v/>
      </c>
      <c r="I885">
        <f>IF($A885="",NA(),IF($C885="Strategy",$B885,NA()))</f>
        <v/>
      </c>
      <c r="J885">
        <f>IF($A885="",NA(),IF($C885="Strategy",2+$F885*0.023,NA()))</f>
        <v/>
      </c>
      <c r="K885">
        <f>IF($A885="",NA(),IF($C885="Deckbuilder",$B885,NA()))</f>
        <v/>
      </c>
      <c r="L885">
        <f>IF($A885="",NA(),IF($C885="Deckbuilder",3+$F885*0.023,NA()))</f>
        <v/>
      </c>
      <c r="M885">
        <f>IF($A885="",NA(),IF($C885="Traditional",$B885,NA()))</f>
        <v/>
      </c>
      <c r="N885">
        <f>IF($A885="",NA(),IF($C885="Traditional",4+$F885*0.023,NA()))</f>
        <v/>
      </c>
      <c r="O885">
        <f>IF($A885="","",$D885+ROW()/1000000)</f>
        <v/>
      </c>
      <c r="P885">
        <f>IF(OR($A885="",games!$H885=""),"",games!$H885)</f>
        <v/>
      </c>
      <c r="Q885">
        <f>IF(OR($A885="",$P885&lt;&gt;"Yes"),"",$D885+ROW()/1000000)</f>
        <v/>
      </c>
      <c r="T885">
        <f>IF(connections!$A885="","",IFERROR(INDEX(games!$B$2:$B$950,MATCH(connections!$A885,games!$A$2:$A$950,0)),""))</f>
        <v/>
      </c>
      <c r="U885">
        <f>IF(connections!$A885="","",IFERROR(INDEX(games!$B$2:$B$950,MATCH(connections!$B885,games!$A$2:$A$950,0)),""))</f>
        <v/>
      </c>
      <c r="V885">
        <f>IF(OR($T885="",$U885=""),"",$U885-$T885)</f>
        <v/>
      </c>
    </row>
    <row r="886">
      <c r="A886">
        <f>IF(games!$A886="","",games!$A886)</f>
        <v/>
      </c>
      <c r="B886">
        <f>IF($A886="","",games!$B886)</f>
        <v/>
      </c>
      <c r="C886">
        <f>IF($A886="","",games!$C886)</f>
        <v/>
      </c>
      <c r="D886">
        <f>IF($A886="","",COUNTIF(connections!$A$2:$A$1400,$A886)+COUNTIF(connections!$B$2:$B$1400,$A886))</f>
        <v/>
      </c>
      <c r="E886">
        <f>IF($A886="","",IFERROR(MATCH($C886,$R$2:$R$5,0),0))</f>
        <v/>
      </c>
      <c r="F886">
        <f>IF($A886="","",MOD(ROW(),34))</f>
        <v/>
      </c>
      <c r="G886">
        <f>IF($A886="",NA(),IF($C886="Action",$B886,NA()))</f>
        <v/>
      </c>
      <c r="H886">
        <f>IF($A886="",NA(),IF($C886="Action",1+$F886*0.023,NA()))</f>
        <v/>
      </c>
      <c r="I886">
        <f>IF($A886="",NA(),IF($C886="Strategy",$B886,NA()))</f>
        <v/>
      </c>
      <c r="J886">
        <f>IF($A886="",NA(),IF($C886="Strategy",2+$F886*0.023,NA()))</f>
        <v/>
      </c>
      <c r="K886">
        <f>IF($A886="",NA(),IF($C886="Deckbuilder",$B886,NA()))</f>
        <v/>
      </c>
      <c r="L886">
        <f>IF($A886="",NA(),IF($C886="Deckbuilder",3+$F886*0.023,NA()))</f>
        <v/>
      </c>
      <c r="M886">
        <f>IF($A886="",NA(),IF($C886="Traditional",$B886,NA()))</f>
        <v/>
      </c>
      <c r="N886">
        <f>IF($A886="",NA(),IF($C886="Traditional",4+$F886*0.023,NA()))</f>
        <v/>
      </c>
      <c r="O886">
        <f>IF($A886="","",$D886+ROW()/1000000)</f>
        <v/>
      </c>
      <c r="P886">
        <f>IF(OR($A886="",games!$H886=""),"",games!$H886)</f>
        <v/>
      </c>
      <c r="Q886">
        <f>IF(OR($A886="",$P886&lt;&gt;"Yes"),"",$D886+ROW()/1000000)</f>
        <v/>
      </c>
      <c r="T886">
        <f>IF(connections!$A886="","",IFERROR(INDEX(games!$B$2:$B$950,MATCH(connections!$A886,games!$A$2:$A$950,0)),""))</f>
        <v/>
      </c>
      <c r="U886">
        <f>IF(connections!$A886="","",IFERROR(INDEX(games!$B$2:$B$950,MATCH(connections!$B886,games!$A$2:$A$950,0)),""))</f>
        <v/>
      </c>
      <c r="V886">
        <f>IF(OR($T886="",$U886=""),"",$U886-$T886)</f>
        <v/>
      </c>
    </row>
    <row r="887">
      <c r="A887">
        <f>IF(games!$A887="","",games!$A887)</f>
        <v/>
      </c>
      <c r="B887">
        <f>IF($A887="","",games!$B887)</f>
        <v/>
      </c>
      <c r="C887">
        <f>IF($A887="","",games!$C887)</f>
        <v/>
      </c>
      <c r="D887">
        <f>IF($A887="","",COUNTIF(connections!$A$2:$A$1400,$A887)+COUNTIF(connections!$B$2:$B$1400,$A887))</f>
        <v/>
      </c>
      <c r="E887">
        <f>IF($A887="","",IFERROR(MATCH($C887,$R$2:$R$5,0),0))</f>
        <v/>
      </c>
      <c r="F887">
        <f>IF($A887="","",MOD(ROW(),34))</f>
        <v/>
      </c>
      <c r="G887">
        <f>IF($A887="",NA(),IF($C887="Action",$B887,NA()))</f>
        <v/>
      </c>
      <c r="H887">
        <f>IF($A887="",NA(),IF($C887="Action",1+$F887*0.023,NA()))</f>
        <v/>
      </c>
      <c r="I887">
        <f>IF($A887="",NA(),IF($C887="Strategy",$B887,NA()))</f>
        <v/>
      </c>
      <c r="J887">
        <f>IF($A887="",NA(),IF($C887="Strategy",2+$F887*0.023,NA()))</f>
        <v/>
      </c>
      <c r="K887">
        <f>IF($A887="",NA(),IF($C887="Deckbuilder",$B887,NA()))</f>
        <v/>
      </c>
      <c r="L887">
        <f>IF($A887="",NA(),IF($C887="Deckbuilder",3+$F887*0.023,NA()))</f>
        <v/>
      </c>
      <c r="M887">
        <f>IF($A887="",NA(),IF($C887="Traditional",$B887,NA()))</f>
        <v/>
      </c>
      <c r="N887">
        <f>IF($A887="",NA(),IF($C887="Traditional",4+$F887*0.023,NA()))</f>
        <v/>
      </c>
      <c r="O887">
        <f>IF($A887="","",$D887+ROW()/1000000)</f>
        <v/>
      </c>
      <c r="P887">
        <f>IF(OR($A887="",games!$H887=""),"",games!$H887)</f>
        <v/>
      </c>
      <c r="Q887">
        <f>IF(OR($A887="",$P887&lt;&gt;"Yes"),"",$D887+ROW()/1000000)</f>
        <v/>
      </c>
      <c r="T887">
        <f>IF(connections!$A887="","",IFERROR(INDEX(games!$B$2:$B$950,MATCH(connections!$A887,games!$A$2:$A$950,0)),""))</f>
        <v/>
      </c>
      <c r="U887">
        <f>IF(connections!$A887="","",IFERROR(INDEX(games!$B$2:$B$950,MATCH(connections!$B887,games!$A$2:$A$950,0)),""))</f>
        <v/>
      </c>
      <c r="V887">
        <f>IF(OR($T887="",$U887=""),"",$U887-$T887)</f>
        <v/>
      </c>
    </row>
    <row r="888">
      <c r="A888">
        <f>IF(games!$A888="","",games!$A888)</f>
        <v/>
      </c>
      <c r="B888">
        <f>IF($A888="","",games!$B888)</f>
        <v/>
      </c>
      <c r="C888">
        <f>IF($A888="","",games!$C888)</f>
        <v/>
      </c>
      <c r="D888">
        <f>IF($A888="","",COUNTIF(connections!$A$2:$A$1400,$A888)+COUNTIF(connections!$B$2:$B$1400,$A888))</f>
        <v/>
      </c>
      <c r="E888">
        <f>IF($A888="","",IFERROR(MATCH($C888,$R$2:$R$5,0),0))</f>
        <v/>
      </c>
      <c r="F888">
        <f>IF($A888="","",MOD(ROW(),34))</f>
        <v/>
      </c>
      <c r="G888">
        <f>IF($A888="",NA(),IF($C888="Action",$B888,NA()))</f>
        <v/>
      </c>
      <c r="H888">
        <f>IF($A888="",NA(),IF($C888="Action",1+$F888*0.023,NA()))</f>
        <v/>
      </c>
      <c r="I888">
        <f>IF($A888="",NA(),IF($C888="Strategy",$B888,NA()))</f>
        <v/>
      </c>
      <c r="J888">
        <f>IF($A888="",NA(),IF($C888="Strategy",2+$F888*0.023,NA()))</f>
        <v/>
      </c>
      <c r="K888">
        <f>IF($A888="",NA(),IF($C888="Deckbuilder",$B888,NA()))</f>
        <v/>
      </c>
      <c r="L888">
        <f>IF($A888="",NA(),IF($C888="Deckbuilder",3+$F888*0.023,NA()))</f>
        <v/>
      </c>
      <c r="M888">
        <f>IF($A888="",NA(),IF($C888="Traditional",$B888,NA()))</f>
        <v/>
      </c>
      <c r="N888">
        <f>IF($A888="",NA(),IF($C888="Traditional",4+$F888*0.023,NA()))</f>
        <v/>
      </c>
      <c r="O888">
        <f>IF($A888="","",$D888+ROW()/1000000)</f>
        <v/>
      </c>
      <c r="P888">
        <f>IF(OR($A888="",games!$H888=""),"",games!$H888)</f>
        <v/>
      </c>
      <c r="Q888">
        <f>IF(OR($A888="",$P888&lt;&gt;"Yes"),"",$D888+ROW()/1000000)</f>
        <v/>
      </c>
      <c r="T888">
        <f>IF(connections!$A888="","",IFERROR(INDEX(games!$B$2:$B$950,MATCH(connections!$A888,games!$A$2:$A$950,0)),""))</f>
        <v/>
      </c>
      <c r="U888">
        <f>IF(connections!$A888="","",IFERROR(INDEX(games!$B$2:$B$950,MATCH(connections!$B888,games!$A$2:$A$950,0)),""))</f>
        <v/>
      </c>
      <c r="V888">
        <f>IF(OR($T888="",$U888=""),"",$U888-$T888)</f>
        <v/>
      </c>
    </row>
    <row r="889">
      <c r="A889">
        <f>IF(games!$A889="","",games!$A889)</f>
        <v/>
      </c>
      <c r="B889">
        <f>IF($A889="","",games!$B889)</f>
        <v/>
      </c>
      <c r="C889">
        <f>IF($A889="","",games!$C889)</f>
        <v/>
      </c>
      <c r="D889">
        <f>IF($A889="","",COUNTIF(connections!$A$2:$A$1400,$A889)+COUNTIF(connections!$B$2:$B$1400,$A889))</f>
        <v/>
      </c>
      <c r="E889">
        <f>IF($A889="","",IFERROR(MATCH($C889,$R$2:$R$5,0),0))</f>
        <v/>
      </c>
      <c r="F889">
        <f>IF($A889="","",MOD(ROW(),34))</f>
        <v/>
      </c>
      <c r="G889">
        <f>IF($A889="",NA(),IF($C889="Action",$B889,NA()))</f>
        <v/>
      </c>
      <c r="H889">
        <f>IF($A889="",NA(),IF($C889="Action",1+$F889*0.023,NA()))</f>
        <v/>
      </c>
      <c r="I889">
        <f>IF($A889="",NA(),IF($C889="Strategy",$B889,NA()))</f>
        <v/>
      </c>
      <c r="J889">
        <f>IF($A889="",NA(),IF($C889="Strategy",2+$F889*0.023,NA()))</f>
        <v/>
      </c>
      <c r="K889">
        <f>IF($A889="",NA(),IF($C889="Deckbuilder",$B889,NA()))</f>
        <v/>
      </c>
      <c r="L889">
        <f>IF($A889="",NA(),IF($C889="Deckbuilder",3+$F889*0.023,NA()))</f>
        <v/>
      </c>
      <c r="M889">
        <f>IF($A889="",NA(),IF($C889="Traditional",$B889,NA()))</f>
        <v/>
      </c>
      <c r="N889">
        <f>IF($A889="",NA(),IF($C889="Traditional",4+$F889*0.023,NA()))</f>
        <v/>
      </c>
      <c r="O889">
        <f>IF($A889="","",$D889+ROW()/1000000)</f>
        <v/>
      </c>
      <c r="P889">
        <f>IF(OR($A889="",games!$H889=""),"",games!$H889)</f>
        <v/>
      </c>
      <c r="Q889">
        <f>IF(OR($A889="",$P889&lt;&gt;"Yes"),"",$D889+ROW()/1000000)</f>
        <v/>
      </c>
      <c r="T889">
        <f>IF(connections!$A889="","",IFERROR(INDEX(games!$B$2:$B$950,MATCH(connections!$A889,games!$A$2:$A$950,0)),""))</f>
        <v/>
      </c>
      <c r="U889">
        <f>IF(connections!$A889="","",IFERROR(INDEX(games!$B$2:$B$950,MATCH(connections!$B889,games!$A$2:$A$950,0)),""))</f>
        <v/>
      </c>
      <c r="V889">
        <f>IF(OR($T889="",$U889=""),"",$U889-$T889)</f>
        <v/>
      </c>
    </row>
    <row r="890">
      <c r="A890">
        <f>IF(games!$A890="","",games!$A890)</f>
        <v/>
      </c>
      <c r="B890">
        <f>IF($A890="","",games!$B890)</f>
        <v/>
      </c>
      <c r="C890">
        <f>IF($A890="","",games!$C890)</f>
        <v/>
      </c>
      <c r="D890">
        <f>IF($A890="","",COUNTIF(connections!$A$2:$A$1400,$A890)+COUNTIF(connections!$B$2:$B$1400,$A890))</f>
        <v/>
      </c>
      <c r="E890">
        <f>IF($A890="","",IFERROR(MATCH($C890,$R$2:$R$5,0),0))</f>
        <v/>
      </c>
      <c r="F890">
        <f>IF($A890="","",MOD(ROW(),34))</f>
        <v/>
      </c>
      <c r="G890">
        <f>IF($A890="",NA(),IF($C890="Action",$B890,NA()))</f>
        <v/>
      </c>
      <c r="H890">
        <f>IF($A890="",NA(),IF($C890="Action",1+$F890*0.023,NA()))</f>
        <v/>
      </c>
      <c r="I890">
        <f>IF($A890="",NA(),IF($C890="Strategy",$B890,NA()))</f>
        <v/>
      </c>
      <c r="J890">
        <f>IF($A890="",NA(),IF($C890="Strategy",2+$F890*0.023,NA()))</f>
        <v/>
      </c>
      <c r="K890">
        <f>IF($A890="",NA(),IF($C890="Deckbuilder",$B890,NA()))</f>
        <v/>
      </c>
      <c r="L890">
        <f>IF($A890="",NA(),IF($C890="Deckbuilder",3+$F890*0.023,NA()))</f>
        <v/>
      </c>
      <c r="M890">
        <f>IF($A890="",NA(),IF($C890="Traditional",$B890,NA()))</f>
        <v/>
      </c>
      <c r="N890">
        <f>IF($A890="",NA(),IF($C890="Traditional",4+$F890*0.023,NA()))</f>
        <v/>
      </c>
      <c r="O890">
        <f>IF($A890="","",$D890+ROW()/1000000)</f>
        <v/>
      </c>
      <c r="P890">
        <f>IF(OR($A890="",games!$H890=""),"",games!$H890)</f>
        <v/>
      </c>
      <c r="Q890">
        <f>IF(OR($A890="",$P890&lt;&gt;"Yes"),"",$D890+ROW()/1000000)</f>
        <v/>
      </c>
      <c r="T890">
        <f>IF(connections!$A890="","",IFERROR(INDEX(games!$B$2:$B$950,MATCH(connections!$A890,games!$A$2:$A$950,0)),""))</f>
        <v/>
      </c>
      <c r="U890">
        <f>IF(connections!$A890="","",IFERROR(INDEX(games!$B$2:$B$950,MATCH(connections!$B890,games!$A$2:$A$950,0)),""))</f>
        <v/>
      </c>
      <c r="V890">
        <f>IF(OR($T890="",$U890=""),"",$U890-$T890)</f>
        <v/>
      </c>
    </row>
    <row r="891">
      <c r="A891">
        <f>IF(games!$A891="","",games!$A891)</f>
        <v/>
      </c>
      <c r="B891">
        <f>IF($A891="","",games!$B891)</f>
        <v/>
      </c>
      <c r="C891">
        <f>IF($A891="","",games!$C891)</f>
        <v/>
      </c>
      <c r="D891">
        <f>IF($A891="","",COUNTIF(connections!$A$2:$A$1400,$A891)+COUNTIF(connections!$B$2:$B$1400,$A891))</f>
        <v/>
      </c>
      <c r="E891">
        <f>IF($A891="","",IFERROR(MATCH($C891,$R$2:$R$5,0),0))</f>
        <v/>
      </c>
      <c r="F891">
        <f>IF($A891="","",MOD(ROW(),34))</f>
        <v/>
      </c>
      <c r="G891">
        <f>IF($A891="",NA(),IF($C891="Action",$B891,NA()))</f>
        <v/>
      </c>
      <c r="H891">
        <f>IF($A891="",NA(),IF($C891="Action",1+$F891*0.023,NA()))</f>
        <v/>
      </c>
      <c r="I891">
        <f>IF($A891="",NA(),IF($C891="Strategy",$B891,NA()))</f>
        <v/>
      </c>
      <c r="J891">
        <f>IF($A891="",NA(),IF($C891="Strategy",2+$F891*0.023,NA()))</f>
        <v/>
      </c>
      <c r="K891">
        <f>IF($A891="",NA(),IF($C891="Deckbuilder",$B891,NA()))</f>
        <v/>
      </c>
      <c r="L891">
        <f>IF($A891="",NA(),IF($C891="Deckbuilder",3+$F891*0.023,NA()))</f>
        <v/>
      </c>
      <c r="M891">
        <f>IF($A891="",NA(),IF($C891="Traditional",$B891,NA()))</f>
        <v/>
      </c>
      <c r="N891">
        <f>IF($A891="",NA(),IF($C891="Traditional",4+$F891*0.023,NA()))</f>
        <v/>
      </c>
      <c r="O891">
        <f>IF($A891="","",$D891+ROW()/1000000)</f>
        <v/>
      </c>
      <c r="P891">
        <f>IF(OR($A891="",games!$H891=""),"",games!$H891)</f>
        <v/>
      </c>
      <c r="Q891">
        <f>IF(OR($A891="",$P891&lt;&gt;"Yes"),"",$D891+ROW()/1000000)</f>
        <v/>
      </c>
      <c r="T891">
        <f>IF(connections!$A891="","",IFERROR(INDEX(games!$B$2:$B$950,MATCH(connections!$A891,games!$A$2:$A$950,0)),""))</f>
        <v/>
      </c>
      <c r="U891">
        <f>IF(connections!$A891="","",IFERROR(INDEX(games!$B$2:$B$950,MATCH(connections!$B891,games!$A$2:$A$950,0)),""))</f>
        <v/>
      </c>
      <c r="V891">
        <f>IF(OR($T891="",$U891=""),"",$U891-$T891)</f>
        <v/>
      </c>
    </row>
    <row r="892">
      <c r="A892">
        <f>IF(games!$A892="","",games!$A892)</f>
        <v/>
      </c>
      <c r="B892">
        <f>IF($A892="","",games!$B892)</f>
        <v/>
      </c>
      <c r="C892">
        <f>IF($A892="","",games!$C892)</f>
        <v/>
      </c>
      <c r="D892">
        <f>IF($A892="","",COUNTIF(connections!$A$2:$A$1400,$A892)+COUNTIF(connections!$B$2:$B$1400,$A892))</f>
        <v/>
      </c>
      <c r="E892">
        <f>IF($A892="","",IFERROR(MATCH($C892,$R$2:$R$5,0),0))</f>
        <v/>
      </c>
      <c r="F892">
        <f>IF($A892="","",MOD(ROW(),34))</f>
        <v/>
      </c>
      <c r="G892">
        <f>IF($A892="",NA(),IF($C892="Action",$B892,NA()))</f>
        <v/>
      </c>
      <c r="H892">
        <f>IF($A892="",NA(),IF($C892="Action",1+$F892*0.023,NA()))</f>
        <v/>
      </c>
      <c r="I892">
        <f>IF($A892="",NA(),IF($C892="Strategy",$B892,NA()))</f>
        <v/>
      </c>
      <c r="J892">
        <f>IF($A892="",NA(),IF($C892="Strategy",2+$F892*0.023,NA()))</f>
        <v/>
      </c>
      <c r="K892">
        <f>IF($A892="",NA(),IF($C892="Deckbuilder",$B892,NA()))</f>
        <v/>
      </c>
      <c r="L892">
        <f>IF($A892="",NA(),IF($C892="Deckbuilder",3+$F892*0.023,NA()))</f>
        <v/>
      </c>
      <c r="M892">
        <f>IF($A892="",NA(),IF($C892="Traditional",$B892,NA()))</f>
        <v/>
      </c>
      <c r="N892">
        <f>IF($A892="",NA(),IF($C892="Traditional",4+$F892*0.023,NA()))</f>
        <v/>
      </c>
      <c r="O892">
        <f>IF($A892="","",$D892+ROW()/1000000)</f>
        <v/>
      </c>
      <c r="P892">
        <f>IF(OR($A892="",games!$H892=""),"",games!$H892)</f>
        <v/>
      </c>
      <c r="Q892">
        <f>IF(OR($A892="",$P892&lt;&gt;"Yes"),"",$D892+ROW()/1000000)</f>
        <v/>
      </c>
      <c r="T892">
        <f>IF(connections!$A892="","",IFERROR(INDEX(games!$B$2:$B$950,MATCH(connections!$A892,games!$A$2:$A$950,0)),""))</f>
        <v/>
      </c>
      <c r="U892">
        <f>IF(connections!$A892="","",IFERROR(INDEX(games!$B$2:$B$950,MATCH(connections!$B892,games!$A$2:$A$950,0)),""))</f>
        <v/>
      </c>
      <c r="V892">
        <f>IF(OR($T892="",$U892=""),"",$U892-$T892)</f>
        <v/>
      </c>
    </row>
    <row r="893">
      <c r="A893">
        <f>IF(games!$A893="","",games!$A893)</f>
        <v/>
      </c>
      <c r="B893">
        <f>IF($A893="","",games!$B893)</f>
        <v/>
      </c>
      <c r="C893">
        <f>IF($A893="","",games!$C893)</f>
        <v/>
      </c>
      <c r="D893">
        <f>IF($A893="","",COUNTIF(connections!$A$2:$A$1400,$A893)+COUNTIF(connections!$B$2:$B$1400,$A893))</f>
        <v/>
      </c>
      <c r="E893">
        <f>IF($A893="","",IFERROR(MATCH($C893,$R$2:$R$5,0),0))</f>
        <v/>
      </c>
      <c r="F893">
        <f>IF($A893="","",MOD(ROW(),34))</f>
        <v/>
      </c>
      <c r="G893">
        <f>IF($A893="",NA(),IF($C893="Action",$B893,NA()))</f>
        <v/>
      </c>
      <c r="H893">
        <f>IF($A893="",NA(),IF($C893="Action",1+$F893*0.023,NA()))</f>
        <v/>
      </c>
      <c r="I893">
        <f>IF($A893="",NA(),IF($C893="Strategy",$B893,NA()))</f>
        <v/>
      </c>
      <c r="J893">
        <f>IF($A893="",NA(),IF($C893="Strategy",2+$F893*0.023,NA()))</f>
        <v/>
      </c>
      <c r="K893">
        <f>IF($A893="",NA(),IF($C893="Deckbuilder",$B893,NA()))</f>
        <v/>
      </c>
      <c r="L893">
        <f>IF($A893="",NA(),IF($C893="Deckbuilder",3+$F893*0.023,NA()))</f>
        <v/>
      </c>
      <c r="M893">
        <f>IF($A893="",NA(),IF($C893="Traditional",$B893,NA()))</f>
        <v/>
      </c>
      <c r="N893">
        <f>IF($A893="",NA(),IF($C893="Traditional",4+$F893*0.023,NA()))</f>
        <v/>
      </c>
      <c r="O893">
        <f>IF($A893="","",$D893+ROW()/1000000)</f>
        <v/>
      </c>
      <c r="P893">
        <f>IF(OR($A893="",games!$H893=""),"",games!$H893)</f>
        <v/>
      </c>
      <c r="Q893">
        <f>IF(OR($A893="",$P893&lt;&gt;"Yes"),"",$D893+ROW()/1000000)</f>
        <v/>
      </c>
      <c r="T893">
        <f>IF(connections!$A893="","",IFERROR(INDEX(games!$B$2:$B$950,MATCH(connections!$A893,games!$A$2:$A$950,0)),""))</f>
        <v/>
      </c>
      <c r="U893">
        <f>IF(connections!$A893="","",IFERROR(INDEX(games!$B$2:$B$950,MATCH(connections!$B893,games!$A$2:$A$950,0)),""))</f>
        <v/>
      </c>
      <c r="V893">
        <f>IF(OR($T893="",$U893=""),"",$U893-$T893)</f>
        <v/>
      </c>
    </row>
    <row r="894">
      <c r="A894">
        <f>IF(games!$A894="","",games!$A894)</f>
        <v/>
      </c>
      <c r="B894">
        <f>IF($A894="","",games!$B894)</f>
        <v/>
      </c>
      <c r="C894">
        <f>IF($A894="","",games!$C894)</f>
        <v/>
      </c>
      <c r="D894">
        <f>IF($A894="","",COUNTIF(connections!$A$2:$A$1400,$A894)+COUNTIF(connections!$B$2:$B$1400,$A894))</f>
        <v/>
      </c>
      <c r="E894">
        <f>IF($A894="","",IFERROR(MATCH($C894,$R$2:$R$5,0),0))</f>
        <v/>
      </c>
      <c r="F894">
        <f>IF($A894="","",MOD(ROW(),34))</f>
        <v/>
      </c>
      <c r="G894">
        <f>IF($A894="",NA(),IF($C894="Action",$B894,NA()))</f>
        <v/>
      </c>
      <c r="H894">
        <f>IF($A894="",NA(),IF($C894="Action",1+$F894*0.023,NA()))</f>
        <v/>
      </c>
      <c r="I894">
        <f>IF($A894="",NA(),IF($C894="Strategy",$B894,NA()))</f>
        <v/>
      </c>
      <c r="J894">
        <f>IF($A894="",NA(),IF($C894="Strategy",2+$F894*0.023,NA()))</f>
        <v/>
      </c>
      <c r="K894">
        <f>IF($A894="",NA(),IF($C894="Deckbuilder",$B894,NA()))</f>
        <v/>
      </c>
      <c r="L894">
        <f>IF($A894="",NA(),IF($C894="Deckbuilder",3+$F894*0.023,NA()))</f>
        <v/>
      </c>
      <c r="M894">
        <f>IF($A894="",NA(),IF($C894="Traditional",$B894,NA()))</f>
        <v/>
      </c>
      <c r="N894">
        <f>IF($A894="",NA(),IF($C894="Traditional",4+$F894*0.023,NA()))</f>
        <v/>
      </c>
      <c r="O894">
        <f>IF($A894="","",$D894+ROW()/1000000)</f>
        <v/>
      </c>
      <c r="P894">
        <f>IF(OR($A894="",games!$H894=""),"",games!$H894)</f>
        <v/>
      </c>
      <c r="Q894">
        <f>IF(OR($A894="",$P894&lt;&gt;"Yes"),"",$D894+ROW()/1000000)</f>
        <v/>
      </c>
      <c r="T894">
        <f>IF(connections!$A894="","",IFERROR(INDEX(games!$B$2:$B$950,MATCH(connections!$A894,games!$A$2:$A$950,0)),""))</f>
        <v/>
      </c>
      <c r="U894">
        <f>IF(connections!$A894="","",IFERROR(INDEX(games!$B$2:$B$950,MATCH(connections!$B894,games!$A$2:$A$950,0)),""))</f>
        <v/>
      </c>
      <c r="V894">
        <f>IF(OR($T894="",$U894=""),"",$U894-$T894)</f>
        <v/>
      </c>
    </row>
    <row r="895">
      <c r="A895">
        <f>IF(games!$A895="","",games!$A895)</f>
        <v/>
      </c>
      <c r="B895">
        <f>IF($A895="","",games!$B895)</f>
        <v/>
      </c>
      <c r="C895">
        <f>IF($A895="","",games!$C895)</f>
        <v/>
      </c>
      <c r="D895">
        <f>IF($A895="","",COUNTIF(connections!$A$2:$A$1400,$A895)+COUNTIF(connections!$B$2:$B$1400,$A895))</f>
        <v/>
      </c>
      <c r="E895">
        <f>IF($A895="","",IFERROR(MATCH($C895,$R$2:$R$5,0),0))</f>
        <v/>
      </c>
      <c r="F895">
        <f>IF($A895="","",MOD(ROW(),34))</f>
        <v/>
      </c>
      <c r="G895">
        <f>IF($A895="",NA(),IF($C895="Action",$B895,NA()))</f>
        <v/>
      </c>
      <c r="H895">
        <f>IF($A895="",NA(),IF($C895="Action",1+$F895*0.023,NA()))</f>
        <v/>
      </c>
      <c r="I895">
        <f>IF($A895="",NA(),IF($C895="Strategy",$B895,NA()))</f>
        <v/>
      </c>
      <c r="J895">
        <f>IF($A895="",NA(),IF($C895="Strategy",2+$F895*0.023,NA()))</f>
        <v/>
      </c>
      <c r="K895">
        <f>IF($A895="",NA(),IF($C895="Deckbuilder",$B895,NA()))</f>
        <v/>
      </c>
      <c r="L895">
        <f>IF($A895="",NA(),IF($C895="Deckbuilder",3+$F895*0.023,NA()))</f>
        <v/>
      </c>
      <c r="M895">
        <f>IF($A895="",NA(),IF($C895="Traditional",$B895,NA()))</f>
        <v/>
      </c>
      <c r="N895">
        <f>IF($A895="",NA(),IF($C895="Traditional",4+$F895*0.023,NA()))</f>
        <v/>
      </c>
      <c r="O895">
        <f>IF($A895="","",$D895+ROW()/1000000)</f>
        <v/>
      </c>
      <c r="P895">
        <f>IF(OR($A895="",games!$H895=""),"",games!$H895)</f>
        <v/>
      </c>
      <c r="Q895">
        <f>IF(OR($A895="",$P895&lt;&gt;"Yes"),"",$D895+ROW()/1000000)</f>
        <v/>
      </c>
      <c r="T895">
        <f>IF(connections!$A895="","",IFERROR(INDEX(games!$B$2:$B$950,MATCH(connections!$A895,games!$A$2:$A$950,0)),""))</f>
        <v/>
      </c>
      <c r="U895">
        <f>IF(connections!$A895="","",IFERROR(INDEX(games!$B$2:$B$950,MATCH(connections!$B895,games!$A$2:$A$950,0)),""))</f>
        <v/>
      </c>
      <c r="V895">
        <f>IF(OR($T895="",$U895=""),"",$U895-$T895)</f>
        <v/>
      </c>
    </row>
    <row r="896">
      <c r="A896">
        <f>IF(games!$A896="","",games!$A896)</f>
        <v/>
      </c>
      <c r="B896">
        <f>IF($A896="","",games!$B896)</f>
        <v/>
      </c>
      <c r="C896">
        <f>IF($A896="","",games!$C896)</f>
        <v/>
      </c>
      <c r="D896">
        <f>IF($A896="","",COUNTIF(connections!$A$2:$A$1400,$A896)+COUNTIF(connections!$B$2:$B$1400,$A896))</f>
        <v/>
      </c>
      <c r="E896">
        <f>IF($A896="","",IFERROR(MATCH($C896,$R$2:$R$5,0),0))</f>
        <v/>
      </c>
      <c r="F896">
        <f>IF($A896="","",MOD(ROW(),34))</f>
        <v/>
      </c>
      <c r="G896">
        <f>IF($A896="",NA(),IF($C896="Action",$B896,NA()))</f>
        <v/>
      </c>
      <c r="H896">
        <f>IF($A896="",NA(),IF($C896="Action",1+$F896*0.023,NA()))</f>
        <v/>
      </c>
      <c r="I896">
        <f>IF($A896="",NA(),IF($C896="Strategy",$B896,NA()))</f>
        <v/>
      </c>
      <c r="J896">
        <f>IF($A896="",NA(),IF($C896="Strategy",2+$F896*0.023,NA()))</f>
        <v/>
      </c>
      <c r="K896">
        <f>IF($A896="",NA(),IF($C896="Deckbuilder",$B896,NA()))</f>
        <v/>
      </c>
      <c r="L896">
        <f>IF($A896="",NA(),IF($C896="Deckbuilder",3+$F896*0.023,NA()))</f>
        <v/>
      </c>
      <c r="M896">
        <f>IF($A896="",NA(),IF($C896="Traditional",$B896,NA()))</f>
        <v/>
      </c>
      <c r="N896">
        <f>IF($A896="",NA(),IF($C896="Traditional",4+$F896*0.023,NA()))</f>
        <v/>
      </c>
      <c r="O896">
        <f>IF($A896="","",$D896+ROW()/1000000)</f>
        <v/>
      </c>
      <c r="P896">
        <f>IF(OR($A896="",games!$H896=""),"",games!$H896)</f>
        <v/>
      </c>
      <c r="Q896">
        <f>IF(OR($A896="",$P896&lt;&gt;"Yes"),"",$D896+ROW()/1000000)</f>
        <v/>
      </c>
      <c r="T896">
        <f>IF(connections!$A896="","",IFERROR(INDEX(games!$B$2:$B$950,MATCH(connections!$A896,games!$A$2:$A$950,0)),""))</f>
        <v/>
      </c>
      <c r="U896">
        <f>IF(connections!$A896="","",IFERROR(INDEX(games!$B$2:$B$950,MATCH(connections!$B896,games!$A$2:$A$950,0)),""))</f>
        <v/>
      </c>
      <c r="V896">
        <f>IF(OR($T896="",$U896=""),"",$U896-$T896)</f>
        <v/>
      </c>
    </row>
    <row r="897">
      <c r="A897">
        <f>IF(games!$A897="","",games!$A897)</f>
        <v/>
      </c>
      <c r="B897">
        <f>IF($A897="","",games!$B897)</f>
        <v/>
      </c>
      <c r="C897">
        <f>IF($A897="","",games!$C897)</f>
        <v/>
      </c>
      <c r="D897">
        <f>IF($A897="","",COUNTIF(connections!$A$2:$A$1400,$A897)+COUNTIF(connections!$B$2:$B$1400,$A897))</f>
        <v/>
      </c>
      <c r="E897">
        <f>IF($A897="","",IFERROR(MATCH($C897,$R$2:$R$5,0),0))</f>
        <v/>
      </c>
      <c r="F897">
        <f>IF($A897="","",MOD(ROW(),34))</f>
        <v/>
      </c>
      <c r="G897">
        <f>IF($A897="",NA(),IF($C897="Action",$B897,NA()))</f>
        <v/>
      </c>
      <c r="H897">
        <f>IF($A897="",NA(),IF($C897="Action",1+$F897*0.023,NA()))</f>
        <v/>
      </c>
      <c r="I897">
        <f>IF($A897="",NA(),IF($C897="Strategy",$B897,NA()))</f>
        <v/>
      </c>
      <c r="J897">
        <f>IF($A897="",NA(),IF($C897="Strategy",2+$F897*0.023,NA()))</f>
        <v/>
      </c>
      <c r="K897">
        <f>IF($A897="",NA(),IF($C897="Deckbuilder",$B897,NA()))</f>
        <v/>
      </c>
      <c r="L897">
        <f>IF($A897="",NA(),IF($C897="Deckbuilder",3+$F897*0.023,NA()))</f>
        <v/>
      </c>
      <c r="M897">
        <f>IF($A897="",NA(),IF($C897="Traditional",$B897,NA()))</f>
        <v/>
      </c>
      <c r="N897">
        <f>IF($A897="",NA(),IF($C897="Traditional",4+$F897*0.023,NA()))</f>
        <v/>
      </c>
      <c r="O897">
        <f>IF($A897="","",$D897+ROW()/1000000)</f>
        <v/>
      </c>
      <c r="P897">
        <f>IF(OR($A897="",games!$H897=""),"",games!$H897)</f>
        <v/>
      </c>
      <c r="Q897">
        <f>IF(OR($A897="",$P897&lt;&gt;"Yes"),"",$D897+ROW()/1000000)</f>
        <v/>
      </c>
      <c r="T897">
        <f>IF(connections!$A897="","",IFERROR(INDEX(games!$B$2:$B$950,MATCH(connections!$A897,games!$A$2:$A$950,0)),""))</f>
        <v/>
      </c>
      <c r="U897">
        <f>IF(connections!$A897="","",IFERROR(INDEX(games!$B$2:$B$950,MATCH(connections!$B897,games!$A$2:$A$950,0)),""))</f>
        <v/>
      </c>
      <c r="V897">
        <f>IF(OR($T897="",$U897=""),"",$U897-$T897)</f>
        <v/>
      </c>
    </row>
    <row r="898">
      <c r="A898">
        <f>IF(games!$A898="","",games!$A898)</f>
        <v/>
      </c>
      <c r="B898">
        <f>IF($A898="","",games!$B898)</f>
        <v/>
      </c>
      <c r="C898">
        <f>IF($A898="","",games!$C898)</f>
        <v/>
      </c>
      <c r="D898">
        <f>IF($A898="","",COUNTIF(connections!$A$2:$A$1400,$A898)+COUNTIF(connections!$B$2:$B$1400,$A898))</f>
        <v/>
      </c>
      <c r="E898">
        <f>IF($A898="","",IFERROR(MATCH($C898,$R$2:$R$5,0),0))</f>
        <v/>
      </c>
      <c r="F898">
        <f>IF($A898="","",MOD(ROW(),34))</f>
        <v/>
      </c>
      <c r="G898">
        <f>IF($A898="",NA(),IF($C898="Action",$B898,NA()))</f>
        <v/>
      </c>
      <c r="H898">
        <f>IF($A898="",NA(),IF($C898="Action",1+$F898*0.023,NA()))</f>
        <v/>
      </c>
      <c r="I898">
        <f>IF($A898="",NA(),IF($C898="Strategy",$B898,NA()))</f>
        <v/>
      </c>
      <c r="J898">
        <f>IF($A898="",NA(),IF($C898="Strategy",2+$F898*0.023,NA()))</f>
        <v/>
      </c>
      <c r="K898">
        <f>IF($A898="",NA(),IF($C898="Deckbuilder",$B898,NA()))</f>
        <v/>
      </c>
      <c r="L898">
        <f>IF($A898="",NA(),IF($C898="Deckbuilder",3+$F898*0.023,NA()))</f>
        <v/>
      </c>
      <c r="M898">
        <f>IF($A898="",NA(),IF($C898="Traditional",$B898,NA()))</f>
        <v/>
      </c>
      <c r="N898">
        <f>IF($A898="",NA(),IF($C898="Traditional",4+$F898*0.023,NA()))</f>
        <v/>
      </c>
      <c r="O898">
        <f>IF($A898="","",$D898+ROW()/1000000)</f>
        <v/>
      </c>
      <c r="P898">
        <f>IF(OR($A898="",games!$H898=""),"",games!$H898)</f>
        <v/>
      </c>
      <c r="Q898">
        <f>IF(OR($A898="",$P898&lt;&gt;"Yes"),"",$D898+ROW()/1000000)</f>
        <v/>
      </c>
      <c r="T898">
        <f>IF(connections!$A898="","",IFERROR(INDEX(games!$B$2:$B$950,MATCH(connections!$A898,games!$A$2:$A$950,0)),""))</f>
        <v/>
      </c>
      <c r="U898">
        <f>IF(connections!$A898="","",IFERROR(INDEX(games!$B$2:$B$950,MATCH(connections!$B898,games!$A$2:$A$950,0)),""))</f>
        <v/>
      </c>
      <c r="V898">
        <f>IF(OR($T898="",$U898=""),"",$U898-$T898)</f>
        <v/>
      </c>
    </row>
    <row r="899">
      <c r="A899">
        <f>IF(games!$A899="","",games!$A899)</f>
        <v/>
      </c>
      <c r="B899">
        <f>IF($A899="","",games!$B899)</f>
        <v/>
      </c>
      <c r="C899">
        <f>IF($A899="","",games!$C899)</f>
        <v/>
      </c>
      <c r="D899">
        <f>IF($A899="","",COUNTIF(connections!$A$2:$A$1400,$A899)+COUNTIF(connections!$B$2:$B$1400,$A899))</f>
        <v/>
      </c>
      <c r="E899">
        <f>IF($A899="","",IFERROR(MATCH($C899,$R$2:$R$5,0),0))</f>
        <v/>
      </c>
      <c r="F899">
        <f>IF($A899="","",MOD(ROW(),34))</f>
        <v/>
      </c>
      <c r="G899">
        <f>IF($A899="",NA(),IF($C899="Action",$B899,NA()))</f>
        <v/>
      </c>
      <c r="H899">
        <f>IF($A899="",NA(),IF($C899="Action",1+$F899*0.023,NA()))</f>
        <v/>
      </c>
      <c r="I899">
        <f>IF($A899="",NA(),IF($C899="Strategy",$B899,NA()))</f>
        <v/>
      </c>
      <c r="J899">
        <f>IF($A899="",NA(),IF($C899="Strategy",2+$F899*0.023,NA()))</f>
        <v/>
      </c>
      <c r="K899">
        <f>IF($A899="",NA(),IF($C899="Deckbuilder",$B899,NA()))</f>
        <v/>
      </c>
      <c r="L899">
        <f>IF($A899="",NA(),IF($C899="Deckbuilder",3+$F899*0.023,NA()))</f>
        <v/>
      </c>
      <c r="M899">
        <f>IF($A899="",NA(),IF($C899="Traditional",$B899,NA()))</f>
        <v/>
      </c>
      <c r="N899">
        <f>IF($A899="",NA(),IF($C899="Traditional",4+$F899*0.023,NA()))</f>
        <v/>
      </c>
      <c r="O899">
        <f>IF($A899="","",$D899+ROW()/1000000)</f>
        <v/>
      </c>
      <c r="P899">
        <f>IF(OR($A899="",games!$H899=""),"",games!$H899)</f>
        <v/>
      </c>
      <c r="Q899">
        <f>IF(OR($A899="",$P899&lt;&gt;"Yes"),"",$D899+ROW()/1000000)</f>
        <v/>
      </c>
      <c r="T899">
        <f>IF(connections!$A899="","",IFERROR(INDEX(games!$B$2:$B$950,MATCH(connections!$A899,games!$A$2:$A$950,0)),""))</f>
        <v/>
      </c>
      <c r="U899">
        <f>IF(connections!$A899="","",IFERROR(INDEX(games!$B$2:$B$950,MATCH(connections!$B899,games!$A$2:$A$950,0)),""))</f>
        <v/>
      </c>
      <c r="V899">
        <f>IF(OR($T899="",$U899=""),"",$U899-$T899)</f>
        <v/>
      </c>
    </row>
    <row r="900">
      <c r="A900">
        <f>IF(games!$A900="","",games!$A900)</f>
        <v/>
      </c>
      <c r="B900">
        <f>IF($A900="","",games!$B900)</f>
        <v/>
      </c>
      <c r="C900">
        <f>IF($A900="","",games!$C900)</f>
        <v/>
      </c>
      <c r="D900">
        <f>IF($A900="","",COUNTIF(connections!$A$2:$A$1400,$A900)+COUNTIF(connections!$B$2:$B$1400,$A900))</f>
        <v/>
      </c>
      <c r="E900">
        <f>IF($A900="","",IFERROR(MATCH($C900,$R$2:$R$5,0),0))</f>
        <v/>
      </c>
      <c r="F900">
        <f>IF($A900="","",MOD(ROW(),34))</f>
        <v/>
      </c>
      <c r="G900">
        <f>IF($A900="",NA(),IF($C900="Action",$B900,NA()))</f>
        <v/>
      </c>
      <c r="H900">
        <f>IF($A900="",NA(),IF($C900="Action",1+$F900*0.023,NA()))</f>
        <v/>
      </c>
      <c r="I900">
        <f>IF($A900="",NA(),IF($C900="Strategy",$B900,NA()))</f>
        <v/>
      </c>
      <c r="J900">
        <f>IF($A900="",NA(),IF($C900="Strategy",2+$F900*0.023,NA()))</f>
        <v/>
      </c>
      <c r="K900">
        <f>IF($A900="",NA(),IF($C900="Deckbuilder",$B900,NA()))</f>
        <v/>
      </c>
      <c r="L900">
        <f>IF($A900="",NA(),IF($C900="Deckbuilder",3+$F900*0.023,NA()))</f>
        <v/>
      </c>
      <c r="M900">
        <f>IF($A900="",NA(),IF($C900="Traditional",$B900,NA()))</f>
        <v/>
      </c>
      <c r="N900">
        <f>IF($A900="",NA(),IF($C900="Traditional",4+$F900*0.023,NA()))</f>
        <v/>
      </c>
      <c r="O900">
        <f>IF($A900="","",$D900+ROW()/1000000)</f>
        <v/>
      </c>
      <c r="P900">
        <f>IF(OR($A900="",games!$H900=""),"",games!$H900)</f>
        <v/>
      </c>
      <c r="Q900">
        <f>IF(OR($A900="",$P900&lt;&gt;"Yes"),"",$D900+ROW()/1000000)</f>
        <v/>
      </c>
      <c r="T900">
        <f>IF(connections!$A900="","",IFERROR(INDEX(games!$B$2:$B$950,MATCH(connections!$A900,games!$A$2:$A$950,0)),""))</f>
        <v/>
      </c>
      <c r="U900">
        <f>IF(connections!$A900="","",IFERROR(INDEX(games!$B$2:$B$950,MATCH(connections!$B900,games!$A$2:$A$950,0)),""))</f>
        <v/>
      </c>
      <c r="V900">
        <f>IF(OR($T900="",$U900=""),"",$U900-$T900)</f>
        <v/>
      </c>
    </row>
    <row r="901">
      <c r="A901">
        <f>IF(games!$A901="","",games!$A901)</f>
        <v/>
      </c>
      <c r="B901">
        <f>IF($A901="","",games!$B901)</f>
        <v/>
      </c>
      <c r="C901">
        <f>IF($A901="","",games!$C901)</f>
        <v/>
      </c>
      <c r="D901">
        <f>IF($A901="","",COUNTIF(connections!$A$2:$A$1400,$A901)+COUNTIF(connections!$B$2:$B$1400,$A901))</f>
        <v/>
      </c>
      <c r="E901">
        <f>IF($A901="","",IFERROR(MATCH($C901,$R$2:$R$5,0),0))</f>
        <v/>
      </c>
      <c r="F901">
        <f>IF($A901="","",MOD(ROW(),34))</f>
        <v/>
      </c>
      <c r="G901">
        <f>IF($A901="",NA(),IF($C901="Action",$B901,NA()))</f>
        <v/>
      </c>
      <c r="H901">
        <f>IF($A901="",NA(),IF($C901="Action",1+$F901*0.023,NA()))</f>
        <v/>
      </c>
      <c r="I901">
        <f>IF($A901="",NA(),IF($C901="Strategy",$B901,NA()))</f>
        <v/>
      </c>
      <c r="J901">
        <f>IF($A901="",NA(),IF($C901="Strategy",2+$F901*0.023,NA()))</f>
        <v/>
      </c>
      <c r="K901">
        <f>IF($A901="",NA(),IF($C901="Deckbuilder",$B901,NA()))</f>
        <v/>
      </c>
      <c r="L901">
        <f>IF($A901="",NA(),IF($C901="Deckbuilder",3+$F901*0.023,NA()))</f>
        <v/>
      </c>
      <c r="M901">
        <f>IF($A901="",NA(),IF($C901="Traditional",$B901,NA()))</f>
        <v/>
      </c>
      <c r="N901">
        <f>IF($A901="",NA(),IF($C901="Traditional",4+$F901*0.023,NA()))</f>
        <v/>
      </c>
      <c r="O901">
        <f>IF($A901="","",$D901+ROW()/1000000)</f>
        <v/>
      </c>
      <c r="P901">
        <f>IF(OR($A901="",games!$H901=""),"",games!$H901)</f>
        <v/>
      </c>
      <c r="Q901">
        <f>IF(OR($A901="",$P901&lt;&gt;"Yes"),"",$D901+ROW()/1000000)</f>
        <v/>
      </c>
      <c r="T901">
        <f>IF(connections!$A901="","",IFERROR(INDEX(games!$B$2:$B$950,MATCH(connections!$A901,games!$A$2:$A$950,0)),""))</f>
        <v/>
      </c>
      <c r="U901">
        <f>IF(connections!$A901="","",IFERROR(INDEX(games!$B$2:$B$950,MATCH(connections!$B901,games!$A$2:$A$950,0)),""))</f>
        <v/>
      </c>
      <c r="V901">
        <f>IF(OR($T901="",$U901=""),"",$U901-$T901)</f>
        <v/>
      </c>
    </row>
    <row r="902">
      <c r="A902">
        <f>IF(games!$A902="","",games!$A902)</f>
        <v/>
      </c>
      <c r="B902">
        <f>IF($A902="","",games!$B902)</f>
        <v/>
      </c>
      <c r="C902">
        <f>IF($A902="","",games!$C902)</f>
        <v/>
      </c>
      <c r="D902">
        <f>IF($A902="","",COUNTIF(connections!$A$2:$A$1400,$A902)+COUNTIF(connections!$B$2:$B$1400,$A902))</f>
        <v/>
      </c>
      <c r="E902">
        <f>IF($A902="","",IFERROR(MATCH($C902,$R$2:$R$5,0),0))</f>
        <v/>
      </c>
      <c r="F902">
        <f>IF($A902="","",MOD(ROW(),34))</f>
        <v/>
      </c>
      <c r="G902">
        <f>IF($A902="",NA(),IF($C902="Action",$B902,NA()))</f>
        <v/>
      </c>
      <c r="H902">
        <f>IF($A902="",NA(),IF($C902="Action",1+$F902*0.023,NA()))</f>
        <v/>
      </c>
      <c r="I902">
        <f>IF($A902="",NA(),IF($C902="Strategy",$B902,NA()))</f>
        <v/>
      </c>
      <c r="J902">
        <f>IF($A902="",NA(),IF($C902="Strategy",2+$F902*0.023,NA()))</f>
        <v/>
      </c>
      <c r="K902">
        <f>IF($A902="",NA(),IF($C902="Deckbuilder",$B902,NA()))</f>
        <v/>
      </c>
      <c r="L902">
        <f>IF($A902="",NA(),IF($C902="Deckbuilder",3+$F902*0.023,NA()))</f>
        <v/>
      </c>
      <c r="M902">
        <f>IF($A902="",NA(),IF($C902="Traditional",$B902,NA()))</f>
        <v/>
      </c>
      <c r="N902">
        <f>IF($A902="",NA(),IF($C902="Traditional",4+$F902*0.023,NA()))</f>
        <v/>
      </c>
      <c r="O902">
        <f>IF($A902="","",$D902+ROW()/1000000)</f>
        <v/>
      </c>
      <c r="P902">
        <f>IF(OR($A902="",games!$H902=""),"",games!$H902)</f>
        <v/>
      </c>
      <c r="Q902">
        <f>IF(OR($A902="",$P902&lt;&gt;"Yes"),"",$D902+ROW()/1000000)</f>
        <v/>
      </c>
      <c r="T902">
        <f>IF(connections!$A902="","",IFERROR(INDEX(games!$B$2:$B$950,MATCH(connections!$A902,games!$A$2:$A$950,0)),""))</f>
        <v/>
      </c>
      <c r="U902">
        <f>IF(connections!$A902="","",IFERROR(INDEX(games!$B$2:$B$950,MATCH(connections!$B902,games!$A$2:$A$950,0)),""))</f>
        <v/>
      </c>
      <c r="V902">
        <f>IF(OR($T902="",$U902=""),"",$U902-$T902)</f>
        <v/>
      </c>
    </row>
    <row r="903">
      <c r="A903">
        <f>IF(games!$A903="","",games!$A903)</f>
        <v/>
      </c>
      <c r="B903">
        <f>IF($A903="","",games!$B903)</f>
        <v/>
      </c>
      <c r="C903">
        <f>IF($A903="","",games!$C903)</f>
        <v/>
      </c>
      <c r="D903">
        <f>IF($A903="","",COUNTIF(connections!$A$2:$A$1400,$A903)+COUNTIF(connections!$B$2:$B$1400,$A903))</f>
        <v/>
      </c>
      <c r="E903">
        <f>IF($A903="","",IFERROR(MATCH($C903,$R$2:$R$5,0),0))</f>
        <v/>
      </c>
      <c r="F903">
        <f>IF($A903="","",MOD(ROW(),34))</f>
        <v/>
      </c>
      <c r="G903">
        <f>IF($A903="",NA(),IF($C903="Action",$B903,NA()))</f>
        <v/>
      </c>
      <c r="H903">
        <f>IF($A903="",NA(),IF($C903="Action",1+$F903*0.023,NA()))</f>
        <v/>
      </c>
      <c r="I903">
        <f>IF($A903="",NA(),IF($C903="Strategy",$B903,NA()))</f>
        <v/>
      </c>
      <c r="J903">
        <f>IF($A903="",NA(),IF($C903="Strategy",2+$F903*0.023,NA()))</f>
        <v/>
      </c>
      <c r="K903">
        <f>IF($A903="",NA(),IF($C903="Deckbuilder",$B903,NA()))</f>
        <v/>
      </c>
      <c r="L903">
        <f>IF($A903="",NA(),IF($C903="Deckbuilder",3+$F903*0.023,NA()))</f>
        <v/>
      </c>
      <c r="M903">
        <f>IF($A903="",NA(),IF($C903="Traditional",$B903,NA()))</f>
        <v/>
      </c>
      <c r="N903">
        <f>IF($A903="",NA(),IF($C903="Traditional",4+$F903*0.023,NA()))</f>
        <v/>
      </c>
      <c r="O903">
        <f>IF($A903="","",$D903+ROW()/1000000)</f>
        <v/>
      </c>
      <c r="P903">
        <f>IF(OR($A903="",games!$H903=""),"",games!$H903)</f>
        <v/>
      </c>
      <c r="Q903">
        <f>IF(OR($A903="",$P903&lt;&gt;"Yes"),"",$D903+ROW()/1000000)</f>
        <v/>
      </c>
      <c r="T903">
        <f>IF(connections!$A903="","",IFERROR(INDEX(games!$B$2:$B$950,MATCH(connections!$A903,games!$A$2:$A$950,0)),""))</f>
        <v/>
      </c>
      <c r="U903">
        <f>IF(connections!$A903="","",IFERROR(INDEX(games!$B$2:$B$950,MATCH(connections!$B903,games!$A$2:$A$950,0)),""))</f>
        <v/>
      </c>
      <c r="V903">
        <f>IF(OR($T903="",$U903=""),"",$U903-$T903)</f>
        <v/>
      </c>
    </row>
    <row r="904">
      <c r="A904">
        <f>IF(games!$A904="","",games!$A904)</f>
        <v/>
      </c>
      <c r="B904">
        <f>IF($A904="","",games!$B904)</f>
        <v/>
      </c>
      <c r="C904">
        <f>IF($A904="","",games!$C904)</f>
        <v/>
      </c>
      <c r="D904">
        <f>IF($A904="","",COUNTIF(connections!$A$2:$A$1400,$A904)+COUNTIF(connections!$B$2:$B$1400,$A904))</f>
        <v/>
      </c>
      <c r="E904">
        <f>IF($A904="","",IFERROR(MATCH($C904,$R$2:$R$5,0),0))</f>
        <v/>
      </c>
      <c r="F904">
        <f>IF($A904="","",MOD(ROW(),34))</f>
        <v/>
      </c>
      <c r="G904">
        <f>IF($A904="",NA(),IF($C904="Action",$B904,NA()))</f>
        <v/>
      </c>
      <c r="H904">
        <f>IF($A904="",NA(),IF($C904="Action",1+$F904*0.023,NA()))</f>
        <v/>
      </c>
      <c r="I904">
        <f>IF($A904="",NA(),IF($C904="Strategy",$B904,NA()))</f>
        <v/>
      </c>
      <c r="J904">
        <f>IF($A904="",NA(),IF($C904="Strategy",2+$F904*0.023,NA()))</f>
        <v/>
      </c>
      <c r="K904">
        <f>IF($A904="",NA(),IF($C904="Deckbuilder",$B904,NA()))</f>
        <v/>
      </c>
      <c r="L904">
        <f>IF($A904="",NA(),IF($C904="Deckbuilder",3+$F904*0.023,NA()))</f>
        <v/>
      </c>
      <c r="M904">
        <f>IF($A904="",NA(),IF($C904="Traditional",$B904,NA()))</f>
        <v/>
      </c>
      <c r="N904">
        <f>IF($A904="",NA(),IF($C904="Traditional",4+$F904*0.023,NA()))</f>
        <v/>
      </c>
      <c r="O904">
        <f>IF($A904="","",$D904+ROW()/1000000)</f>
        <v/>
      </c>
      <c r="P904">
        <f>IF(OR($A904="",games!$H904=""),"",games!$H904)</f>
        <v/>
      </c>
      <c r="Q904">
        <f>IF(OR($A904="",$P904&lt;&gt;"Yes"),"",$D904+ROW()/1000000)</f>
        <v/>
      </c>
      <c r="T904">
        <f>IF(connections!$A904="","",IFERROR(INDEX(games!$B$2:$B$950,MATCH(connections!$A904,games!$A$2:$A$950,0)),""))</f>
        <v/>
      </c>
      <c r="U904">
        <f>IF(connections!$A904="","",IFERROR(INDEX(games!$B$2:$B$950,MATCH(connections!$B904,games!$A$2:$A$950,0)),""))</f>
        <v/>
      </c>
      <c r="V904">
        <f>IF(OR($T904="",$U904=""),"",$U904-$T904)</f>
        <v/>
      </c>
    </row>
    <row r="905">
      <c r="A905">
        <f>IF(games!$A905="","",games!$A905)</f>
        <v/>
      </c>
      <c r="B905">
        <f>IF($A905="","",games!$B905)</f>
        <v/>
      </c>
      <c r="C905">
        <f>IF($A905="","",games!$C905)</f>
        <v/>
      </c>
      <c r="D905">
        <f>IF($A905="","",COUNTIF(connections!$A$2:$A$1400,$A905)+COUNTIF(connections!$B$2:$B$1400,$A905))</f>
        <v/>
      </c>
      <c r="E905">
        <f>IF($A905="","",IFERROR(MATCH($C905,$R$2:$R$5,0),0))</f>
        <v/>
      </c>
      <c r="F905">
        <f>IF($A905="","",MOD(ROW(),34))</f>
        <v/>
      </c>
      <c r="G905">
        <f>IF($A905="",NA(),IF($C905="Action",$B905,NA()))</f>
        <v/>
      </c>
      <c r="H905">
        <f>IF($A905="",NA(),IF($C905="Action",1+$F905*0.023,NA()))</f>
        <v/>
      </c>
      <c r="I905">
        <f>IF($A905="",NA(),IF($C905="Strategy",$B905,NA()))</f>
        <v/>
      </c>
      <c r="J905">
        <f>IF($A905="",NA(),IF($C905="Strategy",2+$F905*0.023,NA()))</f>
        <v/>
      </c>
      <c r="K905">
        <f>IF($A905="",NA(),IF($C905="Deckbuilder",$B905,NA()))</f>
        <v/>
      </c>
      <c r="L905">
        <f>IF($A905="",NA(),IF($C905="Deckbuilder",3+$F905*0.023,NA()))</f>
        <v/>
      </c>
      <c r="M905">
        <f>IF($A905="",NA(),IF($C905="Traditional",$B905,NA()))</f>
        <v/>
      </c>
      <c r="N905">
        <f>IF($A905="",NA(),IF($C905="Traditional",4+$F905*0.023,NA()))</f>
        <v/>
      </c>
      <c r="O905">
        <f>IF($A905="","",$D905+ROW()/1000000)</f>
        <v/>
      </c>
      <c r="P905">
        <f>IF(OR($A905="",games!$H905=""),"",games!$H905)</f>
        <v/>
      </c>
      <c r="Q905">
        <f>IF(OR($A905="",$P905&lt;&gt;"Yes"),"",$D905+ROW()/1000000)</f>
        <v/>
      </c>
      <c r="T905">
        <f>IF(connections!$A905="","",IFERROR(INDEX(games!$B$2:$B$950,MATCH(connections!$A905,games!$A$2:$A$950,0)),""))</f>
        <v/>
      </c>
      <c r="U905">
        <f>IF(connections!$A905="","",IFERROR(INDEX(games!$B$2:$B$950,MATCH(connections!$B905,games!$A$2:$A$950,0)),""))</f>
        <v/>
      </c>
      <c r="V905">
        <f>IF(OR($T905="",$U905=""),"",$U905-$T905)</f>
        <v/>
      </c>
    </row>
    <row r="906">
      <c r="A906">
        <f>IF(games!$A906="","",games!$A906)</f>
        <v/>
      </c>
      <c r="B906">
        <f>IF($A906="","",games!$B906)</f>
        <v/>
      </c>
      <c r="C906">
        <f>IF($A906="","",games!$C906)</f>
        <v/>
      </c>
      <c r="D906">
        <f>IF($A906="","",COUNTIF(connections!$A$2:$A$1400,$A906)+COUNTIF(connections!$B$2:$B$1400,$A906))</f>
        <v/>
      </c>
      <c r="E906">
        <f>IF($A906="","",IFERROR(MATCH($C906,$R$2:$R$5,0),0))</f>
        <v/>
      </c>
      <c r="F906">
        <f>IF($A906="","",MOD(ROW(),34))</f>
        <v/>
      </c>
      <c r="G906">
        <f>IF($A906="",NA(),IF($C906="Action",$B906,NA()))</f>
        <v/>
      </c>
      <c r="H906">
        <f>IF($A906="",NA(),IF($C906="Action",1+$F906*0.023,NA()))</f>
        <v/>
      </c>
      <c r="I906">
        <f>IF($A906="",NA(),IF($C906="Strategy",$B906,NA()))</f>
        <v/>
      </c>
      <c r="J906">
        <f>IF($A906="",NA(),IF($C906="Strategy",2+$F906*0.023,NA()))</f>
        <v/>
      </c>
      <c r="K906">
        <f>IF($A906="",NA(),IF($C906="Deckbuilder",$B906,NA()))</f>
        <v/>
      </c>
      <c r="L906">
        <f>IF($A906="",NA(),IF($C906="Deckbuilder",3+$F906*0.023,NA()))</f>
        <v/>
      </c>
      <c r="M906">
        <f>IF($A906="",NA(),IF($C906="Traditional",$B906,NA()))</f>
        <v/>
      </c>
      <c r="N906">
        <f>IF($A906="",NA(),IF($C906="Traditional",4+$F906*0.023,NA()))</f>
        <v/>
      </c>
      <c r="O906">
        <f>IF($A906="","",$D906+ROW()/1000000)</f>
        <v/>
      </c>
      <c r="P906">
        <f>IF(OR($A906="",games!$H906=""),"",games!$H906)</f>
        <v/>
      </c>
      <c r="Q906">
        <f>IF(OR($A906="",$P906&lt;&gt;"Yes"),"",$D906+ROW()/1000000)</f>
        <v/>
      </c>
      <c r="T906">
        <f>IF(connections!$A906="","",IFERROR(INDEX(games!$B$2:$B$950,MATCH(connections!$A906,games!$A$2:$A$950,0)),""))</f>
        <v/>
      </c>
      <c r="U906">
        <f>IF(connections!$A906="","",IFERROR(INDEX(games!$B$2:$B$950,MATCH(connections!$B906,games!$A$2:$A$950,0)),""))</f>
        <v/>
      </c>
      <c r="V906">
        <f>IF(OR($T906="",$U906=""),"",$U906-$T906)</f>
        <v/>
      </c>
    </row>
    <row r="907">
      <c r="A907">
        <f>IF(games!$A907="","",games!$A907)</f>
        <v/>
      </c>
      <c r="B907">
        <f>IF($A907="","",games!$B907)</f>
        <v/>
      </c>
      <c r="C907">
        <f>IF($A907="","",games!$C907)</f>
        <v/>
      </c>
      <c r="D907">
        <f>IF($A907="","",COUNTIF(connections!$A$2:$A$1400,$A907)+COUNTIF(connections!$B$2:$B$1400,$A907))</f>
        <v/>
      </c>
      <c r="E907">
        <f>IF($A907="","",IFERROR(MATCH($C907,$R$2:$R$5,0),0))</f>
        <v/>
      </c>
      <c r="F907">
        <f>IF($A907="","",MOD(ROW(),34))</f>
        <v/>
      </c>
      <c r="G907">
        <f>IF($A907="",NA(),IF($C907="Action",$B907,NA()))</f>
        <v/>
      </c>
      <c r="H907">
        <f>IF($A907="",NA(),IF($C907="Action",1+$F907*0.023,NA()))</f>
        <v/>
      </c>
      <c r="I907">
        <f>IF($A907="",NA(),IF($C907="Strategy",$B907,NA()))</f>
        <v/>
      </c>
      <c r="J907">
        <f>IF($A907="",NA(),IF($C907="Strategy",2+$F907*0.023,NA()))</f>
        <v/>
      </c>
      <c r="K907">
        <f>IF($A907="",NA(),IF($C907="Deckbuilder",$B907,NA()))</f>
        <v/>
      </c>
      <c r="L907">
        <f>IF($A907="",NA(),IF($C907="Deckbuilder",3+$F907*0.023,NA()))</f>
        <v/>
      </c>
      <c r="M907">
        <f>IF($A907="",NA(),IF($C907="Traditional",$B907,NA()))</f>
        <v/>
      </c>
      <c r="N907">
        <f>IF($A907="",NA(),IF($C907="Traditional",4+$F907*0.023,NA()))</f>
        <v/>
      </c>
      <c r="O907">
        <f>IF($A907="","",$D907+ROW()/1000000)</f>
        <v/>
      </c>
      <c r="P907">
        <f>IF(OR($A907="",games!$H907=""),"",games!$H907)</f>
        <v/>
      </c>
      <c r="Q907">
        <f>IF(OR($A907="",$P907&lt;&gt;"Yes"),"",$D907+ROW()/1000000)</f>
        <v/>
      </c>
      <c r="T907">
        <f>IF(connections!$A907="","",IFERROR(INDEX(games!$B$2:$B$950,MATCH(connections!$A907,games!$A$2:$A$950,0)),""))</f>
        <v/>
      </c>
      <c r="U907">
        <f>IF(connections!$A907="","",IFERROR(INDEX(games!$B$2:$B$950,MATCH(connections!$B907,games!$A$2:$A$950,0)),""))</f>
        <v/>
      </c>
      <c r="V907">
        <f>IF(OR($T907="",$U907=""),"",$U907-$T907)</f>
        <v/>
      </c>
    </row>
    <row r="908">
      <c r="A908">
        <f>IF(games!$A908="","",games!$A908)</f>
        <v/>
      </c>
      <c r="B908">
        <f>IF($A908="","",games!$B908)</f>
        <v/>
      </c>
      <c r="C908">
        <f>IF($A908="","",games!$C908)</f>
        <v/>
      </c>
      <c r="D908">
        <f>IF($A908="","",COUNTIF(connections!$A$2:$A$1400,$A908)+COUNTIF(connections!$B$2:$B$1400,$A908))</f>
        <v/>
      </c>
      <c r="E908">
        <f>IF($A908="","",IFERROR(MATCH($C908,$R$2:$R$5,0),0))</f>
        <v/>
      </c>
      <c r="F908">
        <f>IF($A908="","",MOD(ROW(),34))</f>
        <v/>
      </c>
      <c r="G908">
        <f>IF($A908="",NA(),IF($C908="Action",$B908,NA()))</f>
        <v/>
      </c>
      <c r="H908">
        <f>IF($A908="",NA(),IF($C908="Action",1+$F908*0.023,NA()))</f>
        <v/>
      </c>
      <c r="I908">
        <f>IF($A908="",NA(),IF($C908="Strategy",$B908,NA()))</f>
        <v/>
      </c>
      <c r="J908">
        <f>IF($A908="",NA(),IF($C908="Strategy",2+$F908*0.023,NA()))</f>
        <v/>
      </c>
      <c r="K908">
        <f>IF($A908="",NA(),IF($C908="Deckbuilder",$B908,NA()))</f>
        <v/>
      </c>
      <c r="L908">
        <f>IF($A908="",NA(),IF($C908="Deckbuilder",3+$F908*0.023,NA()))</f>
        <v/>
      </c>
      <c r="M908">
        <f>IF($A908="",NA(),IF($C908="Traditional",$B908,NA()))</f>
        <v/>
      </c>
      <c r="N908">
        <f>IF($A908="",NA(),IF($C908="Traditional",4+$F908*0.023,NA()))</f>
        <v/>
      </c>
      <c r="O908">
        <f>IF($A908="","",$D908+ROW()/1000000)</f>
        <v/>
      </c>
      <c r="P908">
        <f>IF(OR($A908="",games!$H908=""),"",games!$H908)</f>
        <v/>
      </c>
      <c r="Q908">
        <f>IF(OR($A908="",$P908&lt;&gt;"Yes"),"",$D908+ROW()/1000000)</f>
        <v/>
      </c>
      <c r="T908">
        <f>IF(connections!$A908="","",IFERROR(INDEX(games!$B$2:$B$950,MATCH(connections!$A908,games!$A$2:$A$950,0)),""))</f>
        <v/>
      </c>
      <c r="U908">
        <f>IF(connections!$A908="","",IFERROR(INDEX(games!$B$2:$B$950,MATCH(connections!$B908,games!$A$2:$A$950,0)),""))</f>
        <v/>
      </c>
      <c r="V908">
        <f>IF(OR($T908="",$U908=""),"",$U908-$T908)</f>
        <v/>
      </c>
    </row>
    <row r="909">
      <c r="A909">
        <f>IF(games!$A909="","",games!$A909)</f>
        <v/>
      </c>
      <c r="B909">
        <f>IF($A909="","",games!$B909)</f>
        <v/>
      </c>
      <c r="C909">
        <f>IF($A909="","",games!$C909)</f>
        <v/>
      </c>
      <c r="D909">
        <f>IF($A909="","",COUNTIF(connections!$A$2:$A$1400,$A909)+COUNTIF(connections!$B$2:$B$1400,$A909))</f>
        <v/>
      </c>
      <c r="E909">
        <f>IF($A909="","",IFERROR(MATCH($C909,$R$2:$R$5,0),0))</f>
        <v/>
      </c>
      <c r="F909">
        <f>IF($A909="","",MOD(ROW(),34))</f>
        <v/>
      </c>
      <c r="G909">
        <f>IF($A909="",NA(),IF($C909="Action",$B909,NA()))</f>
        <v/>
      </c>
      <c r="H909">
        <f>IF($A909="",NA(),IF($C909="Action",1+$F909*0.023,NA()))</f>
        <v/>
      </c>
      <c r="I909">
        <f>IF($A909="",NA(),IF($C909="Strategy",$B909,NA()))</f>
        <v/>
      </c>
      <c r="J909">
        <f>IF($A909="",NA(),IF($C909="Strategy",2+$F909*0.023,NA()))</f>
        <v/>
      </c>
      <c r="K909">
        <f>IF($A909="",NA(),IF($C909="Deckbuilder",$B909,NA()))</f>
        <v/>
      </c>
      <c r="L909">
        <f>IF($A909="",NA(),IF($C909="Deckbuilder",3+$F909*0.023,NA()))</f>
        <v/>
      </c>
      <c r="M909">
        <f>IF($A909="",NA(),IF($C909="Traditional",$B909,NA()))</f>
        <v/>
      </c>
      <c r="N909">
        <f>IF($A909="",NA(),IF($C909="Traditional",4+$F909*0.023,NA()))</f>
        <v/>
      </c>
      <c r="O909">
        <f>IF($A909="","",$D909+ROW()/1000000)</f>
        <v/>
      </c>
      <c r="P909">
        <f>IF(OR($A909="",games!$H909=""),"",games!$H909)</f>
        <v/>
      </c>
      <c r="Q909">
        <f>IF(OR($A909="",$P909&lt;&gt;"Yes"),"",$D909+ROW()/1000000)</f>
        <v/>
      </c>
      <c r="T909">
        <f>IF(connections!$A909="","",IFERROR(INDEX(games!$B$2:$B$950,MATCH(connections!$A909,games!$A$2:$A$950,0)),""))</f>
        <v/>
      </c>
      <c r="U909">
        <f>IF(connections!$A909="","",IFERROR(INDEX(games!$B$2:$B$950,MATCH(connections!$B909,games!$A$2:$A$950,0)),""))</f>
        <v/>
      </c>
      <c r="V909">
        <f>IF(OR($T909="",$U909=""),"",$U909-$T909)</f>
        <v/>
      </c>
    </row>
    <row r="910">
      <c r="A910">
        <f>IF(games!$A910="","",games!$A910)</f>
        <v/>
      </c>
      <c r="B910">
        <f>IF($A910="","",games!$B910)</f>
        <v/>
      </c>
      <c r="C910">
        <f>IF($A910="","",games!$C910)</f>
        <v/>
      </c>
      <c r="D910">
        <f>IF($A910="","",COUNTIF(connections!$A$2:$A$1400,$A910)+COUNTIF(connections!$B$2:$B$1400,$A910))</f>
        <v/>
      </c>
      <c r="E910">
        <f>IF($A910="","",IFERROR(MATCH($C910,$R$2:$R$5,0),0))</f>
        <v/>
      </c>
      <c r="F910">
        <f>IF($A910="","",MOD(ROW(),34))</f>
        <v/>
      </c>
      <c r="G910">
        <f>IF($A910="",NA(),IF($C910="Action",$B910,NA()))</f>
        <v/>
      </c>
      <c r="H910">
        <f>IF($A910="",NA(),IF($C910="Action",1+$F910*0.023,NA()))</f>
        <v/>
      </c>
      <c r="I910">
        <f>IF($A910="",NA(),IF($C910="Strategy",$B910,NA()))</f>
        <v/>
      </c>
      <c r="J910">
        <f>IF($A910="",NA(),IF($C910="Strategy",2+$F910*0.023,NA()))</f>
        <v/>
      </c>
      <c r="K910">
        <f>IF($A910="",NA(),IF($C910="Deckbuilder",$B910,NA()))</f>
        <v/>
      </c>
      <c r="L910">
        <f>IF($A910="",NA(),IF($C910="Deckbuilder",3+$F910*0.023,NA()))</f>
        <v/>
      </c>
      <c r="M910">
        <f>IF($A910="",NA(),IF($C910="Traditional",$B910,NA()))</f>
        <v/>
      </c>
      <c r="N910">
        <f>IF($A910="",NA(),IF($C910="Traditional",4+$F910*0.023,NA()))</f>
        <v/>
      </c>
      <c r="O910">
        <f>IF($A910="","",$D910+ROW()/1000000)</f>
        <v/>
      </c>
      <c r="P910">
        <f>IF(OR($A910="",games!$H910=""),"",games!$H910)</f>
        <v/>
      </c>
      <c r="Q910">
        <f>IF(OR($A910="",$P910&lt;&gt;"Yes"),"",$D910+ROW()/1000000)</f>
        <v/>
      </c>
      <c r="T910">
        <f>IF(connections!$A910="","",IFERROR(INDEX(games!$B$2:$B$950,MATCH(connections!$A910,games!$A$2:$A$950,0)),""))</f>
        <v/>
      </c>
      <c r="U910">
        <f>IF(connections!$A910="","",IFERROR(INDEX(games!$B$2:$B$950,MATCH(connections!$B910,games!$A$2:$A$950,0)),""))</f>
        <v/>
      </c>
      <c r="V910">
        <f>IF(OR($T910="",$U910=""),"",$U910-$T910)</f>
        <v/>
      </c>
    </row>
    <row r="911">
      <c r="A911">
        <f>IF(games!$A911="","",games!$A911)</f>
        <v/>
      </c>
      <c r="B911">
        <f>IF($A911="","",games!$B911)</f>
        <v/>
      </c>
      <c r="C911">
        <f>IF($A911="","",games!$C911)</f>
        <v/>
      </c>
      <c r="D911">
        <f>IF($A911="","",COUNTIF(connections!$A$2:$A$1400,$A911)+COUNTIF(connections!$B$2:$B$1400,$A911))</f>
        <v/>
      </c>
      <c r="E911">
        <f>IF($A911="","",IFERROR(MATCH($C911,$R$2:$R$5,0),0))</f>
        <v/>
      </c>
      <c r="F911">
        <f>IF($A911="","",MOD(ROW(),34))</f>
        <v/>
      </c>
      <c r="G911">
        <f>IF($A911="",NA(),IF($C911="Action",$B911,NA()))</f>
        <v/>
      </c>
      <c r="H911">
        <f>IF($A911="",NA(),IF($C911="Action",1+$F911*0.023,NA()))</f>
        <v/>
      </c>
      <c r="I911">
        <f>IF($A911="",NA(),IF($C911="Strategy",$B911,NA()))</f>
        <v/>
      </c>
      <c r="J911">
        <f>IF($A911="",NA(),IF($C911="Strategy",2+$F911*0.023,NA()))</f>
        <v/>
      </c>
      <c r="K911">
        <f>IF($A911="",NA(),IF($C911="Deckbuilder",$B911,NA()))</f>
        <v/>
      </c>
      <c r="L911">
        <f>IF($A911="",NA(),IF($C911="Deckbuilder",3+$F911*0.023,NA()))</f>
        <v/>
      </c>
      <c r="M911">
        <f>IF($A911="",NA(),IF($C911="Traditional",$B911,NA()))</f>
        <v/>
      </c>
      <c r="N911">
        <f>IF($A911="",NA(),IF($C911="Traditional",4+$F911*0.023,NA()))</f>
        <v/>
      </c>
      <c r="O911">
        <f>IF($A911="","",$D911+ROW()/1000000)</f>
        <v/>
      </c>
      <c r="P911">
        <f>IF(OR($A911="",games!$H911=""),"",games!$H911)</f>
        <v/>
      </c>
      <c r="Q911">
        <f>IF(OR($A911="",$P911&lt;&gt;"Yes"),"",$D911+ROW()/1000000)</f>
        <v/>
      </c>
      <c r="T911">
        <f>IF(connections!$A911="","",IFERROR(INDEX(games!$B$2:$B$950,MATCH(connections!$A911,games!$A$2:$A$950,0)),""))</f>
        <v/>
      </c>
      <c r="U911">
        <f>IF(connections!$A911="","",IFERROR(INDEX(games!$B$2:$B$950,MATCH(connections!$B911,games!$A$2:$A$950,0)),""))</f>
        <v/>
      </c>
      <c r="V911">
        <f>IF(OR($T911="",$U911=""),"",$U911-$T911)</f>
        <v/>
      </c>
    </row>
    <row r="912">
      <c r="A912">
        <f>IF(games!$A912="","",games!$A912)</f>
        <v/>
      </c>
      <c r="B912">
        <f>IF($A912="","",games!$B912)</f>
        <v/>
      </c>
      <c r="C912">
        <f>IF($A912="","",games!$C912)</f>
        <v/>
      </c>
      <c r="D912">
        <f>IF($A912="","",COUNTIF(connections!$A$2:$A$1400,$A912)+COUNTIF(connections!$B$2:$B$1400,$A912))</f>
        <v/>
      </c>
      <c r="E912">
        <f>IF($A912="","",IFERROR(MATCH($C912,$R$2:$R$5,0),0))</f>
        <v/>
      </c>
      <c r="F912">
        <f>IF($A912="","",MOD(ROW(),34))</f>
        <v/>
      </c>
      <c r="G912">
        <f>IF($A912="",NA(),IF($C912="Action",$B912,NA()))</f>
        <v/>
      </c>
      <c r="H912">
        <f>IF($A912="",NA(),IF($C912="Action",1+$F912*0.023,NA()))</f>
        <v/>
      </c>
      <c r="I912">
        <f>IF($A912="",NA(),IF($C912="Strategy",$B912,NA()))</f>
        <v/>
      </c>
      <c r="J912">
        <f>IF($A912="",NA(),IF($C912="Strategy",2+$F912*0.023,NA()))</f>
        <v/>
      </c>
      <c r="K912">
        <f>IF($A912="",NA(),IF($C912="Deckbuilder",$B912,NA()))</f>
        <v/>
      </c>
      <c r="L912">
        <f>IF($A912="",NA(),IF($C912="Deckbuilder",3+$F912*0.023,NA()))</f>
        <v/>
      </c>
      <c r="M912">
        <f>IF($A912="",NA(),IF($C912="Traditional",$B912,NA()))</f>
        <v/>
      </c>
      <c r="N912">
        <f>IF($A912="",NA(),IF($C912="Traditional",4+$F912*0.023,NA()))</f>
        <v/>
      </c>
      <c r="O912">
        <f>IF($A912="","",$D912+ROW()/1000000)</f>
        <v/>
      </c>
      <c r="P912">
        <f>IF(OR($A912="",games!$H912=""),"",games!$H912)</f>
        <v/>
      </c>
      <c r="Q912">
        <f>IF(OR($A912="",$P912&lt;&gt;"Yes"),"",$D912+ROW()/1000000)</f>
        <v/>
      </c>
      <c r="T912">
        <f>IF(connections!$A912="","",IFERROR(INDEX(games!$B$2:$B$950,MATCH(connections!$A912,games!$A$2:$A$950,0)),""))</f>
        <v/>
      </c>
      <c r="U912">
        <f>IF(connections!$A912="","",IFERROR(INDEX(games!$B$2:$B$950,MATCH(connections!$B912,games!$A$2:$A$950,0)),""))</f>
        <v/>
      </c>
      <c r="V912">
        <f>IF(OR($T912="",$U912=""),"",$U912-$T912)</f>
        <v/>
      </c>
    </row>
    <row r="913">
      <c r="A913">
        <f>IF(games!$A913="","",games!$A913)</f>
        <v/>
      </c>
      <c r="B913">
        <f>IF($A913="","",games!$B913)</f>
        <v/>
      </c>
      <c r="C913">
        <f>IF($A913="","",games!$C913)</f>
        <v/>
      </c>
      <c r="D913">
        <f>IF($A913="","",COUNTIF(connections!$A$2:$A$1400,$A913)+COUNTIF(connections!$B$2:$B$1400,$A913))</f>
        <v/>
      </c>
      <c r="E913">
        <f>IF($A913="","",IFERROR(MATCH($C913,$R$2:$R$5,0),0))</f>
        <v/>
      </c>
      <c r="F913">
        <f>IF($A913="","",MOD(ROW(),34))</f>
        <v/>
      </c>
      <c r="G913">
        <f>IF($A913="",NA(),IF($C913="Action",$B913,NA()))</f>
        <v/>
      </c>
      <c r="H913">
        <f>IF($A913="",NA(),IF($C913="Action",1+$F913*0.023,NA()))</f>
        <v/>
      </c>
      <c r="I913">
        <f>IF($A913="",NA(),IF($C913="Strategy",$B913,NA()))</f>
        <v/>
      </c>
      <c r="J913">
        <f>IF($A913="",NA(),IF($C913="Strategy",2+$F913*0.023,NA()))</f>
        <v/>
      </c>
      <c r="K913">
        <f>IF($A913="",NA(),IF($C913="Deckbuilder",$B913,NA()))</f>
        <v/>
      </c>
      <c r="L913">
        <f>IF($A913="",NA(),IF($C913="Deckbuilder",3+$F913*0.023,NA()))</f>
        <v/>
      </c>
      <c r="M913">
        <f>IF($A913="",NA(),IF($C913="Traditional",$B913,NA()))</f>
        <v/>
      </c>
      <c r="N913">
        <f>IF($A913="",NA(),IF($C913="Traditional",4+$F913*0.023,NA()))</f>
        <v/>
      </c>
      <c r="O913">
        <f>IF($A913="","",$D913+ROW()/1000000)</f>
        <v/>
      </c>
      <c r="P913">
        <f>IF(OR($A913="",games!$H913=""),"",games!$H913)</f>
        <v/>
      </c>
      <c r="Q913">
        <f>IF(OR($A913="",$P913&lt;&gt;"Yes"),"",$D913+ROW()/1000000)</f>
        <v/>
      </c>
      <c r="T913">
        <f>IF(connections!$A913="","",IFERROR(INDEX(games!$B$2:$B$950,MATCH(connections!$A913,games!$A$2:$A$950,0)),""))</f>
        <v/>
      </c>
      <c r="U913">
        <f>IF(connections!$A913="","",IFERROR(INDEX(games!$B$2:$B$950,MATCH(connections!$B913,games!$A$2:$A$950,0)),""))</f>
        <v/>
      </c>
      <c r="V913">
        <f>IF(OR($T913="",$U913=""),"",$U913-$T913)</f>
        <v/>
      </c>
    </row>
    <row r="914">
      <c r="A914">
        <f>IF(games!$A914="","",games!$A914)</f>
        <v/>
      </c>
      <c r="B914">
        <f>IF($A914="","",games!$B914)</f>
        <v/>
      </c>
      <c r="C914">
        <f>IF($A914="","",games!$C914)</f>
        <v/>
      </c>
      <c r="D914">
        <f>IF($A914="","",COUNTIF(connections!$A$2:$A$1400,$A914)+COUNTIF(connections!$B$2:$B$1400,$A914))</f>
        <v/>
      </c>
      <c r="E914">
        <f>IF($A914="","",IFERROR(MATCH($C914,$R$2:$R$5,0),0))</f>
        <v/>
      </c>
      <c r="F914">
        <f>IF($A914="","",MOD(ROW(),34))</f>
        <v/>
      </c>
      <c r="G914">
        <f>IF($A914="",NA(),IF($C914="Action",$B914,NA()))</f>
        <v/>
      </c>
      <c r="H914">
        <f>IF($A914="",NA(),IF($C914="Action",1+$F914*0.023,NA()))</f>
        <v/>
      </c>
      <c r="I914">
        <f>IF($A914="",NA(),IF($C914="Strategy",$B914,NA()))</f>
        <v/>
      </c>
      <c r="J914">
        <f>IF($A914="",NA(),IF($C914="Strategy",2+$F914*0.023,NA()))</f>
        <v/>
      </c>
      <c r="K914">
        <f>IF($A914="",NA(),IF($C914="Deckbuilder",$B914,NA()))</f>
        <v/>
      </c>
      <c r="L914">
        <f>IF($A914="",NA(),IF($C914="Deckbuilder",3+$F914*0.023,NA()))</f>
        <v/>
      </c>
      <c r="M914">
        <f>IF($A914="",NA(),IF($C914="Traditional",$B914,NA()))</f>
        <v/>
      </c>
      <c r="N914">
        <f>IF($A914="",NA(),IF($C914="Traditional",4+$F914*0.023,NA()))</f>
        <v/>
      </c>
      <c r="O914">
        <f>IF($A914="","",$D914+ROW()/1000000)</f>
        <v/>
      </c>
      <c r="P914">
        <f>IF(OR($A914="",games!$H914=""),"",games!$H914)</f>
        <v/>
      </c>
      <c r="Q914">
        <f>IF(OR($A914="",$P914&lt;&gt;"Yes"),"",$D914+ROW()/1000000)</f>
        <v/>
      </c>
      <c r="T914">
        <f>IF(connections!$A914="","",IFERROR(INDEX(games!$B$2:$B$950,MATCH(connections!$A914,games!$A$2:$A$950,0)),""))</f>
        <v/>
      </c>
      <c r="U914">
        <f>IF(connections!$A914="","",IFERROR(INDEX(games!$B$2:$B$950,MATCH(connections!$B914,games!$A$2:$A$950,0)),""))</f>
        <v/>
      </c>
      <c r="V914">
        <f>IF(OR($T914="",$U914=""),"",$U914-$T914)</f>
        <v/>
      </c>
    </row>
    <row r="915">
      <c r="A915">
        <f>IF(games!$A915="","",games!$A915)</f>
        <v/>
      </c>
      <c r="B915">
        <f>IF($A915="","",games!$B915)</f>
        <v/>
      </c>
      <c r="C915">
        <f>IF($A915="","",games!$C915)</f>
        <v/>
      </c>
      <c r="D915">
        <f>IF($A915="","",COUNTIF(connections!$A$2:$A$1400,$A915)+COUNTIF(connections!$B$2:$B$1400,$A915))</f>
        <v/>
      </c>
      <c r="E915">
        <f>IF($A915="","",IFERROR(MATCH($C915,$R$2:$R$5,0),0))</f>
        <v/>
      </c>
      <c r="F915">
        <f>IF($A915="","",MOD(ROW(),34))</f>
        <v/>
      </c>
      <c r="G915">
        <f>IF($A915="",NA(),IF($C915="Action",$B915,NA()))</f>
        <v/>
      </c>
      <c r="H915">
        <f>IF($A915="",NA(),IF($C915="Action",1+$F915*0.023,NA()))</f>
        <v/>
      </c>
      <c r="I915">
        <f>IF($A915="",NA(),IF($C915="Strategy",$B915,NA()))</f>
        <v/>
      </c>
      <c r="J915">
        <f>IF($A915="",NA(),IF($C915="Strategy",2+$F915*0.023,NA()))</f>
        <v/>
      </c>
      <c r="K915">
        <f>IF($A915="",NA(),IF($C915="Deckbuilder",$B915,NA()))</f>
        <v/>
      </c>
      <c r="L915">
        <f>IF($A915="",NA(),IF($C915="Deckbuilder",3+$F915*0.023,NA()))</f>
        <v/>
      </c>
      <c r="M915">
        <f>IF($A915="",NA(),IF($C915="Traditional",$B915,NA()))</f>
        <v/>
      </c>
      <c r="N915">
        <f>IF($A915="",NA(),IF($C915="Traditional",4+$F915*0.023,NA()))</f>
        <v/>
      </c>
      <c r="O915">
        <f>IF($A915="","",$D915+ROW()/1000000)</f>
        <v/>
      </c>
      <c r="P915">
        <f>IF(OR($A915="",games!$H915=""),"",games!$H915)</f>
        <v/>
      </c>
      <c r="Q915">
        <f>IF(OR($A915="",$P915&lt;&gt;"Yes"),"",$D915+ROW()/1000000)</f>
        <v/>
      </c>
      <c r="T915">
        <f>IF(connections!$A915="","",IFERROR(INDEX(games!$B$2:$B$950,MATCH(connections!$A915,games!$A$2:$A$950,0)),""))</f>
        <v/>
      </c>
      <c r="U915">
        <f>IF(connections!$A915="","",IFERROR(INDEX(games!$B$2:$B$950,MATCH(connections!$B915,games!$A$2:$A$950,0)),""))</f>
        <v/>
      </c>
      <c r="V915">
        <f>IF(OR($T915="",$U915=""),"",$U915-$T915)</f>
        <v/>
      </c>
    </row>
    <row r="916">
      <c r="A916">
        <f>IF(games!$A916="","",games!$A916)</f>
        <v/>
      </c>
      <c r="B916">
        <f>IF($A916="","",games!$B916)</f>
        <v/>
      </c>
      <c r="C916">
        <f>IF($A916="","",games!$C916)</f>
        <v/>
      </c>
      <c r="D916">
        <f>IF($A916="","",COUNTIF(connections!$A$2:$A$1400,$A916)+COUNTIF(connections!$B$2:$B$1400,$A916))</f>
        <v/>
      </c>
      <c r="E916">
        <f>IF($A916="","",IFERROR(MATCH($C916,$R$2:$R$5,0),0))</f>
        <v/>
      </c>
      <c r="F916">
        <f>IF($A916="","",MOD(ROW(),34))</f>
        <v/>
      </c>
      <c r="G916">
        <f>IF($A916="",NA(),IF($C916="Action",$B916,NA()))</f>
        <v/>
      </c>
      <c r="H916">
        <f>IF($A916="",NA(),IF($C916="Action",1+$F916*0.023,NA()))</f>
        <v/>
      </c>
      <c r="I916">
        <f>IF($A916="",NA(),IF($C916="Strategy",$B916,NA()))</f>
        <v/>
      </c>
      <c r="J916">
        <f>IF($A916="",NA(),IF($C916="Strategy",2+$F916*0.023,NA()))</f>
        <v/>
      </c>
      <c r="K916">
        <f>IF($A916="",NA(),IF($C916="Deckbuilder",$B916,NA()))</f>
        <v/>
      </c>
      <c r="L916">
        <f>IF($A916="",NA(),IF($C916="Deckbuilder",3+$F916*0.023,NA()))</f>
        <v/>
      </c>
      <c r="M916">
        <f>IF($A916="",NA(),IF($C916="Traditional",$B916,NA()))</f>
        <v/>
      </c>
      <c r="N916">
        <f>IF($A916="",NA(),IF($C916="Traditional",4+$F916*0.023,NA()))</f>
        <v/>
      </c>
      <c r="O916">
        <f>IF($A916="","",$D916+ROW()/1000000)</f>
        <v/>
      </c>
      <c r="P916">
        <f>IF(OR($A916="",games!$H916=""),"",games!$H916)</f>
        <v/>
      </c>
      <c r="Q916">
        <f>IF(OR($A916="",$P916&lt;&gt;"Yes"),"",$D916+ROW()/1000000)</f>
        <v/>
      </c>
      <c r="T916">
        <f>IF(connections!$A916="","",IFERROR(INDEX(games!$B$2:$B$950,MATCH(connections!$A916,games!$A$2:$A$950,0)),""))</f>
        <v/>
      </c>
      <c r="U916">
        <f>IF(connections!$A916="","",IFERROR(INDEX(games!$B$2:$B$950,MATCH(connections!$B916,games!$A$2:$A$950,0)),""))</f>
        <v/>
      </c>
      <c r="V916">
        <f>IF(OR($T916="",$U916=""),"",$U916-$T916)</f>
        <v/>
      </c>
    </row>
    <row r="917">
      <c r="A917">
        <f>IF(games!$A917="","",games!$A917)</f>
        <v/>
      </c>
      <c r="B917">
        <f>IF($A917="","",games!$B917)</f>
        <v/>
      </c>
      <c r="C917">
        <f>IF($A917="","",games!$C917)</f>
        <v/>
      </c>
      <c r="D917">
        <f>IF($A917="","",COUNTIF(connections!$A$2:$A$1400,$A917)+COUNTIF(connections!$B$2:$B$1400,$A917))</f>
        <v/>
      </c>
      <c r="E917">
        <f>IF($A917="","",IFERROR(MATCH($C917,$R$2:$R$5,0),0))</f>
        <v/>
      </c>
      <c r="F917">
        <f>IF($A917="","",MOD(ROW(),34))</f>
        <v/>
      </c>
      <c r="G917">
        <f>IF($A917="",NA(),IF($C917="Action",$B917,NA()))</f>
        <v/>
      </c>
      <c r="H917">
        <f>IF($A917="",NA(),IF($C917="Action",1+$F917*0.023,NA()))</f>
        <v/>
      </c>
      <c r="I917">
        <f>IF($A917="",NA(),IF($C917="Strategy",$B917,NA()))</f>
        <v/>
      </c>
      <c r="J917">
        <f>IF($A917="",NA(),IF($C917="Strategy",2+$F917*0.023,NA()))</f>
        <v/>
      </c>
      <c r="K917">
        <f>IF($A917="",NA(),IF($C917="Deckbuilder",$B917,NA()))</f>
        <v/>
      </c>
      <c r="L917">
        <f>IF($A917="",NA(),IF($C917="Deckbuilder",3+$F917*0.023,NA()))</f>
        <v/>
      </c>
      <c r="M917">
        <f>IF($A917="",NA(),IF($C917="Traditional",$B917,NA()))</f>
        <v/>
      </c>
      <c r="N917">
        <f>IF($A917="",NA(),IF($C917="Traditional",4+$F917*0.023,NA()))</f>
        <v/>
      </c>
      <c r="O917">
        <f>IF($A917="","",$D917+ROW()/1000000)</f>
        <v/>
      </c>
      <c r="P917">
        <f>IF(OR($A917="",games!$H917=""),"",games!$H917)</f>
        <v/>
      </c>
      <c r="Q917">
        <f>IF(OR($A917="",$P917&lt;&gt;"Yes"),"",$D917+ROW()/1000000)</f>
        <v/>
      </c>
      <c r="T917">
        <f>IF(connections!$A917="","",IFERROR(INDEX(games!$B$2:$B$950,MATCH(connections!$A917,games!$A$2:$A$950,0)),""))</f>
        <v/>
      </c>
      <c r="U917">
        <f>IF(connections!$A917="","",IFERROR(INDEX(games!$B$2:$B$950,MATCH(connections!$B917,games!$A$2:$A$950,0)),""))</f>
        <v/>
      </c>
      <c r="V917">
        <f>IF(OR($T917="",$U917=""),"",$U917-$T917)</f>
        <v/>
      </c>
    </row>
    <row r="918">
      <c r="A918">
        <f>IF(games!$A918="","",games!$A918)</f>
        <v/>
      </c>
      <c r="B918">
        <f>IF($A918="","",games!$B918)</f>
        <v/>
      </c>
      <c r="C918">
        <f>IF($A918="","",games!$C918)</f>
        <v/>
      </c>
      <c r="D918">
        <f>IF($A918="","",COUNTIF(connections!$A$2:$A$1400,$A918)+COUNTIF(connections!$B$2:$B$1400,$A918))</f>
        <v/>
      </c>
      <c r="E918">
        <f>IF($A918="","",IFERROR(MATCH($C918,$R$2:$R$5,0),0))</f>
        <v/>
      </c>
      <c r="F918">
        <f>IF($A918="","",MOD(ROW(),34))</f>
        <v/>
      </c>
      <c r="G918">
        <f>IF($A918="",NA(),IF($C918="Action",$B918,NA()))</f>
        <v/>
      </c>
      <c r="H918">
        <f>IF($A918="",NA(),IF($C918="Action",1+$F918*0.023,NA()))</f>
        <v/>
      </c>
      <c r="I918">
        <f>IF($A918="",NA(),IF($C918="Strategy",$B918,NA()))</f>
        <v/>
      </c>
      <c r="J918">
        <f>IF($A918="",NA(),IF($C918="Strategy",2+$F918*0.023,NA()))</f>
        <v/>
      </c>
      <c r="K918">
        <f>IF($A918="",NA(),IF($C918="Deckbuilder",$B918,NA()))</f>
        <v/>
      </c>
      <c r="L918">
        <f>IF($A918="",NA(),IF($C918="Deckbuilder",3+$F918*0.023,NA()))</f>
        <v/>
      </c>
      <c r="M918">
        <f>IF($A918="",NA(),IF($C918="Traditional",$B918,NA()))</f>
        <v/>
      </c>
      <c r="N918">
        <f>IF($A918="",NA(),IF($C918="Traditional",4+$F918*0.023,NA()))</f>
        <v/>
      </c>
      <c r="O918">
        <f>IF($A918="","",$D918+ROW()/1000000)</f>
        <v/>
      </c>
      <c r="P918">
        <f>IF(OR($A918="",games!$H918=""),"",games!$H918)</f>
        <v/>
      </c>
      <c r="Q918">
        <f>IF(OR($A918="",$P918&lt;&gt;"Yes"),"",$D918+ROW()/1000000)</f>
        <v/>
      </c>
      <c r="T918">
        <f>IF(connections!$A918="","",IFERROR(INDEX(games!$B$2:$B$950,MATCH(connections!$A918,games!$A$2:$A$950,0)),""))</f>
        <v/>
      </c>
      <c r="U918">
        <f>IF(connections!$A918="","",IFERROR(INDEX(games!$B$2:$B$950,MATCH(connections!$B918,games!$A$2:$A$950,0)),""))</f>
        <v/>
      </c>
      <c r="V918">
        <f>IF(OR($T918="",$U918=""),"",$U918-$T918)</f>
        <v/>
      </c>
    </row>
    <row r="919">
      <c r="A919">
        <f>IF(games!$A919="","",games!$A919)</f>
        <v/>
      </c>
      <c r="B919">
        <f>IF($A919="","",games!$B919)</f>
        <v/>
      </c>
      <c r="C919">
        <f>IF($A919="","",games!$C919)</f>
        <v/>
      </c>
      <c r="D919">
        <f>IF($A919="","",COUNTIF(connections!$A$2:$A$1400,$A919)+COUNTIF(connections!$B$2:$B$1400,$A919))</f>
        <v/>
      </c>
      <c r="E919">
        <f>IF($A919="","",IFERROR(MATCH($C919,$R$2:$R$5,0),0))</f>
        <v/>
      </c>
      <c r="F919">
        <f>IF($A919="","",MOD(ROW(),34))</f>
        <v/>
      </c>
      <c r="G919">
        <f>IF($A919="",NA(),IF($C919="Action",$B919,NA()))</f>
        <v/>
      </c>
      <c r="H919">
        <f>IF($A919="",NA(),IF($C919="Action",1+$F919*0.023,NA()))</f>
        <v/>
      </c>
      <c r="I919">
        <f>IF($A919="",NA(),IF($C919="Strategy",$B919,NA()))</f>
        <v/>
      </c>
      <c r="J919">
        <f>IF($A919="",NA(),IF($C919="Strategy",2+$F919*0.023,NA()))</f>
        <v/>
      </c>
      <c r="K919">
        <f>IF($A919="",NA(),IF($C919="Deckbuilder",$B919,NA()))</f>
        <v/>
      </c>
      <c r="L919">
        <f>IF($A919="",NA(),IF($C919="Deckbuilder",3+$F919*0.023,NA()))</f>
        <v/>
      </c>
      <c r="M919">
        <f>IF($A919="",NA(),IF($C919="Traditional",$B919,NA()))</f>
        <v/>
      </c>
      <c r="N919">
        <f>IF($A919="",NA(),IF($C919="Traditional",4+$F919*0.023,NA()))</f>
        <v/>
      </c>
      <c r="O919">
        <f>IF($A919="","",$D919+ROW()/1000000)</f>
        <v/>
      </c>
      <c r="P919">
        <f>IF(OR($A919="",games!$H919=""),"",games!$H919)</f>
        <v/>
      </c>
      <c r="Q919">
        <f>IF(OR($A919="",$P919&lt;&gt;"Yes"),"",$D919+ROW()/1000000)</f>
        <v/>
      </c>
      <c r="T919">
        <f>IF(connections!$A919="","",IFERROR(INDEX(games!$B$2:$B$950,MATCH(connections!$A919,games!$A$2:$A$950,0)),""))</f>
        <v/>
      </c>
      <c r="U919">
        <f>IF(connections!$A919="","",IFERROR(INDEX(games!$B$2:$B$950,MATCH(connections!$B919,games!$A$2:$A$950,0)),""))</f>
        <v/>
      </c>
      <c r="V919">
        <f>IF(OR($T919="",$U919=""),"",$U919-$T919)</f>
        <v/>
      </c>
    </row>
    <row r="920">
      <c r="A920">
        <f>IF(games!$A920="","",games!$A920)</f>
        <v/>
      </c>
      <c r="B920">
        <f>IF($A920="","",games!$B920)</f>
        <v/>
      </c>
      <c r="C920">
        <f>IF($A920="","",games!$C920)</f>
        <v/>
      </c>
      <c r="D920">
        <f>IF($A920="","",COUNTIF(connections!$A$2:$A$1400,$A920)+COUNTIF(connections!$B$2:$B$1400,$A920))</f>
        <v/>
      </c>
      <c r="E920">
        <f>IF($A920="","",IFERROR(MATCH($C920,$R$2:$R$5,0),0))</f>
        <v/>
      </c>
      <c r="F920">
        <f>IF($A920="","",MOD(ROW(),34))</f>
        <v/>
      </c>
      <c r="G920">
        <f>IF($A920="",NA(),IF($C920="Action",$B920,NA()))</f>
        <v/>
      </c>
      <c r="H920">
        <f>IF($A920="",NA(),IF($C920="Action",1+$F920*0.023,NA()))</f>
        <v/>
      </c>
      <c r="I920">
        <f>IF($A920="",NA(),IF($C920="Strategy",$B920,NA()))</f>
        <v/>
      </c>
      <c r="J920">
        <f>IF($A920="",NA(),IF($C920="Strategy",2+$F920*0.023,NA()))</f>
        <v/>
      </c>
      <c r="K920">
        <f>IF($A920="",NA(),IF($C920="Deckbuilder",$B920,NA()))</f>
        <v/>
      </c>
      <c r="L920">
        <f>IF($A920="",NA(),IF($C920="Deckbuilder",3+$F920*0.023,NA()))</f>
        <v/>
      </c>
      <c r="M920">
        <f>IF($A920="",NA(),IF($C920="Traditional",$B920,NA()))</f>
        <v/>
      </c>
      <c r="N920">
        <f>IF($A920="",NA(),IF($C920="Traditional",4+$F920*0.023,NA()))</f>
        <v/>
      </c>
      <c r="O920">
        <f>IF($A920="","",$D920+ROW()/1000000)</f>
        <v/>
      </c>
      <c r="P920">
        <f>IF(OR($A920="",games!$H920=""),"",games!$H920)</f>
        <v/>
      </c>
      <c r="Q920">
        <f>IF(OR($A920="",$P920&lt;&gt;"Yes"),"",$D920+ROW()/1000000)</f>
        <v/>
      </c>
      <c r="T920">
        <f>IF(connections!$A920="","",IFERROR(INDEX(games!$B$2:$B$950,MATCH(connections!$A920,games!$A$2:$A$950,0)),""))</f>
        <v/>
      </c>
      <c r="U920">
        <f>IF(connections!$A920="","",IFERROR(INDEX(games!$B$2:$B$950,MATCH(connections!$B920,games!$A$2:$A$950,0)),""))</f>
        <v/>
      </c>
      <c r="V920">
        <f>IF(OR($T920="",$U920=""),"",$U920-$T920)</f>
        <v/>
      </c>
    </row>
    <row r="921">
      <c r="A921">
        <f>IF(games!$A921="","",games!$A921)</f>
        <v/>
      </c>
      <c r="B921">
        <f>IF($A921="","",games!$B921)</f>
        <v/>
      </c>
      <c r="C921">
        <f>IF($A921="","",games!$C921)</f>
        <v/>
      </c>
      <c r="D921">
        <f>IF($A921="","",COUNTIF(connections!$A$2:$A$1400,$A921)+COUNTIF(connections!$B$2:$B$1400,$A921))</f>
        <v/>
      </c>
      <c r="E921">
        <f>IF($A921="","",IFERROR(MATCH($C921,$R$2:$R$5,0),0))</f>
        <v/>
      </c>
      <c r="F921">
        <f>IF($A921="","",MOD(ROW(),34))</f>
        <v/>
      </c>
      <c r="G921">
        <f>IF($A921="",NA(),IF($C921="Action",$B921,NA()))</f>
        <v/>
      </c>
      <c r="H921">
        <f>IF($A921="",NA(),IF($C921="Action",1+$F921*0.023,NA()))</f>
        <v/>
      </c>
      <c r="I921">
        <f>IF($A921="",NA(),IF($C921="Strategy",$B921,NA()))</f>
        <v/>
      </c>
      <c r="J921">
        <f>IF($A921="",NA(),IF($C921="Strategy",2+$F921*0.023,NA()))</f>
        <v/>
      </c>
      <c r="K921">
        <f>IF($A921="",NA(),IF($C921="Deckbuilder",$B921,NA()))</f>
        <v/>
      </c>
      <c r="L921">
        <f>IF($A921="",NA(),IF($C921="Deckbuilder",3+$F921*0.023,NA()))</f>
        <v/>
      </c>
      <c r="M921">
        <f>IF($A921="",NA(),IF($C921="Traditional",$B921,NA()))</f>
        <v/>
      </c>
      <c r="N921">
        <f>IF($A921="",NA(),IF($C921="Traditional",4+$F921*0.023,NA()))</f>
        <v/>
      </c>
      <c r="O921">
        <f>IF($A921="","",$D921+ROW()/1000000)</f>
        <v/>
      </c>
      <c r="P921">
        <f>IF(OR($A921="",games!$H921=""),"",games!$H921)</f>
        <v/>
      </c>
      <c r="Q921">
        <f>IF(OR($A921="",$P921&lt;&gt;"Yes"),"",$D921+ROW()/1000000)</f>
        <v/>
      </c>
      <c r="T921">
        <f>IF(connections!$A921="","",IFERROR(INDEX(games!$B$2:$B$950,MATCH(connections!$A921,games!$A$2:$A$950,0)),""))</f>
        <v/>
      </c>
      <c r="U921">
        <f>IF(connections!$A921="","",IFERROR(INDEX(games!$B$2:$B$950,MATCH(connections!$B921,games!$A$2:$A$950,0)),""))</f>
        <v/>
      </c>
      <c r="V921">
        <f>IF(OR($T921="",$U921=""),"",$U921-$T921)</f>
        <v/>
      </c>
    </row>
    <row r="922">
      <c r="A922">
        <f>IF(games!$A922="","",games!$A922)</f>
        <v/>
      </c>
      <c r="B922">
        <f>IF($A922="","",games!$B922)</f>
        <v/>
      </c>
      <c r="C922">
        <f>IF($A922="","",games!$C922)</f>
        <v/>
      </c>
      <c r="D922">
        <f>IF($A922="","",COUNTIF(connections!$A$2:$A$1400,$A922)+COUNTIF(connections!$B$2:$B$1400,$A922))</f>
        <v/>
      </c>
      <c r="E922">
        <f>IF($A922="","",IFERROR(MATCH($C922,$R$2:$R$5,0),0))</f>
        <v/>
      </c>
      <c r="F922">
        <f>IF($A922="","",MOD(ROW(),34))</f>
        <v/>
      </c>
      <c r="G922">
        <f>IF($A922="",NA(),IF($C922="Action",$B922,NA()))</f>
        <v/>
      </c>
      <c r="H922">
        <f>IF($A922="",NA(),IF($C922="Action",1+$F922*0.023,NA()))</f>
        <v/>
      </c>
      <c r="I922">
        <f>IF($A922="",NA(),IF($C922="Strategy",$B922,NA()))</f>
        <v/>
      </c>
      <c r="J922">
        <f>IF($A922="",NA(),IF($C922="Strategy",2+$F922*0.023,NA()))</f>
        <v/>
      </c>
      <c r="K922">
        <f>IF($A922="",NA(),IF($C922="Deckbuilder",$B922,NA()))</f>
        <v/>
      </c>
      <c r="L922">
        <f>IF($A922="",NA(),IF($C922="Deckbuilder",3+$F922*0.023,NA()))</f>
        <v/>
      </c>
      <c r="M922">
        <f>IF($A922="",NA(),IF($C922="Traditional",$B922,NA()))</f>
        <v/>
      </c>
      <c r="N922">
        <f>IF($A922="",NA(),IF($C922="Traditional",4+$F922*0.023,NA()))</f>
        <v/>
      </c>
      <c r="O922">
        <f>IF($A922="","",$D922+ROW()/1000000)</f>
        <v/>
      </c>
      <c r="P922">
        <f>IF(OR($A922="",games!$H922=""),"",games!$H922)</f>
        <v/>
      </c>
      <c r="Q922">
        <f>IF(OR($A922="",$P922&lt;&gt;"Yes"),"",$D922+ROW()/1000000)</f>
        <v/>
      </c>
      <c r="T922">
        <f>IF(connections!$A922="","",IFERROR(INDEX(games!$B$2:$B$950,MATCH(connections!$A922,games!$A$2:$A$950,0)),""))</f>
        <v/>
      </c>
      <c r="U922">
        <f>IF(connections!$A922="","",IFERROR(INDEX(games!$B$2:$B$950,MATCH(connections!$B922,games!$A$2:$A$950,0)),""))</f>
        <v/>
      </c>
      <c r="V922">
        <f>IF(OR($T922="",$U922=""),"",$U922-$T922)</f>
        <v/>
      </c>
    </row>
    <row r="923">
      <c r="A923">
        <f>IF(games!$A923="","",games!$A923)</f>
        <v/>
      </c>
      <c r="B923">
        <f>IF($A923="","",games!$B923)</f>
        <v/>
      </c>
      <c r="C923">
        <f>IF($A923="","",games!$C923)</f>
        <v/>
      </c>
      <c r="D923">
        <f>IF($A923="","",COUNTIF(connections!$A$2:$A$1400,$A923)+COUNTIF(connections!$B$2:$B$1400,$A923))</f>
        <v/>
      </c>
      <c r="E923">
        <f>IF($A923="","",IFERROR(MATCH($C923,$R$2:$R$5,0),0))</f>
        <v/>
      </c>
      <c r="F923">
        <f>IF($A923="","",MOD(ROW(),34))</f>
        <v/>
      </c>
      <c r="G923">
        <f>IF($A923="",NA(),IF($C923="Action",$B923,NA()))</f>
        <v/>
      </c>
      <c r="H923">
        <f>IF($A923="",NA(),IF($C923="Action",1+$F923*0.023,NA()))</f>
        <v/>
      </c>
      <c r="I923">
        <f>IF($A923="",NA(),IF($C923="Strategy",$B923,NA()))</f>
        <v/>
      </c>
      <c r="J923">
        <f>IF($A923="",NA(),IF($C923="Strategy",2+$F923*0.023,NA()))</f>
        <v/>
      </c>
      <c r="K923">
        <f>IF($A923="",NA(),IF($C923="Deckbuilder",$B923,NA()))</f>
        <v/>
      </c>
      <c r="L923">
        <f>IF($A923="",NA(),IF($C923="Deckbuilder",3+$F923*0.023,NA()))</f>
        <v/>
      </c>
      <c r="M923">
        <f>IF($A923="",NA(),IF($C923="Traditional",$B923,NA()))</f>
        <v/>
      </c>
      <c r="N923">
        <f>IF($A923="",NA(),IF($C923="Traditional",4+$F923*0.023,NA()))</f>
        <v/>
      </c>
      <c r="O923">
        <f>IF($A923="","",$D923+ROW()/1000000)</f>
        <v/>
      </c>
      <c r="P923">
        <f>IF(OR($A923="",games!$H923=""),"",games!$H923)</f>
        <v/>
      </c>
      <c r="Q923">
        <f>IF(OR($A923="",$P923&lt;&gt;"Yes"),"",$D923+ROW()/1000000)</f>
        <v/>
      </c>
      <c r="T923">
        <f>IF(connections!$A923="","",IFERROR(INDEX(games!$B$2:$B$950,MATCH(connections!$A923,games!$A$2:$A$950,0)),""))</f>
        <v/>
      </c>
      <c r="U923">
        <f>IF(connections!$A923="","",IFERROR(INDEX(games!$B$2:$B$950,MATCH(connections!$B923,games!$A$2:$A$950,0)),""))</f>
        <v/>
      </c>
      <c r="V923">
        <f>IF(OR($T923="",$U923=""),"",$U923-$T923)</f>
        <v/>
      </c>
    </row>
    <row r="924">
      <c r="A924">
        <f>IF(games!$A924="","",games!$A924)</f>
        <v/>
      </c>
      <c r="B924">
        <f>IF($A924="","",games!$B924)</f>
        <v/>
      </c>
      <c r="C924">
        <f>IF($A924="","",games!$C924)</f>
        <v/>
      </c>
      <c r="D924">
        <f>IF($A924="","",COUNTIF(connections!$A$2:$A$1400,$A924)+COUNTIF(connections!$B$2:$B$1400,$A924))</f>
        <v/>
      </c>
      <c r="E924">
        <f>IF($A924="","",IFERROR(MATCH($C924,$R$2:$R$5,0),0))</f>
        <v/>
      </c>
      <c r="F924">
        <f>IF($A924="","",MOD(ROW(),34))</f>
        <v/>
      </c>
      <c r="G924">
        <f>IF($A924="",NA(),IF($C924="Action",$B924,NA()))</f>
        <v/>
      </c>
      <c r="H924">
        <f>IF($A924="",NA(),IF($C924="Action",1+$F924*0.023,NA()))</f>
        <v/>
      </c>
      <c r="I924">
        <f>IF($A924="",NA(),IF($C924="Strategy",$B924,NA()))</f>
        <v/>
      </c>
      <c r="J924">
        <f>IF($A924="",NA(),IF($C924="Strategy",2+$F924*0.023,NA()))</f>
        <v/>
      </c>
      <c r="K924">
        <f>IF($A924="",NA(),IF($C924="Deckbuilder",$B924,NA()))</f>
        <v/>
      </c>
      <c r="L924">
        <f>IF($A924="",NA(),IF($C924="Deckbuilder",3+$F924*0.023,NA()))</f>
        <v/>
      </c>
      <c r="M924">
        <f>IF($A924="",NA(),IF($C924="Traditional",$B924,NA()))</f>
        <v/>
      </c>
      <c r="N924">
        <f>IF($A924="",NA(),IF($C924="Traditional",4+$F924*0.023,NA()))</f>
        <v/>
      </c>
      <c r="O924">
        <f>IF($A924="","",$D924+ROW()/1000000)</f>
        <v/>
      </c>
      <c r="P924">
        <f>IF(OR($A924="",games!$H924=""),"",games!$H924)</f>
        <v/>
      </c>
      <c r="Q924">
        <f>IF(OR($A924="",$P924&lt;&gt;"Yes"),"",$D924+ROW()/1000000)</f>
        <v/>
      </c>
      <c r="T924">
        <f>IF(connections!$A924="","",IFERROR(INDEX(games!$B$2:$B$950,MATCH(connections!$A924,games!$A$2:$A$950,0)),""))</f>
        <v/>
      </c>
      <c r="U924">
        <f>IF(connections!$A924="","",IFERROR(INDEX(games!$B$2:$B$950,MATCH(connections!$B924,games!$A$2:$A$950,0)),""))</f>
        <v/>
      </c>
      <c r="V924">
        <f>IF(OR($T924="",$U924=""),"",$U924-$T924)</f>
        <v/>
      </c>
    </row>
    <row r="925">
      <c r="A925">
        <f>IF(games!$A925="","",games!$A925)</f>
        <v/>
      </c>
      <c r="B925">
        <f>IF($A925="","",games!$B925)</f>
        <v/>
      </c>
      <c r="C925">
        <f>IF($A925="","",games!$C925)</f>
        <v/>
      </c>
      <c r="D925">
        <f>IF($A925="","",COUNTIF(connections!$A$2:$A$1400,$A925)+COUNTIF(connections!$B$2:$B$1400,$A925))</f>
        <v/>
      </c>
      <c r="E925">
        <f>IF($A925="","",IFERROR(MATCH($C925,$R$2:$R$5,0),0))</f>
        <v/>
      </c>
      <c r="F925">
        <f>IF($A925="","",MOD(ROW(),34))</f>
        <v/>
      </c>
      <c r="G925">
        <f>IF($A925="",NA(),IF($C925="Action",$B925,NA()))</f>
        <v/>
      </c>
      <c r="H925">
        <f>IF($A925="",NA(),IF($C925="Action",1+$F925*0.023,NA()))</f>
        <v/>
      </c>
      <c r="I925">
        <f>IF($A925="",NA(),IF($C925="Strategy",$B925,NA()))</f>
        <v/>
      </c>
      <c r="J925">
        <f>IF($A925="",NA(),IF($C925="Strategy",2+$F925*0.023,NA()))</f>
        <v/>
      </c>
      <c r="K925">
        <f>IF($A925="",NA(),IF($C925="Deckbuilder",$B925,NA()))</f>
        <v/>
      </c>
      <c r="L925">
        <f>IF($A925="",NA(),IF($C925="Deckbuilder",3+$F925*0.023,NA()))</f>
        <v/>
      </c>
      <c r="M925">
        <f>IF($A925="",NA(),IF($C925="Traditional",$B925,NA()))</f>
        <v/>
      </c>
      <c r="N925">
        <f>IF($A925="",NA(),IF($C925="Traditional",4+$F925*0.023,NA()))</f>
        <v/>
      </c>
      <c r="O925">
        <f>IF($A925="","",$D925+ROW()/1000000)</f>
        <v/>
      </c>
      <c r="P925">
        <f>IF(OR($A925="",games!$H925=""),"",games!$H925)</f>
        <v/>
      </c>
      <c r="Q925">
        <f>IF(OR($A925="",$P925&lt;&gt;"Yes"),"",$D925+ROW()/1000000)</f>
        <v/>
      </c>
      <c r="T925">
        <f>IF(connections!$A925="","",IFERROR(INDEX(games!$B$2:$B$950,MATCH(connections!$A925,games!$A$2:$A$950,0)),""))</f>
        <v/>
      </c>
      <c r="U925">
        <f>IF(connections!$A925="","",IFERROR(INDEX(games!$B$2:$B$950,MATCH(connections!$B925,games!$A$2:$A$950,0)),""))</f>
        <v/>
      </c>
      <c r="V925">
        <f>IF(OR($T925="",$U925=""),"",$U925-$T925)</f>
        <v/>
      </c>
    </row>
    <row r="926">
      <c r="A926">
        <f>IF(games!$A926="","",games!$A926)</f>
        <v/>
      </c>
      <c r="B926">
        <f>IF($A926="","",games!$B926)</f>
        <v/>
      </c>
      <c r="C926">
        <f>IF($A926="","",games!$C926)</f>
        <v/>
      </c>
      <c r="D926">
        <f>IF($A926="","",COUNTIF(connections!$A$2:$A$1400,$A926)+COUNTIF(connections!$B$2:$B$1400,$A926))</f>
        <v/>
      </c>
      <c r="E926">
        <f>IF($A926="","",IFERROR(MATCH($C926,$R$2:$R$5,0),0))</f>
        <v/>
      </c>
      <c r="F926">
        <f>IF($A926="","",MOD(ROW(),34))</f>
        <v/>
      </c>
      <c r="G926">
        <f>IF($A926="",NA(),IF($C926="Action",$B926,NA()))</f>
        <v/>
      </c>
      <c r="H926">
        <f>IF($A926="",NA(),IF($C926="Action",1+$F926*0.023,NA()))</f>
        <v/>
      </c>
      <c r="I926">
        <f>IF($A926="",NA(),IF($C926="Strategy",$B926,NA()))</f>
        <v/>
      </c>
      <c r="J926">
        <f>IF($A926="",NA(),IF($C926="Strategy",2+$F926*0.023,NA()))</f>
        <v/>
      </c>
      <c r="K926">
        <f>IF($A926="",NA(),IF($C926="Deckbuilder",$B926,NA()))</f>
        <v/>
      </c>
      <c r="L926">
        <f>IF($A926="",NA(),IF($C926="Deckbuilder",3+$F926*0.023,NA()))</f>
        <v/>
      </c>
      <c r="M926">
        <f>IF($A926="",NA(),IF($C926="Traditional",$B926,NA()))</f>
        <v/>
      </c>
      <c r="N926">
        <f>IF($A926="",NA(),IF($C926="Traditional",4+$F926*0.023,NA()))</f>
        <v/>
      </c>
      <c r="O926">
        <f>IF($A926="","",$D926+ROW()/1000000)</f>
        <v/>
      </c>
      <c r="P926">
        <f>IF(OR($A926="",games!$H926=""),"",games!$H926)</f>
        <v/>
      </c>
      <c r="Q926">
        <f>IF(OR($A926="",$P926&lt;&gt;"Yes"),"",$D926+ROW()/1000000)</f>
        <v/>
      </c>
      <c r="T926">
        <f>IF(connections!$A926="","",IFERROR(INDEX(games!$B$2:$B$950,MATCH(connections!$A926,games!$A$2:$A$950,0)),""))</f>
        <v/>
      </c>
      <c r="U926">
        <f>IF(connections!$A926="","",IFERROR(INDEX(games!$B$2:$B$950,MATCH(connections!$B926,games!$A$2:$A$950,0)),""))</f>
        <v/>
      </c>
      <c r="V926">
        <f>IF(OR($T926="",$U926=""),"",$U926-$T926)</f>
        <v/>
      </c>
    </row>
    <row r="927">
      <c r="A927">
        <f>IF(games!$A927="","",games!$A927)</f>
        <v/>
      </c>
      <c r="B927">
        <f>IF($A927="","",games!$B927)</f>
        <v/>
      </c>
      <c r="C927">
        <f>IF($A927="","",games!$C927)</f>
        <v/>
      </c>
      <c r="D927">
        <f>IF($A927="","",COUNTIF(connections!$A$2:$A$1400,$A927)+COUNTIF(connections!$B$2:$B$1400,$A927))</f>
        <v/>
      </c>
      <c r="E927">
        <f>IF($A927="","",IFERROR(MATCH($C927,$R$2:$R$5,0),0))</f>
        <v/>
      </c>
      <c r="F927">
        <f>IF($A927="","",MOD(ROW(),34))</f>
        <v/>
      </c>
      <c r="G927">
        <f>IF($A927="",NA(),IF($C927="Action",$B927,NA()))</f>
        <v/>
      </c>
      <c r="H927">
        <f>IF($A927="",NA(),IF($C927="Action",1+$F927*0.023,NA()))</f>
        <v/>
      </c>
      <c r="I927">
        <f>IF($A927="",NA(),IF($C927="Strategy",$B927,NA()))</f>
        <v/>
      </c>
      <c r="J927">
        <f>IF($A927="",NA(),IF($C927="Strategy",2+$F927*0.023,NA()))</f>
        <v/>
      </c>
      <c r="K927">
        <f>IF($A927="",NA(),IF($C927="Deckbuilder",$B927,NA()))</f>
        <v/>
      </c>
      <c r="L927">
        <f>IF($A927="",NA(),IF($C927="Deckbuilder",3+$F927*0.023,NA()))</f>
        <v/>
      </c>
      <c r="M927">
        <f>IF($A927="",NA(),IF($C927="Traditional",$B927,NA()))</f>
        <v/>
      </c>
      <c r="N927">
        <f>IF($A927="",NA(),IF($C927="Traditional",4+$F927*0.023,NA()))</f>
        <v/>
      </c>
      <c r="O927">
        <f>IF($A927="","",$D927+ROW()/1000000)</f>
        <v/>
      </c>
      <c r="P927">
        <f>IF(OR($A927="",games!$H927=""),"",games!$H927)</f>
        <v/>
      </c>
      <c r="Q927">
        <f>IF(OR($A927="",$P927&lt;&gt;"Yes"),"",$D927+ROW()/1000000)</f>
        <v/>
      </c>
      <c r="T927">
        <f>IF(connections!$A927="","",IFERROR(INDEX(games!$B$2:$B$950,MATCH(connections!$A927,games!$A$2:$A$950,0)),""))</f>
        <v/>
      </c>
      <c r="U927">
        <f>IF(connections!$A927="","",IFERROR(INDEX(games!$B$2:$B$950,MATCH(connections!$B927,games!$A$2:$A$950,0)),""))</f>
        <v/>
      </c>
      <c r="V927">
        <f>IF(OR($T927="",$U927=""),"",$U927-$T927)</f>
        <v/>
      </c>
    </row>
    <row r="928">
      <c r="A928">
        <f>IF(games!$A928="","",games!$A928)</f>
        <v/>
      </c>
      <c r="B928">
        <f>IF($A928="","",games!$B928)</f>
        <v/>
      </c>
      <c r="C928">
        <f>IF($A928="","",games!$C928)</f>
        <v/>
      </c>
      <c r="D928">
        <f>IF($A928="","",COUNTIF(connections!$A$2:$A$1400,$A928)+COUNTIF(connections!$B$2:$B$1400,$A928))</f>
        <v/>
      </c>
      <c r="E928">
        <f>IF($A928="","",IFERROR(MATCH($C928,$R$2:$R$5,0),0))</f>
        <v/>
      </c>
      <c r="F928">
        <f>IF($A928="","",MOD(ROW(),34))</f>
        <v/>
      </c>
      <c r="G928">
        <f>IF($A928="",NA(),IF($C928="Action",$B928,NA()))</f>
        <v/>
      </c>
      <c r="H928">
        <f>IF($A928="",NA(),IF($C928="Action",1+$F928*0.023,NA()))</f>
        <v/>
      </c>
      <c r="I928">
        <f>IF($A928="",NA(),IF($C928="Strategy",$B928,NA()))</f>
        <v/>
      </c>
      <c r="J928">
        <f>IF($A928="",NA(),IF($C928="Strategy",2+$F928*0.023,NA()))</f>
        <v/>
      </c>
      <c r="K928">
        <f>IF($A928="",NA(),IF($C928="Deckbuilder",$B928,NA()))</f>
        <v/>
      </c>
      <c r="L928">
        <f>IF($A928="",NA(),IF($C928="Deckbuilder",3+$F928*0.023,NA()))</f>
        <v/>
      </c>
      <c r="M928">
        <f>IF($A928="",NA(),IF($C928="Traditional",$B928,NA()))</f>
        <v/>
      </c>
      <c r="N928">
        <f>IF($A928="",NA(),IF($C928="Traditional",4+$F928*0.023,NA()))</f>
        <v/>
      </c>
      <c r="O928">
        <f>IF($A928="","",$D928+ROW()/1000000)</f>
        <v/>
      </c>
      <c r="P928">
        <f>IF(OR($A928="",games!$H928=""),"",games!$H928)</f>
        <v/>
      </c>
      <c r="Q928">
        <f>IF(OR($A928="",$P928&lt;&gt;"Yes"),"",$D928+ROW()/1000000)</f>
        <v/>
      </c>
      <c r="T928">
        <f>IF(connections!$A928="","",IFERROR(INDEX(games!$B$2:$B$950,MATCH(connections!$A928,games!$A$2:$A$950,0)),""))</f>
        <v/>
      </c>
      <c r="U928">
        <f>IF(connections!$A928="","",IFERROR(INDEX(games!$B$2:$B$950,MATCH(connections!$B928,games!$A$2:$A$950,0)),""))</f>
        <v/>
      </c>
      <c r="V928">
        <f>IF(OR($T928="",$U928=""),"",$U928-$T928)</f>
        <v/>
      </c>
    </row>
    <row r="929">
      <c r="A929">
        <f>IF(games!$A929="","",games!$A929)</f>
        <v/>
      </c>
      <c r="B929">
        <f>IF($A929="","",games!$B929)</f>
        <v/>
      </c>
      <c r="C929">
        <f>IF($A929="","",games!$C929)</f>
        <v/>
      </c>
      <c r="D929">
        <f>IF($A929="","",COUNTIF(connections!$A$2:$A$1400,$A929)+COUNTIF(connections!$B$2:$B$1400,$A929))</f>
        <v/>
      </c>
      <c r="E929">
        <f>IF($A929="","",IFERROR(MATCH($C929,$R$2:$R$5,0),0))</f>
        <v/>
      </c>
      <c r="F929">
        <f>IF($A929="","",MOD(ROW(),34))</f>
        <v/>
      </c>
      <c r="G929">
        <f>IF($A929="",NA(),IF($C929="Action",$B929,NA()))</f>
        <v/>
      </c>
      <c r="H929">
        <f>IF($A929="",NA(),IF($C929="Action",1+$F929*0.023,NA()))</f>
        <v/>
      </c>
      <c r="I929">
        <f>IF($A929="",NA(),IF($C929="Strategy",$B929,NA()))</f>
        <v/>
      </c>
      <c r="J929">
        <f>IF($A929="",NA(),IF($C929="Strategy",2+$F929*0.023,NA()))</f>
        <v/>
      </c>
      <c r="K929">
        <f>IF($A929="",NA(),IF($C929="Deckbuilder",$B929,NA()))</f>
        <v/>
      </c>
      <c r="L929">
        <f>IF($A929="",NA(),IF($C929="Deckbuilder",3+$F929*0.023,NA()))</f>
        <v/>
      </c>
      <c r="M929">
        <f>IF($A929="",NA(),IF($C929="Traditional",$B929,NA()))</f>
        <v/>
      </c>
      <c r="N929">
        <f>IF($A929="",NA(),IF($C929="Traditional",4+$F929*0.023,NA()))</f>
        <v/>
      </c>
      <c r="O929">
        <f>IF($A929="","",$D929+ROW()/1000000)</f>
        <v/>
      </c>
      <c r="P929">
        <f>IF(OR($A929="",games!$H929=""),"",games!$H929)</f>
        <v/>
      </c>
      <c r="Q929">
        <f>IF(OR($A929="",$P929&lt;&gt;"Yes"),"",$D929+ROW()/1000000)</f>
        <v/>
      </c>
      <c r="T929">
        <f>IF(connections!$A929="","",IFERROR(INDEX(games!$B$2:$B$950,MATCH(connections!$A929,games!$A$2:$A$950,0)),""))</f>
        <v/>
      </c>
      <c r="U929">
        <f>IF(connections!$A929="","",IFERROR(INDEX(games!$B$2:$B$950,MATCH(connections!$B929,games!$A$2:$A$950,0)),""))</f>
        <v/>
      </c>
      <c r="V929">
        <f>IF(OR($T929="",$U929=""),"",$U929-$T929)</f>
        <v/>
      </c>
    </row>
    <row r="930">
      <c r="A930">
        <f>IF(games!$A930="","",games!$A930)</f>
        <v/>
      </c>
      <c r="B930">
        <f>IF($A930="","",games!$B930)</f>
        <v/>
      </c>
      <c r="C930">
        <f>IF($A930="","",games!$C930)</f>
        <v/>
      </c>
      <c r="D930">
        <f>IF($A930="","",COUNTIF(connections!$A$2:$A$1400,$A930)+COUNTIF(connections!$B$2:$B$1400,$A930))</f>
        <v/>
      </c>
      <c r="E930">
        <f>IF($A930="","",IFERROR(MATCH($C930,$R$2:$R$5,0),0))</f>
        <v/>
      </c>
      <c r="F930">
        <f>IF($A930="","",MOD(ROW(),34))</f>
        <v/>
      </c>
      <c r="G930">
        <f>IF($A930="",NA(),IF($C930="Action",$B930,NA()))</f>
        <v/>
      </c>
      <c r="H930">
        <f>IF($A930="",NA(),IF($C930="Action",1+$F930*0.023,NA()))</f>
        <v/>
      </c>
      <c r="I930">
        <f>IF($A930="",NA(),IF($C930="Strategy",$B930,NA()))</f>
        <v/>
      </c>
      <c r="J930">
        <f>IF($A930="",NA(),IF($C930="Strategy",2+$F930*0.023,NA()))</f>
        <v/>
      </c>
      <c r="K930">
        <f>IF($A930="",NA(),IF($C930="Deckbuilder",$B930,NA()))</f>
        <v/>
      </c>
      <c r="L930">
        <f>IF($A930="",NA(),IF($C930="Deckbuilder",3+$F930*0.023,NA()))</f>
        <v/>
      </c>
      <c r="M930">
        <f>IF($A930="",NA(),IF($C930="Traditional",$B930,NA()))</f>
        <v/>
      </c>
      <c r="N930">
        <f>IF($A930="",NA(),IF($C930="Traditional",4+$F930*0.023,NA()))</f>
        <v/>
      </c>
      <c r="O930">
        <f>IF($A930="","",$D930+ROW()/1000000)</f>
        <v/>
      </c>
      <c r="P930">
        <f>IF(OR($A930="",games!$H930=""),"",games!$H930)</f>
        <v/>
      </c>
      <c r="Q930">
        <f>IF(OR($A930="",$P930&lt;&gt;"Yes"),"",$D930+ROW()/1000000)</f>
        <v/>
      </c>
      <c r="T930">
        <f>IF(connections!$A930="","",IFERROR(INDEX(games!$B$2:$B$950,MATCH(connections!$A930,games!$A$2:$A$950,0)),""))</f>
        <v/>
      </c>
      <c r="U930">
        <f>IF(connections!$A930="","",IFERROR(INDEX(games!$B$2:$B$950,MATCH(connections!$B930,games!$A$2:$A$950,0)),""))</f>
        <v/>
      </c>
      <c r="V930">
        <f>IF(OR($T930="",$U930=""),"",$U930-$T930)</f>
        <v/>
      </c>
    </row>
    <row r="931">
      <c r="A931">
        <f>IF(games!$A931="","",games!$A931)</f>
        <v/>
      </c>
      <c r="B931">
        <f>IF($A931="","",games!$B931)</f>
        <v/>
      </c>
      <c r="C931">
        <f>IF($A931="","",games!$C931)</f>
        <v/>
      </c>
      <c r="D931">
        <f>IF($A931="","",COUNTIF(connections!$A$2:$A$1400,$A931)+COUNTIF(connections!$B$2:$B$1400,$A931))</f>
        <v/>
      </c>
      <c r="E931">
        <f>IF($A931="","",IFERROR(MATCH($C931,$R$2:$R$5,0),0))</f>
        <v/>
      </c>
      <c r="F931">
        <f>IF($A931="","",MOD(ROW(),34))</f>
        <v/>
      </c>
      <c r="G931">
        <f>IF($A931="",NA(),IF($C931="Action",$B931,NA()))</f>
        <v/>
      </c>
      <c r="H931">
        <f>IF($A931="",NA(),IF($C931="Action",1+$F931*0.023,NA()))</f>
        <v/>
      </c>
      <c r="I931">
        <f>IF($A931="",NA(),IF($C931="Strategy",$B931,NA()))</f>
        <v/>
      </c>
      <c r="J931">
        <f>IF($A931="",NA(),IF($C931="Strategy",2+$F931*0.023,NA()))</f>
        <v/>
      </c>
      <c r="K931">
        <f>IF($A931="",NA(),IF($C931="Deckbuilder",$B931,NA()))</f>
        <v/>
      </c>
      <c r="L931">
        <f>IF($A931="",NA(),IF($C931="Deckbuilder",3+$F931*0.023,NA()))</f>
        <v/>
      </c>
      <c r="M931">
        <f>IF($A931="",NA(),IF($C931="Traditional",$B931,NA()))</f>
        <v/>
      </c>
      <c r="N931">
        <f>IF($A931="",NA(),IF($C931="Traditional",4+$F931*0.023,NA()))</f>
        <v/>
      </c>
      <c r="O931">
        <f>IF($A931="","",$D931+ROW()/1000000)</f>
        <v/>
      </c>
      <c r="P931">
        <f>IF(OR($A931="",games!$H931=""),"",games!$H931)</f>
        <v/>
      </c>
      <c r="Q931">
        <f>IF(OR($A931="",$P931&lt;&gt;"Yes"),"",$D931+ROW()/1000000)</f>
        <v/>
      </c>
      <c r="T931">
        <f>IF(connections!$A931="","",IFERROR(INDEX(games!$B$2:$B$950,MATCH(connections!$A931,games!$A$2:$A$950,0)),""))</f>
        <v/>
      </c>
      <c r="U931">
        <f>IF(connections!$A931="","",IFERROR(INDEX(games!$B$2:$B$950,MATCH(connections!$B931,games!$A$2:$A$950,0)),""))</f>
        <v/>
      </c>
      <c r="V931">
        <f>IF(OR($T931="",$U931=""),"",$U931-$T931)</f>
        <v/>
      </c>
    </row>
    <row r="932">
      <c r="A932">
        <f>IF(games!$A932="","",games!$A932)</f>
        <v/>
      </c>
      <c r="B932">
        <f>IF($A932="","",games!$B932)</f>
        <v/>
      </c>
      <c r="C932">
        <f>IF($A932="","",games!$C932)</f>
        <v/>
      </c>
      <c r="D932">
        <f>IF($A932="","",COUNTIF(connections!$A$2:$A$1400,$A932)+COUNTIF(connections!$B$2:$B$1400,$A932))</f>
        <v/>
      </c>
      <c r="E932">
        <f>IF($A932="","",IFERROR(MATCH($C932,$R$2:$R$5,0),0))</f>
        <v/>
      </c>
      <c r="F932">
        <f>IF($A932="","",MOD(ROW(),34))</f>
        <v/>
      </c>
      <c r="G932">
        <f>IF($A932="",NA(),IF($C932="Action",$B932,NA()))</f>
        <v/>
      </c>
      <c r="H932">
        <f>IF($A932="",NA(),IF($C932="Action",1+$F932*0.023,NA()))</f>
        <v/>
      </c>
      <c r="I932">
        <f>IF($A932="",NA(),IF($C932="Strategy",$B932,NA()))</f>
        <v/>
      </c>
      <c r="J932">
        <f>IF($A932="",NA(),IF($C932="Strategy",2+$F932*0.023,NA()))</f>
        <v/>
      </c>
      <c r="K932">
        <f>IF($A932="",NA(),IF($C932="Deckbuilder",$B932,NA()))</f>
        <v/>
      </c>
      <c r="L932">
        <f>IF($A932="",NA(),IF($C932="Deckbuilder",3+$F932*0.023,NA()))</f>
        <v/>
      </c>
      <c r="M932">
        <f>IF($A932="",NA(),IF($C932="Traditional",$B932,NA()))</f>
        <v/>
      </c>
      <c r="N932">
        <f>IF($A932="",NA(),IF($C932="Traditional",4+$F932*0.023,NA()))</f>
        <v/>
      </c>
      <c r="O932">
        <f>IF($A932="","",$D932+ROW()/1000000)</f>
        <v/>
      </c>
      <c r="P932">
        <f>IF(OR($A932="",games!$H932=""),"",games!$H932)</f>
        <v/>
      </c>
      <c r="Q932">
        <f>IF(OR($A932="",$P932&lt;&gt;"Yes"),"",$D932+ROW()/1000000)</f>
        <v/>
      </c>
      <c r="T932">
        <f>IF(connections!$A932="","",IFERROR(INDEX(games!$B$2:$B$950,MATCH(connections!$A932,games!$A$2:$A$950,0)),""))</f>
        <v/>
      </c>
      <c r="U932">
        <f>IF(connections!$A932="","",IFERROR(INDEX(games!$B$2:$B$950,MATCH(connections!$B932,games!$A$2:$A$950,0)),""))</f>
        <v/>
      </c>
      <c r="V932">
        <f>IF(OR($T932="",$U932=""),"",$U932-$T932)</f>
        <v/>
      </c>
    </row>
    <row r="933">
      <c r="A933">
        <f>IF(games!$A933="","",games!$A933)</f>
        <v/>
      </c>
      <c r="B933">
        <f>IF($A933="","",games!$B933)</f>
        <v/>
      </c>
      <c r="C933">
        <f>IF($A933="","",games!$C933)</f>
        <v/>
      </c>
      <c r="D933">
        <f>IF($A933="","",COUNTIF(connections!$A$2:$A$1400,$A933)+COUNTIF(connections!$B$2:$B$1400,$A933))</f>
        <v/>
      </c>
      <c r="E933">
        <f>IF($A933="","",IFERROR(MATCH($C933,$R$2:$R$5,0),0))</f>
        <v/>
      </c>
      <c r="F933">
        <f>IF($A933="","",MOD(ROW(),34))</f>
        <v/>
      </c>
      <c r="G933">
        <f>IF($A933="",NA(),IF($C933="Action",$B933,NA()))</f>
        <v/>
      </c>
      <c r="H933">
        <f>IF($A933="",NA(),IF($C933="Action",1+$F933*0.023,NA()))</f>
        <v/>
      </c>
      <c r="I933">
        <f>IF($A933="",NA(),IF($C933="Strategy",$B933,NA()))</f>
        <v/>
      </c>
      <c r="J933">
        <f>IF($A933="",NA(),IF($C933="Strategy",2+$F933*0.023,NA()))</f>
        <v/>
      </c>
      <c r="K933">
        <f>IF($A933="",NA(),IF($C933="Deckbuilder",$B933,NA()))</f>
        <v/>
      </c>
      <c r="L933">
        <f>IF($A933="",NA(),IF($C933="Deckbuilder",3+$F933*0.023,NA()))</f>
        <v/>
      </c>
      <c r="M933">
        <f>IF($A933="",NA(),IF($C933="Traditional",$B933,NA()))</f>
        <v/>
      </c>
      <c r="N933">
        <f>IF($A933="",NA(),IF($C933="Traditional",4+$F933*0.023,NA()))</f>
        <v/>
      </c>
      <c r="O933">
        <f>IF($A933="","",$D933+ROW()/1000000)</f>
        <v/>
      </c>
      <c r="P933">
        <f>IF(OR($A933="",games!$H933=""),"",games!$H933)</f>
        <v/>
      </c>
      <c r="Q933">
        <f>IF(OR($A933="",$P933&lt;&gt;"Yes"),"",$D933+ROW()/1000000)</f>
        <v/>
      </c>
      <c r="T933">
        <f>IF(connections!$A933="","",IFERROR(INDEX(games!$B$2:$B$950,MATCH(connections!$A933,games!$A$2:$A$950,0)),""))</f>
        <v/>
      </c>
      <c r="U933">
        <f>IF(connections!$A933="","",IFERROR(INDEX(games!$B$2:$B$950,MATCH(connections!$B933,games!$A$2:$A$950,0)),""))</f>
        <v/>
      </c>
      <c r="V933">
        <f>IF(OR($T933="",$U933=""),"",$U933-$T933)</f>
        <v/>
      </c>
    </row>
    <row r="934">
      <c r="A934">
        <f>IF(games!$A934="","",games!$A934)</f>
        <v/>
      </c>
      <c r="B934">
        <f>IF($A934="","",games!$B934)</f>
        <v/>
      </c>
      <c r="C934">
        <f>IF($A934="","",games!$C934)</f>
        <v/>
      </c>
      <c r="D934">
        <f>IF($A934="","",COUNTIF(connections!$A$2:$A$1400,$A934)+COUNTIF(connections!$B$2:$B$1400,$A934))</f>
        <v/>
      </c>
      <c r="E934">
        <f>IF($A934="","",IFERROR(MATCH($C934,$R$2:$R$5,0),0))</f>
        <v/>
      </c>
      <c r="F934">
        <f>IF($A934="","",MOD(ROW(),34))</f>
        <v/>
      </c>
      <c r="G934">
        <f>IF($A934="",NA(),IF($C934="Action",$B934,NA()))</f>
        <v/>
      </c>
      <c r="H934">
        <f>IF($A934="",NA(),IF($C934="Action",1+$F934*0.023,NA()))</f>
        <v/>
      </c>
      <c r="I934">
        <f>IF($A934="",NA(),IF($C934="Strategy",$B934,NA()))</f>
        <v/>
      </c>
      <c r="J934">
        <f>IF($A934="",NA(),IF($C934="Strategy",2+$F934*0.023,NA()))</f>
        <v/>
      </c>
      <c r="K934">
        <f>IF($A934="",NA(),IF($C934="Deckbuilder",$B934,NA()))</f>
        <v/>
      </c>
      <c r="L934">
        <f>IF($A934="",NA(),IF($C934="Deckbuilder",3+$F934*0.023,NA()))</f>
        <v/>
      </c>
      <c r="M934">
        <f>IF($A934="",NA(),IF($C934="Traditional",$B934,NA()))</f>
        <v/>
      </c>
      <c r="N934">
        <f>IF($A934="",NA(),IF($C934="Traditional",4+$F934*0.023,NA()))</f>
        <v/>
      </c>
      <c r="O934">
        <f>IF($A934="","",$D934+ROW()/1000000)</f>
        <v/>
      </c>
      <c r="P934">
        <f>IF(OR($A934="",games!$H934=""),"",games!$H934)</f>
        <v/>
      </c>
      <c r="Q934">
        <f>IF(OR($A934="",$P934&lt;&gt;"Yes"),"",$D934+ROW()/1000000)</f>
        <v/>
      </c>
      <c r="T934">
        <f>IF(connections!$A934="","",IFERROR(INDEX(games!$B$2:$B$950,MATCH(connections!$A934,games!$A$2:$A$950,0)),""))</f>
        <v/>
      </c>
      <c r="U934">
        <f>IF(connections!$A934="","",IFERROR(INDEX(games!$B$2:$B$950,MATCH(connections!$B934,games!$A$2:$A$950,0)),""))</f>
        <v/>
      </c>
      <c r="V934">
        <f>IF(OR($T934="",$U934=""),"",$U934-$T934)</f>
        <v/>
      </c>
    </row>
    <row r="935">
      <c r="A935">
        <f>IF(games!$A935="","",games!$A935)</f>
        <v/>
      </c>
      <c r="B935">
        <f>IF($A935="","",games!$B935)</f>
        <v/>
      </c>
      <c r="C935">
        <f>IF($A935="","",games!$C935)</f>
        <v/>
      </c>
      <c r="D935">
        <f>IF($A935="","",COUNTIF(connections!$A$2:$A$1400,$A935)+COUNTIF(connections!$B$2:$B$1400,$A935))</f>
        <v/>
      </c>
      <c r="E935">
        <f>IF($A935="","",IFERROR(MATCH($C935,$R$2:$R$5,0),0))</f>
        <v/>
      </c>
      <c r="F935">
        <f>IF($A935="","",MOD(ROW(),34))</f>
        <v/>
      </c>
      <c r="G935">
        <f>IF($A935="",NA(),IF($C935="Action",$B935,NA()))</f>
        <v/>
      </c>
      <c r="H935">
        <f>IF($A935="",NA(),IF($C935="Action",1+$F935*0.023,NA()))</f>
        <v/>
      </c>
      <c r="I935">
        <f>IF($A935="",NA(),IF($C935="Strategy",$B935,NA()))</f>
        <v/>
      </c>
      <c r="J935">
        <f>IF($A935="",NA(),IF($C935="Strategy",2+$F935*0.023,NA()))</f>
        <v/>
      </c>
      <c r="K935">
        <f>IF($A935="",NA(),IF($C935="Deckbuilder",$B935,NA()))</f>
        <v/>
      </c>
      <c r="L935">
        <f>IF($A935="",NA(),IF($C935="Deckbuilder",3+$F935*0.023,NA()))</f>
        <v/>
      </c>
      <c r="M935">
        <f>IF($A935="",NA(),IF($C935="Traditional",$B935,NA()))</f>
        <v/>
      </c>
      <c r="N935">
        <f>IF($A935="",NA(),IF($C935="Traditional",4+$F935*0.023,NA()))</f>
        <v/>
      </c>
      <c r="O935">
        <f>IF($A935="","",$D935+ROW()/1000000)</f>
        <v/>
      </c>
      <c r="P935">
        <f>IF(OR($A935="",games!$H935=""),"",games!$H935)</f>
        <v/>
      </c>
      <c r="Q935">
        <f>IF(OR($A935="",$P935&lt;&gt;"Yes"),"",$D935+ROW()/1000000)</f>
        <v/>
      </c>
      <c r="T935">
        <f>IF(connections!$A935="","",IFERROR(INDEX(games!$B$2:$B$950,MATCH(connections!$A935,games!$A$2:$A$950,0)),""))</f>
        <v/>
      </c>
      <c r="U935">
        <f>IF(connections!$A935="","",IFERROR(INDEX(games!$B$2:$B$950,MATCH(connections!$B935,games!$A$2:$A$950,0)),""))</f>
        <v/>
      </c>
      <c r="V935">
        <f>IF(OR($T935="",$U935=""),"",$U935-$T935)</f>
        <v/>
      </c>
    </row>
    <row r="936">
      <c r="A936">
        <f>IF(games!$A936="","",games!$A936)</f>
        <v/>
      </c>
      <c r="B936">
        <f>IF($A936="","",games!$B936)</f>
        <v/>
      </c>
      <c r="C936">
        <f>IF($A936="","",games!$C936)</f>
        <v/>
      </c>
      <c r="D936">
        <f>IF($A936="","",COUNTIF(connections!$A$2:$A$1400,$A936)+COUNTIF(connections!$B$2:$B$1400,$A936))</f>
        <v/>
      </c>
      <c r="E936">
        <f>IF($A936="","",IFERROR(MATCH($C936,$R$2:$R$5,0),0))</f>
        <v/>
      </c>
      <c r="F936">
        <f>IF($A936="","",MOD(ROW(),34))</f>
        <v/>
      </c>
      <c r="G936">
        <f>IF($A936="",NA(),IF($C936="Action",$B936,NA()))</f>
        <v/>
      </c>
      <c r="H936">
        <f>IF($A936="",NA(),IF($C936="Action",1+$F936*0.023,NA()))</f>
        <v/>
      </c>
      <c r="I936">
        <f>IF($A936="",NA(),IF($C936="Strategy",$B936,NA()))</f>
        <v/>
      </c>
      <c r="J936">
        <f>IF($A936="",NA(),IF($C936="Strategy",2+$F936*0.023,NA()))</f>
        <v/>
      </c>
      <c r="K936">
        <f>IF($A936="",NA(),IF($C936="Deckbuilder",$B936,NA()))</f>
        <v/>
      </c>
      <c r="L936">
        <f>IF($A936="",NA(),IF($C936="Deckbuilder",3+$F936*0.023,NA()))</f>
        <v/>
      </c>
      <c r="M936">
        <f>IF($A936="",NA(),IF($C936="Traditional",$B936,NA()))</f>
        <v/>
      </c>
      <c r="N936">
        <f>IF($A936="",NA(),IF($C936="Traditional",4+$F936*0.023,NA()))</f>
        <v/>
      </c>
      <c r="O936">
        <f>IF($A936="","",$D936+ROW()/1000000)</f>
        <v/>
      </c>
      <c r="P936">
        <f>IF(OR($A936="",games!$H936=""),"",games!$H936)</f>
        <v/>
      </c>
      <c r="Q936">
        <f>IF(OR($A936="",$P936&lt;&gt;"Yes"),"",$D936+ROW()/1000000)</f>
        <v/>
      </c>
      <c r="T936">
        <f>IF(connections!$A936="","",IFERROR(INDEX(games!$B$2:$B$950,MATCH(connections!$A936,games!$A$2:$A$950,0)),""))</f>
        <v/>
      </c>
      <c r="U936">
        <f>IF(connections!$A936="","",IFERROR(INDEX(games!$B$2:$B$950,MATCH(connections!$B936,games!$A$2:$A$950,0)),""))</f>
        <v/>
      </c>
      <c r="V936">
        <f>IF(OR($T936="",$U936=""),"",$U936-$T936)</f>
        <v/>
      </c>
    </row>
    <row r="937">
      <c r="A937">
        <f>IF(games!$A937="","",games!$A937)</f>
        <v/>
      </c>
      <c r="B937">
        <f>IF($A937="","",games!$B937)</f>
        <v/>
      </c>
      <c r="C937">
        <f>IF($A937="","",games!$C937)</f>
        <v/>
      </c>
      <c r="D937">
        <f>IF($A937="","",COUNTIF(connections!$A$2:$A$1400,$A937)+COUNTIF(connections!$B$2:$B$1400,$A937))</f>
        <v/>
      </c>
      <c r="E937">
        <f>IF($A937="","",IFERROR(MATCH($C937,$R$2:$R$5,0),0))</f>
        <v/>
      </c>
      <c r="F937">
        <f>IF($A937="","",MOD(ROW(),34))</f>
        <v/>
      </c>
      <c r="G937">
        <f>IF($A937="",NA(),IF($C937="Action",$B937,NA()))</f>
        <v/>
      </c>
      <c r="H937">
        <f>IF($A937="",NA(),IF($C937="Action",1+$F937*0.023,NA()))</f>
        <v/>
      </c>
      <c r="I937">
        <f>IF($A937="",NA(),IF($C937="Strategy",$B937,NA()))</f>
        <v/>
      </c>
      <c r="J937">
        <f>IF($A937="",NA(),IF($C937="Strategy",2+$F937*0.023,NA()))</f>
        <v/>
      </c>
      <c r="K937">
        <f>IF($A937="",NA(),IF($C937="Deckbuilder",$B937,NA()))</f>
        <v/>
      </c>
      <c r="L937">
        <f>IF($A937="",NA(),IF($C937="Deckbuilder",3+$F937*0.023,NA()))</f>
        <v/>
      </c>
      <c r="M937">
        <f>IF($A937="",NA(),IF($C937="Traditional",$B937,NA()))</f>
        <v/>
      </c>
      <c r="N937">
        <f>IF($A937="",NA(),IF($C937="Traditional",4+$F937*0.023,NA()))</f>
        <v/>
      </c>
      <c r="O937">
        <f>IF($A937="","",$D937+ROW()/1000000)</f>
        <v/>
      </c>
      <c r="P937">
        <f>IF(OR($A937="",games!$H937=""),"",games!$H937)</f>
        <v/>
      </c>
      <c r="Q937">
        <f>IF(OR($A937="",$P937&lt;&gt;"Yes"),"",$D937+ROW()/1000000)</f>
        <v/>
      </c>
      <c r="T937">
        <f>IF(connections!$A937="","",IFERROR(INDEX(games!$B$2:$B$950,MATCH(connections!$A937,games!$A$2:$A$950,0)),""))</f>
        <v/>
      </c>
      <c r="U937">
        <f>IF(connections!$A937="","",IFERROR(INDEX(games!$B$2:$B$950,MATCH(connections!$B937,games!$A$2:$A$950,0)),""))</f>
        <v/>
      </c>
      <c r="V937">
        <f>IF(OR($T937="",$U937=""),"",$U937-$T937)</f>
        <v/>
      </c>
    </row>
    <row r="938">
      <c r="A938">
        <f>IF(games!$A938="","",games!$A938)</f>
        <v/>
      </c>
      <c r="B938">
        <f>IF($A938="","",games!$B938)</f>
        <v/>
      </c>
      <c r="C938">
        <f>IF($A938="","",games!$C938)</f>
        <v/>
      </c>
      <c r="D938">
        <f>IF($A938="","",COUNTIF(connections!$A$2:$A$1400,$A938)+COUNTIF(connections!$B$2:$B$1400,$A938))</f>
        <v/>
      </c>
      <c r="E938">
        <f>IF($A938="","",IFERROR(MATCH($C938,$R$2:$R$5,0),0))</f>
        <v/>
      </c>
      <c r="F938">
        <f>IF($A938="","",MOD(ROW(),34))</f>
        <v/>
      </c>
      <c r="G938">
        <f>IF($A938="",NA(),IF($C938="Action",$B938,NA()))</f>
        <v/>
      </c>
      <c r="H938">
        <f>IF($A938="",NA(),IF($C938="Action",1+$F938*0.023,NA()))</f>
        <v/>
      </c>
      <c r="I938">
        <f>IF($A938="",NA(),IF($C938="Strategy",$B938,NA()))</f>
        <v/>
      </c>
      <c r="J938">
        <f>IF($A938="",NA(),IF($C938="Strategy",2+$F938*0.023,NA()))</f>
        <v/>
      </c>
      <c r="K938">
        <f>IF($A938="",NA(),IF($C938="Deckbuilder",$B938,NA()))</f>
        <v/>
      </c>
      <c r="L938">
        <f>IF($A938="",NA(),IF($C938="Deckbuilder",3+$F938*0.023,NA()))</f>
        <v/>
      </c>
      <c r="M938">
        <f>IF($A938="",NA(),IF($C938="Traditional",$B938,NA()))</f>
        <v/>
      </c>
      <c r="N938">
        <f>IF($A938="",NA(),IF($C938="Traditional",4+$F938*0.023,NA()))</f>
        <v/>
      </c>
      <c r="O938">
        <f>IF($A938="","",$D938+ROW()/1000000)</f>
        <v/>
      </c>
      <c r="P938">
        <f>IF(OR($A938="",games!$H938=""),"",games!$H938)</f>
        <v/>
      </c>
      <c r="Q938">
        <f>IF(OR($A938="",$P938&lt;&gt;"Yes"),"",$D938+ROW()/1000000)</f>
        <v/>
      </c>
      <c r="T938">
        <f>IF(connections!$A938="","",IFERROR(INDEX(games!$B$2:$B$950,MATCH(connections!$A938,games!$A$2:$A$950,0)),""))</f>
        <v/>
      </c>
      <c r="U938">
        <f>IF(connections!$A938="","",IFERROR(INDEX(games!$B$2:$B$950,MATCH(connections!$B938,games!$A$2:$A$950,0)),""))</f>
        <v/>
      </c>
      <c r="V938">
        <f>IF(OR($T938="",$U938=""),"",$U938-$T938)</f>
        <v/>
      </c>
    </row>
    <row r="939">
      <c r="A939">
        <f>IF(games!$A939="","",games!$A939)</f>
        <v/>
      </c>
      <c r="B939">
        <f>IF($A939="","",games!$B939)</f>
        <v/>
      </c>
      <c r="C939">
        <f>IF($A939="","",games!$C939)</f>
        <v/>
      </c>
      <c r="D939">
        <f>IF($A939="","",COUNTIF(connections!$A$2:$A$1400,$A939)+COUNTIF(connections!$B$2:$B$1400,$A939))</f>
        <v/>
      </c>
      <c r="E939">
        <f>IF($A939="","",IFERROR(MATCH($C939,$R$2:$R$5,0),0))</f>
        <v/>
      </c>
      <c r="F939">
        <f>IF($A939="","",MOD(ROW(),34))</f>
        <v/>
      </c>
      <c r="G939">
        <f>IF($A939="",NA(),IF($C939="Action",$B939,NA()))</f>
        <v/>
      </c>
      <c r="H939">
        <f>IF($A939="",NA(),IF($C939="Action",1+$F939*0.023,NA()))</f>
        <v/>
      </c>
      <c r="I939">
        <f>IF($A939="",NA(),IF($C939="Strategy",$B939,NA()))</f>
        <v/>
      </c>
      <c r="J939">
        <f>IF($A939="",NA(),IF($C939="Strategy",2+$F939*0.023,NA()))</f>
        <v/>
      </c>
      <c r="K939">
        <f>IF($A939="",NA(),IF($C939="Deckbuilder",$B939,NA()))</f>
        <v/>
      </c>
      <c r="L939">
        <f>IF($A939="",NA(),IF($C939="Deckbuilder",3+$F939*0.023,NA()))</f>
        <v/>
      </c>
      <c r="M939">
        <f>IF($A939="",NA(),IF($C939="Traditional",$B939,NA()))</f>
        <v/>
      </c>
      <c r="N939">
        <f>IF($A939="",NA(),IF($C939="Traditional",4+$F939*0.023,NA()))</f>
        <v/>
      </c>
      <c r="O939">
        <f>IF($A939="","",$D939+ROW()/1000000)</f>
        <v/>
      </c>
      <c r="P939">
        <f>IF(OR($A939="",games!$H939=""),"",games!$H939)</f>
        <v/>
      </c>
      <c r="Q939">
        <f>IF(OR($A939="",$P939&lt;&gt;"Yes"),"",$D939+ROW()/1000000)</f>
        <v/>
      </c>
      <c r="T939">
        <f>IF(connections!$A939="","",IFERROR(INDEX(games!$B$2:$B$950,MATCH(connections!$A939,games!$A$2:$A$950,0)),""))</f>
        <v/>
      </c>
      <c r="U939">
        <f>IF(connections!$A939="","",IFERROR(INDEX(games!$B$2:$B$950,MATCH(connections!$B939,games!$A$2:$A$950,0)),""))</f>
        <v/>
      </c>
      <c r="V939">
        <f>IF(OR($T939="",$U939=""),"",$U939-$T939)</f>
        <v/>
      </c>
    </row>
    <row r="940">
      <c r="A940">
        <f>IF(games!$A940="","",games!$A940)</f>
        <v/>
      </c>
      <c r="B940">
        <f>IF($A940="","",games!$B940)</f>
        <v/>
      </c>
      <c r="C940">
        <f>IF($A940="","",games!$C940)</f>
        <v/>
      </c>
      <c r="D940">
        <f>IF($A940="","",COUNTIF(connections!$A$2:$A$1400,$A940)+COUNTIF(connections!$B$2:$B$1400,$A940))</f>
        <v/>
      </c>
      <c r="E940">
        <f>IF($A940="","",IFERROR(MATCH($C940,$R$2:$R$5,0),0))</f>
        <v/>
      </c>
      <c r="F940">
        <f>IF($A940="","",MOD(ROW(),34))</f>
        <v/>
      </c>
      <c r="G940">
        <f>IF($A940="",NA(),IF($C940="Action",$B940,NA()))</f>
        <v/>
      </c>
      <c r="H940">
        <f>IF($A940="",NA(),IF($C940="Action",1+$F940*0.023,NA()))</f>
        <v/>
      </c>
      <c r="I940">
        <f>IF($A940="",NA(),IF($C940="Strategy",$B940,NA()))</f>
        <v/>
      </c>
      <c r="J940">
        <f>IF($A940="",NA(),IF($C940="Strategy",2+$F940*0.023,NA()))</f>
        <v/>
      </c>
      <c r="K940">
        <f>IF($A940="",NA(),IF($C940="Deckbuilder",$B940,NA()))</f>
        <v/>
      </c>
      <c r="L940">
        <f>IF($A940="",NA(),IF($C940="Deckbuilder",3+$F940*0.023,NA()))</f>
        <v/>
      </c>
      <c r="M940">
        <f>IF($A940="",NA(),IF($C940="Traditional",$B940,NA()))</f>
        <v/>
      </c>
      <c r="N940">
        <f>IF($A940="",NA(),IF($C940="Traditional",4+$F940*0.023,NA()))</f>
        <v/>
      </c>
      <c r="O940">
        <f>IF($A940="","",$D940+ROW()/1000000)</f>
        <v/>
      </c>
      <c r="P940">
        <f>IF(OR($A940="",games!$H940=""),"",games!$H940)</f>
        <v/>
      </c>
      <c r="Q940">
        <f>IF(OR($A940="",$P940&lt;&gt;"Yes"),"",$D940+ROW()/1000000)</f>
        <v/>
      </c>
      <c r="T940">
        <f>IF(connections!$A940="","",IFERROR(INDEX(games!$B$2:$B$950,MATCH(connections!$A940,games!$A$2:$A$950,0)),""))</f>
        <v/>
      </c>
      <c r="U940">
        <f>IF(connections!$A940="","",IFERROR(INDEX(games!$B$2:$B$950,MATCH(connections!$B940,games!$A$2:$A$950,0)),""))</f>
        <v/>
      </c>
      <c r="V940">
        <f>IF(OR($T940="",$U940=""),"",$U940-$T940)</f>
        <v/>
      </c>
    </row>
    <row r="941">
      <c r="A941">
        <f>IF(games!$A941="","",games!$A941)</f>
        <v/>
      </c>
      <c r="B941">
        <f>IF($A941="","",games!$B941)</f>
        <v/>
      </c>
      <c r="C941">
        <f>IF($A941="","",games!$C941)</f>
        <v/>
      </c>
      <c r="D941">
        <f>IF($A941="","",COUNTIF(connections!$A$2:$A$1400,$A941)+COUNTIF(connections!$B$2:$B$1400,$A941))</f>
        <v/>
      </c>
      <c r="E941">
        <f>IF($A941="","",IFERROR(MATCH($C941,$R$2:$R$5,0),0))</f>
        <v/>
      </c>
      <c r="F941">
        <f>IF($A941="","",MOD(ROW(),34))</f>
        <v/>
      </c>
      <c r="G941">
        <f>IF($A941="",NA(),IF($C941="Action",$B941,NA()))</f>
        <v/>
      </c>
      <c r="H941">
        <f>IF($A941="",NA(),IF($C941="Action",1+$F941*0.023,NA()))</f>
        <v/>
      </c>
      <c r="I941">
        <f>IF($A941="",NA(),IF($C941="Strategy",$B941,NA()))</f>
        <v/>
      </c>
      <c r="J941">
        <f>IF($A941="",NA(),IF($C941="Strategy",2+$F941*0.023,NA()))</f>
        <v/>
      </c>
      <c r="K941">
        <f>IF($A941="",NA(),IF($C941="Deckbuilder",$B941,NA()))</f>
        <v/>
      </c>
      <c r="L941">
        <f>IF($A941="",NA(),IF($C941="Deckbuilder",3+$F941*0.023,NA()))</f>
        <v/>
      </c>
      <c r="M941">
        <f>IF($A941="",NA(),IF($C941="Traditional",$B941,NA()))</f>
        <v/>
      </c>
      <c r="N941">
        <f>IF($A941="",NA(),IF($C941="Traditional",4+$F941*0.023,NA()))</f>
        <v/>
      </c>
      <c r="O941">
        <f>IF($A941="","",$D941+ROW()/1000000)</f>
        <v/>
      </c>
      <c r="P941">
        <f>IF(OR($A941="",games!$H941=""),"",games!$H941)</f>
        <v/>
      </c>
      <c r="Q941">
        <f>IF(OR($A941="",$P941&lt;&gt;"Yes"),"",$D941+ROW()/1000000)</f>
        <v/>
      </c>
      <c r="T941">
        <f>IF(connections!$A941="","",IFERROR(INDEX(games!$B$2:$B$950,MATCH(connections!$A941,games!$A$2:$A$950,0)),""))</f>
        <v/>
      </c>
      <c r="U941">
        <f>IF(connections!$A941="","",IFERROR(INDEX(games!$B$2:$B$950,MATCH(connections!$B941,games!$A$2:$A$950,0)),""))</f>
        <v/>
      </c>
      <c r="V941">
        <f>IF(OR($T941="",$U941=""),"",$U941-$T941)</f>
        <v/>
      </c>
    </row>
    <row r="942">
      <c r="A942">
        <f>IF(games!$A942="","",games!$A942)</f>
        <v/>
      </c>
      <c r="B942">
        <f>IF($A942="","",games!$B942)</f>
        <v/>
      </c>
      <c r="C942">
        <f>IF($A942="","",games!$C942)</f>
        <v/>
      </c>
      <c r="D942">
        <f>IF($A942="","",COUNTIF(connections!$A$2:$A$1400,$A942)+COUNTIF(connections!$B$2:$B$1400,$A942))</f>
        <v/>
      </c>
      <c r="E942">
        <f>IF($A942="","",IFERROR(MATCH($C942,$R$2:$R$5,0),0))</f>
        <v/>
      </c>
      <c r="F942">
        <f>IF($A942="","",MOD(ROW(),34))</f>
        <v/>
      </c>
      <c r="G942">
        <f>IF($A942="",NA(),IF($C942="Action",$B942,NA()))</f>
        <v/>
      </c>
      <c r="H942">
        <f>IF($A942="",NA(),IF($C942="Action",1+$F942*0.023,NA()))</f>
        <v/>
      </c>
      <c r="I942">
        <f>IF($A942="",NA(),IF($C942="Strategy",$B942,NA()))</f>
        <v/>
      </c>
      <c r="J942">
        <f>IF($A942="",NA(),IF($C942="Strategy",2+$F942*0.023,NA()))</f>
        <v/>
      </c>
      <c r="K942">
        <f>IF($A942="",NA(),IF($C942="Deckbuilder",$B942,NA()))</f>
        <v/>
      </c>
      <c r="L942">
        <f>IF($A942="",NA(),IF($C942="Deckbuilder",3+$F942*0.023,NA()))</f>
        <v/>
      </c>
      <c r="M942">
        <f>IF($A942="",NA(),IF($C942="Traditional",$B942,NA()))</f>
        <v/>
      </c>
      <c r="N942">
        <f>IF($A942="",NA(),IF($C942="Traditional",4+$F942*0.023,NA()))</f>
        <v/>
      </c>
      <c r="O942">
        <f>IF($A942="","",$D942+ROW()/1000000)</f>
        <v/>
      </c>
      <c r="P942">
        <f>IF(OR($A942="",games!$H942=""),"",games!$H942)</f>
        <v/>
      </c>
      <c r="Q942">
        <f>IF(OR($A942="",$P942&lt;&gt;"Yes"),"",$D942+ROW()/1000000)</f>
        <v/>
      </c>
      <c r="T942">
        <f>IF(connections!$A942="","",IFERROR(INDEX(games!$B$2:$B$950,MATCH(connections!$A942,games!$A$2:$A$950,0)),""))</f>
        <v/>
      </c>
      <c r="U942">
        <f>IF(connections!$A942="","",IFERROR(INDEX(games!$B$2:$B$950,MATCH(connections!$B942,games!$A$2:$A$950,0)),""))</f>
        <v/>
      </c>
      <c r="V942">
        <f>IF(OR($T942="",$U942=""),"",$U942-$T942)</f>
        <v/>
      </c>
    </row>
    <row r="943">
      <c r="A943">
        <f>IF(games!$A943="","",games!$A943)</f>
        <v/>
      </c>
      <c r="B943">
        <f>IF($A943="","",games!$B943)</f>
        <v/>
      </c>
      <c r="C943">
        <f>IF($A943="","",games!$C943)</f>
        <v/>
      </c>
      <c r="D943">
        <f>IF($A943="","",COUNTIF(connections!$A$2:$A$1400,$A943)+COUNTIF(connections!$B$2:$B$1400,$A943))</f>
        <v/>
      </c>
      <c r="E943">
        <f>IF($A943="","",IFERROR(MATCH($C943,$R$2:$R$5,0),0))</f>
        <v/>
      </c>
      <c r="F943">
        <f>IF($A943="","",MOD(ROW(),34))</f>
        <v/>
      </c>
      <c r="G943">
        <f>IF($A943="",NA(),IF($C943="Action",$B943,NA()))</f>
        <v/>
      </c>
      <c r="H943">
        <f>IF($A943="",NA(),IF($C943="Action",1+$F943*0.023,NA()))</f>
        <v/>
      </c>
      <c r="I943">
        <f>IF($A943="",NA(),IF($C943="Strategy",$B943,NA()))</f>
        <v/>
      </c>
      <c r="J943">
        <f>IF($A943="",NA(),IF($C943="Strategy",2+$F943*0.023,NA()))</f>
        <v/>
      </c>
      <c r="K943">
        <f>IF($A943="",NA(),IF($C943="Deckbuilder",$B943,NA()))</f>
        <v/>
      </c>
      <c r="L943">
        <f>IF($A943="",NA(),IF($C943="Deckbuilder",3+$F943*0.023,NA()))</f>
        <v/>
      </c>
      <c r="M943">
        <f>IF($A943="",NA(),IF($C943="Traditional",$B943,NA()))</f>
        <v/>
      </c>
      <c r="N943">
        <f>IF($A943="",NA(),IF($C943="Traditional",4+$F943*0.023,NA()))</f>
        <v/>
      </c>
      <c r="O943">
        <f>IF($A943="","",$D943+ROW()/1000000)</f>
        <v/>
      </c>
      <c r="P943">
        <f>IF(OR($A943="",games!$H943=""),"",games!$H943)</f>
        <v/>
      </c>
      <c r="Q943">
        <f>IF(OR($A943="",$P943&lt;&gt;"Yes"),"",$D943+ROW()/1000000)</f>
        <v/>
      </c>
      <c r="T943">
        <f>IF(connections!$A943="","",IFERROR(INDEX(games!$B$2:$B$950,MATCH(connections!$A943,games!$A$2:$A$950,0)),""))</f>
        <v/>
      </c>
      <c r="U943">
        <f>IF(connections!$A943="","",IFERROR(INDEX(games!$B$2:$B$950,MATCH(connections!$B943,games!$A$2:$A$950,0)),""))</f>
        <v/>
      </c>
      <c r="V943">
        <f>IF(OR($T943="",$U943=""),"",$U943-$T943)</f>
        <v/>
      </c>
    </row>
    <row r="944">
      <c r="A944">
        <f>IF(games!$A944="","",games!$A944)</f>
        <v/>
      </c>
      <c r="B944">
        <f>IF($A944="","",games!$B944)</f>
        <v/>
      </c>
      <c r="C944">
        <f>IF($A944="","",games!$C944)</f>
        <v/>
      </c>
      <c r="D944">
        <f>IF($A944="","",COUNTIF(connections!$A$2:$A$1400,$A944)+COUNTIF(connections!$B$2:$B$1400,$A944))</f>
        <v/>
      </c>
      <c r="E944">
        <f>IF($A944="","",IFERROR(MATCH($C944,$R$2:$R$5,0),0))</f>
        <v/>
      </c>
      <c r="F944">
        <f>IF($A944="","",MOD(ROW(),34))</f>
        <v/>
      </c>
      <c r="G944">
        <f>IF($A944="",NA(),IF($C944="Action",$B944,NA()))</f>
        <v/>
      </c>
      <c r="H944">
        <f>IF($A944="",NA(),IF($C944="Action",1+$F944*0.023,NA()))</f>
        <v/>
      </c>
      <c r="I944">
        <f>IF($A944="",NA(),IF($C944="Strategy",$B944,NA()))</f>
        <v/>
      </c>
      <c r="J944">
        <f>IF($A944="",NA(),IF($C944="Strategy",2+$F944*0.023,NA()))</f>
        <v/>
      </c>
      <c r="K944">
        <f>IF($A944="",NA(),IF($C944="Deckbuilder",$B944,NA()))</f>
        <v/>
      </c>
      <c r="L944">
        <f>IF($A944="",NA(),IF($C944="Deckbuilder",3+$F944*0.023,NA()))</f>
        <v/>
      </c>
      <c r="M944">
        <f>IF($A944="",NA(),IF($C944="Traditional",$B944,NA()))</f>
        <v/>
      </c>
      <c r="N944">
        <f>IF($A944="",NA(),IF($C944="Traditional",4+$F944*0.023,NA()))</f>
        <v/>
      </c>
      <c r="O944">
        <f>IF($A944="","",$D944+ROW()/1000000)</f>
        <v/>
      </c>
      <c r="P944">
        <f>IF(OR($A944="",games!$H944=""),"",games!$H944)</f>
        <v/>
      </c>
      <c r="Q944">
        <f>IF(OR($A944="",$P944&lt;&gt;"Yes"),"",$D944+ROW()/1000000)</f>
        <v/>
      </c>
      <c r="T944">
        <f>IF(connections!$A944="","",IFERROR(INDEX(games!$B$2:$B$950,MATCH(connections!$A944,games!$A$2:$A$950,0)),""))</f>
        <v/>
      </c>
      <c r="U944">
        <f>IF(connections!$A944="","",IFERROR(INDEX(games!$B$2:$B$950,MATCH(connections!$B944,games!$A$2:$A$950,0)),""))</f>
        <v/>
      </c>
      <c r="V944">
        <f>IF(OR($T944="",$U944=""),"",$U944-$T944)</f>
        <v/>
      </c>
    </row>
    <row r="945">
      <c r="A945">
        <f>IF(games!$A945="","",games!$A945)</f>
        <v/>
      </c>
      <c r="B945">
        <f>IF($A945="","",games!$B945)</f>
        <v/>
      </c>
      <c r="C945">
        <f>IF($A945="","",games!$C945)</f>
        <v/>
      </c>
      <c r="D945">
        <f>IF($A945="","",COUNTIF(connections!$A$2:$A$1400,$A945)+COUNTIF(connections!$B$2:$B$1400,$A945))</f>
        <v/>
      </c>
      <c r="E945">
        <f>IF($A945="","",IFERROR(MATCH($C945,$R$2:$R$5,0),0))</f>
        <v/>
      </c>
      <c r="F945">
        <f>IF($A945="","",MOD(ROW(),34))</f>
        <v/>
      </c>
      <c r="G945">
        <f>IF($A945="",NA(),IF($C945="Action",$B945,NA()))</f>
        <v/>
      </c>
      <c r="H945">
        <f>IF($A945="",NA(),IF($C945="Action",1+$F945*0.023,NA()))</f>
        <v/>
      </c>
      <c r="I945">
        <f>IF($A945="",NA(),IF($C945="Strategy",$B945,NA()))</f>
        <v/>
      </c>
      <c r="J945">
        <f>IF($A945="",NA(),IF($C945="Strategy",2+$F945*0.023,NA()))</f>
        <v/>
      </c>
      <c r="K945">
        <f>IF($A945="",NA(),IF($C945="Deckbuilder",$B945,NA()))</f>
        <v/>
      </c>
      <c r="L945">
        <f>IF($A945="",NA(),IF($C945="Deckbuilder",3+$F945*0.023,NA()))</f>
        <v/>
      </c>
      <c r="M945">
        <f>IF($A945="",NA(),IF($C945="Traditional",$B945,NA()))</f>
        <v/>
      </c>
      <c r="N945">
        <f>IF($A945="",NA(),IF($C945="Traditional",4+$F945*0.023,NA()))</f>
        <v/>
      </c>
      <c r="O945">
        <f>IF($A945="","",$D945+ROW()/1000000)</f>
        <v/>
      </c>
      <c r="P945">
        <f>IF(OR($A945="",games!$H945=""),"",games!$H945)</f>
        <v/>
      </c>
      <c r="Q945">
        <f>IF(OR($A945="",$P945&lt;&gt;"Yes"),"",$D945+ROW()/1000000)</f>
        <v/>
      </c>
      <c r="T945">
        <f>IF(connections!$A945="","",IFERROR(INDEX(games!$B$2:$B$950,MATCH(connections!$A945,games!$A$2:$A$950,0)),""))</f>
        <v/>
      </c>
      <c r="U945">
        <f>IF(connections!$A945="","",IFERROR(INDEX(games!$B$2:$B$950,MATCH(connections!$B945,games!$A$2:$A$950,0)),""))</f>
        <v/>
      </c>
      <c r="V945">
        <f>IF(OR($T945="",$U945=""),"",$U945-$T945)</f>
        <v/>
      </c>
    </row>
    <row r="946">
      <c r="A946">
        <f>IF(games!$A946="","",games!$A946)</f>
        <v/>
      </c>
      <c r="B946">
        <f>IF($A946="","",games!$B946)</f>
        <v/>
      </c>
      <c r="C946">
        <f>IF($A946="","",games!$C946)</f>
        <v/>
      </c>
      <c r="D946">
        <f>IF($A946="","",COUNTIF(connections!$A$2:$A$1400,$A946)+COUNTIF(connections!$B$2:$B$1400,$A946))</f>
        <v/>
      </c>
      <c r="E946">
        <f>IF($A946="","",IFERROR(MATCH($C946,$R$2:$R$5,0),0))</f>
        <v/>
      </c>
      <c r="F946">
        <f>IF($A946="","",MOD(ROW(),34))</f>
        <v/>
      </c>
      <c r="G946">
        <f>IF($A946="",NA(),IF($C946="Action",$B946,NA()))</f>
        <v/>
      </c>
      <c r="H946">
        <f>IF($A946="",NA(),IF($C946="Action",1+$F946*0.023,NA()))</f>
        <v/>
      </c>
      <c r="I946">
        <f>IF($A946="",NA(),IF($C946="Strategy",$B946,NA()))</f>
        <v/>
      </c>
      <c r="J946">
        <f>IF($A946="",NA(),IF($C946="Strategy",2+$F946*0.023,NA()))</f>
        <v/>
      </c>
      <c r="K946">
        <f>IF($A946="",NA(),IF($C946="Deckbuilder",$B946,NA()))</f>
        <v/>
      </c>
      <c r="L946">
        <f>IF($A946="",NA(),IF($C946="Deckbuilder",3+$F946*0.023,NA()))</f>
        <v/>
      </c>
      <c r="M946">
        <f>IF($A946="",NA(),IF($C946="Traditional",$B946,NA()))</f>
        <v/>
      </c>
      <c r="N946">
        <f>IF($A946="",NA(),IF($C946="Traditional",4+$F946*0.023,NA()))</f>
        <v/>
      </c>
      <c r="O946">
        <f>IF($A946="","",$D946+ROW()/1000000)</f>
        <v/>
      </c>
      <c r="P946">
        <f>IF(OR($A946="",games!$H946=""),"",games!$H946)</f>
        <v/>
      </c>
      <c r="Q946">
        <f>IF(OR($A946="",$P946&lt;&gt;"Yes"),"",$D946+ROW()/1000000)</f>
        <v/>
      </c>
      <c r="T946">
        <f>IF(connections!$A946="","",IFERROR(INDEX(games!$B$2:$B$950,MATCH(connections!$A946,games!$A$2:$A$950,0)),""))</f>
        <v/>
      </c>
      <c r="U946">
        <f>IF(connections!$A946="","",IFERROR(INDEX(games!$B$2:$B$950,MATCH(connections!$B946,games!$A$2:$A$950,0)),""))</f>
        <v/>
      </c>
      <c r="V946">
        <f>IF(OR($T946="",$U946=""),"",$U946-$T946)</f>
        <v/>
      </c>
    </row>
    <row r="947">
      <c r="A947">
        <f>IF(games!$A947="","",games!$A947)</f>
        <v/>
      </c>
      <c r="B947">
        <f>IF($A947="","",games!$B947)</f>
        <v/>
      </c>
      <c r="C947">
        <f>IF($A947="","",games!$C947)</f>
        <v/>
      </c>
      <c r="D947">
        <f>IF($A947="","",COUNTIF(connections!$A$2:$A$1400,$A947)+COUNTIF(connections!$B$2:$B$1400,$A947))</f>
        <v/>
      </c>
      <c r="E947">
        <f>IF($A947="","",IFERROR(MATCH($C947,$R$2:$R$5,0),0))</f>
        <v/>
      </c>
      <c r="F947">
        <f>IF($A947="","",MOD(ROW(),34))</f>
        <v/>
      </c>
      <c r="G947">
        <f>IF($A947="",NA(),IF($C947="Action",$B947,NA()))</f>
        <v/>
      </c>
      <c r="H947">
        <f>IF($A947="",NA(),IF($C947="Action",1+$F947*0.023,NA()))</f>
        <v/>
      </c>
      <c r="I947">
        <f>IF($A947="",NA(),IF($C947="Strategy",$B947,NA()))</f>
        <v/>
      </c>
      <c r="J947">
        <f>IF($A947="",NA(),IF($C947="Strategy",2+$F947*0.023,NA()))</f>
        <v/>
      </c>
      <c r="K947">
        <f>IF($A947="",NA(),IF($C947="Deckbuilder",$B947,NA()))</f>
        <v/>
      </c>
      <c r="L947">
        <f>IF($A947="",NA(),IF($C947="Deckbuilder",3+$F947*0.023,NA()))</f>
        <v/>
      </c>
      <c r="M947">
        <f>IF($A947="",NA(),IF($C947="Traditional",$B947,NA()))</f>
        <v/>
      </c>
      <c r="N947">
        <f>IF($A947="",NA(),IF($C947="Traditional",4+$F947*0.023,NA()))</f>
        <v/>
      </c>
      <c r="O947">
        <f>IF($A947="","",$D947+ROW()/1000000)</f>
        <v/>
      </c>
      <c r="P947">
        <f>IF(OR($A947="",games!$H947=""),"",games!$H947)</f>
        <v/>
      </c>
      <c r="Q947">
        <f>IF(OR($A947="",$P947&lt;&gt;"Yes"),"",$D947+ROW()/1000000)</f>
        <v/>
      </c>
      <c r="T947">
        <f>IF(connections!$A947="","",IFERROR(INDEX(games!$B$2:$B$950,MATCH(connections!$A947,games!$A$2:$A$950,0)),""))</f>
        <v/>
      </c>
      <c r="U947">
        <f>IF(connections!$A947="","",IFERROR(INDEX(games!$B$2:$B$950,MATCH(connections!$B947,games!$A$2:$A$950,0)),""))</f>
        <v/>
      </c>
      <c r="V947">
        <f>IF(OR($T947="",$U947=""),"",$U947-$T947)</f>
        <v/>
      </c>
    </row>
    <row r="948">
      <c r="A948">
        <f>IF(games!$A948="","",games!$A948)</f>
        <v/>
      </c>
      <c r="B948">
        <f>IF($A948="","",games!$B948)</f>
        <v/>
      </c>
      <c r="C948">
        <f>IF($A948="","",games!$C948)</f>
        <v/>
      </c>
      <c r="D948">
        <f>IF($A948="","",COUNTIF(connections!$A$2:$A$1400,$A948)+COUNTIF(connections!$B$2:$B$1400,$A948))</f>
        <v/>
      </c>
      <c r="E948">
        <f>IF($A948="","",IFERROR(MATCH($C948,$R$2:$R$5,0),0))</f>
        <v/>
      </c>
      <c r="F948">
        <f>IF($A948="","",MOD(ROW(),34))</f>
        <v/>
      </c>
      <c r="G948">
        <f>IF($A948="",NA(),IF($C948="Action",$B948,NA()))</f>
        <v/>
      </c>
      <c r="H948">
        <f>IF($A948="",NA(),IF($C948="Action",1+$F948*0.023,NA()))</f>
        <v/>
      </c>
      <c r="I948">
        <f>IF($A948="",NA(),IF($C948="Strategy",$B948,NA()))</f>
        <v/>
      </c>
      <c r="J948">
        <f>IF($A948="",NA(),IF($C948="Strategy",2+$F948*0.023,NA()))</f>
        <v/>
      </c>
      <c r="K948">
        <f>IF($A948="",NA(),IF($C948="Deckbuilder",$B948,NA()))</f>
        <v/>
      </c>
      <c r="L948">
        <f>IF($A948="",NA(),IF($C948="Deckbuilder",3+$F948*0.023,NA()))</f>
        <v/>
      </c>
      <c r="M948">
        <f>IF($A948="",NA(),IF($C948="Traditional",$B948,NA()))</f>
        <v/>
      </c>
      <c r="N948">
        <f>IF($A948="",NA(),IF($C948="Traditional",4+$F948*0.023,NA()))</f>
        <v/>
      </c>
      <c r="O948">
        <f>IF($A948="","",$D948+ROW()/1000000)</f>
        <v/>
      </c>
      <c r="P948">
        <f>IF(OR($A948="",games!$H948=""),"",games!$H948)</f>
        <v/>
      </c>
      <c r="Q948">
        <f>IF(OR($A948="",$P948&lt;&gt;"Yes"),"",$D948+ROW()/1000000)</f>
        <v/>
      </c>
      <c r="T948">
        <f>IF(connections!$A948="","",IFERROR(INDEX(games!$B$2:$B$950,MATCH(connections!$A948,games!$A$2:$A$950,0)),""))</f>
        <v/>
      </c>
      <c r="U948">
        <f>IF(connections!$A948="","",IFERROR(INDEX(games!$B$2:$B$950,MATCH(connections!$B948,games!$A$2:$A$950,0)),""))</f>
        <v/>
      </c>
      <c r="V948">
        <f>IF(OR($T948="",$U948=""),"",$U948-$T948)</f>
        <v/>
      </c>
    </row>
    <row r="949">
      <c r="A949">
        <f>IF(games!$A949="","",games!$A949)</f>
        <v/>
      </c>
      <c r="B949">
        <f>IF($A949="","",games!$B949)</f>
        <v/>
      </c>
      <c r="C949">
        <f>IF($A949="","",games!$C949)</f>
        <v/>
      </c>
      <c r="D949">
        <f>IF($A949="","",COUNTIF(connections!$A$2:$A$1400,$A949)+COUNTIF(connections!$B$2:$B$1400,$A949))</f>
        <v/>
      </c>
      <c r="E949">
        <f>IF($A949="","",IFERROR(MATCH($C949,$R$2:$R$5,0),0))</f>
        <v/>
      </c>
      <c r="F949">
        <f>IF($A949="","",MOD(ROW(),34))</f>
        <v/>
      </c>
      <c r="G949">
        <f>IF($A949="",NA(),IF($C949="Action",$B949,NA()))</f>
        <v/>
      </c>
      <c r="H949">
        <f>IF($A949="",NA(),IF($C949="Action",1+$F949*0.023,NA()))</f>
        <v/>
      </c>
      <c r="I949">
        <f>IF($A949="",NA(),IF($C949="Strategy",$B949,NA()))</f>
        <v/>
      </c>
      <c r="J949">
        <f>IF($A949="",NA(),IF($C949="Strategy",2+$F949*0.023,NA()))</f>
        <v/>
      </c>
      <c r="K949">
        <f>IF($A949="",NA(),IF($C949="Deckbuilder",$B949,NA()))</f>
        <v/>
      </c>
      <c r="L949">
        <f>IF($A949="",NA(),IF($C949="Deckbuilder",3+$F949*0.023,NA()))</f>
        <v/>
      </c>
      <c r="M949">
        <f>IF($A949="",NA(),IF($C949="Traditional",$B949,NA()))</f>
        <v/>
      </c>
      <c r="N949">
        <f>IF($A949="",NA(),IF($C949="Traditional",4+$F949*0.023,NA()))</f>
        <v/>
      </c>
      <c r="O949">
        <f>IF($A949="","",$D949+ROW()/1000000)</f>
        <v/>
      </c>
      <c r="P949">
        <f>IF(OR($A949="",games!$H949=""),"",games!$H949)</f>
        <v/>
      </c>
      <c r="Q949">
        <f>IF(OR($A949="",$P949&lt;&gt;"Yes"),"",$D949+ROW()/1000000)</f>
        <v/>
      </c>
      <c r="T949">
        <f>IF(connections!$A949="","",IFERROR(INDEX(games!$B$2:$B$950,MATCH(connections!$A949,games!$A$2:$A$950,0)),""))</f>
        <v/>
      </c>
      <c r="U949">
        <f>IF(connections!$A949="","",IFERROR(INDEX(games!$B$2:$B$950,MATCH(connections!$B949,games!$A$2:$A$950,0)),""))</f>
        <v/>
      </c>
      <c r="V949">
        <f>IF(OR($T949="",$U949=""),"",$U949-$T949)</f>
        <v/>
      </c>
    </row>
    <row r="950">
      <c r="A950">
        <f>IF(games!$A950="","",games!$A950)</f>
        <v/>
      </c>
      <c r="B950">
        <f>IF($A950="","",games!$B950)</f>
        <v/>
      </c>
      <c r="C950">
        <f>IF($A950="","",games!$C950)</f>
        <v/>
      </c>
      <c r="D950">
        <f>IF($A950="","",COUNTIF(connections!$A$2:$A$1400,$A950)+COUNTIF(connections!$B$2:$B$1400,$A950))</f>
        <v/>
      </c>
      <c r="E950">
        <f>IF($A950="","",IFERROR(MATCH($C950,$R$2:$R$5,0),0))</f>
        <v/>
      </c>
      <c r="F950">
        <f>IF($A950="","",MOD(ROW(),34))</f>
        <v/>
      </c>
      <c r="G950">
        <f>IF($A950="",NA(),IF($C950="Action",$B950,NA()))</f>
        <v/>
      </c>
      <c r="H950">
        <f>IF($A950="",NA(),IF($C950="Action",1+$F950*0.023,NA()))</f>
        <v/>
      </c>
      <c r="I950">
        <f>IF($A950="",NA(),IF($C950="Strategy",$B950,NA()))</f>
        <v/>
      </c>
      <c r="J950">
        <f>IF($A950="",NA(),IF($C950="Strategy",2+$F950*0.023,NA()))</f>
        <v/>
      </c>
      <c r="K950">
        <f>IF($A950="",NA(),IF($C950="Deckbuilder",$B950,NA()))</f>
        <v/>
      </c>
      <c r="L950">
        <f>IF($A950="",NA(),IF($C950="Deckbuilder",3+$F950*0.023,NA()))</f>
        <v/>
      </c>
      <c r="M950">
        <f>IF($A950="",NA(),IF($C950="Traditional",$B950,NA()))</f>
        <v/>
      </c>
      <c r="N950">
        <f>IF($A950="",NA(),IF($C950="Traditional",4+$F950*0.023,NA()))</f>
        <v/>
      </c>
      <c r="O950">
        <f>IF($A950="","",$D950+ROW()/1000000)</f>
        <v/>
      </c>
      <c r="P950">
        <f>IF(OR($A950="",games!$H950=""),"",games!$H950)</f>
        <v/>
      </c>
      <c r="Q950">
        <f>IF(OR($A950="",$P950&lt;&gt;"Yes"),"",$D950+ROW()/1000000)</f>
        <v/>
      </c>
      <c r="T950">
        <f>IF(connections!$A950="","",IFERROR(INDEX(games!$B$2:$B$950,MATCH(connections!$A950,games!$A$2:$A$950,0)),""))</f>
        <v/>
      </c>
      <c r="U950">
        <f>IF(connections!$A950="","",IFERROR(INDEX(games!$B$2:$B$950,MATCH(connections!$B950,games!$A$2:$A$950,0)),""))</f>
        <v/>
      </c>
      <c r="V950">
        <f>IF(OR($T950="",$U950=""),"",$U950-$T950)</f>
        <v/>
      </c>
    </row>
    <row r="951">
      <c r="T951">
        <f>IF(connections!$A951="","",IFERROR(INDEX(games!$B$2:$B$950,MATCH(connections!$A951,games!$A$2:$A$950,0)),""))</f>
        <v/>
      </c>
      <c r="U951">
        <f>IF(connections!$A951="","",IFERROR(INDEX(games!$B$2:$B$950,MATCH(connections!$B951,games!$A$2:$A$950,0)),""))</f>
        <v/>
      </c>
      <c r="V951">
        <f>IF(OR($T951="",$U951=""),"",$U951-$T951)</f>
        <v/>
      </c>
    </row>
    <row r="952">
      <c r="T952">
        <f>IF(connections!$A952="","",IFERROR(INDEX(games!$B$2:$B$950,MATCH(connections!$A952,games!$A$2:$A$950,0)),""))</f>
        <v/>
      </c>
      <c r="U952">
        <f>IF(connections!$A952="","",IFERROR(INDEX(games!$B$2:$B$950,MATCH(connections!$B952,games!$A$2:$A$950,0)),""))</f>
        <v/>
      </c>
      <c r="V952">
        <f>IF(OR($T952="",$U952=""),"",$U952-$T952)</f>
        <v/>
      </c>
    </row>
    <row r="953">
      <c r="T953">
        <f>IF(connections!$A953="","",IFERROR(INDEX(games!$B$2:$B$950,MATCH(connections!$A953,games!$A$2:$A$950,0)),""))</f>
        <v/>
      </c>
      <c r="U953">
        <f>IF(connections!$A953="","",IFERROR(INDEX(games!$B$2:$B$950,MATCH(connections!$B953,games!$A$2:$A$950,0)),""))</f>
        <v/>
      </c>
      <c r="V953">
        <f>IF(OR($T953="",$U953=""),"",$U953-$T953)</f>
        <v/>
      </c>
    </row>
    <row r="954">
      <c r="T954">
        <f>IF(connections!$A954="","",IFERROR(INDEX(games!$B$2:$B$950,MATCH(connections!$A954,games!$A$2:$A$950,0)),""))</f>
        <v/>
      </c>
      <c r="U954">
        <f>IF(connections!$A954="","",IFERROR(INDEX(games!$B$2:$B$950,MATCH(connections!$B954,games!$A$2:$A$950,0)),""))</f>
        <v/>
      </c>
      <c r="V954">
        <f>IF(OR($T954="",$U954=""),"",$U954-$T954)</f>
        <v/>
      </c>
    </row>
    <row r="955">
      <c r="T955">
        <f>IF(connections!$A955="","",IFERROR(INDEX(games!$B$2:$B$950,MATCH(connections!$A955,games!$A$2:$A$950,0)),""))</f>
        <v/>
      </c>
      <c r="U955">
        <f>IF(connections!$A955="","",IFERROR(INDEX(games!$B$2:$B$950,MATCH(connections!$B955,games!$A$2:$A$950,0)),""))</f>
        <v/>
      </c>
      <c r="V955">
        <f>IF(OR($T955="",$U955=""),"",$U955-$T955)</f>
        <v/>
      </c>
    </row>
    <row r="956">
      <c r="T956">
        <f>IF(connections!$A956="","",IFERROR(INDEX(games!$B$2:$B$950,MATCH(connections!$A956,games!$A$2:$A$950,0)),""))</f>
        <v/>
      </c>
      <c r="U956">
        <f>IF(connections!$A956="","",IFERROR(INDEX(games!$B$2:$B$950,MATCH(connections!$B956,games!$A$2:$A$950,0)),""))</f>
        <v/>
      </c>
      <c r="V956">
        <f>IF(OR($T956="",$U956=""),"",$U956-$T956)</f>
        <v/>
      </c>
    </row>
    <row r="957">
      <c r="T957">
        <f>IF(connections!$A957="","",IFERROR(INDEX(games!$B$2:$B$950,MATCH(connections!$A957,games!$A$2:$A$950,0)),""))</f>
        <v/>
      </c>
      <c r="U957">
        <f>IF(connections!$A957="","",IFERROR(INDEX(games!$B$2:$B$950,MATCH(connections!$B957,games!$A$2:$A$950,0)),""))</f>
        <v/>
      </c>
      <c r="V957">
        <f>IF(OR($T957="",$U957=""),"",$U957-$T957)</f>
        <v/>
      </c>
    </row>
    <row r="958">
      <c r="T958">
        <f>IF(connections!$A958="","",IFERROR(INDEX(games!$B$2:$B$950,MATCH(connections!$A958,games!$A$2:$A$950,0)),""))</f>
        <v/>
      </c>
      <c r="U958">
        <f>IF(connections!$A958="","",IFERROR(INDEX(games!$B$2:$B$950,MATCH(connections!$B958,games!$A$2:$A$950,0)),""))</f>
        <v/>
      </c>
      <c r="V958">
        <f>IF(OR($T958="",$U958=""),"",$U958-$T958)</f>
        <v/>
      </c>
    </row>
    <row r="959">
      <c r="T959">
        <f>IF(connections!$A959="","",IFERROR(INDEX(games!$B$2:$B$950,MATCH(connections!$A959,games!$A$2:$A$950,0)),""))</f>
        <v/>
      </c>
      <c r="U959">
        <f>IF(connections!$A959="","",IFERROR(INDEX(games!$B$2:$B$950,MATCH(connections!$B959,games!$A$2:$A$950,0)),""))</f>
        <v/>
      </c>
      <c r="V959">
        <f>IF(OR($T959="",$U959=""),"",$U959-$T959)</f>
        <v/>
      </c>
    </row>
    <row r="960">
      <c r="T960">
        <f>IF(connections!$A960="","",IFERROR(INDEX(games!$B$2:$B$950,MATCH(connections!$A960,games!$A$2:$A$950,0)),""))</f>
        <v/>
      </c>
      <c r="U960">
        <f>IF(connections!$A960="","",IFERROR(INDEX(games!$B$2:$B$950,MATCH(connections!$B960,games!$A$2:$A$950,0)),""))</f>
        <v/>
      </c>
      <c r="V960">
        <f>IF(OR($T960="",$U960=""),"",$U960-$T960)</f>
        <v/>
      </c>
    </row>
    <row r="961">
      <c r="T961">
        <f>IF(connections!$A961="","",IFERROR(INDEX(games!$B$2:$B$950,MATCH(connections!$A961,games!$A$2:$A$950,0)),""))</f>
        <v/>
      </c>
      <c r="U961">
        <f>IF(connections!$A961="","",IFERROR(INDEX(games!$B$2:$B$950,MATCH(connections!$B961,games!$A$2:$A$950,0)),""))</f>
        <v/>
      </c>
      <c r="V961">
        <f>IF(OR($T961="",$U961=""),"",$U961-$T961)</f>
        <v/>
      </c>
    </row>
    <row r="962">
      <c r="T962">
        <f>IF(connections!$A962="","",IFERROR(INDEX(games!$B$2:$B$950,MATCH(connections!$A962,games!$A$2:$A$950,0)),""))</f>
        <v/>
      </c>
      <c r="U962">
        <f>IF(connections!$A962="","",IFERROR(INDEX(games!$B$2:$B$950,MATCH(connections!$B962,games!$A$2:$A$950,0)),""))</f>
        <v/>
      </c>
      <c r="V962">
        <f>IF(OR($T962="",$U962=""),"",$U962-$T962)</f>
        <v/>
      </c>
    </row>
    <row r="963">
      <c r="T963">
        <f>IF(connections!$A963="","",IFERROR(INDEX(games!$B$2:$B$950,MATCH(connections!$A963,games!$A$2:$A$950,0)),""))</f>
        <v/>
      </c>
      <c r="U963">
        <f>IF(connections!$A963="","",IFERROR(INDEX(games!$B$2:$B$950,MATCH(connections!$B963,games!$A$2:$A$950,0)),""))</f>
        <v/>
      </c>
      <c r="V963">
        <f>IF(OR($T963="",$U963=""),"",$U963-$T963)</f>
        <v/>
      </c>
    </row>
    <row r="964">
      <c r="T964">
        <f>IF(connections!$A964="","",IFERROR(INDEX(games!$B$2:$B$950,MATCH(connections!$A964,games!$A$2:$A$950,0)),""))</f>
        <v/>
      </c>
      <c r="U964">
        <f>IF(connections!$A964="","",IFERROR(INDEX(games!$B$2:$B$950,MATCH(connections!$B964,games!$A$2:$A$950,0)),""))</f>
        <v/>
      </c>
      <c r="V964">
        <f>IF(OR($T964="",$U964=""),"",$U964-$T964)</f>
        <v/>
      </c>
    </row>
    <row r="965">
      <c r="T965">
        <f>IF(connections!$A965="","",IFERROR(INDEX(games!$B$2:$B$950,MATCH(connections!$A965,games!$A$2:$A$950,0)),""))</f>
        <v/>
      </c>
      <c r="U965">
        <f>IF(connections!$A965="","",IFERROR(INDEX(games!$B$2:$B$950,MATCH(connections!$B965,games!$A$2:$A$950,0)),""))</f>
        <v/>
      </c>
      <c r="V965">
        <f>IF(OR($T965="",$U965=""),"",$U965-$T965)</f>
        <v/>
      </c>
    </row>
    <row r="966">
      <c r="T966">
        <f>IF(connections!$A966="","",IFERROR(INDEX(games!$B$2:$B$950,MATCH(connections!$A966,games!$A$2:$A$950,0)),""))</f>
        <v/>
      </c>
      <c r="U966">
        <f>IF(connections!$A966="","",IFERROR(INDEX(games!$B$2:$B$950,MATCH(connections!$B966,games!$A$2:$A$950,0)),""))</f>
        <v/>
      </c>
      <c r="V966">
        <f>IF(OR($T966="",$U966=""),"",$U966-$T966)</f>
        <v/>
      </c>
    </row>
    <row r="967">
      <c r="T967">
        <f>IF(connections!$A967="","",IFERROR(INDEX(games!$B$2:$B$950,MATCH(connections!$A967,games!$A$2:$A$950,0)),""))</f>
        <v/>
      </c>
      <c r="U967">
        <f>IF(connections!$A967="","",IFERROR(INDEX(games!$B$2:$B$950,MATCH(connections!$B967,games!$A$2:$A$950,0)),""))</f>
        <v/>
      </c>
      <c r="V967">
        <f>IF(OR($T967="",$U967=""),"",$U967-$T967)</f>
        <v/>
      </c>
    </row>
    <row r="968">
      <c r="T968">
        <f>IF(connections!$A968="","",IFERROR(INDEX(games!$B$2:$B$950,MATCH(connections!$A968,games!$A$2:$A$950,0)),""))</f>
        <v/>
      </c>
      <c r="U968">
        <f>IF(connections!$A968="","",IFERROR(INDEX(games!$B$2:$B$950,MATCH(connections!$B968,games!$A$2:$A$950,0)),""))</f>
        <v/>
      </c>
      <c r="V968">
        <f>IF(OR($T968="",$U968=""),"",$U968-$T968)</f>
        <v/>
      </c>
    </row>
    <row r="969">
      <c r="T969">
        <f>IF(connections!$A969="","",IFERROR(INDEX(games!$B$2:$B$950,MATCH(connections!$A969,games!$A$2:$A$950,0)),""))</f>
        <v/>
      </c>
      <c r="U969">
        <f>IF(connections!$A969="","",IFERROR(INDEX(games!$B$2:$B$950,MATCH(connections!$B969,games!$A$2:$A$950,0)),""))</f>
        <v/>
      </c>
      <c r="V969">
        <f>IF(OR($T969="",$U969=""),"",$U969-$T969)</f>
        <v/>
      </c>
    </row>
    <row r="970">
      <c r="T970">
        <f>IF(connections!$A970="","",IFERROR(INDEX(games!$B$2:$B$950,MATCH(connections!$A970,games!$A$2:$A$950,0)),""))</f>
        <v/>
      </c>
      <c r="U970">
        <f>IF(connections!$A970="","",IFERROR(INDEX(games!$B$2:$B$950,MATCH(connections!$B970,games!$A$2:$A$950,0)),""))</f>
        <v/>
      </c>
      <c r="V970">
        <f>IF(OR($T970="",$U970=""),"",$U970-$T970)</f>
        <v/>
      </c>
    </row>
    <row r="971">
      <c r="T971">
        <f>IF(connections!$A971="","",IFERROR(INDEX(games!$B$2:$B$950,MATCH(connections!$A971,games!$A$2:$A$950,0)),""))</f>
        <v/>
      </c>
      <c r="U971">
        <f>IF(connections!$A971="","",IFERROR(INDEX(games!$B$2:$B$950,MATCH(connections!$B971,games!$A$2:$A$950,0)),""))</f>
        <v/>
      </c>
      <c r="V971">
        <f>IF(OR($T971="",$U971=""),"",$U971-$T971)</f>
        <v/>
      </c>
    </row>
    <row r="972">
      <c r="T972">
        <f>IF(connections!$A972="","",IFERROR(INDEX(games!$B$2:$B$950,MATCH(connections!$A972,games!$A$2:$A$950,0)),""))</f>
        <v/>
      </c>
      <c r="U972">
        <f>IF(connections!$A972="","",IFERROR(INDEX(games!$B$2:$B$950,MATCH(connections!$B972,games!$A$2:$A$950,0)),""))</f>
        <v/>
      </c>
      <c r="V972">
        <f>IF(OR($T972="",$U972=""),"",$U972-$T972)</f>
        <v/>
      </c>
    </row>
    <row r="973">
      <c r="T973">
        <f>IF(connections!$A973="","",IFERROR(INDEX(games!$B$2:$B$950,MATCH(connections!$A973,games!$A$2:$A$950,0)),""))</f>
        <v/>
      </c>
      <c r="U973">
        <f>IF(connections!$A973="","",IFERROR(INDEX(games!$B$2:$B$950,MATCH(connections!$B973,games!$A$2:$A$950,0)),""))</f>
        <v/>
      </c>
      <c r="V973">
        <f>IF(OR($T973="",$U973=""),"",$U973-$T973)</f>
        <v/>
      </c>
    </row>
    <row r="974">
      <c r="T974">
        <f>IF(connections!$A974="","",IFERROR(INDEX(games!$B$2:$B$950,MATCH(connections!$A974,games!$A$2:$A$950,0)),""))</f>
        <v/>
      </c>
      <c r="U974">
        <f>IF(connections!$A974="","",IFERROR(INDEX(games!$B$2:$B$950,MATCH(connections!$B974,games!$A$2:$A$950,0)),""))</f>
        <v/>
      </c>
      <c r="V974">
        <f>IF(OR($T974="",$U974=""),"",$U974-$T974)</f>
        <v/>
      </c>
    </row>
    <row r="975">
      <c r="T975">
        <f>IF(connections!$A975="","",IFERROR(INDEX(games!$B$2:$B$950,MATCH(connections!$A975,games!$A$2:$A$950,0)),""))</f>
        <v/>
      </c>
      <c r="U975">
        <f>IF(connections!$A975="","",IFERROR(INDEX(games!$B$2:$B$950,MATCH(connections!$B975,games!$A$2:$A$950,0)),""))</f>
        <v/>
      </c>
      <c r="V975">
        <f>IF(OR($T975="",$U975=""),"",$U975-$T975)</f>
        <v/>
      </c>
    </row>
    <row r="976">
      <c r="T976">
        <f>IF(connections!$A976="","",IFERROR(INDEX(games!$B$2:$B$950,MATCH(connections!$A976,games!$A$2:$A$950,0)),""))</f>
        <v/>
      </c>
      <c r="U976">
        <f>IF(connections!$A976="","",IFERROR(INDEX(games!$B$2:$B$950,MATCH(connections!$B976,games!$A$2:$A$950,0)),""))</f>
        <v/>
      </c>
      <c r="V976">
        <f>IF(OR($T976="",$U976=""),"",$U976-$T976)</f>
        <v/>
      </c>
    </row>
    <row r="977">
      <c r="T977">
        <f>IF(connections!$A977="","",IFERROR(INDEX(games!$B$2:$B$950,MATCH(connections!$A977,games!$A$2:$A$950,0)),""))</f>
        <v/>
      </c>
      <c r="U977">
        <f>IF(connections!$A977="","",IFERROR(INDEX(games!$B$2:$B$950,MATCH(connections!$B977,games!$A$2:$A$950,0)),""))</f>
        <v/>
      </c>
      <c r="V977">
        <f>IF(OR($T977="",$U977=""),"",$U977-$T977)</f>
        <v/>
      </c>
    </row>
    <row r="978">
      <c r="T978">
        <f>IF(connections!$A978="","",IFERROR(INDEX(games!$B$2:$B$950,MATCH(connections!$A978,games!$A$2:$A$950,0)),""))</f>
        <v/>
      </c>
      <c r="U978">
        <f>IF(connections!$A978="","",IFERROR(INDEX(games!$B$2:$B$950,MATCH(connections!$B978,games!$A$2:$A$950,0)),""))</f>
        <v/>
      </c>
      <c r="V978">
        <f>IF(OR($T978="",$U978=""),"",$U978-$T978)</f>
        <v/>
      </c>
    </row>
    <row r="979">
      <c r="T979">
        <f>IF(connections!$A979="","",IFERROR(INDEX(games!$B$2:$B$950,MATCH(connections!$A979,games!$A$2:$A$950,0)),""))</f>
        <v/>
      </c>
      <c r="U979">
        <f>IF(connections!$A979="","",IFERROR(INDEX(games!$B$2:$B$950,MATCH(connections!$B979,games!$A$2:$A$950,0)),""))</f>
        <v/>
      </c>
      <c r="V979">
        <f>IF(OR($T979="",$U979=""),"",$U979-$T979)</f>
        <v/>
      </c>
    </row>
    <row r="980">
      <c r="T980">
        <f>IF(connections!$A980="","",IFERROR(INDEX(games!$B$2:$B$950,MATCH(connections!$A980,games!$A$2:$A$950,0)),""))</f>
        <v/>
      </c>
      <c r="U980">
        <f>IF(connections!$A980="","",IFERROR(INDEX(games!$B$2:$B$950,MATCH(connections!$B980,games!$A$2:$A$950,0)),""))</f>
        <v/>
      </c>
      <c r="V980">
        <f>IF(OR($T980="",$U980=""),"",$U980-$T980)</f>
        <v/>
      </c>
    </row>
    <row r="981">
      <c r="T981">
        <f>IF(connections!$A981="","",IFERROR(INDEX(games!$B$2:$B$950,MATCH(connections!$A981,games!$A$2:$A$950,0)),""))</f>
        <v/>
      </c>
      <c r="U981">
        <f>IF(connections!$A981="","",IFERROR(INDEX(games!$B$2:$B$950,MATCH(connections!$B981,games!$A$2:$A$950,0)),""))</f>
        <v/>
      </c>
      <c r="V981">
        <f>IF(OR($T981="",$U981=""),"",$U981-$T981)</f>
        <v/>
      </c>
    </row>
    <row r="982">
      <c r="T982">
        <f>IF(connections!$A982="","",IFERROR(INDEX(games!$B$2:$B$950,MATCH(connections!$A982,games!$A$2:$A$950,0)),""))</f>
        <v/>
      </c>
      <c r="U982">
        <f>IF(connections!$A982="","",IFERROR(INDEX(games!$B$2:$B$950,MATCH(connections!$B982,games!$A$2:$A$950,0)),""))</f>
        <v/>
      </c>
      <c r="V982">
        <f>IF(OR($T982="",$U982=""),"",$U982-$T982)</f>
        <v/>
      </c>
    </row>
    <row r="983">
      <c r="T983">
        <f>IF(connections!$A983="","",IFERROR(INDEX(games!$B$2:$B$950,MATCH(connections!$A983,games!$A$2:$A$950,0)),""))</f>
        <v/>
      </c>
      <c r="U983">
        <f>IF(connections!$A983="","",IFERROR(INDEX(games!$B$2:$B$950,MATCH(connections!$B983,games!$A$2:$A$950,0)),""))</f>
        <v/>
      </c>
      <c r="V983">
        <f>IF(OR($T983="",$U983=""),"",$U983-$T983)</f>
        <v/>
      </c>
    </row>
    <row r="984">
      <c r="T984">
        <f>IF(connections!$A984="","",IFERROR(INDEX(games!$B$2:$B$950,MATCH(connections!$A984,games!$A$2:$A$950,0)),""))</f>
        <v/>
      </c>
      <c r="U984">
        <f>IF(connections!$A984="","",IFERROR(INDEX(games!$B$2:$B$950,MATCH(connections!$B984,games!$A$2:$A$950,0)),""))</f>
        <v/>
      </c>
      <c r="V984">
        <f>IF(OR($T984="",$U984=""),"",$U984-$T984)</f>
        <v/>
      </c>
    </row>
    <row r="985">
      <c r="T985">
        <f>IF(connections!$A985="","",IFERROR(INDEX(games!$B$2:$B$950,MATCH(connections!$A985,games!$A$2:$A$950,0)),""))</f>
        <v/>
      </c>
      <c r="U985">
        <f>IF(connections!$A985="","",IFERROR(INDEX(games!$B$2:$B$950,MATCH(connections!$B985,games!$A$2:$A$950,0)),""))</f>
        <v/>
      </c>
      <c r="V985">
        <f>IF(OR($T985="",$U985=""),"",$U985-$T985)</f>
        <v/>
      </c>
    </row>
    <row r="986">
      <c r="T986">
        <f>IF(connections!$A986="","",IFERROR(INDEX(games!$B$2:$B$950,MATCH(connections!$A986,games!$A$2:$A$950,0)),""))</f>
        <v/>
      </c>
      <c r="U986">
        <f>IF(connections!$A986="","",IFERROR(INDEX(games!$B$2:$B$950,MATCH(connections!$B986,games!$A$2:$A$950,0)),""))</f>
        <v/>
      </c>
      <c r="V986">
        <f>IF(OR($T986="",$U986=""),"",$U986-$T986)</f>
        <v/>
      </c>
    </row>
    <row r="987">
      <c r="T987">
        <f>IF(connections!$A987="","",IFERROR(INDEX(games!$B$2:$B$950,MATCH(connections!$A987,games!$A$2:$A$950,0)),""))</f>
        <v/>
      </c>
      <c r="U987">
        <f>IF(connections!$A987="","",IFERROR(INDEX(games!$B$2:$B$950,MATCH(connections!$B987,games!$A$2:$A$950,0)),""))</f>
        <v/>
      </c>
      <c r="V987">
        <f>IF(OR($T987="",$U987=""),"",$U987-$T987)</f>
        <v/>
      </c>
    </row>
    <row r="988">
      <c r="T988">
        <f>IF(connections!$A988="","",IFERROR(INDEX(games!$B$2:$B$950,MATCH(connections!$A988,games!$A$2:$A$950,0)),""))</f>
        <v/>
      </c>
      <c r="U988">
        <f>IF(connections!$A988="","",IFERROR(INDEX(games!$B$2:$B$950,MATCH(connections!$B988,games!$A$2:$A$950,0)),""))</f>
        <v/>
      </c>
      <c r="V988">
        <f>IF(OR($T988="",$U988=""),"",$U988-$T988)</f>
        <v/>
      </c>
    </row>
    <row r="989">
      <c r="T989">
        <f>IF(connections!$A989="","",IFERROR(INDEX(games!$B$2:$B$950,MATCH(connections!$A989,games!$A$2:$A$950,0)),""))</f>
        <v/>
      </c>
      <c r="U989">
        <f>IF(connections!$A989="","",IFERROR(INDEX(games!$B$2:$B$950,MATCH(connections!$B989,games!$A$2:$A$950,0)),""))</f>
        <v/>
      </c>
      <c r="V989">
        <f>IF(OR($T989="",$U989=""),"",$U989-$T989)</f>
        <v/>
      </c>
    </row>
    <row r="990">
      <c r="T990">
        <f>IF(connections!$A990="","",IFERROR(INDEX(games!$B$2:$B$950,MATCH(connections!$A990,games!$A$2:$A$950,0)),""))</f>
        <v/>
      </c>
      <c r="U990">
        <f>IF(connections!$A990="","",IFERROR(INDEX(games!$B$2:$B$950,MATCH(connections!$B990,games!$A$2:$A$950,0)),""))</f>
        <v/>
      </c>
      <c r="V990">
        <f>IF(OR($T990="",$U990=""),"",$U990-$T990)</f>
        <v/>
      </c>
    </row>
    <row r="991">
      <c r="T991">
        <f>IF(connections!$A991="","",IFERROR(INDEX(games!$B$2:$B$950,MATCH(connections!$A991,games!$A$2:$A$950,0)),""))</f>
        <v/>
      </c>
      <c r="U991">
        <f>IF(connections!$A991="","",IFERROR(INDEX(games!$B$2:$B$950,MATCH(connections!$B991,games!$A$2:$A$950,0)),""))</f>
        <v/>
      </c>
      <c r="V991">
        <f>IF(OR($T991="",$U991=""),"",$U991-$T991)</f>
        <v/>
      </c>
    </row>
    <row r="992">
      <c r="T992">
        <f>IF(connections!$A992="","",IFERROR(INDEX(games!$B$2:$B$950,MATCH(connections!$A992,games!$A$2:$A$950,0)),""))</f>
        <v/>
      </c>
      <c r="U992">
        <f>IF(connections!$A992="","",IFERROR(INDEX(games!$B$2:$B$950,MATCH(connections!$B992,games!$A$2:$A$950,0)),""))</f>
        <v/>
      </c>
      <c r="V992">
        <f>IF(OR($T992="",$U992=""),"",$U992-$T992)</f>
        <v/>
      </c>
    </row>
    <row r="993">
      <c r="T993">
        <f>IF(connections!$A993="","",IFERROR(INDEX(games!$B$2:$B$950,MATCH(connections!$A993,games!$A$2:$A$950,0)),""))</f>
        <v/>
      </c>
      <c r="U993">
        <f>IF(connections!$A993="","",IFERROR(INDEX(games!$B$2:$B$950,MATCH(connections!$B993,games!$A$2:$A$950,0)),""))</f>
        <v/>
      </c>
      <c r="V993">
        <f>IF(OR($T993="",$U993=""),"",$U993-$T993)</f>
        <v/>
      </c>
    </row>
    <row r="994">
      <c r="T994">
        <f>IF(connections!$A994="","",IFERROR(INDEX(games!$B$2:$B$950,MATCH(connections!$A994,games!$A$2:$A$950,0)),""))</f>
        <v/>
      </c>
      <c r="U994">
        <f>IF(connections!$A994="","",IFERROR(INDEX(games!$B$2:$B$950,MATCH(connections!$B994,games!$A$2:$A$950,0)),""))</f>
        <v/>
      </c>
      <c r="V994">
        <f>IF(OR($T994="",$U994=""),"",$U994-$T994)</f>
        <v/>
      </c>
    </row>
    <row r="995">
      <c r="T995">
        <f>IF(connections!$A995="","",IFERROR(INDEX(games!$B$2:$B$950,MATCH(connections!$A995,games!$A$2:$A$950,0)),""))</f>
        <v/>
      </c>
      <c r="U995">
        <f>IF(connections!$A995="","",IFERROR(INDEX(games!$B$2:$B$950,MATCH(connections!$B995,games!$A$2:$A$950,0)),""))</f>
        <v/>
      </c>
      <c r="V995">
        <f>IF(OR($T995="",$U995=""),"",$U995-$T995)</f>
        <v/>
      </c>
    </row>
    <row r="996">
      <c r="T996">
        <f>IF(connections!$A996="","",IFERROR(INDEX(games!$B$2:$B$950,MATCH(connections!$A996,games!$A$2:$A$950,0)),""))</f>
        <v/>
      </c>
      <c r="U996">
        <f>IF(connections!$A996="","",IFERROR(INDEX(games!$B$2:$B$950,MATCH(connections!$B996,games!$A$2:$A$950,0)),""))</f>
        <v/>
      </c>
      <c r="V996">
        <f>IF(OR($T996="",$U996=""),"",$U996-$T996)</f>
        <v/>
      </c>
    </row>
    <row r="997">
      <c r="T997">
        <f>IF(connections!$A997="","",IFERROR(INDEX(games!$B$2:$B$950,MATCH(connections!$A997,games!$A$2:$A$950,0)),""))</f>
        <v/>
      </c>
      <c r="U997">
        <f>IF(connections!$A997="","",IFERROR(INDEX(games!$B$2:$B$950,MATCH(connections!$B997,games!$A$2:$A$950,0)),""))</f>
        <v/>
      </c>
      <c r="V997">
        <f>IF(OR($T997="",$U997=""),"",$U997-$T997)</f>
        <v/>
      </c>
    </row>
    <row r="998">
      <c r="T998">
        <f>IF(connections!$A998="","",IFERROR(INDEX(games!$B$2:$B$950,MATCH(connections!$A998,games!$A$2:$A$950,0)),""))</f>
        <v/>
      </c>
      <c r="U998">
        <f>IF(connections!$A998="","",IFERROR(INDEX(games!$B$2:$B$950,MATCH(connections!$B998,games!$A$2:$A$950,0)),""))</f>
        <v/>
      </c>
      <c r="V998">
        <f>IF(OR($T998="",$U998=""),"",$U998-$T998)</f>
        <v/>
      </c>
    </row>
    <row r="999">
      <c r="T999">
        <f>IF(connections!$A999="","",IFERROR(INDEX(games!$B$2:$B$950,MATCH(connections!$A999,games!$A$2:$A$950,0)),""))</f>
        <v/>
      </c>
      <c r="U999">
        <f>IF(connections!$A999="","",IFERROR(INDEX(games!$B$2:$B$950,MATCH(connections!$B999,games!$A$2:$A$950,0)),""))</f>
        <v/>
      </c>
      <c r="V999">
        <f>IF(OR($T999="",$U999=""),"",$U999-$T999)</f>
        <v/>
      </c>
    </row>
    <row r="1000">
      <c r="T1000">
        <f>IF(connections!$A1000="","",IFERROR(INDEX(games!$B$2:$B$950,MATCH(connections!$A1000,games!$A$2:$A$950,0)),""))</f>
        <v/>
      </c>
      <c r="U1000">
        <f>IF(connections!$A1000="","",IFERROR(INDEX(games!$B$2:$B$950,MATCH(connections!$B1000,games!$A$2:$A$950,0)),""))</f>
        <v/>
      </c>
      <c r="V1000">
        <f>IF(OR($T1000="",$U1000=""),"",$U1000-$T1000)</f>
        <v/>
      </c>
    </row>
    <row r="1001">
      <c r="T1001">
        <f>IF(connections!$A1001="","",IFERROR(INDEX(games!$B$2:$B$950,MATCH(connections!$A1001,games!$A$2:$A$950,0)),""))</f>
        <v/>
      </c>
      <c r="U1001">
        <f>IF(connections!$A1001="","",IFERROR(INDEX(games!$B$2:$B$950,MATCH(connections!$B1001,games!$A$2:$A$950,0)),""))</f>
        <v/>
      </c>
      <c r="V1001">
        <f>IF(OR($T1001="",$U1001=""),"",$U1001-$T1001)</f>
        <v/>
      </c>
    </row>
    <row r="1002">
      <c r="T1002">
        <f>IF(connections!$A1002="","",IFERROR(INDEX(games!$B$2:$B$950,MATCH(connections!$A1002,games!$A$2:$A$950,0)),""))</f>
        <v/>
      </c>
      <c r="U1002">
        <f>IF(connections!$A1002="","",IFERROR(INDEX(games!$B$2:$B$950,MATCH(connections!$B1002,games!$A$2:$A$950,0)),""))</f>
        <v/>
      </c>
      <c r="V1002">
        <f>IF(OR($T1002="",$U1002=""),"",$U1002-$T1002)</f>
        <v/>
      </c>
    </row>
    <row r="1003">
      <c r="T1003">
        <f>IF(connections!$A1003="","",IFERROR(INDEX(games!$B$2:$B$950,MATCH(connections!$A1003,games!$A$2:$A$950,0)),""))</f>
        <v/>
      </c>
      <c r="U1003">
        <f>IF(connections!$A1003="","",IFERROR(INDEX(games!$B$2:$B$950,MATCH(connections!$B1003,games!$A$2:$A$950,0)),""))</f>
        <v/>
      </c>
      <c r="V1003">
        <f>IF(OR($T1003="",$U1003=""),"",$U1003-$T1003)</f>
        <v/>
      </c>
    </row>
    <row r="1004">
      <c r="T1004">
        <f>IF(connections!$A1004="","",IFERROR(INDEX(games!$B$2:$B$950,MATCH(connections!$A1004,games!$A$2:$A$950,0)),""))</f>
        <v/>
      </c>
      <c r="U1004">
        <f>IF(connections!$A1004="","",IFERROR(INDEX(games!$B$2:$B$950,MATCH(connections!$B1004,games!$A$2:$A$950,0)),""))</f>
        <v/>
      </c>
      <c r="V1004">
        <f>IF(OR($T1004="",$U1004=""),"",$U1004-$T1004)</f>
        <v/>
      </c>
    </row>
    <row r="1005">
      <c r="T1005">
        <f>IF(connections!$A1005="","",IFERROR(INDEX(games!$B$2:$B$950,MATCH(connections!$A1005,games!$A$2:$A$950,0)),""))</f>
        <v/>
      </c>
      <c r="U1005">
        <f>IF(connections!$A1005="","",IFERROR(INDEX(games!$B$2:$B$950,MATCH(connections!$B1005,games!$A$2:$A$950,0)),""))</f>
        <v/>
      </c>
      <c r="V1005">
        <f>IF(OR($T1005="",$U1005=""),"",$U1005-$T1005)</f>
        <v/>
      </c>
    </row>
    <row r="1006">
      <c r="T1006">
        <f>IF(connections!$A1006="","",IFERROR(INDEX(games!$B$2:$B$950,MATCH(connections!$A1006,games!$A$2:$A$950,0)),""))</f>
        <v/>
      </c>
      <c r="U1006">
        <f>IF(connections!$A1006="","",IFERROR(INDEX(games!$B$2:$B$950,MATCH(connections!$B1006,games!$A$2:$A$950,0)),""))</f>
        <v/>
      </c>
      <c r="V1006">
        <f>IF(OR($T1006="",$U1006=""),"",$U1006-$T1006)</f>
        <v/>
      </c>
    </row>
    <row r="1007">
      <c r="T1007">
        <f>IF(connections!$A1007="","",IFERROR(INDEX(games!$B$2:$B$950,MATCH(connections!$A1007,games!$A$2:$A$950,0)),""))</f>
        <v/>
      </c>
      <c r="U1007">
        <f>IF(connections!$A1007="","",IFERROR(INDEX(games!$B$2:$B$950,MATCH(connections!$B1007,games!$A$2:$A$950,0)),""))</f>
        <v/>
      </c>
      <c r="V1007">
        <f>IF(OR($T1007="",$U1007=""),"",$U1007-$T1007)</f>
        <v/>
      </c>
    </row>
    <row r="1008">
      <c r="T1008">
        <f>IF(connections!$A1008="","",IFERROR(INDEX(games!$B$2:$B$950,MATCH(connections!$A1008,games!$A$2:$A$950,0)),""))</f>
        <v/>
      </c>
      <c r="U1008">
        <f>IF(connections!$A1008="","",IFERROR(INDEX(games!$B$2:$B$950,MATCH(connections!$B1008,games!$A$2:$A$950,0)),""))</f>
        <v/>
      </c>
      <c r="V1008">
        <f>IF(OR($T1008="",$U1008=""),"",$U1008-$T1008)</f>
        <v/>
      </c>
    </row>
    <row r="1009">
      <c r="T1009">
        <f>IF(connections!$A1009="","",IFERROR(INDEX(games!$B$2:$B$950,MATCH(connections!$A1009,games!$A$2:$A$950,0)),""))</f>
        <v/>
      </c>
      <c r="U1009">
        <f>IF(connections!$A1009="","",IFERROR(INDEX(games!$B$2:$B$950,MATCH(connections!$B1009,games!$A$2:$A$950,0)),""))</f>
        <v/>
      </c>
      <c r="V1009">
        <f>IF(OR($T1009="",$U1009=""),"",$U1009-$T1009)</f>
        <v/>
      </c>
    </row>
    <row r="1010">
      <c r="T1010">
        <f>IF(connections!$A1010="","",IFERROR(INDEX(games!$B$2:$B$950,MATCH(connections!$A1010,games!$A$2:$A$950,0)),""))</f>
        <v/>
      </c>
      <c r="U1010">
        <f>IF(connections!$A1010="","",IFERROR(INDEX(games!$B$2:$B$950,MATCH(connections!$B1010,games!$A$2:$A$950,0)),""))</f>
        <v/>
      </c>
      <c r="V1010">
        <f>IF(OR($T1010="",$U1010=""),"",$U1010-$T1010)</f>
        <v/>
      </c>
    </row>
    <row r="1011">
      <c r="T1011">
        <f>IF(connections!$A1011="","",IFERROR(INDEX(games!$B$2:$B$950,MATCH(connections!$A1011,games!$A$2:$A$950,0)),""))</f>
        <v/>
      </c>
      <c r="U1011">
        <f>IF(connections!$A1011="","",IFERROR(INDEX(games!$B$2:$B$950,MATCH(connections!$B1011,games!$A$2:$A$950,0)),""))</f>
        <v/>
      </c>
      <c r="V1011">
        <f>IF(OR($T1011="",$U1011=""),"",$U1011-$T1011)</f>
        <v/>
      </c>
    </row>
    <row r="1012">
      <c r="T1012">
        <f>IF(connections!$A1012="","",IFERROR(INDEX(games!$B$2:$B$950,MATCH(connections!$A1012,games!$A$2:$A$950,0)),""))</f>
        <v/>
      </c>
      <c r="U1012">
        <f>IF(connections!$A1012="","",IFERROR(INDEX(games!$B$2:$B$950,MATCH(connections!$B1012,games!$A$2:$A$950,0)),""))</f>
        <v/>
      </c>
      <c r="V1012">
        <f>IF(OR($T1012="",$U1012=""),"",$U1012-$T1012)</f>
        <v/>
      </c>
    </row>
    <row r="1013">
      <c r="T1013">
        <f>IF(connections!$A1013="","",IFERROR(INDEX(games!$B$2:$B$950,MATCH(connections!$A1013,games!$A$2:$A$950,0)),""))</f>
        <v/>
      </c>
      <c r="U1013">
        <f>IF(connections!$A1013="","",IFERROR(INDEX(games!$B$2:$B$950,MATCH(connections!$B1013,games!$A$2:$A$950,0)),""))</f>
        <v/>
      </c>
      <c r="V1013">
        <f>IF(OR($T1013="",$U1013=""),"",$U1013-$T1013)</f>
        <v/>
      </c>
    </row>
    <row r="1014">
      <c r="T1014">
        <f>IF(connections!$A1014="","",IFERROR(INDEX(games!$B$2:$B$950,MATCH(connections!$A1014,games!$A$2:$A$950,0)),""))</f>
        <v/>
      </c>
      <c r="U1014">
        <f>IF(connections!$A1014="","",IFERROR(INDEX(games!$B$2:$B$950,MATCH(connections!$B1014,games!$A$2:$A$950,0)),""))</f>
        <v/>
      </c>
      <c r="V1014">
        <f>IF(OR($T1014="",$U1014=""),"",$U1014-$T1014)</f>
        <v/>
      </c>
    </row>
    <row r="1015">
      <c r="T1015">
        <f>IF(connections!$A1015="","",IFERROR(INDEX(games!$B$2:$B$950,MATCH(connections!$A1015,games!$A$2:$A$950,0)),""))</f>
        <v/>
      </c>
      <c r="U1015">
        <f>IF(connections!$A1015="","",IFERROR(INDEX(games!$B$2:$B$950,MATCH(connections!$B1015,games!$A$2:$A$950,0)),""))</f>
        <v/>
      </c>
      <c r="V1015">
        <f>IF(OR($T1015="",$U1015=""),"",$U1015-$T1015)</f>
        <v/>
      </c>
    </row>
    <row r="1016">
      <c r="T1016">
        <f>IF(connections!$A1016="","",IFERROR(INDEX(games!$B$2:$B$950,MATCH(connections!$A1016,games!$A$2:$A$950,0)),""))</f>
        <v/>
      </c>
      <c r="U1016">
        <f>IF(connections!$A1016="","",IFERROR(INDEX(games!$B$2:$B$950,MATCH(connections!$B1016,games!$A$2:$A$950,0)),""))</f>
        <v/>
      </c>
      <c r="V1016">
        <f>IF(OR($T1016="",$U1016=""),"",$U1016-$T1016)</f>
        <v/>
      </c>
    </row>
    <row r="1017">
      <c r="T1017">
        <f>IF(connections!$A1017="","",IFERROR(INDEX(games!$B$2:$B$950,MATCH(connections!$A1017,games!$A$2:$A$950,0)),""))</f>
        <v/>
      </c>
      <c r="U1017">
        <f>IF(connections!$A1017="","",IFERROR(INDEX(games!$B$2:$B$950,MATCH(connections!$B1017,games!$A$2:$A$950,0)),""))</f>
        <v/>
      </c>
      <c r="V1017">
        <f>IF(OR($T1017="",$U1017=""),"",$U1017-$T1017)</f>
        <v/>
      </c>
    </row>
    <row r="1018">
      <c r="T1018">
        <f>IF(connections!$A1018="","",IFERROR(INDEX(games!$B$2:$B$950,MATCH(connections!$A1018,games!$A$2:$A$950,0)),""))</f>
        <v/>
      </c>
      <c r="U1018">
        <f>IF(connections!$A1018="","",IFERROR(INDEX(games!$B$2:$B$950,MATCH(connections!$B1018,games!$A$2:$A$950,0)),""))</f>
        <v/>
      </c>
      <c r="V1018">
        <f>IF(OR($T1018="",$U1018=""),"",$U1018-$T1018)</f>
        <v/>
      </c>
    </row>
    <row r="1019">
      <c r="T1019">
        <f>IF(connections!$A1019="","",IFERROR(INDEX(games!$B$2:$B$950,MATCH(connections!$A1019,games!$A$2:$A$950,0)),""))</f>
        <v/>
      </c>
      <c r="U1019">
        <f>IF(connections!$A1019="","",IFERROR(INDEX(games!$B$2:$B$950,MATCH(connections!$B1019,games!$A$2:$A$950,0)),""))</f>
        <v/>
      </c>
      <c r="V1019">
        <f>IF(OR($T1019="",$U1019=""),"",$U1019-$T1019)</f>
        <v/>
      </c>
    </row>
    <row r="1020">
      <c r="T1020">
        <f>IF(connections!$A1020="","",IFERROR(INDEX(games!$B$2:$B$950,MATCH(connections!$A1020,games!$A$2:$A$950,0)),""))</f>
        <v/>
      </c>
      <c r="U1020">
        <f>IF(connections!$A1020="","",IFERROR(INDEX(games!$B$2:$B$950,MATCH(connections!$B1020,games!$A$2:$A$950,0)),""))</f>
        <v/>
      </c>
      <c r="V1020">
        <f>IF(OR($T1020="",$U1020=""),"",$U1020-$T1020)</f>
        <v/>
      </c>
    </row>
    <row r="1021">
      <c r="T1021">
        <f>IF(connections!$A1021="","",IFERROR(INDEX(games!$B$2:$B$950,MATCH(connections!$A1021,games!$A$2:$A$950,0)),""))</f>
        <v/>
      </c>
      <c r="U1021">
        <f>IF(connections!$A1021="","",IFERROR(INDEX(games!$B$2:$B$950,MATCH(connections!$B1021,games!$A$2:$A$950,0)),""))</f>
        <v/>
      </c>
      <c r="V1021">
        <f>IF(OR($T1021="",$U1021=""),"",$U1021-$T1021)</f>
        <v/>
      </c>
    </row>
    <row r="1022">
      <c r="T1022">
        <f>IF(connections!$A1022="","",IFERROR(INDEX(games!$B$2:$B$950,MATCH(connections!$A1022,games!$A$2:$A$950,0)),""))</f>
        <v/>
      </c>
      <c r="U1022">
        <f>IF(connections!$A1022="","",IFERROR(INDEX(games!$B$2:$B$950,MATCH(connections!$B1022,games!$A$2:$A$950,0)),""))</f>
        <v/>
      </c>
      <c r="V1022">
        <f>IF(OR($T1022="",$U1022=""),"",$U1022-$T1022)</f>
        <v/>
      </c>
    </row>
    <row r="1023">
      <c r="T1023">
        <f>IF(connections!$A1023="","",IFERROR(INDEX(games!$B$2:$B$950,MATCH(connections!$A1023,games!$A$2:$A$950,0)),""))</f>
        <v/>
      </c>
      <c r="U1023">
        <f>IF(connections!$A1023="","",IFERROR(INDEX(games!$B$2:$B$950,MATCH(connections!$B1023,games!$A$2:$A$950,0)),""))</f>
        <v/>
      </c>
      <c r="V1023">
        <f>IF(OR($T1023="",$U1023=""),"",$U1023-$T1023)</f>
        <v/>
      </c>
    </row>
    <row r="1024">
      <c r="T1024">
        <f>IF(connections!$A1024="","",IFERROR(INDEX(games!$B$2:$B$950,MATCH(connections!$A1024,games!$A$2:$A$950,0)),""))</f>
        <v/>
      </c>
      <c r="U1024">
        <f>IF(connections!$A1024="","",IFERROR(INDEX(games!$B$2:$B$950,MATCH(connections!$B1024,games!$A$2:$A$950,0)),""))</f>
        <v/>
      </c>
      <c r="V1024">
        <f>IF(OR($T1024="",$U1024=""),"",$U1024-$T1024)</f>
        <v/>
      </c>
    </row>
    <row r="1025">
      <c r="T1025">
        <f>IF(connections!$A1025="","",IFERROR(INDEX(games!$B$2:$B$950,MATCH(connections!$A1025,games!$A$2:$A$950,0)),""))</f>
        <v/>
      </c>
      <c r="U1025">
        <f>IF(connections!$A1025="","",IFERROR(INDEX(games!$B$2:$B$950,MATCH(connections!$B1025,games!$A$2:$A$950,0)),""))</f>
        <v/>
      </c>
      <c r="V1025">
        <f>IF(OR($T1025="",$U1025=""),"",$U1025-$T1025)</f>
        <v/>
      </c>
    </row>
    <row r="1026">
      <c r="T1026">
        <f>IF(connections!$A1026="","",IFERROR(INDEX(games!$B$2:$B$950,MATCH(connections!$A1026,games!$A$2:$A$950,0)),""))</f>
        <v/>
      </c>
      <c r="U1026">
        <f>IF(connections!$A1026="","",IFERROR(INDEX(games!$B$2:$B$950,MATCH(connections!$B1026,games!$A$2:$A$950,0)),""))</f>
        <v/>
      </c>
      <c r="V1026">
        <f>IF(OR($T1026="",$U1026=""),"",$U1026-$T1026)</f>
        <v/>
      </c>
    </row>
    <row r="1027">
      <c r="T1027">
        <f>IF(connections!$A1027="","",IFERROR(INDEX(games!$B$2:$B$950,MATCH(connections!$A1027,games!$A$2:$A$950,0)),""))</f>
        <v/>
      </c>
      <c r="U1027">
        <f>IF(connections!$A1027="","",IFERROR(INDEX(games!$B$2:$B$950,MATCH(connections!$B1027,games!$A$2:$A$950,0)),""))</f>
        <v/>
      </c>
      <c r="V1027">
        <f>IF(OR($T1027="",$U1027=""),"",$U1027-$T1027)</f>
        <v/>
      </c>
    </row>
    <row r="1028">
      <c r="T1028">
        <f>IF(connections!$A1028="","",IFERROR(INDEX(games!$B$2:$B$950,MATCH(connections!$A1028,games!$A$2:$A$950,0)),""))</f>
        <v/>
      </c>
      <c r="U1028">
        <f>IF(connections!$A1028="","",IFERROR(INDEX(games!$B$2:$B$950,MATCH(connections!$B1028,games!$A$2:$A$950,0)),""))</f>
        <v/>
      </c>
      <c r="V1028">
        <f>IF(OR($T1028="",$U1028=""),"",$U1028-$T1028)</f>
        <v/>
      </c>
    </row>
    <row r="1029">
      <c r="T1029">
        <f>IF(connections!$A1029="","",IFERROR(INDEX(games!$B$2:$B$950,MATCH(connections!$A1029,games!$A$2:$A$950,0)),""))</f>
        <v/>
      </c>
      <c r="U1029">
        <f>IF(connections!$A1029="","",IFERROR(INDEX(games!$B$2:$B$950,MATCH(connections!$B1029,games!$A$2:$A$950,0)),""))</f>
        <v/>
      </c>
      <c r="V1029">
        <f>IF(OR($T1029="",$U1029=""),"",$U1029-$T1029)</f>
        <v/>
      </c>
    </row>
    <row r="1030">
      <c r="T1030">
        <f>IF(connections!$A1030="","",IFERROR(INDEX(games!$B$2:$B$950,MATCH(connections!$A1030,games!$A$2:$A$950,0)),""))</f>
        <v/>
      </c>
      <c r="U1030">
        <f>IF(connections!$A1030="","",IFERROR(INDEX(games!$B$2:$B$950,MATCH(connections!$B1030,games!$A$2:$A$950,0)),""))</f>
        <v/>
      </c>
      <c r="V1030">
        <f>IF(OR($T1030="",$U1030=""),"",$U1030-$T1030)</f>
        <v/>
      </c>
    </row>
    <row r="1031">
      <c r="T1031">
        <f>IF(connections!$A1031="","",IFERROR(INDEX(games!$B$2:$B$950,MATCH(connections!$A1031,games!$A$2:$A$950,0)),""))</f>
        <v/>
      </c>
      <c r="U1031">
        <f>IF(connections!$A1031="","",IFERROR(INDEX(games!$B$2:$B$950,MATCH(connections!$B1031,games!$A$2:$A$950,0)),""))</f>
        <v/>
      </c>
      <c r="V1031">
        <f>IF(OR($T1031="",$U1031=""),"",$U1031-$T1031)</f>
        <v/>
      </c>
    </row>
    <row r="1032">
      <c r="T1032">
        <f>IF(connections!$A1032="","",IFERROR(INDEX(games!$B$2:$B$950,MATCH(connections!$A1032,games!$A$2:$A$950,0)),""))</f>
        <v/>
      </c>
      <c r="U1032">
        <f>IF(connections!$A1032="","",IFERROR(INDEX(games!$B$2:$B$950,MATCH(connections!$B1032,games!$A$2:$A$950,0)),""))</f>
        <v/>
      </c>
      <c r="V1032">
        <f>IF(OR($T1032="",$U1032=""),"",$U1032-$T1032)</f>
        <v/>
      </c>
    </row>
    <row r="1033">
      <c r="T1033">
        <f>IF(connections!$A1033="","",IFERROR(INDEX(games!$B$2:$B$950,MATCH(connections!$A1033,games!$A$2:$A$950,0)),""))</f>
        <v/>
      </c>
      <c r="U1033">
        <f>IF(connections!$A1033="","",IFERROR(INDEX(games!$B$2:$B$950,MATCH(connections!$B1033,games!$A$2:$A$950,0)),""))</f>
        <v/>
      </c>
      <c r="V1033">
        <f>IF(OR($T1033="",$U1033=""),"",$U1033-$T1033)</f>
        <v/>
      </c>
    </row>
    <row r="1034">
      <c r="T1034">
        <f>IF(connections!$A1034="","",IFERROR(INDEX(games!$B$2:$B$950,MATCH(connections!$A1034,games!$A$2:$A$950,0)),""))</f>
        <v/>
      </c>
      <c r="U1034">
        <f>IF(connections!$A1034="","",IFERROR(INDEX(games!$B$2:$B$950,MATCH(connections!$B1034,games!$A$2:$A$950,0)),""))</f>
        <v/>
      </c>
      <c r="V1034">
        <f>IF(OR($T1034="",$U1034=""),"",$U1034-$T1034)</f>
        <v/>
      </c>
    </row>
    <row r="1035">
      <c r="T1035">
        <f>IF(connections!$A1035="","",IFERROR(INDEX(games!$B$2:$B$950,MATCH(connections!$A1035,games!$A$2:$A$950,0)),""))</f>
        <v/>
      </c>
      <c r="U1035">
        <f>IF(connections!$A1035="","",IFERROR(INDEX(games!$B$2:$B$950,MATCH(connections!$B1035,games!$A$2:$A$950,0)),""))</f>
        <v/>
      </c>
      <c r="V1035">
        <f>IF(OR($T1035="",$U1035=""),"",$U1035-$T1035)</f>
        <v/>
      </c>
    </row>
    <row r="1036">
      <c r="T1036">
        <f>IF(connections!$A1036="","",IFERROR(INDEX(games!$B$2:$B$950,MATCH(connections!$A1036,games!$A$2:$A$950,0)),""))</f>
        <v/>
      </c>
      <c r="U1036">
        <f>IF(connections!$A1036="","",IFERROR(INDEX(games!$B$2:$B$950,MATCH(connections!$B1036,games!$A$2:$A$950,0)),""))</f>
        <v/>
      </c>
      <c r="V1036">
        <f>IF(OR($T1036="",$U1036=""),"",$U1036-$T1036)</f>
        <v/>
      </c>
    </row>
    <row r="1037">
      <c r="T1037">
        <f>IF(connections!$A1037="","",IFERROR(INDEX(games!$B$2:$B$950,MATCH(connections!$A1037,games!$A$2:$A$950,0)),""))</f>
        <v/>
      </c>
      <c r="U1037">
        <f>IF(connections!$A1037="","",IFERROR(INDEX(games!$B$2:$B$950,MATCH(connections!$B1037,games!$A$2:$A$950,0)),""))</f>
        <v/>
      </c>
      <c r="V1037">
        <f>IF(OR($T1037="",$U1037=""),"",$U1037-$T1037)</f>
        <v/>
      </c>
    </row>
    <row r="1038">
      <c r="T1038">
        <f>IF(connections!$A1038="","",IFERROR(INDEX(games!$B$2:$B$950,MATCH(connections!$A1038,games!$A$2:$A$950,0)),""))</f>
        <v/>
      </c>
      <c r="U1038">
        <f>IF(connections!$A1038="","",IFERROR(INDEX(games!$B$2:$B$950,MATCH(connections!$B1038,games!$A$2:$A$950,0)),""))</f>
        <v/>
      </c>
      <c r="V1038">
        <f>IF(OR($T1038="",$U1038=""),"",$U1038-$T1038)</f>
        <v/>
      </c>
    </row>
    <row r="1039">
      <c r="T1039">
        <f>IF(connections!$A1039="","",IFERROR(INDEX(games!$B$2:$B$950,MATCH(connections!$A1039,games!$A$2:$A$950,0)),""))</f>
        <v/>
      </c>
      <c r="U1039">
        <f>IF(connections!$A1039="","",IFERROR(INDEX(games!$B$2:$B$950,MATCH(connections!$B1039,games!$A$2:$A$950,0)),""))</f>
        <v/>
      </c>
      <c r="V1039">
        <f>IF(OR($T1039="",$U1039=""),"",$U1039-$T1039)</f>
        <v/>
      </c>
    </row>
    <row r="1040">
      <c r="T1040">
        <f>IF(connections!$A1040="","",IFERROR(INDEX(games!$B$2:$B$950,MATCH(connections!$A1040,games!$A$2:$A$950,0)),""))</f>
        <v/>
      </c>
      <c r="U1040">
        <f>IF(connections!$A1040="","",IFERROR(INDEX(games!$B$2:$B$950,MATCH(connections!$B1040,games!$A$2:$A$950,0)),""))</f>
        <v/>
      </c>
      <c r="V1040">
        <f>IF(OR($T1040="",$U1040=""),"",$U1040-$T1040)</f>
        <v/>
      </c>
    </row>
    <row r="1041">
      <c r="T1041">
        <f>IF(connections!$A1041="","",IFERROR(INDEX(games!$B$2:$B$950,MATCH(connections!$A1041,games!$A$2:$A$950,0)),""))</f>
        <v/>
      </c>
      <c r="U1041">
        <f>IF(connections!$A1041="","",IFERROR(INDEX(games!$B$2:$B$950,MATCH(connections!$B1041,games!$A$2:$A$950,0)),""))</f>
        <v/>
      </c>
      <c r="V1041">
        <f>IF(OR($T1041="",$U1041=""),"",$U1041-$T1041)</f>
        <v/>
      </c>
    </row>
    <row r="1042">
      <c r="T1042">
        <f>IF(connections!$A1042="","",IFERROR(INDEX(games!$B$2:$B$950,MATCH(connections!$A1042,games!$A$2:$A$950,0)),""))</f>
        <v/>
      </c>
      <c r="U1042">
        <f>IF(connections!$A1042="","",IFERROR(INDEX(games!$B$2:$B$950,MATCH(connections!$B1042,games!$A$2:$A$950,0)),""))</f>
        <v/>
      </c>
      <c r="V1042">
        <f>IF(OR($T1042="",$U1042=""),"",$U1042-$T1042)</f>
        <v/>
      </c>
    </row>
    <row r="1043">
      <c r="T1043">
        <f>IF(connections!$A1043="","",IFERROR(INDEX(games!$B$2:$B$950,MATCH(connections!$A1043,games!$A$2:$A$950,0)),""))</f>
        <v/>
      </c>
      <c r="U1043">
        <f>IF(connections!$A1043="","",IFERROR(INDEX(games!$B$2:$B$950,MATCH(connections!$B1043,games!$A$2:$A$950,0)),""))</f>
        <v/>
      </c>
      <c r="V1043">
        <f>IF(OR($T1043="",$U1043=""),"",$U1043-$T1043)</f>
        <v/>
      </c>
    </row>
    <row r="1044">
      <c r="T1044">
        <f>IF(connections!$A1044="","",IFERROR(INDEX(games!$B$2:$B$950,MATCH(connections!$A1044,games!$A$2:$A$950,0)),""))</f>
        <v/>
      </c>
      <c r="U1044">
        <f>IF(connections!$A1044="","",IFERROR(INDEX(games!$B$2:$B$950,MATCH(connections!$B1044,games!$A$2:$A$950,0)),""))</f>
        <v/>
      </c>
      <c r="V1044">
        <f>IF(OR($T1044="",$U1044=""),"",$U1044-$T1044)</f>
        <v/>
      </c>
    </row>
    <row r="1045">
      <c r="T1045">
        <f>IF(connections!$A1045="","",IFERROR(INDEX(games!$B$2:$B$950,MATCH(connections!$A1045,games!$A$2:$A$950,0)),""))</f>
        <v/>
      </c>
      <c r="U1045">
        <f>IF(connections!$A1045="","",IFERROR(INDEX(games!$B$2:$B$950,MATCH(connections!$B1045,games!$A$2:$A$950,0)),""))</f>
        <v/>
      </c>
      <c r="V1045">
        <f>IF(OR($T1045="",$U1045=""),"",$U1045-$T1045)</f>
        <v/>
      </c>
    </row>
    <row r="1046">
      <c r="T1046">
        <f>IF(connections!$A1046="","",IFERROR(INDEX(games!$B$2:$B$950,MATCH(connections!$A1046,games!$A$2:$A$950,0)),""))</f>
        <v/>
      </c>
      <c r="U1046">
        <f>IF(connections!$A1046="","",IFERROR(INDEX(games!$B$2:$B$950,MATCH(connections!$B1046,games!$A$2:$A$950,0)),""))</f>
        <v/>
      </c>
      <c r="V1046">
        <f>IF(OR($T1046="",$U1046=""),"",$U1046-$T1046)</f>
        <v/>
      </c>
    </row>
    <row r="1047">
      <c r="T1047">
        <f>IF(connections!$A1047="","",IFERROR(INDEX(games!$B$2:$B$950,MATCH(connections!$A1047,games!$A$2:$A$950,0)),""))</f>
        <v/>
      </c>
      <c r="U1047">
        <f>IF(connections!$A1047="","",IFERROR(INDEX(games!$B$2:$B$950,MATCH(connections!$B1047,games!$A$2:$A$950,0)),""))</f>
        <v/>
      </c>
      <c r="V1047">
        <f>IF(OR($T1047="",$U1047=""),"",$U1047-$T1047)</f>
        <v/>
      </c>
    </row>
    <row r="1048">
      <c r="T1048">
        <f>IF(connections!$A1048="","",IFERROR(INDEX(games!$B$2:$B$950,MATCH(connections!$A1048,games!$A$2:$A$950,0)),""))</f>
        <v/>
      </c>
      <c r="U1048">
        <f>IF(connections!$A1048="","",IFERROR(INDEX(games!$B$2:$B$950,MATCH(connections!$B1048,games!$A$2:$A$950,0)),""))</f>
        <v/>
      </c>
      <c r="V1048">
        <f>IF(OR($T1048="",$U1048=""),"",$U1048-$T1048)</f>
        <v/>
      </c>
    </row>
    <row r="1049">
      <c r="T1049">
        <f>IF(connections!$A1049="","",IFERROR(INDEX(games!$B$2:$B$950,MATCH(connections!$A1049,games!$A$2:$A$950,0)),""))</f>
        <v/>
      </c>
      <c r="U1049">
        <f>IF(connections!$A1049="","",IFERROR(INDEX(games!$B$2:$B$950,MATCH(connections!$B1049,games!$A$2:$A$950,0)),""))</f>
        <v/>
      </c>
      <c r="V1049">
        <f>IF(OR($T1049="",$U1049=""),"",$U1049-$T1049)</f>
        <v/>
      </c>
    </row>
    <row r="1050">
      <c r="T1050">
        <f>IF(connections!$A1050="","",IFERROR(INDEX(games!$B$2:$B$950,MATCH(connections!$A1050,games!$A$2:$A$950,0)),""))</f>
        <v/>
      </c>
      <c r="U1050">
        <f>IF(connections!$A1050="","",IFERROR(INDEX(games!$B$2:$B$950,MATCH(connections!$B1050,games!$A$2:$A$950,0)),""))</f>
        <v/>
      </c>
      <c r="V1050">
        <f>IF(OR($T1050="",$U1050=""),"",$U1050-$T1050)</f>
        <v/>
      </c>
    </row>
    <row r="1051">
      <c r="T1051">
        <f>IF(connections!$A1051="","",IFERROR(INDEX(games!$B$2:$B$950,MATCH(connections!$A1051,games!$A$2:$A$950,0)),""))</f>
        <v/>
      </c>
      <c r="U1051">
        <f>IF(connections!$A1051="","",IFERROR(INDEX(games!$B$2:$B$950,MATCH(connections!$B1051,games!$A$2:$A$950,0)),""))</f>
        <v/>
      </c>
      <c r="V1051">
        <f>IF(OR($T1051="",$U1051=""),"",$U1051-$T1051)</f>
        <v/>
      </c>
    </row>
    <row r="1052">
      <c r="T1052">
        <f>IF(connections!$A1052="","",IFERROR(INDEX(games!$B$2:$B$950,MATCH(connections!$A1052,games!$A$2:$A$950,0)),""))</f>
        <v/>
      </c>
      <c r="U1052">
        <f>IF(connections!$A1052="","",IFERROR(INDEX(games!$B$2:$B$950,MATCH(connections!$B1052,games!$A$2:$A$950,0)),""))</f>
        <v/>
      </c>
      <c r="V1052">
        <f>IF(OR($T1052="",$U1052=""),"",$U1052-$T1052)</f>
        <v/>
      </c>
    </row>
    <row r="1053">
      <c r="T1053">
        <f>IF(connections!$A1053="","",IFERROR(INDEX(games!$B$2:$B$950,MATCH(connections!$A1053,games!$A$2:$A$950,0)),""))</f>
        <v/>
      </c>
      <c r="U1053">
        <f>IF(connections!$A1053="","",IFERROR(INDEX(games!$B$2:$B$950,MATCH(connections!$B1053,games!$A$2:$A$950,0)),""))</f>
        <v/>
      </c>
      <c r="V1053">
        <f>IF(OR($T1053="",$U1053=""),"",$U1053-$T1053)</f>
        <v/>
      </c>
    </row>
    <row r="1054">
      <c r="T1054">
        <f>IF(connections!$A1054="","",IFERROR(INDEX(games!$B$2:$B$950,MATCH(connections!$A1054,games!$A$2:$A$950,0)),""))</f>
        <v/>
      </c>
      <c r="U1054">
        <f>IF(connections!$A1054="","",IFERROR(INDEX(games!$B$2:$B$950,MATCH(connections!$B1054,games!$A$2:$A$950,0)),""))</f>
        <v/>
      </c>
      <c r="V1054">
        <f>IF(OR($T1054="",$U1054=""),"",$U1054-$T1054)</f>
        <v/>
      </c>
    </row>
    <row r="1055">
      <c r="T1055">
        <f>IF(connections!$A1055="","",IFERROR(INDEX(games!$B$2:$B$950,MATCH(connections!$A1055,games!$A$2:$A$950,0)),""))</f>
        <v/>
      </c>
      <c r="U1055">
        <f>IF(connections!$A1055="","",IFERROR(INDEX(games!$B$2:$B$950,MATCH(connections!$B1055,games!$A$2:$A$950,0)),""))</f>
        <v/>
      </c>
      <c r="V1055">
        <f>IF(OR($T1055="",$U1055=""),"",$U1055-$T1055)</f>
        <v/>
      </c>
    </row>
    <row r="1056">
      <c r="T1056">
        <f>IF(connections!$A1056="","",IFERROR(INDEX(games!$B$2:$B$950,MATCH(connections!$A1056,games!$A$2:$A$950,0)),""))</f>
        <v/>
      </c>
      <c r="U1056">
        <f>IF(connections!$A1056="","",IFERROR(INDEX(games!$B$2:$B$950,MATCH(connections!$B1056,games!$A$2:$A$950,0)),""))</f>
        <v/>
      </c>
      <c r="V1056">
        <f>IF(OR($T1056="",$U1056=""),"",$U1056-$T1056)</f>
        <v/>
      </c>
    </row>
    <row r="1057">
      <c r="T1057">
        <f>IF(connections!$A1057="","",IFERROR(INDEX(games!$B$2:$B$950,MATCH(connections!$A1057,games!$A$2:$A$950,0)),""))</f>
        <v/>
      </c>
      <c r="U1057">
        <f>IF(connections!$A1057="","",IFERROR(INDEX(games!$B$2:$B$950,MATCH(connections!$B1057,games!$A$2:$A$950,0)),""))</f>
        <v/>
      </c>
      <c r="V1057">
        <f>IF(OR($T1057="",$U1057=""),"",$U1057-$T1057)</f>
        <v/>
      </c>
    </row>
    <row r="1058">
      <c r="T1058">
        <f>IF(connections!$A1058="","",IFERROR(INDEX(games!$B$2:$B$950,MATCH(connections!$A1058,games!$A$2:$A$950,0)),""))</f>
        <v/>
      </c>
      <c r="U1058">
        <f>IF(connections!$A1058="","",IFERROR(INDEX(games!$B$2:$B$950,MATCH(connections!$B1058,games!$A$2:$A$950,0)),""))</f>
        <v/>
      </c>
      <c r="V1058">
        <f>IF(OR($T1058="",$U1058=""),"",$U1058-$T1058)</f>
        <v/>
      </c>
    </row>
    <row r="1059">
      <c r="T1059">
        <f>IF(connections!$A1059="","",IFERROR(INDEX(games!$B$2:$B$950,MATCH(connections!$A1059,games!$A$2:$A$950,0)),""))</f>
        <v/>
      </c>
      <c r="U1059">
        <f>IF(connections!$A1059="","",IFERROR(INDEX(games!$B$2:$B$950,MATCH(connections!$B1059,games!$A$2:$A$950,0)),""))</f>
        <v/>
      </c>
      <c r="V1059">
        <f>IF(OR($T1059="",$U1059=""),"",$U1059-$T1059)</f>
        <v/>
      </c>
    </row>
    <row r="1060">
      <c r="T1060">
        <f>IF(connections!$A1060="","",IFERROR(INDEX(games!$B$2:$B$950,MATCH(connections!$A1060,games!$A$2:$A$950,0)),""))</f>
        <v/>
      </c>
      <c r="U1060">
        <f>IF(connections!$A1060="","",IFERROR(INDEX(games!$B$2:$B$950,MATCH(connections!$B1060,games!$A$2:$A$950,0)),""))</f>
        <v/>
      </c>
      <c r="V1060">
        <f>IF(OR($T1060="",$U1060=""),"",$U1060-$T1060)</f>
        <v/>
      </c>
    </row>
    <row r="1061">
      <c r="T1061">
        <f>IF(connections!$A1061="","",IFERROR(INDEX(games!$B$2:$B$950,MATCH(connections!$A1061,games!$A$2:$A$950,0)),""))</f>
        <v/>
      </c>
      <c r="U1061">
        <f>IF(connections!$A1061="","",IFERROR(INDEX(games!$B$2:$B$950,MATCH(connections!$B1061,games!$A$2:$A$950,0)),""))</f>
        <v/>
      </c>
      <c r="V1061">
        <f>IF(OR($T1061="",$U1061=""),"",$U1061-$T1061)</f>
        <v/>
      </c>
    </row>
    <row r="1062">
      <c r="T1062">
        <f>IF(connections!$A1062="","",IFERROR(INDEX(games!$B$2:$B$950,MATCH(connections!$A1062,games!$A$2:$A$950,0)),""))</f>
        <v/>
      </c>
      <c r="U1062">
        <f>IF(connections!$A1062="","",IFERROR(INDEX(games!$B$2:$B$950,MATCH(connections!$B1062,games!$A$2:$A$950,0)),""))</f>
        <v/>
      </c>
      <c r="V1062">
        <f>IF(OR($T1062="",$U1062=""),"",$U1062-$T1062)</f>
        <v/>
      </c>
    </row>
    <row r="1063">
      <c r="T1063">
        <f>IF(connections!$A1063="","",IFERROR(INDEX(games!$B$2:$B$950,MATCH(connections!$A1063,games!$A$2:$A$950,0)),""))</f>
        <v/>
      </c>
      <c r="U1063">
        <f>IF(connections!$A1063="","",IFERROR(INDEX(games!$B$2:$B$950,MATCH(connections!$B1063,games!$A$2:$A$950,0)),""))</f>
        <v/>
      </c>
      <c r="V1063">
        <f>IF(OR($T1063="",$U1063=""),"",$U1063-$T1063)</f>
        <v/>
      </c>
    </row>
    <row r="1064">
      <c r="T1064">
        <f>IF(connections!$A1064="","",IFERROR(INDEX(games!$B$2:$B$950,MATCH(connections!$A1064,games!$A$2:$A$950,0)),""))</f>
        <v/>
      </c>
      <c r="U1064">
        <f>IF(connections!$A1064="","",IFERROR(INDEX(games!$B$2:$B$950,MATCH(connections!$B1064,games!$A$2:$A$950,0)),""))</f>
        <v/>
      </c>
      <c r="V1064">
        <f>IF(OR($T1064="",$U1064=""),"",$U1064-$T1064)</f>
        <v/>
      </c>
    </row>
    <row r="1065">
      <c r="T1065">
        <f>IF(connections!$A1065="","",IFERROR(INDEX(games!$B$2:$B$950,MATCH(connections!$A1065,games!$A$2:$A$950,0)),""))</f>
        <v/>
      </c>
      <c r="U1065">
        <f>IF(connections!$A1065="","",IFERROR(INDEX(games!$B$2:$B$950,MATCH(connections!$B1065,games!$A$2:$A$950,0)),""))</f>
        <v/>
      </c>
      <c r="V1065">
        <f>IF(OR($T1065="",$U1065=""),"",$U1065-$T1065)</f>
        <v/>
      </c>
    </row>
    <row r="1066">
      <c r="T1066">
        <f>IF(connections!$A1066="","",IFERROR(INDEX(games!$B$2:$B$950,MATCH(connections!$A1066,games!$A$2:$A$950,0)),""))</f>
        <v/>
      </c>
      <c r="U1066">
        <f>IF(connections!$A1066="","",IFERROR(INDEX(games!$B$2:$B$950,MATCH(connections!$B1066,games!$A$2:$A$950,0)),""))</f>
        <v/>
      </c>
      <c r="V1066">
        <f>IF(OR($T1066="",$U1066=""),"",$U1066-$T1066)</f>
        <v/>
      </c>
    </row>
    <row r="1067">
      <c r="T1067">
        <f>IF(connections!$A1067="","",IFERROR(INDEX(games!$B$2:$B$950,MATCH(connections!$A1067,games!$A$2:$A$950,0)),""))</f>
        <v/>
      </c>
      <c r="U1067">
        <f>IF(connections!$A1067="","",IFERROR(INDEX(games!$B$2:$B$950,MATCH(connections!$B1067,games!$A$2:$A$950,0)),""))</f>
        <v/>
      </c>
      <c r="V1067">
        <f>IF(OR($T1067="",$U1067=""),"",$U1067-$T1067)</f>
        <v/>
      </c>
    </row>
    <row r="1068">
      <c r="T1068">
        <f>IF(connections!$A1068="","",IFERROR(INDEX(games!$B$2:$B$950,MATCH(connections!$A1068,games!$A$2:$A$950,0)),""))</f>
        <v/>
      </c>
      <c r="U1068">
        <f>IF(connections!$A1068="","",IFERROR(INDEX(games!$B$2:$B$950,MATCH(connections!$B1068,games!$A$2:$A$950,0)),""))</f>
        <v/>
      </c>
      <c r="V1068">
        <f>IF(OR($T1068="",$U1068=""),"",$U1068-$T1068)</f>
        <v/>
      </c>
    </row>
    <row r="1069">
      <c r="T1069">
        <f>IF(connections!$A1069="","",IFERROR(INDEX(games!$B$2:$B$950,MATCH(connections!$A1069,games!$A$2:$A$950,0)),""))</f>
        <v/>
      </c>
      <c r="U1069">
        <f>IF(connections!$A1069="","",IFERROR(INDEX(games!$B$2:$B$950,MATCH(connections!$B1069,games!$A$2:$A$950,0)),""))</f>
        <v/>
      </c>
      <c r="V1069">
        <f>IF(OR($T1069="",$U1069=""),"",$U1069-$T1069)</f>
        <v/>
      </c>
    </row>
    <row r="1070">
      <c r="T1070">
        <f>IF(connections!$A1070="","",IFERROR(INDEX(games!$B$2:$B$950,MATCH(connections!$A1070,games!$A$2:$A$950,0)),""))</f>
        <v/>
      </c>
      <c r="U1070">
        <f>IF(connections!$A1070="","",IFERROR(INDEX(games!$B$2:$B$950,MATCH(connections!$B1070,games!$A$2:$A$950,0)),""))</f>
        <v/>
      </c>
      <c r="V1070">
        <f>IF(OR($T1070="",$U1070=""),"",$U1070-$T1070)</f>
        <v/>
      </c>
    </row>
    <row r="1071">
      <c r="T1071">
        <f>IF(connections!$A1071="","",IFERROR(INDEX(games!$B$2:$B$950,MATCH(connections!$A1071,games!$A$2:$A$950,0)),""))</f>
        <v/>
      </c>
      <c r="U1071">
        <f>IF(connections!$A1071="","",IFERROR(INDEX(games!$B$2:$B$950,MATCH(connections!$B1071,games!$A$2:$A$950,0)),""))</f>
        <v/>
      </c>
      <c r="V1071">
        <f>IF(OR($T1071="",$U1071=""),"",$U1071-$T1071)</f>
        <v/>
      </c>
    </row>
    <row r="1072">
      <c r="T1072">
        <f>IF(connections!$A1072="","",IFERROR(INDEX(games!$B$2:$B$950,MATCH(connections!$A1072,games!$A$2:$A$950,0)),""))</f>
        <v/>
      </c>
      <c r="U1072">
        <f>IF(connections!$A1072="","",IFERROR(INDEX(games!$B$2:$B$950,MATCH(connections!$B1072,games!$A$2:$A$950,0)),""))</f>
        <v/>
      </c>
      <c r="V1072">
        <f>IF(OR($T1072="",$U1072=""),"",$U1072-$T1072)</f>
        <v/>
      </c>
    </row>
    <row r="1073">
      <c r="T1073">
        <f>IF(connections!$A1073="","",IFERROR(INDEX(games!$B$2:$B$950,MATCH(connections!$A1073,games!$A$2:$A$950,0)),""))</f>
        <v/>
      </c>
      <c r="U1073">
        <f>IF(connections!$A1073="","",IFERROR(INDEX(games!$B$2:$B$950,MATCH(connections!$B1073,games!$A$2:$A$950,0)),""))</f>
        <v/>
      </c>
      <c r="V1073">
        <f>IF(OR($T1073="",$U1073=""),"",$U1073-$T1073)</f>
        <v/>
      </c>
    </row>
    <row r="1074">
      <c r="T1074">
        <f>IF(connections!$A1074="","",IFERROR(INDEX(games!$B$2:$B$950,MATCH(connections!$A1074,games!$A$2:$A$950,0)),""))</f>
        <v/>
      </c>
      <c r="U1074">
        <f>IF(connections!$A1074="","",IFERROR(INDEX(games!$B$2:$B$950,MATCH(connections!$B1074,games!$A$2:$A$950,0)),""))</f>
        <v/>
      </c>
      <c r="V1074">
        <f>IF(OR($T1074="",$U1074=""),"",$U1074-$T1074)</f>
        <v/>
      </c>
    </row>
    <row r="1075">
      <c r="T1075">
        <f>IF(connections!$A1075="","",IFERROR(INDEX(games!$B$2:$B$950,MATCH(connections!$A1075,games!$A$2:$A$950,0)),""))</f>
        <v/>
      </c>
      <c r="U1075">
        <f>IF(connections!$A1075="","",IFERROR(INDEX(games!$B$2:$B$950,MATCH(connections!$B1075,games!$A$2:$A$950,0)),""))</f>
        <v/>
      </c>
      <c r="V1075">
        <f>IF(OR($T1075="",$U1075=""),"",$U1075-$T1075)</f>
        <v/>
      </c>
    </row>
    <row r="1076">
      <c r="T1076">
        <f>IF(connections!$A1076="","",IFERROR(INDEX(games!$B$2:$B$950,MATCH(connections!$A1076,games!$A$2:$A$950,0)),""))</f>
        <v/>
      </c>
      <c r="U1076">
        <f>IF(connections!$A1076="","",IFERROR(INDEX(games!$B$2:$B$950,MATCH(connections!$B1076,games!$A$2:$A$950,0)),""))</f>
        <v/>
      </c>
      <c r="V1076">
        <f>IF(OR($T1076="",$U1076=""),"",$U1076-$T1076)</f>
        <v/>
      </c>
    </row>
    <row r="1077">
      <c r="T1077">
        <f>IF(connections!$A1077="","",IFERROR(INDEX(games!$B$2:$B$950,MATCH(connections!$A1077,games!$A$2:$A$950,0)),""))</f>
        <v/>
      </c>
      <c r="U1077">
        <f>IF(connections!$A1077="","",IFERROR(INDEX(games!$B$2:$B$950,MATCH(connections!$B1077,games!$A$2:$A$950,0)),""))</f>
        <v/>
      </c>
      <c r="V1077">
        <f>IF(OR($T1077="",$U1077=""),"",$U1077-$T1077)</f>
        <v/>
      </c>
    </row>
    <row r="1078">
      <c r="T1078">
        <f>IF(connections!$A1078="","",IFERROR(INDEX(games!$B$2:$B$950,MATCH(connections!$A1078,games!$A$2:$A$950,0)),""))</f>
        <v/>
      </c>
      <c r="U1078">
        <f>IF(connections!$A1078="","",IFERROR(INDEX(games!$B$2:$B$950,MATCH(connections!$B1078,games!$A$2:$A$950,0)),""))</f>
        <v/>
      </c>
      <c r="V1078">
        <f>IF(OR($T1078="",$U1078=""),"",$U1078-$T1078)</f>
        <v/>
      </c>
    </row>
    <row r="1079">
      <c r="T1079">
        <f>IF(connections!$A1079="","",IFERROR(INDEX(games!$B$2:$B$950,MATCH(connections!$A1079,games!$A$2:$A$950,0)),""))</f>
        <v/>
      </c>
      <c r="U1079">
        <f>IF(connections!$A1079="","",IFERROR(INDEX(games!$B$2:$B$950,MATCH(connections!$B1079,games!$A$2:$A$950,0)),""))</f>
        <v/>
      </c>
      <c r="V1079">
        <f>IF(OR($T1079="",$U1079=""),"",$U1079-$T1079)</f>
        <v/>
      </c>
    </row>
    <row r="1080">
      <c r="T1080">
        <f>IF(connections!$A1080="","",IFERROR(INDEX(games!$B$2:$B$950,MATCH(connections!$A1080,games!$A$2:$A$950,0)),""))</f>
        <v/>
      </c>
      <c r="U1080">
        <f>IF(connections!$A1080="","",IFERROR(INDEX(games!$B$2:$B$950,MATCH(connections!$B1080,games!$A$2:$A$950,0)),""))</f>
        <v/>
      </c>
      <c r="V1080">
        <f>IF(OR($T1080="",$U1080=""),"",$U1080-$T1080)</f>
        <v/>
      </c>
    </row>
    <row r="1081">
      <c r="T1081">
        <f>IF(connections!$A1081="","",IFERROR(INDEX(games!$B$2:$B$950,MATCH(connections!$A1081,games!$A$2:$A$950,0)),""))</f>
        <v/>
      </c>
      <c r="U1081">
        <f>IF(connections!$A1081="","",IFERROR(INDEX(games!$B$2:$B$950,MATCH(connections!$B1081,games!$A$2:$A$950,0)),""))</f>
        <v/>
      </c>
      <c r="V1081">
        <f>IF(OR($T1081="",$U1081=""),"",$U1081-$T1081)</f>
        <v/>
      </c>
    </row>
    <row r="1082">
      <c r="T1082">
        <f>IF(connections!$A1082="","",IFERROR(INDEX(games!$B$2:$B$950,MATCH(connections!$A1082,games!$A$2:$A$950,0)),""))</f>
        <v/>
      </c>
      <c r="U1082">
        <f>IF(connections!$A1082="","",IFERROR(INDEX(games!$B$2:$B$950,MATCH(connections!$B1082,games!$A$2:$A$950,0)),""))</f>
        <v/>
      </c>
      <c r="V1082">
        <f>IF(OR($T1082="",$U1082=""),"",$U1082-$T1082)</f>
        <v/>
      </c>
    </row>
    <row r="1083">
      <c r="T1083">
        <f>IF(connections!$A1083="","",IFERROR(INDEX(games!$B$2:$B$950,MATCH(connections!$A1083,games!$A$2:$A$950,0)),""))</f>
        <v/>
      </c>
      <c r="U1083">
        <f>IF(connections!$A1083="","",IFERROR(INDEX(games!$B$2:$B$950,MATCH(connections!$B1083,games!$A$2:$A$950,0)),""))</f>
        <v/>
      </c>
      <c r="V1083">
        <f>IF(OR($T1083="",$U1083=""),"",$U1083-$T1083)</f>
        <v/>
      </c>
    </row>
    <row r="1084">
      <c r="T1084">
        <f>IF(connections!$A1084="","",IFERROR(INDEX(games!$B$2:$B$950,MATCH(connections!$A1084,games!$A$2:$A$950,0)),""))</f>
        <v/>
      </c>
      <c r="U1084">
        <f>IF(connections!$A1084="","",IFERROR(INDEX(games!$B$2:$B$950,MATCH(connections!$B1084,games!$A$2:$A$950,0)),""))</f>
        <v/>
      </c>
      <c r="V1084">
        <f>IF(OR($T1084="",$U1084=""),"",$U1084-$T1084)</f>
        <v/>
      </c>
    </row>
    <row r="1085">
      <c r="T1085">
        <f>IF(connections!$A1085="","",IFERROR(INDEX(games!$B$2:$B$950,MATCH(connections!$A1085,games!$A$2:$A$950,0)),""))</f>
        <v/>
      </c>
      <c r="U1085">
        <f>IF(connections!$A1085="","",IFERROR(INDEX(games!$B$2:$B$950,MATCH(connections!$B1085,games!$A$2:$A$950,0)),""))</f>
        <v/>
      </c>
      <c r="V1085">
        <f>IF(OR($T1085="",$U1085=""),"",$U1085-$T1085)</f>
        <v/>
      </c>
    </row>
    <row r="1086">
      <c r="T1086">
        <f>IF(connections!$A1086="","",IFERROR(INDEX(games!$B$2:$B$950,MATCH(connections!$A1086,games!$A$2:$A$950,0)),""))</f>
        <v/>
      </c>
      <c r="U1086">
        <f>IF(connections!$A1086="","",IFERROR(INDEX(games!$B$2:$B$950,MATCH(connections!$B1086,games!$A$2:$A$950,0)),""))</f>
        <v/>
      </c>
      <c r="V1086">
        <f>IF(OR($T1086="",$U1086=""),"",$U1086-$T1086)</f>
        <v/>
      </c>
    </row>
    <row r="1087">
      <c r="T1087">
        <f>IF(connections!$A1087="","",IFERROR(INDEX(games!$B$2:$B$950,MATCH(connections!$A1087,games!$A$2:$A$950,0)),""))</f>
        <v/>
      </c>
      <c r="U1087">
        <f>IF(connections!$A1087="","",IFERROR(INDEX(games!$B$2:$B$950,MATCH(connections!$B1087,games!$A$2:$A$950,0)),""))</f>
        <v/>
      </c>
      <c r="V1087">
        <f>IF(OR($T1087="",$U1087=""),"",$U1087-$T1087)</f>
        <v/>
      </c>
    </row>
    <row r="1088">
      <c r="T1088">
        <f>IF(connections!$A1088="","",IFERROR(INDEX(games!$B$2:$B$950,MATCH(connections!$A1088,games!$A$2:$A$950,0)),""))</f>
        <v/>
      </c>
      <c r="U1088">
        <f>IF(connections!$A1088="","",IFERROR(INDEX(games!$B$2:$B$950,MATCH(connections!$B1088,games!$A$2:$A$950,0)),""))</f>
        <v/>
      </c>
      <c r="V1088">
        <f>IF(OR($T1088="",$U1088=""),"",$U1088-$T1088)</f>
        <v/>
      </c>
    </row>
    <row r="1089">
      <c r="T1089">
        <f>IF(connections!$A1089="","",IFERROR(INDEX(games!$B$2:$B$950,MATCH(connections!$A1089,games!$A$2:$A$950,0)),""))</f>
        <v/>
      </c>
      <c r="U1089">
        <f>IF(connections!$A1089="","",IFERROR(INDEX(games!$B$2:$B$950,MATCH(connections!$B1089,games!$A$2:$A$950,0)),""))</f>
        <v/>
      </c>
      <c r="V1089">
        <f>IF(OR($T1089="",$U1089=""),"",$U1089-$T1089)</f>
        <v/>
      </c>
    </row>
    <row r="1090">
      <c r="T1090">
        <f>IF(connections!$A1090="","",IFERROR(INDEX(games!$B$2:$B$950,MATCH(connections!$A1090,games!$A$2:$A$950,0)),""))</f>
        <v/>
      </c>
      <c r="U1090">
        <f>IF(connections!$A1090="","",IFERROR(INDEX(games!$B$2:$B$950,MATCH(connections!$B1090,games!$A$2:$A$950,0)),""))</f>
        <v/>
      </c>
      <c r="V1090">
        <f>IF(OR($T1090="",$U1090=""),"",$U1090-$T1090)</f>
        <v/>
      </c>
    </row>
    <row r="1091">
      <c r="T1091">
        <f>IF(connections!$A1091="","",IFERROR(INDEX(games!$B$2:$B$950,MATCH(connections!$A1091,games!$A$2:$A$950,0)),""))</f>
        <v/>
      </c>
      <c r="U1091">
        <f>IF(connections!$A1091="","",IFERROR(INDEX(games!$B$2:$B$950,MATCH(connections!$B1091,games!$A$2:$A$950,0)),""))</f>
        <v/>
      </c>
      <c r="V1091">
        <f>IF(OR($T1091="",$U1091=""),"",$U1091-$T1091)</f>
        <v/>
      </c>
    </row>
    <row r="1092">
      <c r="T1092">
        <f>IF(connections!$A1092="","",IFERROR(INDEX(games!$B$2:$B$950,MATCH(connections!$A1092,games!$A$2:$A$950,0)),""))</f>
        <v/>
      </c>
      <c r="U1092">
        <f>IF(connections!$A1092="","",IFERROR(INDEX(games!$B$2:$B$950,MATCH(connections!$B1092,games!$A$2:$A$950,0)),""))</f>
        <v/>
      </c>
      <c r="V1092">
        <f>IF(OR($T1092="",$U1092=""),"",$U1092-$T1092)</f>
        <v/>
      </c>
    </row>
    <row r="1093">
      <c r="T1093">
        <f>IF(connections!$A1093="","",IFERROR(INDEX(games!$B$2:$B$950,MATCH(connections!$A1093,games!$A$2:$A$950,0)),""))</f>
        <v/>
      </c>
      <c r="U1093">
        <f>IF(connections!$A1093="","",IFERROR(INDEX(games!$B$2:$B$950,MATCH(connections!$B1093,games!$A$2:$A$950,0)),""))</f>
        <v/>
      </c>
      <c r="V1093">
        <f>IF(OR($T1093="",$U1093=""),"",$U1093-$T1093)</f>
        <v/>
      </c>
    </row>
    <row r="1094">
      <c r="T1094">
        <f>IF(connections!$A1094="","",IFERROR(INDEX(games!$B$2:$B$950,MATCH(connections!$A1094,games!$A$2:$A$950,0)),""))</f>
        <v/>
      </c>
      <c r="U1094">
        <f>IF(connections!$A1094="","",IFERROR(INDEX(games!$B$2:$B$950,MATCH(connections!$B1094,games!$A$2:$A$950,0)),""))</f>
        <v/>
      </c>
      <c r="V1094">
        <f>IF(OR($T1094="",$U1094=""),"",$U1094-$T1094)</f>
        <v/>
      </c>
    </row>
    <row r="1095">
      <c r="T1095">
        <f>IF(connections!$A1095="","",IFERROR(INDEX(games!$B$2:$B$950,MATCH(connections!$A1095,games!$A$2:$A$950,0)),""))</f>
        <v/>
      </c>
      <c r="U1095">
        <f>IF(connections!$A1095="","",IFERROR(INDEX(games!$B$2:$B$950,MATCH(connections!$B1095,games!$A$2:$A$950,0)),""))</f>
        <v/>
      </c>
      <c r="V1095">
        <f>IF(OR($T1095="",$U1095=""),"",$U1095-$T1095)</f>
        <v/>
      </c>
    </row>
    <row r="1096">
      <c r="T1096">
        <f>IF(connections!$A1096="","",IFERROR(INDEX(games!$B$2:$B$950,MATCH(connections!$A1096,games!$A$2:$A$950,0)),""))</f>
        <v/>
      </c>
      <c r="U1096">
        <f>IF(connections!$A1096="","",IFERROR(INDEX(games!$B$2:$B$950,MATCH(connections!$B1096,games!$A$2:$A$950,0)),""))</f>
        <v/>
      </c>
      <c r="V1096">
        <f>IF(OR($T1096="",$U1096=""),"",$U1096-$T1096)</f>
        <v/>
      </c>
    </row>
    <row r="1097">
      <c r="T1097">
        <f>IF(connections!$A1097="","",IFERROR(INDEX(games!$B$2:$B$950,MATCH(connections!$A1097,games!$A$2:$A$950,0)),""))</f>
        <v/>
      </c>
      <c r="U1097">
        <f>IF(connections!$A1097="","",IFERROR(INDEX(games!$B$2:$B$950,MATCH(connections!$B1097,games!$A$2:$A$950,0)),""))</f>
        <v/>
      </c>
      <c r="V1097">
        <f>IF(OR($T1097="",$U1097=""),"",$U1097-$T1097)</f>
        <v/>
      </c>
    </row>
    <row r="1098">
      <c r="T1098">
        <f>IF(connections!$A1098="","",IFERROR(INDEX(games!$B$2:$B$950,MATCH(connections!$A1098,games!$A$2:$A$950,0)),""))</f>
        <v/>
      </c>
      <c r="U1098">
        <f>IF(connections!$A1098="","",IFERROR(INDEX(games!$B$2:$B$950,MATCH(connections!$B1098,games!$A$2:$A$950,0)),""))</f>
        <v/>
      </c>
      <c r="V1098">
        <f>IF(OR($T1098="",$U1098=""),"",$U1098-$T1098)</f>
        <v/>
      </c>
    </row>
    <row r="1099">
      <c r="T1099">
        <f>IF(connections!$A1099="","",IFERROR(INDEX(games!$B$2:$B$950,MATCH(connections!$A1099,games!$A$2:$A$950,0)),""))</f>
        <v/>
      </c>
      <c r="U1099">
        <f>IF(connections!$A1099="","",IFERROR(INDEX(games!$B$2:$B$950,MATCH(connections!$B1099,games!$A$2:$A$950,0)),""))</f>
        <v/>
      </c>
      <c r="V1099">
        <f>IF(OR($T1099="",$U1099=""),"",$U1099-$T1099)</f>
        <v/>
      </c>
    </row>
    <row r="1100">
      <c r="T1100">
        <f>IF(connections!$A1100="","",IFERROR(INDEX(games!$B$2:$B$950,MATCH(connections!$A1100,games!$A$2:$A$950,0)),""))</f>
        <v/>
      </c>
      <c r="U1100">
        <f>IF(connections!$A1100="","",IFERROR(INDEX(games!$B$2:$B$950,MATCH(connections!$B1100,games!$A$2:$A$950,0)),""))</f>
        <v/>
      </c>
      <c r="V1100">
        <f>IF(OR($T1100="",$U1100=""),"",$U1100-$T1100)</f>
        <v/>
      </c>
    </row>
    <row r="1101">
      <c r="T1101">
        <f>IF(connections!$A1101="","",IFERROR(INDEX(games!$B$2:$B$950,MATCH(connections!$A1101,games!$A$2:$A$950,0)),""))</f>
        <v/>
      </c>
      <c r="U1101">
        <f>IF(connections!$A1101="","",IFERROR(INDEX(games!$B$2:$B$950,MATCH(connections!$B1101,games!$A$2:$A$950,0)),""))</f>
        <v/>
      </c>
      <c r="V1101">
        <f>IF(OR($T1101="",$U1101=""),"",$U1101-$T1101)</f>
        <v/>
      </c>
    </row>
    <row r="1102">
      <c r="T1102">
        <f>IF(connections!$A1102="","",IFERROR(INDEX(games!$B$2:$B$950,MATCH(connections!$A1102,games!$A$2:$A$950,0)),""))</f>
        <v/>
      </c>
      <c r="U1102">
        <f>IF(connections!$A1102="","",IFERROR(INDEX(games!$B$2:$B$950,MATCH(connections!$B1102,games!$A$2:$A$950,0)),""))</f>
        <v/>
      </c>
      <c r="V1102">
        <f>IF(OR($T1102="",$U1102=""),"",$U1102-$T1102)</f>
        <v/>
      </c>
    </row>
    <row r="1103">
      <c r="T1103">
        <f>IF(connections!$A1103="","",IFERROR(INDEX(games!$B$2:$B$950,MATCH(connections!$A1103,games!$A$2:$A$950,0)),""))</f>
        <v/>
      </c>
      <c r="U1103">
        <f>IF(connections!$A1103="","",IFERROR(INDEX(games!$B$2:$B$950,MATCH(connections!$B1103,games!$A$2:$A$950,0)),""))</f>
        <v/>
      </c>
      <c r="V1103">
        <f>IF(OR($T1103="",$U1103=""),"",$U1103-$T1103)</f>
        <v/>
      </c>
    </row>
    <row r="1104">
      <c r="T1104">
        <f>IF(connections!$A1104="","",IFERROR(INDEX(games!$B$2:$B$950,MATCH(connections!$A1104,games!$A$2:$A$950,0)),""))</f>
        <v/>
      </c>
      <c r="U1104">
        <f>IF(connections!$A1104="","",IFERROR(INDEX(games!$B$2:$B$950,MATCH(connections!$B1104,games!$A$2:$A$950,0)),""))</f>
        <v/>
      </c>
      <c r="V1104">
        <f>IF(OR($T1104="",$U1104=""),"",$U1104-$T1104)</f>
        <v/>
      </c>
    </row>
    <row r="1105">
      <c r="T1105">
        <f>IF(connections!$A1105="","",IFERROR(INDEX(games!$B$2:$B$950,MATCH(connections!$A1105,games!$A$2:$A$950,0)),""))</f>
        <v/>
      </c>
      <c r="U1105">
        <f>IF(connections!$A1105="","",IFERROR(INDEX(games!$B$2:$B$950,MATCH(connections!$B1105,games!$A$2:$A$950,0)),""))</f>
        <v/>
      </c>
      <c r="V1105">
        <f>IF(OR($T1105="",$U1105=""),"",$U1105-$T1105)</f>
        <v/>
      </c>
    </row>
    <row r="1106">
      <c r="T1106">
        <f>IF(connections!$A1106="","",IFERROR(INDEX(games!$B$2:$B$950,MATCH(connections!$A1106,games!$A$2:$A$950,0)),""))</f>
        <v/>
      </c>
      <c r="U1106">
        <f>IF(connections!$A1106="","",IFERROR(INDEX(games!$B$2:$B$950,MATCH(connections!$B1106,games!$A$2:$A$950,0)),""))</f>
        <v/>
      </c>
      <c r="V1106">
        <f>IF(OR($T1106="",$U1106=""),"",$U1106-$T1106)</f>
        <v/>
      </c>
    </row>
    <row r="1107">
      <c r="T1107">
        <f>IF(connections!$A1107="","",IFERROR(INDEX(games!$B$2:$B$950,MATCH(connections!$A1107,games!$A$2:$A$950,0)),""))</f>
        <v/>
      </c>
      <c r="U1107">
        <f>IF(connections!$A1107="","",IFERROR(INDEX(games!$B$2:$B$950,MATCH(connections!$B1107,games!$A$2:$A$950,0)),""))</f>
        <v/>
      </c>
      <c r="V1107">
        <f>IF(OR($T1107="",$U1107=""),"",$U1107-$T1107)</f>
        <v/>
      </c>
    </row>
    <row r="1108">
      <c r="T1108">
        <f>IF(connections!$A1108="","",IFERROR(INDEX(games!$B$2:$B$950,MATCH(connections!$A1108,games!$A$2:$A$950,0)),""))</f>
        <v/>
      </c>
      <c r="U1108">
        <f>IF(connections!$A1108="","",IFERROR(INDEX(games!$B$2:$B$950,MATCH(connections!$B1108,games!$A$2:$A$950,0)),""))</f>
        <v/>
      </c>
      <c r="V1108">
        <f>IF(OR($T1108="",$U1108=""),"",$U1108-$T1108)</f>
        <v/>
      </c>
    </row>
    <row r="1109">
      <c r="T1109">
        <f>IF(connections!$A1109="","",IFERROR(INDEX(games!$B$2:$B$950,MATCH(connections!$A1109,games!$A$2:$A$950,0)),""))</f>
        <v/>
      </c>
      <c r="U1109">
        <f>IF(connections!$A1109="","",IFERROR(INDEX(games!$B$2:$B$950,MATCH(connections!$B1109,games!$A$2:$A$950,0)),""))</f>
        <v/>
      </c>
      <c r="V1109">
        <f>IF(OR($T1109="",$U1109=""),"",$U1109-$T1109)</f>
        <v/>
      </c>
    </row>
    <row r="1110">
      <c r="T1110">
        <f>IF(connections!$A1110="","",IFERROR(INDEX(games!$B$2:$B$950,MATCH(connections!$A1110,games!$A$2:$A$950,0)),""))</f>
        <v/>
      </c>
      <c r="U1110">
        <f>IF(connections!$A1110="","",IFERROR(INDEX(games!$B$2:$B$950,MATCH(connections!$B1110,games!$A$2:$A$950,0)),""))</f>
        <v/>
      </c>
      <c r="V1110">
        <f>IF(OR($T1110="",$U1110=""),"",$U1110-$T1110)</f>
        <v/>
      </c>
    </row>
    <row r="1111">
      <c r="T1111">
        <f>IF(connections!$A1111="","",IFERROR(INDEX(games!$B$2:$B$950,MATCH(connections!$A1111,games!$A$2:$A$950,0)),""))</f>
        <v/>
      </c>
      <c r="U1111">
        <f>IF(connections!$A1111="","",IFERROR(INDEX(games!$B$2:$B$950,MATCH(connections!$B1111,games!$A$2:$A$950,0)),""))</f>
        <v/>
      </c>
      <c r="V1111">
        <f>IF(OR($T1111="",$U1111=""),"",$U1111-$T1111)</f>
        <v/>
      </c>
    </row>
    <row r="1112">
      <c r="T1112">
        <f>IF(connections!$A1112="","",IFERROR(INDEX(games!$B$2:$B$950,MATCH(connections!$A1112,games!$A$2:$A$950,0)),""))</f>
        <v/>
      </c>
      <c r="U1112">
        <f>IF(connections!$A1112="","",IFERROR(INDEX(games!$B$2:$B$950,MATCH(connections!$B1112,games!$A$2:$A$950,0)),""))</f>
        <v/>
      </c>
      <c r="V1112">
        <f>IF(OR($T1112="",$U1112=""),"",$U1112-$T1112)</f>
        <v/>
      </c>
    </row>
    <row r="1113">
      <c r="T1113">
        <f>IF(connections!$A1113="","",IFERROR(INDEX(games!$B$2:$B$950,MATCH(connections!$A1113,games!$A$2:$A$950,0)),""))</f>
        <v/>
      </c>
      <c r="U1113">
        <f>IF(connections!$A1113="","",IFERROR(INDEX(games!$B$2:$B$950,MATCH(connections!$B1113,games!$A$2:$A$950,0)),""))</f>
        <v/>
      </c>
      <c r="V1113">
        <f>IF(OR($T1113="",$U1113=""),"",$U1113-$T1113)</f>
        <v/>
      </c>
    </row>
    <row r="1114">
      <c r="T1114">
        <f>IF(connections!$A1114="","",IFERROR(INDEX(games!$B$2:$B$950,MATCH(connections!$A1114,games!$A$2:$A$950,0)),""))</f>
        <v/>
      </c>
      <c r="U1114">
        <f>IF(connections!$A1114="","",IFERROR(INDEX(games!$B$2:$B$950,MATCH(connections!$B1114,games!$A$2:$A$950,0)),""))</f>
        <v/>
      </c>
      <c r="V1114">
        <f>IF(OR($T1114="",$U1114=""),"",$U1114-$T1114)</f>
        <v/>
      </c>
    </row>
    <row r="1115">
      <c r="T1115">
        <f>IF(connections!$A1115="","",IFERROR(INDEX(games!$B$2:$B$950,MATCH(connections!$A1115,games!$A$2:$A$950,0)),""))</f>
        <v/>
      </c>
      <c r="U1115">
        <f>IF(connections!$A1115="","",IFERROR(INDEX(games!$B$2:$B$950,MATCH(connections!$B1115,games!$A$2:$A$950,0)),""))</f>
        <v/>
      </c>
      <c r="V1115">
        <f>IF(OR($T1115="",$U1115=""),"",$U1115-$T1115)</f>
        <v/>
      </c>
    </row>
    <row r="1116">
      <c r="T1116">
        <f>IF(connections!$A1116="","",IFERROR(INDEX(games!$B$2:$B$950,MATCH(connections!$A1116,games!$A$2:$A$950,0)),""))</f>
        <v/>
      </c>
      <c r="U1116">
        <f>IF(connections!$A1116="","",IFERROR(INDEX(games!$B$2:$B$950,MATCH(connections!$B1116,games!$A$2:$A$950,0)),""))</f>
        <v/>
      </c>
      <c r="V1116">
        <f>IF(OR($T1116="",$U1116=""),"",$U1116-$T1116)</f>
        <v/>
      </c>
    </row>
    <row r="1117">
      <c r="T1117">
        <f>IF(connections!$A1117="","",IFERROR(INDEX(games!$B$2:$B$950,MATCH(connections!$A1117,games!$A$2:$A$950,0)),""))</f>
        <v/>
      </c>
      <c r="U1117">
        <f>IF(connections!$A1117="","",IFERROR(INDEX(games!$B$2:$B$950,MATCH(connections!$B1117,games!$A$2:$A$950,0)),""))</f>
        <v/>
      </c>
      <c r="V1117">
        <f>IF(OR($T1117="",$U1117=""),"",$U1117-$T1117)</f>
        <v/>
      </c>
    </row>
    <row r="1118">
      <c r="T1118">
        <f>IF(connections!$A1118="","",IFERROR(INDEX(games!$B$2:$B$950,MATCH(connections!$A1118,games!$A$2:$A$950,0)),""))</f>
        <v/>
      </c>
      <c r="U1118">
        <f>IF(connections!$A1118="","",IFERROR(INDEX(games!$B$2:$B$950,MATCH(connections!$B1118,games!$A$2:$A$950,0)),""))</f>
        <v/>
      </c>
      <c r="V1118">
        <f>IF(OR($T1118="",$U1118=""),"",$U1118-$T1118)</f>
        <v/>
      </c>
    </row>
    <row r="1119">
      <c r="T1119">
        <f>IF(connections!$A1119="","",IFERROR(INDEX(games!$B$2:$B$950,MATCH(connections!$A1119,games!$A$2:$A$950,0)),""))</f>
        <v/>
      </c>
      <c r="U1119">
        <f>IF(connections!$A1119="","",IFERROR(INDEX(games!$B$2:$B$950,MATCH(connections!$B1119,games!$A$2:$A$950,0)),""))</f>
        <v/>
      </c>
      <c r="V1119">
        <f>IF(OR($T1119="",$U1119=""),"",$U1119-$T1119)</f>
        <v/>
      </c>
    </row>
    <row r="1120">
      <c r="T1120">
        <f>IF(connections!$A1120="","",IFERROR(INDEX(games!$B$2:$B$950,MATCH(connections!$A1120,games!$A$2:$A$950,0)),""))</f>
        <v/>
      </c>
      <c r="U1120">
        <f>IF(connections!$A1120="","",IFERROR(INDEX(games!$B$2:$B$950,MATCH(connections!$B1120,games!$A$2:$A$950,0)),""))</f>
        <v/>
      </c>
      <c r="V1120">
        <f>IF(OR($T1120="",$U1120=""),"",$U1120-$T1120)</f>
        <v/>
      </c>
    </row>
    <row r="1121">
      <c r="T1121">
        <f>IF(connections!$A1121="","",IFERROR(INDEX(games!$B$2:$B$950,MATCH(connections!$A1121,games!$A$2:$A$950,0)),""))</f>
        <v/>
      </c>
      <c r="U1121">
        <f>IF(connections!$A1121="","",IFERROR(INDEX(games!$B$2:$B$950,MATCH(connections!$B1121,games!$A$2:$A$950,0)),""))</f>
        <v/>
      </c>
      <c r="V1121">
        <f>IF(OR($T1121="",$U1121=""),"",$U1121-$T1121)</f>
        <v/>
      </c>
    </row>
    <row r="1122">
      <c r="T1122">
        <f>IF(connections!$A1122="","",IFERROR(INDEX(games!$B$2:$B$950,MATCH(connections!$A1122,games!$A$2:$A$950,0)),""))</f>
        <v/>
      </c>
      <c r="U1122">
        <f>IF(connections!$A1122="","",IFERROR(INDEX(games!$B$2:$B$950,MATCH(connections!$B1122,games!$A$2:$A$950,0)),""))</f>
        <v/>
      </c>
      <c r="V1122">
        <f>IF(OR($T1122="",$U1122=""),"",$U1122-$T1122)</f>
        <v/>
      </c>
    </row>
    <row r="1123">
      <c r="T1123">
        <f>IF(connections!$A1123="","",IFERROR(INDEX(games!$B$2:$B$950,MATCH(connections!$A1123,games!$A$2:$A$950,0)),""))</f>
        <v/>
      </c>
      <c r="U1123">
        <f>IF(connections!$A1123="","",IFERROR(INDEX(games!$B$2:$B$950,MATCH(connections!$B1123,games!$A$2:$A$950,0)),""))</f>
        <v/>
      </c>
      <c r="V1123">
        <f>IF(OR($T1123="",$U1123=""),"",$U1123-$T1123)</f>
        <v/>
      </c>
    </row>
    <row r="1124">
      <c r="T1124">
        <f>IF(connections!$A1124="","",IFERROR(INDEX(games!$B$2:$B$950,MATCH(connections!$A1124,games!$A$2:$A$950,0)),""))</f>
        <v/>
      </c>
      <c r="U1124">
        <f>IF(connections!$A1124="","",IFERROR(INDEX(games!$B$2:$B$950,MATCH(connections!$B1124,games!$A$2:$A$950,0)),""))</f>
        <v/>
      </c>
      <c r="V1124">
        <f>IF(OR($T1124="",$U1124=""),"",$U1124-$T1124)</f>
        <v/>
      </c>
    </row>
    <row r="1125">
      <c r="T1125">
        <f>IF(connections!$A1125="","",IFERROR(INDEX(games!$B$2:$B$950,MATCH(connections!$A1125,games!$A$2:$A$950,0)),""))</f>
        <v/>
      </c>
      <c r="U1125">
        <f>IF(connections!$A1125="","",IFERROR(INDEX(games!$B$2:$B$950,MATCH(connections!$B1125,games!$A$2:$A$950,0)),""))</f>
        <v/>
      </c>
      <c r="V1125">
        <f>IF(OR($T1125="",$U1125=""),"",$U1125-$T1125)</f>
        <v/>
      </c>
    </row>
    <row r="1126">
      <c r="T1126">
        <f>IF(connections!$A1126="","",IFERROR(INDEX(games!$B$2:$B$950,MATCH(connections!$A1126,games!$A$2:$A$950,0)),""))</f>
        <v/>
      </c>
      <c r="U1126">
        <f>IF(connections!$A1126="","",IFERROR(INDEX(games!$B$2:$B$950,MATCH(connections!$B1126,games!$A$2:$A$950,0)),""))</f>
        <v/>
      </c>
      <c r="V1126">
        <f>IF(OR($T1126="",$U1126=""),"",$U1126-$T1126)</f>
        <v/>
      </c>
    </row>
    <row r="1127">
      <c r="T1127">
        <f>IF(connections!$A1127="","",IFERROR(INDEX(games!$B$2:$B$950,MATCH(connections!$A1127,games!$A$2:$A$950,0)),""))</f>
        <v/>
      </c>
      <c r="U1127">
        <f>IF(connections!$A1127="","",IFERROR(INDEX(games!$B$2:$B$950,MATCH(connections!$B1127,games!$A$2:$A$950,0)),""))</f>
        <v/>
      </c>
      <c r="V1127">
        <f>IF(OR($T1127="",$U1127=""),"",$U1127-$T1127)</f>
        <v/>
      </c>
    </row>
    <row r="1128">
      <c r="T1128">
        <f>IF(connections!$A1128="","",IFERROR(INDEX(games!$B$2:$B$950,MATCH(connections!$A1128,games!$A$2:$A$950,0)),""))</f>
        <v/>
      </c>
      <c r="U1128">
        <f>IF(connections!$A1128="","",IFERROR(INDEX(games!$B$2:$B$950,MATCH(connections!$B1128,games!$A$2:$A$950,0)),""))</f>
        <v/>
      </c>
      <c r="V1128">
        <f>IF(OR($T1128="",$U1128=""),"",$U1128-$T1128)</f>
        <v/>
      </c>
    </row>
    <row r="1129">
      <c r="T1129">
        <f>IF(connections!$A1129="","",IFERROR(INDEX(games!$B$2:$B$950,MATCH(connections!$A1129,games!$A$2:$A$950,0)),""))</f>
        <v/>
      </c>
      <c r="U1129">
        <f>IF(connections!$A1129="","",IFERROR(INDEX(games!$B$2:$B$950,MATCH(connections!$B1129,games!$A$2:$A$950,0)),""))</f>
        <v/>
      </c>
      <c r="V1129">
        <f>IF(OR($T1129="",$U1129=""),"",$U1129-$T1129)</f>
        <v/>
      </c>
    </row>
    <row r="1130">
      <c r="T1130">
        <f>IF(connections!$A1130="","",IFERROR(INDEX(games!$B$2:$B$950,MATCH(connections!$A1130,games!$A$2:$A$950,0)),""))</f>
        <v/>
      </c>
      <c r="U1130">
        <f>IF(connections!$A1130="","",IFERROR(INDEX(games!$B$2:$B$950,MATCH(connections!$B1130,games!$A$2:$A$950,0)),""))</f>
        <v/>
      </c>
      <c r="V1130">
        <f>IF(OR($T1130="",$U1130=""),"",$U1130-$T1130)</f>
        <v/>
      </c>
    </row>
    <row r="1131">
      <c r="T1131">
        <f>IF(connections!$A1131="","",IFERROR(INDEX(games!$B$2:$B$950,MATCH(connections!$A1131,games!$A$2:$A$950,0)),""))</f>
        <v/>
      </c>
      <c r="U1131">
        <f>IF(connections!$A1131="","",IFERROR(INDEX(games!$B$2:$B$950,MATCH(connections!$B1131,games!$A$2:$A$950,0)),""))</f>
        <v/>
      </c>
      <c r="V1131">
        <f>IF(OR($T1131="",$U1131=""),"",$U1131-$T1131)</f>
        <v/>
      </c>
    </row>
    <row r="1132">
      <c r="T1132">
        <f>IF(connections!$A1132="","",IFERROR(INDEX(games!$B$2:$B$950,MATCH(connections!$A1132,games!$A$2:$A$950,0)),""))</f>
        <v/>
      </c>
      <c r="U1132">
        <f>IF(connections!$A1132="","",IFERROR(INDEX(games!$B$2:$B$950,MATCH(connections!$B1132,games!$A$2:$A$950,0)),""))</f>
        <v/>
      </c>
      <c r="V1132">
        <f>IF(OR($T1132="",$U1132=""),"",$U1132-$T1132)</f>
        <v/>
      </c>
    </row>
    <row r="1133">
      <c r="T1133">
        <f>IF(connections!$A1133="","",IFERROR(INDEX(games!$B$2:$B$950,MATCH(connections!$A1133,games!$A$2:$A$950,0)),""))</f>
        <v/>
      </c>
      <c r="U1133">
        <f>IF(connections!$A1133="","",IFERROR(INDEX(games!$B$2:$B$950,MATCH(connections!$B1133,games!$A$2:$A$950,0)),""))</f>
        <v/>
      </c>
      <c r="V1133">
        <f>IF(OR($T1133="",$U1133=""),"",$U1133-$T1133)</f>
        <v/>
      </c>
    </row>
    <row r="1134">
      <c r="T1134">
        <f>IF(connections!$A1134="","",IFERROR(INDEX(games!$B$2:$B$950,MATCH(connections!$A1134,games!$A$2:$A$950,0)),""))</f>
        <v/>
      </c>
      <c r="U1134">
        <f>IF(connections!$A1134="","",IFERROR(INDEX(games!$B$2:$B$950,MATCH(connections!$B1134,games!$A$2:$A$950,0)),""))</f>
        <v/>
      </c>
      <c r="V1134">
        <f>IF(OR($T1134="",$U1134=""),"",$U1134-$T1134)</f>
        <v/>
      </c>
    </row>
    <row r="1135">
      <c r="T1135">
        <f>IF(connections!$A1135="","",IFERROR(INDEX(games!$B$2:$B$950,MATCH(connections!$A1135,games!$A$2:$A$950,0)),""))</f>
        <v/>
      </c>
      <c r="U1135">
        <f>IF(connections!$A1135="","",IFERROR(INDEX(games!$B$2:$B$950,MATCH(connections!$B1135,games!$A$2:$A$950,0)),""))</f>
        <v/>
      </c>
      <c r="V1135">
        <f>IF(OR($T1135="",$U1135=""),"",$U1135-$T1135)</f>
        <v/>
      </c>
    </row>
    <row r="1136">
      <c r="T1136">
        <f>IF(connections!$A1136="","",IFERROR(INDEX(games!$B$2:$B$950,MATCH(connections!$A1136,games!$A$2:$A$950,0)),""))</f>
        <v/>
      </c>
      <c r="U1136">
        <f>IF(connections!$A1136="","",IFERROR(INDEX(games!$B$2:$B$950,MATCH(connections!$B1136,games!$A$2:$A$950,0)),""))</f>
        <v/>
      </c>
      <c r="V1136">
        <f>IF(OR($T1136="",$U1136=""),"",$U1136-$T1136)</f>
        <v/>
      </c>
    </row>
    <row r="1137">
      <c r="T1137">
        <f>IF(connections!$A1137="","",IFERROR(INDEX(games!$B$2:$B$950,MATCH(connections!$A1137,games!$A$2:$A$950,0)),""))</f>
        <v/>
      </c>
      <c r="U1137">
        <f>IF(connections!$A1137="","",IFERROR(INDEX(games!$B$2:$B$950,MATCH(connections!$B1137,games!$A$2:$A$950,0)),""))</f>
        <v/>
      </c>
      <c r="V1137">
        <f>IF(OR($T1137="",$U1137=""),"",$U1137-$T1137)</f>
        <v/>
      </c>
    </row>
    <row r="1138">
      <c r="T1138">
        <f>IF(connections!$A1138="","",IFERROR(INDEX(games!$B$2:$B$950,MATCH(connections!$A1138,games!$A$2:$A$950,0)),""))</f>
        <v/>
      </c>
      <c r="U1138">
        <f>IF(connections!$A1138="","",IFERROR(INDEX(games!$B$2:$B$950,MATCH(connections!$B1138,games!$A$2:$A$950,0)),""))</f>
        <v/>
      </c>
      <c r="V1138">
        <f>IF(OR($T1138="",$U1138=""),"",$U1138-$T1138)</f>
        <v/>
      </c>
    </row>
    <row r="1139">
      <c r="T1139">
        <f>IF(connections!$A1139="","",IFERROR(INDEX(games!$B$2:$B$950,MATCH(connections!$A1139,games!$A$2:$A$950,0)),""))</f>
        <v/>
      </c>
      <c r="U1139">
        <f>IF(connections!$A1139="","",IFERROR(INDEX(games!$B$2:$B$950,MATCH(connections!$B1139,games!$A$2:$A$950,0)),""))</f>
        <v/>
      </c>
      <c r="V1139">
        <f>IF(OR($T1139="",$U1139=""),"",$U1139-$T1139)</f>
        <v/>
      </c>
    </row>
    <row r="1140">
      <c r="T1140">
        <f>IF(connections!$A1140="","",IFERROR(INDEX(games!$B$2:$B$950,MATCH(connections!$A1140,games!$A$2:$A$950,0)),""))</f>
        <v/>
      </c>
      <c r="U1140">
        <f>IF(connections!$A1140="","",IFERROR(INDEX(games!$B$2:$B$950,MATCH(connections!$B1140,games!$A$2:$A$950,0)),""))</f>
        <v/>
      </c>
      <c r="V1140">
        <f>IF(OR($T1140="",$U1140=""),"",$U1140-$T1140)</f>
        <v/>
      </c>
    </row>
    <row r="1141">
      <c r="T1141">
        <f>IF(connections!$A1141="","",IFERROR(INDEX(games!$B$2:$B$950,MATCH(connections!$A1141,games!$A$2:$A$950,0)),""))</f>
        <v/>
      </c>
      <c r="U1141">
        <f>IF(connections!$A1141="","",IFERROR(INDEX(games!$B$2:$B$950,MATCH(connections!$B1141,games!$A$2:$A$950,0)),""))</f>
        <v/>
      </c>
      <c r="V1141">
        <f>IF(OR($T1141="",$U1141=""),"",$U1141-$T1141)</f>
        <v/>
      </c>
    </row>
    <row r="1142">
      <c r="T1142">
        <f>IF(connections!$A1142="","",IFERROR(INDEX(games!$B$2:$B$950,MATCH(connections!$A1142,games!$A$2:$A$950,0)),""))</f>
        <v/>
      </c>
      <c r="U1142">
        <f>IF(connections!$A1142="","",IFERROR(INDEX(games!$B$2:$B$950,MATCH(connections!$B1142,games!$A$2:$A$950,0)),""))</f>
        <v/>
      </c>
      <c r="V1142">
        <f>IF(OR($T1142="",$U1142=""),"",$U1142-$T1142)</f>
        <v/>
      </c>
    </row>
    <row r="1143">
      <c r="T1143">
        <f>IF(connections!$A1143="","",IFERROR(INDEX(games!$B$2:$B$950,MATCH(connections!$A1143,games!$A$2:$A$950,0)),""))</f>
        <v/>
      </c>
      <c r="U1143">
        <f>IF(connections!$A1143="","",IFERROR(INDEX(games!$B$2:$B$950,MATCH(connections!$B1143,games!$A$2:$A$950,0)),""))</f>
        <v/>
      </c>
      <c r="V1143">
        <f>IF(OR($T1143="",$U1143=""),"",$U1143-$T1143)</f>
        <v/>
      </c>
    </row>
    <row r="1144">
      <c r="T1144">
        <f>IF(connections!$A1144="","",IFERROR(INDEX(games!$B$2:$B$950,MATCH(connections!$A1144,games!$A$2:$A$950,0)),""))</f>
        <v/>
      </c>
      <c r="U1144">
        <f>IF(connections!$A1144="","",IFERROR(INDEX(games!$B$2:$B$950,MATCH(connections!$B1144,games!$A$2:$A$950,0)),""))</f>
        <v/>
      </c>
      <c r="V1144">
        <f>IF(OR($T1144="",$U1144=""),"",$U1144-$T1144)</f>
        <v/>
      </c>
    </row>
    <row r="1145">
      <c r="T1145">
        <f>IF(connections!$A1145="","",IFERROR(INDEX(games!$B$2:$B$950,MATCH(connections!$A1145,games!$A$2:$A$950,0)),""))</f>
        <v/>
      </c>
      <c r="U1145">
        <f>IF(connections!$A1145="","",IFERROR(INDEX(games!$B$2:$B$950,MATCH(connections!$B1145,games!$A$2:$A$950,0)),""))</f>
        <v/>
      </c>
      <c r="V1145">
        <f>IF(OR($T1145="",$U1145=""),"",$U1145-$T1145)</f>
        <v/>
      </c>
    </row>
    <row r="1146">
      <c r="T1146">
        <f>IF(connections!$A1146="","",IFERROR(INDEX(games!$B$2:$B$950,MATCH(connections!$A1146,games!$A$2:$A$950,0)),""))</f>
        <v/>
      </c>
      <c r="U1146">
        <f>IF(connections!$A1146="","",IFERROR(INDEX(games!$B$2:$B$950,MATCH(connections!$B1146,games!$A$2:$A$950,0)),""))</f>
        <v/>
      </c>
      <c r="V1146">
        <f>IF(OR($T1146="",$U1146=""),"",$U1146-$T1146)</f>
        <v/>
      </c>
    </row>
    <row r="1147">
      <c r="T1147">
        <f>IF(connections!$A1147="","",IFERROR(INDEX(games!$B$2:$B$950,MATCH(connections!$A1147,games!$A$2:$A$950,0)),""))</f>
        <v/>
      </c>
      <c r="U1147">
        <f>IF(connections!$A1147="","",IFERROR(INDEX(games!$B$2:$B$950,MATCH(connections!$B1147,games!$A$2:$A$950,0)),""))</f>
        <v/>
      </c>
      <c r="V1147">
        <f>IF(OR($T1147="",$U1147=""),"",$U1147-$T1147)</f>
        <v/>
      </c>
    </row>
    <row r="1148">
      <c r="T1148">
        <f>IF(connections!$A1148="","",IFERROR(INDEX(games!$B$2:$B$950,MATCH(connections!$A1148,games!$A$2:$A$950,0)),""))</f>
        <v/>
      </c>
      <c r="U1148">
        <f>IF(connections!$A1148="","",IFERROR(INDEX(games!$B$2:$B$950,MATCH(connections!$B1148,games!$A$2:$A$950,0)),""))</f>
        <v/>
      </c>
      <c r="V1148">
        <f>IF(OR($T1148="",$U1148=""),"",$U1148-$T1148)</f>
        <v/>
      </c>
    </row>
    <row r="1149">
      <c r="T1149">
        <f>IF(connections!$A1149="","",IFERROR(INDEX(games!$B$2:$B$950,MATCH(connections!$A1149,games!$A$2:$A$950,0)),""))</f>
        <v/>
      </c>
      <c r="U1149">
        <f>IF(connections!$A1149="","",IFERROR(INDEX(games!$B$2:$B$950,MATCH(connections!$B1149,games!$A$2:$A$950,0)),""))</f>
        <v/>
      </c>
      <c r="V1149">
        <f>IF(OR($T1149="",$U1149=""),"",$U1149-$T1149)</f>
        <v/>
      </c>
    </row>
    <row r="1150">
      <c r="T1150">
        <f>IF(connections!$A1150="","",IFERROR(INDEX(games!$B$2:$B$950,MATCH(connections!$A1150,games!$A$2:$A$950,0)),""))</f>
        <v/>
      </c>
      <c r="U1150">
        <f>IF(connections!$A1150="","",IFERROR(INDEX(games!$B$2:$B$950,MATCH(connections!$B1150,games!$A$2:$A$950,0)),""))</f>
        <v/>
      </c>
      <c r="V1150">
        <f>IF(OR($T1150="",$U1150=""),"",$U1150-$T1150)</f>
        <v/>
      </c>
    </row>
    <row r="1151">
      <c r="T1151">
        <f>IF(connections!$A1151="","",IFERROR(INDEX(games!$B$2:$B$950,MATCH(connections!$A1151,games!$A$2:$A$950,0)),""))</f>
        <v/>
      </c>
      <c r="U1151">
        <f>IF(connections!$A1151="","",IFERROR(INDEX(games!$B$2:$B$950,MATCH(connections!$B1151,games!$A$2:$A$950,0)),""))</f>
        <v/>
      </c>
      <c r="V1151">
        <f>IF(OR($T1151="",$U1151=""),"",$U1151-$T1151)</f>
        <v/>
      </c>
    </row>
    <row r="1152">
      <c r="T1152">
        <f>IF(connections!$A1152="","",IFERROR(INDEX(games!$B$2:$B$950,MATCH(connections!$A1152,games!$A$2:$A$950,0)),""))</f>
        <v/>
      </c>
      <c r="U1152">
        <f>IF(connections!$A1152="","",IFERROR(INDEX(games!$B$2:$B$950,MATCH(connections!$B1152,games!$A$2:$A$950,0)),""))</f>
        <v/>
      </c>
      <c r="V1152">
        <f>IF(OR($T1152="",$U1152=""),"",$U1152-$T1152)</f>
        <v/>
      </c>
    </row>
    <row r="1153">
      <c r="T1153">
        <f>IF(connections!$A1153="","",IFERROR(INDEX(games!$B$2:$B$950,MATCH(connections!$A1153,games!$A$2:$A$950,0)),""))</f>
        <v/>
      </c>
      <c r="U1153">
        <f>IF(connections!$A1153="","",IFERROR(INDEX(games!$B$2:$B$950,MATCH(connections!$B1153,games!$A$2:$A$950,0)),""))</f>
        <v/>
      </c>
      <c r="V1153">
        <f>IF(OR($T1153="",$U1153=""),"",$U1153-$T1153)</f>
        <v/>
      </c>
    </row>
    <row r="1154">
      <c r="T1154">
        <f>IF(connections!$A1154="","",IFERROR(INDEX(games!$B$2:$B$950,MATCH(connections!$A1154,games!$A$2:$A$950,0)),""))</f>
        <v/>
      </c>
      <c r="U1154">
        <f>IF(connections!$A1154="","",IFERROR(INDEX(games!$B$2:$B$950,MATCH(connections!$B1154,games!$A$2:$A$950,0)),""))</f>
        <v/>
      </c>
      <c r="V1154">
        <f>IF(OR($T1154="",$U1154=""),"",$U1154-$T1154)</f>
        <v/>
      </c>
    </row>
    <row r="1155">
      <c r="T1155">
        <f>IF(connections!$A1155="","",IFERROR(INDEX(games!$B$2:$B$950,MATCH(connections!$A1155,games!$A$2:$A$950,0)),""))</f>
        <v/>
      </c>
      <c r="U1155">
        <f>IF(connections!$A1155="","",IFERROR(INDEX(games!$B$2:$B$950,MATCH(connections!$B1155,games!$A$2:$A$950,0)),""))</f>
        <v/>
      </c>
      <c r="V1155">
        <f>IF(OR($T1155="",$U1155=""),"",$U1155-$T1155)</f>
        <v/>
      </c>
    </row>
    <row r="1156">
      <c r="T1156">
        <f>IF(connections!$A1156="","",IFERROR(INDEX(games!$B$2:$B$950,MATCH(connections!$A1156,games!$A$2:$A$950,0)),""))</f>
        <v/>
      </c>
      <c r="U1156">
        <f>IF(connections!$A1156="","",IFERROR(INDEX(games!$B$2:$B$950,MATCH(connections!$B1156,games!$A$2:$A$950,0)),""))</f>
        <v/>
      </c>
      <c r="V1156">
        <f>IF(OR($T1156="",$U1156=""),"",$U1156-$T1156)</f>
        <v/>
      </c>
    </row>
    <row r="1157">
      <c r="T1157">
        <f>IF(connections!$A1157="","",IFERROR(INDEX(games!$B$2:$B$950,MATCH(connections!$A1157,games!$A$2:$A$950,0)),""))</f>
        <v/>
      </c>
      <c r="U1157">
        <f>IF(connections!$A1157="","",IFERROR(INDEX(games!$B$2:$B$950,MATCH(connections!$B1157,games!$A$2:$A$950,0)),""))</f>
        <v/>
      </c>
      <c r="V1157">
        <f>IF(OR($T1157="",$U1157=""),"",$U1157-$T1157)</f>
        <v/>
      </c>
    </row>
    <row r="1158">
      <c r="T1158">
        <f>IF(connections!$A1158="","",IFERROR(INDEX(games!$B$2:$B$950,MATCH(connections!$A1158,games!$A$2:$A$950,0)),""))</f>
        <v/>
      </c>
      <c r="U1158">
        <f>IF(connections!$A1158="","",IFERROR(INDEX(games!$B$2:$B$950,MATCH(connections!$B1158,games!$A$2:$A$950,0)),""))</f>
        <v/>
      </c>
      <c r="V1158">
        <f>IF(OR($T1158="",$U1158=""),"",$U1158-$T1158)</f>
        <v/>
      </c>
    </row>
    <row r="1159">
      <c r="T1159">
        <f>IF(connections!$A1159="","",IFERROR(INDEX(games!$B$2:$B$950,MATCH(connections!$A1159,games!$A$2:$A$950,0)),""))</f>
        <v/>
      </c>
      <c r="U1159">
        <f>IF(connections!$A1159="","",IFERROR(INDEX(games!$B$2:$B$950,MATCH(connections!$B1159,games!$A$2:$A$950,0)),""))</f>
        <v/>
      </c>
      <c r="V1159">
        <f>IF(OR($T1159="",$U1159=""),"",$U1159-$T1159)</f>
        <v/>
      </c>
    </row>
    <row r="1160">
      <c r="T1160">
        <f>IF(connections!$A1160="","",IFERROR(INDEX(games!$B$2:$B$950,MATCH(connections!$A1160,games!$A$2:$A$950,0)),""))</f>
        <v/>
      </c>
      <c r="U1160">
        <f>IF(connections!$A1160="","",IFERROR(INDEX(games!$B$2:$B$950,MATCH(connections!$B1160,games!$A$2:$A$950,0)),""))</f>
        <v/>
      </c>
      <c r="V1160">
        <f>IF(OR($T1160="",$U1160=""),"",$U1160-$T1160)</f>
        <v/>
      </c>
    </row>
    <row r="1161">
      <c r="T1161">
        <f>IF(connections!$A1161="","",IFERROR(INDEX(games!$B$2:$B$950,MATCH(connections!$A1161,games!$A$2:$A$950,0)),""))</f>
        <v/>
      </c>
      <c r="U1161">
        <f>IF(connections!$A1161="","",IFERROR(INDEX(games!$B$2:$B$950,MATCH(connections!$B1161,games!$A$2:$A$950,0)),""))</f>
        <v/>
      </c>
      <c r="V1161">
        <f>IF(OR($T1161="",$U1161=""),"",$U1161-$T1161)</f>
        <v/>
      </c>
    </row>
    <row r="1162">
      <c r="T1162">
        <f>IF(connections!$A1162="","",IFERROR(INDEX(games!$B$2:$B$950,MATCH(connections!$A1162,games!$A$2:$A$950,0)),""))</f>
        <v/>
      </c>
      <c r="U1162">
        <f>IF(connections!$A1162="","",IFERROR(INDEX(games!$B$2:$B$950,MATCH(connections!$B1162,games!$A$2:$A$950,0)),""))</f>
        <v/>
      </c>
      <c r="V1162">
        <f>IF(OR($T1162="",$U1162=""),"",$U1162-$T1162)</f>
        <v/>
      </c>
    </row>
    <row r="1163">
      <c r="T1163">
        <f>IF(connections!$A1163="","",IFERROR(INDEX(games!$B$2:$B$950,MATCH(connections!$A1163,games!$A$2:$A$950,0)),""))</f>
        <v/>
      </c>
      <c r="U1163">
        <f>IF(connections!$A1163="","",IFERROR(INDEX(games!$B$2:$B$950,MATCH(connections!$B1163,games!$A$2:$A$950,0)),""))</f>
        <v/>
      </c>
      <c r="V1163">
        <f>IF(OR($T1163="",$U1163=""),"",$U1163-$T1163)</f>
        <v/>
      </c>
    </row>
    <row r="1164">
      <c r="T1164">
        <f>IF(connections!$A1164="","",IFERROR(INDEX(games!$B$2:$B$950,MATCH(connections!$A1164,games!$A$2:$A$950,0)),""))</f>
        <v/>
      </c>
      <c r="U1164">
        <f>IF(connections!$A1164="","",IFERROR(INDEX(games!$B$2:$B$950,MATCH(connections!$B1164,games!$A$2:$A$950,0)),""))</f>
        <v/>
      </c>
      <c r="V1164">
        <f>IF(OR($T1164="",$U1164=""),"",$U1164-$T1164)</f>
        <v/>
      </c>
    </row>
    <row r="1165">
      <c r="T1165">
        <f>IF(connections!$A1165="","",IFERROR(INDEX(games!$B$2:$B$950,MATCH(connections!$A1165,games!$A$2:$A$950,0)),""))</f>
        <v/>
      </c>
      <c r="U1165">
        <f>IF(connections!$A1165="","",IFERROR(INDEX(games!$B$2:$B$950,MATCH(connections!$B1165,games!$A$2:$A$950,0)),""))</f>
        <v/>
      </c>
      <c r="V1165">
        <f>IF(OR($T1165="",$U1165=""),"",$U1165-$T1165)</f>
        <v/>
      </c>
    </row>
    <row r="1166">
      <c r="T1166">
        <f>IF(connections!$A1166="","",IFERROR(INDEX(games!$B$2:$B$950,MATCH(connections!$A1166,games!$A$2:$A$950,0)),""))</f>
        <v/>
      </c>
      <c r="U1166">
        <f>IF(connections!$A1166="","",IFERROR(INDEX(games!$B$2:$B$950,MATCH(connections!$B1166,games!$A$2:$A$950,0)),""))</f>
        <v/>
      </c>
      <c r="V1166">
        <f>IF(OR($T1166="",$U1166=""),"",$U1166-$T1166)</f>
        <v/>
      </c>
    </row>
    <row r="1167">
      <c r="T1167">
        <f>IF(connections!$A1167="","",IFERROR(INDEX(games!$B$2:$B$950,MATCH(connections!$A1167,games!$A$2:$A$950,0)),""))</f>
        <v/>
      </c>
      <c r="U1167">
        <f>IF(connections!$A1167="","",IFERROR(INDEX(games!$B$2:$B$950,MATCH(connections!$B1167,games!$A$2:$A$950,0)),""))</f>
        <v/>
      </c>
      <c r="V1167">
        <f>IF(OR($T1167="",$U1167=""),"",$U1167-$T1167)</f>
        <v/>
      </c>
    </row>
    <row r="1168">
      <c r="T1168">
        <f>IF(connections!$A1168="","",IFERROR(INDEX(games!$B$2:$B$950,MATCH(connections!$A1168,games!$A$2:$A$950,0)),""))</f>
        <v/>
      </c>
      <c r="U1168">
        <f>IF(connections!$A1168="","",IFERROR(INDEX(games!$B$2:$B$950,MATCH(connections!$B1168,games!$A$2:$A$950,0)),""))</f>
        <v/>
      </c>
      <c r="V1168">
        <f>IF(OR($T1168="",$U1168=""),"",$U1168-$T1168)</f>
        <v/>
      </c>
    </row>
    <row r="1169">
      <c r="T1169">
        <f>IF(connections!$A1169="","",IFERROR(INDEX(games!$B$2:$B$950,MATCH(connections!$A1169,games!$A$2:$A$950,0)),""))</f>
        <v/>
      </c>
      <c r="U1169">
        <f>IF(connections!$A1169="","",IFERROR(INDEX(games!$B$2:$B$950,MATCH(connections!$B1169,games!$A$2:$A$950,0)),""))</f>
        <v/>
      </c>
      <c r="V1169">
        <f>IF(OR($T1169="",$U1169=""),"",$U1169-$T1169)</f>
        <v/>
      </c>
    </row>
    <row r="1170">
      <c r="T1170">
        <f>IF(connections!$A1170="","",IFERROR(INDEX(games!$B$2:$B$950,MATCH(connections!$A1170,games!$A$2:$A$950,0)),""))</f>
        <v/>
      </c>
      <c r="U1170">
        <f>IF(connections!$A1170="","",IFERROR(INDEX(games!$B$2:$B$950,MATCH(connections!$B1170,games!$A$2:$A$950,0)),""))</f>
        <v/>
      </c>
      <c r="V1170">
        <f>IF(OR($T1170="",$U1170=""),"",$U1170-$T1170)</f>
        <v/>
      </c>
    </row>
    <row r="1171">
      <c r="T1171">
        <f>IF(connections!$A1171="","",IFERROR(INDEX(games!$B$2:$B$950,MATCH(connections!$A1171,games!$A$2:$A$950,0)),""))</f>
        <v/>
      </c>
      <c r="U1171">
        <f>IF(connections!$A1171="","",IFERROR(INDEX(games!$B$2:$B$950,MATCH(connections!$B1171,games!$A$2:$A$950,0)),""))</f>
        <v/>
      </c>
      <c r="V1171">
        <f>IF(OR($T1171="",$U1171=""),"",$U1171-$T1171)</f>
        <v/>
      </c>
    </row>
    <row r="1172">
      <c r="T1172">
        <f>IF(connections!$A1172="","",IFERROR(INDEX(games!$B$2:$B$950,MATCH(connections!$A1172,games!$A$2:$A$950,0)),""))</f>
        <v/>
      </c>
      <c r="U1172">
        <f>IF(connections!$A1172="","",IFERROR(INDEX(games!$B$2:$B$950,MATCH(connections!$B1172,games!$A$2:$A$950,0)),""))</f>
        <v/>
      </c>
      <c r="V1172">
        <f>IF(OR($T1172="",$U1172=""),"",$U1172-$T1172)</f>
        <v/>
      </c>
    </row>
    <row r="1173">
      <c r="T1173">
        <f>IF(connections!$A1173="","",IFERROR(INDEX(games!$B$2:$B$950,MATCH(connections!$A1173,games!$A$2:$A$950,0)),""))</f>
        <v/>
      </c>
      <c r="U1173">
        <f>IF(connections!$A1173="","",IFERROR(INDEX(games!$B$2:$B$950,MATCH(connections!$B1173,games!$A$2:$A$950,0)),""))</f>
        <v/>
      </c>
      <c r="V1173">
        <f>IF(OR($T1173="",$U1173=""),"",$U1173-$T1173)</f>
        <v/>
      </c>
    </row>
    <row r="1174">
      <c r="T1174">
        <f>IF(connections!$A1174="","",IFERROR(INDEX(games!$B$2:$B$950,MATCH(connections!$A1174,games!$A$2:$A$950,0)),""))</f>
        <v/>
      </c>
      <c r="U1174">
        <f>IF(connections!$A1174="","",IFERROR(INDEX(games!$B$2:$B$950,MATCH(connections!$B1174,games!$A$2:$A$950,0)),""))</f>
        <v/>
      </c>
      <c r="V1174">
        <f>IF(OR($T1174="",$U1174=""),"",$U1174-$T1174)</f>
        <v/>
      </c>
    </row>
    <row r="1175">
      <c r="T1175">
        <f>IF(connections!$A1175="","",IFERROR(INDEX(games!$B$2:$B$950,MATCH(connections!$A1175,games!$A$2:$A$950,0)),""))</f>
        <v/>
      </c>
      <c r="U1175">
        <f>IF(connections!$A1175="","",IFERROR(INDEX(games!$B$2:$B$950,MATCH(connections!$B1175,games!$A$2:$A$950,0)),""))</f>
        <v/>
      </c>
      <c r="V1175">
        <f>IF(OR($T1175="",$U1175=""),"",$U1175-$T1175)</f>
        <v/>
      </c>
    </row>
    <row r="1176">
      <c r="T1176">
        <f>IF(connections!$A1176="","",IFERROR(INDEX(games!$B$2:$B$950,MATCH(connections!$A1176,games!$A$2:$A$950,0)),""))</f>
        <v/>
      </c>
      <c r="U1176">
        <f>IF(connections!$A1176="","",IFERROR(INDEX(games!$B$2:$B$950,MATCH(connections!$B1176,games!$A$2:$A$950,0)),""))</f>
        <v/>
      </c>
      <c r="V1176">
        <f>IF(OR($T1176="",$U1176=""),"",$U1176-$T1176)</f>
        <v/>
      </c>
    </row>
    <row r="1177">
      <c r="T1177">
        <f>IF(connections!$A1177="","",IFERROR(INDEX(games!$B$2:$B$950,MATCH(connections!$A1177,games!$A$2:$A$950,0)),""))</f>
        <v/>
      </c>
      <c r="U1177">
        <f>IF(connections!$A1177="","",IFERROR(INDEX(games!$B$2:$B$950,MATCH(connections!$B1177,games!$A$2:$A$950,0)),""))</f>
        <v/>
      </c>
      <c r="V1177">
        <f>IF(OR($T1177="",$U1177=""),"",$U1177-$T1177)</f>
        <v/>
      </c>
    </row>
    <row r="1178">
      <c r="T1178">
        <f>IF(connections!$A1178="","",IFERROR(INDEX(games!$B$2:$B$950,MATCH(connections!$A1178,games!$A$2:$A$950,0)),""))</f>
        <v/>
      </c>
      <c r="U1178">
        <f>IF(connections!$A1178="","",IFERROR(INDEX(games!$B$2:$B$950,MATCH(connections!$B1178,games!$A$2:$A$950,0)),""))</f>
        <v/>
      </c>
      <c r="V1178">
        <f>IF(OR($T1178="",$U1178=""),"",$U1178-$T1178)</f>
        <v/>
      </c>
    </row>
    <row r="1179">
      <c r="T1179">
        <f>IF(connections!$A1179="","",IFERROR(INDEX(games!$B$2:$B$950,MATCH(connections!$A1179,games!$A$2:$A$950,0)),""))</f>
        <v/>
      </c>
      <c r="U1179">
        <f>IF(connections!$A1179="","",IFERROR(INDEX(games!$B$2:$B$950,MATCH(connections!$B1179,games!$A$2:$A$950,0)),""))</f>
        <v/>
      </c>
      <c r="V1179">
        <f>IF(OR($T1179="",$U1179=""),"",$U1179-$T1179)</f>
        <v/>
      </c>
    </row>
    <row r="1180">
      <c r="T1180">
        <f>IF(connections!$A1180="","",IFERROR(INDEX(games!$B$2:$B$950,MATCH(connections!$A1180,games!$A$2:$A$950,0)),""))</f>
        <v/>
      </c>
      <c r="U1180">
        <f>IF(connections!$A1180="","",IFERROR(INDEX(games!$B$2:$B$950,MATCH(connections!$B1180,games!$A$2:$A$950,0)),""))</f>
        <v/>
      </c>
      <c r="V1180">
        <f>IF(OR($T1180="",$U1180=""),"",$U1180-$T1180)</f>
        <v/>
      </c>
    </row>
    <row r="1181">
      <c r="T1181">
        <f>IF(connections!$A1181="","",IFERROR(INDEX(games!$B$2:$B$950,MATCH(connections!$A1181,games!$A$2:$A$950,0)),""))</f>
        <v/>
      </c>
      <c r="U1181">
        <f>IF(connections!$A1181="","",IFERROR(INDEX(games!$B$2:$B$950,MATCH(connections!$B1181,games!$A$2:$A$950,0)),""))</f>
        <v/>
      </c>
      <c r="V1181">
        <f>IF(OR($T1181="",$U1181=""),"",$U1181-$T1181)</f>
        <v/>
      </c>
    </row>
    <row r="1182">
      <c r="T1182">
        <f>IF(connections!$A1182="","",IFERROR(INDEX(games!$B$2:$B$950,MATCH(connections!$A1182,games!$A$2:$A$950,0)),""))</f>
        <v/>
      </c>
      <c r="U1182">
        <f>IF(connections!$A1182="","",IFERROR(INDEX(games!$B$2:$B$950,MATCH(connections!$B1182,games!$A$2:$A$950,0)),""))</f>
        <v/>
      </c>
      <c r="V1182">
        <f>IF(OR($T1182="",$U1182=""),"",$U1182-$T1182)</f>
        <v/>
      </c>
    </row>
    <row r="1183">
      <c r="T1183">
        <f>IF(connections!$A1183="","",IFERROR(INDEX(games!$B$2:$B$950,MATCH(connections!$A1183,games!$A$2:$A$950,0)),""))</f>
        <v/>
      </c>
      <c r="U1183">
        <f>IF(connections!$A1183="","",IFERROR(INDEX(games!$B$2:$B$950,MATCH(connections!$B1183,games!$A$2:$A$950,0)),""))</f>
        <v/>
      </c>
      <c r="V1183">
        <f>IF(OR($T1183="",$U1183=""),"",$U1183-$T1183)</f>
        <v/>
      </c>
    </row>
    <row r="1184">
      <c r="T1184">
        <f>IF(connections!$A1184="","",IFERROR(INDEX(games!$B$2:$B$950,MATCH(connections!$A1184,games!$A$2:$A$950,0)),""))</f>
        <v/>
      </c>
      <c r="U1184">
        <f>IF(connections!$A1184="","",IFERROR(INDEX(games!$B$2:$B$950,MATCH(connections!$B1184,games!$A$2:$A$950,0)),""))</f>
        <v/>
      </c>
      <c r="V1184">
        <f>IF(OR($T1184="",$U1184=""),"",$U1184-$T1184)</f>
        <v/>
      </c>
    </row>
    <row r="1185">
      <c r="T1185">
        <f>IF(connections!$A1185="","",IFERROR(INDEX(games!$B$2:$B$950,MATCH(connections!$A1185,games!$A$2:$A$950,0)),""))</f>
        <v/>
      </c>
      <c r="U1185">
        <f>IF(connections!$A1185="","",IFERROR(INDEX(games!$B$2:$B$950,MATCH(connections!$B1185,games!$A$2:$A$950,0)),""))</f>
        <v/>
      </c>
      <c r="V1185">
        <f>IF(OR($T1185="",$U1185=""),"",$U1185-$T1185)</f>
        <v/>
      </c>
    </row>
    <row r="1186">
      <c r="T1186">
        <f>IF(connections!$A1186="","",IFERROR(INDEX(games!$B$2:$B$950,MATCH(connections!$A1186,games!$A$2:$A$950,0)),""))</f>
        <v/>
      </c>
      <c r="U1186">
        <f>IF(connections!$A1186="","",IFERROR(INDEX(games!$B$2:$B$950,MATCH(connections!$B1186,games!$A$2:$A$950,0)),""))</f>
        <v/>
      </c>
      <c r="V1186">
        <f>IF(OR($T1186="",$U1186=""),"",$U1186-$T1186)</f>
        <v/>
      </c>
    </row>
    <row r="1187">
      <c r="T1187">
        <f>IF(connections!$A1187="","",IFERROR(INDEX(games!$B$2:$B$950,MATCH(connections!$A1187,games!$A$2:$A$950,0)),""))</f>
        <v/>
      </c>
      <c r="U1187">
        <f>IF(connections!$A1187="","",IFERROR(INDEX(games!$B$2:$B$950,MATCH(connections!$B1187,games!$A$2:$A$950,0)),""))</f>
        <v/>
      </c>
      <c r="V1187">
        <f>IF(OR($T1187="",$U1187=""),"",$U1187-$T1187)</f>
        <v/>
      </c>
    </row>
    <row r="1188">
      <c r="T1188">
        <f>IF(connections!$A1188="","",IFERROR(INDEX(games!$B$2:$B$950,MATCH(connections!$A1188,games!$A$2:$A$950,0)),""))</f>
        <v/>
      </c>
      <c r="U1188">
        <f>IF(connections!$A1188="","",IFERROR(INDEX(games!$B$2:$B$950,MATCH(connections!$B1188,games!$A$2:$A$950,0)),""))</f>
        <v/>
      </c>
      <c r="V1188">
        <f>IF(OR($T1188="",$U1188=""),"",$U1188-$T1188)</f>
        <v/>
      </c>
    </row>
    <row r="1189">
      <c r="T1189">
        <f>IF(connections!$A1189="","",IFERROR(INDEX(games!$B$2:$B$950,MATCH(connections!$A1189,games!$A$2:$A$950,0)),""))</f>
        <v/>
      </c>
      <c r="U1189">
        <f>IF(connections!$A1189="","",IFERROR(INDEX(games!$B$2:$B$950,MATCH(connections!$B1189,games!$A$2:$A$950,0)),""))</f>
        <v/>
      </c>
      <c r="V1189">
        <f>IF(OR($T1189="",$U1189=""),"",$U1189-$T1189)</f>
        <v/>
      </c>
    </row>
    <row r="1190">
      <c r="T1190">
        <f>IF(connections!$A1190="","",IFERROR(INDEX(games!$B$2:$B$950,MATCH(connections!$A1190,games!$A$2:$A$950,0)),""))</f>
        <v/>
      </c>
      <c r="U1190">
        <f>IF(connections!$A1190="","",IFERROR(INDEX(games!$B$2:$B$950,MATCH(connections!$B1190,games!$A$2:$A$950,0)),""))</f>
        <v/>
      </c>
      <c r="V1190">
        <f>IF(OR($T1190="",$U1190=""),"",$U1190-$T1190)</f>
        <v/>
      </c>
    </row>
    <row r="1191">
      <c r="T1191">
        <f>IF(connections!$A1191="","",IFERROR(INDEX(games!$B$2:$B$950,MATCH(connections!$A1191,games!$A$2:$A$950,0)),""))</f>
        <v/>
      </c>
      <c r="U1191">
        <f>IF(connections!$A1191="","",IFERROR(INDEX(games!$B$2:$B$950,MATCH(connections!$B1191,games!$A$2:$A$950,0)),""))</f>
        <v/>
      </c>
      <c r="V1191">
        <f>IF(OR($T1191="",$U1191=""),"",$U1191-$T1191)</f>
        <v/>
      </c>
    </row>
    <row r="1192">
      <c r="T1192">
        <f>IF(connections!$A1192="","",IFERROR(INDEX(games!$B$2:$B$950,MATCH(connections!$A1192,games!$A$2:$A$950,0)),""))</f>
        <v/>
      </c>
      <c r="U1192">
        <f>IF(connections!$A1192="","",IFERROR(INDEX(games!$B$2:$B$950,MATCH(connections!$B1192,games!$A$2:$A$950,0)),""))</f>
        <v/>
      </c>
      <c r="V1192">
        <f>IF(OR($T1192="",$U1192=""),"",$U1192-$T1192)</f>
        <v/>
      </c>
    </row>
    <row r="1193">
      <c r="T1193">
        <f>IF(connections!$A1193="","",IFERROR(INDEX(games!$B$2:$B$950,MATCH(connections!$A1193,games!$A$2:$A$950,0)),""))</f>
        <v/>
      </c>
      <c r="U1193">
        <f>IF(connections!$A1193="","",IFERROR(INDEX(games!$B$2:$B$950,MATCH(connections!$B1193,games!$A$2:$A$950,0)),""))</f>
        <v/>
      </c>
      <c r="V1193">
        <f>IF(OR($T1193="",$U1193=""),"",$U1193-$T1193)</f>
        <v/>
      </c>
    </row>
    <row r="1194">
      <c r="T1194">
        <f>IF(connections!$A1194="","",IFERROR(INDEX(games!$B$2:$B$950,MATCH(connections!$A1194,games!$A$2:$A$950,0)),""))</f>
        <v/>
      </c>
      <c r="U1194">
        <f>IF(connections!$A1194="","",IFERROR(INDEX(games!$B$2:$B$950,MATCH(connections!$B1194,games!$A$2:$A$950,0)),""))</f>
        <v/>
      </c>
      <c r="V1194">
        <f>IF(OR($T1194="",$U1194=""),"",$U1194-$T1194)</f>
        <v/>
      </c>
    </row>
    <row r="1195">
      <c r="T1195">
        <f>IF(connections!$A1195="","",IFERROR(INDEX(games!$B$2:$B$950,MATCH(connections!$A1195,games!$A$2:$A$950,0)),""))</f>
        <v/>
      </c>
      <c r="U1195">
        <f>IF(connections!$A1195="","",IFERROR(INDEX(games!$B$2:$B$950,MATCH(connections!$B1195,games!$A$2:$A$950,0)),""))</f>
        <v/>
      </c>
      <c r="V1195">
        <f>IF(OR($T1195="",$U1195=""),"",$U1195-$T1195)</f>
        <v/>
      </c>
    </row>
    <row r="1196">
      <c r="T1196">
        <f>IF(connections!$A1196="","",IFERROR(INDEX(games!$B$2:$B$950,MATCH(connections!$A1196,games!$A$2:$A$950,0)),""))</f>
        <v/>
      </c>
      <c r="U1196">
        <f>IF(connections!$A1196="","",IFERROR(INDEX(games!$B$2:$B$950,MATCH(connections!$B1196,games!$A$2:$A$950,0)),""))</f>
        <v/>
      </c>
      <c r="V1196">
        <f>IF(OR($T1196="",$U1196=""),"",$U1196-$T1196)</f>
        <v/>
      </c>
    </row>
    <row r="1197">
      <c r="T1197">
        <f>IF(connections!$A1197="","",IFERROR(INDEX(games!$B$2:$B$950,MATCH(connections!$A1197,games!$A$2:$A$950,0)),""))</f>
        <v/>
      </c>
      <c r="U1197">
        <f>IF(connections!$A1197="","",IFERROR(INDEX(games!$B$2:$B$950,MATCH(connections!$B1197,games!$A$2:$A$950,0)),""))</f>
        <v/>
      </c>
      <c r="V1197">
        <f>IF(OR($T1197="",$U1197=""),"",$U1197-$T1197)</f>
        <v/>
      </c>
    </row>
    <row r="1198">
      <c r="T1198">
        <f>IF(connections!$A1198="","",IFERROR(INDEX(games!$B$2:$B$950,MATCH(connections!$A1198,games!$A$2:$A$950,0)),""))</f>
        <v/>
      </c>
      <c r="U1198">
        <f>IF(connections!$A1198="","",IFERROR(INDEX(games!$B$2:$B$950,MATCH(connections!$B1198,games!$A$2:$A$950,0)),""))</f>
        <v/>
      </c>
      <c r="V1198">
        <f>IF(OR($T1198="",$U1198=""),"",$U1198-$T1198)</f>
        <v/>
      </c>
    </row>
    <row r="1199">
      <c r="T1199">
        <f>IF(connections!$A1199="","",IFERROR(INDEX(games!$B$2:$B$950,MATCH(connections!$A1199,games!$A$2:$A$950,0)),""))</f>
        <v/>
      </c>
      <c r="U1199">
        <f>IF(connections!$A1199="","",IFERROR(INDEX(games!$B$2:$B$950,MATCH(connections!$B1199,games!$A$2:$A$950,0)),""))</f>
        <v/>
      </c>
      <c r="V1199">
        <f>IF(OR($T1199="",$U1199=""),"",$U1199-$T1199)</f>
        <v/>
      </c>
    </row>
    <row r="1200">
      <c r="T1200">
        <f>IF(connections!$A1200="","",IFERROR(INDEX(games!$B$2:$B$950,MATCH(connections!$A1200,games!$A$2:$A$950,0)),""))</f>
        <v/>
      </c>
      <c r="U1200">
        <f>IF(connections!$A1200="","",IFERROR(INDEX(games!$B$2:$B$950,MATCH(connections!$B1200,games!$A$2:$A$950,0)),""))</f>
        <v/>
      </c>
      <c r="V1200">
        <f>IF(OR($T1200="",$U1200=""),"",$U1200-$T1200)</f>
        <v/>
      </c>
    </row>
    <row r="1201">
      <c r="T1201">
        <f>IF(connections!$A1201="","",IFERROR(INDEX(games!$B$2:$B$950,MATCH(connections!$A1201,games!$A$2:$A$950,0)),""))</f>
        <v/>
      </c>
      <c r="U1201">
        <f>IF(connections!$A1201="","",IFERROR(INDEX(games!$B$2:$B$950,MATCH(connections!$B1201,games!$A$2:$A$950,0)),""))</f>
        <v/>
      </c>
      <c r="V1201">
        <f>IF(OR($T1201="",$U1201=""),"",$U1201-$T1201)</f>
        <v/>
      </c>
    </row>
    <row r="1202">
      <c r="T1202">
        <f>IF(connections!$A1202="","",IFERROR(INDEX(games!$B$2:$B$950,MATCH(connections!$A1202,games!$A$2:$A$950,0)),""))</f>
        <v/>
      </c>
      <c r="U1202">
        <f>IF(connections!$A1202="","",IFERROR(INDEX(games!$B$2:$B$950,MATCH(connections!$B1202,games!$A$2:$A$950,0)),""))</f>
        <v/>
      </c>
      <c r="V1202">
        <f>IF(OR($T1202="",$U1202=""),"",$U1202-$T1202)</f>
        <v/>
      </c>
    </row>
    <row r="1203">
      <c r="T1203">
        <f>IF(connections!$A1203="","",IFERROR(INDEX(games!$B$2:$B$950,MATCH(connections!$A1203,games!$A$2:$A$950,0)),""))</f>
        <v/>
      </c>
      <c r="U1203">
        <f>IF(connections!$A1203="","",IFERROR(INDEX(games!$B$2:$B$950,MATCH(connections!$B1203,games!$A$2:$A$950,0)),""))</f>
        <v/>
      </c>
      <c r="V1203">
        <f>IF(OR($T1203="",$U1203=""),"",$U1203-$T1203)</f>
        <v/>
      </c>
    </row>
    <row r="1204">
      <c r="T1204">
        <f>IF(connections!$A1204="","",IFERROR(INDEX(games!$B$2:$B$950,MATCH(connections!$A1204,games!$A$2:$A$950,0)),""))</f>
        <v/>
      </c>
      <c r="U1204">
        <f>IF(connections!$A1204="","",IFERROR(INDEX(games!$B$2:$B$950,MATCH(connections!$B1204,games!$A$2:$A$950,0)),""))</f>
        <v/>
      </c>
      <c r="V1204">
        <f>IF(OR($T1204="",$U1204=""),"",$U1204-$T1204)</f>
        <v/>
      </c>
    </row>
    <row r="1205">
      <c r="T1205">
        <f>IF(connections!$A1205="","",IFERROR(INDEX(games!$B$2:$B$950,MATCH(connections!$A1205,games!$A$2:$A$950,0)),""))</f>
        <v/>
      </c>
      <c r="U1205">
        <f>IF(connections!$A1205="","",IFERROR(INDEX(games!$B$2:$B$950,MATCH(connections!$B1205,games!$A$2:$A$950,0)),""))</f>
        <v/>
      </c>
      <c r="V1205">
        <f>IF(OR($T1205="",$U1205=""),"",$U1205-$T1205)</f>
        <v/>
      </c>
    </row>
    <row r="1206">
      <c r="T1206">
        <f>IF(connections!$A1206="","",IFERROR(INDEX(games!$B$2:$B$950,MATCH(connections!$A1206,games!$A$2:$A$950,0)),""))</f>
        <v/>
      </c>
      <c r="U1206">
        <f>IF(connections!$A1206="","",IFERROR(INDEX(games!$B$2:$B$950,MATCH(connections!$B1206,games!$A$2:$A$950,0)),""))</f>
        <v/>
      </c>
      <c r="V1206">
        <f>IF(OR($T1206="",$U1206=""),"",$U1206-$T1206)</f>
        <v/>
      </c>
    </row>
    <row r="1207">
      <c r="T1207">
        <f>IF(connections!$A1207="","",IFERROR(INDEX(games!$B$2:$B$950,MATCH(connections!$A1207,games!$A$2:$A$950,0)),""))</f>
        <v/>
      </c>
      <c r="U1207">
        <f>IF(connections!$A1207="","",IFERROR(INDEX(games!$B$2:$B$950,MATCH(connections!$B1207,games!$A$2:$A$950,0)),""))</f>
        <v/>
      </c>
      <c r="V1207">
        <f>IF(OR($T1207="",$U1207=""),"",$U1207-$T1207)</f>
        <v/>
      </c>
    </row>
    <row r="1208">
      <c r="T1208">
        <f>IF(connections!$A1208="","",IFERROR(INDEX(games!$B$2:$B$950,MATCH(connections!$A1208,games!$A$2:$A$950,0)),""))</f>
        <v/>
      </c>
      <c r="U1208">
        <f>IF(connections!$A1208="","",IFERROR(INDEX(games!$B$2:$B$950,MATCH(connections!$B1208,games!$A$2:$A$950,0)),""))</f>
        <v/>
      </c>
      <c r="V1208">
        <f>IF(OR($T1208="",$U1208=""),"",$U1208-$T1208)</f>
        <v/>
      </c>
    </row>
    <row r="1209">
      <c r="T1209">
        <f>IF(connections!$A1209="","",IFERROR(INDEX(games!$B$2:$B$950,MATCH(connections!$A1209,games!$A$2:$A$950,0)),""))</f>
        <v/>
      </c>
      <c r="U1209">
        <f>IF(connections!$A1209="","",IFERROR(INDEX(games!$B$2:$B$950,MATCH(connections!$B1209,games!$A$2:$A$950,0)),""))</f>
        <v/>
      </c>
      <c r="V1209">
        <f>IF(OR($T1209="",$U1209=""),"",$U1209-$T1209)</f>
        <v/>
      </c>
    </row>
    <row r="1210">
      <c r="T1210">
        <f>IF(connections!$A1210="","",IFERROR(INDEX(games!$B$2:$B$950,MATCH(connections!$A1210,games!$A$2:$A$950,0)),""))</f>
        <v/>
      </c>
      <c r="U1210">
        <f>IF(connections!$A1210="","",IFERROR(INDEX(games!$B$2:$B$950,MATCH(connections!$B1210,games!$A$2:$A$950,0)),""))</f>
        <v/>
      </c>
      <c r="V1210">
        <f>IF(OR($T1210="",$U1210=""),"",$U1210-$T1210)</f>
        <v/>
      </c>
    </row>
    <row r="1211">
      <c r="T1211">
        <f>IF(connections!$A1211="","",IFERROR(INDEX(games!$B$2:$B$950,MATCH(connections!$A1211,games!$A$2:$A$950,0)),""))</f>
        <v/>
      </c>
      <c r="U1211">
        <f>IF(connections!$A1211="","",IFERROR(INDEX(games!$B$2:$B$950,MATCH(connections!$B1211,games!$A$2:$A$950,0)),""))</f>
        <v/>
      </c>
      <c r="V1211">
        <f>IF(OR($T1211="",$U1211=""),"",$U1211-$T1211)</f>
        <v/>
      </c>
    </row>
    <row r="1212">
      <c r="T1212">
        <f>IF(connections!$A1212="","",IFERROR(INDEX(games!$B$2:$B$950,MATCH(connections!$A1212,games!$A$2:$A$950,0)),""))</f>
        <v/>
      </c>
      <c r="U1212">
        <f>IF(connections!$A1212="","",IFERROR(INDEX(games!$B$2:$B$950,MATCH(connections!$B1212,games!$A$2:$A$950,0)),""))</f>
        <v/>
      </c>
      <c r="V1212">
        <f>IF(OR($T1212="",$U1212=""),"",$U1212-$T1212)</f>
        <v/>
      </c>
    </row>
    <row r="1213">
      <c r="T1213">
        <f>IF(connections!$A1213="","",IFERROR(INDEX(games!$B$2:$B$950,MATCH(connections!$A1213,games!$A$2:$A$950,0)),""))</f>
        <v/>
      </c>
      <c r="U1213">
        <f>IF(connections!$A1213="","",IFERROR(INDEX(games!$B$2:$B$950,MATCH(connections!$B1213,games!$A$2:$A$950,0)),""))</f>
        <v/>
      </c>
      <c r="V1213">
        <f>IF(OR($T1213="",$U1213=""),"",$U1213-$T1213)</f>
        <v/>
      </c>
    </row>
    <row r="1214">
      <c r="T1214">
        <f>IF(connections!$A1214="","",IFERROR(INDEX(games!$B$2:$B$950,MATCH(connections!$A1214,games!$A$2:$A$950,0)),""))</f>
        <v/>
      </c>
      <c r="U1214">
        <f>IF(connections!$A1214="","",IFERROR(INDEX(games!$B$2:$B$950,MATCH(connections!$B1214,games!$A$2:$A$950,0)),""))</f>
        <v/>
      </c>
      <c r="V1214">
        <f>IF(OR($T1214="",$U1214=""),"",$U1214-$T1214)</f>
        <v/>
      </c>
    </row>
    <row r="1215">
      <c r="T1215">
        <f>IF(connections!$A1215="","",IFERROR(INDEX(games!$B$2:$B$950,MATCH(connections!$A1215,games!$A$2:$A$950,0)),""))</f>
        <v/>
      </c>
      <c r="U1215">
        <f>IF(connections!$A1215="","",IFERROR(INDEX(games!$B$2:$B$950,MATCH(connections!$B1215,games!$A$2:$A$950,0)),""))</f>
        <v/>
      </c>
      <c r="V1215">
        <f>IF(OR($T1215="",$U1215=""),"",$U1215-$T1215)</f>
        <v/>
      </c>
    </row>
    <row r="1216">
      <c r="T1216">
        <f>IF(connections!$A1216="","",IFERROR(INDEX(games!$B$2:$B$950,MATCH(connections!$A1216,games!$A$2:$A$950,0)),""))</f>
        <v/>
      </c>
      <c r="U1216">
        <f>IF(connections!$A1216="","",IFERROR(INDEX(games!$B$2:$B$950,MATCH(connections!$B1216,games!$A$2:$A$950,0)),""))</f>
        <v/>
      </c>
      <c r="V1216">
        <f>IF(OR($T1216="",$U1216=""),"",$U1216-$T1216)</f>
        <v/>
      </c>
    </row>
    <row r="1217">
      <c r="T1217">
        <f>IF(connections!$A1217="","",IFERROR(INDEX(games!$B$2:$B$950,MATCH(connections!$A1217,games!$A$2:$A$950,0)),""))</f>
        <v/>
      </c>
      <c r="U1217">
        <f>IF(connections!$A1217="","",IFERROR(INDEX(games!$B$2:$B$950,MATCH(connections!$B1217,games!$A$2:$A$950,0)),""))</f>
        <v/>
      </c>
      <c r="V1217">
        <f>IF(OR($T1217="",$U1217=""),"",$U1217-$T1217)</f>
        <v/>
      </c>
    </row>
    <row r="1218">
      <c r="T1218">
        <f>IF(connections!$A1218="","",IFERROR(INDEX(games!$B$2:$B$950,MATCH(connections!$A1218,games!$A$2:$A$950,0)),""))</f>
        <v/>
      </c>
      <c r="U1218">
        <f>IF(connections!$A1218="","",IFERROR(INDEX(games!$B$2:$B$950,MATCH(connections!$B1218,games!$A$2:$A$950,0)),""))</f>
        <v/>
      </c>
      <c r="V1218">
        <f>IF(OR($T1218="",$U1218=""),"",$U1218-$T1218)</f>
        <v/>
      </c>
    </row>
    <row r="1219">
      <c r="T1219">
        <f>IF(connections!$A1219="","",IFERROR(INDEX(games!$B$2:$B$950,MATCH(connections!$A1219,games!$A$2:$A$950,0)),""))</f>
        <v/>
      </c>
      <c r="U1219">
        <f>IF(connections!$A1219="","",IFERROR(INDEX(games!$B$2:$B$950,MATCH(connections!$B1219,games!$A$2:$A$950,0)),""))</f>
        <v/>
      </c>
      <c r="V1219">
        <f>IF(OR($T1219="",$U1219=""),"",$U1219-$T1219)</f>
        <v/>
      </c>
    </row>
    <row r="1220">
      <c r="T1220">
        <f>IF(connections!$A1220="","",IFERROR(INDEX(games!$B$2:$B$950,MATCH(connections!$A1220,games!$A$2:$A$950,0)),""))</f>
        <v/>
      </c>
      <c r="U1220">
        <f>IF(connections!$A1220="","",IFERROR(INDEX(games!$B$2:$B$950,MATCH(connections!$B1220,games!$A$2:$A$950,0)),""))</f>
        <v/>
      </c>
      <c r="V1220">
        <f>IF(OR($T1220="",$U1220=""),"",$U1220-$T1220)</f>
        <v/>
      </c>
    </row>
    <row r="1221">
      <c r="T1221">
        <f>IF(connections!$A1221="","",IFERROR(INDEX(games!$B$2:$B$950,MATCH(connections!$A1221,games!$A$2:$A$950,0)),""))</f>
        <v/>
      </c>
      <c r="U1221">
        <f>IF(connections!$A1221="","",IFERROR(INDEX(games!$B$2:$B$950,MATCH(connections!$B1221,games!$A$2:$A$950,0)),""))</f>
        <v/>
      </c>
      <c r="V1221">
        <f>IF(OR($T1221="",$U1221=""),"",$U1221-$T1221)</f>
        <v/>
      </c>
    </row>
    <row r="1222">
      <c r="T1222">
        <f>IF(connections!$A1222="","",IFERROR(INDEX(games!$B$2:$B$950,MATCH(connections!$A1222,games!$A$2:$A$950,0)),""))</f>
        <v/>
      </c>
      <c r="U1222">
        <f>IF(connections!$A1222="","",IFERROR(INDEX(games!$B$2:$B$950,MATCH(connections!$B1222,games!$A$2:$A$950,0)),""))</f>
        <v/>
      </c>
      <c r="V1222">
        <f>IF(OR($T1222="",$U1222=""),"",$U1222-$T1222)</f>
        <v/>
      </c>
    </row>
    <row r="1223">
      <c r="T1223">
        <f>IF(connections!$A1223="","",IFERROR(INDEX(games!$B$2:$B$950,MATCH(connections!$A1223,games!$A$2:$A$950,0)),""))</f>
        <v/>
      </c>
      <c r="U1223">
        <f>IF(connections!$A1223="","",IFERROR(INDEX(games!$B$2:$B$950,MATCH(connections!$B1223,games!$A$2:$A$950,0)),""))</f>
        <v/>
      </c>
      <c r="V1223">
        <f>IF(OR($T1223="",$U1223=""),"",$U1223-$T1223)</f>
        <v/>
      </c>
    </row>
    <row r="1224">
      <c r="T1224">
        <f>IF(connections!$A1224="","",IFERROR(INDEX(games!$B$2:$B$950,MATCH(connections!$A1224,games!$A$2:$A$950,0)),""))</f>
        <v/>
      </c>
      <c r="U1224">
        <f>IF(connections!$A1224="","",IFERROR(INDEX(games!$B$2:$B$950,MATCH(connections!$B1224,games!$A$2:$A$950,0)),""))</f>
        <v/>
      </c>
      <c r="V1224">
        <f>IF(OR($T1224="",$U1224=""),"",$U1224-$T1224)</f>
        <v/>
      </c>
    </row>
    <row r="1225">
      <c r="T1225">
        <f>IF(connections!$A1225="","",IFERROR(INDEX(games!$B$2:$B$950,MATCH(connections!$A1225,games!$A$2:$A$950,0)),""))</f>
        <v/>
      </c>
      <c r="U1225">
        <f>IF(connections!$A1225="","",IFERROR(INDEX(games!$B$2:$B$950,MATCH(connections!$B1225,games!$A$2:$A$950,0)),""))</f>
        <v/>
      </c>
      <c r="V1225">
        <f>IF(OR($T1225="",$U1225=""),"",$U1225-$T1225)</f>
        <v/>
      </c>
    </row>
    <row r="1226">
      <c r="T1226">
        <f>IF(connections!$A1226="","",IFERROR(INDEX(games!$B$2:$B$950,MATCH(connections!$A1226,games!$A$2:$A$950,0)),""))</f>
        <v/>
      </c>
      <c r="U1226">
        <f>IF(connections!$A1226="","",IFERROR(INDEX(games!$B$2:$B$950,MATCH(connections!$B1226,games!$A$2:$A$950,0)),""))</f>
        <v/>
      </c>
      <c r="V1226">
        <f>IF(OR($T1226="",$U1226=""),"",$U1226-$T1226)</f>
        <v/>
      </c>
    </row>
    <row r="1227">
      <c r="T1227">
        <f>IF(connections!$A1227="","",IFERROR(INDEX(games!$B$2:$B$950,MATCH(connections!$A1227,games!$A$2:$A$950,0)),""))</f>
        <v/>
      </c>
      <c r="U1227">
        <f>IF(connections!$A1227="","",IFERROR(INDEX(games!$B$2:$B$950,MATCH(connections!$B1227,games!$A$2:$A$950,0)),""))</f>
        <v/>
      </c>
      <c r="V1227">
        <f>IF(OR($T1227="",$U1227=""),"",$U1227-$T1227)</f>
        <v/>
      </c>
    </row>
    <row r="1228">
      <c r="T1228">
        <f>IF(connections!$A1228="","",IFERROR(INDEX(games!$B$2:$B$950,MATCH(connections!$A1228,games!$A$2:$A$950,0)),""))</f>
        <v/>
      </c>
      <c r="U1228">
        <f>IF(connections!$A1228="","",IFERROR(INDEX(games!$B$2:$B$950,MATCH(connections!$B1228,games!$A$2:$A$950,0)),""))</f>
        <v/>
      </c>
      <c r="V1228">
        <f>IF(OR($T1228="",$U1228=""),"",$U1228-$T1228)</f>
        <v/>
      </c>
    </row>
    <row r="1229">
      <c r="T1229">
        <f>IF(connections!$A1229="","",IFERROR(INDEX(games!$B$2:$B$950,MATCH(connections!$A1229,games!$A$2:$A$950,0)),""))</f>
        <v/>
      </c>
      <c r="U1229">
        <f>IF(connections!$A1229="","",IFERROR(INDEX(games!$B$2:$B$950,MATCH(connections!$B1229,games!$A$2:$A$950,0)),""))</f>
        <v/>
      </c>
      <c r="V1229">
        <f>IF(OR($T1229="",$U1229=""),"",$U1229-$T1229)</f>
        <v/>
      </c>
    </row>
    <row r="1230">
      <c r="T1230">
        <f>IF(connections!$A1230="","",IFERROR(INDEX(games!$B$2:$B$950,MATCH(connections!$A1230,games!$A$2:$A$950,0)),""))</f>
        <v/>
      </c>
      <c r="U1230">
        <f>IF(connections!$A1230="","",IFERROR(INDEX(games!$B$2:$B$950,MATCH(connections!$B1230,games!$A$2:$A$950,0)),""))</f>
        <v/>
      </c>
      <c r="V1230">
        <f>IF(OR($T1230="",$U1230=""),"",$U1230-$T1230)</f>
        <v/>
      </c>
    </row>
    <row r="1231">
      <c r="T1231">
        <f>IF(connections!$A1231="","",IFERROR(INDEX(games!$B$2:$B$950,MATCH(connections!$A1231,games!$A$2:$A$950,0)),""))</f>
        <v/>
      </c>
      <c r="U1231">
        <f>IF(connections!$A1231="","",IFERROR(INDEX(games!$B$2:$B$950,MATCH(connections!$B1231,games!$A$2:$A$950,0)),""))</f>
        <v/>
      </c>
      <c r="V1231">
        <f>IF(OR($T1231="",$U1231=""),"",$U1231-$T1231)</f>
        <v/>
      </c>
    </row>
    <row r="1232">
      <c r="T1232">
        <f>IF(connections!$A1232="","",IFERROR(INDEX(games!$B$2:$B$950,MATCH(connections!$A1232,games!$A$2:$A$950,0)),""))</f>
        <v/>
      </c>
      <c r="U1232">
        <f>IF(connections!$A1232="","",IFERROR(INDEX(games!$B$2:$B$950,MATCH(connections!$B1232,games!$A$2:$A$950,0)),""))</f>
        <v/>
      </c>
      <c r="V1232">
        <f>IF(OR($T1232="",$U1232=""),"",$U1232-$T1232)</f>
        <v/>
      </c>
    </row>
    <row r="1233">
      <c r="T1233">
        <f>IF(connections!$A1233="","",IFERROR(INDEX(games!$B$2:$B$950,MATCH(connections!$A1233,games!$A$2:$A$950,0)),""))</f>
        <v/>
      </c>
      <c r="U1233">
        <f>IF(connections!$A1233="","",IFERROR(INDEX(games!$B$2:$B$950,MATCH(connections!$B1233,games!$A$2:$A$950,0)),""))</f>
        <v/>
      </c>
      <c r="V1233">
        <f>IF(OR($T1233="",$U1233=""),"",$U1233-$T1233)</f>
        <v/>
      </c>
    </row>
    <row r="1234">
      <c r="T1234">
        <f>IF(connections!$A1234="","",IFERROR(INDEX(games!$B$2:$B$950,MATCH(connections!$A1234,games!$A$2:$A$950,0)),""))</f>
        <v/>
      </c>
      <c r="U1234">
        <f>IF(connections!$A1234="","",IFERROR(INDEX(games!$B$2:$B$950,MATCH(connections!$B1234,games!$A$2:$A$950,0)),""))</f>
        <v/>
      </c>
      <c r="V1234">
        <f>IF(OR($T1234="",$U1234=""),"",$U1234-$T1234)</f>
        <v/>
      </c>
    </row>
    <row r="1235">
      <c r="T1235">
        <f>IF(connections!$A1235="","",IFERROR(INDEX(games!$B$2:$B$950,MATCH(connections!$A1235,games!$A$2:$A$950,0)),""))</f>
        <v/>
      </c>
      <c r="U1235">
        <f>IF(connections!$A1235="","",IFERROR(INDEX(games!$B$2:$B$950,MATCH(connections!$B1235,games!$A$2:$A$950,0)),""))</f>
        <v/>
      </c>
      <c r="V1235">
        <f>IF(OR($T1235="",$U1235=""),"",$U1235-$T1235)</f>
        <v/>
      </c>
    </row>
    <row r="1236">
      <c r="T1236">
        <f>IF(connections!$A1236="","",IFERROR(INDEX(games!$B$2:$B$950,MATCH(connections!$A1236,games!$A$2:$A$950,0)),""))</f>
        <v/>
      </c>
      <c r="U1236">
        <f>IF(connections!$A1236="","",IFERROR(INDEX(games!$B$2:$B$950,MATCH(connections!$B1236,games!$A$2:$A$950,0)),""))</f>
        <v/>
      </c>
      <c r="V1236">
        <f>IF(OR($T1236="",$U1236=""),"",$U1236-$T1236)</f>
        <v/>
      </c>
    </row>
    <row r="1237">
      <c r="T1237">
        <f>IF(connections!$A1237="","",IFERROR(INDEX(games!$B$2:$B$950,MATCH(connections!$A1237,games!$A$2:$A$950,0)),""))</f>
        <v/>
      </c>
      <c r="U1237">
        <f>IF(connections!$A1237="","",IFERROR(INDEX(games!$B$2:$B$950,MATCH(connections!$B1237,games!$A$2:$A$950,0)),""))</f>
        <v/>
      </c>
      <c r="V1237">
        <f>IF(OR($T1237="",$U1237=""),"",$U1237-$T1237)</f>
        <v/>
      </c>
    </row>
    <row r="1238">
      <c r="T1238">
        <f>IF(connections!$A1238="","",IFERROR(INDEX(games!$B$2:$B$950,MATCH(connections!$A1238,games!$A$2:$A$950,0)),""))</f>
        <v/>
      </c>
      <c r="U1238">
        <f>IF(connections!$A1238="","",IFERROR(INDEX(games!$B$2:$B$950,MATCH(connections!$B1238,games!$A$2:$A$950,0)),""))</f>
        <v/>
      </c>
      <c r="V1238">
        <f>IF(OR($T1238="",$U1238=""),"",$U1238-$T1238)</f>
        <v/>
      </c>
    </row>
    <row r="1239">
      <c r="T1239">
        <f>IF(connections!$A1239="","",IFERROR(INDEX(games!$B$2:$B$950,MATCH(connections!$A1239,games!$A$2:$A$950,0)),""))</f>
        <v/>
      </c>
      <c r="U1239">
        <f>IF(connections!$A1239="","",IFERROR(INDEX(games!$B$2:$B$950,MATCH(connections!$B1239,games!$A$2:$A$950,0)),""))</f>
        <v/>
      </c>
      <c r="V1239">
        <f>IF(OR($T1239="",$U1239=""),"",$U1239-$T1239)</f>
        <v/>
      </c>
    </row>
    <row r="1240">
      <c r="T1240">
        <f>IF(connections!$A1240="","",IFERROR(INDEX(games!$B$2:$B$950,MATCH(connections!$A1240,games!$A$2:$A$950,0)),""))</f>
        <v/>
      </c>
      <c r="U1240">
        <f>IF(connections!$A1240="","",IFERROR(INDEX(games!$B$2:$B$950,MATCH(connections!$B1240,games!$A$2:$A$950,0)),""))</f>
        <v/>
      </c>
      <c r="V1240">
        <f>IF(OR($T1240="",$U1240=""),"",$U1240-$T1240)</f>
        <v/>
      </c>
    </row>
    <row r="1241">
      <c r="T1241">
        <f>IF(connections!$A1241="","",IFERROR(INDEX(games!$B$2:$B$950,MATCH(connections!$A1241,games!$A$2:$A$950,0)),""))</f>
        <v/>
      </c>
      <c r="U1241">
        <f>IF(connections!$A1241="","",IFERROR(INDEX(games!$B$2:$B$950,MATCH(connections!$B1241,games!$A$2:$A$950,0)),""))</f>
        <v/>
      </c>
      <c r="V1241">
        <f>IF(OR($T1241="",$U1241=""),"",$U1241-$T1241)</f>
        <v/>
      </c>
    </row>
    <row r="1242">
      <c r="T1242">
        <f>IF(connections!$A1242="","",IFERROR(INDEX(games!$B$2:$B$950,MATCH(connections!$A1242,games!$A$2:$A$950,0)),""))</f>
        <v/>
      </c>
      <c r="U1242">
        <f>IF(connections!$A1242="","",IFERROR(INDEX(games!$B$2:$B$950,MATCH(connections!$B1242,games!$A$2:$A$950,0)),""))</f>
        <v/>
      </c>
      <c r="V1242">
        <f>IF(OR($T1242="",$U1242=""),"",$U1242-$T1242)</f>
        <v/>
      </c>
    </row>
    <row r="1243">
      <c r="T1243">
        <f>IF(connections!$A1243="","",IFERROR(INDEX(games!$B$2:$B$950,MATCH(connections!$A1243,games!$A$2:$A$950,0)),""))</f>
        <v/>
      </c>
      <c r="U1243">
        <f>IF(connections!$A1243="","",IFERROR(INDEX(games!$B$2:$B$950,MATCH(connections!$B1243,games!$A$2:$A$950,0)),""))</f>
        <v/>
      </c>
      <c r="V1243">
        <f>IF(OR($T1243="",$U1243=""),"",$U1243-$T1243)</f>
        <v/>
      </c>
    </row>
    <row r="1244">
      <c r="T1244">
        <f>IF(connections!$A1244="","",IFERROR(INDEX(games!$B$2:$B$950,MATCH(connections!$A1244,games!$A$2:$A$950,0)),""))</f>
        <v/>
      </c>
      <c r="U1244">
        <f>IF(connections!$A1244="","",IFERROR(INDEX(games!$B$2:$B$950,MATCH(connections!$B1244,games!$A$2:$A$950,0)),""))</f>
        <v/>
      </c>
      <c r="V1244">
        <f>IF(OR($T1244="",$U1244=""),"",$U1244-$T1244)</f>
        <v/>
      </c>
    </row>
    <row r="1245">
      <c r="T1245">
        <f>IF(connections!$A1245="","",IFERROR(INDEX(games!$B$2:$B$950,MATCH(connections!$A1245,games!$A$2:$A$950,0)),""))</f>
        <v/>
      </c>
      <c r="U1245">
        <f>IF(connections!$A1245="","",IFERROR(INDEX(games!$B$2:$B$950,MATCH(connections!$B1245,games!$A$2:$A$950,0)),""))</f>
        <v/>
      </c>
      <c r="V1245">
        <f>IF(OR($T1245="",$U1245=""),"",$U1245-$T1245)</f>
        <v/>
      </c>
    </row>
    <row r="1246">
      <c r="T1246">
        <f>IF(connections!$A1246="","",IFERROR(INDEX(games!$B$2:$B$950,MATCH(connections!$A1246,games!$A$2:$A$950,0)),""))</f>
        <v/>
      </c>
      <c r="U1246">
        <f>IF(connections!$A1246="","",IFERROR(INDEX(games!$B$2:$B$950,MATCH(connections!$B1246,games!$A$2:$A$950,0)),""))</f>
        <v/>
      </c>
      <c r="V1246">
        <f>IF(OR($T1246="",$U1246=""),"",$U1246-$T1246)</f>
        <v/>
      </c>
    </row>
    <row r="1247">
      <c r="T1247">
        <f>IF(connections!$A1247="","",IFERROR(INDEX(games!$B$2:$B$950,MATCH(connections!$A1247,games!$A$2:$A$950,0)),""))</f>
        <v/>
      </c>
      <c r="U1247">
        <f>IF(connections!$A1247="","",IFERROR(INDEX(games!$B$2:$B$950,MATCH(connections!$B1247,games!$A$2:$A$950,0)),""))</f>
        <v/>
      </c>
      <c r="V1247">
        <f>IF(OR($T1247="",$U1247=""),"",$U1247-$T1247)</f>
        <v/>
      </c>
    </row>
    <row r="1248">
      <c r="T1248">
        <f>IF(connections!$A1248="","",IFERROR(INDEX(games!$B$2:$B$950,MATCH(connections!$A1248,games!$A$2:$A$950,0)),""))</f>
        <v/>
      </c>
      <c r="U1248">
        <f>IF(connections!$A1248="","",IFERROR(INDEX(games!$B$2:$B$950,MATCH(connections!$B1248,games!$A$2:$A$950,0)),""))</f>
        <v/>
      </c>
      <c r="V1248">
        <f>IF(OR($T1248="",$U1248=""),"",$U1248-$T1248)</f>
        <v/>
      </c>
    </row>
    <row r="1249">
      <c r="T1249">
        <f>IF(connections!$A1249="","",IFERROR(INDEX(games!$B$2:$B$950,MATCH(connections!$A1249,games!$A$2:$A$950,0)),""))</f>
        <v/>
      </c>
      <c r="U1249">
        <f>IF(connections!$A1249="","",IFERROR(INDEX(games!$B$2:$B$950,MATCH(connections!$B1249,games!$A$2:$A$950,0)),""))</f>
        <v/>
      </c>
      <c r="V1249">
        <f>IF(OR($T1249="",$U1249=""),"",$U1249-$T1249)</f>
        <v/>
      </c>
    </row>
    <row r="1250">
      <c r="T1250">
        <f>IF(connections!$A1250="","",IFERROR(INDEX(games!$B$2:$B$950,MATCH(connections!$A1250,games!$A$2:$A$950,0)),""))</f>
        <v/>
      </c>
      <c r="U1250">
        <f>IF(connections!$A1250="","",IFERROR(INDEX(games!$B$2:$B$950,MATCH(connections!$B1250,games!$A$2:$A$950,0)),""))</f>
        <v/>
      </c>
      <c r="V1250">
        <f>IF(OR($T1250="",$U1250=""),"",$U1250-$T1250)</f>
        <v/>
      </c>
    </row>
    <row r="1251">
      <c r="T1251">
        <f>IF(connections!$A1251="","",IFERROR(INDEX(games!$B$2:$B$950,MATCH(connections!$A1251,games!$A$2:$A$950,0)),""))</f>
        <v/>
      </c>
      <c r="U1251">
        <f>IF(connections!$A1251="","",IFERROR(INDEX(games!$B$2:$B$950,MATCH(connections!$B1251,games!$A$2:$A$950,0)),""))</f>
        <v/>
      </c>
      <c r="V1251">
        <f>IF(OR($T1251="",$U1251=""),"",$U1251-$T1251)</f>
        <v/>
      </c>
    </row>
    <row r="1252">
      <c r="T1252">
        <f>IF(connections!$A1252="","",IFERROR(INDEX(games!$B$2:$B$950,MATCH(connections!$A1252,games!$A$2:$A$950,0)),""))</f>
        <v/>
      </c>
      <c r="U1252">
        <f>IF(connections!$A1252="","",IFERROR(INDEX(games!$B$2:$B$950,MATCH(connections!$B1252,games!$A$2:$A$950,0)),""))</f>
        <v/>
      </c>
      <c r="V1252">
        <f>IF(OR($T1252="",$U1252=""),"",$U1252-$T1252)</f>
        <v/>
      </c>
    </row>
    <row r="1253">
      <c r="T1253">
        <f>IF(connections!$A1253="","",IFERROR(INDEX(games!$B$2:$B$950,MATCH(connections!$A1253,games!$A$2:$A$950,0)),""))</f>
        <v/>
      </c>
      <c r="U1253">
        <f>IF(connections!$A1253="","",IFERROR(INDEX(games!$B$2:$B$950,MATCH(connections!$B1253,games!$A$2:$A$950,0)),""))</f>
        <v/>
      </c>
      <c r="V1253">
        <f>IF(OR($T1253="",$U1253=""),"",$U1253-$T1253)</f>
        <v/>
      </c>
    </row>
    <row r="1254">
      <c r="T1254">
        <f>IF(connections!$A1254="","",IFERROR(INDEX(games!$B$2:$B$950,MATCH(connections!$A1254,games!$A$2:$A$950,0)),""))</f>
        <v/>
      </c>
      <c r="U1254">
        <f>IF(connections!$A1254="","",IFERROR(INDEX(games!$B$2:$B$950,MATCH(connections!$B1254,games!$A$2:$A$950,0)),""))</f>
        <v/>
      </c>
      <c r="V1254">
        <f>IF(OR($T1254="",$U1254=""),"",$U1254-$T1254)</f>
        <v/>
      </c>
    </row>
    <row r="1255">
      <c r="T1255">
        <f>IF(connections!$A1255="","",IFERROR(INDEX(games!$B$2:$B$950,MATCH(connections!$A1255,games!$A$2:$A$950,0)),""))</f>
        <v/>
      </c>
      <c r="U1255">
        <f>IF(connections!$A1255="","",IFERROR(INDEX(games!$B$2:$B$950,MATCH(connections!$B1255,games!$A$2:$A$950,0)),""))</f>
        <v/>
      </c>
      <c r="V1255">
        <f>IF(OR($T1255="",$U1255=""),"",$U1255-$T1255)</f>
        <v/>
      </c>
    </row>
    <row r="1256">
      <c r="T1256">
        <f>IF(connections!$A1256="","",IFERROR(INDEX(games!$B$2:$B$950,MATCH(connections!$A1256,games!$A$2:$A$950,0)),""))</f>
        <v/>
      </c>
      <c r="U1256">
        <f>IF(connections!$A1256="","",IFERROR(INDEX(games!$B$2:$B$950,MATCH(connections!$B1256,games!$A$2:$A$950,0)),""))</f>
        <v/>
      </c>
      <c r="V1256">
        <f>IF(OR($T1256="",$U1256=""),"",$U1256-$T1256)</f>
        <v/>
      </c>
    </row>
    <row r="1257">
      <c r="T1257">
        <f>IF(connections!$A1257="","",IFERROR(INDEX(games!$B$2:$B$950,MATCH(connections!$A1257,games!$A$2:$A$950,0)),""))</f>
        <v/>
      </c>
      <c r="U1257">
        <f>IF(connections!$A1257="","",IFERROR(INDEX(games!$B$2:$B$950,MATCH(connections!$B1257,games!$A$2:$A$950,0)),""))</f>
        <v/>
      </c>
      <c r="V1257">
        <f>IF(OR($T1257="",$U1257=""),"",$U1257-$T1257)</f>
        <v/>
      </c>
    </row>
    <row r="1258">
      <c r="T1258">
        <f>IF(connections!$A1258="","",IFERROR(INDEX(games!$B$2:$B$950,MATCH(connections!$A1258,games!$A$2:$A$950,0)),""))</f>
        <v/>
      </c>
      <c r="U1258">
        <f>IF(connections!$A1258="","",IFERROR(INDEX(games!$B$2:$B$950,MATCH(connections!$B1258,games!$A$2:$A$950,0)),""))</f>
        <v/>
      </c>
      <c r="V1258">
        <f>IF(OR($T1258="",$U1258=""),"",$U1258-$T1258)</f>
        <v/>
      </c>
    </row>
    <row r="1259">
      <c r="T1259">
        <f>IF(connections!$A1259="","",IFERROR(INDEX(games!$B$2:$B$950,MATCH(connections!$A1259,games!$A$2:$A$950,0)),""))</f>
        <v/>
      </c>
      <c r="U1259">
        <f>IF(connections!$A1259="","",IFERROR(INDEX(games!$B$2:$B$950,MATCH(connections!$B1259,games!$A$2:$A$950,0)),""))</f>
        <v/>
      </c>
      <c r="V1259">
        <f>IF(OR($T1259="",$U1259=""),"",$U1259-$T1259)</f>
        <v/>
      </c>
    </row>
    <row r="1260">
      <c r="T1260">
        <f>IF(connections!$A1260="","",IFERROR(INDEX(games!$B$2:$B$950,MATCH(connections!$A1260,games!$A$2:$A$950,0)),""))</f>
        <v/>
      </c>
      <c r="U1260">
        <f>IF(connections!$A1260="","",IFERROR(INDEX(games!$B$2:$B$950,MATCH(connections!$B1260,games!$A$2:$A$950,0)),""))</f>
        <v/>
      </c>
      <c r="V1260">
        <f>IF(OR($T1260="",$U1260=""),"",$U1260-$T1260)</f>
        <v/>
      </c>
    </row>
    <row r="1261">
      <c r="T1261">
        <f>IF(connections!$A1261="","",IFERROR(INDEX(games!$B$2:$B$950,MATCH(connections!$A1261,games!$A$2:$A$950,0)),""))</f>
        <v/>
      </c>
      <c r="U1261">
        <f>IF(connections!$A1261="","",IFERROR(INDEX(games!$B$2:$B$950,MATCH(connections!$B1261,games!$A$2:$A$950,0)),""))</f>
        <v/>
      </c>
      <c r="V1261">
        <f>IF(OR($T1261="",$U1261=""),"",$U1261-$T1261)</f>
        <v/>
      </c>
    </row>
    <row r="1262">
      <c r="T1262">
        <f>IF(connections!$A1262="","",IFERROR(INDEX(games!$B$2:$B$950,MATCH(connections!$A1262,games!$A$2:$A$950,0)),""))</f>
        <v/>
      </c>
      <c r="U1262">
        <f>IF(connections!$A1262="","",IFERROR(INDEX(games!$B$2:$B$950,MATCH(connections!$B1262,games!$A$2:$A$950,0)),""))</f>
        <v/>
      </c>
      <c r="V1262">
        <f>IF(OR($T1262="",$U1262=""),"",$U1262-$T1262)</f>
        <v/>
      </c>
    </row>
    <row r="1263">
      <c r="T1263">
        <f>IF(connections!$A1263="","",IFERROR(INDEX(games!$B$2:$B$950,MATCH(connections!$A1263,games!$A$2:$A$950,0)),""))</f>
        <v/>
      </c>
      <c r="U1263">
        <f>IF(connections!$A1263="","",IFERROR(INDEX(games!$B$2:$B$950,MATCH(connections!$B1263,games!$A$2:$A$950,0)),""))</f>
        <v/>
      </c>
      <c r="V1263">
        <f>IF(OR($T1263="",$U1263=""),"",$U1263-$T1263)</f>
        <v/>
      </c>
    </row>
    <row r="1264">
      <c r="T1264">
        <f>IF(connections!$A1264="","",IFERROR(INDEX(games!$B$2:$B$950,MATCH(connections!$A1264,games!$A$2:$A$950,0)),""))</f>
        <v/>
      </c>
      <c r="U1264">
        <f>IF(connections!$A1264="","",IFERROR(INDEX(games!$B$2:$B$950,MATCH(connections!$B1264,games!$A$2:$A$950,0)),""))</f>
        <v/>
      </c>
      <c r="V1264">
        <f>IF(OR($T1264="",$U1264=""),"",$U1264-$T1264)</f>
        <v/>
      </c>
    </row>
    <row r="1265">
      <c r="T1265">
        <f>IF(connections!$A1265="","",IFERROR(INDEX(games!$B$2:$B$950,MATCH(connections!$A1265,games!$A$2:$A$950,0)),""))</f>
        <v/>
      </c>
      <c r="U1265">
        <f>IF(connections!$A1265="","",IFERROR(INDEX(games!$B$2:$B$950,MATCH(connections!$B1265,games!$A$2:$A$950,0)),""))</f>
        <v/>
      </c>
      <c r="V1265">
        <f>IF(OR($T1265="",$U1265=""),"",$U1265-$T1265)</f>
        <v/>
      </c>
    </row>
    <row r="1266">
      <c r="T1266">
        <f>IF(connections!$A1266="","",IFERROR(INDEX(games!$B$2:$B$950,MATCH(connections!$A1266,games!$A$2:$A$950,0)),""))</f>
        <v/>
      </c>
      <c r="U1266">
        <f>IF(connections!$A1266="","",IFERROR(INDEX(games!$B$2:$B$950,MATCH(connections!$B1266,games!$A$2:$A$950,0)),""))</f>
        <v/>
      </c>
      <c r="V1266">
        <f>IF(OR($T1266="",$U1266=""),"",$U1266-$T1266)</f>
        <v/>
      </c>
    </row>
    <row r="1267">
      <c r="T1267">
        <f>IF(connections!$A1267="","",IFERROR(INDEX(games!$B$2:$B$950,MATCH(connections!$A1267,games!$A$2:$A$950,0)),""))</f>
        <v/>
      </c>
      <c r="U1267">
        <f>IF(connections!$A1267="","",IFERROR(INDEX(games!$B$2:$B$950,MATCH(connections!$B1267,games!$A$2:$A$950,0)),""))</f>
        <v/>
      </c>
      <c r="V1267">
        <f>IF(OR($T1267="",$U1267=""),"",$U1267-$T1267)</f>
        <v/>
      </c>
    </row>
    <row r="1268">
      <c r="T1268">
        <f>IF(connections!$A1268="","",IFERROR(INDEX(games!$B$2:$B$950,MATCH(connections!$A1268,games!$A$2:$A$950,0)),""))</f>
        <v/>
      </c>
      <c r="U1268">
        <f>IF(connections!$A1268="","",IFERROR(INDEX(games!$B$2:$B$950,MATCH(connections!$B1268,games!$A$2:$A$950,0)),""))</f>
        <v/>
      </c>
      <c r="V1268">
        <f>IF(OR($T1268="",$U1268=""),"",$U1268-$T1268)</f>
        <v/>
      </c>
    </row>
    <row r="1269">
      <c r="T1269">
        <f>IF(connections!$A1269="","",IFERROR(INDEX(games!$B$2:$B$950,MATCH(connections!$A1269,games!$A$2:$A$950,0)),""))</f>
        <v/>
      </c>
      <c r="U1269">
        <f>IF(connections!$A1269="","",IFERROR(INDEX(games!$B$2:$B$950,MATCH(connections!$B1269,games!$A$2:$A$950,0)),""))</f>
        <v/>
      </c>
      <c r="V1269">
        <f>IF(OR($T1269="",$U1269=""),"",$U1269-$T1269)</f>
        <v/>
      </c>
    </row>
    <row r="1270">
      <c r="T1270">
        <f>IF(connections!$A1270="","",IFERROR(INDEX(games!$B$2:$B$950,MATCH(connections!$A1270,games!$A$2:$A$950,0)),""))</f>
        <v/>
      </c>
      <c r="U1270">
        <f>IF(connections!$A1270="","",IFERROR(INDEX(games!$B$2:$B$950,MATCH(connections!$B1270,games!$A$2:$A$950,0)),""))</f>
        <v/>
      </c>
      <c r="V1270">
        <f>IF(OR($T1270="",$U1270=""),"",$U1270-$T1270)</f>
        <v/>
      </c>
    </row>
    <row r="1271">
      <c r="T1271">
        <f>IF(connections!$A1271="","",IFERROR(INDEX(games!$B$2:$B$950,MATCH(connections!$A1271,games!$A$2:$A$950,0)),""))</f>
        <v/>
      </c>
      <c r="U1271">
        <f>IF(connections!$A1271="","",IFERROR(INDEX(games!$B$2:$B$950,MATCH(connections!$B1271,games!$A$2:$A$950,0)),""))</f>
        <v/>
      </c>
      <c r="V1271">
        <f>IF(OR($T1271="",$U1271=""),"",$U1271-$T1271)</f>
        <v/>
      </c>
    </row>
    <row r="1272">
      <c r="T1272">
        <f>IF(connections!$A1272="","",IFERROR(INDEX(games!$B$2:$B$950,MATCH(connections!$A1272,games!$A$2:$A$950,0)),""))</f>
        <v/>
      </c>
      <c r="U1272">
        <f>IF(connections!$A1272="","",IFERROR(INDEX(games!$B$2:$B$950,MATCH(connections!$B1272,games!$A$2:$A$950,0)),""))</f>
        <v/>
      </c>
      <c r="V1272">
        <f>IF(OR($T1272="",$U1272=""),"",$U1272-$T1272)</f>
        <v/>
      </c>
    </row>
    <row r="1273">
      <c r="T1273">
        <f>IF(connections!$A1273="","",IFERROR(INDEX(games!$B$2:$B$950,MATCH(connections!$A1273,games!$A$2:$A$950,0)),""))</f>
        <v/>
      </c>
      <c r="U1273">
        <f>IF(connections!$A1273="","",IFERROR(INDEX(games!$B$2:$B$950,MATCH(connections!$B1273,games!$A$2:$A$950,0)),""))</f>
        <v/>
      </c>
      <c r="V1273">
        <f>IF(OR($T1273="",$U1273=""),"",$U1273-$T1273)</f>
        <v/>
      </c>
    </row>
    <row r="1274">
      <c r="T1274">
        <f>IF(connections!$A1274="","",IFERROR(INDEX(games!$B$2:$B$950,MATCH(connections!$A1274,games!$A$2:$A$950,0)),""))</f>
        <v/>
      </c>
      <c r="U1274">
        <f>IF(connections!$A1274="","",IFERROR(INDEX(games!$B$2:$B$950,MATCH(connections!$B1274,games!$A$2:$A$950,0)),""))</f>
        <v/>
      </c>
      <c r="V1274">
        <f>IF(OR($T1274="",$U1274=""),"",$U1274-$T1274)</f>
        <v/>
      </c>
    </row>
    <row r="1275">
      <c r="T1275">
        <f>IF(connections!$A1275="","",IFERROR(INDEX(games!$B$2:$B$950,MATCH(connections!$A1275,games!$A$2:$A$950,0)),""))</f>
        <v/>
      </c>
      <c r="U1275">
        <f>IF(connections!$A1275="","",IFERROR(INDEX(games!$B$2:$B$950,MATCH(connections!$B1275,games!$A$2:$A$950,0)),""))</f>
        <v/>
      </c>
      <c r="V1275">
        <f>IF(OR($T1275="",$U1275=""),"",$U1275-$T1275)</f>
        <v/>
      </c>
    </row>
    <row r="1276">
      <c r="T1276">
        <f>IF(connections!$A1276="","",IFERROR(INDEX(games!$B$2:$B$950,MATCH(connections!$A1276,games!$A$2:$A$950,0)),""))</f>
        <v/>
      </c>
      <c r="U1276">
        <f>IF(connections!$A1276="","",IFERROR(INDEX(games!$B$2:$B$950,MATCH(connections!$B1276,games!$A$2:$A$950,0)),""))</f>
        <v/>
      </c>
      <c r="V1276">
        <f>IF(OR($T1276="",$U1276=""),"",$U1276-$T1276)</f>
        <v/>
      </c>
    </row>
    <row r="1277">
      <c r="T1277">
        <f>IF(connections!$A1277="","",IFERROR(INDEX(games!$B$2:$B$950,MATCH(connections!$A1277,games!$A$2:$A$950,0)),""))</f>
        <v/>
      </c>
      <c r="U1277">
        <f>IF(connections!$A1277="","",IFERROR(INDEX(games!$B$2:$B$950,MATCH(connections!$B1277,games!$A$2:$A$950,0)),""))</f>
        <v/>
      </c>
      <c r="V1277">
        <f>IF(OR($T1277="",$U1277=""),"",$U1277-$T1277)</f>
        <v/>
      </c>
    </row>
    <row r="1278">
      <c r="T1278">
        <f>IF(connections!$A1278="","",IFERROR(INDEX(games!$B$2:$B$950,MATCH(connections!$A1278,games!$A$2:$A$950,0)),""))</f>
        <v/>
      </c>
      <c r="U1278">
        <f>IF(connections!$A1278="","",IFERROR(INDEX(games!$B$2:$B$950,MATCH(connections!$B1278,games!$A$2:$A$950,0)),""))</f>
        <v/>
      </c>
      <c r="V1278">
        <f>IF(OR($T1278="",$U1278=""),"",$U1278-$T1278)</f>
        <v/>
      </c>
    </row>
    <row r="1279">
      <c r="T1279">
        <f>IF(connections!$A1279="","",IFERROR(INDEX(games!$B$2:$B$950,MATCH(connections!$A1279,games!$A$2:$A$950,0)),""))</f>
        <v/>
      </c>
      <c r="U1279">
        <f>IF(connections!$A1279="","",IFERROR(INDEX(games!$B$2:$B$950,MATCH(connections!$B1279,games!$A$2:$A$950,0)),""))</f>
        <v/>
      </c>
      <c r="V1279">
        <f>IF(OR($T1279="",$U1279=""),"",$U1279-$T1279)</f>
        <v/>
      </c>
    </row>
    <row r="1280">
      <c r="T1280">
        <f>IF(connections!$A1280="","",IFERROR(INDEX(games!$B$2:$B$950,MATCH(connections!$A1280,games!$A$2:$A$950,0)),""))</f>
        <v/>
      </c>
      <c r="U1280">
        <f>IF(connections!$A1280="","",IFERROR(INDEX(games!$B$2:$B$950,MATCH(connections!$B1280,games!$A$2:$A$950,0)),""))</f>
        <v/>
      </c>
      <c r="V1280">
        <f>IF(OR($T1280="",$U1280=""),"",$U1280-$T1280)</f>
        <v/>
      </c>
    </row>
    <row r="1281">
      <c r="T1281">
        <f>IF(connections!$A1281="","",IFERROR(INDEX(games!$B$2:$B$950,MATCH(connections!$A1281,games!$A$2:$A$950,0)),""))</f>
        <v/>
      </c>
      <c r="U1281">
        <f>IF(connections!$A1281="","",IFERROR(INDEX(games!$B$2:$B$950,MATCH(connections!$B1281,games!$A$2:$A$950,0)),""))</f>
        <v/>
      </c>
      <c r="V1281">
        <f>IF(OR($T1281="",$U1281=""),"",$U1281-$T1281)</f>
        <v/>
      </c>
    </row>
    <row r="1282">
      <c r="T1282">
        <f>IF(connections!$A1282="","",IFERROR(INDEX(games!$B$2:$B$950,MATCH(connections!$A1282,games!$A$2:$A$950,0)),""))</f>
        <v/>
      </c>
      <c r="U1282">
        <f>IF(connections!$A1282="","",IFERROR(INDEX(games!$B$2:$B$950,MATCH(connections!$B1282,games!$A$2:$A$950,0)),""))</f>
        <v/>
      </c>
      <c r="V1282">
        <f>IF(OR($T1282="",$U1282=""),"",$U1282-$T1282)</f>
        <v/>
      </c>
    </row>
    <row r="1283">
      <c r="T1283">
        <f>IF(connections!$A1283="","",IFERROR(INDEX(games!$B$2:$B$950,MATCH(connections!$A1283,games!$A$2:$A$950,0)),""))</f>
        <v/>
      </c>
      <c r="U1283">
        <f>IF(connections!$A1283="","",IFERROR(INDEX(games!$B$2:$B$950,MATCH(connections!$B1283,games!$A$2:$A$950,0)),""))</f>
        <v/>
      </c>
      <c r="V1283">
        <f>IF(OR($T1283="",$U1283=""),"",$U1283-$T1283)</f>
        <v/>
      </c>
    </row>
    <row r="1284">
      <c r="T1284">
        <f>IF(connections!$A1284="","",IFERROR(INDEX(games!$B$2:$B$950,MATCH(connections!$A1284,games!$A$2:$A$950,0)),""))</f>
        <v/>
      </c>
      <c r="U1284">
        <f>IF(connections!$A1284="","",IFERROR(INDEX(games!$B$2:$B$950,MATCH(connections!$B1284,games!$A$2:$A$950,0)),""))</f>
        <v/>
      </c>
      <c r="V1284">
        <f>IF(OR($T1284="",$U1284=""),"",$U1284-$T1284)</f>
        <v/>
      </c>
    </row>
    <row r="1285">
      <c r="T1285">
        <f>IF(connections!$A1285="","",IFERROR(INDEX(games!$B$2:$B$950,MATCH(connections!$A1285,games!$A$2:$A$950,0)),""))</f>
        <v/>
      </c>
      <c r="U1285">
        <f>IF(connections!$A1285="","",IFERROR(INDEX(games!$B$2:$B$950,MATCH(connections!$B1285,games!$A$2:$A$950,0)),""))</f>
        <v/>
      </c>
      <c r="V1285">
        <f>IF(OR($T1285="",$U1285=""),"",$U1285-$T1285)</f>
        <v/>
      </c>
    </row>
    <row r="1286">
      <c r="T1286">
        <f>IF(connections!$A1286="","",IFERROR(INDEX(games!$B$2:$B$950,MATCH(connections!$A1286,games!$A$2:$A$950,0)),""))</f>
        <v/>
      </c>
      <c r="U1286">
        <f>IF(connections!$A1286="","",IFERROR(INDEX(games!$B$2:$B$950,MATCH(connections!$B1286,games!$A$2:$A$950,0)),""))</f>
        <v/>
      </c>
      <c r="V1286">
        <f>IF(OR($T1286="",$U1286=""),"",$U1286-$T1286)</f>
        <v/>
      </c>
    </row>
    <row r="1287">
      <c r="T1287">
        <f>IF(connections!$A1287="","",IFERROR(INDEX(games!$B$2:$B$950,MATCH(connections!$A1287,games!$A$2:$A$950,0)),""))</f>
        <v/>
      </c>
      <c r="U1287">
        <f>IF(connections!$A1287="","",IFERROR(INDEX(games!$B$2:$B$950,MATCH(connections!$B1287,games!$A$2:$A$950,0)),""))</f>
        <v/>
      </c>
      <c r="V1287">
        <f>IF(OR($T1287="",$U1287=""),"",$U1287-$T1287)</f>
        <v/>
      </c>
    </row>
    <row r="1288">
      <c r="T1288">
        <f>IF(connections!$A1288="","",IFERROR(INDEX(games!$B$2:$B$950,MATCH(connections!$A1288,games!$A$2:$A$950,0)),""))</f>
        <v/>
      </c>
      <c r="U1288">
        <f>IF(connections!$A1288="","",IFERROR(INDEX(games!$B$2:$B$950,MATCH(connections!$B1288,games!$A$2:$A$950,0)),""))</f>
        <v/>
      </c>
      <c r="V1288">
        <f>IF(OR($T1288="",$U1288=""),"",$U1288-$T1288)</f>
        <v/>
      </c>
    </row>
    <row r="1289">
      <c r="T1289">
        <f>IF(connections!$A1289="","",IFERROR(INDEX(games!$B$2:$B$950,MATCH(connections!$A1289,games!$A$2:$A$950,0)),""))</f>
        <v/>
      </c>
      <c r="U1289">
        <f>IF(connections!$A1289="","",IFERROR(INDEX(games!$B$2:$B$950,MATCH(connections!$B1289,games!$A$2:$A$950,0)),""))</f>
        <v/>
      </c>
      <c r="V1289">
        <f>IF(OR($T1289="",$U1289=""),"",$U1289-$T1289)</f>
        <v/>
      </c>
    </row>
    <row r="1290">
      <c r="T1290">
        <f>IF(connections!$A1290="","",IFERROR(INDEX(games!$B$2:$B$950,MATCH(connections!$A1290,games!$A$2:$A$950,0)),""))</f>
        <v/>
      </c>
      <c r="U1290">
        <f>IF(connections!$A1290="","",IFERROR(INDEX(games!$B$2:$B$950,MATCH(connections!$B1290,games!$A$2:$A$950,0)),""))</f>
        <v/>
      </c>
      <c r="V1290">
        <f>IF(OR($T1290="",$U1290=""),"",$U1290-$T1290)</f>
        <v/>
      </c>
    </row>
    <row r="1291">
      <c r="T1291">
        <f>IF(connections!$A1291="","",IFERROR(INDEX(games!$B$2:$B$950,MATCH(connections!$A1291,games!$A$2:$A$950,0)),""))</f>
        <v/>
      </c>
      <c r="U1291">
        <f>IF(connections!$A1291="","",IFERROR(INDEX(games!$B$2:$B$950,MATCH(connections!$B1291,games!$A$2:$A$950,0)),""))</f>
        <v/>
      </c>
      <c r="V1291">
        <f>IF(OR($T1291="",$U1291=""),"",$U1291-$T1291)</f>
        <v/>
      </c>
    </row>
    <row r="1292">
      <c r="T1292">
        <f>IF(connections!$A1292="","",IFERROR(INDEX(games!$B$2:$B$950,MATCH(connections!$A1292,games!$A$2:$A$950,0)),""))</f>
        <v/>
      </c>
      <c r="U1292">
        <f>IF(connections!$A1292="","",IFERROR(INDEX(games!$B$2:$B$950,MATCH(connections!$B1292,games!$A$2:$A$950,0)),""))</f>
        <v/>
      </c>
      <c r="V1292">
        <f>IF(OR($T1292="",$U1292=""),"",$U1292-$T1292)</f>
        <v/>
      </c>
    </row>
    <row r="1293">
      <c r="T1293">
        <f>IF(connections!$A1293="","",IFERROR(INDEX(games!$B$2:$B$950,MATCH(connections!$A1293,games!$A$2:$A$950,0)),""))</f>
        <v/>
      </c>
      <c r="U1293">
        <f>IF(connections!$A1293="","",IFERROR(INDEX(games!$B$2:$B$950,MATCH(connections!$B1293,games!$A$2:$A$950,0)),""))</f>
        <v/>
      </c>
      <c r="V1293">
        <f>IF(OR($T1293="",$U1293=""),"",$U1293-$T1293)</f>
        <v/>
      </c>
    </row>
    <row r="1294">
      <c r="T1294">
        <f>IF(connections!$A1294="","",IFERROR(INDEX(games!$B$2:$B$950,MATCH(connections!$A1294,games!$A$2:$A$950,0)),""))</f>
        <v/>
      </c>
      <c r="U1294">
        <f>IF(connections!$A1294="","",IFERROR(INDEX(games!$B$2:$B$950,MATCH(connections!$B1294,games!$A$2:$A$950,0)),""))</f>
        <v/>
      </c>
      <c r="V1294">
        <f>IF(OR($T1294="",$U1294=""),"",$U1294-$T1294)</f>
        <v/>
      </c>
    </row>
    <row r="1295">
      <c r="T1295">
        <f>IF(connections!$A1295="","",IFERROR(INDEX(games!$B$2:$B$950,MATCH(connections!$A1295,games!$A$2:$A$950,0)),""))</f>
        <v/>
      </c>
      <c r="U1295">
        <f>IF(connections!$A1295="","",IFERROR(INDEX(games!$B$2:$B$950,MATCH(connections!$B1295,games!$A$2:$A$950,0)),""))</f>
        <v/>
      </c>
      <c r="V1295">
        <f>IF(OR($T1295="",$U1295=""),"",$U1295-$T1295)</f>
        <v/>
      </c>
    </row>
    <row r="1296">
      <c r="T1296">
        <f>IF(connections!$A1296="","",IFERROR(INDEX(games!$B$2:$B$950,MATCH(connections!$A1296,games!$A$2:$A$950,0)),""))</f>
        <v/>
      </c>
      <c r="U1296">
        <f>IF(connections!$A1296="","",IFERROR(INDEX(games!$B$2:$B$950,MATCH(connections!$B1296,games!$A$2:$A$950,0)),""))</f>
        <v/>
      </c>
      <c r="V1296">
        <f>IF(OR($T1296="",$U1296=""),"",$U1296-$T1296)</f>
        <v/>
      </c>
    </row>
    <row r="1297">
      <c r="T1297">
        <f>IF(connections!$A1297="","",IFERROR(INDEX(games!$B$2:$B$950,MATCH(connections!$A1297,games!$A$2:$A$950,0)),""))</f>
        <v/>
      </c>
      <c r="U1297">
        <f>IF(connections!$A1297="","",IFERROR(INDEX(games!$B$2:$B$950,MATCH(connections!$B1297,games!$A$2:$A$950,0)),""))</f>
        <v/>
      </c>
      <c r="V1297">
        <f>IF(OR($T1297="",$U1297=""),"",$U1297-$T1297)</f>
        <v/>
      </c>
    </row>
    <row r="1298">
      <c r="T1298">
        <f>IF(connections!$A1298="","",IFERROR(INDEX(games!$B$2:$B$950,MATCH(connections!$A1298,games!$A$2:$A$950,0)),""))</f>
        <v/>
      </c>
      <c r="U1298">
        <f>IF(connections!$A1298="","",IFERROR(INDEX(games!$B$2:$B$950,MATCH(connections!$B1298,games!$A$2:$A$950,0)),""))</f>
        <v/>
      </c>
      <c r="V1298">
        <f>IF(OR($T1298="",$U1298=""),"",$U1298-$T1298)</f>
        <v/>
      </c>
    </row>
    <row r="1299">
      <c r="T1299">
        <f>IF(connections!$A1299="","",IFERROR(INDEX(games!$B$2:$B$950,MATCH(connections!$A1299,games!$A$2:$A$950,0)),""))</f>
        <v/>
      </c>
      <c r="U1299">
        <f>IF(connections!$A1299="","",IFERROR(INDEX(games!$B$2:$B$950,MATCH(connections!$B1299,games!$A$2:$A$950,0)),""))</f>
        <v/>
      </c>
      <c r="V1299">
        <f>IF(OR($T1299="",$U1299=""),"",$U1299-$T1299)</f>
        <v/>
      </c>
    </row>
    <row r="1300">
      <c r="T1300">
        <f>IF(connections!$A1300="","",IFERROR(INDEX(games!$B$2:$B$950,MATCH(connections!$A1300,games!$A$2:$A$950,0)),""))</f>
        <v/>
      </c>
      <c r="U1300">
        <f>IF(connections!$A1300="","",IFERROR(INDEX(games!$B$2:$B$950,MATCH(connections!$B1300,games!$A$2:$A$950,0)),""))</f>
        <v/>
      </c>
      <c r="V1300">
        <f>IF(OR($T1300="",$U1300=""),"",$U1300-$T1300)</f>
        <v/>
      </c>
    </row>
    <row r="1301">
      <c r="T1301">
        <f>IF(connections!$A1301="","",IFERROR(INDEX(games!$B$2:$B$950,MATCH(connections!$A1301,games!$A$2:$A$950,0)),""))</f>
        <v/>
      </c>
      <c r="U1301">
        <f>IF(connections!$A1301="","",IFERROR(INDEX(games!$B$2:$B$950,MATCH(connections!$B1301,games!$A$2:$A$950,0)),""))</f>
        <v/>
      </c>
      <c r="V1301">
        <f>IF(OR($T1301="",$U1301=""),"",$U1301-$T1301)</f>
        <v/>
      </c>
    </row>
    <row r="1302">
      <c r="T1302">
        <f>IF(connections!$A1302="","",IFERROR(INDEX(games!$B$2:$B$950,MATCH(connections!$A1302,games!$A$2:$A$950,0)),""))</f>
        <v/>
      </c>
      <c r="U1302">
        <f>IF(connections!$A1302="","",IFERROR(INDEX(games!$B$2:$B$950,MATCH(connections!$B1302,games!$A$2:$A$950,0)),""))</f>
        <v/>
      </c>
      <c r="V1302">
        <f>IF(OR($T1302="",$U1302=""),"",$U1302-$T1302)</f>
        <v/>
      </c>
    </row>
    <row r="1303">
      <c r="T1303">
        <f>IF(connections!$A1303="","",IFERROR(INDEX(games!$B$2:$B$950,MATCH(connections!$A1303,games!$A$2:$A$950,0)),""))</f>
        <v/>
      </c>
      <c r="U1303">
        <f>IF(connections!$A1303="","",IFERROR(INDEX(games!$B$2:$B$950,MATCH(connections!$B1303,games!$A$2:$A$950,0)),""))</f>
        <v/>
      </c>
      <c r="V1303">
        <f>IF(OR($T1303="",$U1303=""),"",$U1303-$T1303)</f>
        <v/>
      </c>
    </row>
    <row r="1304">
      <c r="T1304">
        <f>IF(connections!$A1304="","",IFERROR(INDEX(games!$B$2:$B$950,MATCH(connections!$A1304,games!$A$2:$A$950,0)),""))</f>
        <v/>
      </c>
      <c r="U1304">
        <f>IF(connections!$A1304="","",IFERROR(INDEX(games!$B$2:$B$950,MATCH(connections!$B1304,games!$A$2:$A$950,0)),""))</f>
        <v/>
      </c>
      <c r="V1304">
        <f>IF(OR($T1304="",$U1304=""),"",$U1304-$T1304)</f>
        <v/>
      </c>
    </row>
    <row r="1305">
      <c r="T1305">
        <f>IF(connections!$A1305="","",IFERROR(INDEX(games!$B$2:$B$950,MATCH(connections!$A1305,games!$A$2:$A$950,0)),""))</f>
        <v/>
      </c>
      <c r="U1305">
        <f>IF(connections!$A1305="","",IFERROR(INDEX(games!$B$2:$B$950,MATCH(connections!$B1305,games!$A$2:$A$950,0)),""))</f>
        <v/>
      </c>
      <c r="V1305">
        <f>IF(OR($T1305="",$U1305=""),"",$U1305-$T1305)</f>
        <v/>
      </c>
    </row>
    <row r="1306">
      <c r="T1306">
        <f>IF(connections!$A1306="","",IFERROR(INDEX(games!$B$2:$B$950,MATCH(connections!$A1306,games!$A$2:$A$950,0)),""))</f>
        <v/>
      </c>
      <c r="U1306">
        <f>IF(connections!$A1306="","",IFERROR(INDEX(games!$B$2:$B$950,MATCH(connections!$B1306,games!$A$2:$A$950,0)),""))</f>
        <v/>
      </c>
      <c r="V1306">
        <f>IF(OR($T1306="",$U1306=""),"",$U1306-$T1306)</f>
        <v/>
      </c>
    </row>
    <row r="1307">
      <c r="T1307">
        <f>IF(connections!$A1307="","",IFERROR(INDEX(games!$B$2:$B$950,MATCH(connections!$A1307,games!$A$2:$A$950,0)),""))</f>
        <v/>
      </c>
      <c r="U1307">
        <f>IF(connections!$A1307="","",IFERROR(INDEX(games!$B$2:$B$950,MATCH(connections!$B1307,games!$A$2:$A$950,0)),""))</f>
        <v/>
      </c>
      <c r="V1307">
        <f>IF(OR($T1307="",$U1307=""),"",$U1307-$T1307)</f>
        <v/>
      </c>
    </row>
    <row r="1308">
      <c r="T1308">
        <f>IF(connections!$A1308="","",IFERROR(INDEX(games!$B$2:$B$950,MATCH(connections!$A1308,games!$A$2:$A$950,0)),""))</f>
        <v/>
      </c>
      <c r="U1308">
        <f>IF(connections!$A1308="","",IFERROR(INDEX(games!$B$2:$B$950,MATCH(connections!$B1308,games!$A$2:$A$950,0)),""))</f>
        <v/>
      </c>
      <c r="V1308">
        <f>IF(OR($T1308="",$U1308=""),"",$U1308-$T1308)</f>
        <v/>
      </c>
    </row>
    <row r="1309">
      <c r="T1309">
        <f>IF(connections!$A1309="","",IFERROR(INDEX(games!$B$2:$B$950,MATCH(connections!$A1309,games!$A$2:$A$950,0)),""))</f>
        <v/>
      </c>
      <c r="U1309">
        <f>IF(connections!$A1309="","",IFERROR(INDEX(games!$B$2:$B$950,MATCH(connections!$B1309,games!$A$2:$A$950,0)),""))</f>
        <v/>
      </c>
      <c r="V1309">
        <f>IF(OR($T1309="",$U1309=""),"",$U1309-$T1309)</f>
        <v/>
      </c>
    </row>
    <row r="1310">
      <c r="T1310">
        <f>IF(connections!$A1310="","",IFERROR(INDEX(games!$B$2:$B$950,MATCH(connections!$A1310,games!$A$2:$A$950,0)),""))</f>
        <v/>
      </c>
      <c r="U1310">
        <f>IF(connections!$A1310="","",IFERROR(INDEX(games!$B$2:$B$950,MATCH(connections!$B1310,games!$A$2:$A$950,0)),""))</f>
        <v/>
      </c>
      <c r="V1310">
        <f>IF(OR($T1310="",$U1310=""),"",$U1310-$T1310)</f>
        <v/>
      </c>
    </row>
    <row r="1311">
      <c r="T1311">
        <f>IF(connections!$A1311="","",IFERROR(INDEX(games!$B$2:$B$950,MATCH(connections!$A1311,games!$A$2:$A$950,0)),""))</f>
        <v/>
      </c>
      <c r="U1311">
        <f>IF(connections!$A1311="","",IFERROR(INDEX(games!$B$2:$B$950,MATCH(connections!$B1311,games!$A$2:$A$950,0)),""))</f>
        <v/>
      </c>
      <c r="V1311">
        <f>IF(OR($T1311="",$U1311=""),"",$U1311-$T1311)</f>
        <v/>
      </c>
    </row>
    <row r="1312">
      <c r="T1312">
        <f>IF(connections!$A1312="","",IFERROR(INDEX(games!$B$2:$B$950,MATCH(connections!$A1312,games!$A$2:$A$950,0)),""))</f>
        <v/>
      </c>
      <c r="U1312">
        <f>IF(connections!$A1312="","",IFERROR(INDEX(games!$B$2:$B$950,MATCH(connections!$B1312,games!$A$2:$A$950,0)),""))</f>
        <v/>
      </c>
      <c r="V1312">
        <f>IF(OR($T1312="",$U1312=""),"",$U1312-$T1312)</f>
        <v/>
      </c>
    </row>
    <row r="1313">
      <c r="T1313">
        <f>IF(connections!$A1313="","",IFERROR(INDEX(games!$B$2:$B$950,MATCH(connections!$A1313,games!$A$2:$A$950,0)),""))</f>
        <v/>
      </c>
      <c r="U1313">
        <f>IF(connections!$A1313="","",IFERROR(INDEX(games!$B$2:$B$950,MATCH(connections!$B1313,games!$A$2:$A$950,0)),""))</f>
        <v/>
      </c>
      <c r="V1313">
        <f>IF(OR($T1313="",$U1313=""),"",$U1313-$T1313)</f>
        <v/>
      </c>
    </row>
    <row r="1314">
      <c r="T1314">
        <f>IF(connections!$A1314="","",IFERROR(INDEX(games!$B$2:$B$950,MATCH(connections!$A1314,games!$A$2:$A$950,0)),""))</f>
        <v/>
      </c>
      <c r="U1314">
        <f>IF(connections!$A1314="","",IFERROR(INDEX(games!$B$2:$B$950,MATCH(connections!$B1314,games!$A$2:$A$950,0)),""))</f>
        <v/>
      </c>
      <c r="V1314">
        <f>IF(OR($T1314="",$U1314=""),"",$U1314-$T1314)</f>
        <v/>
      </c>
    </row>
    <row r="1315">
      <c r="T1315">
        <f>IF(connections!$A1315="","",IFERROR(INDEX(games!$B$2:$B$950,MATCH(connections!$A1315,games!$A$2:$A$950,0)),""))</f>
        <v/>
      </c>
      <c r="U1315">
        <f>IF(connections!$A1315="","",IFERROR(INDEX(games!$B$2:$B$950,MATCH(connections!$B1315,games!$A$2:$A$950,0)),""))</f>
        <v/>
      </c>
      <c r="V1315">
        <f>IF(OR($T1315="",$U1315=""),"",$U1315-$T1315)</f>
        <v/>
      </c>
    </row>
    <row r="1316">
      <c r="T1316">
        <f>IF(connections!$A1316="","",IFERROR(INDEX(games!$B$2:$B$950,MATCH(connections!$A1316,games!$A$2:$A$950,0)),""))</f>
        <v/>
      </c>
      <c r="U1316">
        <f>IF(connections!$A1316="","",IFERROR(INDEX(games!$B$2:$B$950,MATCH(connections!$B1316,games!$A$2:$A$950,0)),""))</f>
        <v/>
      </c>
      <c r="V1316">
        <f>IF(OR($T1316="",$U1316=""),"",$U1316-$T1316)</f>
        <v/>
      </c>
    </row>
    <row r="1317">
      <c r="T1317">
        <f>IF(connections!$A1317="","",IFERROR(INDEX(games!$B$2:$B$950,MATCH(connections!$A1317,games!$A$2:$A$950,0)),""))</f>
        <v/>
      </c>
      <c r="U1317">
        <f>IF(connections!$A1317="","",IFERROR(INDEX(games!$B$2:$B$950,MATCH(connections!$B1317,games!$A$2:$A$950,0)),""))</f>
        <v/>
      </c>
      <c r="V1317">
        <f>IF(OR($T1317="",$U1317=""),"",$U1317-$T1317)</f>
        <v/>
      </c>
    </row>
    <row r="1318">
      <c r="T1318">
        <f>IF(connections!$A1318="","",IFERROR(INDEX(games!$B$2:$B$950,MATCH(connections!$A1318,games!$A$2:$A$950,0)),""))</f>
        <v/>
      </c>
      <c r="U1318">
        <f>IF(connections!$A1318="","",IFERROR(INDEX(games!$B$2:$B$950,MATCH(connections!$B1318,games!$A$2:$A$950,0)),""))</f>
        <v/>
      </c>
      <c r="V1318">
        <f>IF(OR($T1318="",$U1318=""),"",$U1318-$T1318)</f>
        <v/>
      </c>
    </row>
    <row r="1319">
      <c r="T1319">
        <f>IF(connections!$A1319="","",IFERROR(INDEX(games!$B$2:$B$950,MATCH(connections!$A1319,games!$A$2:$A$950,0)),""))</f>
        <v/>
      </c>
      <c r="U1319">
        <f>IF(connections!$A1319="","",IFERROR(INDEX(games!$B$2:$B$950,MATCH(connections!$B1319,games!$A$2:$A$950,0)),""))</f>
        <v/>
      </c>
      <c r="V1319">
        <f>IF(OR($T1319="",$U1319=""),"",$U1319-$T1319)</f>
        <v/>
      </c>
    </row>
    <row r="1320">
      <c r="T1320">
        <f>IF(connections!$A1320="","",IFERROR(INDEX(games!$B$2:$B$950,MATCH(connections!$A1320,games!$A$2:$A$950,0)),""))</f>
        <v/>
      </c>
      <c r="U1320">
        <f>IF(connections!$A1320="","",IFERROR(INDEX(games!$B$2:$B$950,MATCH(connections!$B1320,games!$A$2:$A$950,0)),""))</f>
        <v/>
      </c>
      <c r="V1320">
        <f>IF(OR($T1320="",$U1320=""),"",$U1320-$T1320)</f>
        <v/>
      </c>
    </row>
    <row r="1321">
      <c r="T1321">
        <f>IF(connections!$A1321="","",IFERROR(INDEX(games!$B$2:$B$950,MATCH(connections!$A1321,games!$A$2:$A$950,0)),""))</f>
        <v/>
      </c>
      <c r="U1321">
        <f>IF(connections!$A1321="","",IFERROR(INDEX(games!$B$2:$B$950,MATCH(connections!$B1321,games!$A$2:$A$950,0)),""))</f>
        <v/>
      </c>
      <c r="V1321">
        <f>IF(OR($T1321="",$U1321=""),"",$U1321-$T1321)</f>
        <v/>
      </c>
    </row>
    <row r="1322">
      <c r="T1322">
        <f>IF(connections!$A1322="","",IFERROR(INDEX(games!$B$2:$B$950,MATCH(connections!$A1322,games!$A$2:$A$950,0)),""))</f>
        <v/>
      </c>
      <c r="U1322">
        <f>IF(connections!$A1322="","",IFERROR(INDEX(games!$B$2:$B$950,MATCH(connections!$B1322,games!$A$2:$A$950,0)),""))</f>
        <v/>
      </c>
      <c r="V1322">
        <f>IF(OR($T1322="",$U1322=""),"",$U1322-$T1322)</f>
        <v/>
      </c>
    </row>
    <row r="1323">
      <c r="T1323">
        <f>IF(connections!$A1323="","",IFERROR(INDEX(games!$B$2:$B$950,MATCH(connections!$A1323,games!$A$2:$A$950,0)),""))</f>
        <v/>
      </c>
      <c r="U1323">
        <f>IF(connections!$A1323="","",IFERROR(INDEX(games!$B$2:$B$950,MATCH(connections!$B1323,games!$A$2:$A$950,0)),""))</f>
        <v/>
      </c>
      <c r="V1323">
        <f>IF(OR($T1323="",$U1323=""),"",$U1323-$T1323)</f>
        <v/>
      </c>
    </row>
    <row r="1324">
      <c r="T1324">
        <f>IF(connections!$A1324="","",IFERROR(INDEX(games!$B$2:$B$950,MATCH(connections!$A1324,games!$A$2:$A$950,0)),""))</f>
        <v/>
      </c>
      <c r="U1324">
        <f>IF(connections!$A1324="","",IFERROR(INDEX(games!$B$2:$B$950,MATCH(connections!$B1324,games!$A$2:$A$950,0)),""))</f>
        <v/>
      </c>
      <c r="V1324">
        <f>IF(OR($T1324="",$U1324=""),"",$U1324-$T1324)</f>
        <v/>
      </c>
    </row>
    <row r="1325">
      <c r="T1325">
        <f>IF(connections!$A1325="","",IFERROR(INDEX(games!$B$2:$B$950,MATCH(connections!$A1325,games!$A$2:$A$950,0)),""))</f>
        <v/>
      </c>
      <c r="U1325">
        <f>IF(connections!$A1325="","",IFERROR(INDEX(games!$B$2:$B$950,MATCH(connections!$B1325,games!$A$2:$A$950,0)),""))</f>
        <v/>
      </c>
      <c r="V1325">
        <f>IF(OR($T1325="",$U1325=""),"",$U1325-$T1325)</f>
        <v/>
      </c>
    </row>
    <row r="1326">
      <c r="T1326">
        <f>IF(connections!$A1326="","",IFERROR(INDEX(games!$B$2:$B$950,MATCH(connections!$A1326,games!$A$2:$A$950,0)),""))</f>
        <v/>
      </c>
      <c r="U1326">
        <f>IF(connections!$A1326="","",IFERROR(INDEX(games!$B$2:$B$950,MATCH(connections!$B1326,games!$A$2:$A$950,0)),""))</f>
        <v/>
      </c>
      <c r="V1326">
        <f>IF(OR($T1326="",$U1326=""),"",$U1326-$T1326)</f>
        <v/>
      </c>
    </row>
    <row r="1327">
      <c r="T1327">
        <f>IF(connections!$A1327="","",IFERROR(INDEX(games!$B$2:$B$950,MATCH(connections!$A1327,games!$A$2:$A$950,0)),""))</f>
        <v/>
      </c>
      <c r="U1327">
        <f>IF(connections!$A1327="","",IFERROR(INDEX(games!$B$2:$B$950,MATCH(connections!$B1327,games!$A$2:$A$950,0)),""))</f>
        <v/>
      </c>
      <c r="V1327">
        <f>IF(OR($T1327="",$U1327=""),"",$U1327-$T1327)</f>
        <v/>
      </c>
    </row>
    <row r="1328">
      <c r="T1328">
        <f>IF(connections!$A1328="","",IFERROR(INDEX(games!$B$2:$B$950,MATCH(connections!$A1328,games!$A$2:$A$950,0)),""))</f>
        <v/>
      </c>
      <c r="U1328">
        <f>IF(connections!$A1328="","",IFERROR(INDEX(games!$B$2:$B$950,MATCH(connections!$B1328,games!$A$2:$A$950,0)),""))</f>
        <v/>
      </c>
      <c r="V1328">
        <f>IF(OR($T1328="",$U1328=""),"",$U1328-$T1328)</f>
        <v/>
      </c>
    </row>
    <row r="1329">
      <c r="T1329">
        <f>IF(connections!$A1329="","",IFERROR(INDEX(games!$B$2:$B$950,MATCH(connections!$A1329,games!$A$2:$A$950,0)),""))</f>
        <v/>
      </c>
      <c r="U1329">
        <f>IF(connections!$A1329="","",IFERROR(INDEX(games!$B$2:$B$950,MATCH(connections!$B1329,games!$A$2:$A$950,0)),""))</f>
        <v/>
      </c>
      <c r="V1329">
        <f>IF(OR($T1329="",$U1329=""),"",$U1329-$T1329)</f>
        <v/>
      </c>
    </row>
    <row r="1330">
      <c r="T1330">
        <f>IF(connections!$A1330="","",IFERROR(INDEX(games!$B$2:$B$950,MATCH(connections!$A1330,games!$A$2:$A$950,0)),""))</f>
        <v/>
      </c>
      <c r="U1330">
        <f>IF(connections!$A1330="","",IFERROR(INDEX(games!$B$2:$B$950,MATCH(connections!$B1330,games!$A$2:$A$950,0)),""))</f>
        <v/>
      </c>
      <c r="V1330">
        <f>IF(OR($T1330="",$U1330=""),"",$U1330-$T1330)</f>
        <v/>
      </c>
    </row>
    <row r="1331">
      <c r="T1331">
        <f>IF(connections!$A1331="","",IFERROR(INDEX(games!$B$2:$B$950,MATCH(connections!$A1331,games!$A$2:$A$950,0)),""))</f>
        <v/>
      </c>
      <c r="U1331">
        <f>IF(connections!$A1331="","",IFERROR(INDEX(games!$B$2:$B$950,MATCH(connections!$B1331,games!$A$2:$A$950,0)),""))</f>
        <v/>
      </c>
      <c r="V1331">
        <f>IF(OR($T1331="",$U1331=""),"",$U1331-$T1331)</f>
        <v/>
      </c>
    </row>
    <row r="1332">
      <c r="T1332">
        <f>IF(connections!$A1332="","",IFERROR(INDEX(games!$B$2:$B$950,MATCH(connections!$A1332,games!$A$2:$A$950,0)),""))</f>
        <v/>
      </c>
      <c r="U1332">
        <f>IF(connections!$A1332="","",IFERROR(INDEX(games!$B$2:$B$950,MATCH(connections!$B1332,games!$A$2:$A$950,0)),""))</f>
        <v/>
      </c>
      <c r="V1332">
        <f>IF(OR($T1332="",$U1332=""),"",$U1332-$T1332)</f>
        <v/>
      </c>
    </row>
    <row r="1333">
      <c r="T1333">
        <f>IF(connections!$A1333="","",IFERROR(INDEX(games!$B$2:$B$950,MATCH(connections!$A1333,games!$A$2:$A$950,0)),""))</f>
        <v/>
      </c>
      <c r="U1333">
        <f>IF(connections!$A1333="","",IFERROR(INDEX(games!$B$2:$B$950,MATCH(connections!$B1333,games!$A$2:$A$950,0)),""))</f>
        <v/>
      </c>
      <c r="V1333">
        <f>IF(OR($T1333="",$U1333=""),"",$U1333-$T1333)</f>
        <v/>
      </c>
    </row>
    <row r="1334">
      <c r="T1334">
        <f>IF(connections!$A1334="","",IFERROR(INDEX(games!$B$2:$B$950,MATCH(connections!$A1334,games!$A$2:$A$950,0)),""))</f>
        <v/>
      </c>
      <c r="U1334">
        <f>IF(connections!$A1334="","",IFERROR(INDEX(games!$B$2:$B$950,MATCH(connections!$B1334,games!$A$2:$A$950,0)),""))</f>
        <v/>
      </c>
      <c r="V1334">
        <f>IF(OR($T1334="",$U1334=""),"",$U1334-$T1334)</f>
        <v/>
      </c>
    </row>
    <row r="1335">
      <c r="T1335">
        <f>IF(connections!$A1335="","",IFERROR(INDEX(games!$B$2:$B$950,MATCH(connections!$A1335,games!$A$2:$A$950,0)),""))</f>
        <v/>
      </c>
      <c r="U1335">
        <f>IF(connections!$A1335="","",IFERROR(INDEX(games!$B$2:$B$950,MATCH(connections!$B1335,games!$A$2:$A$950,0)),""))</f>
        <v/>
      </c>
      <c r="V1335">
        <f>IF(OR($T1335="",$U1335=""),"",$U1335-$T1335)</f>
        <v/>
      </c>
    </row>
    <row r="1336">
      <c r="T1336">
        <f>IF(connections!$A1336="","",IFERROR(INDEX(games!$B$2:$B$950,MATCH(connections!$A1336,games!$A$2:$A$950,0)),""))</f>
        <v/>
      </c>
      <c r="U1336">
        <f>IF(connections!$A1336="","",IFERROR(INDEX(games!$B$2:$B$950,MATCH(connections!$B1336,games!$A$2:$A$950,0)),""))</f>
        <v/>
      </c>
      <c r="V1336">
        <f>IF(OR($T1336="",$U1336=""),"",$U1336-$T1336)</f>
        <v/>
      </c>
    </row>
    <row r="1337">
      <c r="T1337">
        <f>IF(connections!$A1337="","",IFERROR(INDEX(games!$B$2:$B$950,MATCH(connections!$A1337,games!$A$2:$A$950,0)),""))</f>
        <v/>
      </c>
      <c r="U1337">
        <f>IF(connections!$A1337="","",IFERROR(INDEX(games!$B$2:$B$950,MATCH(connections!$B1337,games!$A$2:$A$950,0)),""))</f>
        <v/>
      </c>
      <c r="V1337">
        <f>IF(OR($T1337="",$U1337=""),"",$U1337-$T1337)</f>
        <v/>
      </c>
    </row>
    <row r="1338">
      <c r="T1338">
        <f>IF(connections!$A1338="","",IFERROR(INDEX(games!$B$2:$B$950,MATCH(connections!$A1338,games!$A$2:$A$950,0)),""))</f>
        <v/>
      </c>
      <c r="U1338">
        <f>IF(connections!$A1338="","",IFERROR(INDEX(games!$B$2:$B$950,MATCH(connections!$B1338,games!$A$2:$A$950,0)),""))</f>
        <v/>
      </c>
      <c r="V1338">
        <f>IF(OR($T1338="",$U1338=""),"",$U1338-$T1338)</f>
        <v/>
      </c>
    </row>
    <row r="1339">
      <c r="T1339">
        <f>IF(connections!$A1339="","",IFERROR(INDEX(games!$B$2:$B$950,MATCH(connections!$A1339,games!$A$2:$A$950,0)),""))</f>
        <v/>
      </c>
      <c r="U1339">
        <f>IF(connections!$A1339="","",IFERROR(INDEX(games!$B$2:$B$950,MATCH(connections!$B1339,games!$A$2:$A$950,0)),""))</f>
        <v/>
      </c>
      <c r="V1339">
        <f>IF(OR($T1339="",$U1339=""),"",$U1339-$T1339)</f>
        <v/>
      </c>
    </row>
    <row r="1340">
      <c r="T1340">
        <f>IF(connections!$A1340="","",IFERROR(INDEX(games!$B$2:$B$950,MATCH(connections!$A1340,games!$A$2:$A$950,0)),""))</f>
        <v/>
      </c>
      <c r="U1340">
        <f>IF(connections!$A1340="","",IFERROR(INDEX(games!$B$2:$B$950,MATCH(connections!$B1340,games!$A$2:$A$950,0)),""))</f>
        <v/>
      </c>
      <c r="V1340">
        <f>IF(OR($T1340="",$U1340=""),"",$U1340-$T1340)</f>
        <v/>
      </c>
    </row>
    <row r="1341">
      <c r="T1341">
        <f>IF(connections!$A1341="","",IFERROR(INDEX(games!$B$2:$B$950,MATCH(connections!$A1341,games!$A$2:$A$950,0)),""))</f>
        <v/>
      </c>
      <c r="U1341">
        <f>IF(connections!$A1341="","",IFERROR(INDEX(games!$B$2:$B$950,MATCH(connections!$B1341,games!$A$2:$A$950,0)),""))</f>
        <v/>
      </c>
      <c r="V1341">
        <f>IF(OR($T1341="",$U1341=""),"",$U1341-$T1341)</f>
        <v/>
      </c>
    </row>
    <row r="1342">
      <c r="T1342">
        <f>IF(connections!$A1342="","",IFERROR(INDEX(games!$B$2:$B$950,MATCH(connections!$A1342,games!$A$2:$A$950,0)),""))</f>
        <v/>
      </c>
      <c r="U1342">
        <f>IF(connections!$A1342="","",IFERROR(INDEX(games!$B$2:$B$950,MATCH(connections!$B1342,games!$A$2:$A$950,0)),""))</f>
        <v/>
      </c>
      <c r="V1342">
        <f>IF(OR($T1342="",$U1342=""),"",$U1342-$T1342)</f>
        <v/>
      </c>
    </row>
    <row r="1343">
      <c r="T1343">
        <f>IF(connections!$A1343="","",IFERROR(INDEX(games!$B$2:$B$950,MATCH(connections!$A1343,games!$A$2:$A$950,0)),""))</f>
        <v/>
      </c>
      <c r="U1343">
        <f>IF(connections!$A1343="","",IFERROR(INDEX(games!$B$2:$B$950,MATCH(connections!$B1343,games!$A$2:$A$950,0)),""))</f>
        <v/>
      </c>
      <c r="V1343">
        <f>IF(OR($T1343="",$U1343=""),"",$U1343-$T1343)</f>
        <v/>
      </c>
    </row>
    <row r="1344">
      <c r="T1344">
        <f>IF(connections!$A1344="","",IFERROR(INDEX(games!$B$2:$B$950,MATCH(connections!$A1344,games!$A$2:$A$950,0)),""))</f>
        <v/>
      </c>
      <c r="U1344">
        <f>IF(connections!$A1344="","",IFERROR(INDEX(games!$B$2:$B$950,MATCH(connections!$B1344,games!$A$2:$A$950,0)),""))</f>
        <v/>
      </c>
      <c r="V1344">
        <f>IF(OR($T1344="",$U1344=""),"",$U1344-$T1344)</f>
        <v/>
      </c>
    </row>
    <row r="1345">
      <c r="T1345">
        <f>IF(connections!$A1345="","",IFERROR(INDEX(games!$B$2:$B$950,MATCH(connections!$A1345,games!$A$2:$A$950,0)),""))</f>
        <v/>
      </c>
      <c r="U1345">
        <f>IF(connections!$A1345="","",IFERROR(INDEX(games!$B$2:$B$950,MATCH(connections!$B1345,games!$A$2:$A$950,0)),""))</f>
        <v/>
      </c>
      <c r="V1345">
        <f>IF(OR($T1345="",$U1345=""),"",$U1345-$T1345)</f>
        <v/>
      </c>
    </row>
    <row r="1346">
      <c r="T1346">
        <f>IF(connections!$A1346="","",IFERROR(INDEX(games!$B$2:$B$950,MATCH(connections!$A1346,games!$A$2:$A$950,0)),""))</f>
        <v/>
      </c>
      <c r="U1346">
        <f>IF(connections!$A1346="","",IFERROR(INDEX(games!$B$2:$B$950,MATCH(connections!$B1346,games!$A$2:$A$950,0)),""))</f>
        <v/>
      </c>
      <c r="V1346">
        <f>IF(OR($T1346="",$U1346=""),"",$U1346-$T1346)</f>
        <v/>
      </c>
    </row>
    <row r="1347">
      <c r="T1347">
        <f>IF(connections!$A1347="","",IFERROR(INDEX(games!$B$2:$B$950,MATCH(connections!$A1347,games!$A$2:$A$950,0)),""))</f>
        <v/>
      </c>
      <c r="U1347">
        <f>IF(connections!$A1347="","",IFERROR(INDEX(games!$B$2:$B$950,MATCH(connections!$B1347,games!$A$2:$A$950,0)),""))</f>
        <v/>
      </c>
      <c r="V1347">
        <f>IF(OR($T1347="",$U1347=""),"",$U1347-$T1347)</f>
        <v/>
      </c>
    </row>
    <row r="1348">
      <c r="T1348">
        <f>IF(connections!$A1348="","",IFERROR(INDEX(games!$B$2:$B$950,MATCH(connections!$A1348,games!$A$2:$A$950,0)),""))</f>
        <v/>
      </c>
      <c r="U1348">
        <f>IF(connections!$A1348="","",IFERROR(INDEX(games!$B$2:$B$950,MATCH(connections!$B1348,games!$A$2:$A$950,0)),""))</f>
        <v/>
      </c>
      <c r="V1348">
        <f>IF(OR($T1348="",$U1348=""),"",$U1348-$T1348)</f>
        <v/>
      </c>
    </row>
    <row r="1349">
      <c r="T1349">
        <f>IF(connections!$A1349="","",IFERROR(INDEX(games!$B$2:$B$950,MATCH(connections!$A1349,games!$A$2:$A$950,0)),""))</f>
        <v/>
      </c>
      <c r="U1349">
        <f>IF(connections!$A1349="","",IFERROR(INDEX(games!$B$2:$B$950,MATCH(connections!$B1349,games!$A$2:$A$950,0)),""))</f>
        <v/>
      </c>
      <c r="V1349">
        <f>IF(OR($T1349="",$U1349=""),"",$U1349-$T1349)</f>
        <v/>
      </c>
    </row>
    <row r="1350">
      <c r="T1350">
        <f>IF(connections!$A1350="","",IFERROR(INDEX(games!$B$2:$B$950,MATCH(connections!$A1350,games!$A$2:$A$950,0)),""))</f>
        <v/>
      </c>
      <c r="U1350">
        <f>IF(connections!$A1350="","",IFERROR(INDEX(games!$B$2:$B$950,MATCH(connections!$B1350,games!$A$2:$A$950,0)),""))</f>
        <v/>
      </c>
      <c r="V1350">
        <f>IF(OR($T1350="",$U1350=""),"",$U1350-$T1350)</f>
        <v/>
      </c>
    </row>
    <row r="1351">
      <c r="T1351">
        <f>IF(connections!$A1351="","",IFERROR(INDEX(games!$B$2:$B$950,MATCH(connections!$A1351,games!$A$2:$A$950,0)),""))</f>
        <v/>
      </c>
      <c r="U1351">
        <f>IF(connections!$A1351="","",IFERROR(INDEX(games!$B$2:$B$950,MATCH(connections!$B1351,games!$A$2:$A$950,0)),""))</f>
        <v/>
      </c>
      <c r="V1351">
        <f>IF(OR($T1351="",$U1351=""),"",$U1351-$T1351)</f>
        <v/>
      </c>
    </row>
    <row r="1352">
      <c r="T1352">
        <f>IF(connections!$A1352="","",IFERROR(INDEX(games!$B$2:$B$950,MATCH(connections!$A1352,games!$A$2:$A$950,0)),""))</f>
        <v/>
      </c>
      <c r="U1352">
        <f>IF(connections!$A1352="","",IFERROR(INDEX(games!$B$2:$B$950,MATCH(connections!$B1352,games!$A$2:$A$950,0)),""))</f>
        <v/>
      </c>
      <c r="V1352">
        <f>IF(OR($T1352="",$U1352=""),"",$U1352-$T1352)</f>
        <v/>
      </c>
    </row>
    <row r="1353">
      <c r="T1353">
        <f>IF(connections!$A1353="","",IFERROR(INDEX(games!$B$2:$B$950,MATCH(connections!$A1353,games!$A$2:$A$950,0)),""))</f>
        <v/>
      </c>
      <c r="U1353">
        <f>IF(connections!$A1353="","",IFERROR(INDEX(games!$B$2:$B$950,MATCH(connections!$B1353,games!$A$2:$A$950,0)),""))</f>
        <v/>
      </c>
      <c r="V1353">
        <f>IF(OR($T1353="",$U1353=""),"",$U1353-$T1353)</f>
        <v/>
      </c>
    </row>
    <row r="1354">
      <c r="T1354">
        <f>IF(connections!$A1354="","",IFERROR(INDEX(games!$B$2:$B$950,MATCH(connections!$A1354,games!$A$2:$A$950,0)),""))</f>
        <v/>
      </c>
      <c r="U1354">
        <f>IF(connections!$A1354="","",IFERROR(INDEX(games!$B$2:$B$950,MATCH(connections!$B1354,games!$A$2:$A$950,0)),""))</f>
        <v/>
      </c>
      <c r="V1354">
        <f>IF(OR($T1354="",$U1354=""),"",$U1354-$T1354)</f>
        <v/>
      </c>
    </row>
    <row r="1355">
      <c r="T1355">
        <f>IF(connections!$A1355="","",IFERROR(INDEX(games!$B$2:$B$950,MATCH(connections!$A1355,games!$A$2:$A$950,0)),""))</f>
        <v/>
      </c>
      <c r="U1355">
        <f>IF(connections!$A1355="","",IFERROR(INDEX(games!$B$2:$B$950,MATCH(connections!$B1355,games!$A$2:$A$950,0)),""))</f>
        <v/>
      </c>
      <c r="V1355">
        <f>IF(OR($T1355="",$U1355=""),"",$U1355-$T1355)</f>
        <v/>
      </c>
    </row>
    <row r="1356">
      <c r="T1356">
        <f>IF(connections!$A1356="","",IFERROR(INDEX(games!$B$2:$B$950,MATCH(connections!$A1356,games!$A$2:$A$950,0)),""))</f>
        <v/>
      </c>
      <c r="U1356">
        <f>IF(connections!$A1356="","",IFERROR(INDEX(games!$B$2:$B$950,MATCH(connections!$B1356,games!$A$2:$A$950,0)),""))</f>
        <v/>
      </c>
      <c r="V1356">
        <f>IF(OR($T1356="",$U1356=""),"",$U1356-$T1356)</f>
        <v/>
      </c>
    </row>
    <row r="1357">
      <c r="T1357">
        <f>IF(connections!$A1357="","",IFERROR(INDEX(games!$B$2:$B$950,MATCH(connections!$A1357,games!$A$2:$A$950,0)),""))</f>
        <v/>
      </c>
      <c r="U1357">
        <f>IF(connections!$A1357="","",IFERROR(INDEX(games!$B$2:$B$950,MATCH(connections!$B1357,games!$A$2:$A$950,0)),""))</f>
        <v/>
      </c>
      <c r="V1357">
        <f>IF(OR($T1357="",$U1357=""),"",$U1357-$T1357)</f>
        <v/>
      </c>
    </row>
    <row r="1358">
      <c r="T1358">
        <f>IF(connections!$A1358="","",IFERROR(INDEX(games!$B$2:$B$950,MATCH(connections!$A1358,games!$A$2:$A$950,0)),""))</f>
        <v/>
      </c>
      <c r="U1358">
        <f>IF(connections!$A1358="","",IFERROR(INDEX(games!$B$2:$B$950,MATCH(connections!$B1358,games!$A$2:$A$950,0)),""))</f>
        <v/>
      </c>
      <c r="V1358">
        <f>IF(OR($T1358="",$U1358=""),"",$U1358-$T1358)</f>
        <v/>
      </c>
    </row>
    <row r="1359">
      <c r="T1359">
        <f>IF(connections!$A1359="","",IFERROR(INDEX(games!$B$2:$B$950,MATCH(connections!$A1359,games!$A$2:$A$950,0)),""))</f>
        <v/>
      </c>
      <c r="U1359">
        <f>IF(connections!$A1359="","",IFERROR(INDEX(games!$B$2:$B$950,MATCH(connections!$B1359,games!$A$2:$A$950,0)),""))</f>
        <v/>
      </c>
      <c r="V1359">
        <f>IF(OR($T1359="",$U1359=""),"",$U1359-$T1359)</f>
        <v/>
      </c>
    </row>
    <row r="1360">
      <c r="T1360">
        <f>IF(connections!$A1360="","",IFERROR(INDEX(games!$B$2:$B$950,MATCH(connections!$A1360,games!$A$2:$A$950,0)),""))</f>
        <v/>
      </c>
      <c r="U1360">
        <f>IF(connections!$A1360="","",IFERROR(INDEX(games!$B$2:$B$950,MATCH(connections!$B1360,games!$A$2:$A$950,0)),""))</f>
        <v/>
      </c>
      <c r="V1360">
        <f>IF(OR($T1360="",$U1360=""),"",$U1360-$T1360)</f>
        <v/>
      </c>
    </row>
    <row r="1361">
      <c r="T1361">
        <f>IF(connections!$A1361="","",IFERROR(INDEX(games!$B$2:$B$950,MATCH(connections!$A1361,games!$A$2:$A$950,0)),""))</f>
        <v/>
      </c>
      <c r="U1361">
        <f>IF(connections!$A1361="","",IFERROR(INDEX(games!$B$2:$B$950,MATCH(connections!$B1361,games!$A$2:$A$950,0)),""))</f>
        <v/>
      </c>
      <c r="V1361">
        <f>IF(OR($T1361="",$U1361=""),"",$U1361-$T1361)</f>
        <v/>
      </c>
    </row>
    <row r="1362">
      <c r="T1362">
        <f>IF(connections!$A1362="","",IFERROR(INDEX(games!$B$2:$B$950,MATCH(connections!$A1362,games!$A$2:$A$950,0)),""))</f>
        <v/>
      </c>
      <c r="U1362">
        <f>IF(connections!$A1362="","",IFERROR(INDEX(games!$B$2:$B$950,MATCH(connections!$B1362,games!$A$2:$A$950,0)),""))</f>
        <v/>
      </c>
      <c r="V1362">
        <f>IF(OR($T1362="",$U1362=""),"",$U1362-$T1362)</f>
        <v/>
      </c>
    </row>
    <row r="1363">
      <c r="T1363">
        <f>IF(connections!$A1363="","",IFERROR(INDEX(games!$B$2:$B$950,MATCH(connections!$A1363,games!$A$2:$A$950,0)),""))</f>
        <v/>
      </c>
      <c r="U1363">
        <f>IF(connections!$A1363="","",IFERROR(INDEX(games!$B$2:$B$950,MATCH(connections!$B1363,games!$A$2:$A$950,0)),""))</f>
        <v/>
      </c>
      <c r="V1363">
        <f>IF(OR($T1363="",$U1363=""),"",$U1363-$T1363)</f>
        <v/>
      </c>
    </row>
    <row r="1364">
      <c r="T1364">
        <f>IF(connections!$A1364="","",IFERROR(INDEX(games!$B$2:$B$950,MATCH(connections!$A1364,games!$A$2:$A$950,0)),""))</f>
        <v/>
      </c>
      <c r="U1364">
        <f>IF(connections!$A1364="","",IFERROR(INDEX(games!$B$2:$B$950,MATCH(connections!$B1364,games!$A$2:$A$950,0)),""))</f>
        <v/>
      </c>
      <c r="V1364">
        <f>IF(OR($T1364="",$U1364=""),"",$U1364-$T1364)</f>
        <v/>
      </c>
    </row>
    <row r="1365">
      <c r="T1365">
        <f>IF(connections!$A1365="","",IFERROR(INDEX(games!$B$2:$B$950,MATCH(connections!$A1365,games!$A$2:$A$950,0)),""))</f>
        <v/>
      </c>
      <c r="U1365">
        <f>IF(connections!$A1365="","",IFERROR(INDEX(games!$B$2:$B$950,MATCH(connections!$B1365,games!$A$2:$A$950,0)),""))</f>
        <v/>
      </c>
      <c r="V1365">
        <f>IF(OR($T1365="",$U1365=""),"",$U1365-$T1365)</f>
        <v/>
      </c>
    </row>
    <row r="1366">
      <c r="T1366">
        <f>IF(connections!$A1366="","",IFERROR(INDEX(games!$B$2:$B$950,MATCH(connections!$A1366,games!$A$2:$A$950,0)),""))</f>
        <v/>
      </c>
      <c r="U1366">
        <f>IF(connections!$A1366="","",IFERROR(INDEX(games!$B$2:$B$950,MATCH(connections!$B1366,games!$A$2:$A$950,0)),""))</f>
        <v/>
      </c>
      <c r="V1366">
        <f>IF(OR($T1366="",$U1366=""),"",$U1366-$T1366)</f>
        <v/>
      </c>
    </row>
    <row r="1367">
      <c r="T1367">
        <f>IF(connections!$A1367="","",IFERROR(INDEX(games!$B$2:$B$950,MATCH(connections!$A1367,games!$A$2:$A$950,0)),""))</f>
        <v/>
      </c>
      <c r="U1367">
        <f>IF(connections!$A1367="","",IFERROR(INDEX(games!$B$2:$B$950,MATCH(connections!$B1367,games!$A$2:$A$950,0)),""))</f>
        <v/>
      </c>
      <c r="V1367">
        <f>IF(OR($T1367="",$U1367=""),"",$U1367-$T1367)</f>
        <v/>
      </c>
    </row>
    <row r="1368">
      <c r="T1368">
        <f>IF(connections!$A1368="","",IFERROR(INDEX(games!$B$2:$B$950,MATCH(connections!$A1368,games!$A$2:$A$950,0)),""))</f>
        <v/>
      </c>
      <c r="U1368">
        <f>IF(connections!$A1368="","",IFERROR(INDEX(games!$B$2:$B$950,MATCH(connections!$B1368,games!$A$2:$A$950,0)),""))</f>
        <v/>
      </c>
      <c r="V1368">
        <f>IF(OR($T1368="",$U1368=""),"",$U1368-$T1368)</f>
        <v/>
      </c>
    </row>
    <row r="1369">
      <c r="T1369">
        <f>IF(connections!$A1369="","",IFERROR(INDEX(games!$B$2:$B$950,MATCH(connections!$A1369,games!$A$2:$A$950,0)),""))</f>
        <v/>
      </c>
      <c r="U1369">
        <f>IF(connections!$A1369="","",IFERROR(INDEX(games!$B$2:$B$950,MATCH(connections!$B1369,games!$A$2:$A$950,0)),""))</f>
        <v/>
      </c>
      <c r="V1369">
        <f>IF(OR($T1369="",$U1369=""),"",$U1369-$T1369)</f>
        <v/>
      </c>
    </row>
    <row r="1370">
      <c r="T1370">
        <f>IF(connections!$A1370="","",IFERROR(INDEX(games!$B$2:$B$950,MATCH(connections!$A1370,games!$A$2:$A$950,0)),""))</f>
        <v/>
      </c>
      <c r="U1370">
        <f>IF(connections!$A1370="","",IFERROR(INDEX(games!$B$2:$B$950,MATCH(connections!$B1370,games!$A$2:$A$950,0)),""))</f>
        <v/>
      </c>
      <c r="V1370">
        <f>IF(OR($T1370="",$U1370=""),"",$U1370-$T1370)</f>
        <v/>
      </c>
    </row>
    <row r="1371">
      <c r="T1371">
        <f>IF(connections!$A1371="","",IFERROR(INDEX(games!$B$2:$B$950,MATCH(connections!$A1371,games!$A$2:$A$950,0)),""))</f>
        <v/>
      </c>
      <c r="U1371">
        <f>IF(connections!$A1371="","",IFERROR(INDEX(games!$B$2:$B$950,MATCH(connections!$B1371,games!$A$2:$A$950,0)),""))</f>
        <v/>
      </c>
      <c r="V1371">
        <f>IF(OR($T1371="",$U1371=""),"",$U1371-$T1371)</f>
        <v/>
      </c>
    </row>
    <row r="1372">
      <c r="T1372">
        <f>IF(connections!$A1372="","",IFERROR(INDEX(games!$B$2:$B$950,MATCH(connections!$A1372,games!$A$2:$A$950,0)),""))</f>
        <v/>
      </c>
      <c r="U1372">
        <f>IF(connections!$A1372="","",IFERROR(INDEX(games!$B$2:$B$950,MATCH(connections!$B1372,games!$A$2:$A$950,0)),""))</f>
        <v/>
      </c>
      <c r="V1372">
        <f>IF(OR($T1372="",$U1372=""),"",$U1372-$T1372)</f>
        <v/>
      </c>
    </row>
    <row r="1373">
      <c r="T1373">
        <f>IF(connections!$A1373="","",IFERROR(INDEX(games!$B$2:$B$950,MATCH(connections!$A1373,games!$A$2:$A$950,0)),""))</f>
        <v/>
      </c>
      <c r="U1373">
        <f>IF(connections!$A1373="","",IFERROR(INDEX(games!$B$2:$B$950,MATCH(connections!$B1373,games!$A$2:$A$950,0)),""))</f>
        <v/>
      </c>
      <c r="V1373">
        <f>IF(OR($T1373="",$U1373=""),"",$U1373-$T1373)</f>
        <v/>
      </c>
    </row>
    <row r="1374">
      <c r="T1374">
        <f>IF(connections!$A1374="","",IFERROR(INDEX(games!$B$2:$B$950,MATCH(connections!$A1374,games!$A$2:$A$950,0)),""))</f>
        <v/>
      </c>
      <c r="U1374">
        <f>IF(connections!$A1374="","",IFERROR(INDEX(games!$B$2:$B$950,MATCH(connections!$B1374,games!$A$2:$A$950,0)),""))</f>
        <v/>
      </c>
      <c r="V1374">
        <f>IF(OR($T1374="",$U1374=""),"",$U1374-$T1374)</f>
        <v/>
      </c>
    </row>
    <row r="1375">
      <c r="T1375">
        <f>IF(connections!$A1375="","",IFERROR(INDEX(games!$B$2:$B$950,MATCH(connections!$A1375,games!$A$2:$A$950,0)),""))</f>
        <v/>
      </c>
      <c r="U1375">
        <f>IF(connections!$A1375="","",IFERROR(INDEX(games!$B$2:$B$950,MATCH(connections!$B1375,games!$A$2:$A$950,0)),""))</f>
        <v/>
      </c>
      <c r="V1375">
        <f>IF(OR($T1375="",$U1375=""),"",$U1375-$T1375)</f>
        <v/>
      </c>
    </row>
    <row r="1376">
      <c r="T1376">
        <f>IF(connections!$A1376="","",IFERROR(INDEX(games!$B$2:$B$950,MATCH(connections!$A1376,games!$A$2:$A$950,0)),""))</f>
        <v/>
      </c>
      <c r="U1376">
        <f>IF(connections!$A1376="","",IFERROR(INDEX(games!$B$2:$B$950,MATCH(connections!$B1376,games!$A$2:$A$950,0)),""))</f>
        <v/>
      </c>
      <c r="V1376">
        <f>IF(OR($T1376="",$U1376=""),"",$U1376-$T1376)</f>
        <v/>
      </c>
    </row>
    <row r="1377">
      <c r="T1377">
        <f>IF(connections!$A1377="","",IFERROR(INDEX(games!$B$2:$B$950,MATCH(connections!$A1377,games!$A$2:$A$950,0)),""))</f>
        <v/>
      </c>
      <c r="U1377">
        <f>IF(connections!$A1377="","",IFERROR(INDEX(games!$B$2:$B$950,MATCH(connections!$B1377,games!$A$2:$A$950,0)),""))</f>
        <v/>
      </c>
      <c r="V1377">
        <f>IF(OR($T1377="",$U1377=""),"",$U1377-$T1377)</f>
        <v/>
      </c>
    </row>
    <row r="1378">
      <c r="T1378">
        <f>IF(connections!$A1378="","",IFERROR(INDEX(games!$B$2:$B$950,MATCH(connections!$A1378,games!$A$2:$A$950,0)),""))</f>
        <v/>
      </c>
      <c r="U1378">
        <f>IF(connections!$A1378="","",IFERROR(INDEX(games!$B$2:$B$950,MATCH(connections!$B1378,games!$A$2:$A$950,0)),""))</f>
        <v/>
      </c>
      <c r="V1378">
        <f>IF(OR($T1378="",$U1378=""),"",$U1378-$T1378)</f>
        <v/>
      </c>
    </row>
    <row r="1379">
      <c r="T1379">
        <f>IF(connections!$A1379="","",IFERROR(INDEX(games!$B$2:$B$950,MATCH(connections!$A1379,games!$A$2:$A$950,0)),""))</f>
        <v/>
      </c>
      <c r="U1379">
        <f>IF(connections!$A1379="","",IFERROR(INDEX(games!$B$2:$B$950,MATCH(connections!$B1379,games!$A$2:$A$950,0)),""))</f>
        <v/>
      </c>
      <c r="V1379">
        <f>IF(OR($T1379="",$U1379=""),"",$U1379-$T1379)</f>
        <v/>
      </c>
    </row>
    <row r="1380">
      <c r="T1380">
        <f>IF(connections!$A1380="","",IFERROR(INDEX(games!$B$2:$B$950,MATCH(connections!$A1380,games!$A$2:$A$950,0)),""))</f>
        <v/>
      </c>
      <c r="U1380">
        <f>IF(connections!$A1380="","",IFERROR(INDEX(games!$B$2:$B$950,MATCH(connections!$B1380,games!$A$2:$A$950,0)),""))</f>
        <v/>
      </c>
      <c r="V1380">
        <f>IF(OR($T1380="",$U1380=""),"",$U1380-$T1380)</f>
        <v/>
      </c>
    </row>
    <row r="1381">
      <c r="T1381">
        <f>IF(connections!$A1381="","",IFERROR(INDEX(games!$B$2:$B$950,MATCH(connections!$A1381,games!$A$2:$A$950,0)),""))</f>
        <v/>
      </c>
      <c r="U1381">
        <f>IF(connections!$A1381="","",IFERROR(INDEX(games!$B$2:$B$950,MATCH(connections!$B1381,games!$A$2:$A$950,0)),""))</f>
        <v/>
      </c>
      <c r="V1381">
        <f>IF(OR($T1381="",$U1381=""),"",$U1381-$T1381)</f>
        <v/>
      </c>
    </row>
    <row r="1382">
      <c r="T1382">
        <f>IF(connections!$A1382="","",IFERROR(INDEX(games!$B$2:$B$950,MATCH(connections!$A1382,games!$A$2:$A$950,0)),""))</f>
        <v/>
      </c>
      <c r="U1382">
        <f>IF(connections!$A1382="","",IFERROR(INDEX(games!$B$2:$B$950,MATCH(connections!$B1382,games!$A$2:$A$950,0)),""))</f>
        <v/>
      </c>
      <c r="V1382">
        <f>IF(OR($T1382="",$U1382=""),"",$U1382-$T1382)</f>
        <v/>
      </c>
    </row>
    <row r="1383">
      <c r="T1383">
        <f>IF(connections!$A1383="","",IFERROR(INDEX(games!$B$2:$B$950,MATCH(connections!$A1383,games!$A$2:$A$950,0)),""))</f>
        <v/>
      </c>
      <c r="U1383">
        <f>IF(connections!$A1383="","",IFERROR(INDEX(games!$B$2:$B$950,MATCH(connections!$B1383,games!$A$2:$A$950,0)),""))</f>
        <v/>
      </c>
      <c r="V1383">
        <f>IF(OR($T1383="",$U1383=""),"",$U1383-$T1383)</f>
        <v/>
      </c>
    </row>
    <row r="1384">
      <c r="T1384">
        <f>IF(connections!$A1384="","",IFERROR(INDEX(games!$B$2:$B$950,MATCH(connections!$A1384,games!$A$2:$A$950,0)),""))</f>
        <v/>
      </c>
      <c r="U1384">
        <f>IF(connections!$A1384="","",IFERROR(INDEX(games!$B$2:$B$950,MATCH(connections!$B1384,games!$A$2:$A$950,0)),""))</f>
        <v/>
      </c>
      <c r="V1384">
        <f>IF(OR($T1384="",$U1384=""),"",$U1384-$T1384)</f>
        <v/>
      </c>
    </row>
    <row r="1385">
      <c r="T1385">
        <f>IF(connections!$A1385="","",IFERROR(INDEX(games!$B$2:$B$950,MATCH(connections!$A1385,games!$A$2:$A$950,0)),""))</f>
        <v/>
      </c>
      <c r="U1385">
        <f>IF(connections!$A1385="","",IFERROR(INDEX(games!$B$2:$B$950,MATCH(connections!$B1385,games!$A$2:$A$950,0)),""))</f>
        <v/>
      </c>
      <c r="V1385">
        <f>IF(OR($T1385="",$U1385=""),"",$U1385-$T1385)</f>
        <v/>
      </c>
    </row>
    <row r="1386">
      <c r="T1386">
        <f>IF(connections!$A1386="","",IFERROR(INDEX(games!$B$2:$B$950,MATCH(connections!$A1386,games!$A$2:$A$950,0)),""))</f>
        <v/>
      </c>
      <c r="U1386">
        <f>IF(connections!$A1386="","",IFERROR(INDEX(games!$B$2:$B$950,MATCH(connections!$B1386,games!$A$2:$A$950,0)),""))</f>
        <v/>
      </c>
      <c r="V1386">
        <f>IF(OR($T1386="",$U1386=""),"",$U1386-$T1386)</f>
        <v/>
      </c>
    </row>
    <row r="1387">
      <c r="T1387">
        <f>IF(connections!$A1387="","",IFERROR(INDEX(games!$B$2:$B$950,MATCH(connections!$A1387,games!$A$2:$A$950,0)),""))</f>
        <v/>
      </c>
      <c r="U1387">
        <f>IF(connections!$A1387="","",IFERROR(INDEX(games!$B$2:$B$950,MATCH(connections!$B1387,games!$A$2:$A$950,0)),""))</f>
        <v/>
      </c>
      <c r="V1387">
        <f>IF(OR($T1387="",$U1387=""),"",$U1387-$T1387)</f>
        <v/>
      </c>
    </row>
    <row r="1388">
      <c r="T1388">
        <f>IF(connections!$A1388="","",IFERROR(INDEX(games!$B$2:$B$950,MATCH(connections!$A1388,games!$A$2:$A$950,0)),""))</f>
        <v/>
      </c>
      <c r="U1388">
        <f>IF(connections!$A1388="","",IFERROR(INDEX(games!$B$2:$B$950,MATCH(connections!$B1388,games!$A$2:$A$950,0)),""))</f>
        <v/>
      </c>
      <c r="V1388">
        <f>IF(OR($T1388="",$U1388=""),"",$U1388-$T1388)</f>
        <v/>
      </c>
    </row>
    <row r="1389">
      <c r="T1389">
        <f>IF(connections!$A1389="","",IFERROR(INDEX(games!$B$2:$B$950,MATCH(connections!$A1389,games!$A$2:$A$950,0)),""))</f>
        <v/>
      </c>
      <c r="U1389">
        <f>IF(connections!$A1389="","",IFERROR(INDEX(games!$B$2:$B$950,MATCH(connections!$B1389,games!$A$2:$A$950,0)),""))</f>
        <v/>
      </c>
      <c r="V1389">
        <f>IF(OR($T1389="",$U1389=""),"",$U1389-$T1389)</f>
        <v/>
      </c>
    </row>
    <row r="1390">
      <c r="T1390">
        <f>IF(connections!$A1390="","",IFERROR(INDEX(games!$B$2:$B$950,MATCH(connections!$A1390,games!$A$2:$A$950,0)),""))</f>
        <v/>
      </c>
      <c r="U1390">
        <f>IF(connections!$A1390="","",IFERROR(INDEX(games!$B$2:$B$950,MATCH(connections!$B1390,games!$A$2:$A$950,0)),""))</f>
        <v/>
      </c>
      <c r="V1390">
        <f>IF(OR($T1390="",$U1390=""),"",$U1390-$T1390)</f>
        <v/>
      </c>
    </row>
    <row r="1391">
      <c r="T1391">
        <f>IF(connections!$A1391="","",IFERROR(INDEX(games!$B$2:$B$950,MATCH(connections!$A1391,games!$A$2:$A$950,0)),""))</f>
        <v/>
      </c>
      <c r="U1391">
        <f>IF(connections!$A1391="","",IFERROR(INDEX(games!$B$2:$B$950,MATCH(connections!$B1391,games!$A$2:$A$950,0)),""))</f>
        <v/>
      </c>
      <c r="V1391">
        <f>IF(OR($T1391="",$U1391=""),"",$U1391-$T1391)</f>
        <v/>
      </c>
    </row>
    <row r="1392">
      <c r="T1392">
        <f>IF(connections!$A1392="","",IFERROR(INDEX(games!$B$2:$B$950,MATCH(connections!$A1392,games!$A$2:$A$950,0)),""))</f>
        <v/>
      </c>
      <c r="U1392">
        <f>IF(connections!$A1392="","",IFERROR(INDEX(games!$B$2:$B$950,MATCH(connections!$B1392,games!$A$2:$A$950,0)),""))</f>
        <v/>
      </c>
      <c r="V1392">
        <f>IF(OR($T1392="",$U1392=""),"",$U1392-$T1392)</f>
        <v/>
      </c>
    </row>
    <row r="1393">
      <c r="T1393">
        <f>IF(connections!$A1393="","",IFERROR(INDEX(games!$B$2:$B$950,MATCH(connections!$A1393,games!$A$2:$A$950,0)),""))</f>
        <v/>
      </c>
      <c r="U1393">
        <f>IF(connections!$A1393="","",IFERROR(INDEX(games!$B$2:$B$950,MATCH(connections!$B1393,games!$A$2:$A$950,0)),""))</f>
        <v/>
      </c>
      <c r="V1393">
        <f>IF(OR($T1393="",$U1393=""),"",$U1393-$T1393)</f>
        <v/>
      </c>
    </row>
    <row r="1394">
      <c r="T1394">
        <f>IF(connections!$A1394="","",IFERROR(INDEX(games!$B$2:$B$950,MATCH(connections!$A1394,games!$A$2:$A$950,0)),""))</f>
        <v/>
      </c>
      <c r="U1394">
        <f>IF(connections!$A1394="","",IFERROR(INDEX(games!$B$2:$B$950,MATCH(connections!$B1394,games!$A$2:$A$950,0)),""))</f>
        <v/>
      </c>
      <c r="V1394">
        <f>IF(OR($T1394="",$U1394=""),"",$U1394-$T1394)</f>
        <v/>
      </c>
    </row>
    <row r="1395">
      <c r="T1395">
        <f>IF(connections!$A1395="","",IFERROR(INDEX(games!$B$2:$B$950,MATCH(connections!$A1395,games!$A$2:$A$950,0)),""))</f>
        <v/>
      </c>
      <c r="U1395">
        <f>IF(connections!$A1395="","",IFERROR(INDEX(games!$B$2:$B$950,MATCH(connections!$B1395,games!$A$2:$A$950,0)),""))</f>
        <v/>
      </c>
      <c r="V1395">
        <f>IF(OR($T1395="",$U1395=""),"",$U1395-$T1395)</f>
        <v/>
      </c>
    </row>
    <row r="1396">
      <c r="T1396">
        <f>IF(connections!$A1396="","",IFERROR(INDEX(games!$B$2:$B$950,MATCH(connections!$A1396,games!$A$2:$A$950,0)),""))</f>
        <v/>
      </c>
      <c r="U1396">
        <f>IF(connections!$A1396="","",IFERROR(INDEX(games!$B$2:$B$950,MATCH(connections!$B1396,games!$A$2:$A$950,0)),""))</f>
        <v/>
      </c>
      <c r="V1396">
        <f>IF(OR($T1396="",$U1396=""),"",$U1396-$T1396)</f>
        <v/>
      </c>
    </row>
    <row r="1397">
      <c r="T1397">
        <f>IF(connections!$A1397="","",IFERROR(INDEX(games!$B$2:$B$950,MATCH(connections!$A1397,games!$A$2:$A$950,0)),""))</f>
        <v/>
      </c>
      <c r="U1397">
        <f>IF(connections!$A1397="","",IFERROR(INDEX(games!$B$2:$B$950,MATCH(connections!$B1397,games!$A$2:$A$950,0)),""))</f>
        <v/>
      </c>
      <c r="V1397">
        <f>IF(OR($T1397="",$U1397=""),"",$U1397-$T1397)</f>
        <v/>
      </c>
    </row>
    <row r="1398">
      <c r="T1398">
        <f>IF(connections!$A1398="","",IFERROR(INDEX(games!$B$2:$B$950,MATCH(connections!$A1398,games!$A$2:$A$950,0)),""))</f>
        <v/>
      </c>
      <c r="U1398">
        <f>IF(connections!$A1398="","",IFERROR(INDEX(games!$B$2:$B$950,MATCH(connections!$B1398,games!$A$2:$A$950,0)),""))</f>
        <v/>
      </c>
      <c r="V1398">
        <f>IF(OR($T1398="",$U1398=""),"",$U1398-$T1398)</f>
        <v/>
      </c>
    </row>
    <row r="1399">
      <c r="T1399">
        <f>IF(connections!$A1399="","",IFERROR(INDEX(games!$B$2:$B$950,MATCH(connections!$A1399,games!$A$2:$A$950,0)),""))</f>
        <v/>
      </c>
      <c r="U1399">
        <f>IF(connections!$A1399="","",IFERROR(INDEX(games!$B$2:$B$950,MATCH(connections!$B1399,games!$A$2:$A$950,0)),""))</f>
        <v/>
      </c>
      <c r="V1399">
        <f>IF(OR($T1399="",$U1399=""),"",$U1399-$T1399)</f>
        <v/>
      </c>
    </row>
    <row r="1400">
      <c r="T1400">
        <f>IF(connections!$A1400="","",IFERROR(INDEX(games!$B$2:$B$950,MATCH(connections!$A1400,games!$A$2:$A$950,0)),""))</f>
        <v/>
      </c>
      <c r="U1400">
        <f>IF(connections!$A1400="","",IFERROR(INDEX(games!$B$2:$B$950,MATCH(connections!$B1400,games!$A$2:$A$950,0)),""))</f>
        <v/>
      </c>
      <c r="V1400">
        <f>IF(OR($T1400="",$U1400=""),"",$U1400-$T1400)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2026-08-22T02:12:03Z</dcterms:modified>
  <cp:lastModifiedBy>Calvin Farley</cp:lastModifiedBy>
  <cp:revision>4</cp:revision>
</cp:coreProperties>
</file>