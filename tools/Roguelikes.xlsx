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FC070E46-C886-4E22-A3E2-CF622D2535A7}" xr6:coauthVersionLast="47" xr6:coauthVersionMax="47" xr10:uidLastSave="{00000000-0000-0000-0000-000000000000}"/>
  <bookViews>
    <workbookView xWindow="-120" yWindow="-120" windowWidth="38640" windowHeight="21120" tabRatio="692" activeTab="20"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0" i="47" l="1"/>
  <c r="T1400" i="47"/>
  <c r="V1400" i="47" s="1"/>
  <c r="U1399" i="47"/>
  <c r="T1399" i="47"/>
  <c r="V1399" i="47" s="1"/>
  <c r="U1398" i="47"/>
  <c r="T1398" i="47"/>
  <c r="U1397" i="47"/>
  <c r="T1397" i="47"/>
  <c r="U1396" i="47"/>
  <c r="T1396" i="47"/>
  <c r="U1395" i="47"/>
  <c r="T1395" i="47"/>
  <c r="V1395" i="47" s="1"/>
  <c r="U1394" i="47"/>
  <c r="T1394" i="47"/>
  <c r="U1393" i="47"/>
  <c r="T1393" i="47"/>
  <c r="U1392" i="47"/>
  <c r="T1392" i="47"/>
  <c r="V1392" i="47" s="1"/>
  <c r="U1391" i="47"/>
  <c r="T1391" i="47"/>
  <c r="V1391" i="47" s="1"/>
  <c r="U1390" i="47"/>
  <c r="T1390" i="47"/>
  <c r="U1389" i="47"/>
  <c r="T1389" i="47"/>
  <c r="U1388" i="47"/>
  <c r="T1388" i="47"/>
  <c r="V1388" i="47" s="1"/>
  <c r="U1387" i="47"/>
  <c r="T1387" i="47"/>
  <c r="U1386" i="47"/>
  <c r="T1386" i="47"/>
  <c r="V1386" i="47" s="1"/>
  <c r="U1385" i="47"/>
  <c r="T1385" i="47"/>
  <c r="U1384" i="47"/>
  <c r="T1384" i="47"/>
  <c r="U1383" i="47"/>
  <c r="T1383" i="47"/>
  <c r="U1382" i="47"/>
  <c r="T1382" i="47"/>
  <c r="U1381" i="47"/>
  <c r="T1381" i="47"/>
  <c r="V1381" i="47" s="1"/>
  <c r="U1380" i="47"/>
  <c r="T1380" i="47"/>
  <c r="U1379" i="47"/>
  <c r="T1379" i="47"/>
  <c r="V1379" i="47" s="1"/>
  <c r="U1378" i="47"/>
  <c r="T1378" i="47"/>
  <c r="U1377" i="47"/>
  <c r="T1377" i="47"/>
  <c r="U1376" i="47"/>
  <c r="T1376" i="47"/>
  <c r="V1376" i="47" s="1"/>
  <c r="U1375" i="47"/>
  <c r="T1375" i="47"/>
  <c r="V1375" i="47" s="1"/>
  <c r="U1374" i="47"/>
  <c r="T1374" i="47"/>
  <c r="U1373" i="47"/>
  <c r="T1373" i="47"/>
  <c r="U1372" i="47"/>
  <c r="T1372" i="47"/>
  <c r="U1371" i="47"/>
  <c r="T1371" i="47"/>
  <c r="U1370" i="47"/>
  <c r="T1370" i="47"/>
  <c r="V1370" i="47" s="1"/>
  <c r="U1369" i="47"/>
  <c r="T1369" i="47"/>
  <c r="U1368" i="47"/>
  <c r="T1368" i="47"/>
  <c r="U1367" i="47"/>
  <c r="T1367" i="47"/>
  <c r="U1366" i="47"/>
  <c r="T1366" i="47"/>
  <c r="U1365" i="47"/>
  <c r="T1365" i="47"/>
  <c r="U1364" i="47"/>
  <c r="T1364" i="47"/>
  <c r="V1364" i="47" s="1"/>
  <c r="U1363" i="47"/>
  <c r="V1363" i="47" s="1"/>
  <c r="T1363" i="47"/>
  <c r="U1362" i="47"/>
  <c r="T1362" i="47"/>
  <c r="V1362" i="47" s="1"/>
  <c r="U1361" i="47"/>
  <c r="T1361" i="47"/>
  <c r="U1360" i="47"/>
  <c r="T1360" i="47"/>
  <c r="U1359" i="47"/>
  <c r="T1359" i="47"/>
  <c r="V1359" i="47" s="1"/>
  <c r="U1358" i="47"/>
  <c r="T1358" i="47"/>
  <c r="U1357" i="47"/>
  <c r="T1357" i="47"/>
  <c r="U1356" i="47"/>
  <c r="T1356" i="47"/>
  <c r="U1355" i="47"/>
  <c r="T1355" i="47"/>
  <c r="U1354" i="47"/>
  <c r="T1354" i="47"/>
  <c r="V1354" i="47" s="1"/>
  <c r="U1353" i="47"/>
  <c r="T1353" i="47"/>
  <c r="U1352" i="47"/>
  <c r="T1352" i="47"/>
  <c r="U1351" i="47"/>
  <c r="T1351" i="47"/>
  <c r="V1351" i="47" s="1"/>
  <c r="U1350" i="47"/>
  <c r="T1350" i="47"/>
  <c r="V1350" i="47" s="1"/>
  <c r="U1349" i="47"/>
  <c r="T1349" i="47"/>
  <c r="U1348" i="47"/>
  <c r="T1348" i="47"/>
  <c r="U1347" i="47"/>
  <c r="T1347" i="47"/>
  <c r="U1346" i="47"/>
  <c r="T1346" i="47"/>
  <c r="V1346" i="47" s="1"/>
  <c r="U1345" i="47"/>
  <c r="T1345" i="47"/>
  <c r="U1344" i="47"/>
  <c r="T1344" i="47"/>
  <c r="U1343" i="47"/>
  <c r="T1343" i="47"/>
  <c r="V1343" i="47" s="1"/>
  <c r="U1342" i="47"/>
  <c r="T1342" i="47"/>
  <c r="U1341" i="47"/>
  <c r="T1341" i="47"/>
  <c r="U1340" i="47"/>
  <c r="T1340" i="47"/>
  <c r="U1339" i="47"/>
  <c r="V1339" i="47" s="1"/>
  <c r="T1339" i="47"/>
  <c r="U1338" i="47"/>
  <c r="T1338" i="47"/>
  <c r="V1338" i="47" s="1"/>
  <c r="U1337" i="47"/>
  <c r="T1337" i="47"/>
  <c r="U1336" i="47"/>
  <c r="T1336" i="47"/>
  <c r="U1335" i="47"/>
  <c r="T1335" i="47"/>
  <c r="V1335" i="47" s="1"/>
  <c r="U1334" i="47"/>
  <c r="T1334" i="47"/>
  <c r="U1333" i="47"/>
  <c r="T1333" i="47"/>
  <c r="U1332" i="47"/>
  <c r="T1332" i="47"/>
  <c r="U1331" i="47"/>
  <c r="T1331" i="47"/>
  <c r="U1330" i="47"/>
  <c r="T1330" i="47"/>
  <c r="U1329" i="47"/>
  <c r="T1329" i="47"/>
  <c r="U1328" i="47"/>
  <c r="T1328" i="47"/>
  <c r="U1327" i="47"/>
  <c r="T1327" i="47"/>
  <c r="V1327" i="47" s="1"/>
  <c r="U1326" i="47"/>
  <c r="T1326" i="47"/>
  <c r="U1325" i="47"/>
  <c r="T1325" i="47"/>
  <c r="U1324" i="47"/>
  <c r="T1324" i="47"/>
  <c r="V1324" i="47" s="1"/>
  <c r="U1323" i="47"/>
  <c r="T1323" i="47"/>
  <c r="U1322" i="47"/>
  <c r="V1322" i="47" s="1"/>
  <c r="T1322" i="47"/>
  <c r="U1321" i="47"/>
  <c r="T1321" i="47"/>
  <c r="V1321" i="47" s="1"/>
  <c r="U1320" i="47"/>
  <c r="T1320" i="47"/>
  <c r="U1319" i="47"/>
  <c r="T1319" i="47"/>
  <c r="U1318" i="47"/>
  <c r="T1318" i="47"/>
  <c r="U1317" i="47"/>
  <c r="T1317" i="47"/>
  <c r="V1317" i="47" s="1"/>
  <c r="U1316" i="47"/>
  <c r="T1316" i="47"/>
  <c r="U1315" i="47"/>
  <c r="T1315" i="47"/>
  <c r="V1315" i="47" s="1"/>
  <c r="U1314" i="47"/>
  <c r="T1314" i="47"/>
  <c r="U1313" i="47"/>
  <c r="T1313" i="47"/>
  <c r="U1312" i="47"/>
  <c r="T1312" i="47"/>
  <c r="V1312" i="47" s="1"/>
  <c r="U1311" i="47"/>
  <c r="T1311" i="47"/>
  <c r="V1311" i="47" s="1"/>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V1299" i="47" s="1"/>
  <c r="U1298" i="47"/>
  <c r="T1298" i="47"/>
  <c r="U1297" i="47"/>
  <c r="T1297" i="47"/>
  <c r="U1296" i="47"/>
  <c r="T1296" i="47"/>
  <c r="U1295" i="47"/>
  <c r="T1295" i="47"/>
  <c r="V1295" i="47" s="1"/>
  <c r="U1294" i="47"/>
  <c r="T1294" i="47"/>
  <c r="U1293" i="47"/>
  <c r="T1293" i="47"/>
  <c r="V1293" i="47" s="1"/>
  <c r="U1292" i="47"/>
  <c r="T1292" i="47"/>
  <c r="U1291" i="47"/>
  <c r="T1291" i="47"/>
  <c r="U1290" i="47"/>
  <c r="T1290" i="47"/>
  <c r="U1289" i="47"/>
  <c r="T1289" i="47"/>
  <c r="U1288" i="47"/>
  <c r="T1288" i="47"/>
  <c r="U1287" i="47"/>
  <c r="T1287" i="47"/>
  <c r="V1287" i="47" s="1"/>
  <c r="U1286" i="47"/>
  <c r="T1286" i="47"/>
  <c r="V1286" i="47" s="1"/>
  <c r="U1285" i="47"/>
  <c r="T1285" i="47"/>
  <c r="U1284" i="47"/>
  <c r="T1284" i="47"/>
  <c r="V1284" i="47" s="1"/>
  <c r="U1283" i="47"/>
  <c r="T1283" i="47"/>
  <c r="U1282" i="47"/>
  <c r="T1282" i="47"/>
  <c r="U1281" i="47"/>
  <c r="T1281" i="47"/>
  <c r="U1280" i="47"/>
  <c r="T1280" i="47"/>
  <c r="U1279" i="47"/>
  <c r="T1279" i="47"/>
  <c r="U1278" i="47"/>
  <c r="T1278" i="47"/>
  <c r="U1277" i="47"/>
  <c r="T1277" i="47"/>
  <c r="V1277" i="47" s="1"/>
  <c r="U1276" i="47"/>
  <c r="T1276" i="47"/>
  <c r="U1275" i="47"/>
  <c r="T1275" i="47"/>
  <c r="U1274" i="47"/>
  <c r="T1274" i="47"/>
  <c r="V1274" i="47" s="1"/>
  <c r="U1273" i="47"/>
  <c r="T1273" i="47"/>
  <c r="U1272" i="47"/>
  <c r="T1272" i="47"/>
  <c r="U1271" i="47"/>
  <c r="T1271" i="47"/>
  <c r="U1270" i="47"/>
  <c r="T1270" i="47"/>
  <c r="U1269" i="47"/>
  <c r="T1269" i="47"/>
  <c r="U1268" i="47"/>
  <c r="T1268" i="47"/>
  <c r="V1268" i="47" s="1"/>
  <c r="U1267" i="47"/>
  <c r="T1267" i="47"/>
  <c r="U1266" i="47"/>
  <c r="T1266" i="47"/>
  <c r="U1265" i="47"/>
  <c r="T1265" i="47"/>
  <c r="V1265" i="47" s="1"/>
  <c r="U1264" i="47"/>
  <c r="T1264" i="47"/>
  <c r="U1263" i="47"/>
  <c r="T1263" i="47"/>
  <c r="U1262" i="47"/>
  <c r="T1262" i="47"/>
  <c r="U1261" i="47"/>
  <c r="T1261" i="47"/>
  <c r="U1260" i="47"/>
  <c r="T1260" i="47"/>
  <c r="U1259" i="47"/>
  <c r="V1259" i="47" s="1"/>
  <c r="T1259" i="47"/>
  <c r="U1258" i="47"/>
  <c r="T1258" i="47"/>
  <c r="V1258" i="47" s="1"/>
  <c r="U1257" i="47"/>
  <c r="T1257" i="47"/>
  <c r="U1256" i="47"/>
  <c r="T1256" i="47"/>
  <c r="U1255" i="47"/>
  <c r="T1255" i="47"/>
  <c r="U1254" i="47"/>
  <c r="T1254" i="47"/>
  <c r="V1254" i="47" s="1"/>
  <c r="U1253" i="47"/>
  <c r="T1253" i="47"/>
  <c r="U1252" i="47"/>
  <c r="T1252" i="47"/>
  <c r="U1251" i="47"/>
  <c r="T1251" i="47"/>
  <c r="V1251" i="47" s="1"/>
  <c r="U1250" i="47"/>
  <c r="T1250" i="47"/>
  <c r="V1250" i="47" s="1"/>
  <c r="U1249" i="47"/>
  <c r="T1249" i="47"/>
  <c r="U1248" i="47"/>
  <c r="T1248" i="47"/>
  <c r="V1248" i="47" s="1"/>
  <c r="U1247" i="47"/>
  <c r="T1247" i="47"/>
  <c r="U1246" i="47"/>
  <c r="T1246" i="47"/>
  <c r="U1245" i="47"/>
  <c r="T1245" i="47"/>
  <c r="U1244" i="47"/>
  <c r="T1244" i="47"/>
  <c r="U1243" i="47"/>
  <c r="T1243" i="47"/>
  <c r="U1242" i="47"/>
  <c r="T1242" i="47"/>
  <c r="V1242" i="47" s="1"/>
  <c r="U1241" i="47"/>
  <c r="T1241" i="47"/>
  <c r="U1240" i="47"/>
  <c r="T1240" i="47"/>
  <c r="U1239" i="47"/>
  <c r="T1239" i="47"/>
  <c r="U1238" i="47"/>
  <c r="T1238" i="47"/>
  <c r="U1237" i="47"/>
  <c r="T1237" i="47"/>
  <c r="U1236" i="47"/>
  <c r="T1236" i="47"/>
  <c r="U1235" i="47"/>
  <c r="T1235" i="47"/>
  <c r="V1235" i="47" s="1"/>
  <c r="U1234" i="47"/>
  <c r="T1234" i="47"/>
  <c r="U1233" i="47"/>
  <c r="T1233" i="47"/>
  <c r="U1232" i="47"/>
  <c r="T1232" i="47"/>
  <c r="U1231" i="47"/>
  <c r="T1231" i="47"/>
  <c r="V1231" i="47" s="1"/>
  <c r="U1230" i="47"/>
  <c r="T1230" i="47"/>
  <c r="U1229" i="47"/>
  <c r="T1229" i="47"/>
  <c r="U1228" i="47"/>
  <c r="T1228" i="47"/>
  <c r="U1227" i="47"/>
  <c r="T1227" i="47"/>
  <c r="V1227" i="47" s="1"/>
  <c r="U1226" i="47"/>
  <c r="T1226" i="47"/>
  <c r="U1225" i="47"/>
  <c r="T1225" i="47"/>
  <c r="U1224" i="47"/>
  <c r="T1224" i="47"/>
  <c r="U1223" i="47"/>
  <c r="T1223" i="47"/>
  <c r="V1223" i="47" s="1"/>
  <c r="U1222" i="47"/>
  <c r="T1222" i="47"/>
  <c r="U1221" i="47"/>
  <c r="T1221" i="47"/>
  <c r="U1220" i="47"/>
  <c r="T1220" i="47"/>
  <c r="U1219" i="47"/>
  <c r="T1219" i="47"/>
  <c r="V1219" i="47" s="1"/>
  <c r="U1218" i="47"/>
  <c r="T1218" i="47"/>
  <c r="U1217" i="47"/>
  <c r="T1217" i="47"/>
  <c r="U1216" i="47"/>
  <c r="T1216" i="47"/>
  <c r="U1215" i="47"/>
  <c r="T1215" i="47"/>
  <c r="V1215" i="47" s="1"/>
  <c r="U1214" i="47"/>
  <c r="T1214" i="47"/>
  <c r="V1214" i="47" s="1"/>
  <c r="U1213" i="47"/>
  <c r="T1213" i="47"/>
  <c r="V1213" i="47" s="1"/>
  <c r="U1212" i="47"/>
  <c r="T1212" i="47"/>
  <c r="U1211" i="47"/>
  <c r="T1211" i="47"/>
  <c r="V1211" i="47" s="1"/>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V1167" i="47" s="1"/>
  <c r="U1166" i="47"/>
  <c r="T1166" i="47"/>
  <c r="V1166" i="47" s="1"/>
  <c r="U1165" i="47"/>
  <c r="T1165" i="47"/>
  <c r="V1165" i="47" s="1"/>
  <c r="U1164" i="47"/>
  <c r="T1164" i="47"/>
  <c r="U1163" i="47"/>
  <c r="T1163" i="47"/>
  <c r="V1163" i="47" s="1"/>
  <c r="U1162" i="47"/>
  <c r="T1162" i="47"/>
  <c r="V1162" i="47" s="1"/>
  <c r="U1161" i="47"/>
  <c r="T1161" i="47"/>
  <c r="U1160" i="47"/>
  <c r="T1160" i="47"/>
  <c r="U1159" i="47"/>
  <c r="T1159" i="47"/>
  <c r="U1158" i="47"/>
  <c r="T1158" i="47"/>
  <c r="U1157" i="47"/>
  <c r="T1157" i="47"/>
  <c r="U1156" i="47"/>
  <c r="T1156" i="47"/>
  <c r="U1155" i="47"/>
  <c r="T1155" i="47"/>
  <c r="U1154" i="47"/>
  <c r="T1154" i="47"/>
  <c r="V1154" i="47" s="1"/>
  <c r="U1153" i="47"/>
  <c r="T1153" i="47"/>
  <c r="V1153" i="47" s="1"/>
  <c r="U1152" i="47"/>
  <c r="T1152" i="47"/>
  <c r="U1151" i="47"/>
  <c r="T1151" i="47"/>
  <c r="V1151" i="47" s="1"/>
  <c r="U1150" i="47"/>
  <c r="T1150" i="47"/>
  <c r="U1149" i="47"/>
  <c r="T1149" i="47"/>
  <c r="U1148" i="47"/>
  <c r="T1148" i="47"/>
  <c r="U1147" i="47"/>
  <c r="T1147" i="47"/>
  <c r="U1146" i="47"/>
  <c r="T1146" i="47"/>
  <c r="V1146" i="47" s="1"/>
  <c r="U1145" i="47"/>
  <c r="T1145" i="47"/>
  <c r="U1144" i="47"/>
  <c r="T1144" i="47"/>
  <c r="V1144" i="47" s="1"/>
  <c r="U1143" i="47"/>
  <c r="T1143" i="47"/>
  <c r="V1143" i="47" s="1"/>
  <c r="U1142" i="47"/>
  <c r="T1142" i="47"/>
  <c r="V1142" i="47" s="1"/>
  <c r="U1141" i="47"/>
  <c r="T1141" i="47"/>
  <c r="U1140" i="47"/>
  <c r="T1140" i="47"/>
  <c r="V1140" i="47" s="1"/>
  <c r="U1139" i="47"/>
  <c r="T1139" i="47"/>
  <c r="V1139" i="47" s="1"/>
  <c r="U1138" i="47"/>
  <c r="T1138" i="47"/>
  <c r="U1137" i="47"/>
  <c r="T1137" i="47"/>
  <c r="U1136" i="47"/>
  <c r="T1136" i="47"/>
  <c r="V1136" i="47" s="1"/>
  <c r="U1135" i="47"/>
  <c r="T1135" i="47"/>
  <c r="V1135" i="47" s="1"/>
  <c r="U1134" i="47"/>
  <c r="T1134" i="47"/>
  <c r="V1134" i="47" s="1"/>
  <c r="U1133" i="47"/>
  <c r="T1133" i="47"/>
  <c r="U1132" i="47"/>
  <c r="T1132" i="47"/>
  <c r="U1131" i="47"/>
  <c r="T1131" i="47"/>
  <c r="V1131" i="47" s="1"/>
  <c r="U1130" i="47"/>
  <c r="T1130" i="47"/>
  <c r="V1130" i="47" s="1"/>
  <c r="U1129" i="47"/>
  <c r="T1129" i="47"/>
  <c r="U1128" i="47"/>
  <c r="T1128" i="47"/>
  <c r="V1128" i="47" s="1"/>
  <c r="U1127" i="47"/>
  <c r="T1127" i="47"/>
  <c r="U1126" i="47"/>
  <c r="T1126" i="47"/>
  <c r="V1126" i="47" s="1"/>
  <c r="U1125" i="47"/>
  <c r="T1125" i="47"/>
  <c r="U1124" i="47"/>
  <c r="T1124" i="47"/>
  <c r="V1124" i="47" s="1"/>
  <c r="U1123" i="47"/>
  <c r="T1123" i="47"/>
  <c r="U1122" i="47"/>
  <c r="T1122" i="47"/>
  <c r="V1122" i="47" s="1"/>
  <c r="U1121" i="47"/>
  <c r="T1121" i="47"/>
  <c r="V1121" i="47" s="1"/>
  <c r="U1120" i="47"/>
  <c r="T1120" i="47"/>
  <c r="V1120" i="47" s="1"/>
  <c r="U1119" i="47"/>
  <c r="T1119" i="47"/>
  <c r="V1119" i="47" s="1"/>
  <c r="U1118" i="47"/>
  <c r="T1118" i="47"/>
  <c r="V1118" i="47" s="1"/>
  <c r="U1117" i="47"/>
  <c r="T1117" i="47"/>
  <c r="U1116" i="47"/>
  <c r="T1116" i="47"/>
  <c r="U1115" i="47"/>
  <c r="T1115" i="47"/>
  <c r="V1115" i="47" s="1"/>
  <c r="U1114" i="47"/>
  <c r="T1114" i="47"/>
  <c r="V1114" i="47" s="1"/>
  <c r="U1113" i="47"/>
  <c r="T1113" i="47"/>
  <c r="U1112" i="47"/>
  <c r="T1112" i="47"/>
  <c r="V1112" i="47" s="1"/>
  <c r="U1111" i="47"/>
  <c r="T1111" i="47"/>
  <c r="V1111" i="47" s="1"/>
  <c r="U1110" i="47"/>
  <c r="T1110" i="47"/>
  <c r="U1109" i="47"/>
  <c r="T1109" i="47"/>
  <c r="U1108" i="47"/>
  <c r="T1108" i="47"/>
  <c r="U1107" i="47"/>
  <c r="T1107" i="47"/>
  <c r="U1106" i="47"/>
  <c r="T1106" i="47"/>
  <c r="U1105" i="47"/>
  <c r="T1105" i="47"/>
  <c r="V1105" i="47" s="1"/>
  <c r="U1104" i="47"/>
  <c r="T1104" i="47"/>
  <c r="U1103" i="47"/>
  <c r="T1103" i="47"/>
  <c r="V1103" i="47" s="1"/>
  <c r="U1102" i="47"/>
  <c r="T1102" i="47"/>
  <c r="U1101" i="47"/>
  <c r="T1101" i="47"/>
  <c r="U1100" i="47"/>
  <c r="T1100" i="47"/>
  <c r="U1099" i="47"/>
  <c r="T1099" i="47"/>
  <c r="U1098" i="47"/>
  <c r="T1098" i="47"/>
  <c r="V1098" i="47" s="1"/>
  <c r="U1097" i="47"/>
  <c r="T1097" i="47"/>
  <c r="U1096" i="47"/>
  <c r="T1096" i="47"/>
  <c r="V1096" i="47" s="1"/>
  <c r="U1095" i="47"/>
  <c r="T1095" i="47"/>
  <c r="U1094" i="47"/>
  <c r="T1094" i="47"/>
  <c r="U1093" i="47"/>
  <c r="T1093" i="47"/>
  <c r="U1092" i="47"/>
  <c r="T1092" i="47"/>
  <c r="V1092" i="47" s="1"/>
  <c r="U1091" i="47"/>
  <c r="T1091" i="47"/>
  <c r="U1090" i="47"/>
  <c r="T1090" i="47"/>
  <c r="U1089" i="47"/>
  <c r="T1089" i="47"/>
  <c r="U1088" i="47"/>
  <c r="T1088" i="47"/>
  <c r="V1088" i="47" s="1"/>
  <c r="U1087" i="47"/>
  <c r="T1087" i="47"/>
  <c r="U1086" i="47"/>
  <c r="T1086" i="47"/>
  <c r="U1085" i="47"/>
  <c r="T1085" i="47"/>
  <c r="U1084" i="47"/>
  <c r="T1084" i="47"/>
  <c r="U1083" i="47"/>
  <c r="T1083" i="47"/>
  <c r="V1083" i="47" s="1"/>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V1066" i="47" s="1"/>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V1053" i="47" s="1"/>
  <c r="T1053" i="47"/>
  <c r="U1052" i="47"/>
  <c r="T1052" i="47"/>
  <c r="U1051" i="47"/>
  <c r="T1051" i="47"/>
  <c r="U1050" i="47"/>
  <c r="T1050" i="47"/>
  <c r="U1049" i="47"/>
  <c r="T1049" i="47"/>
  <c r="U1048" i="47"/>
  <c r="T1048" i="47"/>
  <c r="U1047" i="47"/>
  <c r="T1047" i="47"/>
  <c r="U1046" i="47"/>
  <c r="T1046" i="47"/>
  <c r="U1045" i="47"/>
  <c r="V1045" i="47" s="1"/>
  <c r="T1045" i="47"/>
  <c r="U1044" i="47"/>
  <c r="T1044" i="47"/>
  <c r="U1043" i="47"/>
  <c r="T1043" i="47"/>
  <c r="U1042" i="47"/>
  <c r="T1042" i="47"/>
  <c r="U1041" i="47"/>
  <c r="T1041" i="47"/>
  <c r="V1041" i="47" s="1"/>
  <c r="U1040" i="47"/>
  <c r="T1040" i="47"/>
  <c r="U1039" i="47"/>
  <c r="T1039" i="47"/>
  <c r="U1038" i="47"/>
  <c r="T1038" i="47"/>
  <c r="U1037" i="47"/>
  <c r="T1037" i="47"/>
  <c r="U1036" i="47"/>
  <c r="T1036" i="47"/>
  <c r="U1035" i="47"/>
  <c r="T1035" i="47"/>
  <c r="U1034" i="47"/>
  <c r="V1034" i="47" s="1"/>
  <c r="T1034" i="47"/>
  <c r="U1033" i="47"/>
  <c r="T1033" i="47"/>
  <c r="U1032" i="47"/>
  <c r="T1032" i="47"/>
  <c r="U1031" i="47"/>
  <c r="T1031" i="47"/>
  <c r="U1030" i="47"/>
  <c r="T1030" i="47"/>
  <c r="U1029" i="47"/>
  <c r="V1029" i="47" s="1"/>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V991" i="47" s="1"/>
  <c r="U990" i="47"/>
  <c r="T990" i="47"/>
  <c r="U989" i="47"/>
  <c r="T989" i="47"/>
  <c r="U988" i="47"/>
  <c r="T988" i="47"/>
  <c r="U987" i="47"/>
  <c r="T987" i="47"/>
  <c r="U986" i="47"/>
  <c r="T986" i="47"/>
  <c r="U985" i="47"/>
  <c r="T985" i="47"/>
  <c r="U984" i="47"/>
  <c r="T984" i="47"/>
  <c r="U983" i="47"/>
  <c r="T983" i="47"/>
  <c r="U982" i="47"/>
  <c r="T982" i="47"/>
  <c r="U981" i="47"/>
  <c r="V981" i="47" s="1"/>
  <c r="T981" i="47"/>
  <c r="U980" i="47"/>
  <c r="T980" i="47"/>
  <c r="U979" i="47"/>
  <c r="T979" i="47"/>
  <c r="U978" i="47"/>
  <c r="T978" i="47"/>
  <c r="U977" i="47"/>
  <c r="T977" i="47"/>
  <c r="V977" i="47" s="1"/>
  <c r="U976" i="47"/>
  <c r="T976" i="47"/>
  <c r="V976" i="47" s="1"/>
  <c r="U975" i="47"/>
  <c r="T975" i="47"/>
  <c r="U974" i="47"/>
  <c r="T974" i="47"/>
  <c r="U973" i="47"/>
  <c r="T973" i="47"/>
  <c r="V973" i="47" s="1"/>
  <c r="U972" i="47"/>
  <c r="T972" i="47"/>
  <c r="U971" i="47"/>
  <c r="T971" i="47"/>
  <c r="U970" i="47"/>
  <c r="T970" i="47"/>
  <c r="V970" i="47" s="1"/>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V913" i="47" s="1"/>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V905" i="47" s="1"/>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V897" i="47" s="1"/>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V894" i="47" s="1"/>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V887" i="47" s="1"/>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V881" i="47" s="1"/>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V879" i="47" s="1"/>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V875" i="47" s="1"/>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V873" i="47" s="1"/>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V868" i="47" s="1"/>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Q866" i="47"/>
  <c r="P866" i="47"/>
  <c r="O866" i="47"/>
  <c r="N866" i="47"/>
  <c r="L866" i="47"/>
  <c r="A866" i="47"/>
  <c r="M866" i="47" s="1"/>
  <c r="U865" i="47"/>
  <c r="T865" i="47"/>
  <c r="P865" i="47"/>
  <c r="O865" i="47"/>
  <c r="N865" i="47"/>
  <c r="M865" i="47"/>
  <c r="L865" i="47"/>
  <c r="K865" i="47"/>
  <c r="J865" i="47"/>
  <c r="I865" i="47"/>
  <c r="H865" i="47"/>
  <c r="G865" i="47"/>
  <c r="F865" i="47"/>
  <c r="E865" i="47"/>
  <c r="D865" i="47"/>
  <c r="C865" i="47"/>
  <c r="B865" i="47"/>
  <c r="A865" i="47"/>
  <c r="Q865" i="47" s="1"/>
  <c r="U864" i="47"/>
  <c r="T864" i="47"/>
  <c r="L864" i="47"/>
  <c r="K864" i="47"/>
  <c r="J864" i="47"/>
  <c r="I864" i="47"/>
  <c r="H864" i="47"/>
  <c r="G864" i="47"/>
  <c r="F864" i="47"/>
  <c r="D864" i="47"/>
  <c r="C864" i="47"/>
  <c r="B864" i="47"/>
  <c r="A864" i="47"/>
  <c r="E864" i="47" s="1"/>
  <c r="U863" i="47"/>
  <c r="T863" i="47"/>
  <c r="V863" i="47" s="1"/>
  <c r="O863" i="47"/>
  <c r="N863" i="47"/>
  <c r="M863" i="47"/>
  <c r="L863" i="47"/>
  <c r="K863" i="47"/>
  <c r="J863" i="47"/>
  <c r="H863" i="47"/>
  <c r="G863" i="47"/>
  <c r="F863" i="47"/>
  <c r="E863" i="47"/>
  <c r="D863" i="47"/>
  <c r="C863" i="47"/>
  <c r="B863" i="47"/>
  <c r="A863" i="47"/>
  <c r="I863" i="47" s="1"/>
  <c r="U862" i="47"/>
  <c r="T862" i="47"/>
  <c r="L862" i="47"/>
  <c r="K862" i="47"/>
  <c r="J862" i="47"/>
  <c r="I862" i="47"/>
  <c r="H862" i="47"/>
  <c r="A862" i="47"/>
  <c r="M862" i="47" s="1"/>
  <c r="U861" i="47"/>
  <c r="T861" i="47"/>
  <c r="P861" i="47"/>
  <c r="O861" i="47"/>
  <c r="N861" i="47"/>
  <c r="M861" i="47"/>
  <c r="L861" i="47"/>
  <c r="K861" i="47"/>
  <c r="J861" i="47"/>
  <c r="I861" i="47"/>
  <c r="H861" i="47"/>
  <c r="G861" i="47"/>
  <c r="F861" i="47"/>
  <c r="E861" i="47"/>
  <c r="D861" i="47"/>
  <c r="C861" i="47"/>
  <c r="B861" i="47"/>
  <c r="A861" i="47"/>
  <c r="U860" i="47"/>
  <c r="T860" i="47"/>
  <c r="P860" i="47"/>
  <c r="Q860" i="47" s="1"/>
  <c r="A860" i="47"/>
  <c r="U859" i="47"/>
  <c r="T859" i="47"/>
  <c r="V859" i="47" s="1"/>
  <c r="D859" i="47"/>
  <c r="A859" i="47"/>
  <c r="U858" i="47"/>
  <c r="T858" i="47"/>
  <c r="N858" i="47"/>
  <c r="L858" i="47"/>
  <c r="K858" i="47"/>
  <c r="J858" i="47"/>
  <c r="I858" i="47"/>
  <c r="H858" i="47"/>
  <c r="G858" i="47"/>
  <c r="F858" i="47"/>
  <c r="E858" i="47"/>
  <c r="D858" i="47"/>
  <c r="B858" i="47"/>
  <c r="A858" i="47"/>
  <c r="M858" i="47" s="1"/>
  <c r="U857" i="47"/>
  <c r="T857" i="47"/>
  <c r="P857" i="47"/>
  <c r="O857" i="47"/>
  <c r="N857" i="47"/>
  <c r="M857" i="47"/>
  <c r="L857" i="47"/>
  <c r="K857" i="47"/>
  <c r="J857" i="47"/>
  <c r="I857" i="47"/>
  <c r="H857" i="47"/>
  <c r="G857" i="47"/>
  <c r="F857" i="47"/>
  <c r="E857" i="47"/>
  <c r="D857" i="47"/>
  <c r="A857" i="47"/>
  <c r="U856" i="47"/>
  <c r="T856" i="47"/>
  <c r="V856" i="47" s="1"/>
  <c r="P856" i="47"/>
  <c r="O856" i="47"/>
  <c r="N856" i="47"/>
  <c r="M856" i="47"/>
  <c r="L856" i="47"/>
  <c r="K856" i="47"/>
  <c r="D856" i="47"/>
  <c r="C856" i="47"/>
  <c r="A856" i="47"/>
  <c r="J856" i="47" s="1"/>
  <c r="U855" i="47"/>
  <c r="T855" i="47"/>
  <c r="A855" i="47"/>
  <c r="U854" i="47"/>
  <c r="T854" i="47"/>
  <c r="F854" i="47"/>
  <c r="D854" i="47"/>
  <c r="C854" i="47"/>
  <c r="A854" i="47"/>
  <c r="B854" i="47" s="1"/>
  <c r="U853" i="47"/>
  <c r="T853" i="47"/>
  <c r="P853" i="47"/>
  <c r="J853" i="47"/>
  <c r="I853" i="47"/>
  <c r="H853" i="47"/>
  <c r="F853" i="47"/>
  <c r="D853" i="47"/>
  <c r="O853" i="47" s="1"/>
  <c r="A853" i="47"/>
  <c r="C853" i="47" s="1"/>
  <c r="U852" i="47"/>
  <c r="T852" i="47"/>
  <c r="P852" i="47"/>
  <c r="L852" i="47"/>
  <c r="K852" i="47"/>
  <c r="H852" i="47"/>
  <c r="D852" i="47"/>
  <c r="O852" i="47" s="1"/>
  <c r="C852" i="47"/>
  <c r="A852" i="47"/>
  <c r="J852" i="47" s="1"/>
  <c r="U851" i="47"/>
  <c r="T851" i="47"/>
  <c r="P851" i="47"/>
  <c r="A851" i="47"/>
  <c r="U850" i="47"/>
  <c r="V850" i="47" s="1"/>
  <c r="T850" i="47"/>
  <c r="P850" i="47"/>
  <c r="F850" i="47"/>
  <c r="E850" i="47"/>
  <c r="D850" i="47"/>
  <c r="C850" i="47"/>
  <c r="B850" i="47"/>
  <c r="A850" i="47"/>
  <c r="U849" i="47"/>
  <c r="T849" i="47"/>
  <c r="P849" i="47"/>
  <c r="O849" i="47"/>
  <c r="N849" i="47"/>
  <c r="M849" i="47"/>
  <c r="L849" i="47"/>
  <c r="J849" i="47"/>
  <c r="I849" i="47"/>
  <c r="H849" i="47"/>
  <c r="G849" i="47"/>
  <c r="F849" i="47"/>
  <c r="E849" i="47"/>
  <c r="D849" i="47"/>
  <c r="C849" i="47"/>
  <c r="A849" i="47"/>
  <c r="B849" i="47" s="1"/>
  <c r="K849" i="47" s="1"/>
  <c r="U848" i="47"/>
  <c r="T848" i="47"/>
  <c r="P848" i="47"/>
  <c r="H848" i="47"/>
  <c r="D848" i="47"/>
  <c r="O848" i="47" s="1"/>
  <c r="C848" i="47"/>
  <c r="A848" i="47"/>
  <c r="U847" i="47"/>
  <c r="T847" i="47"/>
  <c r="A847" i="47"/>
  <c r="U846" i="47"/>
  <c r="T846" i="47"/>
  <c r="P846" i="47"/>
  <c r="L846" i="47"/>
  <c r="K846" i="47"/>
  <c r="H846" i="47"/>
  <c r="G846" i="47"/>
  <c r="F846" i="47"/>
  <c r="E846" i="47"/>
  <c r="D846" i="47"/>
  <c r="C846" i="47"/>
  <c r="I846" i="47" s="1"/>
  <c r="B846" i="47"/>
  <c r="A846" i="47"/>
  <c r="V845" i="47"/>
  <c r="U845" i="47"/>
  <c r="T845" i="47"/>
  <c r="P845" i="47"/>
  <c r="N845" i="47"/>
  <c r="M845" i="47"/>
  <c r="L845" i="47"/>
  <c r="J845" i="47"/>
  <c r="I845" i="47"/>
  <c r="H845" i="47"/>
  <c r="G845" i="47"/>
  <c r="F845" i="47"/>
  <c r="E845" i="47"/>
  <c r="D845" i="47"/>
  <c r="O845" i="47" s="1"/>
  <c r="C845" i="47"/>
  <c r="A845" i="47"/>
  <c r="B845" i="47" s="1"/>
  <c r="K845" i="47" s="1"/>
  <c r="V844" i="47"/>
  <c r="U844" i="47"/>
  <c r="T844" i="47"/>
  <c r="Q844" i="47"/>
  <c r="P844" i="47"/>
  <c r="D844" i="47"/>
  <c r="O844" i="47" s="1"/>
  <c r="C844" i="47"/>
  <c r="A844" i="47"/>
  <c r="U843" i="47"/>
  <c r="V843" i="47" s="1"/>
  <c r="T843" i="47"/>
  <c r="P843" i="47"/>
  <c r="A843" i="47"/>
  <c r="U842" i="47"/>
  <c r="T842" i="47"/>
  <c r="P842" i="47"/>
  <c r="F842" i="47"/>
  <c r="E842" i="47"/>
  <c r="D842" i="47"/>
  <c r="C842" i="47"/>
  <c r="B842" i="47"/>
  <c r="A842" i="47"/>
  <c r="Q842" i="47" s="1"/>
  <c r="U841" i="47"/>
  <c r="T841" i="47"/>
  <c r="P841" i="47"/>
  <c r="N841" i="47"/>
  <c r="M841" i="47"/>
  <c r="K841" i="47"/>
  <c r="J841" i="47"/>
  <c r="I841" i="47"/>
  <c r="H841" i="47"/>
  <c r="G841" i="47"/>
  <c r="F841" i="47"/>
  <c r="L841" i="47" s="1"/>
  <c r="E841" i="47"/>
  <c r="D841" i="47"/>
  <c r="O841" i="47" s="1"/>
  <c r="C841" i="47"/>
  <c r="A841" i="47"/>
  <c r="B841" i="47" s="1"/>
  <c r="U840" i="47"/>
  <c r="T840" i="47"/>
  <c r="P840" i="47"/>
  <c r="C840" i="47"/>
  <c r="B840" i="47"/>
  <c r="A840" i="47"/>
  <c r="U839" i="47"/>
  <c r="T839" i="47"/>
  <c r="P839" i="47"/>
  <c r="F839" i="47"/>
  <c r="A839" i="47"/>
  <c r="U838" i="47"/>
  <c r="T838" i="47"/>
  <c r="D838" i="47"/>
  <c r="B838" i="47"/>
  <c r="A838" i="47"/>
  <c r="U837" i="47"/>
  <c r="T837" i="47"/>
  <c r="P837" i="47"/>
  <c r="N837" i="47"/>
  <c r="M837" i="47"/>
  <c r="L837" i="47"/>
  <c r="K837" i="47"/>
  <c r="J837" i="47"/>
  <c r="I837" i="47"/>
  <c r="H837" i="47"/>
  <c r="G837" i="47"/>
  <c r="F837" i="47"/>
  <c r="E837" i="47"/>
  <c r="D837" i="47"/>
  <c r="O837" i="47" s="1"/>
  <c r="C837" i="47"/>
  <c r="A837" i="47"/>
  <c r="B837" i="47" s="1"/>
  <c r="U836" i="47"/>
  <c r="T836" i="47"/>
  <c r="A836" i="47"/>
  <c r="U835" i="47"/>
  <c r="T835" i="47"/>
  <c r="P835" i="47"/>
  <c r="Q835" i="47" s="1"/>
  <c r="O835" i="47"/>
  <c r="F835" i="47"/>
  <c r="D835" i="47"/>
  <c r="B835" i="47"/>
  <c r="A835" i="47"/>
  <c r="U834" i="47"/>
  <c r="T834" i="47"/>
  <c r="P834" i="47"/>
  <c r="Q834" i="47" s="1"/>
  <c r="L834" i="47"/>
  <c r="J834" i="47"/>
  <c r="I834" i="47"/>
  <c r="F834" i="47"/>
  <c r="E834" i="47"/>
  <c r="C834" i="47"/>
  <c r="A834" i="47"/>
  <c r="U833" i="47"/>
  <c r="T833" i="47"/>
  <c r="P833" i="47"/>
  <c r="O833" i="47"/>
  <c r="N833" i="47"/>
  <c r="M833" i="47"/>
  <c r="L833" i="47"/>
  <c r="K833" i="47"/>
  <c r="I833" i="47"/>
  <c r="H833" i="47"/>
  <c r="G833" i="47"/>
  <c r="F833" i="47"/>
  <c r="J833" i="47" s="1"/>
  <c r="E833" i="47"/>
  <c r="D833" i="47"/>
  <c r="C833" i="47"/>
  <c r="A833" i="47"/>
  <c r="B833" i="47" s="1"/>
  <c r="U832" i="47"/>
  <c r="T832" i="47"/>
  <c r="A832" i="47"/>
  <c r="U831" i="47"/>
  <c r="T831" i="47"/>
  <c r="A831" i="47"/>
  <c r="U830" i="47"/>
  <c r="T830" i="47"/>
  <c r="A830" i="47"/>
  <c r="U829" i="47"/>
  <c r="T829" i="47"/>
  <c r="P829" i="47"/>
  <c r="O829" i="47"/>
  <c r="N829" i="47"/>
  <c r="M829" i="47"/>
  <c r="L829" i="47"/>
  <c r="K829" i="47"/>
  <c r="H829" i="47"/>
  <c r="G829" i="47"/>
  <c r="F829" i="47"/>
  <c r="J829" i="47" s="1"/>
  <c r="E829" i="47"/>
  <c r="D829" i="47"/>
  <c r="C829" i="47"/>
  <c r="A829" i="47"/>
  <c r="B829" i="47" s="1"/>
  <c r="I829" i="47" s="1"/>
  <c r="U828" i="47"/>
  <c r="T828" i="47"/>
  <c r="V828" i="47" s="1"/>
  <c r="Q828" i="47"/>
  <c r="P828" i="47"/>
  <c r="N828" i="47"/>
  <c r="L828" i="47"/>
  <c r="I828" i="47"/>
  <c r="C828" i="47"/>
  <c r="B828" i="47"/>
  <c r="A828" i="47"/>
  <c r="U827" i="47"/>
  <c r="T827" i="47"/>
  <c r="V827" i="47" s="1"/>
  <c r="P827" i="47"/>
  <c r="D827" i="47"/>
  <c r="B827" i="47"/>
  <c r="A827" i="47"/>
  <c r="U826" i="47"/>
  <c r="T826" i="47"/>
  <c r="P826" i="47"/>
  <c r="Q826" i="47" s="1"/>
  <c r="F826" i="47"/>
  <c r="D826" i="47"/>
  <c r="O826" i="47" s="1"/>
  <c r="C826" i="47"/>
  <c r="B826" i="47"/>
  <c r="A826" i="47"/>
  <c r="U825" i="47"/>
  <c r="T825" i="47"/>
  <c r="V825" i="47" s="1"/>
  <c r="P825" i="47"/>
  <c r="F825" i="47"/>
  <c r="D825" i="47"/>
  <c r="O825" i="47" s="1"/>
  <c r="C825" i="47"/>
  <c r="A825" i="47"/>
  <c r="B825" i="47" s="1"/>
  <c r="U824" i="47"/>
  <c r="T824" i="47"/>
  <c r="P824" i="47"/>
  <c r="D824" i="47"/>
  <c r="Q824" i="47" s="1"/>
  <c r="B824" i="47"/>
  <c r="A824" i="47"/>
  <c r="U823" i="47"/>
  <c r="T823" i="47"/>
  <c r="O823" i="47"/>
  <c r="F823" i="47"/>
  <c r="D823" i="47"/>
  <c r="A823" i="47"/>
  <c r="U822" i="47"/>
  <c r="V822" i="47" s="1"/>
  <c r="T822" i="47"/>
  <c r="A822" i="47"/>
  <c r="U821" i="47"/>
  <c r="T821" i="47"/>
  <c r="P821" i="47"/>
  <c r="O821" i="47"/>
  <c r="N821" i="47"/>
  <c r="L821" i="47"/>
  <c r="K821" i="47"/>
  <c r="J821" i="47"/>
  <c r="I821" i="47"/>
  <c r="H821" i="47"/>
  <c r="G821" i="47"/>
  <c r="F821" i="47"/>
  <c r="E821" i="47"/>
  <c r="D821" i="47"/>
  <c r="C821" i="47"/>
  <c r="A821" i="47"/>
  <c r="B821" i="47" s="1"/>
  <c r="M821" i="47" s="1"/>
  <c r="U820" i="47"/>
  <c r="T820" i="47"/>
  <c r="P820" i="47"/>
  <c r="N820" i="47"/>
  <c r="L820" i="47"/>
  <c r="I820" i="47"/>
  <c r="H820" i="47"/>
  <c r="C820" i="47"/>
  <c r="B820" i="47"/>
  <c r="A820" i="47"/>
  <c r="U819" i="47"/>
  <c r="T819" i="47"/>
  <c r="V819" i="47" s="1"/>
  <c r="P819" i="47"/>
  <c r="Q819" i="47" s="1"/>
  <c r="D819" i="47"/>
  <c r="B819" i="47"/>
  <c r="A819" i="47"/>
  <c r="U818" i="47"/>
  <c r="T818" i="47"/>
  <c r="F818" i="47"/>
  <c r="A818" i="47"/>
  <c r="U817" i="47"/>
  <c r="T817" i="47"/>
  <c r="V817" i="47" s="1"/>
  <c r="P817" i="47"/>
  <c r="M817" i="47"/>
  <c r="L817" i="47"/>
  <c r="F817" i="47"/>
  <c r="E817" i="47"/>
  <c r="D817" i="47"/>
  <c r="O817" i="47" s="1"/>
  <c r="C817" i="47"/>
  <c r="A817" i="47"/>
  <c r="B817" i="47" s="1"/>
  <c r="U816" i="47"/>
  <c r="T816" i="47"/>
  <c r="V816" i="47" s="1"/>
  <c r="P816" i="47"/>
  <c r="Q816" i="47" s="1"/>
  <c r="D816" i="47"/>
  <c r="O816" i="47" s="1"/>
  <c r="B816" i="47"/>
  <c r="A816" i="47"/>
  <c r="U815" i="47"/>
  <c r="T815" i="47"/>
  <c r="F815" i="47"/>
  <c r="A815" i="47"/>
  <c r="U814" i="47"/>
  <c r="T814" i="47"/>
  <c r="C814" i="47"/>
  <c r="L814" i="47" s="1"/>
  <c r="B814" i="47"/>
  <c r="A814" i="47"/>
  <c r="U813" i="47"/>
  <c r="T813" i="47"/>
  <c r="P813" i="47"/>
  <c r="N813" i="47"/>
  <c r="M813" i="47"/>
  <c r="L813" i="47"/>
  <c r="K813" i="47"/>
  <c r="J813" i="47"/>
  <c r="I813" i="47"/>
  <c r="G813" i="47"/>
  <c r="F813" i="47"/>
  <c r="H813" i="47" s="1"/>
  <c r="E813" i="47"/>
  <c r="D813" i="47"/>
  <c r="O813" i="47" s="1"/>
  <c r="C813" i="47"/>
  <c r="B813" i="47"/>
  <c r="A813" i="47"/>
  <c r="Q813" i="47" s="1"/>
  <c r="U812" i="47"/>
  <c r="T812" i="47"/>
  <c r="P812" i="47"/>
  <c r="Q812" i="47" s="1"/>
  <c r="A812" i="47"/>
  <c r="U811" i="47"/>
  <c r="T811" i="47"/>
  <c r="K811" i="47"/>
  <c r="F811" i="47"/>
  <c r="C811" i="47"/>
  <c r="E811" i="47" s="1"/>
  <c r="B811" i="47"/>
  <c r="A811" i="47"/>
  <c r="U810" i="47"/>
  <c r="T810" i="47"/>
  <c r="L810" i="47"/>
  <c r="K810" i="47"/>
  <c r="G810" i="47"/>
  <c r="E810" i="47"/>
  <c r="D810" i="47"/>
  <c r="C810" i="47"/>
  <c r="A810" i="47"/>
  <c r="U809" i="47"/>
  <c r="T809" i="47"/>
  <c r="P809" i="47"/>
  <c r="N809" i="47"/>
  <c r="M809" i="47"/>
  <c r="K809" i="47"/>
  <c r="J809" i="47"/>
  <c r="F809" i="47"/>
  <c r="H809" i="47" s="1"/>
  <c r="E809" i="47"/>
  <c r="D809" i="47"/>
  <c r="O809" i="47" s="1"/>
  <c r="C809" i="47"/>
  <c r="L809" i="47" s="1"/>
  <c r="B809" i="47"/>
  <c r="G809" i="47" s="1"/>
  <c r="A809" i="47"/>
  <c r="U808" i="47"/>
  <c r="T808" i="47"/>
  <c r="A808" i="47"/>
  <c r="U807" i="47"/>
  <c r="V807" i="47" s="1"/>
  <c r="T807" i="47"/>
  <c r="A807" i="47"/>
  <c r="U806" i="47"/>
  <c r="T806" i="47"/>
  <c r="V806" i="47" s="1"/>
  <c r="P806" i="47"/>
  <c r="Q806" i="47" s="1"/>
  <c r="D806" i="47"/>
  <c r="O806" i="47" s="1"/>
  <c r="B806" i="47"/>
  <c r="A806" i="47"/>
  <c r="U805" i="47"/>
  <c r="T805" i="47"/>
  <c r="P805" i="47"/>
  <c r="L805" i="47"/>
  <c r="F805" i="47"/>
  <c r="D805" i="47"/>
  <c r="C805" i="47"/>
  <c r="B805" i="47"/>
  <c r="K805" i="47" s="1"/>
  <c r="A805" i="47"/>
  <c r="U804" i="47"/>
  <c r="T804" i="47"/>
  <c r="F804" i="47"/>
  <c r="A804" i="47"/>
  <c r="U803" i="47"/>
  <c r="V803" i="47" s="1"/>
  <c r="T803" i="47"/>
  <c r="A803" i="47"/>
  <c r="U802" i="47"/>
  <c r="T802" i="47"/>
  <c r="V802" i="47" s="1"/>
  <c r="P802" i="47"/>
  <c r="A802" i="47"/>
  <c r="U801" i="47"/>
  <c r="T801" i="47"/>
  <c r="P801" i="47"/>
  <c r="M801" i="47"/>
  <c r="L801" i="47"/>
  <c r="K801" i="47"/>
  <c r="I801" i="47"/>
  <c r="F801" i="47"/>
  <c r="H801" i="47" s="1"/>
  <c r="E801" i="47"/>
  <c r="D801" i="47"/>
  <c r="O801" i="47" s="1"/>
  <c r="C801" i="47"/>
  <c r="N801" i="47" s="1"/>
  <c r="B801" i="47"/>
  <c r="A801" i="47"/>
  <c r="J801" i="47" s="1"/>
  <c r="U800" i="47"/>
  <c r="T800" i="47"/>
  <c r="P800" i="47"/>
  <c r="F800" i="47"/>
  <c r="A800" i="47"/>
  <c r="U799" i="47"/>
  <c r="V799" i="47" s="1"/>
  <c r="T799" i="47"/>
  <c r="Q799" i="47"/>
  <c r="P799" i="47"/>
  <c r="M799" i="47"/>
  <c r="J799" i="47"/>
  <c r="D799" i="47"/>
  <c r="C799" i="47"/>
  <c r="A799" i="47"/>
  <c r="U798" i="47"/>
  <c r="T798" i="47"/>
  <c r="P798" i="47"/>
  <c r="Q798" i="47" s="1"/>
  <c r="D798" i="47"/>
  <c r="B798" i="47"/>
  <c r="A798" i="47"/>
  <c r="U797" i="47"/>
  <c r="T797" i="47"/>
  <c r="V797" i="47" s="1"/>
  <c r="P797" i="47"/>
  <c r="M797" i="47"/>
  <c r="L797" i="47"/>
  <c r="H797" i="47"/>
  <c r="F797" i="47"/>
  <c r="E797" i="47"/>
  <c r="D797" i="47"/>
  <c r="O797" i="47" s="1"/>
  <c r="C797" i="47"/>
  <c r="B797" i="47"/>
  <c r="A797" i="47"/>
  <c r="J797" i="47" s="1"/>
  <c r="U796" i="47"/>
  <c r="T796" i="47"/>
  <c r="F796" i="47"/>
  <c r="A796" i="47"/>
  <c r="U795" i="47"/>
  <c r="T795" i="47"/>
  <c r="D795" i="47"/>
  <c r="C795" i="47"/>
  <c r="A795" i="47"/>
  <c r="U794" i="47"/>
  <c r="T794" i="47"/>
  <c r="D794" i="47"/>
  <c r="A794" i="47"/>
  <c r="U793" i="47"/>
  <c r="T793" i="47"/>
  <c r="P793" i="47"/>
  <c r="H793" i="47"/>
  <c r="F793" i="47"/>
  <c r="D793" i="47"/>
  <c r="O793" i="47" s="1"/>
  <c r="C793" i="47"/>
  <c r="B793" i="47"/>
  <c r="A793" i="47"/>
  <c r="J793" i="47" s="1"/>
  <c r="U792" i="47"/>
  <c r="T792" i="47"/>
  <c r="A792" i="47"/>
  <c r="U791" i="47"/>
  <c r="T791" i="47"/>
  <c r="P791" i="47"/>
  <c r="A791" i="47"/>
  <c r="U790" i="47"/>
  <c r="T790" i="47"/>
  <c r="D790" i="47"/>
  <c r="O790" i="47" s="1"/>
  <c r="A790" i="47"/>
  <c r="U789" i="47"/>
  <c r="T789" i="47"/>
  <c r="P789" i="47"/>
  <c r="K789" i="47"/>
  <c r="F789" i="47"/>
  <c r="D789" i="47"/>
  <c r="O789" i="47" s="1"/>
  <c r="C789" i="47"/>
  <c r="L789" i="47" s="1"/>
  <c r="B789" i="47"/>
  <c r="A789" i="47"/>
  <c r="U788" i="47"/>
  <c r="T788" i="47"/>
  <c r="D788" i="47"/>
  <c r="A788" i="47"/>
  <c r="U787" i="47"/>
  <c r="T787" i="47"/>
  <c r="P787" i="47"/>
  <c r="A787" i="47"/>
  <c r="U786" i="47"/>
  <c r="T786" i="47"/>
  <c r="P786" i="47"/>
  <c r="Q786" i="47" s="1"/>
  <c r="A786" i="47"/>
  <c r="U785" i="47"/>
  <c r="T785" i="47"/>
  <c r="P785" i="47"/>
  <c r="M785" i="47"/>
  <c r="K785" i="47"/>
  <c r="I785" i="47"/>
  <c r="H785" i="47"/>
  <c r="F785" i="47"/>
  <c r="L785" i="47" s="1"/>
  <c r="E785" i="47"/>
  <c r="D785" i="47"/>
  <c r="O785" i="47" s="1"/>
  <c r="C785" i="47"/>
  <c r="N785" i="47" s="1"/>
  <c r="B785" i="47"/>
  <c r="A785" i="47"/>
  <c r="J785" i="47" s="1"/>
  <c r="U784" i="47"/>
  <c r="T784" i="47"/>
  <c r="P784" i="47"/>
  <c r="A784" i="47"/>
  <c r="U783" i="47"/>
  <c r="T783" i="47"/>
  <c r="A783" i="47"/>
  <c r="U782" i="47"/>
  <c r="T782" i="47"/>
  <c r="P782" i="47"/>
  <c r="B782" i="47"/>
  <c r="A782" i="47"/>
  <c r="U781" i="47"/>
  <c r="T781" i="47"/>
  <c r="P781" i="47"/>
  <c r="N781" i="47"/>
  <c r="L781" i="47"/>
  <c r="F781" i="47"/>
  <c r="D781" i="47"/>
  <c r="O781" i="47" s="1"/>
  <c r="C781" i="47"/>
  <c r="B781" i="47"/>
  <c r="A781" i="47"/>
  <c r="U780" i="47"/>
  <c r="T780" i="47"/>
  <c r="A780" i="47"/>
  <c r="U779" i="47"/>
  <c r="T779" i="47"/>
  <c r="P779" i="47"/>
  <c r="M779" i="47"/>
  <c r="F779" i="47"/>
  <c r="C779" i="47"/>
  <c r="A779" i="47"/>
  <c r="U778" i="47"/>
  <c r="T778" i="47"/>
  <c r="A778" i="47"/>
  <c r="U777" i="47"/>
  <c r="T777" i="47"/>
  <c r="P777" i="47"/>
  <c r="N777" i="47"/>
  <c r="F777" i="47"/>
  <c r="D777" i="47"/>
  <c r="O777" i="47" s="1"/>
  <c r="C777" i="47"/>
  <c r="B777" i="47"/>
  <c r="A777" i="47"/>
  <c r="U776" i="47"/>
  <c r="T776" i="47"/>
  <c r="A776" i="47"/>
  <c r="U775" i="47"/>
  <c r="T775" i="47"/>
  <c r="C775" i="47"/>
  <c r="L775" i="47" s="1"/>
  <c r="A775" i="47"/>
  <c r="U774" i="47"/>
  <c r="T774" i="47"/>
  <c r="D774" i="47"/>
  <c r="B774" i="47"/>
  <c r="A774" i="47"/>
  <c r="U773" i="47"/>
  <c r="T773" i="47"/>
  <c r="P773" i="47"/>
  <c r="M773" i="47"/>
  <c r="L773" i="47"/>
  <c r="H773" i="47"/>
  <c r="F773" i="47"/>
  <c r="E773" i="47"/>
  <c r="D773" i="47"/>
  <c r="O773" i="47" s="1"/>
  <c r="C773" i="47"/>
  <c r="K773" i="47" s="1"/>
  <c r="B773" i="47"/>
  <c r="A773" i="47"/>
  <c r="U772" i="47"/>
  <c r="T772" i="47"/>
  <c r="V772" i="47" s="1"/>
  <c r="C772" i="47"/>
  <c r="I772" i="47" s="1"/>
  <c r="A772" i="47"/>
  <c r="U771" i="47"/>
  <c r="T771" i="47"/>
  <c r="P771" i="47"/>
  <c r="F771" i="47"/>
  <c r="D771" i="47"/>
  <c r="C771" i="47"/>
  <c r="A771" i="47"/>
  <c r="U770" i="47"/>
  <c r="T770" i="47"/>
  <c r="P770" i="47"/>
  <c r="Q770" i="47" s="1"/>
  <c r="D770" i="47"/>
  <c r="O770" i="47" s="1"/>
  <c r="A770" i="47"/>
  <c r="U769" i="47"/>
  <c r="T769" i="47"/>
  <c r="P769" i="47"/>
  <c r="N769" i="47"/>
  <c r="M769" i="47"/>
  <c r="L769" i="47"/>
  <c r="K769" i="47"/>
  <c r="I769" i="47"/>
  <c r="H769" i="47"/>
  <c r="F769" i="47"/>
  <c r="E769" i="47"/>
  <c r="D769" i="47"/>
  <c r="O769" i="47" s="1"/>
  <c r="C769" i="47"/>
  <c r="B769" i="47"/>
  <c r="A769" i="47"/>
  <c r="J769" i="47" s="1"/>
  <c r="U768" i="47"/>
  <c r="V768" i="47" s="1"/>
  <c r="T768" i="47"/>
  <c r="A768" i="47"/>
  <c r="U767" i="47"/>
  <c r="T767" i="47"/>
  <c r="P767" i="47"/>
  <c r="M767" i="47"/>
  <c r="H767" i="47"/>
  <c r="C767" i="47"/>
  <c r="A767" i="47"/>
  <c r="U766" i="47"/>
  <c r="T766" i="47"/>
  <c r="P766" i="47"/>
  <c r="B766" i="47"/>
  <c r="A766" i="47"/>
  <c r="U765" i="47"/>
  <c r="T765" i="47"/>
  <c r="P765" i="47"/>
  <c r="O765" i="47"/>
  <c r="M765" i="47"/>
  <c r="L765" i="47"/>
  <c r="K765" i="47"/>
  <c r="I765" i="47"/>
  <c r="F765" i="47"/>
  <c r="D765" i="47"/>
  <c r="C765" i="47"/>
  <c r="N765" i="47" s="1"/>
  <c r="B765" i="47"/>
  <c r="A765" i="47"/>
  <c r="U764" i="47"/>
  <c r="T764" i="47"/>
  <c r="P764" i="47"/>
  <c r="D764" i="47"/>
  <c r="O764" i="47" s="1"/>
  <c r="A764" i="47"/>
  <c r="U763" i="47"/>
  <c r="T763" i="47"/>
  <c r="Q763" i="47"/>
  <c r="P763" i="47"/>
  <c r="A763" i="47"/>
  <c r="U762" i="47"/>
  <c r="T762" i="47"/>
  <c r="D762" i="47"/>
  <c r="O762" i="47" s="1"/>
  <c r="B762" i="47"/>
  <c r="A762" i="47"/>
  <c r="U761" i="47"/>
  <c r="T761" i="47"/>
  <c r="P761" i="47"/>
  <c r="F761" i="47"/>
  <c r="D761" i="47"/>
  <c r="O761" i="47" s="1"/>
  <c r="C761" i="47"/>
  <c r="B761" i="47"/>
  <c r="A761" i="47"/>
  <c r="U760" i="47"/>
  <c r="T760" i="47"/>
  <c r="V760" i="47" s="1"/>
  <c r="A760" i="47"/>
  <c r="U759" i="47"/>
  <c r="V759" i="47" s="1"/>
  <c r="T759" i="47"/>
  <c r="L759" i="47"/>
  <c r="J759" i="47"/>
  <c r="F759" i="47"/>
  <c r="D759" i="47"/>
  <c r="C759" i="47"/>
  <c r="A759" i="47"/>
  <c r="U758" i="47"/>
  <c r="T758" i="47"/>
  <c r="D758" i="47"/>
  <c r="C758" i="47"/>
  <c r="N758" i="47" s="1"/>
  <c r="B758" i="47"/>
  <c r="A758" i="47"/>
  <c r="U757" i="47"/>
  <c r="T757" i="47"/>
  <c r="P757" i="47"/>
  <c r="F757" i="47"/>
  <c r="D757" i="47"/>
  <c r="O757" i="47" s="1"/>
  <c r="C757" i="47"/>
  <c r="B757" i="47"/>
  <c r="A757" i="47"/>
  <c r="U756" i="47"/>
  <c r="T756" i="47"/>
  <c r="P756" i="47"/>
  <c r="Q756" i="47" s="1"/>
  <c r="F756" i="47"/>
  <c r="D756" i="47"/>
  <c r="O756" i="47" s="1"/>
  <c r="B756" i="47"/>
  <c r="A756" i="47"/>
  <c r="U755" i="47"/>
  <c r="T755" i="47"/>
  <c r="V755" i="47" s="1"/>
  <c r="A755" i="47"/>
  <c r="U754" i="47"/>
  <c r="T754" i="47"/>
  <c r="A754" i="47"/>
  <c r="U753" i="47"/>
  <c r="T753" i="47"/>
  <c r="A753" i="47"/>
  <c r="U752" i="47"/>
  <c r="T752" i="47"/>
  <c r="V752" i="47" s="1"/>
  <c r="J752" i="47"/>
  <c r="F752" i="47"/>
  <c r="D752" i="47"/>
  <c r="O752" i="47" s="1"/>
  <c r="C752" i="47"/>
  <c r="A752" i="47"/>
  <c r="B752" i="47" s="1"/>
  <c r="U751" i="47"/>
  <c r="T751" i="47"/>
  <c r="A751" i="47"/>
  <c r="U750" i="47"/>
  <c r="T750" i="47"/>
  <c r="P750" i="47"/>
  <c r="L750" i="47"/>
  <c r="K750" i="47"/>
  <c r="E750" i="47"/>
  <c r="C750" i="47"/>
  <c r="A750" i="47"/>
  <c r="U749" i="47"/>
  <c r="T749" i="47"/>
  <c r="A749" i="47"/>
  <c r="U748" i="47"/>
  <c r="T748" i="47"/>
  <c r="V748" i="47" s="1"/>
  <c r="N748" i="47"/>
  <c r="M748" i="47"/>
  <c r="J748" i="47"/>
  <c r="I748" i="47"/>
  <c r="H748" i="47"/>
  <c r="G748" i="47"/>
  <c r="F748" i="47"/>
  <c r="E748" i="47"/>
  <c r="D748" i="47"/>
  <c r="O748" i="47" s="1"/>
  <c r="C748" i="47"/>
  <c r="L748" i="47" s="1"/>
  <c r="A748" i="47"/>
  <c r="B748" i="47" s="1"/>
  <c r="U747" i="47"/>
  <c r="T747" i="47"/>
  <c r="H747" i="47"/>
  <c r="C747" i="47"/>
  <c r="B747" i="47"/>
  <c r="A747" i="47"/>
  <c r="U746" i="47"/>
  <c r="T746" i="47"/>
  <c r="Q746" i="47"/>
  <c r="P746" i="47"/>
  <c r="B746" i="47"/>
  <c r="A746" i="47"/>
  <c r="U745" i="47"/>
  <c r="T745" i="47"/>
  <c r="P745" i="47"/>
  <c r="A745" i="47"/>
  <c r="U744" i="47"/>
  <c r="V744" i="47" s="1"/>
  <c r="T744" i="47"/>
  <c r="O744" i="47"/>
  <c r="F744" i="47"/>
  <c r="E744" i="47"/>
  <c r="D744" i="47"/>
  <c r="C744" i="47"/>
  <c r="A744" i="47"/>
  <c r="B744" i="47" s="1"/>
  <c r="U743" i="47"/>
  <c r="T743" i="47"/>
  <c r="A743" i="47"/>
  <c r="U742" i="47"/>
  <c r="T742" i="47"/>
  <c r="P742" i="47"/>
  <c r="N742" i="47"/>
  <c r="L742" i="47"/>
  <c r="F742" i="47"/>
  <c r="E742" i="47"/>
  <c r="C742" i="47"/>
  <c r="B742" i="47"/>
  <c r="M742" i="47" s="1"/>
  <c r="A742" i="47"/>
  <c r="U741" i="47"/>
  <c r="T741" i="47"/>
  <c r="Q741" i="47"/>
  <c r="P741" i="47"/>
  <c r="K741" i="47"/>
  <c r="F741" i="47"/>
  <c r="D741" i="47"/>
  <c r="C741" i="47"/>
  <c r="A741" i="47"/>
  <c r="U740" i="47"/>
  <c r="T740" i="47"/>
  <c r="O740" i="47"/>
  <c r="F740" i="47"/>
  <c r="D740" i="47"/>
  <c r="C740" i="47"/>
  <c r="A740" i="47"/>
  <c r="B740" i="47" s="1"/>
  <c r="U739" i="47"/>
  <c r="T739" i="47"/>
  <c r="V739" i="47" s="1"/>
  <c r="M739" i="47"/>
  <c r="C739" i="47"/>
  <c r="N739" i="47" s="1"/>
  <c r="A739" i="47"/>
  <c r="U738" i="47"/>
  <c r="V738" i="47" s="1"/>
  <c r="T738" i="47"/>
  <c r="Q738" i="47"/>
  <c r="P738" i="47"/>
  <c r="F738" i="47"/>
  <c r="D738" i="47"/>
  <c r="B738" i="47"/>
  <c r="A738" i="47"/>
  <c r="U737" i="47"/>
  <c r="T737" i="47"/>
  <c r="A737" i="47"/>
  <c r="U736" i="47"/>
  <c r="T736" i="47"/>
  <c r="K736" i="47"/>
  <c r="F736" i="47"/>
  <c r="C736" i="47"/>
  <c r="A736" i="47"/>
  <c r="U735" i="47"/>
  <c r="T735" i="47"/>
  <c r="P735" i="47"/>
  <c r="F735" i="47"/>
  <c r="B735" i="47"/>
  <c r="A735" i="47"/>
  <c r="U734" i="47"/>
  <c r="T734" i="47"/>
  <c r="V734" i="47" s="1"/>
  <c r="P734" i="47"/>
  <c r="N734" i="47"/>
  <c r="M734" i="47"/>
  <c r="L734" i="47"/>
  <c r="K734" i="47"/>
  <c r="J734" i="47"/>
  <c r="I734" i="47"/>
  <c r="F734" i="47"/>
  <c r="D734" i="47"/>
  <c r="O734" i="47" s="1"/>
  <c r="C734" i="47"/>
  <c r="E734" i="47" s="1"/>
  <c r="B734" i="47"/>
  <c r="G734" i="47" s="1"/>
  <c r="A734" i="47"/>
  <c r="U733" i="47"/>
  <c r="T733" i="47"/>
  <c r="I733" i="47"/>
  <c r="C733" i="47"/>
  <c r="A733" i="47"/>
  <c r="U732" i="47"/>
  <c r="V732" i="47" s="1"/>
  <c r="T732" i="47"/>
  <c r="A732" i="47"/>
  <c r="U731" i="47"/>
  <c r="T731" i="47"/>
  <c r="G731" i="47"/>
  <c r="D731" i="47"/>
  <c r="C731" i="47"/>
  <c r="K731" i="47" s="1"/>
  <c r="A731" i="47"/>
  <c r="U730" i="47"/>
  <c r="T730" i="47"/>
  <c r="F730" i="47"/>
  <c r="D730" i="47"/>
  <c r="Q730" i="47" s="1"/>
  <c r="A730" i="47"/>
  <c r="P730" i="47" s="1"/>
  <c r="U729" i="47"/>
  <c r="T729" i="47"/>
  <c r="K729" i="47"/>
  <c r="C729" i="47"/>
  <c r="A729" i="47"/>
  <c r="U728" i="47"/>
  <c r="T728" i="47"/>
  <c r="V728" i="47" s="1"/>
  <c r="P728" i="47"/>
  <c r="A728" i="47"/>
  <c r="U727" i="47"/>
  <c r="T727" i="47"/>
  <c r="P727" i="47"/>
  <c r="F727" i="47"/>
  <c r="D727" i="47"/>
  <c r="Q727" i="47" s="1"/>
  <c r="B727" i="47"/>
  <c r="A727" i="47"/>
  <c r="U726" i="47"/>
  <c r="T726" i="47"/>
  <c r="G726" i="47"/>
  <c r="E726" i="47"/>
  <c r="C726" i="47"/>
  <c r="B726" i="47"/>
  <c r="A726" i="47"/>
  <c r="U725" i="47"/>
  <c r="T725" i="47"/>
  <c r="A725" i="47"/>
  <c r="U724" i="47"/>
  <c r="T724" i="47"/>
  <c r="Q724" i="47"/>
  <c r="P724" i="47"/>
  <c r="F724" i="47"/>
  <c r="D724" i="47"/>
  <c r="O724" i="47" s="1"/>
  <c r="A724" i="47"/>
  <c r="U723" i="47"/>
  <c r="T723" i="47"/>
  <c r="V723" i="47" s="1"/>
  <c r="P723" i="47"/>
  <c r="J723" i="47"/>
  <c r="C723" i="47"/>
  <c r="I723" i="47" s="1"/>
  <c r="A723" i="47"/>
  <c r="U722" i="47"/>
  <c r="T722" i="47"/>
  <c r="Q722" i="47"/>
  <c r="F722" i="47"/>
  <c r="D722" i="47"/>
  <c r="O722" i="47" s="1"/>
  <c r="B722" i="47"/>
  <c r="A722" i="47"/>
  <c r="P722" i="47" s="1"/>
  <c r="U721" i="47"/>
  <c r="T721" i="47"/>
  <c r="A721" i="47"/>
  <c r="U720" i="47"/>
  <c r="T720" i="47"/>
  <c r="P720" i="47"/>
  <c r="B720" i="47"/>
  <c r="A720" i="47"/>
  <c r="U719" i="47"/>
  <c r="T719" i="47"/>
  <c r="P719" i="47"/>
  <c r="O719" i="47"/>
  <c r="F719" i="47"/>
  <c r="D719" i="47"/>
  <c r="B719" i="47"/>
  <c r="A719" i="47"/>
  <c r="U718" i="47"/>
  <c r="T718" i="47"/>
  <c r="O718" i="47"/>
  <c r="D718" i="47"/>
  <c r="A718" i="47"/>
  <c r="U717" i="47"/>
  <c r="T717" i="47"/>
  <c r="A717" i="47"/>
  <c r="U716" i="47"/>
  <c r="T716" i="47"/>
  <c r="P716" i="47"/>
  <c r="Q716" i="47" s="1"/>
  <c r="O716" i="47"/>
  <c r="F716" i="47"/>
  <c r="D716" i="47"/>
  <c r="B716" i="47"/>
  <c r="A716" i="47"/>
  <c r="U715" i="47"/>
  <c r="T715" i="47"/>
  <c r="P715" i="47"/>
  <c r="Q715" i="47" s="1"/>
  <c r="N715" i="47"/>
  <c r="I715" i="47"/>
  <c r="C715" i="47"/>
  <c r="B715" i="47"/>
  <c r="A715" i="47"/>
  <c r="U714" i="47"/>
  <c r="T714" i="47"/>
  <c r="Q714" i="47"/>
  <c r="L714" i="47"/>
  <c r="H714" i="47"/>
  <c r="F714" i="47"/>
  <c r="D714" i="47"/>
  <c r="O714" i="47" s="1"/>
  <c r="C714" i="47"/>
  <c r="M714" i="47" s="1"/>
  <c r="B714" i="47"/>
  <c r="A714" i="47"/>
  <c r="P714" i="47" s="1"/>
  <c r="U713" i="47"/>
  <c r="T713" i="47"/>
  <c r="A713" i="47"/>
  <c r="P713" i="47" s="1"/>
  <c r="U712" i="47"/>
  <c r="T712" i="47"/>
  <c r="P712" i="47"/>
  <c r="D712" i="47"/>
  <c r="A712" i="47"/>
  <c r="U711" i="47"/>
  <c r="T711" i="47"/>
  <c r="Q711" i="47"/>
  <c r="P711" i="47"/>
  <c r="O711" i="47"/>
  <c r="H711" i="47"/>
  <c r="G711" i="47"/>
  <c r="F711" i="47"/>
  <c r="E711" i="47"/>
  <c r="D711" i="47"/>
  <c r="C711" i="47"/>
  <c r="I711" i="47" s="1"/>
  <c r="B711" i="47"/>
  <c r="A711" i="47"/>
  <c r="U710" i="47"/>
  <c r="T710" i="47"/>
  <c r="V710" i="47" s="1"/>
  <c r="J710" i="47"/>
  <c r="H710" i="47"/>
  <c r="F710" i="47"/>
  <c r="E710" i="47"/>
  <c r="C710" i="47"/>
  <c r="N710" i="47" s="1"/>
  <c r="A710" i="47"/>
  <c r="U709" i="47"/>
  <c r="T709" i="47"/>
  <c r="B709" i="47"/>
  <c r="A709" i="47"/>
  <c r="U708" i="47"/>
  <c r="T708" i="47"/>
  <c r="P708" i="47"/>
  <c r="M708" i="47"/>
  <c r="K708" i="47"/>
  <c r="F708" i="47"/>
  <c r="E708" i="47"/>
  <c r="D708" i="47"/>
  <c r="O708" i="47" s="1"/>
  <c r="C708" i="47"/>
  <c r="N708" i="47" s="1"/>
  <c r="B708" i="47"/>
  <c r="A708" i="47"/>
  <c r="U707" i="47"/>
  <c r="T707" i="47"/>
  <c r="V707" i="47" s="1"/>
  <c r="P707" i="47"/>
  <c r="N707" i="47"/>
  <c r="I707" i="47"/>
  <c r="G707" i="47"/>
  <c r="F707" i="47"/>
  <c r="E707" i="47"/>
  <c r="C707" i="47"/>
  <c r="B707" i="47"/>
  <c r="A707" i="47"/>
  <c r="L707" i="47" s="1"/>
  <c r="U706" i="47"/>
  <c r="T706" i="47"/>
  <c r="A706" i="47"/>
  <c r="U705" i="47"/>
  <c r="T705" i="47"/>
  <c r="A705" i="47"/>
  <c r="U704" i="47"/>
  <c r="T704" i="47"/>
  <c r="A704" i="47"/>
  <c r="U703" i="47"/>
  <c r="T703" i="47"/>
  <c r="F703" i="47"/>
  <c r="C703" i="47"/>
  <c r="A703" i="47"/>
  <c r="U702" i="47"/>
  <c r="T702" i="47"/>
  <c r="D702" i="47"/>
  <c r="O702" i="47" s="1"/>
  <c r="C702" i="47"/>
  <c r="K702" i="47" s="1"/>
  <c r="B702" i="47"/>
  <c r="A702" i="47"/>
  <c r="U701" i="47"/>
  <c r="T701" i="47"/>
  <c r="V701" i="47" s="1"/>
  <c r="A701" i="47"/>
  <c r="U700" i="47"/>
  <c r="T700" i="47"/>
  <c r="P700" i="47"/>
  <c r="A700" i="47"/>
  <c r="U699" i="47"/>
  <c r="T699" i="47"/>
  <c r="F699" i="47"/>
  <c r="D699" i="47"/>
  <c r="O699" i="47" s="1"/>
  <c r="C699" i="47"/>
  <c r="L699" i="47" s="1"/>
  <c r="A699" i="47"/>
  <c r="P699" i="47" s="1"/>
  <c r="Q699" i="47" s="1"/>
  <c r="U698" i="47"/>
  <c r="T698" i="47"/>
  <c r="P698" i="47"/>
  <c r="J698" i="47"/>
  <c r="G698" i="47"/>
  <c r="D698" i="47"/>
  <c r="O698" i="47" s="1"/>
  <c r="C698" i="47"/>
  <c r="B698" i="47"/>
  <c r="A698" i="47"/>
  <c r="Q698" i="47" s="1"/>
  <c r="U697" i="47"/>
  <c r="T697" i="47"/>
  <c r="F697" i="47"/>
  <c r="D697" i="47"/>
  <c r="A697" i="47"/>
  <c r="O697" i="47" s="1"/>
  <c r="U696" i="47"/>
  <c r="T696" i="47"/>
  <c r="C696" i="47"/>
  <c r="A696" i="47"/>
  <c r="P696" i="47" s="1"/>
  <c r="Q696" i="47" s="1"/>
  <c r="U695" i="47"/>
  <c r="T695" i="47"/>
  <c r="A695" i="47"/>
  <c r="U694" i="47"/>
  <c r="T694" i="47"/>
  <c r="P694" i="47"/>
  <c r="Q694" i="47" s="1"/>
  <c r="O694" i="47"/>
  <c r="M694" i="47"/>
  <c r="K694" i="47"/>
  <c r="J694" i="47"/>
  <c r="I694" i="47"/>
  <c r="E694" i="47"/>
  <c r="D694" i="47"/>
  <c r="C694" i="47"/>
  <c r="B694" i="47"/>
  <c r="G694" i="47" s="1"/>
  <c r="A694" i="47"/>
  <c r="U693" i="47"/>
  <c r="T693" i="47"/>
  <c r="D693" i="47"/>
  <c r="O693" i="47" s="1"/>
  <c r="A693" i="47"/>
  <c r="U692" i="47"/>
  <c r="T692" i="47"/>
  <c r="P692" i="47"/>
  <c r="M692" i="47"/>
  <c r="L692" i="47"/>
  <c r="K692" i="47"/>
  <c r="J692" i="47"/>
  <c r="C692" i="47"/>
  <c r="A692" i="47"/>
  <c r="U691" i="47"/>
  <c r="T691" i="47"/>
  <c r="P691" i="47"/>
  <c r="M691" i="47"/>
  <c r="I691" i="47"/>
  <c r="E691" i="47"/>
  <c r="C691" i="47"/>
  <c r="G691" i="47" s="1"/>
  <c r="A691" i="47"/>
  <c r="U690" i="47"/>
  <c r="T690" i="47"/>
  <c r="P690" i="47"/>
  <c r="K690" i="47"/>
  <c r="C690" i="47"/>
  <c r="M690" i="47" s="1"/>
  <c r="A690" i="47"/>
  <c r="U689" i="47"/>
  <c r="T689" i="47"/>
  <c r="A689" i="47"/>
  <c r="U688" i="47"/>
  <c r="T688" i="47"/>
  <c r="P688" i="47"/>
  <c r="A688" i="47"/>
  <c r="U687" i="47"/>
  <c r="T687" i="47"/>
  <c r="V687" i="47" s="1"/>
  <c r="A687" i="47"/>
  <c r="U686" i="47"/>
  <c r="T686" i="47"/>
  <c r="P686" i="47"/>
  <c r="Q686" i="47" s="1"/>
  <c r="O686" i="47"/>
  <c r="M686" i="47"/>
  <c r="G686" i="47"/>
  <c r="D686" i="47"/>
  <c r="C686" i="47"/>
  <c r="K686" i="47" s="1"/>
  <c r="B686" i="47"/>
  <c r="A686" i="47"/>
  <c r="U685" i="47"/>
  <c r="T685" i="47"/>
  <c r="V685" i="47" s="1"/>
  <c r="F685" i="47"/>
  <c r="C685" i="47"/>
  <c r="I685" i="47" s="1"/>
  <c r="A685" i="47"/>
  <c r="U684" i="47"/>
  <c r="T684" i="47"/>
  <c r="P684" i="47"/>
  <c r="B684" i="47"/>
  <c r="A684" i="47"/>
  <c r="U683" i="47"/>
  <c r="T683" i="47"/>
  <c r="D683" i="47"/>
  <c r="O683" i="47" s="1"/>
  <c r="C683" i="47"/>
  <c r="B683" i="47"/>
  <c r="A683" i="47"/>
  <c r="U682" i="47"/>
  <c r="T682" i="47"/>
  <c r="V682" i="47" s="1"/>
  <c r="K682" i="47"/>
  <c r="F682" i="47"/>
  <c r="D682" i="47"/>
  <c r="Q682" i="47" s="1"/>
  <c r="C682" i="47"/>
  <c r="J682" i="47" s="1"/>
  <c r="B682" i="47"/>
  <c r="A682" i="47"/>
  <c r="P682" i="47" s="1"/>
  <c r="U681" i="47"/>
  <c r="T681" i="47"/>
  <c r="A681" i="47"/>
  <c r="U680" i="47"/>
  <c r="T680" i="47"/>
  <c r="P680" i="47"/>
  <c r="Q680" i="47" s="1"/>
  <c r="N680" i="47"/>
  <c r="M680" i="47"/>
  <c r="L680" i="47"/>
  <c r="K680" i="47"/>
  <c r="I680" i="47"/>
  <c r="H680" i="47"/>
  <c r="G680" i="47"/>
  <c r="E680" i="47"/>
  <c r="C680" i="47"/>
  <c r="B680" i="47"/>
  <c r="A680" i="47"/>
  <c r="U679" i="47"/>
  <c r="T679" i="47"/>
  <c r="P679" i="47"/>
  <c r="F679" i="47"/>
  <c r="D679" i="47"/>
  <c r="O679" i="47" s="1"/>
  <c r="B679" i="47"/>
  <c r="A679" i="47"/>
  <c r="U678" i="47"/>
  <c r="T678" i="47"/>
  <c r="P678" i="47"/>
  <c r="D678" i="47"/>
  <c r="A678" i="47"/>
  <c r="U677" i="47"/>
  <c r="T677" i="47"/>
  <c r="O677" i="47"/>
  <c r="D677" i="47"/>
  <c r="C677" i="47"/>
  <c r="A677" i="47"/>
  <c r="U676" i="47"/>
  <c r="T676" i="47"/>
  <c r="P676" i="47"/>
  <c r="A676" i="47"/>
  <c r="Q676" i="47" s="1"/>
  <c r="U675" i="47"/>
  <c r="T675" i="47"/>
  <c r="P675" i="47"/>
  <c r="F675" i="47"/>
  <c r="B675" i="47"/>
  <c r="A675" i="47"/>
  <c r="U674" i="47"/>
  <c r="T674" i="47"/>
  <c r="F674" i="47"/>
  <c r="D674" i="47"/>
  <c r="A674" i="47"/>
  <c r="P674" i="47" s="1"/>
  <c r="U673" i="47"/>
  <c r="T673" i="47"/>
  <c r="Q673" i="47"/>
  <c r="N673" i="47"/>
  <c r="L673" i="47"/>
  <c r="K673" i="47"/>
  <c r="J673" i="47"/>
  <c r="I673" i="47"/>
  <c r="H673" i="47"/>
  <c r="G673" i="47"/>
  <c r="F673" i="47"/>
  <c r="E673" i="47"/>
  <c r="D673" i="47"/>
  <c r="O673" i="47" s="1"/>
  <c r="C673" i="47"/>
  <c r="B673" i="47"/>
  <c r="M673" i="47" s="1"/>
  <c r="A673" i="47"/>
  <c r="P673" i="47" s="1"/>
  <c r="U672" i="47"/>
  <c r="T672" i="47"/>
  <c r="Q672" i="47"/>
  <c r="P672" i="47"/>
  <c r="O672" i="47"/>
  <c r="B672" i="47"/>
  <c r="A672" i="47"/>
  <c r="D672" i="47" s="1"/>
  <c r="U671" i="47"/>
  <c r="T671" i="47"/>
  <c r="A671" i="47"/>
  <c r="U670" i="47"/>
  <c r="V670" i="47" s="1"/>
  <c r="T670" i="47"/>
  <c r="A670" i="47"/>
  <c r="U669" i="47"/>
  <c r="T669" i="47"/>
  <c r="P669" i="47"/>
  <c r="L669" i="47"/>
  <c r="K669" i="47"/>
  <c r="J669" i="47"/>
  <c r="I669" i="47"/>
  <c r="F669" i="47"/>
  <c r="D669" i="47"/>
  <c r="Q669" i="47" s="1"/>
  <c r="C669" i="47"/>
  <c r="H669" i="47" s="1"/>
  <c r="B669" i="47"/>
  <c r="A669" i="47"/>
  <c r="U668" i="47"/>
  <c r="T668" i="47"/>
  <c r="P668" i="47"/>
  <c r="O668" i="47"/>
  <c r="N668" i="47"/>
  <c r="M668" i="47"/>
  <c r="L668" i="47"/>
  <c r="J668" i="47"/>
  <c r="I668" i="47"/>
  <c r="H668" i="47"/>
  <c r="G668" i="47"/>
  <c r="F668" i="47"/>
  <c r="E668" i="47"/>
  <c r="D668" i="47"/>
  <c r="C668" i="47"/>
  <c r="B668" i="47"/>
  <c r="K668" i="47" s="1"/>
  <c r="A668" i="47"/>
  <c r="U667" i="47"/>
  <c r="T667" i="47"/>
  <c r="A667" i="47"/>
  <c r="U666" i="47"/>
  <c r="V666" i="47" s="1"/>
  <c r="T666" i="47"/>
  <c r="A666" i="47"/>
  <c r="U665" i="47"/>
  <c r="T665" i="47"/>
  <c r="F665" i="47"/>
  <c r="D665" i="47"/>
  <c r="C665" i="47"/>
  <c r="B665" i="47"/>
  <c r="A665" i="47"/>
  <c r="U664" i="47"/>
  <c r="T664" i="47"/>
  <c r="P664" i="47"/>
  <c r="N664" i="47"/>
  <c r="M664" i="47"/>
  <c r="L664" i="47"/>
  <c r="K664" i="47"/>
  <c r="I664" i="47"/>
  <c r="H664" i="47"/>
  <c r="G664" i="47"/>
  <c r="F664" i="47"/>
  <c r="J664" i="47" s="1"/>
  <c r="E664" i="47"/>
  <c r="D664" i="47"/>
  <c r="O664" i="47" s="1"/>
  <c r="C664" i="47"/>
  <c r="B664" i="47"/>
  <c r="A664" i="47"/>
  <c r="U663" i="47"/>
  <c r="T663" i="47"/>
  <c r="B663" i="47"/>
  <c r="A663" i="47"/>
  <c r="U662" i="47"/>
  <c r="T662" i="47"/>
  <c r="N662" i="47"/>
  <c r="M662" i="47"/>
  <c r="J662" i="47"/>
  <c r="H662" i="47"/>
  <c r="D662" i="47"/>
  <c r="C662" i="47"/>
  <c r="B662" i="47"/>
  <c r="A662" i="47"/>
  <c r="U661" i="47"/>
  <c r="T661" i="47"/>
  <c r="P661" i="47"/>
  <c r="F661" i="47"/>
  <c r="D661" i="47"/>
  <c r="A661" i="47"/>
  <c r="Q661" i="47" s="1"/>
  <c r="U660" i="47"/>
  <c r="T660" i="47"/>
  <c r="P660" i="47"/>
  <c r="O660" i="47"/>
  <c r="N660" i="47"/>
  <c r="M660" i="47"/>
  <c r="L660" i="47"/>
  <c r="K660" i="47"/>
  <c r="J660" i="47"/>
  <c r="I660" i="47"/>
  <c r="H660" i="47"/>
  <c r="G660" i="47"/>
  <c r="F660" i="47"/>
  <c r="E660" i="47"/>
  <c r="D660" i="47"/>
  <c r="C660" i="47"/>
  <c r="B660" i="47"/>
  <c r="A660" i="47"/>
  <c r="U659" i="47"/>
  <c r="T659" i="47"/>
  <c r="C659" i="47"/>
  <c r="B659" i="47"/>
  <c r="A659" i="47"/>
  <c r="U658" i="47"/>
  <c r="T658" i="47"/>
  <c r="V658" i="47" s="1"/>
  <c r="P658" i="47"/>
  <c r="N658" i="47"/>
  <c r="K658" i="47"/>
  <c r="F658" i="47"/>
  <c r="E658" i="47"/>
  <c r="D658" i="47"/>
  <c r="O658" i="47" s="1"/>
  <c r="C658" i="47"/>
  <c r="M658" i="47" s="1"/>
  <c r="A658" i="47"/>
  <c r="U657" i="47"/>
  <c r="T657" i="47"/>
  <c r="B657" i="47"/>
  <c r="A657" i="47"/>
  <c r="P657" i="47" s="1"/>
  <c r="Q657" i="47" s="1"/>
  <c r="U656" i="47"/>
  <c r="T656" i="47"/>
  <c r="V656" i="47" s="1"/>
  <c r="P656" i="47"/>
  <c r="F656" i="47"/>
  <c r="E656" i="47"/>
  <c r="D656" i="47"/>
  <c r="O656" i="47" s="1"/>
  <c r="C656" i="47"/>
  <c r="B656" i="47"/>
  <c r="A656" i="47"/>
  <c r="U655" i="47"/>
  <c r="T655" i="47"/>
  <c r="V655" i="47" s="1"/>
  <c r="P655" i="47"/>
  <c r="Q655" i="47" s="1"/>
  <c r="N655" i="47"/>
  <c r="H655" i="47"/>
  <c r="G655" i="47"/>
  <c r="F655" i="47"/>
  <c r="C655" i="47"/>
  <c r="M655" i="47" s="1"/>
  <c r="A655" i="47"/>
  <c r="U654" i="47"/>
  <c r="T654" i="47"/>
  <c r="B654" i="47"/>
  <c r="A654" i="47"/>
  <c r="U653" i="47"/>
  <c r="V653" i="47" s="1"/>
  <c r="T653" i="47"/>
  <c r="Q653" i="47"/>
  <c r="P653" i="47"/>
  <c r="F653" i="47"/>
  <c r="D653" i="47"/>
  <c r="O653" i="47" s="1"/>
  <c r="C653" i="47"/>
  <c r="B653" i="47"/>
  <c r="A653" i="47"/>
  <c r="U652" i="47"/>
  <c r="T652" i="47"/>
  <c r="P652" i="47"/>
  <c r="O652" i="47"/>
  <c r="N652" i="47"/>
  <c r="M652" i="47"/>
  <c r="L652" i="47"/>
  <c r="K652" i="47"/>
  <c r="I652" i="47"/>
  <c r="H652" i="47"/>
  <c r="G652" i="47"/>
  <c r="F652" i="47"/>
  <c r="J652" i="47" s="1"/>
  <c r="E652" i="47"/>
  <c r="D652" i="47"/>
  <c r="C652" i="47"/>
  <c r="B652" i="47"/>
  <c r="A652" i="47"/>
  <c r="U651" i="47"/>
  <c r="T651" i="47"/>
  <c r="P651" i="47"/>
  <c r="D651" i="47"/>
  <c r="C651" i="47"/>
  <c r="B651" i="47"/>
  <c r="A651" i="47"/>
  <c r="Q651" i="47" s="1"/>
  <c r="U650" i="47"/>
  <c r="T650" i="47"/>
  <c r="P650" i="47"/>
  <c r="Q650" i="47" s="1"/>
  <c r="O650" i="47"/>
  <c r="F650" i="47"/>
  <c r="D650" i="47"/>
  <c r="B650" i="47"/>
  <c r="A650" i="47"/>
  <c r="U649" i="47"/>
  <c r="T649" i="47"/>
  <c r="A649" i="47"/>
  <c r="U648" i="47"/>
  <c r="T648" i="47"/>
  <c r="P648" i="47"/>
  <c r="K648" i="47"/>
  <c r="F648" i="47"/>
  <c r="D648" i="47"/>
  <c r="O648" i="47" s="1"/>
  <c r="C648" i="47"/>
  <c r="B648" i="47"/>
  <c r="A648" i="47"/>
  <c r="U647" i="47"/>
  <c r="T647" i="47"/>
  <c r="Q647" i="47"/>
  <c r="P647" i="47"/>
  <c r="O647" i="47"/>
  <c r="L647" i="47"/>
  <c r="K647" i="47"/>
  <c r="J647" i="47"/>
  <c r="I647" i="47"/>
  <c r="H647" i="47"/>
  <c r="G647" i="47"/>
  <c r="F647" i="47"/>
  <c r="N647" i="47" s="1"/>
  <c r="D647" i="47"/>
  <c r="C647" i="47"/>
  <c r="B647" i="47"/>
  <c r="M647" i="47" s="1"/>
  <c r="A647" i="47"/>
  <c r="U646" i="47"/>
  <c r="T646" i="47"/>
  <c r="A646" i="47"/>
  <c r="U645" i="47"/>
  <c r="T645" i="47"/>
  <c r="A645" i="47"/>
  <c r="U644" i="47"/>
  <c r="T644" i="47"/>
  <c r="P644" i="47"/>
  <c r="O644" i="47"/>
  <c r="M644" i="47"/>
  <c r="I644" i="47"/>
  <c r="H644" i="47"/>
  <c r="G644" i="47"/>
  <c r="F644" i="47"/>
  <c r="N644" i="47" s="1"/>
  <c r="D644" i="47"/>
  <c r="C644" i="47"/>
  <c r="L644" i="47" s="1"/>
  <c r="B644" i="47"/>
  <c r="A644" i="47"/>
  <c r="U643" i="47"/>
  <c r="T643" i="47"/>
  <c r="A643" i="47"/>
  <c r="U642" i="47"/>
  <c r="T642" i="47"/>
  <c r="P642" i="47"/>
  <c r="N642" i="47"/>
  <c r="F642" i="47"/>
  <c r="E642" i="47"/>
  <c r="D642" i="47"/>
  <c r="O642" i="47" s="1"/>
  <c r="C642" i="47"/>
  <c r="A642" i="47"/>
  <c r="U641" i="47"/>
  <c r="T641" i="47"/>
  <c r="P641" i="47"/>
  <c r="A641" i="47"/>
  <c r="U640" i="47"/>
  <c r="T640" i="47"/>
  <c r="P640" i="47"/>
  <c r="F640" i="47"/>
  <c r="D640" i="47"/>
  <c r="O640" i="47" s="1"/>
  <c r="B640" i="47"/>
  <c r="A640" i="47"/>
  <c r="U639" i="47"/>
  <c r="T639" i="47"/>
  <c r="Q639" i="47"/>
  <c r="P639" i="47"/>
  <c r="A639" i="47"/>
  <c r="U638" i="47"/>
  <c r="T638" i="47"/>
  <c r="N638" i="47"/>
  <c r="M638" i="47"/>
  <c r="L638" i="47"/>
  <c r="J638" i="47"/>
  <c r="G638" i="47"/>
  <c r="F638" i="47"/>
  <c r="E638" i="47"/>
  <c r="D638" i="47"/>
  <c r="O638" i="47" s="1"/>
  <c r="C638" i="47"/>
  <c r="A638" i="47"/>
  <c r="B638" i="47" s="1"/>
  <c r="U637" i="47"/>
  <c r="T637" i="47"/>
  <c r="A637" i="47"/>
  <c r="U636" i="47"/>
  <c r="T636" i="47"/>
  <c r="P636" i="47"/>
  <c r="F636" i="47"/>
  <c r="D636" i="47"/>
  <c r="O636" i="47" s="1"/>
  <c r="B636" i="47"/>
  <c r="A636" i="47"/>
  <c r="U635" i="47"/>
  <c r="T635" i="47"/>
  <c r="C635" i="47"/>
  <c r="J635" i="47" s="1"/>
  <c r="B635" i="47"/>
  <c r="A635" i="47"/>
  <c r="U634" i="47"/>
  <c r="T634" i="47"/>
  <c r="V634" i="47" s="1"/>
  <c r="O634" i="47"/>
  <c r="N634" i="47"/>
  <c r="F634" i="47"/>
  <c r="D634" i="47"/>
  <c r="C634" i="47"/>
  <c r="A634" i="47"/>
  <c r="B634" i="47" s="1"/>
  <c r="U633" i="47"/>
  <c r="T633" i="47"/>
  <c r="Q633" i="47"/>
  <c r="P633" i="47"/>
  <c r="B633" i="47"/>
  <c r="A633" i="47"/>
  <c r="U632" i="47"/>
  <c r="T632" i="47"/>
  <c r="P632" i="47"/>
  <c r="F632" i="47"/>
  <c r="D632" i="47"/>
  <c r="O632" i="47" s="1"/>
  <c r="B632" i="47"/>
  <c r="A632" i="47"/>
  <c r="U631" i="47"/>
  <c r="T631" i="47"/>
  <c r="P631" i="47"/>
  <c r="J631" i="47"/>
  <c r="F631" i="47"/>
  <c r="H631" i="47" s="1"/>
  <c r="C631" i="47"/>
  <c r="K631" i="47" s="1"/>
  <c r="A631" i="47"/>
  <c r="U630" i="47"/>
  <c r="T630" i="47"/>
  <c r="V630" i="47" s="1"/>
  <c r="F630" i="47"/>
  <c r="D630" i="47"/>
  <c r="O630" i="47" s="1"/>
  <c r="C630" i="47"/>
  <c r="A630" i="47"/>
  <c r="B630" i="47" s="1"/>
  <c r="U629" i="47"/>
  <c r="T629" i="47"/>
  <c r="B629" i="47"/>
  <c r="A629" i="47"/>
  <c r="U628" i="47"/>
  <c r="T628" i="47"/>
  <c r="V628" i="47" s="1"/>
  <c r="P628" i="47"/>
  <c r="N628" i="47"/>
  <c r="M628" i="47"/>
  <c r="L628" i="47"/>
  <c r="K628" i="47"/>
  <c r="F628" i="47"/>
  <c r="E628" i="47"/>
  <c r="D628" i="47"/>
  <c r="O628" i="47" s="1"/>
  <c r="C628" i="47"/>
  <c r="B628" i="47"/>
  <c r="G628" i="47" s="1"/>
  <c r="A628" i="47"/>
  <c r="J628" i="47" s="1"/>
  <c r="U627" i="47"/>
  <c r="T627" i="47"/>
  <c r="B627" i="47"/>
  <c r="A627" i="47"/>
  <c r="U626" i="47"/>
  <c r="V626" i="47" s="1"/>
  <c r="T626" i="47"/>
  <c r="O626" i="47"/>
  <c r="N626" i="47"/>
  <c r="M626" i="47"/>
  <c r="F626" i="47"/>
  <c r="E626" i="47"/>
  <c r="D626" i="47"/>
  <c r="C626" i="47"/>
  <c r="B626" i="47"/>
  <c r="A626" i="47"/>
  <c r="U625" i="47"/>
  <c r="T625" i="47"/>
  <c r="B625" i="47"/>
  <c r="A625" i="47"/>
  <c r="P625" i="47" s="1"/>
  <c r="Q625" i="47" s="1"/>
  <c r="U624" i="47"/>
  <c r="T624" i="47"/>
  <c r="V624" i="47" s="1"/>
  <c r="P624" i="47"/>
  <c r="N624" i="47"/>
  <c r="M624" i="47"/>
  <c r="L624" i="47"/>
  <c r="K624" i="47"/>
  <c r="G624" i="47"/>
  <c r="F624" i="47"/>
  <c r="E624" i="47"/>
  <c r="D624" i="47"/>
  <c r="O624" i="47" s="1"/>
  <c r="C624" i="47"/>
  <c r="B624" i="47"/>
  <c r="A624" i="47"/>
  <c r="J624" i="47" s="1"/>
  <c r="U623" i="47"/>
  <c r="T623" i="47"/>
  <c r="Q623" i="47"/>
  <c r="P623" i="47"/>
  <c r="F623" i="47"/>
  <c r="A623" i="47"/>
  <c r="U622" i="47"/>
  <c r="T622" i="47"/>
  <c r="M622" i="47"/>
  <c r="L622" i="47"/>
  <c r="G622" i="47"/>
  <c r="F622" i="47"/>
  <c r="E622" i="47"/>
  <c r="D622" i="47"/>
  <c r="O622" i="47" s="1"/>
  <c r="C622" i="47"/>
  <c r="N622" i="47" s="1"/>
  <c r="B622" i="47"/>
  <c r="A622" i="47"/>
  <c r="U621" i="47"/>
  <c r="T621" i="47"/>
  <c r="A621" i="47"/>
  <c r="U620" i="47"/>
  <c r="T620" i="47"/>
  <c r="V620" i="47" s="1"/>
  <c r="P620" i="47"/>
  <c r="N620" i="47"/>
  <c r="M620" i="47"/>
  <c r="L620" i="47"/>
  <c r="K620" i="47"/>
  <c r="F620" i="47"/>
  <c r="E620" i="47"/>
  <c r="D620" i="47"/>
  <c r="O620" i="47" s="1"/>
  <c r="C620" i="47"/>
  <c r="J620" i="47" s="1"/>
  <c r="B620" i="47"/>
  <c r="G620" i="47" s="1"/>
  <c r="A620" i="47"/>
  <c r="I620" i="47" s="1"/>
  <c r="U619" i="47"/>
  <c r="T619" i="47"/>
  <c r="F619" i="47"/>
  <c r="A619" i="47"/>
  <c r="U618" i="47"/>
  <c r="T618" i="47"/>
  <c r="O618" i="47"/>
  <c r="F618" i="47"/>
  <c r="D618" i="47"/>
  <c r="C618" i="47"/>
  <c r="B618" i="47"/>
  <c r="A618" i="47"/>
  <c r="U617" i="47"/>
  <c r="T617" i="47"/>
  <c r="P617" i="47"/>
  <c r="A617" i="47"/>
  <c r="U616" i="47"/>
  <c r="T616" i="47"/>
  <c r="P616" i="47"/>
  <c r="O616" i="47"/>
  <c r="N616" i="47"/>
  <c r="M616" i="47"/>
  <c r="L616" i="47"/>
  <c r="K616" i="47"/>
  <c r="G616" i="47"/>
  <c r="F616" i="47"/>
  <c r="E616" i="47"/>
  <c r="D616" i="47"/>
  <c r="C616" i="47"/>
  <c r="J616" i="47" s="1"/>
  <c r="B616" i="47"/>
  <c r="A616" i="47"/>
  <c r="I616" i="47" s="1"/>
  <c r="U615" i="47"/>
  <c r="T615" i="47"/>
  <c r="P615" i="47"/>
  <c r="A615" i="47"/>
  <c r="U614" i="47"/>
  <c r="T614" i="47"/>
  <c r="V614" i="47" s="1"/>
  <c r="N614" i="47"/>
  <c r="M614" i="47"/>
  <c r="L614" i="47"/>
  <c r="H614" i="47"/>
  <c r="F614" i="47"/>
  <c r="E614" i="47"/>
  <c r="D614" i="47"/>
  <c r="O614" i="47" s="1"/>
  <c r="C614" i="47"/>
  <c r="I614" i="47" s="1"/>
  <c r="B614" i="47"/>
  <c r="A614" i="47"/>
  <c r="U613" i="47"/>
  <c r="T613" i="47"/>
  <c r="P613" i="47"/>
  <c r="A613" i="47"/>
  <c r="Q613" i="47" s="1"/>
  <c r="U612" i="47"/>
  <c r="T612" i="47"/>
  <c r="P612" i="47"/>
  <c r="O612" i="47"/>
  <c r="N612" i="47"/>
  <c r="F612" i="47"/>
  <c r="D612" i="47"/>
  <c r="C612" i="47"/>
  <c r="J612" i="47" s="1"/>
  <c r="B612" i="47"/>
  <c r="A612" i="47"/>
  <c r="I612" i="47" s="1"/>
  <c r="U611" i="47"/>
  <c r="T611" i="47"/>
  <c r="P611" i="47"/>
  <c r="O611" i="47"/>
  <c r="D611" i="47"/>
  <c r="A611" i="47"/>
  <c r="Q611" i="47" s="1"/>
  <c r="U610" i="47"/>
  <c r="T610" i="47"/>
  <c r="N610" i="47"/>
  <c r="M610" i="47"/>
  <c r="L610" i="47"/>
  <c r="F610" i="47"/>
  <c r="H610" i="47" s="1"/>
  <c r="E610" i="47"/>
  <c r="D610" i="47"/>
  <c r="O610" i="47" s="1"/>
  <c r="C610" i="47"/>
  <c r="I610" i="47" s="1"/>
  <c r="B610" i="47"/>
  <c r="A610" i="47"/>
  <c r="U609" i="47"/>
  <c r="T609" i="47"/>
  <c r="P609" i="47"/>
  <c r="F609" i="47"/>
  <c r="B609" i="47"/>
  <c r="A609" i="47"/>
  <c r="U608" i="47"/>
  <c r="V608" i="47" s="1"/>
  <c r="T608" i="47"/>
  <c r="P608" i="47"/>
  <c r="O608" i="47"/>
  <c r="F608" i="47"/>
  <c r="E608" i="47"/>
  <c r="D608" i="47"/>
  <c r="C608" i="47"/>
  <c r="N608" i="47" s="1"/>
  <c r="B608" i="47"/>
  <c r="A608" i="47"/>
  <c r="U607" i="47"/>
  <c r="T607" i="47"/>
  <c r="A607" i="47"/>
  <c r="U606" i="47"/>
  <c r="T606" i="47"/>
  <c r="L606" i="47"/>
  <c r="H606" i="47"/>
  <c r="G606" i="47"/>
  <c r="F606" i="47"/>
  <c r="J606" i="47" s="1"/>
  <c r="E606" i="47"/>
  <c r="D606" i="47"/>
  <c r="O606" i="47" s="1"/>
  <c r="C606" i="47"/>
  <c r="B606" i="47"/>
  <c r="A606" i="47"/>
  <c r="U605" i="47"/>
  <c r="T605" i="47"/>
  <c r="N605" i="47"/>
  <c r="K605" i="47"/>
  <c r="J605" i="47"/>
  <c r="I605" i="47"/>
  <c r="F605" i="47"/>
  <c r="H605" i="47" s="1"/>
  <c r="C605" i="47"/>
  <c r="B605" i="47"/>
  <c r="G605" i="47" s="1"/>
  <c r="A605" i="47"/>
  <c r="U604" i="47"/>
  <c r="T604" i="47"/>
  <c r="P604" i="47"/>
  <c r="K604" i="47"/>
  <c r="F604" i="47"/>
  <c r="D604" i="47"/>
  <c r="O604" i="47" s="1"/>
  <c r="C604" i="47"/>
  <c r="N604" i="47" s="1"/>
  <c r="B604" i="47"/>
  <c r="A604" i="47"/>
  <c r="I604" i="47" s="1"/>
  <c r="U603" i="47"/>
  <c r="V603" i="47" s="1"/>
  <c r="T603" i="47"/>
  <c r="B603" i="47"/>
  <c r="A603" i="47"/>
  <c r="U602" i="47"/>
  <c r="T602" i="47"/>
  <c r="F602" i="47"/>
  <c r="D602" i="47"/>
  <c r="O602" i="47" s="1"/>
  <c r="C602" i="47"/>
  <c r="B602" i="47"/>
  <c r="A602" i="47"/>
  <c r="U601" i="47"/>
  <c r="T601" i="47"/>
  <c r="P601" i="47"/>
  <c r="Q601" i="47" s="1"/>
  <c r="N601" i="47"/>
  <c r="M601" i="47"/>
  <c r="L601" i="47"/>
  <c r="K601" i="47"/>
  <c r="J601" i="47"/>
  <c r="I601" i="47"/>
  <c r="F601" i="47"/>
  <c r="C601" i="47"/>
  <c r="H601" i="47" s="1"/>
  <c r="A601" i="47"/>
  <c r="U600" i="47"/>
  <c r="T600" i="47"/>
  <c r="Q600" i="47"/>
  <c r="P600" i="47"/>
  <c r="F600" i="47"/>
  <c r="B600" i="47"/>
  <c r="A600" i="47"/>
  <c r="U599" i="47"/>
  <c r="T599" i="47"/>
  <c r="A599" i="47"/>
  <c r="U598" i="47"/>
  <c r="T598" i="47"/>
  <c r="O598" i="47"/>
  <c r="J598" i="47"/>
  <c r="F598" i="47"/>
  <c r="D598" i="47"/>
  <c r="C598" i="47"/>
  <c r="B598" i="47"/>
  <c r="A598" i="47"/>
  <c r="U597" i="47"/>
  <c r="T597" i="47"/>
  <c r="P597" i="47"/>
  <c r="F597" i="47"/>
  <c r="A597" i="47"/>
  <c r="D597" i="47" s="1"/>
  <c r="U596" i="47"/>
  <c r="V596" i="47" s="1"/>
  <c r="T596" i="47"/>
  <c r="P596" i="47"/>
  <c r="Q596" i="47" s="1"/>
  <c r="J596" i="47"/>
  <c r="I596" i="47"/>
  <c r="F596" i="47"/>
  <c r="E596" i="47"/>
  <c r="D596" i="47"/>
  <c r="O596" i="47" s="1"/>
  <c r="C596" i="47"/>
  <c r="L596" i="47" s="1"/>
  <c r="B596" i="47"/>
  <c r="G596" i="47" s="1"/>
  <c r="A596" i="47"/>
  <c r="U595" i="47"/>
  <c r="T595" i="47"/>
  <c r="K595" i="47"/>
  <c r="F595" i="47"/>
  <c r="C595" i="47"/>
  <c r="B595" i="47"/>
  <c r="G595" i="47" s="1"/>
  <c r="A595" i="47"/>
  <c r="U594" i="47"/>
  <c r="T594" i="47"/>
  <c r="F594" i="47"/>
  <c r="D594" i="47"/>
  <c r="O594" i="47" s="1"/>
  <c r="A594" i="47"/>
  <c r="P594" i="47" s="1"/>
  <c r="U593" i="47"/>
  <c r="T593" i="47"/>
  <c r="Q593" i="47"/>
  <c r="P593" i="47"/>
  <c r="A593" i="47"/>
  <c r="D593" i="47" s="1"/>
  <c r="U592" i="47"/>
  <c r="V592" i="47" s="1"/>
  <c r="T592" i="47"/>
  <c r="P592" i="47"/>
  <c r="D592" i="47"/>
  <c r="C592" i="47"/>
  <c r="B592" i="47"/>
  <c r="A592" i="47"/>
  <c r="U591" i="47"/>
  <c r="T591" i="47"/>
  <c r="N591" i="47"/>
  <c r="M591" i="47"/>
  <c r="F591" i="47"/>
  <c r="E591" i="47"/>
  <c r="C591" i="47"/>
  <c r="B591" i="47"/>
  <c r="G591" i="47" s="1"/>
  <c r="A591" i="47"/>
  <c r="P591" i="47" s="1"/>
  <c r="U590" i="47"/>
  <c r="T590" i="47"/>
  <c r="A590" i="47"/>
  <c r="U589" i="47"/>
  <c r="T589" i="47"/>
  <c r="F589" i="47"/>
  <c r="C589" i="47"/>
  <c r="B589" i="47"/>
  <c r="A589" i="47"/>
  <c r="D589" i="47" s="1"/>
  <c r="U588" i="47"/>
  <c r="T588" i="47"/>
  <c r="P588" i="47"/>
  <c r="F588" i="47"/>
  <c r="D588" i="47"/>
  <c r="O588" i="47" s="1"/>
  <c r="A588" i="47"/>
  <c r="U587" i="47"/>
  <c r="T587" i="47"/>
  <c r="A587" i="47"/>
  <c r="U586" i="47"/>
  <c r="T586" i="47"/>
  <c r="V586" i="47" s="1"/>
  <c r="Q586" i="47"/>
  <c r="L586" i="47"/>
  <c r="K586" i="47"/>
  <c r="J586" i="47"/>
  <c r="E586" i="47"/>
  <c r="D586" i="47"/>
  <c r="C586" i="47"/>
  <c r="A586" i="47"/>
  <c r="P586" i="47" s="1"/>
  <c r="U585" i="47"/>
  <c r="T585" i="47"/>
  <c r="O585" i="47"/>
  <c r="H585" i="47"/>
  <c r="G585" i="47"/>
  <c r="F585" i="47"/>
  <c r="N585" i="47" s="1"/>
  <c r="C585" i="47"/>
  <c r="B585" i="47"/>
  <c r="M585" i="47" s="1"/>
  <c r="A585" i="47"/>
  <c r="D585" i="47" s="1"/>
  <c r="U584" i="47"/>
  <c r="T584" i="47"/>
  <c r="P584" i="47"/>
  <c r="J584" i="47"/>
  <c r="I584" i="47"/>
  <c r="C584" i="47"/>
  <c r="K584" i="47" s="1"/>
  <c r="A584" i="47"/>
  <c r="U583" i="47"/>
  <c r="T583" i="47"/>
  <c r="P583" i="47"/>
  <c r="F583" i="47"/>
  <c r="D583" i="47"/>
  <c r="O583" i="47" s="1"/>
  <c r="C583" i="47"/>
  <c r="B583" i="47"/>
  <c r="A583" i="47"/>
  <c r="U582" i="47"/>
  <c r="T582" i="47"/>
  <c r="F582" i="47"/>
  <c r="B582" i="47"/>
  <c r="A582" i="47"/>
  <c r="P582" i="47" s="1"/>
  <c r="U581" i="47"/>
  <c r="T581" i="47"/>
  <c r="A581" i="47"/>
  <c r="U580" i="47"/>
  <c r="T580" i="47"/>
  <c r="P580" i="47"/>
  <c r="C580" i="47"/>
  <c r="K580" i="47" s="1"/>
  <c r="A580" i="47"/>
  <c r="U579" i="47"/>
  <c r="T579" i="47"/>
  <c r="P579" i="47"/>
  <c r="F579" i="47"/>
  <c r="B579" i="47"/>
  <c r="A579" i="47"/>
  <c r="U578" i="47"/>
  <c r="T578" i="47"/>
  <c r="A578" i="47"/>
  <c r="U577" i="47"/>
  <c r="T577" i="47"/>
  <c r="P577" i="47"/>
  <c r="Q577" i="47" s="1"/>
  <c r="L577" i="47"/>
  <c r="I577" i="47"/>
  <c r="G577" i="47"/>
  <c r="F577" i="47"/>
  <c r="E577" i="47"/>
  <c r="C577" i="47"/>
  <c r="K577" i="47" s="1"/>
  <c r="B577" i="47"/>
  <c r="A577" i="47"/>
  <c r="D577" i="47" s="1"/>
  <c r="O577" i="47" s="1"/>
  <c r="U576" i="47"/>
  <c r="T576" i="47"/>
  <c r="P576" i="47"/>
  <c r="Q576" i="47" s="1"/>
  <c r="O576" i="47"/>
  <c r="F576" i="47"/>
  <c r="D576" i="47"/>
  <c r="B576" i="47"/>
  <c r="A576" i="47"/>
  <c r="U575" i="47"/>
  <c r="T575" i="47"/>
  <c r="B575" i="47"/>
  <c r="A575" i="47"/>
  <c r="U574" i="47"/>
  <c r="T574" i="47"/>
  <c r="F574" i="47"/>
  <c r="B574" i="47"/>
  <c r="A574" i="47"/>
  <c r="U573" i="47"/>
  <c r="T573" i="47"/>
  <c r="P573" i="47"/>
  <c r="A573" i="47"/>
  <c r="U572" i="47"/>
  <c r="T572" i="47"/>
  <c r="A572" i="47"/>
  <c r="U571" i="47"/>
  <c r="T571" i="47"/>
  <c r="V571" i="47" s="1"/>
  <c r="P571" i="47"/>
  <c r="M571" i="47"/>
  <c r="I571" i="47"/>
  <c r="G571" i="47"/>
  <c r="F571" i="47"/>
  <c r="E571" i="47"/>
  <c r="D571" i="47"/>
  <c r="Q571" i="47" s="1"/>
  <c r="C571" i="47"/>
  <c r="K571" i="47" s="1"/>
  <c r="B571" i="47"/>
  <c r="A571" i="47"/>
  <c r="U570" i="47"/>
  <c r="T570" i="47"/>
  <c r="A570" i="47"/>
  <c r="U569" i="47"/>
  <c r="T569" i="47"/>
  <c r="P569" i="47"/>
  <c r="A569" i="47"/>
  <c r="U568" i="47"/>
  <c r="T568" i="47"/>
  <c r="P568" i="47"/>
  <c r="F568" i="47"/>
  <c r="B568" i="47"/>
  <c r="A568" i="47"/>
  <c r="U567" i="47"/>
  <c r="T567" i="47"/>
  <c r="P567" i="47"/>
  <c r="I567" i="47"/>
  <c r="H567" i="47"/>
  <c r="G567" i="47"/>
  <c r="F567" i="47"/>
  <c r="E567" i="47"/>
  <c r="D567" i="47"/>
  <c r="C567" i="47"/>
  <c r="B567" i="47"/>
  <c r="A567" i="47"/>
  <c r="U566" i="47"/>
  <c r="T566" i="47"/>
  <c r="A566" i="47"/>
  <c r="U565" i="47"/>
  <c r="T565" i="47"/>
  <c r="Q565" i="47"/>
  <c r="P565" i="47"/>
  <c r="O565" i="47"/>
  <c r="N565" i="47"/>
  <c r="K565" i="47"/>
  <c r="I565" i="47"/>
  <c r="F565" i="47"/>
  <c r="H565" i="47" s="1"/>
  <c r="E565" i="47"/>
  <c r="C565" i="47"/>
  <c r="B565" i="47"/>
  <c r="A565" i="47"/>
  <c r="D565" i="47" s="1"/>
  <c r="U564" i="47"/>
  <c r="T564" i="47"/>
  <c r="A564" i="47"/>
  <c r="U563" i="47"/>
  <c r="T563" i="47"/>
  <c r="Q563" i="47"/>
  <c r="P563" i="47"/>
  <c r="N563" i="47"/>
  <c r="K563" i="47"/>
  <c r="J563" i="47"/>
  <c r="I563" i="47"/>
  <c r="F563" i="47"/>
  <c r="D563" i="47"/>
  <c r="O563" i="47" s="1"/>
  <c r="C563" i="47"/>
  <c r="B563" i="47"/>
  <c r="A563" i="47"/>
  <c r="U562" i="47"/>
  <c r="T562" i="47"/>
  <c r="A562" i="47"/>
  <c r="U561" i="47"/>
  <c r="T561" i="47"/>
  <c r="P561" i="47"/>
  <c r="Q561" i="47" s="1"/>
  <c r="O561" i="47"/>
  <c r="J561" i="47"/>
  <c r="I561" i="47"/>
  <c r="H561" i="47"/>
  <c r="F561" i="47"/>
  <c r="C561" i="47"/>
  <c r="B561" i="47"/>
  <c r="A561" i="47"/>
  <c r="D561" i="47" s="1"/>
  <c r="U560" i="47"/>
  <c r="T560" i="47"/>
  <c r="M560" i="47"/>
  <c r="L560" i="47"/>
  <c r="K560" i="47"/>
  <c r="I560" i="47"/>
  <c r="G560" i="47"/>
  <c r="F560" i="47"/>
  <c r="H560" i="47" s="1"/>
  <c r="D560" i="47"/>
  <c r="O560" i="47" s="1"/>
  <c r="C560" i="47"/>
  <c r="B560" i="47"/>
  <c r="A560" i="47"/>
  <c r="U559" i="47"/>
  <c r="T559" i="47"/>
  <c r="P559" i="47"/>
  <c r="F559" i="47"/>
  <c r="C559" i="47"/>
  <c r="A559" i="47"/>
  <c r="U558" i="47"/>
  <c r="T558" i="47"/>
  <c r="C558" i="47"/>
  <c r="N558" i="47" s="1"/>
  <c r="B558" i="47"/>
  <c r="A558" i="47"/>
  <c r="U557" i="47"/>
  <c r="T557" i="47"/>
  <c r="P557" i="47"/>
  <c r="F557" i="47"/>
  <c r="D557" i="47"/>
  <c r="O557" i="47" s="1"/>
  <c r="C557" i="47"/>
  <c r="N557" i="47" s="1"/>
  <c r="B557" i="47"/>
  <c r="A557" i="47"/>
  <c r="U556" i="47"/>
  <c r="T556" i="47"/>
  <c r="F556" i="47"/>
  <c r="D556" i="47"/>
  <c r="O556" i="47" s="1"/>
  <c r="C556" i="47"/>
  <c r="E556" i="47" s="1"/>
  <c r="B556" i="47"/>
  <c r="A556" i="47"/>
  <c r="U555" i="47"/>
  <c r="T555" i="47"/>
  <c r="A555" i="47"/>
  <c r="U554" i="47"/>
  <c r="T554" i="47"/>
  <c r="A554" i="47"/>
  <c r="U553" i="47"/>
  <c r="T553" i="47"/>
  <c r="P553" i="47"/>
  <c r="F553" i="47"/>
  <c r="D553" i="47"/>
  <c r="O553" i="47" s="1"/>
  <c r="C553" i="47"/>
  <c r="N553" i="47" s="1"/>
  <c r="B553" i="47"/>
  <c r="A553" i="47"/>
  <c r="M553" i="47" s="1"/>
  <c r="U552" i="47"/>
  <c r="T552" i="47"/>
  <c r="F552" i="47"/>
  <c r="D552" i="47"/>
  <c r="O552" i="47" s="1"/>
  <c r="C552" i="47"/>
  <c r="E552" i="47" s="1"/>
  <c r="B552" i="47"/>
  <c r="A552" i="47"/>
  <c r="U551" i="47"/>
  <c r="T551" i="47"/>
  <c r="F551" i="47"/>
  <c r="C551" i="47"/>
  <c r="A551" i="47"/>
  <c r="U550" i="47"/>
  <c r="T550" i="47"/>
  <c r="C550" i="47"/>
  <c r="B550" i="47"/>
  <c r="A550" i="47"/>
  <c r="U549" i="47"/>
  <c r="T549" i="47"/>
  <c r="V549" i="47" s="1"/>
  <c r="P549" i="47"/>
  <c r="F549" i="47"/>
  <c r="D549" i="47"/>
  <c r="O549" i="47" s="1"/>
  <c r="C549" i="47"/>
  <c r="B549" i="47"/>
  <c r="A549" i="47"/>
  <c r="U548" i="47"/>
  <c r="T548" i="47"/>
  <c r="V548" i="47" s="1"/>
  <c r="F548" i="47"/>
  <c r="D548" i="47"/>
  <c r="O548" i="47" s="1"/>
  <c r="C548" i="47"/>
  <c r="B548" i="47"/>
  <c r="A548" i="47"/>
  <c r="U547" i="47"/>
  <c r="T547" i="47"/>
  <c r="F547" i="47"/>
  <c r="C547" i="47"/>
  <c r="A547" i="47"/>
  <c r="U546" i="47"/>
  <c r="T546" i="47"/>
  <c r="V546" i="47" s="1"/>
  <c r="C546" i="47"/>
  <c r="B546" i="47"/>
  <c r="A546" i="47"/>
  <c r="U545" i="47"/>
  <c r="T545" i="47"/>
  <c r="C545" i="47"/>
  <c r="B545" i="47"/>
  <c r="A545" i="47"/>
  <c r="U544" i="47"/>
  <c r="T544" i="47"/>
  <c r="F544" i="47"/>
  <c r="D544" i="47"/>
  <c r="O544" i="47" s="1"/>
  <c r="C544" i="47"/>
  <c r="B544" i="47"/>
  <c r="A544" i="47"/>
  <c r="U543" i="47"/>
  <c r="T543" i="47"/>
  <c r="G543" i="47"/>
  <c r="F543" i="47"/>
  <c r="C543" i="47"/>
  <c r="A543" i="47"/>
  <c r="U542" i="47"/>
  <c r="T542" i="47"/>
  <c r="A542" i="47"/>
  <c r="U541" i="47"/>
  <c r="T541" i="47"/>
  <c r="F541" i="47"/>
  <c r="D541" i="47"/>
  <c r="B541" i="47"/>
  <c r="A541" i="47"/>
  <c r="U540" i="47"/>
  <c r="T540" i="47"/>
  <c r="F540" i="47"/>
  <c r="E540" i="47"/>
  <c r="D540" i="47"/>
  <c r="O540" i="47" s="1"/>
  <c r="C540" i="47"/>
  <c r="B540" i="47"/>
  <c r="A540" i="47"/>
  <c r="U539" i="47"/>
  <c r="T539" i="47"/>
  <c r="P539" i="47"/>
  <c r="J539" i="47"/>
  <c r="I539" i="47"/>
  <c r="H539" i="47"/>
  <c r="G539" i="47"/>
  <c r="F539" i="47"/>
  <c r="C539" i="47"/>
  <c r="N539" i="47" s="1"/>
  <c r="A539" i="47"/>
  <c r="U538" i="47"/>
  <c r="T538" i="47"/>
  <c r="V538" i="47" s="1"/>
  <c r="K538" i="47"/>
  <c r="J538" i="47"/>
  <c r="E538" i="47"/>
  <c r="D538" i="47"/>
  <c r="O538" i="47" s="1"/>
  <c r="C538" i="47"/>
  <c r="A538" i="47"/>
  <c r="U537" i="47"/>
  <c r="T537" i="47"/>
  <c r="P537" i="47"/>
  <c r="F537" i="47"/>
  <c r="D537" i="47"/>
  <c r="B537" i="47"/>
  <c r="A537" i="47"/>
  <c r="U536" i="47"/>
  <c r="T536" i="47"/>
  <c r="O536" i="47"/>
  <c r="J536" i="47"/>
  <c r="I536" i="47"/>
  <c r="H536" i="47"/>
  <c r="G536" i="47"/>
  <c r="F536" i="47"/>
  <c r="E536" i="47"/>
  <c r="D536" i="47"/>
  <c r="C536" i="47"/>
  <c r="M536" i="47" s="1"/>
  <c r="B536" i="47"/>
  <c r="A536" i="47"/>
  <c r="U535" i="47"/>
  <c r="T535" i="47"/>
  <c r="N535" i="47"/>
  <c r="M535" i="47"/>
  <c r="L535" i="47"/>
  <c r="J535" i="47"/>
  <c r="I535" i="47"/>
  <c r="H535" i="47"/>
  <c r="G535" i="47"/>
  <c r="F535" i="47"/>
  <c r="C535" i="47"/>
  <c r="A535" i="47"/>
  <c r="P535" i="47" s="1"/>
  <c r="U534" i="47"/>
  <c r="T534" i="47"/>
  <c r="D534" i="47"/>
  <c r="A534" i="47"/>
  <c r="U533" i="47"/>
  <c r="T533" i="47"/>
  <c r="P533" i="47"/>
  <c r="O533" i="47"/>
  <c r="F533" i="47"/>
  <c r="D533" i="47"/>
  <c r="Q533" i="47" s="1"/>
  <c r="B533" i="47"/>
  <c r="A533" i="47"/>
  <c r="U532" i="47"/>
  <c r="T532" i="47"/>
  <c r="V532" i="47" s="1"/>
  <c r="M532" i="47"/>
  <c r="L532" i="47"/>
  <c r="K532" i="47"/>
  <c r="J532" i="47"/>
  <c r="I532" i="47"/>
  <c r="H532" i="47"/>
  <c r="F532" i="47"/>
  <c r="E532" i="47"/>
  <c r="D532" i="47"/>
  <c r="O532" i="47" s="1"/>
  <c r="C532" i="47"/>
  <c r="G532" i="47" s="1"/>
  <c r="B532" i="47"/>
  <c r="A532" i="47"/>
  <c r="U531" i="47"/>
  <c r="T531" i="47"/>
  <c r="P531" i="47"/>
  <c r="A531" i="47"/>
  <c r="U530" i="47"/>
  <c r="T530" i="47"/>
  <c r="P530" i="47"/>
  <c r="Q530" i="47" s="1"/>
  <c r="O530" i="47"/>
  <c r="N530" i="47"/>
  <c r="M530" i="47"/>
  <c r="L530" i="47"/>
  <c r="K530" i="47"/>
  <c r="J530" i="47"/>
  <c r="E530" i="47"/>
  <c r="D530" i="47"/>
  <c r="C530" i="47"/>
  <c r="B530" i="47"/>
  <c r="G530" i="47" s="1"/>
  <c r="A530" i="47"/>
  <c r="U529" i="47"/>
  <c r="T529" i="47"/>
  <c r="P529" i="47"/>
  <c r="Q529" i="47" s="1"/>
  <c r="N529" i="47"/>
  <c r="K529" i="47"/>
  <c r="H529" i="47"/>
  <c r="F529" i="47"/>
  <c r="C529" i="47"/>
  <c r="G529" i="47" s="1"/>
  <c r="A529" i="47"/>
  <c r="U528" i="47"/>
  <c r="T528" i="47"/>
  <c r="O528" i="47"/>
  <c r="M528" i="47"/>
  <c r="L528" i="47"/>
  <c r="K528" i="47"/>
  <c r="J528" i="47"/>
  <c r="I528" i="47"/>
  <c r="G528" i="47"/>
  <c r="F528" i="47"/>
  <c r="H528" i="47" s="1"/>
  <c r="E528" i="47"/>
  <c r="D528" i="47"/>
  <c r="C528" i="47"/>
  <c r="B528" i="47"/>
  <c r="A528" i="47"/>
  <c r="U527" i="47"/>
  <c r="T527" i="47"/>
  <c r="Q527" i="47"/>
  <c r="P527" i="47"/>
  <c r="L527" i="47"/>
  <c r="K527" i="47"/>
  <c r="J527" i="47"/>
  <c r="I527" i="47"/>
  <c r="G527" i="47"/>
  <c r="C527" i="47"/>
  <c r="A527" i="47"/>
  <c r="U526" i="47"/>
  <c r="T526" i="47"/>
  <c r="A526" i="47"/>
  <c r="U525" i="47"/>
  <c r="T525" i="47"/>
  <c r="F525" i="47"/>
  <c r="B525" i="47"/>
  <c r="A525" i="47"/>
  <c r="U524" i="47"/>
  <c r="T524" i="47"/>
  <c r="O524" i="47"/>
  <c r="F524" i="47"/>
  <c r="D524" i="47"/>
  <c r="C524" i="47"/>
  <c r="B524" i="47"/>
  <c r="A524" i="47"/>
  <c r="U523" i="47"/>
  <c r="T523" i="47"/>
  <c r="F523" i="47"/>
  <c r="A523" i="47"/>
  <c r="U522" i="47"/>
  <c r="T522" i="47"/>
  <c r="A522" i="47"/>
  <c r="U521" i="47"/>
  <c r="T521" i="47"/>
  <c r="V521" i="47" s="1"/>
  <c r="A521" i="47"/>
  <c r="U520" i="47"/>
  <c r="T520" i="47"/>
  <c r="F520" i="47"/>
  <c r="D520" i="47"/>
  <c r="O520" i="47" s="1"/>
  <c r="C520" i="47"/>
  <c r="B520" i="47"/>
  <c r="A520" i="47"/>
  <c r="U519" i="47"/>
  <c r="T519" i="47"/>
  <c r="M519" i="47"/>
  <c r="I519" i="47"/>
  <c r="H519" i="47"/>
  <c r="F519" i="47"/>
  <c r="E519" i="47"/>
  <c r="C519" i="47"/>
  <c r="J519" i="47" s="1"/>
  <c r="A519" i="47"/>
  <c r="P519" i="47" s="1"/>
  <c r="U518" i="47"/>
  <c r="T518" i="47"/>
  <c r="D518" i="47"/>
  <c r="O518" i="47" s="1"/>
  <c r="B518" i="47"/>
  <c r="A518" i="47"/>
  <c r="P518" i="47" s="1"/>
  <c r="Q518" i="47" s="1"/>
  <c r="U517" i="47"/>
  <c r="T517" i="47"/>
  <c r="F517" i="47"/>
  <c r="D517" i="47"/>
  <c r="A517" i="47"/>
  <c r="P517" i="47" s="1"/>
  <c r="Q517" i="47" s="1"/>
  <c r="U516" i="47"/>
  <c r="T516" i="47"/>
  <c r="F516" i="47"/>
  <c r="A516" i="47"/>
  <c r="U515" i="47"/>
  <c r="T515" i="47"/>
  <c r="P515" i="47"/>
  <c r="Q515" i="47" s="1"/>
  <c r="F515" i="47"/>
  <c r="C515" i="47"/>
  <c r="N515" i="47" s="1"/>
  <c r="A515" i="47"/>
  <c r="U514" i="47"/>
  <c r="T514" i="47"/>
  <c r="A514" i="47"/>
  <c r="U513" i="47"/>
  <c r="T513" i="47"/>
  <c r="P513" i="47"/>
  <c r="Q513" i="47" s="1"/>
  <c r="C513" i="47"/>
  <c r="A513" i="47"/>
  <c r="U512" i="47"/>
  <c r="T512" i="47"/>
  <c r="Q512" i="47"/>
  <c r="F512" i="47"/>
  <c r="D512" i="47"/>
  <c r="O512" i="47" s="1"/>
  <c r="C512" i="47"/>
  <c r="K512" i="47" s="1"/>
  <c r="B512" i="47"/>
  <c r="A512" i="47"/>
  <c r="P512" i="47" s="1"/>
  <c r="U511" i="47"/>
  <c r="T511" i="47"/>
  <c r="P511" i="47"/>
  <c r="F511" i="47"/>
  <c r="B511" i="47"/>
  <c r="A511" i="47"/>
  <c r="D511" i="47" s="1"/>
  <c r="U510" i="47"/>
  <c r="T510" i="47"/>
  <c r="N510" i="47"/>
  <c r="M510" i="47"/>
  <c r="L510" i="47"/>
  <c r="K510" i="47"/>
  <c r="J510" i="47"/>
  <c r="I510" i="47"/>
  <c r="F510" i="47"/>
  <c r="E510" i="47"/>
  <c r="D510" i="47"/>
  <c r="O510" i="47" s="1"/>
  <c r="C510" i="47"/>
  <c r="B510" i="47"/>
  <c r="G510" i="47" s="1"/>
  <c r="A510" i="47"/>
  <c r="P510" i="47" s="1"/>
  <c r="Q510" i="47" s="1"/>
  <c r="V509" i="47"/>
  <c r="U509" i="47"/>
  <c r="T509" i="47"/>
  <c r="P509" i="47"/>
  <c r="J509" i="47"/>
  <c r="F509" i="47"/>
  <c r="C509" i="47"/>
  <c r="I509" i="47" s="1"/>
  <c r="A509" i="47"/>
  <c r="U508" i="47"/>
  <c r="T508" i="47"/>
  <c r="F508" i="47"/>
  <c r="B508" i="47"/>
  <c r="A508" i="47"/>
  <c r="U507" i="47"/>
  <c r="T507" i="47"/>
  <c r="P507" i="47"/>
  <c r="Q507" i="47" s="1"/>
  <c r="N507" i="47"/>
  <c r="M507" i="47"/>
  <c r="K507" i="47"/>
  <c r="E507" i="47"/>
  <c r="C507" i="47"/>
  <c r="B507" i="47"/>
  <c r="A507" i="47"/>
  <c r="U506" i="47"/>
  <c r="T506" i="47"/>
  <c r="P506" i="47"/>
  <c r="N506" i="47"/>
  <c r="L506" i="47"/>
  <c r="G506" i="47"/>
  <c r="F506" i="47"/>
  <c r="E506" i="47"/>
  <c r="D506" i="47"/>
  <c r="Q506" i="47" s="1"/>
  <c r="C506" i="47"/>
  <c r="I506" i="47" s="1"/>
  <c r="B506" i="47"/>
  <c r="A506" i="47"/>
  <c r="U505" i="47"/>
  <c r="T505" i="47"/>
  <c r="V505" i="47" s="1"/>
  <c r="Q505" i="47"/>
  <c r="O505" i="47"/>
  <c r="F505" i="47"/>
  <c r="D505" i="47"/>
  <c r="C505" i="47"/>
  <c r="K505" i="47" s="1"/>
  <c r="B505" i="47"/>
  <c r="A505" i="47"/>
  <c r="P505" i="47" s="1"/>
  <c r="U504" i="47"/>
  <c r="T504" i="47"/>
  <c r="A504" i="47"/>
  <c r="U503" i="47"/>
  <c r="T503" i="47"/>
  <c r="P503" i="47"/>
  <c r="Q503" i="47" s="1"/>
  <c r="O503" i="47"/>
  <c r="F503" i="47"/>
  <c r="C503" i="47"/>
  <c r="A503" i="47"/>
  <c r="D503" i="47" s="1"/>
  <c r="U502" i="47"/>
  <c r="T502" i="47"/>
  <c r="P502" i="47"/>
  <c r="B502" i="47"/>
  <c r="A502" i="47"/>
  <c r="U501" i="47"/>
  <c r="T501" i="47"/>
  <c r="O501" i="47"/>
  <c r="D501" i="47"/>
  <c r="B501" i="47"/>
  <c r="A501" i="47"/>
  <c r="U500" i="47"/>
  <c r="T500" i="47"/>
  <c r="V500" i="47" s="1"/>
  <c r="F500" i="47"/>
  <c r="D500" i="47"/>
  <c r="B500" i="47"/>
  <c r="A500" i="47"/>
  <c r="U499" i="47"/>
  <c r="T499" i="47"/>
  <c r="O499" i="47"/>
  <c r="F499" i="47"/>
  <c r="C499" i="47"/>
  <c r="B499" i="47"/>
  <c r="A499" i="47"/>
  <c r="D499" i="47" s="1"/>
  <c r="U498" i="47"/>
  <c r="T498" i="47"/>
  <c r="A498" i="47"/>
  <c r="U497" i="47"/>
  <c r="T497" i="47"/>
  <c r="V497" i="47" s="1"/>
  <c r="P497" i="47"/>
  <c r="Q497" i="47" s="1"/>
  <c r="F497" i="47"/>
  <c r="D497" i="47"/>
  <c r="O497" i="47" s="1"/>
  <c r="B497" i="47"/>
  <c r="A497" i="47"/>
  <c r="U496" i="47"/>
  <c r="T496" i="47"/>
  <c r="B496" i="47"/>
  <c r="A496" i="47"/>
  <c r="U495" i="47"/>
  <c r="T495" i="47"/>
  <c r="A495" i="47"/>
  <c r="U494" i="47"/>
  <c r="T494" i="47"/>
  <c r="A494" i="47"/>
  <c r="U493" i="47"/>
  <c r="T493" i="47"/>
  <c r="A493" i="47"/>
  <c r="U492" i="47"/>
  <c r="T492" i="47"/>
  <c r="A492" i="47"/>
  <c r="U491" i="47"/>
  <c r="T491" i="47"/>
  <c r="A491" i="47"/>
  <c r="U490" i="47"/>
  <c r="T490" i="47"/>
  <c r="B490" i="47"/>
  <c r="A490" i="47"/>
  <c r="U489" i="47"/>
  <c r="T489" i="47"/>
  <c r="A489" i="47"/>
  <c r="U488" i="47"/>
  <c r="T488" i="47"/>
  <c r="A488" i="47"/>
  <c r="U487" i="47"/>
  <c r="T487" i="47"/>
  <c r="D487" i="47"/>
  <c r="C487" i="47"/>
  <c r="N487" i="47" s="1"/>
  <c r="B487" i="47"/>
  <c r="A487" i="47"/>
  <c r="P487" i="47" s="1"/>
  <c r="Q487" i="47" s="1"/>
  <c r="U486" i="47"/>
  <c r="T486" i="47"/>
  <c r="F486" i="47"/>
  <c r="D486" i="47"/>
  <c r="O486" i="47" s="1"/>
  <c r="C486" i="47"/>
  <c r="E486" i="47" s="1"/>
  <c r="A486" i="47"/>
  <c r="U485" i="47"/>
  <c r="T485" i="47"/>
  <c r="O485" i="47"/>
  <c r="F485" i="47"/>
  <c r="H485" i="47" s="1"/>
  <c r="E485" i="47"/>
  <c r="D485" i="47"/>
  <c r="C485" i="47"/>
  <c r="M485" i="47" s="1"/>
  <c r="A485" i="47"/>
  <c r="U484" i="47"/>
  <c r="T484" i="47"/>
  <c r="P484" i="47"/>
  <c r="J484" i="47"/>
  <c r="I484" i="47"/>
  <c r="C484" i="47"/>
  <c r="E484" i="47" s="1"/>
  <c r="A484" i="47"/>
  <c r="U483" i="47"/>
  <c r="T483" i="47"/>
  <c r="N483" i="47"/>
  <c r="M483" i="47"/>
  <c r="L483" i="47"/>
  <c r="K483" i="47"/>
  <c r="I483" i="47"/>
  <c r="F483" i="47"/>
  <c r="E483" i="47"/>
  <c r="C483" i="47"/>
  <c r="A483" i="47"/>
  <c r="P483" i="47" s="1"/>
  <c r="U482" i="47"/>
  <c r="V482" i="47" s="1"/>
  <c r="T482" i="47"/>
  <c r="P482" i="47"/>
  <c r="B482" i="47"/>
  <c r="A482" i="47"/>
  <c r="U481" i="47"/>
  <c r="T481" i="47"/>
  <c r="O481" i="47"/>
  <c r="D481" i="47"/>
  <c r="A481" i="47"/>
  <c r="U480" i="47"/>
  <c r="T480" i="47"/>
  <c r="P480" i="47"/>
  <c r="Q480" i="47" s="1"/>
  <c r="A480" i="47"/>
  <c r="U479" i="47"/>
  <c r="T479" i="47"/>
  <c r="V479" i="47" s="1"/>
  <c r="P479" i="47"/>
  <c r="A479" i="47"/>
  <c r="U478" i="47"/>
  <c r="T478" i="47"/>
  <c r="V478" i="47" s="1"/>
  <c r="A478" i="47"/>
  <c r="U477" i="47"/>
  <c r="T477" i="47"/>
  <c r="F477" i="47"/>
  <c r="D477" i="47"/>
  <c r="C477" i="47"/>
  <c r="A477" i="47"/>
  <c r="U476" i="47"/>
  <c r="T476" i="47"/>
  <c r="C476" i="47"/>
  <c r="A476" i="47"/>
  <c r="U475" i="47"/>
  <c r="T475" i="47"/>
  <c r="P475" i="47"/>
  <c r="I475" i="47"/>
  <c r="F475" i="47"/>
  <c r="E475" i="47"/>
  <c r="D475" i="47"/>
  <c r="O475" i="47" s="1"/>
  <c r="C475" i="47"/>
  <c r="L475" i="47" s="1"/>
  <c r="A475" i="47"/>
  <c r="Q475" i="47" s="1"/>
  <c r="U474" i="47"/>
  <c r="T474" i="47"/>
  <c r="M474" i="47"/>
  <c r="K474" i="47"/>
  <c r="J474" i="47"/>
  <c r="I474" i="47"/>
  <c r="H474" i="47"/>
  <c r="F474" i="47"/>
  <c r="E474" i="47"/>
  <c r="C474" i="47"/>
  <c r="A474" i="47"/>
  <c r="P474" i="47" s="1"/>
  <c r="U473" i="47"/>
  <c r="T473" i="47"/>
  <c r="L473" i="47"/>
  <c r="K473" i="47"/>
  <c r="J473" i="47"/>
  <c r="I473" i="47"/>
  <c r="C473" i="47"/>
  <c r="A473" i="47"/>
  <c r="U472" i="47"/>
  <c r="T472" i="47"/>
  <c r="P472" i="47"/>
  <c r="N472" i="47"/>
  <c r="M472" i="47"/>
  <c r="L472" i="47"/>
  <c r="K472" i="47"/>
  <c r="C472" i="47"/>
  <c r="J472" i="47" s="1"/>
  <c r="B472" i="47"/>
  <c r="A472" i="47"/>
  <c r="U471" i="47"/>
  <c r="T471" i="47"/>
  <c r="P471" i="47"/>
  <c r="Q471" i="47" s="1"/>
  <c r="O471" i="47"/>
  <c r="D471" i="47"/>
  <c r="A471" i="47"/>
  <c r="U470" i="47"/>
  <c r="T470" i="47"/>
  <c r="P470" i="47"/>
  <c r="F470" i="47"/>
  <c r="A470" i="47"/>
  <c r="U469" i="47"/>
  <c r="T469" i="47"/>
  <c r="A469" i="47"/>
  <c r="U468" i="47"/>
  <c r="T468" i="47"/>
  <c r="A468" i="47"/>
  <c r="U467" i="47"/>
  <c r="T467" i="47"/>
  <c r="F467" i="47"/>
  <c r="E467" i="47"/>
  <c r="D467" i="47"/>
  <c r="C467" i="47"/>
  <c r="N467" i="47" s="1"/>
  <c r="B467" i="47"/>
  <c r="A467" i="47"/>
  <c r="U466" i="47"/>
  <c r="T466" i="47"/>
  <c r="P466" i="47"/>
  <c r="F466" i="47"/>
  <c r="H466" i="47" s="1"/>
  <c r="E466" i="47"/>
  <c r="D466" i="47"/>
  <c r="O466" i="47" s="1"/>
  <c r="C466" i="47"/>
  <c r="J466" i="47" s="1"/>
  <c r="A466" i="47"/>
  <c r="Q466" i="47" s="1"/>
  <c r="U465" i="47"/>
  <c r="T465" i="47"/>
  <c r="F465" i="47"/>
  <c r="D465" i="47"/>
  <c r="A465" i="47"/>
  <c r="O465" i="47" s="1"/>
  <c r="U464" i="47"/>
  <c r="T464" i="47"/>
  <c r="A464" i="47"/>
  <c r="U463" i="47"/>
  <c r="T463" i="47"/>
  <c r="V463" i="47" s="1"/>
  <c r="Q463" i="47"/>
  <c r="P463" i="47"/>
  <c r="O463" i="47"/>
  <c r="N463" i="47"/>
  <c r="M463" i="47"/>
  <c r="L463" i="47"/>
  <c r="K463" i="47"/>
  <c r="F463" i="47"/>
  <c r="D463" i="47"/>
  <c r="C463" i="47"/>
  <c r="I463" i="47" s="1"/>
  <c r="B463" i="47"/>
  <c r="A463" i="47"/>
  <c r="U462" i="47"/>
  <c r="T462" i="47"/>
  <c r="P462" i="47"/>
  <c r="Q462" i="47" s="1"/>
  <c r="D462" i="47"/>
  <c r="O462" i="47" s="1"/>
  <c r="A462" i="47"/>
  <c r="U461" i="47"/>
  <c r="T461" i="47"/>
  <c r="A461" i="47"/>
  <c r="U460" i="47"/>
  <c r="T460" i="47"/>
  <c r="Q460" i="47"/>
  <c r="P460" i="47"/>
  <c r="A460" i="47"/>
  <c r="U459" i="47"/>
  <c r="T459" i="47"/>
  <c r="A459" i="47"/>
  <c r="U458" i="47"/>
  <c r="T458" i="47"/>
  <c r="K458" i="47"/>
  <c r="F458" i="47"/>
  <c r="E458" i="47"/>
  <c r="D458" i="47"/>
  <c r="C458" i="47"/>
  <c r="M458" i="47" s="1"/>
  <c r="B458" i="47"/>
  <c r="A458" i="47"/>
  <c r="U457" i="47"/>
  <c r="T457" i="47"/>
  <c r="O457" i="47"/>
  <c r="F457" i="47"/>
  <c r="D457" i="47"/>
  <c r="A457" i="47"/>
  <c r="U456" i="47"/>
  <c r="T456" i="47"/>
  <c r="P456" i="47"/>
  <c r="M456" i="47"/>
  <c r="K456" i="47"/>
  <c r="J456" i="47"/>
  <c r="I456" i="47"/>
  <c r="H456" i="47"/>
  <c r="G456" i="47"/>
  <c r="E456" i="47"/>
  <c r="C456" i="47"/>
  <c r="N456" i="47" s="1"/>
  <c r="B456" i="47"/>
  <c r="A456" i="47"/>
  <c r="U455" i="47"/>
  <c r="T455" i="47"/>
  <c r="A455" i="47"/>
  <c r="U454" i="47"/>
  <c r="T454" i="47"/>
  <c r="Q454" i="47"/>
  <c r="P454" i="47"/>
  <c r="O454" i="47"/>
  <c r="M454" i="47"/>
  <c r="K454" i="47"/>
  <c r="J454" i="47"/>
  <c r="I454" i="47"/>
  <c r="H454" i="47"/>
  <c r="F454" i="47"/>
  <c r="D454" i="47"/>
  <c r="C454" i="47"/>
  <c r="B454" i="47"/>
  <c r="A454" i="47"/>
  <c r="U453" i="47"/>
  <c r="T453" i="47"/>
  <c r="F453" i="47"/>
  <c r="A453" i="47"/>
  <c r="U452" i="47"/>
  <c r="T452" i="47"/>
  <c r="V452" i="47" s="1"/>
  <c r="A452" i="47"/>
  <c r="U451" i="47"/>
  <c r="T451" i="47"/>
  <c r="L451" i="47"/>
  <c r="D451" i="47"/>
  <c r="C451" i="47"/>
  <c r="J451" i="47" s="1"/>
  <c r="B451" i="47"/>
  <c r="A451" i="47"/>
  <c r="U450" i="47"/>
  <c r="T450" i="47"/>
  <c r="N450" i="47"/>
  <c r="M450" i="47"/>
  <c r="G450" i="47"/>
  <c r="F450" i="47"/>
  <c r="D450" i="47"/>
  <c r="O450" i="47" s="1"/>
  <c r="C450" i="47"/>
  <c r="B450" i="47"/>
  <c r="A450" i="47"/>
  <c r="P450" i="47" s="1"/>
  <c r="U449" i="47"/>
  <c r="T449" i="47"/>
  <c r="F449" i="47"/>
  <c r="A449" i="47"/>
  <c r="U448" i="47"/>
  <c r="T448" i="47"/>
  <c r="K448" i="47"/>
  <c r="C448" i="47"/>
  <c r="I448" i="47" s="1"/>
  <c r="A448" i="47"/>
  <c r="U447" i="47"/>
  <c r="T447" i="47"/>
  <c r="P447" i="47"/>
  <c r="F447" i="47"/>
  <c r="D447" i="47"/>
  <c r="O447" i="47" s="1"/>
  <c r="A447" i="47"/>
  <c r="U446" i="47"/>
  <c r="T446" i="47"/>
  <c r="A446" i="47"/>
  <c r="U445" i="47"/>
  <c r="T445" i="47"/>
  <c r="B445" i="47"/>
  <c r="A445" i="47"/>
  <c r="U444" i="47"/>
  <c r="T444" i="47"/>
  <c r="O444" i="47"/>
  <c r="N444" i="47"/>
  <c r="H444" i="47"/>
  <c r="G444" i="47"/>
  <c r="F444" i="47"/>
  <c r="E444" i="47"/>
  <c r="C444" i="47"/>
  <c r="B444" i="47"/>
  <c r="A444" i="47"/>
  <c r="D444" i="47" s="1"/>
  <c r="U443" i="47"/>
  <c r="T443" i="47"/>
  <c r="Q443" i="47"/>
  <c r="P443" i="47"/>
  <c r="A443" i="47"/>
  <c r="U442" i="47"/>
  <c r="T442" i="47"/>
  <c r="P442" i="47"/>
  <c r="J442" i="47"/>
  <c r="I442" i="47"/>
  <c r="F442" i="47"/>
  <c r="D442" i="47"/>
  <c r="O442" i="47" s="1"/>
  <c r="C442" i="47"/>
  <c r="G442" i="47" s="1"/>
  <c r="B442" i="47"/>
  <c r="A442" i="47"/>
  <c r="U441" i="47"/>
  <c r="T441" i="47"/>
  <c r="V441" i="47" s="1"/>
  <c r="F441" i="47"/>
  <c r="B441" i="47"/>
  <c r="A441" i="47"/>
  <c r="P441" i="47" s="1"/>
  <c r="U440" i="47"/>
  <c r="T440" i="47"/>
  <c r="P440" i="47"/>
  <c r="B440" i="47"/>
  <c r="A440" i="47"/>
  <c r="U439" i="47"/>
  <c r="T439" i="47"/>
  <c r="A439" i="47"/>
  <c r="U438" i="47"/>
  <c r="T438" i="47"/>
  <c r="P438" i="47"/>
  <c r="O438" i="47"/>
  <c r="F438" i="47"/>
  <c r="D438" i="47"/>
  <c r="A438" i="47"/>
  <c r="U437" i="47"/>
  <c r="T437" i="47"/>
  <c r="F437" i="47"/>
  <c r="D437" i="47"/>
  <c r="B437" i="47"/>
  <c r="A437" i="47"/>
  <c r="U436" i="47"/>
  <c r="T436" i="47"/>
  <c r="P436" i="47"/>
  <c r="N436" i="47"/>
  <c r="M436" i="47"/>
  <c r="J436" i="47"/>
  <c r="I436" i="47"/>
  <c r="G436" i="47"/>
  <c r="C436" i="47"/>
  <c r="H436" i="47" s="1"/>
  <c r="B436" i="47"/>
  <c r="K436" i="47" s="1"/>
  <c r="A436" i="47"/>
  <c r="D436" i="47" s="1"/>
  <c r="O436" i="47" s="1"/>
  <c r="U435" i="47"/>
  <c r="T435" i="47"/>
  <c r="Q435" i="47"/>
  <c r="P435" i="47"/>
  <c r="F435" i="47"/>
  <c r="B435" i="47"/>
  <c r="A435" i="47"/>
  <c r="U434" i="47"/>
  <c r="T434" i="47"/>
  <c r="P434" i="47"/>
  <c r="Q434" i="47" s="1"/>
  <c r="I434" i="47"/>
  <c r="D434" i="47"/>
  <c r="O434" i="47" s="1"/>
  <c r="C434" i="47"/>
  <c r="M434" i="47" s="1"/>
  <c r="B434" i="47"/>
  <c r="A434" i="47"/>
  <c r="U433" i="47"/>
  <c r="T433" i="47"/>
  <c r="F433" i="47"/>
  <c r="A433" i="47"/>
  <c r="U432" i="47"/>
  <c r="T432" i="47"/>
  <c r="P432" i="47"/>
  <c r="F432" i="47"/>
  <c r="B432" i="47"/>
  <c r="A432" i="47"/>
  <c r="U431" i="47"/>
  <c r="T431" i="47"/>
  <c r="D431" i="47"/>
  <c r="A431" i="47"/>
  <c r="U430" i="47"/>
  <c r="T430" i="47"/>
  <c r="P430" i="47"/>
  <c r="Q430" i="47" s="1"/>
  <c r="O430" i="47"/>
  <c r="K430" i="47"/>
  <c r="G430" i="47"/>
  <c r="E430" i="47"/>
  <c r="D430" i="47"/>
  <c r="C430" i="47"/>
  <c r="N430" i="47" s="1"/>
  <c r="B430" i="47"/>
  <c r="A430" i="47"/>
  <c r="U429" i="47"/>
  <c r="T429" i="47"/>
  <c r="M429" i="47"/>
  <c r="H429" i="47"/>
  <c r="G429" i="47"/>
  <c r="F429" i="47"/>
  <c r="E429" i="47"/>
  <c r="C429" i="47"/>
  <c r="L429" i="47" s="1"/>
  <c r="B429" i="47"/>
  <c r="A429" i="47"/>
  <c r="N429" i="47" s="1"/>
  <c r="U428" i="47"/>
  <c r="T428" i="47"/>
  <c r="P428" i="47"/>
  <c r="N428" i="47"/>
  <c r="I428" i="47"/>
  <c r="H428" i="47"/>
  <c r="F428" i="47"/>
  <c r="E428" i="47"/>
  <c r="C428" i="47"/>
  <c r="M428" i="47" s="1"/>
  <c r="B428" i="47"/>
  <c r="A428" i="47"/>
  <c r="U427" i="47"/>
  <c r="T427" i="47"/>
  <c r="I427" i="47"/>
  <c r="F427" i="47"/>
  <c r="D427" i="47"/>
  <c r="C427" i="47"/>
  <c r="E427" i="47" s="1"/>
  <c r="A427" i="47"/>
  <c r="P427" i="47" s="1"/>
  <c r="Q427" i="47" s="1"/>
  <c r="U426" i="47"/>
  <c r="T426" i="47"/>
  <c r="P426" i="47"/>
  <c r="Q426" i="47" s="1"/>
  <c r="J426" i="47"/>
  <c r="I426" i="47"/>
  <c r="G426" i="47"/>
  <c r="F426" i="47"/>
  <c r="H426" i="47" s="1"/>
  <c r="E426" i="47"/>
  <c r="D426" i="47"/>
  <c r="O426" i="47" s="1"/>
  <c r="C426" i="47"/>
  <c r="M426" i="47" s="1"/>
  <c r="B426" i="47"/>
  <c r="A426" i="47"/>
  <c r="U425" i="47"/>
  <c r="T425" i="47"/>
  <c r="L425" i="47"/>
  <c r="K425" i="47"/>
  <c r="J425" i="47"/>
  <c r="I425" i="47"/>
  <c r="H425" i="47"/>
  <c r="F425" i="47"/>
  <c r="C425" i="47"/>
  <c r="B425" i="47"/>
  <c r="G425" i="47" s="1"/>
  <c r="A425" i="47"/>
  <c r="U424" i="47"/>
  <c r="T424" i="47"/>
  <c r="P424" i="47"/>
  <c r="Q424" i="47" s="1"/>
  <c r="O424" i="47"/>
  <c r="N424" i="47"/>
  <c r="M424" i="47"/>
  <c r="F424" i="47"/>
  <c r="C424" i="47"/>
  <c r="K424" i="47" s="1"/>
  <c r="B424" i="47"/>
  <c r="A424" i="47"/>
  <c r="D424" i="47" s="1"/>
  <c r="U423" i="47"/>
  <c r="V423" i="47" s="1"/>
  <c r="T423" i="47"/>
  <c r="P423" i="47"/>
  <c r="A423" i="47"/>
  <c r="Q423" i="47" s="1"/>
  <c r="U422" i="47"/>
  <c r="T422" i="47"/>
  <c r="P422" i="47"/>
  <c r="Q422" i="47" s="1"/>
  <c r="J422" i="47"/>
  <c r="F422" i="47"/>
  <c r="C422" i="47"/>
  <c r="N422" i="47" s="1"/>
  <c r="A422" i="47"/>
  <c r="U421" i="47"/>
  <c r="T421" i="47"/>
  <c r="A421" i="47"/>
  <c r="U420" i="47"/>
  <c r="T420" i="47"/>
  <c r="V420" i="47" s="1"/>
  <c r="P420" i="47"/>
  <c r="I420" i="47"/>
  <c r="E420" i="47"/>
  <c r="D420" i="47"/>
  <c r="A420" i="47"/>
  <c r="C420" i="47" s="1"/>
  <c r="U419" i="47"/>
  <c r="T419" i="47"/>
  <c r="P419" i="47"/>
  <c r="H419" i="47"/>
  <c r="F419" i="47"/>
  <c r="L419" i="47" s="1"/>
  <c r="D419" i="47"/>
  <c r="O419" i="47" s="1"/>
  <c r="C419" i="47"/>
  <c r="E419" i="47" s="1"/>
  <c r="B419" i="47"/>
  <c r="A419" i="47"/>
  <c r="Q419" i="47" s="1"/>
  <c r="U418" i="47"/>
  <c r="T418" i="47"/>
  <c r="A418" i="47"/>
  <c r="U417" i="47"/>
  <c r="T417" i="47"/>
  <c r="D417" i="47"/>
  <c r="A417" i="47"/>
  <c r="U416" i="47"/>
  <c r="T416" i="47"/>
  <c r="P416" i="47"/>
  <c r="Q416" i="47" s="1"/>
  <c r="N416" i="47"/>
  <c r="M416" i="47"/>
  <c r="I416" i="47"/>
  <c r="H416" i="47"/>
  <c r="G416" i="47"/>
  <c r="E416" i="47"/>
  <c r="A416" i="47"/>
  <c r="C416" i="47" s="1"/>
  <c r="U415" i="47"/>
  <c r="V415" i="47" s="1"/>
  <c r="T415" i="47"/>
  <c r="Q415" i="47"/>
  <c r="P415" i="47"/>
  <c r="K415" i="47"/>
  <c r="C415" i="47"/>
  <c r="H415" i="47" s="1"/>
  <c r="B415" i="47"/>
  <c r="A415" i="47"/>
  <c r="U414" i="47"/>
  <c r="T414" i="47"/>
  <c r="F414" i="47"/>
  <c r="N414" i="47" s="1"/>
  <c r="C414" i="47"/>
  <c r="E414" i="47" s="1"/>
  <c r="A414" i="47"/>
  <c r="U413" i="47"/>
  <c r="T413" i="47"/>
  <c r="Q413" i="47"/>
  <c r="F413" i="47"/>
  <c r="D413" i="47"/>
  <c r="A413" i="47"/>
  <c r="P413" i="47" s="1"/>
  <c r="U412" i="47"/>
  <c r="T412" i="47"/>
  <c r="V412" i="47" s="1"/>
  <c r="N412" i="47"/>
  <c r="M412" i="47"/>
  <c r="L412" i="47"/>
  <c r="K412" i="47"/>
  <c r="J412" i="47"/>
  <c r="I412" i="47"/>
  <c r="H412" i="47"/>
  <c r="G412" i="47"/>
  <c r="F412" i="47"/>
  <c r="E412" i="47"/>
  <c r="D412" i="47"/>
  <c r="B412" i="47"/>
  <c r="A412" i="47"/>
  <c r="C412" i="47" s="1"/>
  <c r="U411" i="47"/>
  <c r="T411" i="47"/>
  <c r="P411" i="47"/>
  <c r="M411" i="47"/>
  <c r="K411" i="47"/>
  <c r="F411" i="47"/>
  <c r="C411" i="47"/>
  <c r="L411" i="47" s="1"/>
  <c r="A411" i="47"/>
  <c r="U410" i="47"/>
  <c r="T410" i="47"/>
  <c r="P410" i="47"/>
  <c r="A410" i="47"/>
  <c r="U409" i="47"/>
  <c r="T409" i="47"/>
  <c r="Q409" i="47"/>
  <c r="D409" i="47"/>
  <c r="B409" i="47"/>
  <c r="A409" i="47"/>
  <c r="P409" i="47" s="1"/>
  <c r="U408" i="47"/>
  <c r="T408" i="47"/>
  <c r="P408" i="47"/>
  <c r="F408" i="47"/>
  <c r="D408" i="47"/>
  <c r="A408" i="47"/>
  <c r="C408" i="47" s="1"/>
  <c r="U407" i="47"/>
  <c r="V407" i="47" s="1"/>
  <c r="T407" i="47"/>
  <c r="D407" i="47"/>
  <c r="A407" i="47"/>
  <c r="U406" i="47"/>
  <c r="T406" i="47"/>
  <c r="A406" i="47"/>
  <c r="U405" i="47"/>
  <c r="T405" i="47"/>
  <c r="V405" i="47" s="1"/>
  <c r="P405" i="47"/>
  <c r="Q405" i="47" s="1"/>
  <c r="D405" i="47"/>
  <c r="A405" i="47"/>
  <c r="U404" i="47"/>
  <c r="T404" i="47"/>
  <c r="V404" i="47" s="1"/>
  <c r="P404" i="47"/>
  <c r="M404" i="47"/>
  <c r="H404" i="47"/>
  <c r="F404" i="47"/>
  <c r="D404" i="47"/>
  <c r="A404" i="47"/>
  <c r="C404" i="47" s="1"/>
  <c r="I404" i="47" s="1"/>
  <c r="U403" i="47"/>
  <c r="T403" i="47"/>
  <c r="D403" i="47"/>
  <c r="A403" i="47"/>
  <c r="U402" i="47"/>
  <c r="T402" i="47"/>
  <c r="P402" i="47"/>
  <c r="A402" i="47"/>
  <c r="U401" i="47"/>
  <c r="T401" i="47"/>
  <c r="V401" i="47" s="1"/>
  <c r="P401" i="47"/>
  <c r="B401" i="47"/>
  <c r="A401" i="47"/>
  <c r="U400" i="47"/>
  <c r="T400" i="47"/>
  <c r="V400" i="47" s="1"/>
  <c r="P400" i="47"/>
  <c r="I400" i="47"/>
  <c r="H400" i="47"/>
  <c r="F400" i="47"/>
  <c r="E400" i="47"/>
  <c r="D400" i="47"/>
  <c r="A400" i="47"/>
  <c r="C400" i="47" s="1"/>
  <c r="G400" i="47" s="1"/>
  <c r="U399" i="47"/>
  <c r="T399" i="47"/>
  <c r="A399" i="47"/>
  <c r="U398" i="47"/>
  <c r="T398" i="47"/>
  <c r="P398" i="47"/>
  <c r="A398" i="47"/>
  <c r="U397" i="47"/>
  <c r="T397" i="47"/>
  <c r="V397" i="47" s="1"/>
  <c r="D397" i="47"/>
  <c r="C397" i="47"/>
  <c r="A397" i="47"/>
  <c r="U396" i="47"/>
  <c r="T396" i="47"/>
  <c r="P396" i="47"/>
  <c r="I396" i="47"/>
  <c r="H396" i="47"/>
  <c r="F396" i="47"/>
  <c r="E396" i="47"/>
  <c r="D396" i="47"/>
  <c r="A396" i="47"/>
  <c r="C396" i="47" s="1"/>
  <c r="M396" i="47" s="1"/>
  <c r="U395" i="47"/>
  <c r="T395" i="47"/>
  <c r="D395" i="47"/>
  <c r="A395" i="47"/>
  <c r="U394" i="47"/>
  <c r="T394" i="47"/>
  <c r="A394" i="47"/>
  <c r="U393" i="47"/>
  <c r="T393" i="47"/>
  <c r="Q393" i="47"/>
  <c r="P393" i="47"/>
  <c r="D393" i="47"/>
  <c r="C393" i="47"/>
  <c r="L393" i="47" s="1"/>
  <c r="B393" i="47"/>
  <c r="A393" i="47"/>
  <c r="U392" i="47"/>
  <c r="T392" i="47"/>
  <c r="P392" i="47"/>
  <c r="F392" i="47"/>
  <c r="D392" i="47"/>
  <c r="A392" i="47"/>
  <c r="C392" i="47" s="1"/>
  <c r="M392" i="47" s="1"/>
  <c r="U391" i="47"/>
  <c r="T391" i="47"/>
  <c r="V391" i="47" s="1"/>
  <c r="A391" i="47"/>
  <c r="U390" i="47"/>
  <c r="T390" i="47"/>
  <c r="A390" i="47"/>
  <c r="P390" i="47" s="1"/>
  <c r="U389" i="47"/>
  <c r="T389" i="47"/>
  <c r="V389" i="47" s="1"/>
  <c r="D389" i="47"/>
  <c r="C389" i="47"/>
  <c r="L389" i="47" s="1"/>
  <c r="A389" i="47"/>
  <c r="P389" i="47" s="1"/>
  <c r="Q389" i="47" s="1"/>
  <c r="U388" i="47"/>
  <c r="T388" i="47"/>
  <c r="V388" i="47" s="1"/>
  <c r="A388" i="47"/>
  <c r="U387" i="47"/>
  <c r="T387" i="47"/>
  <c r="V387" i="47" s="1"/>
  <c r="A387" i="47"/>
  <c r="U386" i="47"/>
  <c r="T386" i="47"/>
  <c r="P386" i="47"/>
  <c r="A386" i="47"/>
  <c r="U385" i="47"/>
  <c r="T385" i="47"/>
  <c r="A385" i="47"/>
  <c r="P385" i="47" s="1"/>
  <c r="V384" i="47"/>
  <c r="U384" i="47"/>
  <c r="T384" i="47"/>
  <c r="F384" i="47"/>
  <c r="A384" i="47"/>
  <c r="P384" i="47" s="1"/>
  <c r="Q384" i="47" s="1"/>
  <c r="U383" i="47"/>
  <c r="T383" i="47"/>
  <c r="V383" i="47" s="1"/>
  <c r="A383" i="47"/>
  <c r="U382" i="47"/>
  <c r="T382" i="47"/>
  <c r="A382" i="47"/>
  <c r="U381" i="47"/>
  <c r="T381" i="47"/>
  <c r="V381" i="47" s="1"/>
  <c r="P381" i="47"/>
  <c r="Q381" i="47" s="1"/>
  <c r="D381" i="47"/>
  <c r="A381" i="47"/>
  <c r="U380" i="47"/>
  <c r="T380" i="47"/>
  <c r="A380" i="47"/>
  <c r="U379" i="47"/>
  <c r="T379" i="47"/>
  <c r="A379" i="47"/>
  <c r="U378" i="47"/>
  <c r="T378" i="47"/>
  <c r="A378" i="47"/>
  <c r="U377" i="47"/>
  <c r="T377" i="47"/>
  <c r="L377" i="47"/>
  <c r="D377" i="47"/>
  <c r="C377" i="47"/>
  <c r="A377" i="47"/>
  <c r="U376" i="47"/>
  <c r="T376" i="47"/>
  <c r="P376" i="47"/>
  <c r="F376" i="47"/>
  <c r="A376" i="47"/>
  <c r="U375" i="47"/>
  <c r="T375" i="47"/>
  <c r="A375" i="47"/>
  <c r="U374" i="47"/>
  <c r="T374" i="47"/>
  <c r="P374" i="47"/>
  <c r="Q374" i="47" s="1"/>
  <c r="A374" i="47"/>
  <c r="U373" i="47"/>
  <c r="T373" i="47"/>
  <c r="A373" i="47"/>
  <c r="U372" i="47"/>
  <c r="T372" i="47"/>
  <c r="F372" i="47"/>
  <c r="C372" i="47"/>
  <c r="G372" i="47" s="1"/>
  <c r="A372" i="47"/>
  <c r="U371" i="47"/>
  <c r="T371" i="47"/>
  <c r="A371" i="47"/>
  <c r="U370" i="47"/>
  <c r="T370" i="47"/>
  <c r="P370" i="47"/>
  <c r="A370" i="47"/>
  <c r="U369" i="47"/>
  <c r="T369" i="47"/>
  <c r="A369" i="47"/>
  <c r="U368" i="47"/>
  <c r="T368" i="47"/>
  <c r="A368" i="47"/>
  <c r="U367" i="47"/>
  <c r="T367" i="47"/>
  <c r="D367" i="47"/>
  <c r="A367" i="47"/>
  <c r="U366" i="47"/>
  <c r="T366" i="47"/>
  <c r="A366" i="47"/>
  <c r="U365" i="47"/>
  <c r="T365" i="47"/>
  <c r="P365" i="47"/>
  <c r="M365" i="47"/>
  <c r="L365" i="47"/>
  <c r="K365" i="47"/>
  <c r="I365" i="47"/>
  <c r="E365" i="47"/>
  <c r="C365" i="47"/>
  <c r="B365" i="47"/>
  <c r="A365" i="47"/>
  <c r="U364" i="47"/>
  <c r="T364" i="47"/>
  <c r="A364" i="47"/>
  <c r="U363" i="47"/>
  <c r="T363" i="47"/>
  <c r="F363" i="47"/>
  <c r="C363" i="47"/>
  <c r="A363" i="47"/>
  <c r="U362" i="47"/>
  <c r="T362" i="47"/>
  <c r="B362" i="47"/>
  <c r="A362" i="47"/>
  <c r="P362" i="47" s="1"/>
  <c r="Q362" i="47" s="1"/>
  <c r="U361" i="47"/>
  <c r="T361" i="47"/>
  <c r="C361" i="47"/>
  <c r="A361" i="47"/>
  <c r="U360" i="47"/>
  <c r="T360" i="47"/>
  <c r="P360" i="47"/>
  <c r="D360" i="47"/>
  <c r="A360" i="47"/>
  <c r="Q360" i="47" s="1"/>
  <c r="U359" i="47"/>
  <c r="T359" i="47"/>
  <c r="L359" i="47"/>
  <c r="K359" i="47"/>
  <c r="F359" i="47"/>
  <c r="D359" i="47"/>
  <c r="C359" i="47"/>
  <c r="I359" i="47" s="1"/>
  <c r="B359" i="47"/>
  <c r="A359" i="47"/>
  <c r="U358" i="47"/>
  <c r="T358" i="47"/>
  <c r="A358" i="47"/>
  <c r="D358" i="47" s="1"/>
  <c r="O358" i="47" s="1"/>
  <c r="U357" i="47"/>
  <c r="T357" i="47"/>
  <c r="V357" i="47" s="1"/>
  <c r="D357" i="47"/>
  <c r="A357" i="47"/>
  <c r="U356" i="47"/>
  <c r="T356" i="47"/>
  <c r="O356" i="47"/>
  <c r="F356" i="47"/>
  <c r="D356" i="47"/>
  <c r="C356" i="47"/>
  <c r="A356" i="47"/>
  <c r="U355" i="47"/>
  <c r="T355" i="47"/>
  <c r="A355" i="47"/>
  <c r="U354" i="47"/>
  <c r="T354" i="47"/>
  <c r="P354" i="47"/>
  <c r="Q354" i="47" s="1"/>
  <c r="C354" i="47"/>
  <c r="M354" i="47" s="1"/>
  <c r="A354" i="47"/>
  <c r="D354" i="47" s="1"/>
  <c r="U353" i="47"/>
  <c r="T353" i="47"/>
  <c r="P353" i="47"/>
  <c r="M353" i="47"/>
  <c r="L353" i="47"/>
  <c r="F353" i="47"/>
  <c r="D353" i="47"/>
  <c r="O353" i="47" s="1"/>
  <c r="C353" i="47"/>
  <c r="J353" i="47" s="1"/>
  <c r="B353" i="47"/>
  <c r="A353" i="47"/>
  <c r="U352" i="47"/>
  <c r="T352" i="47"/>
  <c r="P352" i="47"/>
  <c r="F352" i="47"/>
  <c r="B352" i="47"/>
  <c r="A352" i="47"/>
  <c r="U351" i="47"/>
  <c r="T351" i="47"/>
  <c r="B351" i="47"/>
  <c r="A351" i="47"/>
  <c r="U350" i="47"/>
  <c r="T350" i="47"/>
  <c r="O350" i="47"/>
  <c r="H350" i="47"/>
  <c r="F350" i="47"/>
  <c r="E350" i="47"/>
  <c r="C350" i="47"/>
  <c r="A350" i="47"/>
  <c r="D350" i="47" s="1"/>
  <c r="U349" i="47"/>
  <c r="T349" i="47"/>
  <c r="P349" i="47"/>
  <c r="A349" i="47"/>
  <c r="U348" i="47"/>
  <c r="T348" i="47"/>
  <c r="D348" i="47"/>
  <c r="B348" i="47"/>
  <c r="A348" i="47"/>
  <c r="P348" i="47" s="1"/>
  <c r="Q348" i="47" s="1"/>
  <c r="U347" i="47"/>
  <c r="T347" i="47"/>
  <c r="V347" i="47" s="1"/>
  <c r="Q347" i="47"/>
  <c r="M347" i="47"/>
  <c r="F347" i="47"/>
  <c r="D347" i="47"/>
  <c r="O347" i="47" s="1"/>
  <c r="C347" i="47"/>
  <c r="B347" i="47"/>
  <c r="A347" i="47"/>
  <c r="P347" i="47" s="1"/>
  <c r="U346" i="47"/>
  <c r="T346" i="47"/>
  <c r="P346" i="47"/>
  <c r="O346" i="47"/>
  <c r="F346" i="47"/>
  <c r="B346" i="47"/>
  <c r="A346" i="47"/>
  <c r="D346" i="47" s="1"/>
  <c r="U345" i="47"/>
  <c r="T345" i="47"/>
  <c r="A345" i="47"/>
  <c r="U344" i="47"/>
  <c r="T344" i="47"/>
  <c r="P344" i="47"/>
  <c r="Q344" i="47" s="1"/>
  <c r="F344" i="47"/>
  <c r="D344" i="47"/>
  <c r="O344" i="47" s="1"/>
  <c r="B344" i="47"/>
  <c r="A344" i="47"/>
  <c r="U343" i="47"/>
  <c r="T343" i="47"/>
  <c r="B343" i="47"/>
  <c r="A343" i="47"/>
  <c r="P343" i="47" s="1"/>
  <c r="U342" i="47"/>
  <c r="T342" i="47"/>
  <c r="B342" i="47"/>
  <c r="A342" i="47"/>
  <c r="U341" i="47"/>
  <c r="T341" i="47"/>
  <c r="P341" i="47"/>
  <c r="N341" i="47"/>
  <c r="F341" i="47"/>
  <c r="D341" i="47"/>
  <c r="O341" i="47" s="1"/>
  <c r="C341" i="47"/>
  <c r="K341" i="47" s="1"/>
  <c r="B341" i="47"/>
  <c r="A341" i="47"/>
  <c r="U340" i="47"/>
  <c r="T340" i="47"/>
  <c r="P340" i="47"/>
  <c r="Q340" i="47" s="1"/>
  <c r="J340" i="47"/>
  <c r="H340" i="47"/>
  <c r="G340" i="47"/>
  <c r="F340" i="47"/>
  <c r="C340" i="47"/>
  <c r="N340" i="47" s="1"/>
  <c r="B340" i="47"/>
  <c r="A340" i="47"/>
  <c r="U339" i="47"/>
  <c r="T339" i="47"/>
  <c r="V339" i="47" s="1"/>
  <c r="Q339" i="47"/>
  <c r="M339" i="47"/>
  <c r="F339" i="47"/>
  <c r="D339" i="47"/>
  <c r="O339" i="47" s="1"/>
  <c r="C339" i="47"/>
  <c r="B339" i="47"/>
  <c r="A339" i="47"/>
  <c r="P339" i="47" s="1"/>
  <c r="U338" i="47"/>
  <c r="T338" i="47"/>
  <c r="P338" i="47"/>
  <c r="F338" i="47"/>
  <c r="B338" i="47"/>
  <c r="A338" i="47"/>
  <c r="D338" i="47" s="1"/>
  <c r="O338" i="47" s="1"/>
  <c r="U337" i="47"/>
  <c r="T337" i="47"/>
  <c r="Q337" i="47"/>
  <c r="P337" i="47"/>
  <c r="O337" i="47"/>
  <c r="D337" i="47"/>
  <c r="B337" i="47"/>
  <c r="A337" i="47"/>
  <c r="U336" i="47"/>
  <c r="T336" i="47"/>
  <c r="J336" i="47"/>
  <c r="C336" i="47"/>
  <c r="K336" i="47" s="1"/>
  <c r="B336" i="47"/>
  <c r="A336" i="47"/>
  <c r="U335" i="47"/>
  <c r="T335" i="47"/>
  <c r="D335" i="47"/>
  <c r="A335" i="47"/>
  <c r="U334" i="47"/>
  <c r="T334" i="47"/>
  <c r="Q334" i="47"/>
  <c r="P334" i="47"/>
  <c r="K334" i="47"/>
  <c r="I334" i="47"/>
  <c r="C334" i="47"/>
  <c r="B334" i="47"/>
  <c r="A334" i="47"/>
  <c r="D334" i="47" s="1"/>
  <c r="U333" i="47"/>
  <c r="T333" i="47"/>
  <c r="P333" i="47"/>
  <c r="Q333" i="47" s="1"/>
  <c r="J333" i="47"/>
  <c r="F333" i="47"/>
  <c r="D333" i="47"/>
  <c r="C333" i="47"/>
  <c r="B333" i="47"/>
  <c r="A333" i="47"/>
  <c r="U332" i="47"/>
  <c r="T332" i="47"/>
  <c r="P332" i="47"/>
  <c r="N332" i="47"/>
  <c r="M332" i="47"/>
  <c r="I332" i="47"/>
  <c r="G332" i="47"/>
  <c r="F332" i="47"/>
  <c r="H332" i="47" s="1"/>
  <c r="E332" i="47"/>
  <c r="C332" i="47"/>
  <c r="K332" i="47" s="1"/>
  <c r="B332" i="47"/>
  <c r="A332" i="47"/>
  <c r="U331" i="47"/>
  <c r="T331" i="47"/>
  <c r="V331" i="47" s="1"/>
  <c r="I331" i="47"/>
  <c r="H331" i="47"/>
  <c r="C331" i="47"/>
  <c r="A331" i="47"/>
  <c r="U330" i="47"/>
  <c r="T330" i="47"/>
  <c r="A330" i="47"/>
  <c r="U329" i="47"/>
  <c r="T329" i="47"/>
  <c r="A329" i="47"/>
  <c r="U328" i="47"/>
  <c r="T328" i="47"/>
  <c r="V328" i="47" s="1"/>
  <c r="D328" i="47"/>
  <c r="C328" i="47"/>
  <c r="K328" i="47" s="1"/>
  <c r="B328" i="47"/>
  <c r="A328" i="47"/>
  <c r="U327" i="47"/>
  <c r="T327" i="47"/>
  <c r="N327" i="47"/>
  <c r="L327" i="47"/>
  <c r="F327" i="47"/>
  <c r="E327" i="47"/>
  <c r="D327" i="47"/>
  <c r="C327" i="47"/>
  <c r="K327" i="47" s="1"/>
  <c r="A327" i="47"/>
  <c r="P327" i="47" s="1"/>
  <c r="U326" i="47"/>
  <c r="T326" i="47"/>
  <c r="Q326" i="47"/>
  <c r="P326" i="47"/>
  <c r="O326" i="47"/>
  <c r="N326" i="47"/>
  <c r="M326" i="47"/>
  <c r="J326" i="47"/>
  <c r="I326" i="47"/>
  <c r="G326" i="47"/>
  <c r="F326" i="47"/>
  <c r="H326" i="47" s="1"/>
  <c r="C326" i="47"/>
  <c r="L326" i="47" s="1"/>
  <c r="B326" i="47"/>
  <c r="A326" i="47"/>
  <c r="D326" i="47" s="1"/>
  <c r="U325" i="47"/>
  <c r="T325" i="47"/>
  <c r="P325" i="47"/>
  <c r="A325" i="47"/>
  <c r="U324" i="47"/>
  <c r="T324" i="47"/>
  <c r="P324" i="47"/>
  <c r="O324" i="47"/>
  <c r="N324" i="47"/>
  <c r="F324" i="47"/>
  <c r="D324" i="47"/>
  <c r="C324" i="47"/>
  <c r="B324" i="47"/>
  <c r="A324" i="47"/>
  <c r="Q324" i="47" s="1"/>
  <c r="U323" i="47"/>
  <c r="T323" i="47"/>
  <c r="F323" i="47"/>
  <c r="A323" i="47"/>
  <c r="U322" i="47"/>
  <c r="T322" i="47"/>
  <c r="V322" i="47" s="1"/>
  <c r="F322" i="47"/>
  <c r="D322" i="47"/>
  <c r="C322" i="47"/>
  <c r="L322" i="47" s="1"/>
  <c r="A322" i="47"/>
  <c r="B322" i="47" s="1"/>
  <c r="U321" i="47"/>
  <c r="T321" i="47"/>
  <c r="P321" i="47"/>
  <c r="O321" i="47"/>
  <c r="N321" i="47"/>
  <c r="K321" i="47"/>
  <c r="J321" i="47"/>
  <c r="I321" i="47"/>
  <c r="H321" i="47"/>
  <c r="G321" i="47"/>
  <c r="E321" i="47"/>
  <c r="D321" i="47"/>
  <c r="C321" i="47"/>
  <c r="B321" i="47"/>
  <c r="A321" i="47"/>
  <c r="F321" i="47" s="1"/>
  <c r="U320" i="47"/>
  <c r="T320" i="47"/>
  <c r="N320" i="47"/>
  <c r="M320" i="47"/>
  <c r="L320" i="47"/>
  <c r="K320" i="47"/>
  <c r="F320" i="47"/>
  <c r="D320" i="47"/>
  <c r="O320" i="47" s="1"/>
  <c r="C320" i="47"/>
  <c r="B320" i="47"/>
  <c r="A320" i="47"/>
  <c r="J320" i="47" s="1"/>
  <c r="U319" i="47"/>
  <c r="T319" i="47"/>
  <c r="V319" i="47" s="1"/>
  <c r="A319" i="47"/>
  <c r="P319" i="47" s="1"/>
  <c r="Q319" i="47" s="1"/>
  <c r="U318" i="47"/>
  <c r="V318" i="47" s="1"/>
  <c r="T318" i="47"/>
  <c r="P318" i="47"/>
  <c r="N318" i="47"/>
  <c r="L318" i="47"/>
  <c r="F318" i="47"/>
  <c r="D318" i="47"/>
  <c r="C318" i="47"/>
  <c r="K318" i="47" s="1"/>
  <c r="A318" i="47"/>
  <c r="B318" i="47" s="1"/>
  <c r="U317" i="47"/>
  <c r="T317" i="47"/>
  <c r="P317" i="47"/>
  <c r="N317" i="47"/>
  <c r="K317" i="47"/>
  <c r="J317" i="47"/>
  <c r="I317" i="47"/>
  <c r="H317" i="47"/>
  <c r="E317" i="47"/>
  <c r="D317" i="47"/>
  <c r="O317" i="47" s="1"/>
  <c r="C317" i="47"/>
  <c r="B317" i="47"/>
  <c r="G317" i="47" s="1"/>
  <c r="A317" i="47"/>
  <c r="F317" i="47" s="1"/>
  <c r="U316" i="47"/>
  <c r="T316" i="47"/>
  <c r="O316" i="47"/>
  <c r="F316" i="47"/>
  <c r="D316" i="47"/>
  <c r="C316" i="47"/>
  <c r="B316" i="47"/>
  <c r="A316" i="47"/>
  <c r="U315" i="47"/>
  <c r="T315" i="47"/>
  <c r="F315" i="47"/>
  <c r="A315" i="47"/>
  <c r="U314" i="47"/>
  <c r="T314" i="47"/>
  <c r="V314" i="47" s="1"/>
  <c r="P314" i="47"/>
  <c r="F314" i="47"/>
  <c r="D314" i="47"/>
  <c r="C314" i="47"/>
  <c r="N314" i="47" s="1"/>
  <c r="A314" i="47"/>
  <c r="B314" i="47" s="1"/>
  <c r="U313" i="47"/>
  <c r="T313" i="47"/>
  <c r="P313" i="47"/>
  <c r="O313" i="47"/>
  <c r="N313" i="47"/>
  <c r="K313" i="47"/>
  <c r="J313" i="47"/>
  <c r="I313" i="47"/>
  <c r="H313" i="47"/>
  <c r="E313" i="47"/>
  <c r="D313" i="47"/>
  <c r="C313" i="47"/>
  <c r="B313" i="47"/>
  <c r="G313" i="47" s="1"/>
  <c r="A313" i="47"/>
  <c r="F313" i="47" s="1"/>
  <c r="U312" i="47"/>
  <c r="T312" i="47"/>
  <c r="N312" i="47"/>
  <c r="F312" i="47"/>
  <c r="D312" i="47"/>
  <c r="O312" i="47" s="1"/>
  <c r="C312" i="47"/>
  <c r="M312" i="47" s="1"/>
  <c r="B312" i="47"/>
  <c r="A312" i="47"/>
  <c r="J312" i="47" s="1"/>
  <c r="U311" i="47"/>
  <c r="T311" i="47"/>
  <c r="A311" i="47"/>
  <c r="U310" i="47"/>
  <c r="T310" i="47"/>
  <c r="P310" i="47"/>
  <c r="N310" i="47"/>
  <c r="L310" i="47"/>
  <c r="K310" i="47"/>
  <c r="J310" i="47"/>
  <c r="G310" i="47"/>
  <c r="F310" i="47"/>
  <c r="E310" i="47"/>
  <c r="D310" i="47"/>
  <c r="C310" i="47"/>
  <c r="A310" i="47"/>
  <c r="B310" i="47" s="1"/>
  <c r="U309" i="47"/>
  <c r="T309" i="47"/>
  <c r="P309" i="47"/>
  <c r="O309" i="47"/>
  <c r="N309" i="47"/>
  <c r="K309" i="47"/>
  <c r="J309" i="47"/>
  <c r="I309" i="47"/>
  <c r="H309" i="47"/>
  <c r="G309" i="47"/>
  <c r="E309" i="47"/>
  <c r="D309" i="47"/>
  <c r="C309" i="47"/>
  <c r="B309" i="47"/>
  <c r="A309" i="47"/>
  <c r="F309" i="47" s="1"/>
  <c r="U308" i="47"/>
  <c r="T308" i="47"/>
  <c r="O308" i="47"/>
  <c r="N308" i="47"/>
  <c r="M308" i="47"/>
  <c r="F308" i="47"/>
  <c r="D308" i="47"/>
  <c r="C308" i="47"/>
  <c r="B308" i="47"/>
  <c r="A308" i="47"/>
  <c r="U307" i="47"/>
  <c r="T307" i="47"/>
  <c r="P307" i="47"/>
  <c r="B307" i="47"/>
  <c r="A307" i="47"/>
  <c r="U306" i="47"/>
  <c r="T306" i="47"/>
  <c r="P306" i="47"/>
  <c r="N306" i="47"/>
  <c r="L306" i="47"/>
  <c r="K306" i="47"/>
  <c r="G306" i="47"/>
  <c r="F306" i="47"/>
  <c r="J306" i="47" s="1"/>
  <c r="E306" i="47"/>
  <c r="D306" i="47"/>
  <c r="C306" i="47"/>
  <c r="A306" i="47"/>
  <c r="B306" i="47" s="1"/>
  <c r="V305" i="47"/>
  <c r="U305" i="47"/>
  <c r="T305" i="47"/>
  <c r="P305" i="47"/>
  <c r="K305" i="47"/>
  <c r="J305" i="47"/>
  <c r="I305" i="47"/>
  <c r="H305" i="47"/>
  <c r="G305" i="47"/>
  <c r="E305" i="47"/>
  <c r="D305" i="47"/>
  <c r="O305" i="47" s="1"/>
  <c r="C305" i="47"/>
  <c r="B305" i="47"/>
  <c r="A305" i="47"/>
  <c r="F305" i="47" s="1"/>
  <c r="N305" i="47" s="1"/>
  <c r="U304" i="47"/>
  <c r="T304" i="47"/>
  <c r="F304" i="47"/>
  <c r="D304" i="47"/>
  <c r="O304" i="47" s="1"/>
  <c r="C304" i="47"/>
  <c r="B304" i="47"/>
  <c r="A304" i="47"/>
  <c r="U303" i="47"/>
  <c r="T303" i="47"/>
  <c r="V303" i="47" s="1"/>
  <c r="B303" i="47"/>
  <c r="A303" i="47"/>
  <c r="U302" i="47"/>
  <c r="T302" i="47"/>
  <c r="V302" i="47" s="1"/>
  <c r="A302" i="47"/>
  <c r="U301" i="47"/>
  <c r="T301" i="47"/>
  <c r="P301" i="47"/>
  <c r="N301" i="47"/>
  <c r="K301" i="47"/>
  <c r="J301" i="47"/>
  <c r="I301" i="47"/>
  <c r="E301" i="47"/>
  <c r="D301" i="47"/>
  <c r="O301" i="47" s="1"/>
  <c r="C301" i="47"/>
  <c r="B301" i="47"/>
  <c r="G301" i="47" s="1"/>
  <c r="A301" i="47"/>
  <c r="F301" i="47" s="1"/>
  <c r="H301" i="47" s="1"/>
  <c r="U300" i="47"/>
  <c r="T300" i="47"/>
  <c r="O300" i="47"/>
  <c r="F300" i="47"/>
  <c r="D300" i="47"/>
  <c r="C300" i="47"/>
  <c r="N300" i="47" s="1"/>
  <c r="B300" i="47"/>
  <c r="A300" i="47"/>
  <c r="U299" i="47"/>
  <c r="T299" i="47"/>
  <c r="A299" i="47"/>
  <c r="U298" i="47"/>
  <c r="T298" i="47"/>
  <c r="F298" i="47"/>
  <c r="A298" i="47"/>
  <c r="P298" i="47" s="1"/>
  <c r="U297" i="47"/>
  <c r="T297" i="47"/>
  <c r="P297" i="47"/>
  <c r="O297" i="47"/>
  <c r="K297" i="47"/>
  <c r="J297" i="47"/>
  <c r="I297" i="47"/>
  <c r="H297" i="47"/>
  <c r="G297" i="47"/>
  <c r="E297" i="47"/>
  <c r="D297" i="47"/>
  <c r="C297" i="47"/>
  <c r="B297" i="47"/>
  <c r="A297" i="47"/>
  <c r="F297" i="47" s="1"/>
  <c r="N297" i="47" s="1"/>
  <c r="U296" i="47"/>
  <c r="T296" i="47"/>
  <c r="V296" i="47" s="1"/>
  <c r="O296" i="47"/>
  <c r="N296" i="47"/>
  <c r="M296" i="47"/>
  <c r="L296" i="47"/>
  <c r="K296" i="47"/>
  <c r="I296" i="47"/>
  <c r="G296" i="47"/>
  <c r="F296" i="47"/>
  <c r="H296" i="47" s="1"/>
  <c r="D296" i="47"/>
  <c r="C296" i="47"/>
  <c r="B296" i="47"/>
  <c r="A296" i="47"/>
  <c r="U295" i="47"/>
  <c r="T295" i="47"/>
  <c r="P295" i="47"/>
  <c r="Q295" i="47" s="1"/>
  <c r="J295" i="47"/>
  <c r="F295" i="47"/>
  <c r="C295" i="47"/>
  <c r="K295" i="47" s="1"/>
  <c r="A295" i="47"/>
  <c r="M295" i="47" s="1"/>
  <c r="U294" i="47"/>
  <c r="V294" i="47" s="1"/>
  <c r="T294" i="47"/>
  <c r="P294" i="47"/>
  <c r="Q294" i="47" s="1"/>
  <c r="O294" i="47"/>
  <c r="F294" i="47"/>
  <c r="D294" i="47"/>
  <c r="A294" i="47"/>
  <c r="U293" i="47"/>
  <c r="T293" i="47"/>
  <c r="P293" i="47"/>
  <c r="O293" i="47"/>
  <c r="N293" i="47"/>
  <c r="D293" i="47"/>
  <c r="C293" i="47"/>
  <c r="K293" i="47" s="1"/>
  <c r="B293" i="47"/>
  <c r="A293" i="47"/>
  <c r="F293" i="47" s="1"/>
  <c r="U292" i="47"/>
  <c r="T292" i="47"/>
  <c r="N292" i="47"/>
  <c r="M292" i="47"/>
  <c r="F292" i="47"/>
  <c r="D292" i="47"/>
  <c r="O292" i="47" s="1"/>
  <c r="C292" i="47"/>
  <c r="L292" i="47" s="1"/>
  <c r="B292" i="47"/>
  <c r="A292" i="47"/>
  <c r="U291" i="47"/>
  <c r="T291" i="47"/>
  <c r="V291" i="47" s="1"/>
  <c r="P291" i="47"/>
  <c r="Q291" i="47" s="1"/>
  <c r="F291" i="47"/>
  <c r="C291" i="47"/>
  <c r="M291" i="47" s="1"/>
  <c r="B291" i="47"/>
  <c r="A291" i="47"/>
  <c r="U290" i="47"/>
  <c r="V290" i="47" s="1"/>
  <c r="T290" i="47"/>
  <c r="P290" i="47"/>
  <c r="Q290" i="47" s="1"/>
  <c r="N290" i="47"/>
  <c r="F290" i="47"/>
  <c r="D290" i="47"/>
  <c r="O290" i="47" s="1"/>
  <c r="C290" i="47"/>
  <c r="L290" i="47" s="1"/>
  <c r="A290" i="47"/>
  <c r="U289" i="47"/>
  <c r="T289" i="47"/>
  <c r="P289" i="47"/>
  <c r="D289" i="47"/>
  <c r="O289" i="47" s="1"/>
  <c r="C289" i="47"/>
  <c r="N289" i="47" s="1"/>
  <c r="B289" i="47"/>
  <c r="A289" i="47"/>
  <c r="F289" i="47" s="1"/>
  <c r="U288" i="47"/>
  <c r="T288" i="47"/>
  <c r="V288" i="47" s="1"/>
  <c r="F288" i="47"/>
  <c r="D288" i="47"/>
  <c r="O288" i="47" s="1"/>
  <c r="C288" i="47"/>
  <c r="B288" i="47"/>
  <c r="A288" i="47"/>
  <c r="U287" i="47"/>
  <c r="T287" i="47"/>
  <c r="C287" i="47"/>
  <c r="L287" i="47" s="1"/>
  <c r="B287" i="47"/>
  <c r="M287" i="47" s="1"/>
  <c r="A287" i="47"/>
  <c r="P287" i="47" s="1"/>
  <c r="U286" i="47"/>
  <c r="T286" i="47"/>
  <c r="D286" i="47"/>
  <c r="C286" i="47"/>
  <c r="A286" i="47"/>
  <c r="P286" i="47" s="1"/>
  <c r="Q286" i="47" s="1"/>
  <c r="U285" i="47"/>
  <c r="T285" i="47"/>
  <c r="P285" i="47"/>
  <c r="D285" i="47"/>
  <c r="O285" i="47" s="1"/>
  <c r="C285" i="47"/>
  <c r="N285" i="47" s="1"/>
  <c r="B285" i="47"/>
  <c r="A285" i="47"/>
  <c r="F285" i="47" s="1"/>
  <c r="U284" i="47"/>
  <c r="T284" i="47"/>
  <c r="O284" i="47"/>
  <c r="F284" i="47"/>
  <c r="D284" i="47"/>
  <c r="C284" i="47"/>
  <c r="B284" i="47"/>
  <c r="A284" i="47"/>
  <c r="U283" i="47"/>
  <c r="T283" i="47"/>
  <c r="V283" i="47" s="1"/>
  <c r="A283" i="47"/>
  <c r="U282" i="47"/>
  <c r="T282" i="47"/>
  <c r="A282" i="47"/>
  <c r="U281" i="47"/>
  <c r="T281" i="47"/>
  <c r="P281" i="47"/>
  <c r="F281" i="47"/>
  <c r="D281" i="47"/>
  <c r="O281" i="47" s="1"/>
  <c r="C281" i="47"/>
  <c r="B281" i="47"/>
  <c r="A281" i="47"/>
  <c r="U280" i="47"/>
  <c r="T280" i="47"/>
  <c r="F280" i="47"/>
  <c r="D280" i="47"/>
  <c r="O280" i="47" s="1"/>
  <c r="C280" i="47"/>
  <c r="B280" i="47"/>
  <c r="A280" i="47"/>
  <c r="U279" i="47"/>
  <c r="T279" i="47"/>
  <c r="A279" i="47"/>
  <c r="U278" i="47"/>
  <c r="T278" i="47"/>
  <c r="D278" i="47"/>
  <c r="A278" i="47"/>
  <c r="U277" i="47"/>
  <c r="T277" i="47"/>
  <c r="V277" i="47" s="1"/>
  <c r="P277" i="47"/>
  <c r="F277" i="47"/>
  <c r="D277" i="47"/>
  <c r="O277" i="47" s="1"/>
  <c r="C277" i="47"/>
  <c r="B277" i="47"/>
  <c r="A277" i="47"/>
  <c r="U276" i="47"/>
  <c r="T276" i="47"/>
  <c r="F276" i="47"/>
  <c r="D276" i="47"/>
  <c r="O276" i="47" s="1"/>
  <c r="C276" i="47"/>
  <c r="B276" i="47"/>
  <c r="A276" i="47"/>
  <c r="U275" i="47"/>
  <c r="T275" i="47"/>
  <c r="A275" i="47"/>
  <c r="U274" i="47"/>
  <c r="T274" i="47"/>
  <c r="A274" i="47"/>
  <c r="U273" i="47"/>
  <c r="T273" i="47"/>
  <c r="P273" i="47"/>
  <c r="F273" i="47"/>
  <c r="D273" i="47"/>
  <c r="O273" i="47" s="1"/>
  <c r="C273" i="47"/>
  <c r="B273" i="47"/>
  <c r="A273" i="47"/>
  <c r="U272" i="47"/>
  <c r="T272" i="47"/>
  <c r="F272" i="47"/>
  <c r="D272" i="47"/>
  <c r="O272" i="47" s="1"/>
  <c r="C272" i="47"/>
  <c r="B272" i="47"/>
  <c r="A272" i="47"/>
  <c r="U271" i="47"/>
  <c r="T271" i="47"/>
  <c r="C271" i="47"/>
  <c r="A271" i="47"/>
  <c r="U270" i="47"/>
  <c r="T270" i="47"/>
  <c r="V270" i="47" s="1"/>
  <c r="D270" i="47"/>
  <c r="C270" i="47"/>
  <c r="B270" i="47"/>
  <c r="A270" i="47"/>
  <c r="U269" i="47"/>
  <c r="T269" i="47"/>
  <c r="P269" i="47"/>
  <c r="F269" i="47"/>
  <c r="D269" i="47"/>
  <c r="O269" i="47" s="1"/>
  <c r="C269" i="47"/>
  <c r="B269" i="47"/>
  <c r="A269" i="47"/>
  <c r="U268" i="47"/>
  <c r="T268" i="47"/>
  <c r="F268" i="47"/>
  <c r="D268" i="47"/>
  <c r="O268" i="47" s="1"/>
  <c r="C268" i="47"/>
  <c r="B268" i="47"/>
  <c r="A268" i="47"/>
  <c r="U267" i="47"/>
  <c r="T267" i="47"/>
  <c r="P267" i="47"/>
  <c r="H267" i="47"/>
  <c r="G267" i="47"/>
  <c r="F267" i="47"/>
  <c r="C267" i="47"/>
  <c r="A267" i="47"/>
  <c r="U266" i="47"/>
  <c r="V266" i="47" s="1"/>
  <c r="T266" i="47"/>
  <c r="P266" i="47"/>
  <c r="F266" i="47"/>
  <c r="D266" i="47"/>
  <c r="O266" i="47" s="1"/>
  <c r="B266" i="47"/>
  <c r="A266" i="47"/>
  <c r="U265" i="47"/>
  <c r="T265" i="47"/>
  <c r="V265" i="47" s="1"/>
  <c r="P265" i="47"/>
  <c r="O265" i="47"/>
  <c r="I265" i="47"/>
  <c r="G265" i="47"/>
  <c r="F265" i="47"/>
  <c r="H265" i="47" s="1"/>
  <c r="E265" i="47"/>
  <c r="D265" i="47"/>
  <c r="C265" i="47"/>
  <c r="N265" i="47" s="1"/>
  <c r="B265" i="47"/>
  <c r="A265" i="47"/>
  <c r="U264" i="47"/>
  <c r="T264" i="47"/>
  <c r="V264" i="47" s="1"/>
  <c r="O264" i="47"/>
  <c r="K264" i="47"/>
  <c r="J264" i="47"/>
  <c r="I264" i="47"/>
  <c r="H264" i="47"/>
  <c r="G264" i="47"/>
  <c r="F264" i="47"/>
  <c r="D264" i="47"/>
  <c r="C264" i="47"/>
  <c r="E264" i="47" s="1"/>
  <c r="B264" i="47"/>
  <c r="A264" i="47"/>
  <c r="U263" i="47"/>
  <c r="T263" i="47"/>
  <c r="L263" i="47"/>
  <c r="K263" i="47"/>
  <c r="J263" i="47"/>
  <c r="H263" i="47"/>
  <c r="F263" i="47"/>
  <c r="C263" i="47"/>
  <c r="G263" i="47" s="1"/>
  <c r="B263" i="47"/>
  <c r="M263" i="47" s="1"/>
  <c r="A263" i="47"/>
  <c r="P263" i="47" s="1"/>
  <c r="Q263" i="47" s="1"/>
  <c r="U262" i="47"/>
  <c r="T262" i="47"/>
  <c r="L262" i="47"/>
  <c r="K262" i="47"/>
  <c r="J262" i="47"/>
  <c r="G262" i="47"/>
  <c r="C262" i="47"/>
  <c r="A262" i="47"/>
  <c r="U261" i="47"/>
  <c r="T261" i="47"/>
  <c r="V261" i="47" s="1"/>
  <c r="P261" i="47"/>
  <c r="K261" i="47"/>
  <c r="J261" i="47"/>
  <c r="I261" i="47"/>
  <c r="H261" i="47"/>
  <c r="G261" i="47"/>
  <c r="F261" i="47"/>
  <c r="N261" i="47" s="1"/>
  <c r="E261" i="47"/>
  <c r="D261" i="47"/>
  <c r="O261" i="47" s="1"/>
  <c r="C261" i="47"/>
  <c r="B261" i="47"/>
  <c r="A261" i="47"/>
  <c r="U260" i="47"/>
  <c r="T260" i="47"/>
  <c r="M260" i="47"/>
  <c r="L260" i="47"/>
  <c r="K260" i="47"/>
  <c r="F260" i="47"/>
  <c r="J260" i="47" s="1"/>
  <c r="D260" i="47"/>
  <c r="O260" i="47" s="1"/>
  <c r="C260" i="47"/>
  <c r="E260" i="47" s="1"/>
  <c r="B260" i="47"/>
  <c r="A260" i="47"/>
  <c r="U259" i="47"/>
  <c r="T259" i="47"/>
  <c r="B259" i="47"/>
  <c r="A259" i="47"/>
  <c r="U258" i="47"/>
  <c r="T258" i="47"/>
  <c r="P258" i="47"/>
  <c r="Q258" i="47" s="1"/>
  <c r="O258" i="47"/>
  <c r="L258" i="47"/>
  <c r="F258" i="47"/>
  <c r="D258" i="47"/>
  <c r="C258" i="47"/>
  <c r="B258" i="47"/>
  <c r="A258" i="47"/>
  <c r="U257" i="47"/>
  <c r="T257" i="47"/>
  <c r="P257" i="47"/>
  <c r="N257" i="47"/>
  <c r="K257" i="47"/>
  <c r="G257" i="47"/>
  <c r="F257" i="47"/>
  <c r="E257" i="47"/>
  <c r="D257" i="47"/>
  <c r="O257" i="47" s="1"/>
  <c r="C257" i="47"/>
  <c r="J257" i="47" s="1"/>
  <c r="B257" i="47"/>
  <c r="A257" i="47"/>
  <c r="U256" i="47"/>
  <c r="T256" i="47"/>
  <c r="O256" i="47"/>
  <c r="N256" i="47"/>
  <c r="M256" i="47"/>
  <c r="L256" i="47"/>
  <c r="K256" i="47"/>
  <c r="I256" i="47"/>
  <c r="H256" i="47"/>
  <c r="G256" i="47"/>
  <c r="F256" i="47"/>
  <c r="J256" i="47" s="1"/>
  <c r="E256" i="47"/>
  <c r="D256" i="47"/>
  <c r="C256" i="47"/>
  <c r="B256" i="47"/>
  <c r="A256" i="47"/>
  <c r="U255" i="47"/>
  <c r="T255" i="47"/>
  <c r="P255" i="47"/>
  <c r="A255" i="47"/>
  <c r="U254" i="47"/>
  <c r="T254" i="47"/>
  <c r="K254" i="47"/>
  <c r="C254" i="47"/>
  <c r="A254" i="47"/>
  <c r="U253" i="47"/>
  <c r="T253" i="47"/>
  <c r="P253" i="47"/>
  <c r="Q253" i="47" s="1"/>
  <c r="K253" i="47"/>
  <c r="F253" i="47"/>
  <c r="E253" i="47"/>
  <c r="D253" i="47"/>
  <c r="O253" i="47" s="1"/>
  <c r="C253" i="47"/>
  <c r="B253" i="47"/>
  <c r="A253" i="47"/>
  <c r="I253" i="47" s="1"/>
  <c r="U252" i="47"/>
  <c r="T252" i="47"/>
  <c r="N252" i="47"/>
  <c r="M252" i="47"/>
  <c r="L252" i="47"/>
  <c r="G252" i="47"/>
  <c r="F252" i="47"/>
  <c r="H252" i="47" s="1"/>
  <c r="E252" i="47"/>
  <c r="D252" i="47"/>
  <c r="O252" i="47" s="1"/>
  <c r="C252" i="47"/>
  <c r="K252" i="47" s="1"/>
  <c r="B252" i="47"/>
  <c r="A252" i="47"/>
  <c r="U251" i="47"/>
  <c r="T251" i="47"/>
  <c r="A251" i="47"/>
  <c r="P251" i="47" s="1"/>
  <c r="U250" i="47"/>
  <c r="T250" i="47"/>
  <c r="V250" i="47" s="1"/>
  <c r="A250" i="47"/>
  <c r="U249" i="47"/>
  <c r="T249" i="47"/>
  <c r="V249" i="47" s="1"/>
  <c r="K249" i="47"/>
  <c r="J249" i="47"/>
  <c r="I249" i="47"/>
  <c r="C249" i="47"/>
  <c r="E249" i="47" s="1"/>
  <c r="B249" i="47"/>
  <c r="A249" i="47"/>
  <c r="U248" i="47"/>
  <c r="T248" i="47"/>
  <c r="N248" i="47"/>
  <c r="M248" i="47"/>
  <c r="L248" i="47"/>
  <c r="K248" i="47"/>
  <c r="G248" i="47"/>
  <c r="F248" i="47"/>
  <c r="E248" i="47"/>
  <c r="D248" i="47"/>
  <c r="O248" i="47" s="1"/>
  <c r="C248" i="47"/>
  <c r="J248" i="47" s="1"/>
  <c r="B248" i="47"/>
  <c r="A248" i="47"/>
  <c r="U247" i="47"/>
  <c r="T247" i="47"/>
  <c r="P247" i="47"/>
  <c r="N247" i="47"/>
  <c r="M247" i="47"/>
  <c r="L247" i="47"/>
  <c r="K247" i="47"/>
  <c r="J247" i="47"/>
  <c r="H247" i="47"/>
  <c r="G247" i="47"/>
  <c r="F247" i="47"/>
  <c r="C247" i="47"/>
  <c r="A247" i="47"/>
  <c r="U246" i="47"/>
  <c r="T246" i="47"/>
  <c r="P246" i="47"/>
  <c r="A246" i="47"/>
  <c r="U245" i="47"/>
  <c r="T245" i="47"/>
  <c r="V245" i="47" s="1"/>
  <c r="A245" i="47"/>
  <c r="U244" i="47"/>
  <c r="T244" i="47"/>
  <c r="N244" i="47"/>
  <c r="L244" i="47"/>
  <c r="K244" i="47"/>
  <c r="F244" i="47"/>
  <c r="E244" i="47"/>
  <c r="D244" i="47"/>
  <c r="O244" i="47" s="1"/>
  <c r="C244" i="47"/>
  <c r="B244" i="47"/>
  <c r="A244" i="47"/>
  <c r="U243" i="47"/>
  <c r="T243" i="47"/>
  <c r="N243" i="47"/>
  <c r="F243" i="47"/>
  <c r="C243" i="47"/>
  <c r="M243" i="47" s="1"/>
  <c r="A243" i="47"/>
  <c r="P243" i="47" s="1"/>
  <c r="Q243" i="47" s="1"/>
  <c r="U242" i="47"/>
  <c r="T242" i="47"/>
  <c r="P242" i="47"/>
  <c r="F242" i="47"/>
  <c r="A242" i="47"/>
  <c r="U241" i="47"/>
  <c r="T241" i="47"/>
  <c r="D241" i="47"/>
  <c r="B241" i="47"/>
  <c r="A241" i="47"/>
  <c r="U240" i="47"/>
  <c r="T240" i="47"/>
  <c r="V240" i="47" s="1"/>
  <c r="N240" i="47"/>
  <c r="M240" i="47"/>
  <c r="L240" i="47"/>
  <c r="K240" i="47"/>
  <c r="G240" i="47"/>
  <c r="F240" i="47"/>
  <c r="E240" i="47"/>
  <c r="D240" i="47"/>
  <c r="C240" i="47"/>
  <c r="J240" i="47" s="1"/>
  <c r="B240" i="47"/>
  <c r="A240" i="47"/>
  <c r="P240" i="47" s="1"/>
  <c r="U239" i="47"/>
  <c r="T239" i="47"/>
  <c r="A239" i="47"/>
  <c r="P239" i="47" s="1"/>
  <c r="U238" i="47"/>
  <c r="T238" i="47"/>
  <c r="P238" i="47"/>
  <c r="N238" i="47"/>
  <c r="L238" i="47"/>
  <c r="K238" i="47"/>
  <c r="F238" i="47"/>
  <c r="E238" i="47"/>
  <c r="D238" i="47"/>
  <c r="O238" i="47" s="1"/>
  <c r="C238" i="47"/>
  <c r="B238" i="47"/>
  <c r="A238" i="47"/>
  <c r="Q238" i="47" s="1"/>
  <c r="U237" i="47"/>
  <c r="T237" i="47"/>
  <c r="V237" i="47" s="1"/>
  <c r="P237" i="47"/>
  <c r="O237" i="47"/>
  <c r="F237" i="47"/>
  <c r="D237" i="47"/>
  <c r="B237" i="47"/>
  <c r="A237" i="47"/>
  <c r="U236" i="47"/>
  <c r="T236" i="47"/>
  <c r="M236" i="47"/>
  <c r="L236" i="47"/>
  <c r="F236" i="47"/>
  <c r="D236" i="47"/>
  <c r="C236" i="47"/>
  <c r="B236" i="47"/>
  <c r="A236" i="47"/>
  <c r="U235" i="47"/>
  <c r="T235" i="47"/>
  <c r="P235" i="47"/>
  <c r="A235" i="47"/>
  <c r="U234" i="47"/>
  <c r="T234" i="47"/>
  <c r="P234" i="47"/>
  <c r="N234" i="47"/>
  <c r="L234" i="47"/>
  <c r="F234" i="47"/>
  <c r="E234" i="47"/>
  <c r="D234" i="47"/>
  <c r="O234" i="47" s="1"/>
  <c r="C234" i="47"/>
  <c r="B234" i="47"/>
  <c r="K234" i="47" s="1"/>
  <c r="A234" i="47"/>
  <c r="U233" i="47"/>
  <c r="T233" i="47"/>
  <c r="P233" i="47"/>
  <c r="F233" i="47"/>
  <c r="D233" i="47"/>
  <c r="O233" i="47" s="1"/>
  <c r="B233" i="47"/>
  <c r="A233" i="47"/>
  <c r="U232" i="47"/>
  <c r="T232" i="47"/>
  <c r="V232" i="47" s="1"/>
  <c r="H232" i="47"/>
  <c r="F232" i="47"/>
  <c r="D232" i="47"/>
  <c r="C232" i="47"/>
  <c r="M232" i="47" s="1"/>
  <c r="B232" i="47"/>
  <c r="A232" i="47"/>
  <c r="U231" i="47"/>
  <c r="T231" i="47"/>
  <c r="P231" i="47"/>
  <c r="Q231" i="47" s="1"/>
  <c r="F231" i="47"/>
  <c r="A231" i="47"/>
  <c r="U230" i="47"/>
  <c r="T230" i="47"/>
  <c r="P230" i="47"/>
  <c r="N230" i="47"/>
  <c r="L230" i="47"/>
  <c r="K230" i="47"/>
  <c r="J230" i="47"/>
  <c r="F230" i="47"/>
  <c r="E230" i="47"/>
  <c r="D230" i="47"/>
  <c r="O230" i="47" s="1"/>
  <c r="C230" i="47"/>
  <c r="M230" i="47" s="1"/>
  <c r="B230" i="47"/>
  <c r="A230" i="47"/>
  <c r="U229" i="47"/>
  <c r="V229" i="47" s="1"/>
  <c r="T229" i="47"/>
  <c r="P229" i="47"/>
  <c r="O229" i="47"/>
  <c r="F229" i="47"/>
  <c r="D229" i="47"/>
  <c r="B229" i="47"/>
  <c r="A229" i="47"/>
  <c r="U228" i="47"/>
  <c r="T228" i="47"/>
  <c r="M228" i="47"/>
  <c r="L228" i="47"/>
  <c r="K228" i="47"/>
  <c r="J228" i="47"/>
  <c r="H228" i="47"/>
  <c r="F228" i="47"/>
  <c r="D228" i="47"/>
  <c r="C228" i="47"/>
  <c r="B228" i="47"/>
  <c r="A228" i="47"/>
  <c r="I228" i="47" s="1"/>
  <c r="U227" i="47"/>
  <c r="T227" i="47"/>
  <c r="F227" i="47"/>
  <c r="A227" i="47"/>
  <c r="U226" i="47"/>
  <c r="T226" i="47"/>
  <c r="P226" i="47"/>
  <c r="N226" i="47"/>
  <c r="L226" i="47"/>
  <c r="K226" i="47"/>
  <c r="F226" i="47"/>
  <c r="E226" i="47"/>
  <c r="D226" i="47"/>
  <c r="O226" i="47" s="1"/>
  <c r="C226" i="47"/>
  <c r="B226" i="47"/>
  <c r="A226" i="47"/>
  <c r="U225" i="47"/>
  <c r="T225" i="47"/>
  <c r="P225" i="47"/>
  <c r="O225" i="47"/>
  <c r="F225" i="47"/>
  <c r="D225" i="47"/>
  <c r="B225" i="47"/>
  <c r="A225" i="47"/>
  <c r="U224" i="47"/>
  <c r="T224" i="47"/>
  <c r="K224" i="47"/>
  <c r="F224" i="47"/>
  <c r="D224" i="47"/>
  <c r="C224" i="47"/>
  <c r="B224" i="47"/>
  <c r="A224" i="47"/>
  <c r="U223" i="47"/>
  <c r="T223" i="47"/>
  <c r="A223" i="47"/>
  <c r="U222" i="47"/>
  <c r="T222" i="47"/>
  <c r="P222" i="47"/>
  <c r="K222" i="47"/>
  <c r="F222" i="47"/>
  <c r="E222" i="47"/>
  <c r="D222" i="47"/>
  <c r="O222" i="47" s="1"/>
  <c r="C222" i="47"/>
  <c r="M222" i="47" s="1"/>
  <c r="B222" i="47"/>
  <c r="A222" i="47"/>
  <c r="Q222" i="47" s="1"/>
  <c r="U221" i="47"/>
  <c r="T221" i="47"/>
  <c r="P221" i="47"/>
  <c r="F221" i="47"/>
  <c r="D221" i="47"/>
  <c r="O221" i="47" s="1"/>
  <c r="B221" i="47"/>
  <c r="A221" i="47"/>
  <c r="U220" i="47"/>
  <c r="T220" i="47"/>
  <c r="M220" i="47"/>
  <c r="L220" i="47"/>
  <c r="K220" i="47"/>
  <c r="J220" i="47"/>
  <c r="H220" i="47"/>
  <c r="F220" i="47"/>
  <c r="D220" i="47"/>
  <c r="C220" i="47"/>
  <c r="B220" i="47"/>
  <c r="A220" i="47"/>
  <c r="U219" i="47"/>
  <c r="T219" i="47"/>
  <c r="F219" i="47"/>
  <c r="A219" i="47"/>
  <c r="P219" i="47" s="1"/>
  <c r="U218" i="47"/>
  <c r="T218" i="47"/>
  <c r="P218" i="47"/>
  <c r="N218" i="47"/>
  <c r="L218" i="47"/>
  <c r="J218" i="47"/>
  <c r="F218" i="47"/>
  <c r="D218" i="47"/>
  <c r="O218" i="47" s="1"/>
  <c r="C218" i="47"/>
  <c r="M218" i="47" s="1"/>
  <c r="B218" i="47"/>
  <c r="A218" i="47"/>
  <c r="U217" i="47"/>
  <c r="T217" i="47"/>
  <c r="V217" i="47" s="1"/>
  <c r="P217" i="47"/>
  <c r="F217" i="47"/>
  <c r="D217" i="47"/>
  <c r="O217" i="47" s="1"/>
  <c r="B217" i="47"/>
  <c r="A217" i="47"/>
  <c r="U216" i="47"/>
  <c r="V216" i="47" s="1"/>
  <c r="T216" i="47"/>
  <c r="L216" i="47"/>
  <c r="J216" i="47"/>
  <c r="H216" i="47"/>
  <c r="F216" i="47"/>
  <c r="D216" i="47"/>
  <c r="C216" i="47"/>
  <c r="B216" i="47"/>
  <c r="A216" i="47"/>
  <c r="U215" i="47"/>
  <c r="T215" i="47"/>
  <c r="P215" i="47"/>
  <c r="F215" i="47"/>
  <c r="B215" i="47"/>
  <c r="A215" i="47"/>
  <c r="U214" i="47"/>
  <c r="T214" i="47"/>
  <c r="P214" i="47"/>
  <c r="N214" i="47"/>
  <c r="L214" i="47"/>
  <c r="F214" i="47"/>
  <c r="E214" i="47"/>
  <c r="D214" i="47"/>
  <c r="O214" i="47" s="1"/>
  <c r="C214" i="47"/>
  <c r="M214" i="47" s="1"/>
  <c r="B214" i="47"/>
  <c r="K214" i="47" s="1"/>
  <c r="A214" i="47"/>
  <c r="U213" i="47"/>
  <c r="T213" i="47"/>
  <c r="P213" i="47"/>
  <c r="O213" i="47"/>
  <c r="F213" i="47"/>
  <c r="D213" i="47"/>
  <c r="B213" i="47"/>
  <c r="A213" i="47"/>
  <c r="U212" i="47"/>
  <c r="T212" i="47"/>
  <c r="V212" i="47" s="1"/>
  <c r="N212" i="47"/>
  <c r="M212" i="47"/>
  <c r="L212" i="47"/>
  <c r="K212" i="47"/>
  <c r="J212" i="47"/>
  <c r="F212" i="47"/>
  <c r="H212" i="47" s="1"/>
  <c r="D212" i="47"/>
  <c r="C212" i="47"/>
  <c r="B212" i="47"/>
  <c r="A212" i="47"/>
  <c r="I212" i="47" s="1"/>
  <c r="U211" i="47"/>
  <c r="T211" i="47"/>
  <c r="A211" i="47"/>
  <c r="U210" i="47"/>
  <c r="T210" i="47"/>
  <c r="P210" i="47"/>
  <c r="L210" i="47"/>
  <c r="J210" i="47"/>
  <c r="F210" i="47"/>
  <c r="E210" i="47"/>
  <c r="D210" i="47"/>
  <c r="O210" i="47" s="1"/>
  <c r="C210" i="47"/>
  <c r="M210" i="47" s="1"/>
  <c r="B210" i="47"/>
  <c r="K210" i="47" s="1"/>
  <c r="A210" i="47"/>
  <c r="U209" i="47"/>
  <c r="T209" i="47"/>
  <c r="V209" i="47" s="1"/>
  <c r="P209" i="47"/>
  <c r="N209" i="47"/>
  <c r="J209" i="47"/>
  <c r="I209" i="47"/>
  <c r="H209" i="47"/>
  <c r="G209" i="47"/>
  <c r="F209" i="47"/>
  <c r="D209" i="47"/>
  <c r="O209" i="47" s="1"/>
  <c r="C209" i="47"/>
  <c r="B209" i="47"/>
  <c r="A209" i="47"/>
  <c r="E209" i="47" s="1"/>
  <c r="U208" i="47"/>
  <c r="T208" i="47"/>
  <c r="K208" i="47"/>
  <c r="H208" i="47"/>
  <c r="F208" i="47"/>
  <c r="D208" i="47"/>
  <c r="C208" i="47"/>
  <c r="B208" i="47"/>
  <c r="A208" i="47"/>
  <c r="U207" i="47"/>
  <c r="T207" i="47"/>
  <c r="F207" i="47"/>
  <c r="A207" i="47"/>
  <c r="U206" i="47"/>
  <c r="T206" i="47"/>
  <c r="P206" i="47"/>
  <c r="F206" i="47"/>
  <c r="D206" i="47"/>
  <c r="O206" i="47" s="1"/>
  <c r="C206" i="47"/>
  <c r="N206" i="47" s="1"/>
  <c r="B206" i="47"/>
  <c r="A206" i="47"/>
  <c r="Q206" i="47" s="1"/>
  <c r="U205" i="47"/>
  <c r="T205" i="47"/>
  <c r="P205" i="47"/>
  <c r="N205" i="47"/>
  <c r="J205" i="47"/>
  <c r="I205" i="47"/>
  <c r="H205" i="47"/>
  <c r="G205" i="47"/>
  <c r="F205" i="47"/>
  <c r="D205" i="47"/>
  <c r="O205" i="47" s="1"/>
  <c r="C205" i="47"/>
  <c r="B205" i="47"/>
  <c r="A205" i="47"/>
  <c r="E205" i="47" s="1"/>
  <c r="U204" i="47"/>
  <c r="T204" i="47"/>
  <c r="V204" i="47" s="1"/>
  <c r="N204" i="47"/>
  <c r="M204" i="47"/>
  <c r="J204" i="47"/>
  <c r="H204" i="47"/>
  <c r="F204" i="47"/>
  <c r="L204" i="47" s="1"/>
  <c r="D204" i="47"/>
  <c r="C204" i="47"/>
  <c r="B204" i="47"/>
  <c r="K204" i="47" s="1"/>
  <c r="A204" i="47"/>
  <c r="I204" i="47" s="1"/>
  <c r="U203" i="47"/>
  <c r="T203" i="47"/>
  <c r="A203" i="47"/>
  <c r="U202" i="47"/>
  <c r="T202" i="47"/>
  <c r="P202" i="47"/>
  <c r="L202" i="47"/>
  <c r="K202" i="47"/>
  <c r="J202" i="47"/>
  <c r="F202" i="47"/>
  <c r="E202" i="47"/>
  <c r="D202" i="47"/>
  <c r="O202" i="47" s="1"/>
  <c r="C202" i="47"/>
  <c r="B202" i="47"/>
  <c r="A202" i="47"/>
  <c r="U201" i="47"/>
  <c r="T201" i="47"/>
  <c r="P201" i="47"/>
  <c r="N201" i="47"/>
  <c r="J201" i="47"/>
  <c r="I201" i="47"/>
  <c r="H201" i="47"/>
  <c r="G201" i="47"/>
  <c r="F201" i="47"/>
  <c r="D201" i="47"/>
  <c r="O201" i="47" s="1"/>
  <c r="C201" i="47"/>
  <c r="B201" i="47"/>
  <c r="A201" i="47"/>
  <c r="E201" i="47" s="1"/>
  <c r="U200" i="47"/>
  <c r="T200" i="47"/>
  <c r="V200" i="47" s="1"/>
  <c r="K200" i="47"/>
  <c r="H200" i="47"/>
  <c r="F200" i="47"/>
  <c r="L200" i="47" s="1"/>
  <c r="D200" i="47"/>
  <c r="O200" i="47" s="1"/>
  <c r="C200" i="47"/>
  <c r="B200" i="47"/>
  <c r="A200" i="47"/>
  <c r="U199" i="47"/>
  <c r="T199" i="47"/>
  <c r="A199" i="47"/>
  <c r="U198" i="47"/>
  <c r="T198" i="47"/>
  <c r="P198" i="47"/>
  <c r="F198" i="47"/>
  <c r="D198" i="47"/>
  <c r="O198" i="47" s="1"/>
  <c r="C198" i="47"/>
  <c r="N198" i="47" s="1"/>
  <c r="B198" i="47"/>
  <c r="A198" i="47"/>
  <c r="Q198" i="47" s="1"/>
  <c r="U197" i="47"/>
  <c r="T197" i="47"/>
  <c r="P197" i="47"/>
  <c r="F197" i="47"/>
  <c r="D197" i="47"/>
  <c r="O197" i="47" s="1"/>
  <c r="C197" i="47"/>
  <c r="N197" i="47" s="1"/>
  <c r="B197" i="47"/>
  <c r="G197" i="47" s="1"/>
  <c r="A197" i="47"/>
  <c r="U196" i="47"/>
  <c r="T196" i="47"/>
  <c r="M196" i="47"/>
  <c r="J196" i="47"/>
  <c r="F196" i="47"/>
  <c r="D196" i="47"/>
  <c r="O196" i="47" s="1"/>
  <c r="C196" i="47"/>
  <c r="E196" i="47" s="1"/>
  <c r="B196" i="47"/>
  <c r="A196" i="47"/>
  <c r="I196" i="47" s="1"/>
  <c r="U195" i="47"/>
  <c r="T195" i="47"/>
  <c r="P195" i="47"/>
  <c r="F195" i="47"/>
  <c r="A195" i="47"/>
  <c r="U194" i="47"/>
  <c r="T194" i="47"/>
  <c r="P194" i="47"/>
  <c r="O194" i="47"/>
  <c r="N194" i="47"/>
  <c r="L194" i="47"/>
  <c r="K194" i="47"/>
  <c r="J194" i="47"/>
  <c r="F194" i="47"/>
  <c r="E194" i="47"/>
  <c r="D194" i="47"/>
  <c r="C194" i="47"/>
  <c r="B194" i="47"/>
  <c r="A194" i="47"/>
  <c r="U193" i="47"/>
  <c r="T193" i="47"/>
  <c r="P193" i="47"/>
  <c r="N193" i="47"/>
  <c r="J193" i="47"/>
  <c r="H193" i="47"/>
  <c r="F193" i="47"/>
  <c r="D193" i="47"/>
  <c r="O193" i="47" s="1"/>
  <c r="C193" i="47"/>
  <c r="I193" i="47" s="1"/>
  <c r="B193" i="47"/>
  <c r="A193" i="47"/>
  <c r="E193" i="47" s="1"/>
  <c r="U192" i="47"/>
  <c r="T192" i="47"/>
  <c r="N192" i="47"/>
  <c r="J192" i="47"/>
  <c r="G192" i="47"/>
  <c r="F192" i="47"/>
  <c r="D192" i="47"/>
  <c r="O192" i="47" s="1"/>
  <c r="C192" i="47"/>
  <c r="E192" i="47" s="1"/>
  <c r="B192" i="47"/>
  <c r="A192" i="47"/>
  <c r="U191" i="47"/>
  <c r="T191" i="47"/>
  <c r="A191" i="47"/>
  <c r="U190" i="47"/>
  <c r="T190" i="47"/>
  <c r="V190" i="47" s="1"/>
  <c r="P190" i="47"/>
  <c r="O190" i="47"/>
  <c r="L190" i="47"/>
  <c r="F190" i="47"/>
  <c r="D190" i="47"/>
  <c r="C190" i="47"/>
  <c r="B190" i="47"/>
  <c r="A190" i="47"/>
  <c r="U189" i="47"/>
  <c r="T189" i="47"/>
  <c r="P189" i="47"/>
  <c r="N189" i="47"/>
  <c r="J189" i="47"/>
  <c r="I189" i="47"/>
  <c r="F189" i="47"/>
  <c r="D189" i="47"/>
  <c r="O189" i="47" s="1"/>
  <c r="C189" i="47"/>
  <c r="H189" i="47" s="1"/>
  <c r="B189" i="47"/>
  <c r="G189" i="47" s="1"/>
  <c r="A189" i="47"/>
  <c r="U188" i="47"/>
  <c r="T188" i="47"/>
  <c r="M188" i="47"/>
  <c r="H188" i="47"/>
  <c r="F188" i="47"/>
  <c r="D188" i="47"/>
  <c r="O188" i="47" s="1"/>
  <c r="C188" i="47"/>
  <c r="E188" i="47" s="1"/>
  <c r="B188" i="47"/>
  <c r="A188" i="47"/>
  <c r="U187" i="47"/>
  <c r="T187" i="47"/>
  <c r="A187" i="47"/>
  <c r="U186" i="47"/>
  <c r="T186" i="47"/>
  <c r="P186" i="47"/>
  <c r="O186" i="47"/>
  <c r="L186" i="47"/>
  <c r="F186" i="47"/>
  <c r="E186" i="47"/>
  <c r="D186" i="47"/>
  <c r="C186" i="47"/>
  <c r="N186" i="47" s="1"/>
  <c r="B186" i="47"/>
  <c r="A186" i="47"/>
  <c r="Q186" i="47" s="1"/>
  <c r="U185" i="47"/>
  <c r="T185" i="47"/>
  <c r="F185" i="47"/>
  <c r="A185" i="47"/>
  <c r="U184" i="47"/>
  <c r="T184" i="47"/>
  <c r="M184" i="47"/>
  <c r="J184" i="47"/>
  <c r="F184" i="47"/>
  <c r="E184" i="47"/>
  <c r="D184" i="47"/>
  <c r="O184" i="47" s="1"/>
  <c r="C184" i="47"/>
  <c r="H184" i="47" s="1"/>
  <c r="B184" i="47"/>
  <c r="A184" i="47"/>
  <c r="I184" i="47" s="1"/>
  <c r="U183" i="47"/>
  <c r="T183" i="47"/>
  <c r="F183" i="47"/>
  <c r="A183" i="47"/>
  <c r="U182" i="47"/>
  <c r="T182" i="47"/>
  <c r="P182" i="47"/>
  <c r="N182" i="47"/>
  <c r="K182" i="47"/>
  <c r="F182" i="47"/>
  <c r="D182" i="47"/>
  <c r="O182" i="47" s="1"/>
  <c r="C182" i="47"/>
  <c r="M182" i="47" s="1"/>
  <c r="B182" i="47"/>
  <c r="A182" i="47"/>
  <c r="U181" i="47"/>
  <c r="T181" i="47"/>
  <c r="V181" i="47" s="1"/>
  <c r="I181" i="47"/>
  <c r="D181" i="47"/>
  <c r="O181" i="47" s="1"/>
  <c r="C181" i="47"/>
  <c r="A181" i="47"/>
  <c r="U180" i="47"/>
  <c r="T180" i="47"/>
  <c r="L180" i="47"/>
  <c r="H180" i="47"/>
  <c r="F180" i="47"/>
  <c r="D180" i="47"/>
  <c r="O180" i="47" s="1"/>
  <c r="C180" i="47"/>
  <c r="G180" i="47" s="1"/>
  <c r="B180" i="47"/>
  <c r="A180" i="47"/>
  <c r="U179" i="47"/>
  <c r="T179" i="47"/>
  <c r="F179" i="47"/>
  <c r="B179" i="47"/>
  <c r="A179" i="47"/>
  <c r="P179" i="47" s="1"/>
  <c r="U178" i="47"/>
  <c r="T178" i="47"/>
  <c r="P178" i="47"/>
  <c r="F178" i="47"/>
  <c r="D178" i="47"/>
  <c r="O178" i="47" s="1"/>
  <c r="C178" i="47"/>
  <c r="B178" i="47"/>
  <c r="A178" i="47"/>
  <c r="U177" i="47"/>
  <c r="T177" i="47"/>
  <c r="D177" i="47"/>
  <c r="C177" i="47"/>
  <c r="B177" i="47"/>
  <c r="A177" i="47"/>
  <c r="P177" i="47" s="1"/>
  <c r="Q177" i="47" s="1"/>
  <c r="U176" i="47"/>
  <c r="T176" i="47"/>
  <c r="F176" i="47"/>
  <c r="D176" i="47"/>
  <c r="O176" i="47" s="1"/>
  <c r="C176" i="47"/>
  <c r="B176" i="47"/>
  <c r="A176" i="47"/>
  <c r="U175" i="47"/>
  <c r="T175" i="47"/>
  <c r="P175" i="47"/>
  <c r="F175" i="47"/>
  <c r="B175" i="47"/>
  <c r="A175" i="47"/>
  <c r="Q175" i="47" s="1"/>
  <c r="U174" i="47"/>
  <c r="T174" i="47"/>
  <c r="P174" i="47"/>
  <c r="O174" i="47"/>
  <c r="F174" i="47"/>
  <c r="D174" i="47"/>
  <c r="C174" i="47"/>
  <c r="B174" i="47"/>
  <c r="A174" i="47"/>
  <c r="Q174" i="47" s="1"/>
  <c r="U173" i="47"/>
  <c r="T173" i="47"/>
  <c r="V173" i="47" s="1"/>
  <c r="P173" i="47"/>
  <c r="C173" i="47"/>
  <c r="J173" i="47" s="1"/>
  <c r="B173" i="47"/>
  <c r="G173" i="47" s="1"/>
  <c r="A173" i="47"/>
  <c r="U172" i="47"/>
  <c r="T172" i="47"/>
  <c r="F172" i="47"/>
  <c r="D172" i="47"/>
  <c r="O172" i="47" s="1"/>
  <c r="C172" i="47"/>
  <c r="B172" i="47"/>
  <c r="A172" i="47"/>
  <c r="U171" i="47"/>
  <c r="T171" i="47"/>
  <c r="H171" i="47"/>
  <c r="F171" i="47"/>
  <c r="C171" i="47"/>
  <c r="B171" i="47"/>
  <c r="A171" i="47"/>
  <c r="P171" i="47" s="1"/>
  <c r="U170" i="47"/>
  <c r="T170" i="47"/>
  <c r="P170" i="47"/>
  <c r="F170" i="47"/>
  <c r="D170" i="47"/>
  <c r="O170" i="47" s="1"/>
  <c r="C170" i="47"/>
  <c r="B170" i="47"/>
  <c r="A170" i="47"/>
  <c r="U169" i="47"/>
  <c r="T169" i="47"/>
  <c r="F169" i="47"/>
  <c r="D169" i="47"/>
  <c r="A169" i="47"/>
  <c r="P169" i="47" s="1"/>
  <c r="U168" i="47"/>
  <c r="V168" i="47" s="1"/>
  <c r="T168" i="47"/>
  <c r="M168" i="47"/>
  <c r="J168" i="47"/>
  <c r="G168" i="47"/>
  <c r="F168" i="47"/>
  <c r="E168" i="47"/>
  <c r="D168" i="47"/>
  <c r="O168" i="47" s="1"/>
  <c r="C168" i="47"/>
  <c r="B168" i="47"/>
  <c r="A168" i="47"/>
  <c r="I168" i="47" s="1"/>
  <c r="U167" i="47"/>
  <c r="T167" i="47"/>
  <c r="A167" i="47"/>
  <c r="U166" i="47"/>
  <c r="T166" i="47"/>
  <c r="P166" i="47"/>
  <c r="L166" i="47"/>
  <c r="J166" i="47"/>
  <c r="F166" i="47"/>
  <c r="E166" i="47"/>
  <c r="D166" i="47"/>
  <c r="O166" i="47" s="1"/>
  <c r="C166" i="47"/>
  <c r="I166" i="47" s="1"/>
  <c r="B166" i="47"/>
  <c r="G166" i="47" s="1"/>
  <c r="A166" i="47"/>
  <c r="U165" i="47"/>
  <c r="T165" i="47"/>
  <c r="V165" i="47" s="1"/>
  <c r="A165" i="47"/>
  <c r="U164" i="47"/>
  <c r="T164" i="47"/>
  <c r="M164" i="47"/>
  <c r="K164" i="47"/>
  <c r="J164" i="47"/>
  <c r="H164" i="47"/>
  <c r="G164" i="47"/>
  <c r="F164" i="47"/>
  <c r="E164" i="47"/>
  <c r="D164" i="47"/>
  <c r="O164" i="47" s="1"/>
  <c r="C164" i="47"/>
  <c r="L164" i="47" s="1"/>
  <c r="B164" i="47"/>
  <c r="A164" i="47"/>
  <c r="U163" i="47"/>
  <c r="T163" i="47"/>
  <c r="V163" i="47" s="1"/>
  <c r="L163" i="47"/>
  <c r="K163" i="47"/>
  <c r="J163" i="47"/>
  <c r="I163" i="47"/>
  <c r="F163" i="47"/>
  <c r="H163" i="47" s="1"/>
  <c r="C163" i="47"/>
  <c r="B163" i="47"/>
  <c r="G163" i="47" s="1"/>
  <c r="A163" i="47"/>
  <c r="U162" i="47"/>
  <c r="T162" i="47"/>
  <c r="P162" i="47"/>
  <c r="O162" i="47"/>
  <c r="L162" i="47"/>
  <c r="F162" i="47"/>
  <c r="D162" i="47"/>
  <c r="C162" i="47"/>
  <c r="B162" i="47"/>
  <c r="A162" i="47"/>
  <c r="Q162" i="47" s="1"/>
  <c r="U161" i="47"/>
  <c r="T161" i="47"/>
  <c r="F161" i="47"/>
  <c r="D161" i="47"/>
  <c r="O161" i="47" s="1"/>
  <c r="A161" i="47"/>
  <c r="U160" i="47"/>
  <c r="T160" i="47"/>
  <c r="N160" i="47"/>
  <c r="M160" i="47"/>
  <c r="L160" i="47"/>
  <c r="K160" i="47"/>
  <c r="J160" i="47"/>
  <c r="H160" i="47"/>
  <c r="G160" i="47"/>
  <c r="F160" i="47"/>
  <c r="E160" i="47"/>
  <c r="D160" i="47"/>
  <c r="O160" i="47" s="1"/>
  <c r="C160" i="47"/>
  <c r="B160" i="47"/>
  <c r="A160" i="47"/>
  <c r="U159" i="47"/>
  <c r="T159" i="47"/>
  <c r="V159" i="47" s="1"/>
  <c r="P159" i="47"/>
  <c r="N159" i="47"/>
  <c r="L159" i="47"/>
  <c r="K159" i="47"/>
  <c r="J159" i="47"/>
  <c r="I159" i="47"/>
  <c r="H159" i="47"/>
  <c r="G159" i="47"/>
  <c r="F159" i="47"/>
  <c r="C159" i="47"/>
  <c r="B159" i="47"/>
  <c r="A159" i="47"/>
  <c r="U158" i="47"/>
  <c r="T158" i="47"/>
  <c r="P158" i="47"/>
  <c r="O158" i="47"/>
  <c r="N158" i="47"/>
  <c r="M158" i="47"/>
  <c r="J158" i="47"/>
  <c r="G158" i="47"/>
  <c r="F158" i="47"/>
  <c r="D158" i="47"/>
  <c r="C158" i="47"/>
  <c r="I158" i="47" s="1"/>
  <c r="B158" i="47"/>
  <c r="A158" i="47"/>
  <c r="U157" i="47"/>
  <c r="T157" i="47"/>
  <c r="P157" i="47"/>
  <c r="Q157" i="47" s="1"/>
  <c r="A157" i="47"/>
  <c r="U156" i="47"/>
  <c r="T156" i="47"/>
  <c r="O156" i="47"/>
  <c r="N156" i="47"/>
  <c r="M156" i="47"/>
  <c r="L156" i="47"/>
  <c r="K156" i="47"/>
  <c r="J156" i="47"/>
  <c r="H156" i="47"/>
  <c r="G156" i="47"/>
  <c r="F156" i="47"/>
  <c r="E156" i="47"/>
  <c r="D156" i="47"/>
  <c r="C156" i="47"/>
  <c r="B156" i="47"/>
  <c r="A156" i="47"/>
  <c r="U155" i="47"/>
  <c r="T155" i="47"/>
  <c r="P155" i="47"/>
  <c r="Q155" i="47" s="1"/>
  <c r="N155" i="47"/>
  <c r="L155" i="47"/>
  <c r="J155" i="47"/>
  <c r="I155" i="47"/>
  <c r="H155" i="47"/>
  <c r="G155" i="47"/>
  <c r="F155" i="47"/>
  <c r="C155" i="47"/>
  <c r="B155" i="47"/>
  <c r="K155" i="47" s="1"/>
  <c r="A155" i="47"/>
  <c r="U154" i="47"/>
  <c r="T154" i="47"/>
  <c r="P154" i="47"/>
  <c r="O154" i="47"/>
  <c r="M154" i="47"/>
  <c r="K154" i="47"/>
  <c r="F154" i="47"/>
  <c r="D154" i="47"/>
  <c r="C154" i="47"/>
  <c r="L154" i="47" s="1"/>
  <c r="B154" i="47"/>
  <c r="A154" i="47"/>
  <c r="U153" i="47"/>
  <c r="T153" i="47"/>
  <c r="N153" i="47"/>
  <c r="K153" i="47"/>
  <c r="E153" i="47"/>
  <c r="C153" i="47"/>
  <c r="B153" i="47"/>
  <c r="A153" i="47"/>
  <c r="U152" i="47"/>
  <c r="T152" i="47"/>
  <c r="G152" i="47"/>
  <c r="F152" i="47"/>
  <c r="D152" i="47"/>
  <c r="O152" i="47" s="1"/>
  <c r="C152" i="47"/>
  <c r="B152" i="47"/>
  <c r="M152" i="47" s="1"/>
  <c r="A152" i="47"/>
  <c r="U151" i="47"/>
  <c r="T151" i="47"/>
  <c r="P151" i="47"/>
  <c r="F151" i="47"/>
  <c r="C151" i="47"/>
  <c r="G151" i="47" s="1"/>
  <c r="A151" i="47"/>
  <c r="U150" i="47"/>
  <c r="T150" i="47"/>
  <c r="B150" i="47"/>
  <c r="A150" i="47"/>
  <c r="U149" i="47"/>
  <c r="T149" i="47"/>
  <c r="N149" i="47"/>
  <c r="J149" i="47"/>
  <c r="H149" i="47"/>
  <c r="G149" i="47"/>
  <c r="F149" i="47"/>
  <c r="E149" i="47"/>
  <c r="D149" i="47"/>
  <c r="C149" i="47"/>
  <c r="B149" i="47"/>
  <c r="I149" i="47" s="1"/>
  <c r="A149" i="47"/>
  <c r="P149" i="47" s="1"/>
  <c r="U148" i="47"/>
  <c r="T148" i="47"/>
  <c r="N148" i="47"/>
  <c r="K148" i="47"/>
  <c r="J148" i="47"/>
  <c r="I148" i="47"/>
  <c r="H148" i="47"/>
  <c r="G148" i="47"/>
  <c r="F148" i="47"/>
  <c r="L148" i="47" s="1"/>
  <c r="E148" i="47"/>
  <c r="D148" i="47"/>
  <c r="O148" i="47" s="1"/>
  <c r="C148" i="47"/>
  <c r="M148" i="47" s="1"/>
  <c r="B148" i="47"/>
  <c r="A148" i="47"/>
  <c r="U147" i="47"/>
  <c r="T147" i="47"/>
  <c r="N147" i="47"/>
  <c r="M147" i="47"/>
  <c r="L147" i="47"/>
  <c r="J147" i="47"/>
  <c r="I147" i="47"/>
  <c r="H147" i="47"/>
  <c r="G147" i="47"/>
  <c r="F147" i="47"/>
  <c r="C147" i="47"/>
  <c r="B147" i="47"/>
  <c r="K147" i="47" s="1"/>
  <c r="A147" i="47"/>
  <c r="U146" i="47"/>
  <c r="T146" i="47"/>
  <c r="D146" i="47"/>
  <c r="A146" i="47"/>
  <c r="P146" i="47" s="1"/>
  <c r="Q146" i="47" s="1"/>
  <c r="U145" i="47"/>
  <c r="T145" i="47"/>
  <c r="P145" i="47"/>
  <c r="A145" i="47"/>
  <c r="U144" i="47"/>
  <c r="T144" i="47"/>
  <c r="O144" i="47"/>
  <c r="N144" i="47"/>
  <c r="M144" i="47"/>
  <c r="K144" i="47"/>
  <c r="F144" i="47"/>
  <c r="D144" i="47"/>
  <c r="C144" i="47"/>
  <c r="L144" i="47" s="1"/>
  <c r="B144" i="47"/>
  <c r="A144" i="47"/>
  <c r="U143" i="47"/>
  <c r="T143" i="47"/>
  <c r="P143" i="47"/>
  <c r="F143" i="47"/>
  <c r="B143" i="47"/>
  <c r="A143" i="47"/>
  <c r="U142" i="47"/>
  <c r="T142" i="47"/>
  <c r="F142" i="47"/>
  <c r="D142" i="47"/>
  <c r="C142" i="47"/>
  <c r="A142" i="47"/>
  <c r="U141" i="47"/>
  <c r="T141" i="47"/>
  <c r="V141" i="47" s="1"/>
  <c r="A141" i="47"/>
  <c r="U140" i="47"/>
  <c r="T140" i="47"/>
  <c r="L140" i="47"/>
  <c r="H140" i="47"/>
  <c r="F140" i="47"/>
  <c r="E140" i="47"/>
  <c r="D140" i="47"/>
  <c r="O140" i="47" s="1"/>
  <c r="C140" i="47"/>
  <c r="G140" i="47" s="1"/>
  <c r="B140" i="47"/>
  <c r="I140" i="47" s="1"/>
  <c r="A140" i="47"/>
  <c r="N140" i="47" s="1"/>
  <c r="U139" i="47"/>
  <c r="T139" i="47"/>
  <c r="A139" i="47"/>
  <c r="U138" i="47"/>
  <c r="T138" i="47"/>
  <c r="V138" i="47" s="1"/>
  <c r="P138" i="47"/>
  <c r="O138" i="47"/>
  <c r="D138" i="47"/>
  <c r="A138" i="47"/>
  <c r="U137" i="47"/>
  <c r="T137" i="47"/>
  <c r="Q137" i="47"/>
  <c r="P137" i="47"/>
  <c r="B137" i="47"/>
  <c r="A137" i="47"/>
  <c r="U136" i="47"/>
  <c r="T136" i="47"/>
  <c r="N136" i="47"/>
  <c r="M136" i="47"/>
  <c r="J136" i="47"/>
  <c r="E136" i="47"/>
  <c r="D136" i="47"/>
  <c r="O136" i="47" s="1"/>
  <c r="C136" i="47"/>
  <c r="B136" i="47"/>
  <c r="G136" i="47" s="1"/>
  <c r="A136" i="47"/>
  <c r="U135" i="47"/>
  <c r="T135" i="47"/>
  <c r="A135" i="47"/>
  <c r="U134" i="47"/>
  <c r="T134" i="47"/>
  <c r="P134" i="47"/>
  <c r="Q134" i="47" s="1"/>
  <c r="F134" i="47"/>
  <c r="D134" i="47"/>
  <c r="C134" i="47"/>
  <c r="J134" i="47" s="1"/>
  <c r="B134" i="47"/>
  <c r="A134" i="47"/>
  <c r="O134" i="47" s="1"/>
  <c r="U133" i="47"/>
  <c r="V133" i="47" s="1"/>
  <c r="T133" i="47"/>
  <c r="P133" i="47"/>
  <c r="N133" i="47"/>
  <c r="M133" i="47"/>
  <c r="J133" i="47"/>
  <c r="I133" i="47"/>
  <c r="H133" i="47"/>
  <c r="G133" i="47"/>
  <c r="F133" i="47"/>
  <c r="E133" i="47"/>
  <c r="D133" i="47"/>
  <c r="C133" i="47"/>
  <c r="B133" i="47"/>
  <c r="K133" i="47" s="1"/>
  <c r="A133" i="47"/>
  <c r="Q133" i="47" s="1"/>
  <c r="U132" i="47"/>
  <c r="T132" i="47"/>
  <c r="Q132" i="47"/>
  <c r="O132" i="47"/>
  <c r="N132" i="47"/>
  <c r="M132" i="47"/>
  <c r="L132" i="47"/>
  <c r="K132" i="47"/>
  <c r="J132" i="47"/>
  <c r="H132" i="47"/>
  <c r="G132" i="47"/>
  <c r="F132" i="47"/>
  <c r="E132" i="47"/>
  <c r="D132" i="47"/>
  <c r="C132" i="47"/>
  <c r="B132" i="47"/>
  <c r="I132" i="47" s="1"/>
  <c r="A132" i="47"/>
  <c r="P132" i="47" s="1"/>
  <c r="U131" i="47"/>
  <c r="T131" i="47"/>
  <c r="A131" i="47"/>
  <c r="U130" i="47"/>
  <c r="T130" i="47"/>
  <c r="P130" i="47"/>
  <c r="M130" i="47"/>
  <c r="D130" i="47"/>
  <c r="C130" i="47"/>
  <c r="G130" i="47" s="1"/>
  <c r="B130" i="47"/>
  <c r="A130" i="47"/>
  <c r="Q130" i="47" s="1"/>
  <c r="U129" i="47"/>
  <c r="V129" i="47" s="1"/>
  <c r="T129" i="47"/>
  <c r="A129" i="47"/>
  <c r="U128" i="47"/>
  <c r="T128" i="47"/>
  <c r="Q128" i="47"/>
  <c r="F128" i="47"/>
  <c r="D128" i="47"/>
  <c r="O128" i="47" s="1"/>
  <c r="C128" i="47"/>
  <c r="G128" i="47" s="1"/>
  <c r="B128" i="47"/>
  <c r="A128" i="47"/>
  <c r="P128" i="47" s="1"/>
  <c r="U127" i="47"/>
  <c r="T127" i="47"/>
  <c r="P127" i="47"/>
  <c r="B127" i="47"/>
  <c r="A127" i="47"/>
  <c r="U126" i="47"/>
  <c r="V126" i="47" s="1"/>
  <c r="T126" i="47"/>
  <c r="P126" i="47"/>
  <c r="Q126" i="47" s="1"/>
  <c r="N126" i="47"/>
  <c r="M126" i="47"/>
  <c r="L126" i="47"/>
  <c r="J126" i="47"/>
  <c r="I126" i="47"/>
  <c r="G126" i="47"/>
  <c r="F126" i="47"/>
  <c r="E126" i="47"/>
  <c r="D126" i="47"/>
  <c r="O126" i="47" s="1"/>
  <c r="C126" i="47"/>
  <c r="B126" i="47"/>
  <c r="K126" i="47" s="1"/>
  <c r="A126" i="47"/>
  <c r="U125" i="47"/>
  <c r="T125" i="47"/>
  <c r="G125" i="47"/>
  <c r="E125" i="47"/>
  <c r="C125" i="47"/>
  <c r="B125" i="47"/>
  <c r="K125" i="47" s="1"/>
  <c r="A125" i="47"/>
  <c r="P125" i="47" s="1"/>
  <c r="Q125" i="47" s="1"/>
  <c r="U124" i="47"/>
  <c r="T124" i="47"/>
  <c r="N124" i="47"/>
  <c r="J124" i="47"/>
  <c r="E124" i="47"/>
  <c r="D124" i="47"/>
  <c r="C124" i="47"/>
  <c r="B124" i="47"/>
  <c r="A124" i="47"/>
  <c r="O124" i="47" s="1"/>
  <c r="U123" i="47"/>
  <c r="T123" i="47"/>
  <c r="C123" i="47"/>
  <c r="A123" i="47"/>
  <c r="U122" i="47"/>
  <c r="T122" i="47"/>
  <c r="P122" i="47"/>
  <c r="L122" i="47"/>
  <c r="I122" i="47"/>
  <c r="E122" i="47"/>
  <c r="D122" i="47"/>
  <c r="C122" i="47"/>
  <c r="B122" i="47"/>
  <c r="A122" i="47"/>
  <c r="Q122" i="47" s="1"/>
  <c r="U121" i="47"/>
  <c r="T121" i="47"/>
  <c r="J121" i="47"/>
  <c r="G121" i="47"/>
  <c r="F121" i="47"/>
  <c r="N121" i="47" s="1"/>
  <c r="E121" i="47"/>
  <c r="D121" i="47"/>
  <c r="O121" i="47" s="1"/>
  <c r="C121" i="47"/>
  <c r="I121" i="47" s="1"/>
  <c r="B121" i="47"/>
  <c r="A121" i="47"/>
  <c r="U120" i="47"/>
  <c r="T120" i="47"/>
  <c r="I120" i="47"/>
  <c r="F120" i="47"/>
  <c r="C120" i="47"/>
  <c r="A120" i="47"/>
  <c r="U119" i="47"/>
  <c r="T119" i="47"/>
  <c r="J119" i="47"/>
  <c r="H119" i="47"/>
  <c r="F119" i="47"/>
  <c r="C119" i="47"/>
  <c r="N119" i="47" s="1"/>
  <c r="B119" i="47"/>
  <c r="A119" i="47"/>
  <c r="P119" i="47" s="1"/>
  <c r="U118" i="47"/>
  <c r="T118" i="47"/>
  <c r="K118" i="47"/>
  <c r="F118" i="47"/>
  <c r="D118" i="47"/>
  <c r="O118" i="47" s="1"/>
  <c r="C118" i="47"/>
  <c r="L118" i="47" s="1"/>
  <c r="A118" i="47"/>
  <c r="U117" i="47"/>
  <c r="T117" i="47"/>
  <c r="V117" i="47" s="1"/>
  <c r="P117" i="47"/>
  <c r="Q117" i="47" s="1"/>
  <c r="N117" i="47"/>
  <c r="K117" i="47"/>
  <c r="I117" i="47"/>
  <c r="H117" i="47"/>
  <c r="G117" i="47"/>
  <c r="F117" i="47"/>
  <c r="E117" i="47"/>
  <c r="D117" i="47"/>
  <c r="C117" i="47"/>
  <c r="B117" i="47"/>
  <c r="A117" i="47"/>
  <c r="U116" i="47"/>
  <c r="T116" i="47"/>
  <c r="F116" i="47"/>
  <c r="A116" i="47"/>
  <c r="U115" i="47"/>
  <c r="T115" i="47"/>
  <c r="O115" i="47"/>
  <c r="N115" i="47"/>
  <c r="M115" i="47"/>
  <c r="L115" i="47"/>
  <c r="K115" i="47"/>
  <c r="J115" i="47"/>
  <c r="H115" i="47"/>
  <c r="G115" i="47"/>
  <c r="F115" i="47"/>
  <c r="E115" i="47"/>
  <c r="C115" i="47"/>
  <c r="B115" i="47"/>
  <c r="I115" i="47" s="1"/>
  <c r="A115" i="47"/>
  <c r="D115" i="47" s="1"/>
  <c r="U114" i="47"/>
  <c r="T114" i="47"/>
  <c r="P114" i="47"/>
  <c r="A114" i="47"/>
  <c r="U113" i="47"/>
  <c r="T113" i="47"/>
  <c r="P113" i="47"/>
  <c r="K113" i="47"/>
  <c r="G113" i="47"/>
  <c r="C113" i="47"/>
  <c r="A113" i="47"/>
  <c r="J113" i="47" s="1"/>
  <c r="U112" i="47"/>
  <c r="T112" i="47"/>
  <c r="A112" i="47"/>
  <c r="U111" i="47"/>
  <c r="T111" i="47"/>
  <c r="P111" i="47"/>
  <c r="C111" i="47"/>
  <c r="G111" i="47" s="1"/>
  <c r="B111" i="47"/>
  <c r="A111" i="47"/>
  <c r="U110" i="47"/>
  <c r="T110" i="47"/>
  <c r="I110" i="47"/>
  <c r="E110" i="47"/>
  <c r="D110" i="47"/>
  <c r="O110" i="47" s="1"/>
  <c r="C110" i="47"/>
  <c r="B110" i="47"/>
  <c r="A110" i="47"/>
  <c r="P110" i="47" s="1"/>
  <c r="Q110" i="47" s="1"/>
  <c r="U109" i="47"/>
  <c r="T109" i="47"/>
  <c r="F109" i="47"/>
  <c r="A109" i="47"/>
  <c r="P109" i="47" s="1"/>
  <c r="U108" i="47"/>
  <c r="T108" i="47"/>
  <c r="A108" i="47"/>
  <c r="D108" i="47" s="1"/>
  <c r="O108" i="47" s="1"/>
  <c r="U107" i="47"/>
  <c r="T107" i="47"/>
  <c r="C107" i="47"/>
  <c r="K107" i="47" s="1"/>
  <c r="A107" i="47"/>
  <c r="P107" i="47" s="1"/>
  <c r="U106" i="47"/>
  <c r="T106" i="47"/>
  <c r="A106" i="47"/>
  <c r="F106" i="47" s="1"/>
  <c r="U105" i="47"/>
  <c r="T105" i="47"/>
  <c r="P105" i="47"/>
  <c r="J105" i="47"/>
  <c r="H105" i="47"/>
  <c r="G105" i="47"/>
  <c r="C105" i="47"/>
  <c r="A105" i="47"/>
  <c r="U104" i="47"/>
  <c r="T104" i="47"/>
  <c r="O104" i="47"/>
  <c r="M104" i="47"/>
  <c r="L104" i="47"/>
  <c r="J104" i="47"/>
  <c r="I104" i="47"/>
  <c r="G104" i="47"/>
  <c r="F104" i="47"/>
  <c r="E104" i="47"/>
  <c r="D104" i="47"/>
  <c r="C104" i="47"/>
  <c r="H104" i="47" s="1"/>
  <c r="B104" i="47"/>
  <c r="K104" i="47" s="1"/>
  <c r="A104" i="47"/>
  <c r="U103" i="47"/>
  <c r="T103" i="47"/>
  <c r="P103" i="47"/>
  <c r="N103" i="47"/>
  <c r="L103" i="47"/>
  <c r="K103" i="47"/>
  <c r="G103" i="47"/>
  <c r="F103" i="47"/>
  <c r="C103" i="47"/>
  <c r="I103" i="47" s="1"/>
  <c r="A103" i="47"/>
  <c r="U102" i="47"/>
  <c r="T102" i="47"/>
  <c r="A102" i="47"/>
  <c r="D102" i="47" s="1"/>
  <c r="U101" i="47"/>
  <c r="T101" i="47"/>
  <c r="Q101" i="47"/>
  <c r="P101" i="47"/>
  <c r="L101" i="47"/>
  <c r="I101" i="47"/>
  <c r="E101" i="47"/>
  <c r="D101" i="47"/>
  <c r="C101" i="47"/>
  <c r="K101" i="47" s="1"/>
  <c r="B101" i="47"/>
  <c r="A101" i="47"/>
  <c r="O101" i="47" s="1"/>
  <c r="U100" i="47"/>
  <c r="T100" i="47"/>
  <c r="O100" i="47"/>
  <c r="G100" i="47"/>
  <c r="F100" i="47"/>
  <c r="D100" i="47"/>
  <c r="C100" i="47"/>
  <c r="K100" i="47" s="1"/>
  <c r="B100" i="47"/>
  <c r="A100" i="47"/>
  <c r="P100" i="47" s="1"/>
  <c r="Q100" i="47" s="1"/>
  <c r="U99" i="47"/>
  <c r="T99" i="47"/>
  <c r="F99" i="47"/>
  <c r="A99" i="47"/>
  <c r="P99" i="47" s="1"/>
  <c r="U98" i="47"/>
  <c r="T98" i="47"/>
  <c r="N98" i="47"/>
  <c r="M98" i="47"/>
  <c r="K98" i="47"/>
  <c r="I98" i="47"/>
  <c r="H98" i="47"/>
  <c r="F98" i="47"/>
  <c r="C98" i="47"/>
  <c r="L98" i="47" s="1"/>
  <c r="B98" i="47"/>
  <c r="A98" i="47"/>
  <c r="D98" i="47" s="1"/>
  <c r="O98" i="47" s="1"/>
  <c r="U97" i="47"/>
  <c r="T97" i="47"/>
  <c r="V97" i="47" s="1"/>
  <c r="P97" i="47"/>
  <c r="Q97" i="47" s="1"/>
  <c r="N97" i="47"/>
  <c r="M97" i="47"/>
  <c r="L97" i="47"/>
  <c r="K97" i="47"/>
  <c r="F97" i="47"/>
  <c r="D97" i="47"/>
  <c r="O97" i="47" s="1"/>
  <c r="C97" i="47"/>
  <c r="A97" i="47"/>
  <c r="J97" i="47" s="1"/>
  <c r="U96" i="47"/>
  <c r="T96" i="47"/>
  <c r="P96" i="47"/>
  <c r="N96" i="47"/>
  <c r="F96" i="47"/>
  <c r="C96" i="47"/>
  <c r="K96" i="47" s="1"/>
  <c r="B96" i="47"/>
  <c r="A96" i="47"/>
  <c r="M96" i="47" s="1"/>
  <c r="U95" i="47"/>
  <c r="T95" i="47"/>
  <c r="A95" i="47"/>
  <c r="P95" i="47" s="1"/>
  <c r="U94" i="47"/>
  <c r="T94" i="47"/>
  <c r="O94" i="47"/>
  <c r="H94" i="47"/>
  <c r="F94" i="47"/>
  <c r="C94" i="47"/>
  <c r="L94" i="47" s="1"/>
  <c r="B94" i="47"/>
  <c r="A94" i="47"/>
  <c r="D94" i="47" s="1"/>
  <c r="U93" i="47"/>
  <c r="T93" i="47"/>
  <c r="V93" i="47" s="1"/>
  <c r="F93" i="47"/>
  <c r="A93" i="47"/>
  <c r="U92" i="47"/>
  <c r="T92" i="47"/>
  <c r="V92" i="47" s="1"/>
  <c r="D92" i="47"/>
  <c r="O92" i="47" s="1"/>
  <c r="B92" i="47"/>
  <c r="A92" i="47"/>
  <c r="U91" i="47"/>
  <c r="T91" i="47"/>
  <c r="A91" i="47"/>
  <c r="P91" i="47" s="1"/>
  <c r="U90" i="47"/>
  <c r="T90" i="47"/>
  <c r="Q90" i="47"/>
  <c r="P90" i="47"/>
  <c r="O90" i="47"/>
  <c r="N90" i="47"/>
  <c r="J90" i="47"/>
  <c r="C90" i="47"/>
  <c r="G90" i="47" s="1"/>
  <c r="B90" i="47"/>
  <c r="A90" i="47"/>
  <c r="D90" i="47" s="1"/>
  <c r="U89" i="47"/>
  <c r="T89" i="47"/>
  <c r="A89" i="47"/>
  <c r="U88" i="47"/>
  <c r="T88" i="47"/>
  <c r="P88" i="47"/>
  <c r="H88" i="47"/>
  <c r="F88" i="47"/>
  <c r="D88" i="47"/>
  <c r="C88" i="47"/>
  <c r="M88" i="47" s="1"/>
  <c r="A88" i="47"/>
  <c r="Q88" i="47" s="1"/>
  <c r="U87" i="47"/>
  <c r="T87" i="47"/>
  <c r="F87" i="47"/>
  <c r="D87" i="47"/>
  <c r="O87" i="47" s="1"/>
  <c r="B87" i="47"/>
  <c r="A87" i="47"/>
  <c r="P87" i="47" s="1"/>
  <c r="U86" i="47"/>
  <c r="T86" i="47"/>
  <c r="B86" i="47"/>
  <c r="A86" i="47"/>
  <c r="D86" i="47" s="1"/>
  <c r="O86" i="47" s="1"/>
  <c r="U85" i="47"/>
  <c r="T85" i="47"/>
  <c r="D85" i="47"/>
  <c r="O85" i="47" s="1"/>
  <c r="A85" i="47"/>
  <c r="P85" i="47" s="1"/>
  <c r="Q85" i="47" s="1"/>
  <c r="U84" i="47"/>
  <c r="T84" i="47"/>
  <c r="P84" i="47"/>
  <c r="C84" i="47"/>
  <c r="A84" i="47"/>
  <c r="U83" i="47"/>
  <c r="T83" i="47"/>
  <c r="F83" i="47"/>
  <c r="B83" i="47"/>
  <c r="A83" i="47"/>
  <c r="P83" i="47" s="1"/>
  <c r="U82" i="47"/>
  <c r="T82" i="47"/>
  <c r="P82" i="47"/>
  <c r="E82" i="47"/>
  <c r="C82" i="47"/>
  <c r="M82" i="47" s="1"/>
  <c r="A82" i="47"/>
  <c r="D82" i="47" s="1"/>
  <c r="U81" i="47"/>
  <c r="T81" i="47"/>
  <c r="P81" i="47"/>
  <c r="Q81" i="47" s="1"/>
  <c r="F81" i="47"/>
  <c r="D81" i="47"/>
  <c r="B81" i="47"/>
  <c r="A81" i="47"/>
  <c r="U80" i="47"/>
  <c r="T80" i="47"/>
  <c r="P80" i="47"/>
  <c r="Q80" i="47" s="1"/>
  <c r="O80" i="47"/>
  <c r="N80" i="47"/>
  <c r="M80" i="47"/>
  <c r="J80" i="47"/>
  <c r="I80" i="47"/>
  <c r="G80" i="47"/>
  <c r="F80" i="47"/>
  <c r="E80" i="47"/>
  <c r="D80" i="47"/>
  <c r="C80" i="47"/>
  <c r="K80" i="47" s="1"/>
  <c r="B80" i="47"/>
  <c r="A80" i="47"/>
  <c r="U79" i="47"/>
  <c r="T79" i="47"/>
  <c r="A79" i="47"/>
  <c r="P79" i="47" s="1"/>
  <c r="U78" i="47"/>
  <c r="T78" i="47"/>
  <c r="P78" i="47"/>
  <c r="O78" i="47"/>
  <c r="C78" i="47"/>
  <c r="A78" i="47"/>
  <c r="D78" i="47" s="1"/>
  <c r="U77" i="47"/>
  <c r="T77" i="47"/>
  <c r="V77" i="47" s="1"/>
  <c r="F77" i="47"/>
  <c r="B77" i="47"/>
  <c r="A77" i="47"/>
  <c r="U76" i="47"/>
  <c r="T76" i="47"/>
  <c r="P76" i="47"/>
  <c r="N76" i="47"/>
  <c r="J76" i="47"/>
  <c r="I76" i="47"/>
  <c r="H76" i="47"/>
  <c r="G76" i="47"/>
  <c r="F76" i="47"/>
  <c r="E76" i="47"/>
  <c r="D76" i="47"/>
  <c r="Q76" i="47" s="1"/>
  <c r="C76" i="47"/>
  <c r="K76" i="47" s="1"/>
  <c r="B76" i="47"/>
  <c r="A76" i="47"/>
  <c r="U75" i="47"/>
  <c r="T75" i="47"/>
  <c r="V75" i="47" s="1"/>
  <c r="Q75" i="47"/>
  <c r="J75" i="47"/>
  <c r="H75" i="47"/>
  <c r="G75" i="47"/>
  <c r="E75" i="47"/>
  <c r="C75" i="47"/>
  <c r="M75" i="47" s="1"/>
  <c r="B75" i="47"/>
  <c r="A75" i="47"/>
  <c r="P75" i="47" s="1"/>
  <c r="U74" i="47"/>
  <c r="T74" i="47"/>
  <c r="P74" i="47"/>
  <c r="Q74" i="47" s="1"/>
  <c r="O74" i="47"/>
  <c r="N74" i="47"/>
  <c r="M74" i="47"/>
  <c r="K74" i="47"/>
  <c r="J74" i="47"/>
  <c r="H74" i="47"/>
  <c r="F74" i="47"/>
  <c r="E74" i="47"/>
  <c r="C74" i="47"/>
  <c r="L74" i="47" s="1"/>
  <c r="B74" i="47"/>
  <c r="A74" i="47"/>
  <c r="D74" i="47" s="1"/>
  <c r="U73" i="47"/>
  <c r="T73" i="47"/>
  <c r="A73" i="47"/>
  <c r="U72" i="47"/>
  <c r="V72" i="47" s="1"/>
  <c r="T72" i="47"/>
  <c r="Q72" i="47"/>
  <c r="P72" i="47"/>
  <c r="N72" i="47"/>
  <c r="H72" i="47"/>
  <c r="E72" i="47"/>
  <c r="D72" i="47"/>
  <c r="C72" i="47"/>
  <c r="J72" i="47" s="1"/>
  <c r="B72" i="47"/>
  <c r="K72" i="47" s="1"/>
  <c r="A72" i="47"/>
  <c r="U71" i="47"/>
  <c r="T71" i="47"/>
  <c r="V71" i="47" s="1"/>
  <c r="Q71" i="47"/>
  <c r="G71" i="47"/>
  <c r="F71" i="47"/>
  <c r="D71" i="47"/>
  <c r="C71" i="47"/>
  <c r="K71" i="47" s="1"/>
  <c r="B71" i="47"/>
  <c r="A71" i="47"/>
  <c r="P71" i="47" s="1"/>
  <c r="U70" i="47"/>
  <c r="T70" i="47"/>
  <c r="Q70" i="47"/>
  <c r="P70" i="47"/>
  <c r="O70" i="47"/>
  <c r="N70" i="47"/>
  <c r="J70" i="47"/>
  <c r="I70" i="47"/>
  <c r="H70" i="47"/>
  <c r="G70" i="47"/>
  <c r="F70" i="47"/>
  <c r="E70" i="47"/>
  <c r="C70" i="47"/>
  <c r="M70" i="47" s="1"/>
  <c r="B70" i="47"/>
  <c r="K70" i="47" s="1"/>
  <c r="A70" i="47"/>
  <c r="D70" i="47" s="1"/>
  <c r="U69" i="47"/>
  <c r="T69" i="47"/>
  <c r="M69" i="47"/>
  <c r="K69" i="47"/>
  <c r="I69" i="47"/>
  <c r="G69" i="47"/>
  <c r="E69" i="47"/>
  <c r="C69" i="47"/>
  <c r="B69" i="47"/>
  <c r="A69" i="47"/>
  <c r="U68" i="47"/>
  <c r="T68" i="47"/>
  <c r="P68" i="47"/>
  <c r="Q68" i="47" s="1"/>
  <c r="N68" i="47"/>
  <c r="K68" i="47"/>
  <c r="J68" i="47"/>
  <c r="H68" i="47"/>
  <c r="F68" i="47"/>
  <c r="D68" i="47"/>
  <c r="O68" i="47" s="1"/>
  <c r="C68" i="47"/>
  <c r="M68" i="47" s="1"/>
  <c r="A68" i="47"/>
  <c r="U67" i="47"/>
  <c r="V67" i="47" s="1"/>
  <c r="T67" i="47"/>
  <c r="N67" i="47"/>
  <c r="M67" i="47"/>
  <c r="K67" i="47"/>
  <c r="I67" i="47"/>
  <c r="F67" i="47"/>
  <c r="C67" i="47"/>
  <c r="B67" i="47"/>
  <c r="G67" i="47" s="1"/>
  <c r="A67" i="47"/>
  <c r="P67" i="47" s="1"/>
  <c r="U66" i="47"/>
  <c r="T66" i="47"/>
  <c r="Q66" i="47"/>
  <c r="P66" i="47"/>
  <c r="B66" i="47"/>
  <c r="A66" i="47"/>
  <c r="D66" i="47" s="1"/>
  <c r="U65" i="47"/>
  <c r="T65" i="47"/>
  <c r="G65" i="47"/>
  <c r="F65" i="47"/>
  <c r="D65" i="47"/>
  <c r="O65" i="47" s="1"/>
  <c r="C65" i="47"/>
  <c r="L65" i="47" s="1"/>
  <c r="B65" i="47"/>
  <c r="A65" i="47"/>
  <c r="P65" i="47" s="1"/>
  <c r="Q65" i="47" s="1"/>
  <c r="U64" i="47"/>
  <c r="T64" i="47"/>
  <c r="J64" i="47"/>
  <c r="F64" i="47"/>
  <c r="H64" i="47" s="1"/>
  <c r="E64" i="47"/>
  <c r="C64" i="47"/>
  <c r="A64" i="47"/>
  <c r="U63" i="47"/>
  <c r="T63" i="47"/>
  <c r="V63" i="47" s="1"/>
  <c r="F63" i="47"/>
  <c r="A63" i="47"/>
  <c r="P63" i="47" s="1"/>
  <c r="U62" i="47"/>
  <c r="T62" i="47"/>
  <c r="P62" i="47"/>
  <c r="Q62" i="47" s="1"/>
  <c r="O62" i="47"/>
  <c r="N62" i="47"/>
  <c r="M62" i="47"/>
  <c r="L62" i="47"/>
  <c r="K62" i="47"/>
  <c r="I62" i="47"/>
  <c r="F62" i="47"/>
  <c r="C62" i="47"/>
  <c r="J62" i="47" s="1"/>
  <c r="A62" i="47"/>
  <c r="D62" i="47" s="1"/>
  <c r="U61" i="47"/>
  <c r="T61" i="47"/>
  <c r="Q61" i="47"/>
  <c r="P61" i="47"/>
  <c r="F61" i="47"/>
  <c r="B61" i="47"/>
  <c r="A61" i="47"/>
  <c r="U60" i="47"/>
  <c r="T60" i="47"/>
  <c r="A60" i="47"/>
  <c r="U59" i="47"/>
  <c r="T59" i="47"/>
  <c r="V59" i="47" s="1"/>
  <c r="H59" i="47"/>
  <c r="F59" i="47"/>
  <c r="D59" i="47"/>
  <c r="C59" i="47"/>
  <c r="E59" i="47" s="1"/>
  <c r="A59" i="47"/>
  <c r="P59" i="47" s="1"/>
  <c r="U58" i="47"/>
  <c r="T58" i="47"/>
  <c r="P58" i="47"/>
  <c r="F58" i="47"/>
  <c r="D58" i="47"/>
  <c r="O58" i="47" s="1"/>
  <c r="B58" i="47"/>
  <c r="A58" i="47"/>
  <c r="U57" i="47"/>
  <c r="T57" i="47"/>
  <c r="P57" i="47"/>
  <c r="O57" i="47"/>
  <c r="M57" i="47"/>
  <c r="L57" i="47"/>
  <c r="J57" i="47"/>
  <c r="H57" i="47"/>
  <c r="F57" i="47"/>
  <c r="D57" i="47"/>
  <c r="C57" i="47"/>
  <c r="N57" i="47" s="1"/>
  <c r="A57" i="47"/>
  <c r="B57" i="47" s="1"/>
  <c r="K57" i="47" s="1"/>
  <c r="U56" i="47"/>
  <c r="T56" i="47"/>
  <c r="C56" i="47"/>
  <c r="A56" i="47"/>
  <c r="U55" i="47"/>
  <c r="T55" i="47"/>
  <c r="P55" i="47"/>
  <c r="G55" i="47"/>
  <c r="F55" i="47"/>
  <c r="D55" i="47"/>
  <c r="C55" i="47"/>
  <c r="K55" i="47" s="1"/>
  <c r="B55" i="47"/>
  <c r="A55" i="47"/>
  <c r="J55" i="47" s="1"/>
  <c r="U54" i="47"/>
  <c r="T54" i="47"/>
  <c r="P54" i="47"/>
  <c r="F54" i="47"/>
  <c r="D54" i="47"/>
  <c r="O54" i="47" s="1"/>
  <c r="B54" i="47"/>
  <c r="A54" i="47"/>
  <c r="V53" i="47"/>
  <c r="U53" i="47"/>
  <c r="T53" i="47"/>
  <c r="P53" i="47"/>
  <c r="O53" i="47"/>
  <c r="M53" i="47"/>
  <c r="L53" i="47"/>
  <c r="K53" i="47"/>
  <c r="J53" i="47"/>
  <c r="H53" i="47"/>
  <c r="F53" i="47"/>
  <c r="D53" i="47"/>
  <c r="C53" i="47"/>
  <c r="N53" i="47" s="1"/>
  <c r="A53" i="47"/>
  <c r="B53" i="47" s="1"/>
  <c r="U52" i="47"/>
  <c r="T52" i="47"/>
  <c r="P52" i="47"/>
  <c r="C52" i="47"/>
  <c r="A52" i="47"/>
  <c r="U51" i="47"/>
  <c r="T51" i="47"/>
  <c r="P51" i="47"/>
  <c r="F51" i="47"/>
  <c r="D51" i="47"/>
  <c r="C51" i="47"/>
  <c r="B51" i="47"/>
  <c r="A51" i="47"/>
  <c r="U50" i="47"/>
  <c r="T50" i="47"/>
  <c r="P50" i="47"/>
  <c r="F50" i="47"/>
  <c r="D50" i="47"/>
  <c r="O50" i="47" s="1"/>
  <c r="B50" i="47"/>
  <c r="A50" i="47"/>
  <c r="U49" i="47"/>
  <c r="T49" i="47"/>
  <c r="V49" i="47" s="1"/>
  <c r="P49" i="47"/>
  <c r="O49" i="47"/>
  <c r="M49" i="47"/>
  <c r="L49" i="47"/>
  <c r="K49" i="47"/>
  <c r="J49" i="47"/>
  <c r="H49" i="47"/>
  <c r="F49" i="47"/>
  <c r="D49" i="47"/>
  <c r="C49" i="47"/>
  <c r="N49" i="47" s="1"/>
  <c r="A49" i="47"/>
  <c r="B49" i="47" s="1"/>
  <c r="U48" i="47"/>
  <c r="T48" i="47"/>
  <c r="P48" i="47"/>
  <c r="C48" i="47"/>
  <c r="A48" i="47"/>
  <c r="U47" i="47"/>
  <c r="T47" i="47"/>
  <c r="P47" i="47"/>
  <c r="F47" i="47"/>
  <c r="D47" i="47"/>
  <c r="C47" i="47"/>
  <c r="B47" i="47"/>
  <c r="A47" i="47"/>
  <c r="U46" i="47"/>
  <c r="T46" i="47"/>
  <c r="V46" i="47" s="1"/>
  <c r="P46" i="47"/>
  <c r="F46" i="47"/>
  <c r="D46" i="47"/>
  <c r="O46" i="47" s="1"/>
  <c r="B46" i="47"/>
  <c r="A46" i="47"/>
  <c r="U45" i="47"/>
  <c r="T45" i="47"/>
  <c r="P45" i="47"/>
  <c r="O45" i="47"/>
  <c r="L45" i="47"/>
  <c r="K45" i="47"/>
  <c r="J45" i="47"/>
  <c r="H45" i="47"/>
  <c r="F45" i="47"/>
  <c r="D45" i="47"/>
  <c r="C45" i="47"/>
  <c r="N45" i="47" s="1"/>
  <c r="A45" i="47"/>
  <c r="B45" i="47" s="1"/>
  <c r="M45" i="47" s="1"/>
  <c r="U44" i="47"/>
  <c r="T44" i="47"/>
  <c r="P44" i="47"/>
  <c r="C44" i="47"/>
  <c r="A44" i="47"/>
  <c r="U43" i="47"/>
  <c r="V43" i="47" s="1"/>
  <c r="T43" i="47"/>
  <c r="P43" i="47"/>
  <c r="F43" i="47"/>
  <c r="D43" i="47"/>
  <c r="C43" i="47"/>
  <c r="B43" i="47"/>
  <c r="A43" i="47"/>
  <c r="J43" i="47" s="1"/>
  <c r="U42" i="47"/>
  <c r="T42" i="47"/>
  <c r="P42" i="47"/>
  <c r="F42" i="47"/>
  <c r="D42" i="47"/>
  <c r="O42" i="47" s="1"/>
  <c r="B42" i="47"/>
  <c r="A42" i="47"/>
  <c r="U41" i="47"/>
  <c r="V41" i="47" s="1"/>
  <c r="T41" i="47"/>
  <c r="P41" i="47"/>
  <c r="O41" i="47"/>
  <c r="M41" i="47"/>
  <c r="L41" i="47"/>
  <c r="K41" i="47"/>
  <c r="J41" i="47"/>
  <c r="H41" i="47"/>
  <c r="F41" i="47"/>
  <c r="D41" i="47"/>
  <c r="C41" i="47"/>
  <c r="N41" i="47" s="1"/>
  <c r="A41" i="47"/>
  <c r="B41" i="47" s="1"/>
  <c r="U40" i="47"/>
  <c r="T40" i="47"/>
  <c r="P40" i="47"/>
  <c r="C40" i="47"/>
  <c r="N40" i="47" s="1"/>
  <c r="A40" i="47"/>
  <c r="U39" i="47"/>
  <c r="T39" i="47"/>
  <c r="P39" i="47"/>
  <c r="L39" i="47"/>
  <c r="G39" i="47"/>
  <c r="F39" i="47"/>
  <c r="D39" i="47"/>
  <c r="C39" i="47"/>
  <c r="B39" i="47"/>
  <c r="A39" i="47"/>
  <c r="U38" i="47"/>
  <c r="T38" i="47"/>
  <c r="P38" i="47"/>
  <c r="F38" i="47"/>
  <c r="D38" i="47"/>
  <c r="O38" i="47" s="1"/>
  <c r="B38" i="47"/>
  <c r="A38" i="47"/>
  <c r="U37" i="47"/>
  <c r="T37" i="47"/>
  <c r="P37" i="47"/>
  <c r="M37" i="47"/>
  <c r="L37" i="47"/>
  <c r="J37" i="47"/>
  <c r="H37" i="47"/>
  <c r="F37" i="47"/>
  <c r="D37" i="47"/>
  <c r="O37" i="47" s="1"/>
  <c r="C37" i="47"/>
  <c r="N37" i="47" s="1"/>
  <c r="A37" i="47"/>
  <c r="B37" i="47" s="1"/>
  <c r="K37" i="47" s="1"/>
  <c r="U36" i="47"/>
  <c r="T36" i="47"/>
  <c r="P36" i="47"/>
  <c r="C36" i="47"/>
  <c r="N36" i="47" s="1"/>
  <c r="A36" i="47"/>
  <c r="U35" i="47"/>
  <c r="T35" i="47"/>
  <c r="P35" i="47"/>
  <c r="G35" i="47"/>
  <c r="F35" i="47"/>
  <c r="D35" i="47"/>
  <c r="C35" i="47"/>
  <c r="B35" i="47"/>
  <c r="A35" i="47"/>
  <c r="U34" i="47"/>
  <c r="T34" i="47"/>
  <c r="P34" i="47"/>
  <c r="F34" i="47"/>
  <c r="D34" i="47"/>
  <c r="O34" i="47" s="1"/>
  <c r="B34" i="47"/>
  <c r="A34" i="47"/>
  <c r="U33" i="47"/>
  <c r="T33" i="47"/>
  <c r="P33" i="47"/>
  <c r="M33" i="47"/>
  <c r="L33" i="47"/>
  <c r="J33" i="47"/>
  <c r="H33" i="47"/>
  <c r="F33" i="47"/>
  <c r="D33" i="47"/>
  <c r="O33" i="47" s="1"/>
  <c r="C33" i="47"/>
  <c r="N33" i="47" s="1"/>
  <c r="A33" i="47"/>
  <c r="B33" i="47" s="1"/>
  <c r="K33" i="47" s="1"/>
  <c r="U32" i="47"/>
  <c r="T32" i="47"/>
  <c r="P32" i="47"/>
  <c r="H32" i="47"/>
  <c r="C32" i="47"/>
  <c r="N32" i="47" s="1"/>
  <c r="A32" i="47"/>
  <c r="G32" i="47" s="1"/>
  <c r="U31" i="47"/>
  <c r="T31" i="47"/>
  <c r="P31" i="47"/>
  <c r="L31" i="47"/>
  <c r="G31" i="47"/>
  <c r="F31" i="47"/>
  <c r="D31" i="47"/>
  <c r="C31" i="47"/>
  <c r="B31" i="47"/>
  <c r="A31" i="47"/>
  <c r="U30" i="47"/>
  <c r="T30" i="47"/>
  <c r="P30" i="47"/>
  <c r="F30" i="47"/>
  <c r="D30" i="47"/>
  <c r="O30" i="47" s="1"/>
  <c r="B30" i="47"/>
  <c r="A30" i="47"/>
  <c r="U29" i="47"/>
  <c r="T29" i="47"/>
  <c r="P29" i="47"/>
  <c r="L29" i="47"/>
  <c r="K29" i="47"/>
  <c r="J29" i="47"/>
  <c r="H29" i="47"/>
  <c r="F29" i="47"/>
  <c r="D29" i="47"/>
  <c r="O29" i="47" s="1"/>
  <c r="C29" i="47"/>
  <c r="N29" i="47" s="1"/>
  <c r="A29" i="47"/>
  <c r="B29" i="47" s="1"/>
  <c r="U28" i="47"/>
  <c r="T28" i="47"/>
  <c r="P28" i="47"/>
  <c r="N28" i="47"/>
  <c r="H28" i="47"/>
  <c r="C28" i="47"/>
  <c r="A28" i="47"/>
  <c r="G28" i="47" s="1"/>
  <c r="U27" i="47"/>
  <c r="T27" i="47"/>
  <c r="P27" i="47"/>
  <c r="L27" i="47"/>
  <c r="F27" i="47"/>
  <c r="D27" i="47"/>
  <c r="C27" i="47"/>
  <c r="B27" i="47"/>
  <c r="A27" i="47"/>
  <c r="J27" i="47" s="1"/>
  <c r="U26" i="47"/>
  <c r="T26" i="47"/>
  <c r="P26" i="47"/>
  <c r="F26" i="47"/>
  <c r="D26" i="47"/>
  <c r="O26" i="47" s="1"/>
  <c r="B26" i="47"/>
  <c r="A26" i="47"/>
  <c r="U25" i="47"/>
  <c r="T25" i="47"/>
  <c r="P25" i="47"/>
  <c r="L25" i="47"/>
  <c r="K25" i="47"/>
  <c r="J25" i="47"/>
  <c r="H25" i="47"/>
  <c r="F25" i="47"/>
  <c r="D25" i="47"/>
  <c r="O25" i="47" s="1"/>
  <c r="C25" i="47"/>
  <c r="N25" i="47" s="1"/>
  <c r="A25" i="47"/>
  <c r="B25" i="47" s="1"/>
  <c r="U24" i="47"/>
  <c r="T24" i="47"/>
  <c r="P24" i="47"/>
  <c r="N24" i="47"/>
  <c r="C24" i="47"/>
  <c r="G24" i="47" s="1"/>
  <c r="A24" i="47"/>
  <c r="F24" i="47" s="1"/>
  <c r="U23" i="47"/>
  <c r="T23" i="47"/>
  <c r="P23" i="47"/>
  <c r="L23" i="47"/>
  <c r="F23" i="47"/>
  <c r="D23" i="47"/>
  <c r="C23" i="47"/>
  <c r="B23" i="47"/>
  <c r="A23" i="47"/>
  <c r="U22" i="47"/>
  <c r="T22" i="47"/>
  <c r="P22" i="47"/>
  <c r="F22" i="47"/>
  <c r="D22" i="47"/>
  <c r="O22" i="47" s="1"/>
  <c r="B22" i="47"/>
  <c r="A22" i="47"/>
  <c r="U21" i="47"/>
  <c r="V21" i="47" s="1"/>
  <c r="T21" i="47"/>
  <c r="P21" i="47"/>
  <c r="L21" i="47"/>
  <c r="K21" i="47"/>
  <c r="J21" i="47"/>
  <c r="H21" i="47"/>
  <c r="F21" i="47"/>
  <c r="D21" i="47"/>
  <c r="O21" i="47" s="1"/>
  <c r="C21" i="47"/>
  <c r="N21" i="47" s="1"/>
  <c r="A21" i="47"/>
  <c r="B21" i="47" s="1"/>
  <c r="U20" i="47"/>
  <c r="T20" i="47"/>
  <c r="P20" i="47"/>
  <c r="N20" i="47"/>
  <c r="L20" i="47"/>
  <c r="H20" i="47"/>
  <c r="C20" i="47"/>
  <c r="G20" i="47" s="1"/>
  <c r="A20" i="47"/>
  <c r="F20" i="47" s="1"/>
  <c r="U19" i="47"/>
  <c r="T19" i="47"/>
  <c r="P19" i="47"/>
  <c r="F19" i="47"/>
  <c r="D19" i="47"/>
  <c r="C19" i="47"/>
  <c r="B19" i="47"/>
  <c r="A19" i="47"/>
  <c r="U18" i="47"/>
  <c r="T18" i="47"/>
  <c r="V18" i="47" s="1"/>
  <c r="P18" i="47"/>
  <c r="F18" i="47"/>
  <c r="D18" i="47"/>
  <c r="O18" i="47" s="1"/>
  <c r="B18" i="47"/>
  <c r="A18" i="47"/>
  <c r="U17" i="47"/>
  <c r="T17" i="47"/>
  <c r="P17" i="47"/>
  <c r="L17" i="47"/>
  <c r="K17" i="47"/>
  <c r="J17" i="47"/>
  <c r="H17" i="47"/>
  <c r="F17" i="47"/>
  <c r="D17" i="47"/>
  <c r="O17" i="47" s="1"/>
  <c r="C17" i="47"/>
  <c r="N17" i="47" s="1"/>
  <c r="A17" i="47"/>
  <c r="B17" i="47" s="1"/>
  <c r="U16" i="47"/>
  <c r="T16" i="47"/>
  <c r="P16" i="47"/>
  <c r="N16" i="47"/>
  <c r="L16" i="47"/>
  <c r="C16" i="47"/>
  <c r="A16" i="47"/>
  <c r="F16" i="47" s="1"/>
  <c r="H16" i="47" s="1"/>
  <c r="U15" i="47"/>
  <c r="T15" i="47"/>
  <c r="P15" i="47"/>
  <c r="L15" i="47"/>
  <c r="F15" i="47"/>
  <c r="D15" i="47"/>
  <c r="C15" i="47"/>
  <c r="B15" i="47"/>
  <c r="A15" i="47"/>
  <c r="U14" i="47"/>
  <c r="V14" i="47" s="1"/>
  <c r="T14" i="47"/>
  <c r="P14" i="47"/>
  <c r="F14" i="47"/>
  <c r="D14" i="47"/>
  <c r="O14" i="47" s="1"/>
  <c r="B14" i="47"/>
  <c r="A14" i="47"/>
  <c r="U13" i="47"/>
  <c r="T13" i="47"/>
  <c r="P13" i="47"/>
  <c r="L13" i="47"/>
  <c r="K13" i="47"/>
  <c r="J13" i="47"/>
  <c r="H13" i="47"/>
  <c r="F13" i="47"/>
  <c r="D13" i="47"/>
  <c r="O13" i="47" s="1"/>
  <c r="C13" i="47"/>
  <c r="N13" i="47" s="1"/>
  <c r="B13" i="47"/>
  <c r="A13" i="47"/>
  <c r="Q13" i="47" s="1"/>
  <c r="U12" i="47"/>
  <c r="T12" i="47"/>
  <c r="P12" i="47"/>
  <c r="C12" i="47"/>
  <c r="A12" i="47"/>
  <c r="F12" i="47" s="1"/>
  <c r="U11" i="47"/>
  <c r="T11" i="47"/>
  <c r="P11" i="47"/>
  <c r="F11" i="47"/>
  <c r="D11" i="47"/>
  <c r="C11" i="47"/>
  <c r="L11" i="47" s="1"/>
  <c r="B11" i="47"/>
  <c r="A11" i="47"/>
  <c r="J11" i="47" s="1"/>
  <c r="U10" i="47"/>
  <c r="T10" i="47"/>
  <c r="P10" i="47"/>
  <c r="F10" i="47"/>
  <c r="D10" i="47"/>
  <c r="O10" i="47" s="1"/>
  <c r="B10" i="47"/>
  <c r="A10" i="47"/>
  <c r="U9" i="47"/>
  <c r="T9" i="47"/>
  <c r="P9" i="47"/>
  <c r="O9" i="47"/>
  <c r="L9" i="47"/>
  <c r="K9" i="47"/>
  <c r="J9" i="47"/>
  <c r="H9" i="47"/>
  <c r="F9" i="47"/>
  <c r="D9" i="47"/>
  <c r="C9" i="47"/>
  <c r="N9" i="47" s="1"/>
  <c r="B9" i="47"/>
  <c r="A9" i="47"/>
  <c r="Q9" i="47" s="1"/>
  <c r="U8" i="47"/>
  <c r="T8" i="47"/>
  <c r="P8" i="47"/>
  <c r="L8" i="47"/>
  <c r="H8" i="47"/>
  <c r="C8" i="47"/>
  <c r="A8" i="47"/>
  <c r="F8" i="47" s="1"/>
  <c r="U7" i="47"/>
  <c r="T7" i="47"/>
  <c r="P7" i="47"/>
  <c r="L7" i="47"/>
  <c r="F7" i="47"/>
  <c r="D7" i="47"/>
  <c r="C7" i="47"/>
  <c r="B7" i="47"/>
  <c r="G7" i="47" s="1"/>
  <c r="A7" i="47"/>
  <c r="J7" i="47" s="1"/>
  <c r="U6" i="47"/>
  <c r="T6" i="47"/>
  <c r="P6" i="47"/>
  <c r="F6" i="47"/>
  <c r="D6" i="47"/>
  <c r="O6" i="47" s="1"/>
  <c r="B6" i="47"/>
  <c r="A6" i="47"/>
  <c r="U5" i="47"/>
  <c r="T5" i="47"/>
  <c r="P5" i="47"/>
  <c r="O5" i="47"/>
  <c r="L5" i="47"/>
  <c r="K5" i="47"/>
  <c r="J5" i="47"/>
  <c r="H5" i="47"/>
  <c r="F5" i="47"/>
  <c r="D5" i="47"/>
  <c r="C5" i="47"/>
  <c r="N5" i="47" s="1"/>
  <c r="B5" i="47"/>
  <c r="A5" i="47"/>
  <c r="Q5" i="47" s="1"/>
  <c r="U4" i="47"/>
  <c r="T4" i="47"/>
  <c r="P4" i="47"/>
  <c r="L4" i="47"/>
  <c r="H4" i="47"/>
  <c r="C4" i="47"/>
  <c r="G4" i="47" s="1"/>
  <c r="A4" i="47"/>
  <c r="F4" i="47" s="1"/>
  <c r="U3" i="47"/>
  <c r="T3" i="47"/>
  <c r="P3" i="47"/>
  <c r="L3" i="47"/>
  <c r="F3" i="47"/>
  <c r="D3" i="47"/>
  <c r="O3" i="47" s="1"/>
  <c r="C3" i="47"/>
  <c r="B3" i="47"/>
  <c r="A3" i="47"/>
  <c r="U2" i="47"/>
  <c r="V2" i="47" s="1"/>
  <c r="T2" i="47"/>
  <c r="P2" i="47"/>
  <c r="F2" i="47"/>
  <c r="D2" i="47"/>
  <c r="O2" i="47" s="1"/>
  <c r="B2" i="47"/>
  <c r="A2" i="47"/>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L6" i="18" s="1"/>
  <c r="J6" i="18"/>
  <c r="B6" i="18"/>
  <c r="X5" i="18"/>
  <c r="W5" i="18"/>
  <c r="K5" i="18"/>
  <c r="J5" i="18"/>
  <c r="J9" i="18" s="1"/>
  <c r="B5" i="18"/>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E627" i="1"/>
  <c r="D627" i="1"/>
  <c r="E626" i="1"/>
  <c r="D626" i="1"/>
  <c r="E625" i="1"/>
  <c r="D625" i="1"/>
  <c r="E624" i="1"/>
  <c r="D624" i="1"/>
  <c r="E623" i="1"/>
  <c r="D623" i="1"/>
  <c r="E622" i="1"/>
  <c r="D622" i="1"/>
  <c r="E621" i="1"/>
  <c r="D621" i="1"/>
  <c r="E620" i="1"/>
  <c r="D620" i="1"/>
  <c r="E619" i="1"/>
  <c r="D619" i="1"/>
  <c r="E618" i="1"/>
  <c r="E617" i="1"/>
  <c r="D617" i="1"/>
  <c r="E616" i="1"/>
  <c r="D616" i="1"/>
  <c r="E615" i="1"/>
  <c r="D615" i="1"/>
  <c r="E614" i="1"/>
  <c r="D614" i="1"/>
  <c r="E613" i="1"/>
  <c r="D613" i="1"/>
  <c r="E612" i="1"/>
  <c r="D612" i="1"/>
  <c r="E611" i="1"/>
  <c r="D611" i="1"/>
  <c r="E610" i="1"/>
  <c r="D610" i="1"/>
  <c r="E609" i="1"/>
  <c r="E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E531" i="1"/>
  <c r="D531" i="1"/>
  <c r="E530" i="1"/>
  <c r="D530" i="1"/>
  <c r="E529" i="1"/>
  <c r="D529" i="1"/>
  <c r="E528" i="1"/>
  <c r="D528" i="1"/>
  <c r="E527" i="1"/>
  <c r="D527" i="1"/>
  <c r="E526" i="1"/>
  <c r="D526" i="1"/>
  <c r="E525" i="1"/>
  <c r="D525" i="1"/>
  <c r="E524" i="1"/>
  <c r="D524" i="1"/>
  <c r="E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V5" i="47" l="1"/>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L9" i="18"/>
  <c r="Y50" i="18"/>
  <c r="Y52" i="18"/>
  <c r="L24" i="47"/>
  <c r="K27" i="47"/>
  <c r="H27" i="47"/>
  <c r="E27" i="47"/>
  <c r="N27" i="47"/>
  <c r="M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G27" i="47"/>
  <c r="V40" i="47"/>
  <c r="G43" i="47"/>
  <c r="K23" i="47"/>
  <c r="H23" i="47"/>
  <c r="E23" i="47"/>
  <c r="N23" i="47"/>
  <c r="M23" i="47"/>
  <c r="V24" i="47"/>
  <c r="L36" i="47"/>
  <c r="K39" i="47"/>
  <c r="H39" i="47"/>
  <c r="E39" i="47"/>
  <c r="N39" i="47"/>
  <c r="M39" i="47"/>
  <c r="G51" i="47"/>
  <c r="B9" i="18"/>
  <c r="K3" i="47"/>
  <c r="J3" i="47"/>
  <c r="H3" i="47"/>
  <c r="E3" i="47"/>
  <c r="N3" i="47"/>
  <c r="M3" i="47"/>
  <c r="V48" i="47"/>
  <c r="J19" i="47"/>
  <c r="J35" i="47"/>
  <c r="D73" i="47"/>
  <c r="O73" i="47" s="1"/>
  <c r="C73" i="47"/>
  <c r="N73" i="47" s="1"/>
  <c r="B73" i="47"/>
  <c r="P73" i="47"/>
  <c r="Q73" i="47" s="1"/>
  <c r="M73" i="47"/>
  <c r="K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N46" i="47"/>
  <c r="G47" i="47"/>
  <c r="V44" i="47"/>
  <c r="Y22" i="18"/>
  <c r="Y27" i="18"/>
  <c r="N56" i="47"/>
  <c r="L56" i="47"/>
  <c r="N8" i="47"/>
  <c r="K11" i="47"/>
  <c r="H11" i="47"/>
  <c r="E11" i="47"/>
  <c r="N11" i="47"/>
  <c r="M11" i="47"/>
  <c r="V12" i="47"/>
  <c r="N14" i="47"/>
  <c r="G15" i="47"/>
  <c r="H24" i="47"/>
  <c r="J51" i="47"/>
  <c r="V56" i="47"/>
  <c r="L55" i="47"/>
  <c r="M59" i="47"/>
  <c r="E62" i="47"/>
  <c r="B63" i="47"/>
  <c r="P64" i="47"/>
  <c r="Q64" i="47" s="1"/>
  <c r="M65" i="47"/>
  <c r="H69" i="47"/>
  <c r="L71" i="47"/>
  <c r="I72" i="47"/>
  <c r="O76" i="47"/>
  <c r="F79" i="47"/>
  <c r="N82" i="47"/>
  <c r="Q87" i="47"/>
  <c r="N88" i="47"/>
  <c r="H90" i="47"/>
  <c r="P93" i="47"/>
  <c r="Q93" i="47" s="1"/>
  <c r="M94" i="47"/>
  <c r="G96" i="47"/>
  <c r="V98" i="47"/>
  <c r="M100" i="47"/>
  <c r="J101" i="47"/>
  <c r="E103" i="47"/>
  <c r="L105" i="47"/>
  <c r="K105" i="47"/>
  <c r="J110" i="47"/>
  <c r="H111" i="47"/>
  <c r="F112" i="47"/>
  <c r="D113" i="47"/>
  <c r="C114" i="47"/>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Q18" i="47"/>
  <c r="E21" i="47"/>
  <c r="Q22"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N65" i="47"/>
  <c r="H67" i="47"/>
  <c r="E68" i="47"/>
  <c r="M71" i="47"/>
  <c r="H81" i="47"/>
  <c r="O82" i="47"/>
  <c r="I84" i="47"/>
  <c r="F85" i="47"/>
  <c r="C86" i="47"/>
  <c r="O88" i="47"/>
  <c r="I90" i="47"/>
  <c r="F91" i="47"/>
  <c r="C92" i="47"/>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c r="H137" i="47"/>
  <c r="F137" i="47"/>
  <c r="J140" i="47"/>
  <c r="D143" i="47"/>
  <c r="O143" i="47" s="1"/>
  <c r="M143" i="47"/>
  <c r="L143" i="47"/>
  <c r="E144" i="47"/>
  <c r="D150" i="47"/>
  <c r="O150" i="47" s="1"/>
  <c r="P150" i="47"/>
  <c r="Q150" i="47" s="1"/>
  <c r="J151" i="47"/>
  <c r="M167" i="47"/>
  <c r="E167" i="47"/>
  <c r="D167" i="47"/>
  <c r="O167" i="47" s="1"/>
  <c r="F167" i="47"/>
  <c r="C167" i="47"/>
  <c r="K167" i="47" s="1"/>
  <c r="B167" i="47"/>
  <c r="Q167" i="47"/>
  <c r="P167" i="47"/>
  <c r="J4" i="47"/>
  <c r="J8" i="47"/>
  <c r="J12" i="47"/>
  <c r="J16" i="47"/>
  <c r="J20" i="47"/>
  <c r="J24" i="47"/>
  <c r="J28" i="47"/>
  <c r="J32" i="47"/>
  <c r="J36" i="47"/>
  <c r="J40" i="47"/>
  <c r="J52" i="47"/>
  <c r="N55" i="47"/>
  <c r="J56" i="47"/>
  <c r="O59" i="47"/>
  <c r="D63" i="47"/>
  <c r="L64" i="47"/>
  <c r="N71" i="47"/>
  <c r="K78" i="47"/>
  <c r="J84" i="47"/>
  <c r="I96" i="47"/>
  <c r="J111" i="47"/>
  <c r="P116" i="47"/>
  <c r="M123" i="47"/>
  <c r="J128" i="47"/>
  <c r="N177" i="47"/>
  <c r="C2" i="47"/>
  <c r="N2" i="47" s="1"/>
  <c r="G5" i="47"/>
  <c r="C6" i="47"/>
  <c r="O7" i="47"/>
  <c r="K8" i="47"/>
  <c r="G9" i="47"/>
  <c r="C10" i="47"/>
  <c r="N10" i="47" s="1"/>
  <c r="O11" i="47"/>
  <c r="K12" i="47"/>
  <c r="G13" i="47"/>
  <c r="C14" i="47"/>
  <c r="O15" i="47"/>
  <c r="K16" i="47"/>
  <c r="G17" i="47"/>
  <c r="C18" i="47"/>
  <c r="N18" i="47" s="1"/>
  <c r="O19" i="47"/>
  <c r="K20" i="47"/>
  <c r="G21" i="47"/>
  <c r="C22" i="47"/>
  <c r="O23" i="47"/>
  <c r="K24" i="47"/>
  <c r="G25" i="47"/>
  <c r="C26" i="47"/>
  <c r="O27" i="47"/>
  <c r="G29" i="47"/>
  <c r="C30" i="47"/>
  <c r="N30" i="47" s="1"/>
  <c r="O31" i="47"/>
  <c r="G33" i="47"/>
  <c r="C34" i="47"/>
  <c r="N34" i="47" s="1"/>
  <c r="O35" i="47"/>
  <c r="K36" i="47"/>
  <c r="G37" i="47"/>
  <c r="C38" i="47"/>
  <c r="O39" i="47"/>
  <c r="K40" i="47"/>
  <c r="G41" i="47"/>
  <c r="C42" i="47"/>
  <c r="O43" i="47"/>
  <c r="K44" i="47"/>
  <c r="G45" i="47"/>
  <c r="C46" i="47"/>
  <c r="O47" i="47"/>
  <c r="K48" i="47"/>
  <c r="G49" i="47"/>
  <c r="C50" i="47"/>
  <c r="N50" i="47" s="1"/>
  <c r="O51" i="47"/>
  <c r="G53" i="47"/>
  <c r="C54" i="47"/>
  <c r="N54" i="47" s="1"/>
  <c r="O55" i="47"/>
  <c r="K56" i="47"/>
  <c r="G57" i="47"/>
  <c r="C58" i="47"/>
  <c r="Q59" i="47"/>
  <c r="H62" i="47"/>
  <c r="B64" i="47"/>
  <c r="G64" i="47" s="1"/>
  <c r="M66" i="47"/>
  <c r="J67" i="47"/>
  <c r="G68" i="47"/>
  <c r="D69" i="47"/>
  <c r="V70" i="47"/>
  <c r="O71" i="47"/>
  <c r="M72" i="47"/>
  <c r="G74" i="47"/>
  <c r="D75" i="47"/>
  <c r="L76" i="47"/>
  <c r="L78" i="47"/>
  <c r="C81" i="47"/>
  <c r="Q82" i="47"/>
  <c r="K84" i="47"/>
  <c r="F86" i="47"/>
  <c r="C87" i="47"/>
  <c r="E87" i="47" s="1"/>
  <c r="K90" i="47"/>
  <c r="E92" i="47"/>
  <c r="B93" i="47"/>
  <c r="P94" i="47"/>
  <c r="Q94" i="47" s="1"/>
  <c r="J96" i="47"/>
  <c r="G97" i="47"/>
  <c r="E98" i="47"/>
  <c r="B99" i="47"/>
  <c r="M101" i="47"/>
  <c r="H103" i="47"/>
  <c r="D105" i="47"/>
  <c r="O105" i="47" s="1"/>
  <c r="B106" i="47"/>
  <c r="V107" i="47"/>
  <c r="M110" i="47"/>
  <c r="L111" i="47"/>
  <c r="H113" i="47"/>
  <c r="F114" i="47"/>
  <c r="B116" i="47"/>
  <c r="L117" i="47"/>
  <c r="J117" i="47"/>
  <c r="M117" i="47"/>
  <c r="V119" i="47"/>
  <c r="N123" i="47"/>
  <c r="L127" i="47"/>
  <c r="K128" i="47"/>
  <c r="P129" i="47"/>
  <c r="Q129" i="47" s="1"/>
  <c r="V131" i="47"/>
  <c r="P136" i="47"/>
  <c r="Q136" i="47" s="1"/>
  <c r="F136" i="47"/>
  <c r="L136" i="47"/>
  <c r="K136" i="47"/>
  <c r="I136" i="47"/>
  <c r="H136" i="47"/>
  <c r="D137" i="47"/>
  <c r="O137" i="47" s="1"/>
  <c r="C143" i="47"/>
  <c r="E143" i="47" s="1"/>
  <c r="H144" i="47"/>
  <c r="Q149" i="47"/>
  <c r="C150" i="47"/>
  <c r="I150" i="47" s="1"/>
  <c r="M153" i="47"/>
  <c r="L153" i="47"/>
  <c r="D153" i="47"/>
  <c r="O153" i="47" s="1"/>
  <c r="P153" i="47"/>
  <c r="J153" i="47"/>
  <c r="I153" i="47"/>
  <c r="H153" i="47"/>
  <c r="G153" i="47"/>
  <c r="F153" i="47"/>
  <c r="Q169" i="47"/>
  <c r="P77" i="47"/>
  <c r="Q77" i="47" s="1"/>
  <c r="O83" i="47"/>
  <c r="M84" i="47"/>
  <c r="L88" i="47"/>
  <c r="F92" i="47"/>
  <c r="C93" i="47"/>
  <c r="H93" i="47" s="1"/>
  <c r="C99" i="47"/>
  <c r="E105" i="47"/>
  <c r="C106" i="47"/>
  <c r="I106" i="47" s="1"/>
  <c r="D107" i="47"/>
  <c r="O107" i="47" s="1"/>
  <c r="F107" i="47"/>
  <c r="M111" i="47"/>
  <c r="I113" i="47"/>
  <c r="C116" i="47"/>
  <c r="H118" i="47"/>
  <c r="G118" i="47"/>
  <c r="J118" i="47"/>
  <c r="P123" i="47"/>
  <c r="Q123" i="47" s="1"/>
  <c r="M128" i="47"/>
  <c r="I142" i="47"/>
  <c r="H142" i="47"/>
  <c r="O142" i="47"/>
  <c r="N142" i="47"/>
  <c r="L142" i="47"/>
  <c r="K142" i="47"/>
  <c r="E2" i="47"/>
  <c r="Q3" i="47"/>
  <c r="M4" i="47"/>
  <c r="I5" i="47"/>
  <c r="E6" i="47"/>
  <c r="Q7" i="47"/>
  <c r="M8" i="47"/>
  <c r="I9" i="47"/>
  <c r="E10" i="47"/>
  <c r="Q11" i="47"/>
  <c r="M12" i="47"/>
  <c r="I13" i="47"/>
  <c r="E14" i="47"/>
  <c r="Q15" i="47"/>
  <c r="M16" i="47"/>
  <c r="I17" i="47"/>
  <c r="E18" i="47"/>
  <c r="Q19" i="47"/>
  <c r="M20" i="47"/>
  <c r="I21" i="47"/>
  <c r="E22" i="47"/>
  <c r="Q23" i="47"/>
  <c r="I25" i="47"/>
  <c r="E26" i="47"/>
  <c r="Q27" i="47"/>
  <c r="M28" i="47"/>
  <c r="I29" i="47"/>
  <c r="E30" i="47"/>
  <c r="Q31" i="47"/>
  <c r="M32" i="47"/>
  <c r="I33" i="47"/>
  <c r="E34" i="47"/>
  <c r="Q35" i="47"/>
  <c r="M36" i="47"/>
  <c r="I37" i="47"/>
  <c r="E38" i="47"/>
  <c r="Q39" i="47"/>
  <c r="M40" i="47"/>
  <c r="I41" i="47"/>
  <c r="E42" i="47"/>
  <c r="Q43" i="47"/>
  <c r="M44" i="47"/>
  <c r="I45" i="47"/>
  <c r="E46" i="47"/>
  <c r="Q47" i="47"/>
  <c r="M48" i="47"/>
  <c r="I49" i="47"/>
  <c r="E50" i="47"/>
  <c r="Q51" i="47"/>
  <c r="M52" i="47"/>
  <c r="I53" i="47"/>
  <c r="E54" i="47"/>
  <c r="Q55" i="47"/>
  <c r="M56" i="47"/>
  <c r="I57" i="47"/>
  <c r="E58" i="47"/>
  <c r="B59" i="47"/>
  <c r="P60" i="47"/>
  <c r="Q60" i="47" s="1"/>
  <c r="G63" i="47"/>
  <c r="D64" i="47"/>
  <c r="O64" i="47" s="1"/>
  <c r="H65" i="47"/>
  <c r="O66" i="47"/>
  <c r="L67" i="47"/>
  <c r="F69" i="47"/>
  <c r="N69" i="47" s="1"/>
  <c r="I74" i="47"/>
  <c r="F75" i="47"/>
  <c r="L75" i="47" s="1"/>
  <c r="N78" i="47"/>
  <c r="H80" i="47"/>
  <c r="B82" i="47"/>
  <c r="I82" i="47" s="1"/>
  <c r="Q83" i="47"/>
  <c r="N84" i="47"/>
  <c r="H86" i="47"/>
  <c r="B88" i="47"/>
  <c r="P89" i="47"/>
  <c r="Q89" i="47" s="1"/>
  <c r="M90" i="47"/>
  <c r="G92" i="47"/>
  <c r="D93" i="47"/>
  <c r="V94" i="47"/>
  <c r="G98" i="47"/>
  <c r="D99" i="47"/>
  <c r="Q99" i="47" s="1"/>
  <c r="L100" i="47"/>
  <c r="J103" i="47"/>
  <c r="F105" i="47"/>
  <c r="N105" i="47" s="1"/>
  <c r="D106" i="47"/>
  <c r="O106" i="47" s="1"/>
  <c r="B107" i="47"/>
  <c r="M107" i="47" s="1"/>
  <c r="P108" i="47"/>
  <c r="Q108" i="47" s="1"/>
  <c r="C108" i="47"/>
  <c r="K108" i="47" s="1"/>
  <c r="I114" i="47"/>
  <c r="D116" i="47"/>
  <c r="O116" i="47" s="1"/>
  <c r="B118" i="47"/>
  <c r="D119" i="47"/>
  <c r="O119" i="47" s="1"/>
  <c r="E119" i="47"/>
  <c r="G119" i="47"/>
  <c r="P120" i="47"/>
  <c r="B120" i="47"/>
  <c r="M120" i="47" s="1"/>
  <c r="D120" i="47"/>
  <c r="O120" i="47" s="1"/>
  <c r="J137" i="47"/>
  <c r="B142" i="47"/>
  <c r="G142" i="47" s="1"/>
  <c r="H143" i="47"/>
  <c r="F150" i="47"/>
  <c r="Q109" i="47"/>
  <c r="D135" i="47"/>
  <c r="O135" i="47"/>
  <c r="N135" i="47"/>
  <c r="K135" i="47"/>
  <c r="B109" i="47"/>
  <c r="E120" i="47"/>
  <c r="D131" i="47"/>
  <c r="O131" i="47" s="1"/>
  <c r="C131" i="47"/>
  <c r="I131" i="47" s="1"/>
  <c r="G131" i="47"/>
  <c r="F131" i="47"/>
  <c r="B135" i="47"/>
  <c r="P141" i="47"/>
  <c r="P56" i="47"/>
  <c r="Q56" i="47" s="1"/>
  <c r="B60" i="47"/>
  <c r="V66" i="47"/>
  <c r="J69" i="47"/>
  <c r="I75" i="47"/>
  <c r="C77" i="47"/>
  <c r="M77" i="47" s="1"/>
  <c r="Q78" i="47"/>
  <c r="F82" i="47"/>
  <c r="C83" i="47"/>
  <c r="E83" i="47" s="1"/>
  <c r="E88" i="47"/>
  <c r="B89" i="47"/>
  <c r="E94" i="47"/>
  <c r="B95" i="47"/>
  <c r="J98" i="47"/>
  <c r="G99" i="47"/>
  <c r="H101" i="47"/>
  <c r="O102" i="47"/>
  <c r="I105" i="47"/>
  <c r="G107" i="47"/>
  <c r="C109" i="47"/>
  <c r="L109" i="47" s="1"/>
  <c r="H110" i="47"/>
  <c r="N110" i="47"/>
  <c r="L114" i="47"/>
  <c r="G116" i="47"/>
  <c r="E118" i="47"/>
  <c r="H122" i="47"/>
  <c r="M122" i="47"/>
  <c r="O122" i="47"/>
  <c r="P124" i="47"/>
  <c r="Q124" i="47" s="1"/>
  <c r="G124" i="47"/>
  <c r="L124" i="47"/>
  <c r="I124" i="47"/>
  <c r="D125" i="47"/>
  <c r="O125" i="47" s="1"/>
  <c r="I125" i="47"/>
  <c r="F125" i="47"/>
  <c r="L125" i="47" s="1"/>
  <c r="H130" i="47"/>
  <c r="F130" i="47"/>
  <c r="J130" i="47" s="1"/>
  <c r="L130" i="47"/>
  <c r="I130" i="47"/>
  <c r="B131" i="47"/>
  <c r="C135" i="47"/>
  <c r="I135" i="47" s="1"/>
  <c r="B141" i="47"/>
  <c r="E142" i="47"/>
  <c r="F146" i="47"/>
  <c r="C146" i="47"/>
  <c r="B146" i="47"/>
  <c r="L152" i="47"/>
  <c r="K152" i="47"/>
  <c r="J152" i="47"/>
  <c r="I152" i="47"/>
  <c r="H152" i="47"/>
  <c r="F157" i="47"/>
  <c r="D157" i="47"/>
  <c r="C157" i="47"/>
  <c r="K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0" i="47" s="1"/>
  <c r="E65" i="47"/>
  <c r="E71" i="47"/>
  <c r="D77" i="47"/>
  <c r="O77" i="47" s="1"/>
  <c r="G82" i="47"/>
  <c r="D83" i="47"/>
  <c r="L84" i="47"/>
  <c r="C89" i="47"/>
  <c r="E89" i="47" s="1"/>
  <c r="C95" i="47"/>
  <c r="E95" i="47" s="1"/>
  <c r="E100" i="47"/>
  <c r="P102" i="47"/>
  <c r="H107" i="47"/>
  <c r="D109" i="47"/>
  <c r="O109" i="47" s="1"/>
  <c r="G120" i="47"/>
  <c r="D123" i="47"/>
  <c r="J123" i="47"/>
  <c r="O123" i="47"/>
  <c r="L123" i="47"/>
  <c r="L129" i="47"/>
  <c r="E131" i="47"/>
  <c r="E135" i="47"/>
  <c r="C141" i="47"/>
  <c r="E141" i="47" s="1"/>
  <c r="I162" i="47"/>
  <c r="N162" i="47"/>
  <c r="M162" i="47"/>
  <c r="G162" i="47"/>
  <c r="H168" i="47"/>
  <c r="Y51" i="18"/>
  <c r="B4" i="47"/>
  <c r="K4" i="47" s="1"/>
  <c r="B8" i="47"/>
  <c r="G8" i="47" s="1"/>
  <c r="B12" i="47"/>
  <c r="G12" i="47" s="1"/>
  <c r="B16" i="47"/>
  <c r="G16" i="47" s="1"/>
  <c r="B20" i="47"/>
  <c r="I20" i="47" s="1"/>
  <c r="B24" i="47"/>
  <c r="M24" i="47" s="1"/>
  <c r="B28" i="47"/>
  <c r="K28" i="47" s="1"/>
  <c r="B32" i="47"/>
  <c r="K32" i="47" s="1"/>
  <c r="B36" i="47"/>
  <c r="G36" i="47" s="1"/>
  <c r="B40" i="47"/>
  <c r="G40" i="47" s="1"/>
  <c r="B44" i="47"/>
  <c r="I44" i="47" s="1"/>
  <c r="B48" i="47"/>
  <c r="I48" i="47" s="1"/>
  <c r="B52" i="47"/>
  <c r="K52" i="47" s="1"/>
  <c r="B56" i="47"/>
  <c r="G56" i="47" s="1"/>
  <c r="G59" i="47"/>
  <c r="D60" i="47"/>
  <c r="O60" i="47" s="1"/>
  <c r="H61" i="47"/>
  <c r="L63" i="47"/>
  <c r="I64" i="47"/>
  <c r="C66" i="47"/>
  <c r="K66" i="47" s="1"/>
  <c r="L69" i="47"/>
  <c r="K75" i="47"/>
  <c r="E77" i="47"/>
  <c r="B78" i="47"/>
  <c r="I78" i="47" s="1"/>
  <c r="H82" i="47"/>
  <c r="B84" i="47"/>
  <c r="G84" i="47" s="1"/>
  <c r="G88" i="47"/>
  <c r="D89" i="47"/>
  <c r="O89" i="47" s="1"/>
  <c r="V90" i="47"/>
  <c r="M92" i="47"/>
  <c r="J93" i="47"/>
  <c r="G94" i="47"/>
  <c r="D95" i="47"/>
  <c r="O95" i="47" s="1"/>
  <c r="L96" i="47"/>
  <c r="I99" i="47"/>
  <c r="Q102" i="47"/>
  <c r="I107" i="47"/>
  <c r="D111" i="47"/>
  <c r="O111" i="47" s="1"/>
  <c r="K111" i="47"/>
  <c r="N114" i="47"/>
  <c r="I116" i="47"/>
  <c r="I118" i="47"/>
  <c r="I119" i="47"/>
  <c r="H120" i="47"/>
  <c r="B123" i="47"/>
  <c r="D127" i="47"/>
  <c r="O127" i="47"/>
  <c r="C127" i="47"/>
  <c r="Q127" i="47"/>
  <c r="B129" i="47"/>
  <c r="H131" i="47"/>
  <c r="F135" i="47"/>
  <c r="D141" i="47"/>
  <c r="O141" i="47" s="1"/>
  <c r="J142" i="47"/>
  <c r="E152" i="47"/>
  <c r="J157" i="47"/>
  <c r="I174" i="47"/>
  <c r="G174" i="47"/>
  <c r="E174" i="47"/>
  <c r="N174" i="47"/>
  <c r="M174" i="47"/>
  <c r="L174" i="47"/>
  <c r="K174" i="47"/>
  <c r="J174" i="47"/>
  <c r="E176" i="47"/>
  <c r="N176" i="47"/>
  <c r="M176" i="47"/>
  <c r="L176" i="47"/>
  <c r="K176" i="47"/>
  <c r="J176" i="47"/>
  <c r="H176" i="47"/>
  <c r="P112" i="47"/>
  <c r="Q112" i="47" s="1"/>
  <c r="C129" i="47"/>
  <c r="H129" i="47" s="1"/>
  <c r="J131" i="47"/>
  <c r="E134" i="47"/>
  <c r="D139" i="47"/>
  <c r="O139" i="47" s="1"/>
  <c r="C139" i="47"/>
  <c r="B139" i="47"/>
  <c r="Q139" i="47"/>
  <c r="P139" i="47"/>
  <c r="M142" i="47"/>
  <c r="V143" i="47"/>
  <c r="O157"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I59" i="47"/>
  <c r="F60" i="47"/>
  <c r="H60" i="47" s="1"/>
  <c r="C61" i="47"/>
  <c r="K61" i="47" s="1"/>
  <c r="N63" i="47"/>
  <c r="K64" i="47"/>
  <c r="I65" i="47"/>
  <c r="F66" i="47"/>
  <c r="H71" i="47"/>
  <c r="G77" i="47"/>
  <c r="E78" i="47"/>
  <c r="B79" i="47"/>
  <c r="J82" i="47"/>
  <c r="G83" i="47"/>
  <c r="D84" i="47"/>
  <c r="O84" i="47" s="1"/>
  <c r="I88" i="47"/>
  <c r="F89" i="47"/>
  <c r="I94" i="47"/>
  <c r="F95" i="47"/>
  <c r="H100" i="47"/>
  <c r="B102" i="47"/>
  <c r="G109" i="47"/>
  <c r="B112" i="47"/>
  <c r="K119" i="47"/>
  <c r="J120" i="47"/>
  <c r="E123" i="47"/>
  <c r="D129" i="47"/>
  <c r="O129" i="47" s="1"/>
  <c r="E130" i="47"/>
  <c r="K131" i="47"/>
  <c r="H135" i="47"/>
  <c r="F141" i="47"/>
  <c r="P142" i="47"/>
  <c r="L145" i="47"/>
  <c r="B145" i="47"/>
  <c r="D145" i="47"/>
  <c r="Q145" i="47" s="1"/>
  <c r="F165" i="47"/>
  <c r="D165" i="47"/>
  <c r="B165" i="47"/>
  <c r="P165" i="47"/>
  <c r="Q165" i="47" s="1"/>
  <c r="O165" i="47"/>
  <c r="E172" i="47"/>
  <c r="N172" i="47"/>
  <c r="M172" i="47"/>
  <c r="L172" i="47"/>
  <c r="K172" i="47"/>
  <c r="J172" i="47"/>
  <c r="H172" i="47"/>
  <c r="G172" i="47"/>
  <c r="M2" i="47"/>
  <c r="E4" i="47"/>
  <c r="M6" i="47"/>
  <c r="I7" i="47"/>
  <c r="E8" i="47"/>
  <c r="M10" i="47"/>
  <c r="I11" i="47"/>
  <c r="E12" i="47"/>
  <c r="M14" i="47"/>
  <c r="I15" i="47"/>
  <c r="E16" i="47"/>
  <c r="Q17" i="47"/>
  <c r="M18" i="47"/>
  <c r="I19" i="47"/>
  <c r="E20" i="47"/>
  <c r="Q21" i="47"/>
  <c r="M22" i="47"/>
  <c r="I23" i="47"/>
  <c r="E24" i="47"/>
  <c r="Q25" i="47"/>
  <c r="M26" i="47"/>
  <c r="I27" i="47"/>
  <c r="E28" i="47"/>
  <c r="Q29" i="47"/>
  <c r="M30" i="47"/>
  <c r="I31" i="47"/>
  <c r="E32" i="47"/>
  <c r="Q33" i="47"/>
  <c r="M34" i="47"/>
  <c r="I35" i="47"/>
  <c r="E36" i="47"/>
  <c r="Q37" i="47"/>
  <c r="M38" i="47"/>
  <c r="I39" i="47"/>
  <c r="E40" i="47"/>
  <c r="Q41" i="47"/>
  <c r="M42" i="47"/>
  <c r="I43" i="47"/>
  <c r="E44" i="47"/>
  <c r="Q45" i="47"/>
  <c r="M46" i="47"/>
  <c r="I47" i="47"/>
  <c r="E48" i="47"/>
  <c r="Q49" i="47"/>
  <c r="M50" i="47"/>
  <c r="I51" i="47"/>
  <c r="E52" i="47"/>
  <c r="Q53" i="47"/>
  <c r="M54" i="47"/>
  <c r="I55" i="47"/>
  <c r="E56" i="47"/>
  <c r="Q57" i="47"/>
  <c r="M58" i="47"/>
  <c r="J59" i="47"/>
  <c r="G60" i="47"/>
  <c r="D61" i="47"/>
  <c r="O61" i="47" s="1"/>
  <c r="O63" i="47"/>
  <c r="M64" i="47"/>
  <c r="J65" i="47"/>
  <c r="G66" i="47"/>
  <c r="D67" i="47"/>
  <c r="L68" i="47"/>
  <c r="O69" i="47"/>
  <c r="L70" i="47"/>
  <c r="I71" i="47"/>
  <c r="F72" i="47"/>
  <c r="L72" i="47" s="1"/>
  <c r="N75" i="47"/>
  <c r="F78" i="47"/>
  <c r="J78" i="47" s="1"/>
  <c r="C79" i="47"/>
  <c r="I79" i="47" s="1"/>
  <c r="N81" i="47"/>
  <c r="K82" i="47"/>
  <c r="H83" i="47"/>
  <c r="E84" i="47"/>
  <c r="B85" i="47"/>
  <c r="P86" i="47"/>
  <c r="Q86" i="47" s="1"/>
  <c r="M87" i="47"/>
  <c r="J88" i="47"/>
  <c r="G89" i="47"/>
  <c r="E90" i="47"/>
  <c r="B91" i="47"/>
  <c r="P92" i="47"/>
  <c r="Q92" i="47" s="1"/>
  <c r="M93" i="47"/>
  <c r="J94" i="47"/>
  <c r="G95" i="47"/>
  <c r="D96" i="47"/>
  <c r="H97" i="47"/>
  <c r="L99" i="47"/>
  <c r="I100" i="47"/>
  <c r="F101" i="47"/>
  <c r="N101" i="47" s="1"/>
  <c r="C102" i="47"/>
  <c r="K102" i="47" s="1"/>
  <c r="D103" i="47"/>
  <c r="O103" i="47" s="1"/>
  <c r="L107" i="47"/>
  <c r="H109" i="47"/>
  <c r="F110" i="47"/>
  <c r="L110" i="47" s="1"/>
  <c r="E111" i="47"/>
  <c r="C112" i="47"/>
  <c r="M112" i="47" s="1"/>
  <c r="L113" i="47"/>
  <c r="E113" i="47"/>
  <c r="L116" i="47"/>
  <c r="M118" i="47"/>
  <c r="L119" i="47"/>
  <c r="K120" i="47"/>
  <c r="H121" i="47"/>
  <c r="F122" i="47"/>
  <c r="N122" i="47" s="1"/>
  <c r="F123" i="47"/>
  <c r="F124" i="47"/>
  <c r="H124" i="47" s="1"/>
  <c r="H125" i="47"/>
  <c r="F127" i="47"/>
  <c r="E128" i="47"/>
  <c r="L131" i="47"/>
  <c r="G134" i="47"/>
  <c r="F139" i="47"/>
  <c r="G141" i="47"/>
  <c r="Q142" i="47"/>
  <c r="C145" i="47"/>
  <c r="N145" i="47" s="1"/>
  <c r="Q154" i="47"/>
  <c r="J162" i="47"/>
  <c r="C165" i="47"/>
  <c r="G165" i="47" s="1"/>
  <c r="G176" i="47"/>
  <c r="Q181" i="47"/>
  <c r="F28" i="47"/>
  <c r="L28" i="47" s="1"/>
  <c r="F32" i="47"/>
  <c r="L32" i="47" s="1"/>
  <c r="F36" i="47"/>
  <c r="H36" i="47" s="1"/>
  <c r="F40" i="47"/>
  <c r="H40" i="47" s="1"/>
  <c r="F44" i="47"/>
  <c r="J44" i="47" s="1"/>
  <c r="F48" i="47"/>
  <c r="J48" i="47" s="1"/>
  <c r="F52" i="47"/>
  <c r="L52" i="47" s="1"/>
  <c r="F56" i="47"/>
  <c r="H56" i="47" s="1"/>
  <c r="K59" i="47"/>
  <c r="B62" i="47"/>
  <c r="G62" i="47" s="1"/>
  <c r="Q63" i="47"/>
  <c r="N64" i="47"/>
  <c r="K65" i="47"/>
  <c r="H66" i="47"/>
  <c r="E67" i="47"/>
  <c r="B68" i="47"/>
  <c r="I68" i="47" s="1"/>
  <c r="P69" i="47"/>
  <c r="Q69" i="47" s="1"/>
  <c r="J71" i="47"/>
  <c r="G72" i="47"/>
  <c r="V74" i="47"/>
  <c r="O75" i="47"/>
  <c r="M76" i="47"/>
  <c r="J77" i="47"/>
  <c r="G78" i="47"/>
  <c r="D79" i="47"/>
  <c r="Q79" i="47" s="1"/>
  <c r="L80" i="47"/>
  <c r="O81" i="47"/>
  <c r="L82" i="47"/>
  <c r="I83" i="47"/>
  <c r="F84" i="47"/>
  <c r="H84" i="47" s="1"/>
  <c r="C85" i="47"/>
  <c r="J85" i="47" s="1"/>
  <c r="N87" i="47"/>
  <c r="K88" i="47"/>
  <c r="F90" i="47"/>
  <c r="L90" i="47" s="1"/>
  <c r="C91" i="47"/>
  <c r="N93" i="47"/>
  <c r="K94" i="47"/>
  <c r="H95" i="47"/>
  <c r="E96" i="47"/>
  <c r="B97" i="47"/>
  <c r="I97" i="47" s="1"/>
  <c r="P98" i="47"/>
  <c r="Q98" i="47" s="1"/>
  <c r="M99" i="47"/>
  <c r="J100" i="47"/>
  <c r="G101" i="47"/>
  <c r="E102" i="47"/>
  <c r="B103" i="47"/>
  <c r="M103" i="47" s="1"/>
  <c r="P104" i="47"/>
  <c r="Q104" i="47" s="1"/>
  <c r="N104" i="47"/>
  <c r="Q105" i="47"/>
  <c r="I109" i="47"/>
  <c r="G110" i="47"/>
  <c r="F111" i="47"/>
  <c r="N111" i="47" s="1"/>
  <c r="D112" i="47"/>
  <c r="O112" i="47" s="1"/>
  <c r="B113" i="47"/>
  <c r="M113" i="47" s="1"/>
  <c r="N116" i="47"/>
  <c r="O117" i="47"/>
  <c r="N118" i="47"/>
  <c r="M119" i="47"/>
  <c r="L120" i="47"/>
  <c r="G122" i="47"/>
  <c r="G123" i="47"/>
  <c r="J125" i="47"/>
  <c r="G127" i="47"/>
  <c r="F129" i="47"/>
  <c r="K130" i="47"/>
  <c r="M131" i="47"/>
  <c r="I134" i="47"/>
  <c r="M135" i="47"/>
  <c r="H138" i="47"/>
  <c r="Q138" i="47"/>
  <c r="F138" i="47"/>
  <c r="C138" i="47"/>
  <c r="K138" i="47" s="1"/>
  <c r="B138" i="47"/>
  <c r="G139" i="47"/>
  <c r="H141" i="47"/>
  <c r="F145" i="47"/>
  <c r="M146" i="47"/>
  <c r="N152" i="47"/>
  <c r="K162" i="47"/>
  <c r="G170" i="47"/>
  <c r="L59" i="47"/>
  <c r="I60" i="47"/>
  <c r="K77" i="47"/>
  <c r="E79" i="47"/>
  <c r="J83" i="47"/>
  <c r="V86" i="47"/>
  <c r="J89" i="47"/>
  <c r="D91" i="47"/>
  <c r="Q91" i="47" s="1"/>
  <c r="L92" i="47"/>
  <c r="O93" i="47"/>
  <c r="I95" i="47"/>
  <c r="N99" i="47"/>
  <c r="F102" i="47"/>
  <c r="P106" i="47"/>
  <c r="N107" i="47"/>
  <c r="J109" i="47"/>
  <c r="E112" i="47"/>
  <c r="H114" i="47"/>
  <c r="B114" i="47"/>
  <c r="G114" i="47" s="1"/>
  <c r="Q116" i="47"/>
  <c r="H123" i="47"/>
  <c r="G129" i="47"/>
  <c r="N131" i="47"/>
  <c r="P135" i="47"/>
  <c r="Q135" i="47" s="1"/>
  <c r="J141" i="47"/>
  <c r="J144" i="47"/>
  <c r="I144" i="47"/>
  <c r="G144" i="47"/>
  <c r="I145" i="47"/>
  <c r="N154" i="47"/>
  <c r="J154" i="47"/>
  <c r="G154" i="47"/>
  <c r="E154" i="47"/>
  <c r="Q207" i="47"/>
  <c r="J198" i="47"/>
  <c r="K203" i="47"/>
  <c r="D203" i="47"/>
  <c r="C203" i="47"/>
  <c r="H203" i="47" s="1"/>
  <c r="J206" i="47"/>
  <c r="I211" i="47"/>
  <c r="E211" i="47"/>
  <c r="D211" i="47"/>
  <c r="O211" i="47" s="1"/>
  <c r="C211" i="47"/>
  <c r="M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Q163" i="47" s="1"/>
  <c r="N164" i="47"/>
  <c r="M166" i="47"/>
  <c r="K168" i="47"/>
  <c r="I171" i="47"/>
  <c r="I177" i="47"/>
  <c r="K179" i="47"/>
  <c r="J180" i="47"/>
  <c r="J181" i="47"/>
  <c r="L182" i="47"/>
  <c r="K184" i="47"/>
  <c r="M186" i="47"/>
  <c r="N188" i="47"/>
  <c r="I192" i="47"/>
  <c r="M194" i="47"/>
  <c r="I194" i="47"/>
  <c r="G194" i="47"/>
  <c r="G196" i="47"/>
  <c r="H197" i="47"/>
  <c r="K198" i="47"/>
  <c r="P199" i="47"/>
  <c r="Q199" i="47" s="1"/>
  <c r="B203" i="47"/>
  <c r="K206" i="47"/>
  <c r="P207" i="47"/>
  <c r="B211" i="47"/>
  <c r="I224" i="47"/>
  <c r="G224" i="47"/>
  <c r="E224" i="47"/>
  <c r="N224" i="47"/>
  <c r="L133" i="47"/>
  <c r="E147" i="47"/>
  <c r="D147" i="47"/>
  <c r="O147" i="47" s="1"/>
  <c r="L151" i="47"/>
  <c r="M159" i="47"/>
  <c r="E159" i="47"/>
  <c r="D159" i="47"/>
  <c r="O159" i="47" s="1"/>
  <c r="I160" i="47"/>
  <c r="N166" i="47"/>
  <c r="L168" i="47"/>
  <c r="K169" i="47"/>
  <c r="J171" i="47"/>
  <c r="I173" i="47"/>
  <c r="J177" i="47"/>
  <c r="L179" i="47"/>
  <c r="K180" i="47"/>
  <c r="N181" i="47"/>
  <c r="N183" i="47"/>
  <c r="L184" i="47"/>
  <c r="P187" i="47"/>
  <c r="Q187" i="47" s="1"/>
  <c r="H196" i="47"/>
  <c r="I197" i="47"/>
  <c r="L198" i="47"/>
  <c r="Q202" i="47"/>
  <c r="F203" i="47"/>
  <c r="L206" i="47"/>
  <c r="Q210" i="47"/>
  <c r="F211" i="47"/>
  <c r="H211" i="47" s="1"/>
  <c r="M234" i="47"/>
  <c r="J234" i="47"/>
  <c r="N235" i="47"/>
  <c r="M238" i="47"/>
  <c r="J238" i="47"/>
  <c r="O239" i="47"/>
  <c r="N249" i="47"/>
  <c r="E269" i="47"/>
  <c r="N281" i="47"/>
  <c r="K281" i="47"/>
  <c r="J281" i="47"/>
  <c r="I281" i="47"/>
  <c r="H281" i="47"/>
  <c r="G281" i="47"/>
  <c r="E281" i="47"/>
  <c r="N286" i="47"/>
  <c r="L286" i="47"/>
  <c r="M151" i="47"/>
  <c r="E161" i="47"/>
  <c r="N169" i="47"/>
  <c r="K171" i="47"/>
  <c r="P185" i="47"/>
  <c r="M191" i="47"/>
  <c r="I191" i="47"/>
  <c r="E191" i="47"/>
  <c r="D191" i="47"/>
  <c r="O191" i="47" s="1"/>
  <c r="C191" i="47"/>
  <c r="J197" i="47"/>
  <c r="G203" i="47"/>
  <c r="G211" i="47"/>
  <c r="D223" i="47"/>
  <c r="O223" i="47" s="1"/>
  <c r="C223" i="47"/>
  <c r="N223" i="47" s="1"/>
  <c r="B223" i="47"/>
  <c r="M244" i="47"/>
  <c r="J244" i="47"/>
  <c r="I244" i="47"/>
  <c r="H244" i="47"/>
  <c r="G244" i="47"/>
  <c r="B274" i="47"/>
  <c r="M274" i="47"/>
  <c r="I274" i="47"/>
  <c r="P274" i="47"/>
  <c r="Q274" i="47" s="1"/>
  <c r="L274" i="47"/>
  <c r="F274" i="47"/>
  <c r="N151" i="47"/>
  <c r="B161" i="47"/>
  <c r="N168" i="47"/>
  <c r="O169" i="47"/>
  <c r="L171" i="47"/>
  <c r="N173" i="47"/>
  <c r="N175" i="47"/>
  <c r="O177" i="47"/>
  <c r="M180" i="47"/>
  <c r="P181" i="47"/>
  <c r="P183" i="47"/>
  <c r="N184" i="47"/>
  <c r="Q190" i="47"/>
  <c r="B191" i="47"/>
  <c r="K196" i="47"/>
  <c r="M202" i="47"/>
  <c r="I202" i="47"/>
  <c r="G202" i="47"/>
  <c r="I216" i="47"/>
  <c r="E218" i="47"/>
  <c r="F223" i="47"/>
  <c r="H224" i="47"/>
  <c r="N253" i="47"/>
  <c r="J253" i="47"/>
  <c r="C274" i="47"/>
  <c r="E274" i="47" s="1"/>
  <c r="I279" i="47"/>
  <c r="E279" i="47"/>
  <c r="D279" i="47"/>
  <c r="O279" i="47" s="1"/>
  <c r="P279" i="47"/>
  <c r="Q279" i="47" s="1"/>
  <c r="K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O173" i="47"/>
  <c r="N180" i="47"/>
  <c r="E189" i="47"/>
  <c r="F191" i="47"/>
  <c r="G193" i="47"/>
  <c r="L195" i="47"/>
  <c r="L196" i="47"/>
  <c r="I200" i="47"/>
  <c r="I208" i="47"/>
  <c r="J211" i="47"/>
  <c r="J224" i="47"/>
  <c r="G228" i="47"/>
  <c r="E228" i="47"/>
  <c r="N228" i="47"/>
  <c r="L241" i="47"/>
  <c r="G241" i="47"/>
  <c r="F241" i="47"/>
  <c r="E241" i="47"/>
  <c r="C241" i="47"/>
  <c r="P241" i="47"/>
  <c r="Q241" i="47" s="1"/>
  <c r="O241" i="47"/>
  <c r="N241" i="47"/>
  <c r="M241" i="47"/>
  <c r="V242" i="47"/>
  <c r="E255" i="47"/>
  <c r="D255" i="47"/>
  <c r="O255" i="47" s="1"/>
  <c r="N255" i="47"/>
  <c r="M255" i="47"/>
  <c r="K255" i="47"/>
  <c r="H255" i="47"/>
  <c r="G255" i="47"/>
  <c r="F255" i="47"/>
  <c r="C255" i="47"/>
  <c r="B255" i="47"/>
  <c r="J272" i="47"/>
  <c r="E272" i="47"/>
  <c r="N272" i="47"/>
  <c r="M272" i="47"/>
  <c r="L272" i="47"/>
  <c r="K272" i="47"/>
  <c r="I272" i="47"/>
  <c r="H272" i="47"/>
  <c r="G272" i="47"/>
  <c r="D274" i="47"/>
  <c r="O274" i="47" s="1"/>
  <c r="Q277" i="47"/>
  <c r="B279" i="47"/>
  <c r="G279" i="47" s="1"/>
  <c r="I188" i="47"/>
  <c r="M190" i="47"/>
  <c r="G190" i="47"/>
  <c r="L203" i="47"/>
  <c r="L211" i="47"/>
  <c r="G216" i="47"/>
  <c r="E216" i="47"/>
  <c r="I246" i="47"/>
  <c r="H246" i="47"/>
  <c r="O246" i="47"/>
  <c r="N246" i="47"/>
  <c r="M246" i="47"/>
  <c r="K246" i="47"/>
  <c r="F246" i="47"/>
  <c r="E246" i="47"/>
  <c r="D246" i="47"/>
  <c r="C246" i="47"/>
  <c r="B246" i="47"/>
  <c r="G246" i="47" s="1"/>
  <c r="F250" i="47"/>
  <c r="D250" i="47"/>
  <c r="O250" i="47" s="1"/>
  <c r="B250" i="47"/>
  <c r="Q250" i="47"/>
  <c r="P250" i="47"/>
  <c r="C279" i="47"/>
  <c r="N279" i="47" s="1"/>
  <c r="Q166" i="47"/>
  <c r="H191" i="47"/>
  <c r="H192" i="47"/>
  <c r="N196" i="47"/>
  <c r="G200" i="47"/>
  <c r="E200" i="47"/>
  <c r="N203" i="47"/>
  <c r="G208" i="47"/>
  <c r="E208" i="47"/>
  <c r="N211" i="47"/>
  <c r="I215" i="47"/>
  <c r="D215" i="47"/>
  <c r="Q215" i="47" s="1"/>
  <c r="C215" i="47"/>
  <c r="K218" i="47"/>
  <c r="L224" i="47"/>
  <c r="K227" i="47"/>
  <c r="I227" i="47"/>
  <c r="E227" i="47"/>
  <c r="D227" i="47"/>
  <c r="C227" i="47"/>
  <c r="N227" i="47" s="1"/>
  <c r="B227" i="47"/>
  <c r="I232" i="47"/>
  <c r="C250" i="47"/>
  <c r="I250" i="47" s="1"/>
  <c r="M270" i="47"/>
  <c r="I270" i="47"/>
  <c r="H270" i="47"/>
  <c r="Q270" i="47"/>
  <c r="P270" i="47"/>
  <c r="O270" i="47"/>
  <c r="N270" i="47"/>
  <c r="L270" i="47"/>
  <c r="K270" i="47"/>
  <c r="J270" i="47"/>
  <c r="G270" i="47"/>
  <c r="F270" i="47"/>
  <c r="E270" i="47"/>
  <c r="N277" i="47"/>
  <c r="K277" i="47"/>
  <c r="J277" i="47"/>
  <c r="I277" i="47"/>
  <c r="H277" i="47"/>
  <c r="G277" i="47"/>
  <c r="E277" i="47"/>
  <c r="L185" i="47"/>
  <c r="K185" i="47"/>
  <c r="M187" i="47"/>
  <c r="I187" i="47"/>
  <c r="E187" i="47"/>
  <c r="D187" i="47"/>
  <c r="O187" i="47" s="1"/>
  <c r="C187" i="47"/>
  <c r="E190" i="47"/>
  <c r="E199" i="47"/>
  <c r="D199" i="47"/>
  <c r="O199" i="47" s="1"/>
  <c r="C199" i="47"/>
  <c r="H199" i="47" s="1"/>
  <c r="O203" i="47"/>
  <c r="K207" i="47"/>
  <c r="I207" i="47"/>
  <c r="D207" i="47"/>
  <c r="O207" i="47" s="1"/>
  <c r="C207" i="47"/>
  <c r="H207" i="47" s="1"/>
  <c r="L223" i="47"/>
  <c r="M224" i="47"/>
  <c r="I236" i="47"/>
  <c r="E268" i="47"/>
  <c r="N268" i="47"/>
  <c r="M268" i="47"/>
  <c r="L268" i="47"/>
  <c r="K268" i="47"/>
  <c r="J268" i="47"/>
  <c r="I268" i="47"/>
  <c r="H268" i="47"/>
  <c r="E151" i="47"/>
  <c r="D151" i="47"/>
  <c r="O151" i="47" s="1"/>
  <c r="K158" i="47"/>
  <c r="E169" i="47"/>
  <c r="L169" i="47"/>
  <c r="I180" i="47"/>
  <c r="E181" i="47"/>
  <c r="M181" i="47"/>
  <c r="L181" i="47"/>
  <c r="K181" i="47"/>
  <c r="Q182" i="47"/>
  <c r="M183" i="47"/>
  <c r="E183" i="47"/>
  <c r="D183" i="47"/>
  <c r="O183" i="47" s="1"/>
  <c r="C183" i="47"/>
  <c r="J183" i="47" s="1"/>
  <c r="B185" i="47"/>
  <c r="B187" i="47"/>
  <c r="K191" i="47"/>
  <c r="K192" i="47"/>
  <c r="B199" i="47"/>
  <c r="P203" i="47"/>
  <c r="B207" i="47"/>
  <c r="P211" i="47"/>
  <c r="Q211" i="47" s="1"/>
  <c r="Q214" i="47"/>
  <c r="Q226" i="47"/>
  <c r="G232" i="47"/>
  <c r="E232" i="47"/>
  <c r="N232" i="47"/>
  <c r="Q261" i="47"/>
  <c r="E275" i="47"/>
  <c r="D275" i="47"/>
  <c r="O275" i="47" s="1"/>
  <c r="P275" i="47"/>
  <c r="Q275" i="47" s="1"/>
  <c r="K275" i="47"/>
  <c r="F275" i="47"/>
  <c r="B282" i="47"/>
  <c r="M282" i="47"/>
  <c r="Q282" i="47"/>
  <c r="P282" i="47"/>
  <c r="N282" i="47"/>
  <c r="G282" i="47"/>
  <c r="F282" i="47"/>
  <c r="D282" i="47"/>
  <c r="O282" i="47" s="1"/>
  <c r="B151" i="47"/>
  <c r="Q152" i="47"/>
  <c r="L158" i="47"/>
  <c r="B169" i="47"/>
  <c r="Q170" i="47"/>
  <c r="I176" i="47"/>
  <c r="E177" i="47"/>
  <c r="M177" i="47"/>
  <c r="L177" i="47"/>
  <c r="K177" i="47"/>
  <c r="Q178" i="47"/>
  <c r="M179" i="47"/>
  <c r="D179" i="47"/>
  <c r="Q179" i="47" s="1"/>
  <c r="C179" i="47"/>
  <c r="B181" i="47"/>
  <c r="G181" i="47" s="1"/>
  <c r="B183" i="47"/>
  <c r="C185" i="47"/>
  <c r="J185" i="47" s="1"/>
  <c r="G186" i="47"/>
  <c r="F187" i="47"/>
  <c r="L187" i="47" s="1"/>
  <c r="J190" i="47"/>
  <c r="L191" i="47"/>
  <c r="L192" i="47"/>
  <c r="F199" i="47"/>
  <c r="Q203" i="47"/>
  <c r="G236" i="47"/>
  <c r="E236" i="47"/>
  <c r="N236" i="47"/>
  <c r="Q240" i="47"/>
  <c r="O240" i="47"/>
  <c r="Q273" i="47"/>
  <c r="B275" i="47"/>
  <c r="C282" i="47"/>
  <c r="E282" i="47" s="1"/>
  <c r="C169" i="47"/>
  <c r="M169" i="47" s="1"/>
  <c r="M171" i="47"/>
  <c r="E171" i="47"/>
  <c r="D171" i="47"/>
  <c r="I172" i="47"/>
  <c r="E173" i="47"/>
  <c r="M173" i="47"/>
  <c r="L173" i="47"/>
  <c r="K173" i="47"/>
  <c r="M175" i="47"/>
  <c r="E175" i="47"/>
  <c r="D175" i="47"/>
  <c r="O175" i="47" s="1"/>
  <c r="C175" i="47"/>
  <c r="J175" i="47" s="1"/>
  <c r="I182" i="47"/>
  <c r="G182" i="47"/>
  <c r="D185" i="47"/>
  <c r="Q185" i="47" s="1"/>
  <c r="G187" i="47"/>
  <c r="G188" i="47"/>
  <c r="K190" i="47"/>
  <c r="N191" i="47"/>
  <c r="M192" i="47"/>
  <c r="E197" i="47"/>
  <c r="G199" i="47"/>
  <c r="J200" i="47"/>
  <c r="N202" i="47"/>
  <c r="J208" i="47"/>
  <c r="N210" i="47"/>
  <c r="H215" i="47"/>
  <c r="K216" i="47"/>
  <c r="I220" i="47"/>
  <c r="J222" i="47"/>
  <c r="P223" i="47"/>
  <c r="Q223" i="47" s="1"/>
  <c r="M226" i="47"/>
  <c r="J227" i="47"/>
  <c r="K231" i="47"/>
  <c r="D231" i="47"/>
  <c r="O231" i="47" s="1"/>
  <c r="C231" i="47"/>
  <c r="M231" i="47" s="1"/>
  <c r="B231" i="47"/>
  <c r="I231" i="47" s="1"/>
  <c r="K241" i="47"/>
  <c r="H243" i="47"/>
  <c r="Q246" i="47"/>
  <c r="Q249" i="47"/>
  <c r="K258" i="47"/>
  <c r="J258" i="47"/>
  <c r="G258" i="47"/>
  <c r="E258" i="47"/>
  <c r="Q266" i="47"/>
  <c r="G268" i="47"/>
  <c r="C275" i="47"/>
  <c r="J275" i="47" s="1"/>
  <c r="J280" i="47"/>
  <c r="E280" i="47"/>
  <c r="N280" i="47"/>
  <c r="M280" i="47"/>
  <c r="L280" i="47"/>
  <c r="K280" i="47"/>
  <c r="I280" i="47"/>
  <c r="H280" i="47"/>
  <c r="G280" i="47"/>
  <c r="M198" i="47"/>
  <c r="I198" i="47"/>
  <c r="G198" i="47"/>
  <c r="M206" i="47"/>
  <c r="G206" i="47"/>
  <c r="N273" i="47"/>
  <c r="K273" i="47"/>
  <c r="J273" i="47"/>
  <c r="I273" i="47"/>
  <c r="H273" i="47"/>
  <c r="G273" i="47"/>
  <c r="E273" i="47"/>
  <c r="G179" i="47"/>
  <c r="E180" i="47"/>
  <c r="F181" i="47"/>
  <c r="E182" i="47"/>
  <c r="H183" i="47"/>
  <c r="J187" i="47"/>
  <c r="J188" i="47"/>
  <c r="N190" i="47"/>
  <c r="P191" i="47"/>
  <c r="Q191" i="47" s="1"/>
  <c r="J199" i="47"/>
  <c r="J207" i="47"/>
  <c r="L208" i="47"/>
  <c r="L215" i="47"/>
  <c r="M216" i="47"/>
  <c r="G220" i="47"/>
  <c r="E220" i="47"/>
  <c r="N220" i="47"/>
  <c r="L222" i="47"/>
  <c r="Q230" i="47"/>
  <c r="J232" i="47"/>
  <c r="I235" i="47"/>
  <c r="F235" i="47"/>
  <c r="D235" i="47"/>
  <c r="O235" i="47" s="1"/>
  <c r="C235" i="47"/>
  <c r="M235" i="47" s="1"/>
  <c r="B235" i="47"/>
  <c r="H236" i="47"/>
  <c r="L239" i="47"/>
  <c r="K239" i="47"/>
  <c r="I239" i="47"/>
  <c r="F239" i="47"/>
  <c r="E239" i="47"/>
  <c r="D239" i="47"/>
  <c r="Q239" i="47" s="1"/>
  <c r="C239" i="47"/>
  <c r="B239" i="47"/>
  <c r="P245" i="47"/>
  <c r="Q245" i="47" s="1"/>
  <c r="F245" i="47"/>
  <c r="D245" i="47"/>
  <c r="O245" i="47" s="1"/>
  <c r="I254" i="47"/>
  <c r="H254" i="47"/>
  <c r="P254" i="47"/>
  <c r="Q254" i="47" s="1"/>
  <c r="L254" i="47"/>
  <c r="J254" i="47"/>
  <c r="G254" i="47"/>
  <c r="F254" i="47"/>
  <c r="N254" i="47" s="1"/>
  <c r="E254" i="47"/>
  <c r="D254" i="47"/>
  <c r="O254" i="47" s="1"/>
  <c r="D173" i="47"/>
  <c r="Q173" i="47" s="1"/>
  <c r="G175" i="47"/>
  <c r="F177" i="47"/>
  <c r="H177" i="47" s="1"/>
  <c r="H179" i="47"/>
  <c r="I183" i="47"/>
  <c r="G184" i="47"/>
  <c r="H185" i="47"/>
  <c r="J186" i="47"/>
  <c r="K187" i="47"/>
  <c r="K188" i="47"/>
  <c r="M195" i="47"/>
  <c r="E195" i="47"/>
  <c r="D195" i="47"/>
  <c r="O195" i="47" s="1"/>
  <c r="C195" i="47"/>
  <c r="G195" i="47" s="1"/>
  <c r="E198" i="47"/>
  <c r="L199" i="47"/>
  <c r="M200" i="47"/>
  <c r="E206" i="47"/>
  <c r="L207" i="47"/>
  <c r="M208" i="47"/>
  <c r="N215" i="47"/>
  <c r="N216" i="47"/>
  <c r="E219" i="47"/>
  <c r="D219" i="47"/>
  <c r="O219" i="47" s="1"/>
  <c r="C219" i="47"/>
  <c r="L219" i="47" s="1"/>
  <c r="N222" i="47"/>
  <c r="O227" i="47"/>
  <c r="H231" i="47"/>
  <c r="K232" i="47"/>
  <c r="G235" i="47"/>
  <c r="J236" i="47"/>
  <c r="G239" i="47"/>
  <c r="D242" i="47"/>
  <c r="Q242" i="47" s="1"/>
  <c r="C242" i="47"/>
  <c r="B242" i="47"/>
  <c r="N242" i="47"/>
  <c r="L242" i="47"/>
  <c r="K242" i="47"/>
  <c r="B245" i="47"/>
  <c r="E251" i="47"/>
  <c r="D251" i="47"/>
  <c r="Q251" i="47" s="1"/>
  <c r="F251" i="47"/>
  <c r="C251" i="47"/>
  <c r="B251" i="47"/>
  <c r="N251" i="47"/>
  <c r="M251" i="47"/>
  <c r="L251" i="47"/>
  <c r="K251" i="47"/>
  <c r="B254" i="47"/>
  <c r="M254" i="47" s="1"/>
  <c r="N271" i="47"/>
  <c r="I271" i="47"/>
  <c r="E271" i="47"/>
  <c r="D271" i="47"/>
  <c r="O271" i="47" s="1"/>
  <c r="Q271" i="47"/>
  <c r="P271" i="47"/>
  <c r="M271" i="47"/>
  <c r="L271" i="47"/>
  <c r="K271" i="47"/>
  <c r="J271" i="47"/>
  <c r="H271" i="47"/>
  <c r="G271" i="47"/>
  <c r="F271" i="47"/>
  <c r="B278" i="47"/>
  <c r="M278" i="47"/>
  <c r="I278" i="47"/>
  <c r="P278" i="47"/>
  <c r="Q278" i="47" s="1"/>
  <c r="O278" i="47"/>
  <c r="L278" i="47"/>
  <c r="F278" i="47"/>
  <c r="I283" i="47"/>
  <c r="D283" i="47"/>
  <c r="O283" i="47" s="1"/>
  <c r="Q283" i="47"/>
  <c r="P283" i="47"/>
  <c r="M283" i="47"/>
  <c r="L283" i="47"/>
  <c r="J283" i="47"/>
  <c r="F283" i="47"/>
  <c r="C283" i="47"/>
  <c r="N283" i="47" s="1"/>
  <c r="P115" i="47"/>
  <c r="Q115" i="47" s="1"/>
  <c r="P121" i="47"/>
  <c r="Q121" i="47" s="1"/>
  <c r="H126" i="47"/>
  <c r="L128" i="47"/>
  <c r="O133" i="47"/>
  <c r="L134" i="47"/>
  <c r="K140" i="47"/>
  <c r="P147" i="47"/>
  <c r="Q147" i="47" s="1"/>
  <c r="K149" i="47"/>
  <c r="I151" i="47"/>
  <c r="M155" i="47"/>
  <c r="E155" i="47"/>
  <c r="D155" i="47"/>
  <c r="O155" i="47" s="1"/>
  <c r="I156" i="47"/>
  <c r="Q159" i="47"/>
  <c r="P161" i="47"/>
  <c r="Q161" i="47" s="1"/>
  <c r="N163" i="47"/>
  <c r="K166" i="47"/>
  <c r="H169" i="47"/>
  <c r="G171" i="47"/>
  <c r="F173" i="47"/>
  <c r="H173" i="47" s="1"/>
  <c r="H175" i="47"/>
  <c r="G177" i="47"/>
  <c r="I179" i="47"/>
  <c r="H181" i="47"/>
  <c r="J182" i="47"/>
  <c r="I185" i="47"/>
  <c r="K186" i="47"/>
  <c r="L188" i="47"/>
  <c r="Q194" i="47"/>
  <c r="B195" i="47"/>
  <c r="N199" i="47"/>
  <c r="N200" i="47"/>
  <c r="G204" i="47"/>
  <c r="E204" i="47"/>
  <c r="N207" i="47"/>
  <c r="N208" i="47"/>
  <c r="G212" i="47"/>
  <c r="E212" i="47"/>
  <c r="J214" i="47"/>
  <c r="O215" i="47"/>
  <c r="B219" i="47"/>
  <c r="J226" i="47"/>
  <c r="P227" i="47"/>
  <c r="Q227" i="47" s="1"/>
  <c r="J231" i="47"/>
  <c r="L232" i="47"/>
  <c r="K236" i="47"/>
  <c r="H239" i="47"/>
  <c r="C245" i="47"/>
  <c r="N245" i="47" s="1"/>
  <c r="N258" i="47"/>
  <c r="N267" i="47"/>
  <c r="J267" i="47"/>
  <c r="B271" i="47"/>
  <c r="C278" i="47"/>
  <c r="E278" i="47" s="1"/>
  <c r="B283" i="47"/>
  <c r="Q325" i="47"/>
  <c r="J288" i="47"/>
  <c r="E288" i="47"/>
  <c r="K300" i="47"/>
  <c r="F319" i="47"/>
  <c r="N322" i="47"/>
  <c r="M333" i="47"/>
  <c r="I333" i="47"/>
  <c r="G333" i="47"/>
  <c r="E333" i="47"/>
  <c r="P351" i="47"/>
  <c r="Q351" i="47"/>
  <c r="F351" i="47"/>
  <c r="D351" i="47"/>
  <c r="O351" i="47" s="1"/>
  <c r="C351" i="47"/>
  <c r="H351" i="47" s="1"/>
  <c r="E290" i="47"/>
  <c r="E293" i="47"/>
  <c r="L300" i="47"/>
  <c r="P303" i="47"/>
  <c r="I308" i="47"/>
  <c r="G308" i="47"/>
  <c r="E308" i="47"/>
  <c r="J316" i="47"/>
  <c r="L329" i="47"/>
  <c r="K329" i="47"/>
  <c r="J329" i="47"/>
  <c r="G329" i="47"/>
  <c r="C329" i="47"/>
  <c r="H329" i="47" s="1"/>
  <c r="B329" i="47"/>
  <c r="N339" i="47"/>
  <c r="L339" i="47"/>
  <c r="H339" i="47"/>
  <c r="G339" i="47"/>
  <c r="E339" i="47"/>
  <c r="Q353" i="47"/>
  <c r="E286" i="47"/>
  <c r="F287" i="47"/>
  <c r="E289" i="47"/>
  <c r="G291" i="47"/>
  <c r="G292" i="47"/>
  <c r="G293" i="47"/>
  <c r="H295" i="47"/>
  <c r="M300" i="47"/>
  <c r="P302" i="47"/>
  <c r="Q302" i="47" s="1"/>
  <c r="M307" i="47"/>
  <c r="K307" i="47"/>
  <c r="I307" i="47"/>
  <c r="E307" i="47"/>
  <c r="D307" i="47"/>
  <c r="O307" i="47" s="1"/>
  <c r="E318" i="47"/>
  <c r="I324" i="47"/>
  <c r="H324" i="47"/>
  <c r="G324" i="47"/>
  <c r="E324" i="47"/>
  <c r="D329" i="47"/>
  <c r="O329" i="47" s="1"/>
  <c r="E336" i="47"/>
  <c r="V337" i="47"/>
  <c r="Q341" i="47"/>
  <c r="I243" i="47"/>
  <c r="P259" i="47"/>
  <c r="Q259" i="47" s="1"/>
  <c r="N260" i="47"/>
  <c r="E285" i="47"/>
  <c r="F286" i="47"/>
  <c r="G287" i="47"/>
  <c r="G288" i="47"/>
  <c r="G289" i="47"/>
  <c r="H291" i="47"/>
  <c r="H292" i="47"/>
  <c r="H293" i="47"/>
  <c r="I316" i="47"/>
  <c r="G316" i="47"/>
  <c r="E316" i="47"/>
  <c r="E329" i="47"/>
  <c r="P355" i="47"/>
  <c r="D355" i="47"/>
  <c r="O355" i="47" s="1"/>
  <c r="C355" i="47"/>
  <c r="E355" i="47" s="1"/>
  <c r="B355" i="47"/>
  <c r="I355" i="47" s="1"/>
  <c r="Q355" i="47"/>
  <c r="M355" i="47"/>
  <c r="L355" i="47"/>
  <c r="K189" i="47"/>
  <c r="K193" i="47"/>
  <c r="K197" i="47"/>
  <c r="K201" i="47"/>
  <c r="O204" i="47"/>
  <c r="K205" i="47"/>
  <c r="O208" i="47"/>
  <c r="K209" i="47"/>
  <c r="G210" i="47"/>
  <c r="O212" i="47"/>
  <c r="K213" i="47"/>
  <c r="G214" i="47"/>
  <c r="O216" i="47"/>
  <c r="G218" i="47"/>
  <c r="O220" i="47"/>
  <c r="G222" i="47"/>
  <c r="O224" i="47"/>
  <c r="G226" i="47"/>
  <c r="O228" i="47"/>
  <c r="K229" i="47"/>
  <c r="G230" i="47"/>
  <c r="O232" i="47"/>
  <c r="G234" i="47"/>
  <c r="O236" i="47"/>
  <c r="K237" i="47"/>
  <c r="G238" i="47"/>
  <c r="J243" i="47"/>
  <c r="E247" i="47"/>
  <c r="D247" i="47"/>
  <c r="O247" i="47" s="1"/>
  <c r="P249" i="47"/>
  <c r="I252" i="47"/>
  <c r="G253" i="47"/>
  <c r="N263" i="47"/>
  <c r="L264" i="47"/>
  <c r="J265" i="47"/>
  <c r="K266" i="47"/>
  <c r="G285" i="47"/>
  <c r="H287" i="47"/>
  <c r="H288" i="47"/>
  <c r="H289" i="47"/>
  <c r="J290" i="47"/>
  <c r="J291" i="47"/>
  <c r="I292" i="47"/>
  <c r="I293" i="47"/>
  <c r="C307" i="47"/>
  <c r="N307" i="47" s="1"/>
  <c r="H308" i="47"/>
  <c r="P311" i="47"/>
  <c r="Q311" i="47" s="1"/>
  <c r="D315" i="47"/>
  <c r="O315" i="47" s="1"/>
  <c r="G318" i="47"/>
  <c r="D323" i="47"/>
  <c r="O323" i="47" s="1"/>
  <c r="F329" i="47"/>
  <c r="K333" i="47"/>
  <c r="I339" i="47"/>
  <c r="F355" i="47"/>
  <c r="P144" i="47"/>
  <c r="Q144" i="47" s="1"/>
  <c r="P148" i="47"/>
  <c r="Q148" i="47" s="1"/>
  <c r="P152" i="47"/>
  <c r="H154" i="47"/>
  <c r="P156" i="47"/>
  <c r="Q156" i="47" s="1"/>
  <c r="H158" i="47"/>
  <c r="P160" i="47"/>
  <c r="H162" i="47"/>
  <c r="P164" i="47"/>
  <c r="Q164" i="47" s="1"/>
  <c r="H166" i="47"/>
  <c r="P168" i="47"/>
  <c r="Q168" i="47" s="1"/>
  <c r="H170" i="47"/>
  <c r="P172" i="47"/>
  <c r="Q172" i="47" s="1"/>
  <c r="H174" i="47"/>
  <c r="P176" i="47"/>
  <c r="Q176" i="47" s="1"/>
  <c r="H178" i="47"/>
  <c r="P180" i="47"/>
  <c r="H182" i="47"/>
  <c r="P184" i="47"/>
  <c r="Q184" i="47" s="1"/>
  <c r="H186" i="47"/>
  <c r="P188" i="47"/>
  <c r="L189" i="47"/>
  <c r="H190" i="47"/>
  <c r="P192" i="47"/>
  <c r="L193" i="47"/>
  <c r="H194" i="47"/>
  <c r="P196" i="47"/>
  <c r="L197" i="47"/>
  <c r="H198" i="47"/>
  <c r="P200" i="47"/>
  <c r="Q200" i="47" s="1"/>
  <c r="L201" i="47"/>
  <c r="H202" i="47"/>
  <c r="P204" i="47"/>
  <c r="L205" i="47"/>
  <c r="H206" i="47"/>
  <c r="P208" i="47"/>
  <c r="L209" i="47"/>
  <c r="H210" i="47"/>
  <c r="P212" i="47"/>
  <c r="H214" i="47"/>
  <c r="P216" i="47"/>
  <c r="L217" i="47"/>
  <c r="H218" i="47"/>
  <c r="P220" i="47"/>
  <c r="L221" i="47"/>
  <c r="H222" i="47"/>
  <c r="P224" i="47"/>
  <c r="Q224" i="47" s="1"/>
  <c r="H226" i="47"/>
  <c r="P228" i="47"/>
  <c r="H230" i="47"/>
  <c r="P232" i="47"/>
  <c r="Q232" i="47" s="1"/>
  <c r="H234" i="47"/>
  <c r="P236" i="47"/>
  <c r="Q236" i="47" s="1"/>
  <c r="L237" i="47"/>
  <c r="H238" i="47"/>
  <c r="K243" i="47"/>
  <c r="B247" i="47"/>
  <c r="I247" i="47" s="1"/>
  <c r="J252" i="47"/>
  <c r="H253" i="47"/>
  <c r="Q257" i="47"/>
  <c r="M257" i="47"/>
  <c r="L257" i="47"/>
  <c r="V259" i="47"/>
  <c r="P262" i="47"/>
  <c r="Q262" i="47" s="1"/>
  <c r="M264" i="47"/>
  <c r="K265" i="47"/>
  <c r="L266" i="47"/>
  <c r="L267" i="47"/>
  <c r="H285" i="47"/>
  <c r="J286" i="47"/>
  <c r="J287" i="47"/>
  <c r="I288" i="47"/>
  <c r="I289" i="47"/>
  <c r="K290" i="47"/>
  <c r="K291" i="47"/>
  <c r="K292" i="47"/>
  <c r="J293" i="47"/>
  <c r="L295" i="47"/>
  <c r="N298" i="47"/>
  <c r="P299" i="47"/>
  <c r="Q299" i="47" s="1"/>
  <c r="J304" i="47"/>
  <c r="F307" i="47"/>
  <c r="K308" i="47"/>
  <c r="B315" i="47"/>
  <c r="J318" i="47"/>
  <c r="O319" i="47"/>
  <c r="B323" i="47"/>
  <c r="K324" i="47"/>
  <c r="L328" i="47"/>
  <c r="P328" i="47"/>
  <c r="Q328" i="47" s="1"/>
  <c r="O328" i="47"/>
  <c r="N328" i="47"/>
  <c r="M328" i="47"/>
  <c r="J328" i="47"/>
  <c r="F328" i="47"/>
  <c r="H328" i="47" s="1"/>
  <c r="E328" i="47"/>
  <c r="P331" i="47"/>
  <c r="Q331" i="47" s="1"/>
  <c r="G331" i="47"/>
  <c r="F331" i="47"/>
  <c r="L331" i="47" s="1"/>
  <c r="E331" i="47"/>
  <c r="D331" i="47"/>
  <c r="O331" i="47" s="1"/>
  <c r="B331" i="47"/>
  <c r="K331" i="47" s="1"/>
  <c r="N331" i="47"/>
  <c r="M331" i="47"/>
  <c r="L333" i="47"/>
  <c r="J339" i="47"/>
  <c r="P345" i="47"/>
  <c r="Q345" i="47" s="1"/>
  <c r="L345" i="47"/>
  <c r="G345" i="47"/>
  <c r="F345" i="47"/>
  <c r="D345" i="47"/>
  <c r="O345" i="47" s="1"/>
  <c r="C345" i="47"/>
  <c r="H345" i="47" s="1"/>
  <c r="G355" i="47"/>
  <c r="I154" i="47"/>
  <c r="Q160" i="47"/>
  <c r="Q180" i="47"/>
  <c r="I186" i="47"/>
  <c r="Q188" i="47"/>
  <c r="M189" i="47"/>
  <c r="I190" i="47"/>
  <c r="Q192" i="47"/>
  <c r="M193" i="47"/>
  <c r="Q196" i="47"/>
  <c r="M197" i="47"/>
  <c r="M201" i="47"/>
  <c r="Q204" i="47"/>
  <c r="M205" i="47"/>
  <c r="I206" i="47"/>
  <c r="Q208" i="47"/>
  <c r="M209" i="47"/>
  <c r="I210" i="47"/>
  <c r="Q212" i="47"/>
  <c r="M213" i="47"/>
  <c r="I214" i="47"/>
  <c r="Q216" i="47"/>
  <c r="I218" i="47"/>
  <c r="Q220" i="47"/>
  <c r="M221" i="47"/>
  <c r="I222" i="47"/>
  <c r="I226" i="47"/>
  <c r="Q228" i="47"/>
  <c r="I230" i="47"/>
  <c r="I234" i="47"/>
  <c r="M237" i="47"/>
  <c r="I238" i="47"/>
  <c r="L243" i="47"/>
  <c r="M258" i="47"/>
  <c r="I258" i="47"/>
  <c r="H258" i="47"/>
  <c r="N264" i="47"/>
  <c r="M267" i="47"/>
  <c r="I285" i="47"/>
  <c r="K286" i="47"/>
  <c r="K287" i="47"/>
  <c r="K288" i="47"/>
  <c r="J289" i="47"/>
  <c r="L291" i="47"/>
  <c r="G307" i="47"/>
  <c r="L308" i="47"/>
  <c r="V311" i="47"/>
  <c r="C315" i="47"/>
  <c r="K315" i="47" s="1"/>
  <c r="H316" i="47"/>
  <c r="C323" i="47"/>
  <c r="N323" i="47" s="1"/>
  <c r="M324" i="47"/>
  <c r="N329" i="47"/>
  <c r="N333" i="47"/>
  <c r="P335" i="47"/>
  <c r="Q335" i="47" s="1"/>
  <c r="J335" i="47"/>
  <c r="I335" i="47"/>
  <c r="G335" i="47"/>
  <c r="C335" i="47"/>
  <c r="B335" i="47"/>
  <c r="K335" i="47" s="1"/>
  <c r="O335" i="47"/>
  <c r="K339" i="47"/>
  <c r="D342" i="47"/>
  <c r="O342" i="47" s="1"/>
  <c r="H342" i="47"/>
  <c r="G342" i="47"/>
  <c r="F342" i="47"/>
  <c r="C342" i="47"/>
  <c r="M342" i="47" s="1"/>
  <c r="P342" i="47"/>
  <c r="B345" i="47"/>
  <c r="V351" i="47"/>
  <c r="J355" i="47"/>
  <c r="M249" i="47"/>
  <c r="L249" i="47"/>
  <c r="I259" i="47"/>
  <c r="E259" i="47"/>
  <c r="D259" i="47"/>
  <c r="O259" i="47" s="1"/>
  <c r="J285" i="47"/>
  <c r="L288" i="47"/>
  <c r="K289" i="47"/>
  <c r="V299" i="47"/>
  <c r="D303" i="47"/>
  <c r="Q303" i="47" s="1"/>
  <c r="G304" i="47"/>
  <c r="E304" i="47"/>
  <c r="K316" i="47"/>
  <c r="V343" i="47"/>
  <c r="L350" i="47"/>
  <c r="G350" i="47"/>
  <c r="N363" i="47"/>
  <c r="K285" i="47"/>
  <c r="M288" i="47"/>
  <c r="B302" i="47"/>
  <c r="M302" i="47"/>
  <c r="L316" i="47"/>
  <c r="P329" i="47"/>
  <c r="Q329" i="47" s="1"/>
  <c r="L363" i="47"/>
  <c r="K363" i="47"/>
  <c r="J363" i="47"/>
  <c r="I363" i="47"/>
  <c r="C259" i="47"/>
  <c r="M262" i="47"/>
  <c r="I262" i="47"/>
  <c r="H262" i="47"/>
  <c r="O286" i="47"/>
  <c r="N288" i="47"/>
  <c r="J300" i="47"/>
  <c r="C302" i="47"/>
  <c r="L302" i="47" s="1"/>
  <c r="C303" i="47"/>
  <c r="K303" i="47" s="1"/>
  <c r="E314" i="47"/>
  <c r="M316" i="47"/>
  <c r="H323" i="47"/>
  <c r="G328" i="47"/>
  <c r="J331" i="47"/>
  <c r="F335" i="47"/>
  <c r="L335" i="47" s="1"/>
  <c r="J345" i="47"/>
  <c r="Q189" i="47"/>
  <c r="Q193" i="47"/>
  <c r="Q197" i="47"/>
  <c r="Q201" i="47"/>
  <c r="Q205" i="47"/>
  <c r="Q209" i="47"/>
  <c r="Q213" i="47"/>
  <c r="Q217" i="47"/>
  <c r="Q221" i="47"/>
  <c r="Q225" i="47"/>
  <c r="Q229" i="47"/>
  <c r="Q233" i="47"/>
  <c r="Q237" i="47"/>
  <c r="D249" i="47"/>
  <c r="O249" i="47" s="1"/>
  <c r="V251" i="47"/>
  <c r="F259" i="47"/>
  <c r="B262" i="47"/>
  <c r="I263" i="47"/>
  <c r="E263" i="47"/>
  <c r="D263" i="47"/>
  <c r="O263" i="47" s="1"/>
  <c r="Q264" i="47"/>
  <c r="V295" i="47"/>
  <c r="D302" i="47"/>
  <c r="O302" i="47" s="1"/>
  <c r="F303" i="47"/>
  <c r="H304" i="47"/>
  <c r="I312" i="47"/>
  <c r="G312" i="47"/>
  <c r="E312" i="47"/>
  <c r="N316" i="47"/>
  <c r="E322" i="47"/>
  <c r="J347" i="47"/>
  <c r="N347" i="47"/>
  <c r="M356" i="47"/>
  <c r="K356" i="47"/>
  <c r="J356" i="47"/>
  <c r="E356" i="47"/>
  <c r="H363" i="47"/>
  <c r="Q265" i="47"/>
  <c r="N299" i="47"/>
  <c r="D299" i="47"/>
  <c r="O299" i="47" s="1"/>
  <c r="G300" i="47"/>
  <c r="E300" i="47"/>
  <c r="E302" i="47"/>
  <c r="I304" i="47"/>
  <c r="N311" i="47"/>
  <c r="M311" i="47"/>
  <c r="K311" i="47"/>
  <c r="I311" i="47"/>
  <c r="E311" i="47"/>
  <c r="D311" i="47"/>
  <c r="O311" i="47" s="1"/>
  <c r="G314" i="47"/>
  <c r="I328" i="47"/>
  <c r="D330" i="47"/>
  <c r="O330" i="47" s="1"/>
  <c r="P330" i="47"/>
  <c r="Q330" i="47" s="1"/>
  <c r="M345" i="47"/>
  <c r="Q369" i="47"/>
  <c r="C213" i="47"/>
  <c r="C217" i="47"/>
  <c r="C221" i="47"/>
  <c r="K221" i="47" s="1"/>
  <c r="C225" i="47"/>
  <c r="E225" i="47" s="1"/>
  <c r="C229" i="47"/>
  <c r="C233" i="47"/>
  <c r="C237" i="47"/>
  <c r="E237" i="47" s="1"/>
  <c r="H240" i="47"/>
  <c r="V243" i="47"/>
  <c r="H248" i="47"/>
  <c r="F249" i="47"/>
  <c r="Q252" i="47"/>
  <c r="H257" i="47"/>
  <c r="H259" i="47"/>
  <c r="G260" i="47"/>
  <c r="D262" i="47"/>
  <c r="O262" i="47" s="1"/>
  <c r="B298" i="47"/>
  <c r="H298" i="47"/>
  <c r="B299" i="47"/>
  <c r="F302" i="47"/>
  <c r="H303" i="47"/>
  <c r="K304" i="47"/>
  <c r="Q307" i="47"/>
  <c r="B311" i="47"/>
  <c r="J314" i="47"/>
  <c r="I320" i="47"/>
  <c r="G320" i="47"/>
  <c r="E320" i="47"/>
  <c r="G322" i="47"/>
  <c r="P323" i="47"/>
  <c r="Q323" i="47" s="1"/>
  <c r="B330" i="47"/>
  <c r="E341" i="47"/>
  <c r="E347" i="47"/>
  <c r="M350" i="47"/>
  <c r="Q402" i="47"/>
  <c r="I240" i="47"/>
  <c r="E243" i="47"/>
  <c r="D243" i="47"/>
  <c r="O243" i="47" s="1"/>
  <c r="I248" i="47"/>
  <c r="G249" i="47"/>
  <c r="I257" i="47"/>
  <c r="J259" i="47"/>
  <c r="H260" i="47"/>
  <c r="E262" i="47"/>
  <c r="I267" i="47"/>
  <c r="E267" i="47"/>
  <c r="D267" i="47"/>
  <c r="O267" i="47" s="1"/>
  <c r="Q268" i="47"/>
  <c r="B294" i="47"/>
  <c r="M294" i="47"/>
  <c r="N295" i="47"/>
  <c r="I295" i="47"/>
  <c r="E295" i="47"/>
  <c r="D295" i="47"/>
  <c r="O295" i="47" s="1"/>
  <c r="C298" i="47"/>
  <c r="C299" i="47"/>
  <c r="J299" i="47" s="1"/>
  <c r="L304" i="47"/>
  <c r="C311" i="47"/>
  <c r="L311" i="47" s="1"/>
  <c r="H312" i="47"/>
  <c r="K314" i="47"/>
  <c r="P315" i="47"/>
  <c r="Q315" i="47" s="1"/>
  <c r="N319" i="47"/>
  <c r="I319" i="47"/>
  <c r="E319" i="47"/>
  <c r="D319" i="47"/>
  <c r="J322" i="47"/>
  <c r="F325" i="47"/>
  <c r="D325" i="47"/>
  <c r="B325" i="47"/>
  <c r="O325" i="47"/>
  <c r="N325" i="47"/>
  <c r="C330" i="47"/>
  <c r="M330" i="47" s="1"/>
  <c r="I354" i="47"/>
  <c r="G356" i="47"/>
  <c r="N364" i="47"/>
  <c r="K364" i="47"/>
  <c r="E364" i="47"/>
  <c r="D364" i="47"/>
  <c r="C364" i="47"/>
  <c r="L364" i="47" s="1"/>
  <c r="B364" i="47"/>
  <c r="M364" i="47" s="1"/>
  <c r="P364" i="47"/>
  <c r="Q364" i="47" s="1"/>
  <c r="O364" i="47"/>
  <c r="J364" i="47"/>
  <c r="I364" i="47"/>
  <c r="H364" i="47"/>
  <c r="G364" i="47"/>
  <c r="J366" i="47"/>
  <c r="F366" i="47"/>
  <c r="N366" i="47" s="1"/>
  <c r="D366" i="47"/>
  <c r="C366" i="47"/>
  <c r="E366" i="47" s="1"/>
  <c r="B366" i="47"/>
  <c r="P366" i="47"/>
  <c r="Q366" i="47" s="1"/>
  <c r="O366" i="47"/>
  <c r="M366" i="47"/>
  <c r="B243" i="47"/>
  <c r="G243" i="47" s="1"/>
  <c r="H249" i="47"/>
  <c r="M253" i="47"/>
  <c r="L253" i="47"/>
  <c r="K259" i="47"/>
  <c r="I260" i="47"/>
  <c r="F262" i="47"/>
  <c r="N262" i="47" s="1"/>
  <c r="C266" i="47"/>
  <c r="B267" i="47"/>
  <c r="K267" i="47" s="1"/>
  <c r="Q269" i="47"/>
  <c r="Q288" i="47"/>
  <c r="B290" i="47"/>
  <c r="G290" i="47" s="1"/>
  <c r="M290" i="47"/>
  <c r="I290" i="47"/>
  <c r="H290" i="47"/>
  <c r="N291" i="47"/>
  <c r="I291" i="47"/>
  <c r="E291" i="47"/>
  <c r="D291" i="47"/>
  <c r="O291" i="47" s="1"/>
  <c r="C294" i="47"/>
  <c r="L294" i="47" s="1"/>
  <c r="B295" i="47"/>
  <c r="G295" i="47" s="1"/>
  <c r="J296" i="47"/>
  <c r="E296" i="47"/>
  <c r="D298" i="47"/>
  <c r="Q298" i="47" s="1"/>
  <c r="F299" i="47"/>
  <c r="H300" i="47"/>
  <c r="J302" i="47"/>
  <c r="M304" i="47"/>
  <c r="F311" i="47"/>
  <c r="H311" i="47" s="1"/>
  <c r="K312" i="47"/>
  <c r="L314" i="47"/>
  <c r="B319" i="47"/>
  <c r="K322" i="47"/>
  <c r="C325" i="47"/>
  <c r="H325" i="47" s="1"/>
  <c r="J327" i="47"/>
  <c r="F330" i="47"/>
  <c r="O333" i="47"/>
  <c r="G334" i="47"/>
  <c r="G341" i="47"/>
  <c r="G347" i="47"/>
  <c r="D349" i="47"/>
  <c r="O349" i="47" s="1"/>
  <c r="C349" i="47"/>
  <c r="M349" i="47" s="1"/>
  <c r="B349" i="47"/>
  <c r="Q349" i="47"/>
  <c r="J354" i="47"/>
  <c r="N361" i="47"/>
  <c r="M361" i="47"/>
  <c r="L361" i="47"/>
  <c r="F364" i="47"/>
  <c r="K366" i="47"/>
  <c r="Q397" i="47"/>
  <c r="Q281" i="47"/>
  <c r="B286" i="47"/>
  <c r="G286" i="47" s="1"/>
  <c r="M286" i="47"/>
  <c r="I286" i="47"/>
  <c r="H286" i="47"/>
  <c r="N287" i="47"/>
  <c r="I287" i="47"/>
  <c r="E287" i="47"/>
  <c r="D287" i="47"/>
  <c r="O287" i="47" s="1"/>
  <c r="J292" i="47"/>
  <c r="E292" i="47"/>
  <c r="E298" i="47"/>
  <c r="G299" i="47"/>
  <c r="I300" i="47"/>
  <c r="K302" i="47"/>
  <c r="M303" i="47"/>
  <c r="N304" i="47"/>
  <c r="J308" i="47"/>
  <c r="G311" i="47"/>
  <c r="L312" i="47"/>
  <c r="V315" i="47"/>
  <c r="C319" i="47"/>
  <c r="H320" i="47"/>
  <c r="L336" i="47"/>
  <c r="I336" i="47"/>
  <c r="H336" i="47"/>
  <c r="G336" i="47"/>
  <c r="F336" i="47"/>
  <c r="D336" i="47"/>
  <c r="O336" i="47" s="1"/>
  <c r="Q336" i="47"/>
  <c r="P336" i="47"/>
  <c r="N336" i="47"/>
  <c r="M336" i="47"/>
  <c r="M341" i="47"/>
  <c r="L347" i="47"/>
  <c r="F349" i="47"/>
  <c r="V352" i="47"/>
  <c r="K361" i="47"/>
  <c r="J406" i="47"/>
  <c r="I406" i="47"/>
  <c r="G406" i="47"/>
  <c r="F406" i="47"/>
  <c r="D406" i="47"/>
  <c r="C406" i="47"/>
  <c r="L406" i="47" s="1"/>
  <c r="B406" i="47"/>
  <c r="O406" i="47"/>
  <c r="P369" i="47"/>
  <c r="F373" i="47"/>
  <c r="J373" i="47" s="1"/>
  <c r="I380" i="47"/>
  <c r="G383" i="47"/>
  <c r="F383" i="47"/>
  <c r="C383" i="47"/>
  <c r="J383" i="47" s="1"/>
  <c r="B383" i="47"/>
  <c r="P383" i="47"/>
  <c r="N383" i="47"/>
  <c r="C388" i="47"/>
  <c r="L388" i="47" s="1"/>
  <c r="B388" i="47"/>
  <c r="N388" i="47"/>
  <c r="J388" i="47"/>
  <c r="O394" i="47"/>
  <c r="E406" i="47"/>
  <c r="V334" i="47"/>
  <c r="L340" i="47"/>
  <c r="Q346" i="47"/>
  <c r="N353" i="47"/>
  <c r="K354" i="47"/>
  <c r="B357" i="47"/>
  <c r="P358" i="47"/>
  <c r="M359" i="47"/>
  <c r="P368" i="47"/>
  <c r="Q368" i="47" s="1"/>
  <c r="B373" i="47"/>
  <c r="J378" i="47"/>
  <c r="G378" i="47"/>
  <c r="F378" i="47"/>
  <c r="D378" i="47"/>
  <c r="C378" i="47"/>
  <c r="B378" i="47"/>
  <c r="K378" i="47" s="1"/>
  <c r="D383" i="47"/>
  <c r="O383" i="47" s="1"/>
  <c r="D388" i="47"/>
  <c r="O388" i="47" s="1"/>
  <c r="E389" i="47"/>
  <c r="P394" i="47"/>
  <c r="Q394" i="47" s="1"/>
  <c r="E397" i="47"/>
  <c r="H406" i="47"/>
  <c r="V409" i="47"/>
  <c r="V346" i="47"/>
  <c r="L354" i="47"/>
  <c r="C357" i="47"/>
  <c r="K357" i="47" s="1"/>
  <c r="Q358" i="47"/>
  <c r="N359" i="47"/>
  <c r="O360" i="47"/>
  <c r="B372" i="47"/>
  <c r="M372" i="47" s="1"/>
  <c r="N372" i="47"/>
  <c r="L372" i="47"/>
  <c r="K372" i="47"/>
  <c r="J372" i="47"/>
  <c r="C373" i="47"/>
  <c r="L373" i="47" s="1"/>
  <c r="M375" i="47"/>
  <c r="E378" i="47"/>
  <c r="P380" i="47"/>
  <c r="E383" i="47"/>
  <c r="E388" i="47"/>
  <c r="I389" i="47"/>
  <c r="E393" i="47"/>
  <c r="I397" i="47"/>
  <c r="E408" i="47"/>
  <c r="M408" i="47"/>
  <c r="Q420" i="47"/>
  <c r="Q446" i="47"/>
  <c r="F371" i="47"/>
  <c r="B371" i="47"/>
  <c r="P371" i="47"/>
  <c r="N371" i="47"/>
  <c r="D373" i="47"/>
  <c r="H383" i="47"/>
  <c r="F387" i="47"/>
  <c r="J387" i="47" s="1"/>
  <c r="C387" i="47"/>
  <c r="H387" i="47" s="1"/>
  <c r="B387" i="47"/>
  <c r="I387" i="47" s="1"/>
  <c r="P387" i="47"/>
  <c r="N387" i="47"/>
  <c r="F388" i="47"/>
  <c r="H388" i="47" s="1"/>
  <c r="I393" i="47"/>
  <c r="G399" i="47"/>
  <c r="F399" i="47"/>
  <c r="C399" i="47"/>
  <c r="I399" i="47" s="1"/>
  <c r="B399" i="47"/>
  <c r="P399" i="47"/>
  <c r="O399" i="47"/>
  <c r="H410" i="47"/>
  <c r="G410" i="47"/>
  <c r="F410" i="47"/>
  <c r="D410" i="47"/>
  <c r="O410" i="47" s="1"/>
  <c r="C410" i="47"/>
  <c r="N410" i="47" s="1"/>
  <c r="Q410" i="47"/>
  <c r="P244" i="47"/>
  <c r="Q244" i="47" s="1"/>
  <c r="P248" i="47"/>
  <c r="Q248" i="47" s="1"/>
  <c r="P252" i="47"/>
  <c r="P256" i="47"/>
  <c r="Q256" i="47" s="1"/>
  <c r="P260" i="47"/>
  <c r="Q260" i="47" s="1"/>
  <c r="L261" i="47"/>
  <c r="P264" i="47"/>
  <c r="L265" i="47"/>
  <c r="P268" i="47"/>
  <c r="L269" i="47"/>
  <c r="P272" i="47"/>
  <c r="Q272" i="47" s="1"/>
  <c r="L273" i="47"/>
  <c r="P276" i="47"/>
  <c r="Q276" i="47" s="1"/>
  <c r="L277" i="47"/>
  <c r="P280" i="47"/>
  <c r="Q280" i="47" s="1"/>
  <c r="L281" i="47"/>
  <c r="P284" i="47"/>
  <c r="Q284" i="47" s="1"/>
  <c r="L285" i="47"/>
  <c r="P288" i="47"/>
  <c r="L289" i="47"/>
  <c r="P292" i="47"/>
  <c r="Q292" i="47" s="1"/>
  <c r="L293" i="47"/>
  <c r="P296" i="47"/>
  <c r="Q296" i="47" s="1"/>
  <c r="L297" i="47"/>
  <c r="P300" i="47"/>
  <c r="Q300" i="47" s="1"/>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O348" i="47"/>
  <c r="I350" i="47"/>
  <c r="C352" i="47"/>
  <c r="N354" i="47"/>
  <c r="H356" i="47"/>
  <c r="E357" i="47"/>
  <c r="B358" i="47"/>
  <c r="M358" i="47" s="1"/>
  <c r="P361" i="47"/>
  <c r="Q361" i="47" s="1"/>
  <c r="M363" i="47"/>
  <c r="C371" i="47"/>
  <c r="I371" i="47" s="1"/>
  <c r="D372" i="47"/>
  <c r="O372" i="47" s="1"/>
  <c r="E373" i="47"/>
  <c r="O377" i="47"/>
  <c r="N377" i="47"/>
  <c r="K377" i="47"/>
  <c r="J377" i="47"/>
  <c r="H377" i="47"/>
  <c r="G377" i="47"/>
  <c r="F377" i="47"/>
  <c r="I378" i="47"/>
  <c r="J382" i="47"/>
  <c r="G382" i="47"/>
  <c r="F382" i="47"/>
  <c r="D382" i="47"/>
  <c r="C382" i="47"/>
  <c r="E382" i="47" s="1"/>
  <c r="B382" i="47"/>
  <c r="I383" i="47"/>
  <c r="M384" i="47"/>
  <c r="D387" i="47"/>
  <c r="O387" i="47" s="1"/>
  <c r="G388" i="47"/>
  <c r="E392" i="47"/>
  <c r="P397" i="47"/>
  <c r="D399" i="47"/>
  <c r="I402" i="47"/>
  <c r="G402" i="47"/>
  <c r="F402" i="47"/>
  <c r="D402" i="47"/>
  <c r="O402" i="47" s="1"/>
  <c r="C402" i="47"/>
  <c r="B402" i="47"/>
  <c r="O405" i="47"/>
  <c r="F405" i="47"/>
  <c r="J405" i="47" s="1"/>
  <c r="C405" i="47"/>
  <c r="N405" i="47" s="1"/>
  <c r="N406" i="47"/>
  <c r="B410" i="47"/>
  <c r="M261" i="47"/>
  <c r="M265" i="47"/>
  <c r="M269" i="47"/>
  <c r="M273" i="47"/>
  <c r="M277" i="47"/>
  <c r="M281" i="47"/>
  <c r="M285" i="47"/>
  <c r="M289" i="47"/>
  <c r="M293" i="47"/>
  <c r="M297" i="47"/>
  <c r="M301" i="47"/>
  <c r="M305" i="47"/>
  <c r="I306" i="47"/>
  <c r="M309" i="47"/>
  <c r="I310" i="47"/>
  <c r="Q312" i="47"/>
  <c r="M313" i="47"/>
  <c r="I314" i="47"/>
  <c r="Q316" i="47"/>
  <c r="M317" i="47"/>
  <c r="I318" i="47"/>
  <c r="Q320" i="47"/>
  <c r="M321" i="47"/>
  <c r="I322" i="47"/>
  <c r="L324" i="47"/>
  <c r="I327" i="47"/>
  <c r="F334" i="47"/>
  <c r="H334" i="47" s="1"/>
  <c r="E340" i="47"/>
  <c r="E346" i="47"/>
  <c r="J350" i="47"/>
  <c r="D352" i="47"/>
  <c r="O352" i="47" s="1"/>
  <c r="H353" i="47"/>
  <c r="O354" i="47"/>
  <c r="F357" i="47"/>
  <c r="H357" i="47" s="1"/>
  <c r="C358" i="47"/>
  <c r="P359" i="47"/>
  <c r="Q359" i="47" s="1"/>
  <c r="O359" i="47"/>
  <c r="F370" i="47"/>
  <c r="D370" i="47"/>
  <c r="Q370" i="47" s="1"/>
  <c r="C370" i="47"/>
  <c r="L370" i="47" s="1"/>
  <c r="B370" i="47"/>
  <c r="D371" i="47"/>
  <c r="O371" i="47" s="1"/>
  <c r="E372" i="47"/>
  <c r="I373" i="47"/>
  <c r="B377" i="47"/>
  <c r="I377" i="47" s="1"/>
  <c r="L378" i="47"/>
  <c r="E387" i="47"/>
  <c r="G395" i="47"/>
  <c r="F395" i="47"/>
  <c r="C395" i="47"/>
  <c r="N395" i="47" s="1"/>
  <c r="B395" i="47"/>
  <c r="P395" i="47"/>
  <c r="Q395" i="47" s="1"/>
  <c r="O395" i="47"/>
  <c r="G396" i="47"/>
  <c r="H399" i="47"/>
  <c r="E402" i="47"/>
  <c r="B405" i="47"/>
  <c r="P406" i="47"/>
  <c r="Q406" i="47" s="1"/>
  <c r="H408" i="47"/>
  <c r="F369" i="47"/>
  <c r="K383" i="47"/>
  <c r="I388" i="47"/>
  <c r="G391" i="47"/>
  <c r="F391" i="47"/>
  <c r="C391" i="47"/>
  <c r="H391" i="47" s="1"/>
  <c r="B391" i="47"/>
  <c r="P391" i="47"/>
  <c r="P421" i="47"/>
  <c r="O421" i="47"/>
  <c r="K421" i="47"/>
  <c r="J421" i="47"/>
  <c r="I421" i="47"/>
  <c r="H421" i="47"/>
  <c r="G421" i="47"/>
  <c r="F421" i="47"/>
  <c r="L421" i="47" s="1"/>
  <c r="E421" i="47"/>
  <c r="D421" i="47"/>
  <c r="Q421" i="47" s="1"/>
  <c r="C421" i="47"/>
  <c r="N421" i="47" s="1"/>
  <c r="B421" i="47"/>
  <c r="I357" i="47"/>
  <c r="F358" i="47"/>
  <c r="L360" i="47"/>
  <c r="K360" i="47"/>
  <c r="B368" i="47"/>
  <c r="N368" i="47"/>
  <c r="L368" i="47"/>
  <c r="K368" i="47"/>
  <c r="J368" i="47"/>
  <c r="B369" i="47"/>
  <c r="G371" i="47"/>
  <c r="M373" i="47"/>
  <c r="C376" i="47"/>
  <c r="L376" i="47" s="1"/>
  <c r="B376" i="47"/>
  <c r="N376" i="47"/>
  <c r="K376" i="47"/>
  <c r="J376" i="47"/>
  <c r="N378" i="47"/>
  <c r="O381" i="47"/>
  <c r="N381" i="47"/>
  <c r="K381" i="47"/>
  <c r="J381" i="47"/>
  <c r="H381" i="47"/>
  <c r="G381" i="47"/>
  <c r="F381" i="47"/>
  <c r="L383" i="47"/>
  <c r="J386" i="47"/>
  <c r="F386" i="47"/>
  <c r="H386" i="47" s="1"/>
  <c r="D386" i="47"/>
  <c r="Q386" i="47" s="1"/>
  <c r="C386" i="47"/>
  <c r="I386" i="47" s="1"/>
  <c r="B386" i="47"/>
  <c r="M388" i="47"/>
  <c r="D391" i="47"/>
  <c r="O391" i="47" s="1"/>
  <c r="H392" i="47"/>
  <c r="J399" i="47"/>
  <c r="J357" i="47"/>
  <c r="G358" i="47"/>
  <c r="B360" i="47"/>
  <c r="J361" i="47"/>
  <c r="F367" i="47"/>
  <c r="B367" i="47"/>
  <c r="P367" i="47"/>
  <c r="Q367" i="47" s="1"/>
  <c r="O367" i="47"/>
  <c r="C368" i="47"/>
  <c r="C369" i="47"/>
  <c r="E369" i="47" s="1"/>
  <c r="H371" i="47"/>
  <c r="H372" i="47"/>
  <c r="O373" i="47"/>
  <c r="D376" i="47"/>
  <c r="Q376" i="47" s="1"/>
  <c r="E377" i="47"/>
  <c r="O378" i="47"/>
  <c r="B381" i="47"/>
  <c r="E386" i="47"/>
  <c r="P388" i="47"/>
  <c r="I392" i="47"/>
  <c r="L399" i="47"/>
  <c r="Q285" i="47"/>
  <c r="Q289" i="47"/>
  <c r="Q293" i="47"/>
  <c r="Q297" i="47"/>
  <c r="Q301" i="47"/>
  <c r="Q305" i="47"/>
  <c r="M306" i="47"/>
  <c r="Q309" i="47"/>
  <c r="M310" i="47"/>
  <c r="Q313" i="47"/>
  <c r="M314" i="47"/>
  <c r="Q317" i="47"/>
  <c r="M318" i="47"/>
  <c r="Q321" i="47"/>
  <c r="M322" i="47"/>
  <c r="M327" i="47"/>
  <c r="J334" i="47"/>
  <c r="H337" i="47"/>
  <c r="I340" i="47"/>
  <c r="I346" i="47"/>
  <c r="C348" i="47"/>
  <c r="M348" i="47" s="1"/>
  <c r="N350" i="47"/>
  <c r="E353" i="47"/>
  <c r="B354" i="47"/>
  <c r="N356" i="47"/>
  <c r="H358" i="47"/>
  <c r="E359" i="47"/>
  <c r="C360" i="47"/>
  <c r="M360" i="47" s="1"/>
  <c r="B361" i="47"/>
  <c r="G361" i="47" s="1"/>
  <c r="F362" i="47"/>
  <c r="D362" i="47"/>
  <c r="O362" i="47" s="1"/>
  <c r="C362" i="47"/>
  <c r="E362" i="47" s="1"/>
  <c r="B363" i="47"/>
  <c r="P363" i="47"/>
  <c r="Q363" i="47" s="1"/>
  <c r="O363" i="47"/>
  <c r="C367" i="47"/>
  <c r="D368" i="47"/>
  <c r="O368" i="47" s="1"/>
  <c r="D369" i="47"/>
  <c r="O369" i="47" s="1"/>
  <c r="I372" i="47"/>
  <c r="P373" i="47"/>
  <c r="E376" i="47"/>
  <c r="P378" i="47"/>
  <c r="Q378" i="47" s="1"/>
  <c r="C381" i="47"/>
  <c r="Q383" i="47"/>
  <c r="K387" i="47"/>
  <c r="Q388" i="47"/>
  <c r="K398" i="47"/>
  <c r="J398" i="47"/>
  <c r="I398" i="47"/>
  <c r="G398" i="47"/>
  <c r="F398" i="47"/>
  <c r="D398" i="47"/>
  <c r="Q398" i="47" s="1"/>
  <c r="C398" i="47"/>
  <c r="B398" i="47"/>
  <c r="O398" i="47"/>
  <c r="K401" i="47"/>
  <c r="F401" i="47"/>
  <c r="C401" i="47"/>
  <c r="I401" i="47" s="1"/>
  <c r="G375" i="47"/>
  <c r="F375" i="47"/>
  <c r="C375" i="47"/>
  <c r="J375" i="47" s="1"/>
  <c r="B375" i="47"/>
  <c r="P375" i="47"/>
  <c r="Q375" i="47" s="1"/>
  <c r="C380" i="47"/>
  <c r="H380" i="47" s="1"/>
  <c r="B380" i="47"/>
  <c r="O380" i="47"/>
  <c r="N380" i="47"/>
  <c r="J380" i="47"/>
  <c r="O385" i="47"/>
  <c r="F385" i="47"/>
  <c r="L387" i="47"/>
  <c r="J390" i="47"/>
  <c r="F390" i="47"/>
  <c r="D390" i="47"/>
  <c r="O390" i="47" s="1"/>
  <c r="C390" i="47"/>
  <c r="M390" i="47" s="1"/>
  <c r="B390" i="47"/>
  <c r="J391" i="47"/>
  <c r="K394" i="47"/>
  <c r="F394" i="47"/>
  <c r="D394" i="47"/>
  <c r="C394" i="47"/>
  <c r="N394" i="47" s="1"/>
  <c r="B394" i="47"/>
  <c r="O306" i="47"/>
  <c r="O310" i="47"/>
  <c r="O314" i="47"/>
  <c r="O318" i="47"/>
  <c r="O322" i="47"/>
  <c r="V326" i="47"/>
  <c r="O327" i="47"/>
  <c r="L332" i="47"/>
  <c r="L334" i="47"/>
  <c r="C337" i="47"/>
  <c r="N337" i="47" s="1"/>
  <c r="Q338" i="47"/>
  <c r="K340" i="47"/>
  <c r="I341" i="47"/>
  <c r="C343" i="47"/>
  <c r="K346" i="47"/>
  <c r="H347" i="47"/>
  <c r="P350" i="47"/>
  <c r="J352" i="47"/>
  <c r="G353" i="47"/>
  <c r="E354" i="47"/>
  <c r="P356" i="47"/>
  <c r="Q356" i="47" s="1"/>
  <c r="M357" i="47"/>
  <c r="J358" i="47"/>
  <c r="G359" i="47"/>
  <c r="E360" i="47"/>
  <c r="D361" i="47"/>
  <c r="O361" i="47" s="1"/>
  <c r="D363" i="47"/>
  <c r="N365" i="47"/>
  <c r="J365" i="47"/>
  <c r="G365" i="47"/>
  <c r="F365" i="47"/>
  <c r="H365" i="47" s="1"/>
  <c r="E367" i="47"/>
  <c r="F368" i="47"/>
  <c r="H368" i="47" s="1"/>
  <c r="K371" i="47"/>
  <c r="P372" i="47"/>
  <c r="D375" i="47"/>
  <c r="O375" i="47" s="1"/>
  <c r="G376" i="47"/>
  <c r="M377" i="47"/>
  <c r="D380" i="47"/>
  <c r="Q380" i="47" s="1"/>
  <c r="E381" i="47"/>
  <c r="O382" i="47"/>
  <c r="B385" i="47"/>
  <c r="L386" i="47"/>
  <c r="M387" i="47"/>
  <c r="K391" i="47"/>
  <c r="E394" i="47"/>
  <c r="H398" i="47"/>
  <c r="D401" i="47"/>
  <c r="O401" i="47" s="1"/>
  <c r="E404" i="47"/>
  <c r="P322" i="47"/>
  <c r="Q327" i="47"/>
  <c r="M334" i="47"/>
  <c r="V338" i="47"/>
  <c r="M340" i="47"/>
  <c r="J341" i="47"/>
  <c r="D343" i="47"/>
  <c r="L346" i="47"/>
  <c r="I347" i="47"/>
  <c r="F348" i="47"/>
  <c r="H348" i="47" s="1"/>
  <c r="Q350" i="47"/>
  <c r="K352" i="47"/>
  <c r="I353" i="47"/>
  <c r="F354" i="47"/>
  <c r="H354" i="47" s="1"/>
  <c r="N357" i="47"/>
  <c r="K358" i="47"/>
  <c r="H359" i="47"/>
  <c r="F360" i="47"/>
  <c r="E361" i="47"/>
  <c r="E363" i="47"/>
  <c r="L371" i="47"/>
  <c r="Q372" i="47"/>
  <c r="E375" i="47"/>
  <c r="H376" i="47"/>
  <c r="P377" i="47"/>
  <c r="Q377" i="47" s="1"/>
  <c r="E380" i="47"/>
  <c r="I381" i="47"/>
  <c r="P382" i="47"/>
  <c r="Q382" i="47" s="1"/>
  <c r="C385" i="47"/>
  <c r="J385" i="47" s="1"/>
  <c r="M386" i="47"/>
  <c r="Q387" i="47"/>
  <c r="L391" i="47"/>
  <c r="L398" i="47"/>
  <c r="Q306" i="47"/>
  <c r="Q310" i="47"/>
  <c r="Q314" i="47"/>
  <c r="Q318" i="47"/>
  <c r="Q322" i="47"/>
  <c r="N334" i="47"/>
  <c r="M352" i="47"/>
  <c r="G354" i="47"/>
  <c r="L356" i="47"/>
  <c r="O357" i="47"/>
  <c r="L358" i="47"/>
  <c r="F361" i="47"/>
  <c r="H361" i="47" s="1"/>
  <c r="M371" i="47"/>
  <c r="H375" i="47"/>
  <c r="I376" i="47"/>
  <c r="F379" i="47"/>
  <c r="C379" i="47"/>
  <c r="M379" i="47" s="1"/>
  <c r="B379" i="47"/>
  <c r="P379" i="47"/>
  <c r="O379" i="47"/>
  <c r="F380" i="47"/>
  <c r="L381" i="47"/>
  <c r="C384" i="47"/>
  <c r="B384" i="47"/>
  <c r="N384" i="47"/>
  <c r="L384" i="47"/>
  <c r="K384" i="47"/>
  <c r="J384" i="47"/>
  <c r="D385" i="47"/>
  <c r="Q385" i="47" s="1"/>
  <c r="N386" i="47"/>
  <c r="O389" i="47"/>
  <c r="N389" i="47"/>
  <c r="K389" i="47"/>
  <c r="J389" i="47"/>
  <c r="H389" i="47"/>
  <c r="G389" i="47"/>
  <c r="F389" i="47"/>
  <c r="L394" i="47"/>
  <c r="O397" i="47"/>
  <c r="N397" i="47"/>
  <c r="M397" i="47"/>
  <c r="J397" i="47"/>
  <c r="H397" i="47"/>
  <c r="G397" i="47"/>
  <c r="F397" i="47"/>
  <c r="L397" i="47" s="1"/>
  <c r="J324" i="47"/>
  <c r="E326" i="47"/>
  <c r="B327" i="47"/>
  <c r="G327" i="47" s="1"/>
  <c r="D332" i="47"/>
  <c r="H333" i="47"/>
  <c r="O334" i="47"/>
  <c r="F337" i="47"/>
  <c r="C338" i="47"/>
  <c r="L341" i="47"/>
  <c r="F343" i="47"/>
  <c r="C344" i="47"/>
  <c r="N346" i="47"/>
  <c r="K347" i="47"/>
  <c r="B350" i="47"/>
  <c r="K350" i="47" s="1"/>
  <c r="N352" i="47"/>
  <c r="K353" i="47"/>
  <c r="B356" i="47"/>
  <c r="I356" i="47" s="1"/>
  <c r="P357" i="47"/>
  <c r="Q357" i="47" s="1"/>
  <c r="J359" i="47"/>
  <c r="H360" i="47"/>
  <c r="I361" i="47"/>
  <c r="I362" i="47"/>
  <c r="G363" i="47"/>
  <c r="D365" i="47"/>
  <c r="I368" i="47"/>
  <c r="M369" i="47"/>
  <c r="O370" i="47"/>
  <c r="Q371" i="47"/>
  <c r="K374" i="47"/>
  <c r="G374" i="47"/>
  <c r="F374" i="47"/>
  <c r="J374" i="47" s="1"/>
  <c r="D374" i="47"/>
  <c r="O374" i="47" s="1"/>
  <c r="C374" i="47"/>
  <c r="B374" i="47"/>
  <c r="I375" i="47"/>
  <c r="M376" i="47"/>
  <c r="D379" i="47"/>
  <c r="G380" i="47"/>
  <c r="M381" i="47"/>
  <c r="D384" i="47"/>
  <c r="O384" i="47" s="1"/>
  <c r="E385" i="47"/>
  <c r="O386" i="47"/>
  <c r="B389" i="47"/>
  <c r="M389" i="47" s="1"/>
  <c r="L390" i="47"/>
  <c r="Q391" i="47"/>
  <c r="O393" i="47"/>
  <c r="N393" i="47"/>
  <c r="M393" i="47"/>
  <c r="K393" i="47"/>
  <c r="H393" i="47"/>
  <c r="G393" i="47"/>
  <c r="F393" i="47"/>
  <c r="J393" i="47" s="1"/>
  <c r="M394" i="47"/>
  <c r="B397" i="47"/>
  <c r="K397" i="47" s="1"/>
  <c r="N398" i="47"/>
  <c r="L401" i="47"/>
  <c r="G403" i="47"/>
  <c r="F403" i="47"/>
  <c r="E403" i="47"/>
  <c r="C403" i="47"/>
  <c r="B403" i="47"/>
  <c r="P403" i="47"/>
  <c r="Q403" i="47" s="1"/>
  <c r="O403" i="47"/>
  <c r="K403" i="47"/>
  <c r="G404" i="47"/>
  <c r="G408" i="47"/>
  <c r="C409" i="47"/>
  <c r="J409" i="47" s="1"/>
  <c r="N411" i="47"/>
  <c r="D414" i="47"/>
  <c r="G415" i="47"/>
  <c r="B420" i="47"/>
  <c r="K420" i="47" s="1"/>
  <c r="L424" i="47"/>
  <c r="B431" i="47"/>
  <c r="C432" i="47"/>
  <c r="N432" i="47" s="1"/>
  <c r="D433" i="47"/>
  <c r="O433" i="47" s="1"/>
  <c r="E434" i="47"/>
  <c r="D440" i="47"/>
  <c r="Q440" i="47" s="1"/>
  <c r="M440" i="47"/>
  <c r="K440" i="47"/>
  <c r="G440" i="47"/>
  <c r="F440" i="47"/>
  <c r="C440" i="47"/>
  <c r="I440" i="47" s="1"/>
  <c r="H442" i="47"/>
  <c r="P445" i="47"/>
  <c r="M445" i="47"/>
  <c r="I445" i="47"/>
  <c r="H445" i="47"/>
  <c r="G445" i="47"/>
  <c r="F445" i="47"/>
  <c r="N445" i="47" s="1"/>
  <c r="V455" i="47"/>
  <c r="L477" i="47"/>
  <c r="K477" i="47"/>
  <c r="H477" i="47"/>
  <c r="P439" i="47"/>
  <c r="F439" i="47"/>
  <c r="J392" i="47"/>
  <c r="J396" i="47"/>
  <c r="J400" i="47"/>
  <c r="J404" i="47"/>
  <c r="J408" i="47"/>
  <c r="F409" i="47"/>
  <c r="G414" i="47"/>
  <c r="D415" i="47"/>
  <c r="O415" i="47" s="1"/>
  <c r="I419" i="47"/>
  <c r="F420" i="47"/>
  <c r="L420" i="47" s="1"/>
  <c r="M425" i="47"/>
  <c r="K426" i="47"/>
  <c r="K427" i="47"/>
  <c r="J428" i="47"/>
  <c r="J429" i="47"/>
  <c r="F431" i="47"/>
  <c r="L431" i="47" s="1"/>
  <c r="G432" i="47"/>
  <c r="J434" i="47"/>
  <c r="B439" i="47"/>
  <c r="H440" i="47"/>
  <c r="K442" i="47"/>
  <c r="C445" i="47"/>
  <c r="D452" i="47"/>
  <c r="F452" i="47"/>
  <c r="E452" i="47"/>
  <c r="C452" i="47"/>
  <c r="G452" i="47" s="1"/>
  <c r="B452" i="47"/>
  <c r="E477" i="47"/>
  <c r="K392" i="47"/>
  <c r="K400" i="47"/>
  <c r="O407" i="47"/>
  <c r="K408" i="47"/>
  <c r="G411" i="47"/>
  <c r="O412" i="47"/>
  <c r="H414" i="47"/>
  <c r="E415" i="47"/>
  <c r="B416" i="47"/>
  <c r="K416" i="47" s="1"/>
  <c r="P417" i="47"/>
  <c r="Q417" i="47" s="1"/>
  <c r="J419" i="47"/>
  <c r="G420" i="47"/>
  <c r="L422" i="47"/>
  <c r="M422" i="47"/>
  <c r="N425" i="47"/>
  <c r="N426" i="47"/>
  <c r="L427" i="47"/>
  <c r="K428" i="47"/>
  <c r="K429" i="47"/>
  <c r="I430" i="47"/>
  <c r="H432" i="47"/>
  <c r="L438" i="47"/>
  <c r="B438" i="47"/>
  <c r="K438" i="47" s="1"/>
  <c r="Q438" i="47"/>
  <c r="M438" i="47"/>
  <c r="I438" i="47"/>
  <c r="C439" i="47"/>
  <c r="J439" i="47" s="1"/>
  <c r="M442" i="47"/>
  <c r="D445" i="47"/>
  <c r="O445" i="47" s="1"/>
  <c r="P446" i="47"/>
  <c r="D448" i="47"/>
  <c r="F448" i="47"/>
  <c r="E448" i="47"/>
  <c r="Q448" i="47"/>
  <c r="P448" i="47"/>
  <c r="O448" i="47"/>
  <c r="N448" i="47"/>
  <c r="M467" i="47"/>
  <c r="L392" i="47"/>
  <c r="L396" i="47"/>
  <c r="L400" i="47"/>
  <c r="L404" i="47"/>
  <c r="P407" i="47"/>
  <c r="L408" i="47"/>
  <c r="B411" i="47"/>
  <c r="I411" i="47" s="1"/>
  <c r="P412" i="47"/>
  <c r="Q412" i="47" s="1"/>
  <c r="I414" i="47"/>
  <c r="F415" i="47"/>
  <c r="L415" i="47" s="1"/>
  <c r="D416" i="47"/>
  <c r="O416" i="47" s="1"/>
  <c r="K419" i="47"/>
  <c r="H420" i="47"/>
  <c r="B422" i="47"/>
  <c r="M427" i="47"/>
  <c r="J430" i="47"/>
  <c r="C438" i="47"/>
  <c r="D439" i="47"/>
  <c r="O439" i="47" s="1"/>
  <c r="J440" i="47"/>
  <c r="N442" i="47"/>
  <c r="E445" i="47"/>
  <c r="B448" i="47"/>
  <c r="G448" i="47" s="1"/>
  <c r="F488" i="47"/>
  <c r="D488" i="47"/>
  <c r="O488" i="47" s="1"/>
  <c r="B488" i="47"/>
  <c r="Q488" i="47"/>
  <c r="P488" i="47"/>
  <c r="L488" i="47"/>
  <c r="K488" i="47"/>
  <c r="J488" i="47"/>
  <c r="I488" i="47"/>
  <c r="H488" i="47"/>
  <c r="G488" i="47"/>
  <c r="C488" i="47"/>
  <c r="N488" i="47" s="1"/>
  <c r="Q407" i="47"/>
  <c r="I409" i="47"/>
  <c r="J414" i="47"/>
  <c r="O417" i="47"/>
  <c r="O418" i="47"/>
  <c r="D423" i="47"/>
  <c r="O423" i="47" s="1"/>
  <c r="N427" i="47"/>
  <c r="L433" i="47"/>
  <c r="J445" i="47"/>
  <c r="H459" i="47"/>
  <c r="Q459" i="47"/>
  <c r="P459" i="47"/>
  <c r="N459" i="47"/>
  <c r="F459" i="47"/>
  <c r="N392" i="47"/>
  <c r="N396" i="47"/>
  <c r="N400" i="47"/>
  <c r="N404" i="47"/>
  <c r="B407" i="47"/>
  <c r="N408" i="47"/>
  <c r="D411" i="47"/>
  <c r="O411" i="47" s="1"/>
  <c r="N413" i="47"/>
  <c r="L414" i="47"/>
  <c r="I415" i="47"/>
  <c r="F416" i="47"/>
  <c r="L416" i="47" s="1"/>
  <c r="B417" i="47"/>
  <c r="P418" i="47"/>
  <c r="Q418" i="47" s="1"/>
  <c r="M419" i="47"/>
  <c r="J420" i="47"/>
  <c r="D422" i="47"/>
  <c r="O422" i="47" s="1"/>
  <c r="B423" i="47"/>
  <c r="M430" i="47"/>
  <c r="K431" i="47"/>
  <c r="K432" i="47"/>
  <c r="V435" i="47"/>
  <c r="P437" i="47"/>
  <c r="Q437" i="47" s="1"/>
  <c r="E437" i="47"/>
  <c r="C437" i="47"/>
  <c r="O437" i="47"/>
  <c r="N437" i="47"/>
  <c r="J444" i="47"/>
  <c r="I444" i="47"/>
  <c r="K445" i="47"/>
  <c r="H448" i="47"/>
  <c r="H451" i="47"/>
  <c r="O451" i="47"/>
  <c r="N451" i="47"/>
  <c r="M451" i="47"/>
  <c r="I451" i="47"/>
  <c r="G451" i="47"/>
  <c r="F451" i="47"/>
  <c r="E451" i="47"/>
  <c r="B459" i="47"/>
  <c r="O392" i="47"/>
  <c r="O396" i="47"/>
  <c r="O400" i="47"/>
  <c r="O404" i="47"/>
  <c r="C407" i="47"/>
  <c r="I407" i="47" s="1"/>
  <c r="O408" i="47"/>
  <c r="E411" i="47"/>
  <c r="M414" i="47"/>
  <c r="J415" i="47"/>
  <c r="C417" i="47"/>
  <c r="N419" i="47"/>
  <c r="E422" i="47"/>
  <c r="C423" i="47"/>
  <c r="P425" i="47"/>
  <c r="Q425" i="47" s="1"/>
  <c r="D425" i="47"/>
  <c r="O425" i="47" s="1"/>
  <c r="O440" i="47"/>
  <c r="L445" i="47"/>
  <c r="Q447" i="47"/>
  <c r="C459" i="47"/>
  <c r="G459" i="47" s="1"/>
  <c r="F468" i="47"/>
  <c r="D468" i="47"/>
  <c r="O468" i="47" s="1"/>
  <c r="P468" i="47"/>
  <c r="Q468" i="47" s="1"/>
  <c r="J468" i="47"/>
  <c r="I468" i="47"/>
  <c r="P478" i="47"/>
  <c r="Q478" i="47" s="1"/>
  <c r="F478" i="47"/>
  <c r="N478" i="47" s="1"/>
  <c r="E478" i="47"/>
  <c r="D478" i="47"/>
  <c r="O478" i="47" s="1"/>
  <c r="C478" i="47"/>
  <c r="J478" i="47" s="1"/>
  <c r="Q445" i="47"/>
  <c r="J448" i="47"/>
  <c r="O452" i="47"/>
  <c r="D459" i="47"/>
  <c r="O459" i="47" s="1"/>
  <c r="B468" i="47"/>
  <c r="B478" i="47"/>
  <c r="B489" i="47"/>
  <c r="P489" i="47"/>
  <c r="Q489" i="47"/>
  <c r="O489" i="47"/>
  <c r="M489" i="47"/>
  <c r="L489" i="47"/>
  <c r="K489" i="47"/>
  <c r="J489" i="47"/>
  <c r="H489" i="47"/>
  <c r="G489" i="47"/>
  <c r="F489" i="47"/>
  <c r="C489" i="47"/>
  <c r="N489" i="47" s="1"/>
  <c r="Q392" i="47"/>
  <c r="Q396" i="47"/>
  <c r="Q400" i="47"/>
  <c r="Q404" i="47"/>
  <c r="E407" i="47"/>
  <c r="Q408" i="47"/>
  <c r="M409" i="47"/>
  <c r="H411" i="47"/>
  <c r="O413" i="47"/>
  <c r="O414" i="47"/>
  <c r="E417" i="47"/>
  <c r="B418" i="47"/>
  <c r="M420" i="47"/>
  <c r="G422" i="47"/>
  <c r="F423" i="47"/>
  <c r="E424" i="47"/>
  <c r="D443" i="47"/>
  <c r="O443" i="47" s="1"/>
  <c r="C443" i="47"/>
  <c r="G443" i="47" s="1"/>
  <c r="B443" i="47"/>
  <c r="Q450" i="47"/>
  <c r="P452" i="47"/>
  <c r="Q452" i="47" s="1"/>
  <c r="J455" i="47"/>
  <c r="H455" i="47"/>
  <c r="E455" i="47"/>
  <c r="D455" i="47"/>
  <c r="C455" i="47"/>
  <c r="B455" i="47"/>
  <c r="P455" i="47"/>
  <c r="Q455" i="47" s="1"/>
  <c r="O455" i="47"/>
  <c r="N455" i="47"/>
  <c r="K459" i="47"/>
  <c r="C468" i="47"/>
  <c r="N468" i="47" s="1"/>
  <c r="Q476" i="47"/>
  <c r="D489" i="47"/>
  <c r="B392" i="47"/>
  <c r="G392" i="47" s="1"/>
  <c r="B396" i="47"/>
  <c r="K396" i="47" s="1"/>
  <c r="B400" i="47"/>
  <c r="M400" i="47" s="1"/>
  <c r="B404" i="47"/>
  <c r="K404" i="47" s="1"/>
  <c r="F407" i="47"/>
  <c r="B408" i="47"/>
  <c r="I408" i="47" s="1"/>
  <c r="B413" i="47"/>
  <c r="P414" i="47"/>
  <c r="Q414" i="47" s="1"/>
  <c r="M415" i="47"/>
  <c r="J416" i="47"/>
  <c r="F417" i="47"/>
  <c r="C418" i="47"/>
  <c r="N418" i="47" s="1"/>
  <c r="N420" i="47"/>
  <c r="H422" i="47"/>
  <c r="G423" i="47"/>
  <c r="E425" i="47"/>
  <c r="H427" i="47"/>
  <c r="O427" i="47"/>
  <c r="J427" i="47"/>
  <c r="Q442" i="47"/>
  <c r="L448" i="47"/>
  <c r="F455" i="47"/>
  <c r="N476" i="47"/>
  <c r="H476" i="47"/>
  <c r="J411" i="47"/>
  <c r="C413" i="47"/>
  <c r="N415" i="47"/>
  <c r="G417" i="47"/>
  <c r="D418" i="47"/>
  <c r="G419" i="47"/>
  <c r="O420" i="47"/>
  <c r="I422" i="47"/>
  <c r="I423" i="47"/>
  <c r="H424" i="47"/>
  <c r="B427" i="47"/>
  <c r="G427" i="47" s="1"/>
  <c r="D428" i="47"/>
  <c r="Q428" i="47" s="1"/>
  <c r="L428" i="47"/>
  <c r="G428" i="47"/>
  <c r="P429" i="47"/>
  <c r="I429" i="47"/>
  <c r="D429" i="47"/>
  <c r="O429" i="47" s="1"/>
  <c r="V431" i="47"/>
  <c r="L434" i="47"/>
  <c r="N434" i="47"/>
  <c r="K434" i="47"/>
  <c r="G434" i="47"/>
  <c r="F434" i="47"/>
  <c r="H434" i="47" s="1"/>
  <c r="E436" i="47"/>
  <c r="H437" i="47"/>
  <c r="N438" i="47"/>
  <c r="F443" i="47"/>
  <c r="M444" i="47"/>
  <c r="M448" i="47"/>
  <c r="I450" i="47"/>
  <c r="H450" i="47"/>
  <c r="K451" i="47"/>
  <c r="G455" i="47"/>
  <c r="V468" i="47"/>
  <c r="E476" i="47"/>
  <c r="K414" i="47"/>
  <c r="E418" i="47"/>
  <c r="I424" i="47"/>
  <c r="P433" i="47"/>
  <c r="J433" i="47"/>
  <c r="L446" i="47"/>
  <c r="M446" i="47"/>
  <c r="K446" i="47"/>
  <c r="F446" i="47"/>
  <c r="D446" i="47"/>
  <c r="O446" i="47" s="1"/>
  <c r="C446" i="47"/>
  <c r="H446" i="47" s="1"/>
  <c r="G476" i="47"/>
  <c r="O409" i="47"/>
  <c r="B414" i="47"/>
  <c r="I417" i="47"/>
  <c r="F418" i="47"/>
  <c r="K422" i="47"/>
  <c r="L423" i="47"/>
  <c r="J424" i="47"/>
  <c r="D432" i="47"/>
  <c r="O432" i="47" s="1"/>
  <c r="Q432" i="47"/>
  <c r="M432" i="47"/>
  <c r="L432" i="47"/>
  <c r="B433" i="47"/>
  <c r="B446" i="47"/>
  <c r="E450" i="47"/>
  <c r="P451" i="47"/>
  <c r="Q451" i="47" s="1"/>
  <c r="K455" i="47"/>
  <c r="F460" i="47"/>
  <c r="L460" i="47" s="1"/>
  <c r="D460" i="47"/>
  <c r="O460" i="47" s="1"/>
  <c r="N460" i="47"/>
  <c r="M460" i="47"/>
  <c r="K460" i="47"/>
  <c r="J460" i="47"/>
  <c r="H460" i="47"/>
  <c r="E460" i="47"/>
  <c r="C460" i="47"/>
  <c r="I460" i="47" s="1"/>
  <c r="B469" i="47"/>
  <c r="P469" i="47"/>
  <c r="Q469" i="47"/>
  <c r="O469" i="47"/>
  <c r="N469" i="47"/>
  <c r="M469" i="47"/>
  <c r="L469" i="47"/>
  <c r="K469" i="47"/>
  <c r="J469" i="47"/>
  <c r="H469" i="47"/>
  <c r="G469" i="47"/>
  <c r="F469" i="47"/>
  <c r="D469" i="47"/>
  <c r="B498" i="47"/>
  <c r="P498" i="47"/>
  <c r="Q498" i="47" s="1"/>
  <c r="O498" i="47"/>
  <c r="N498" i="47"/>
  <c r="M498" i="47"/>
  <c r="L498" i="47"/>
  <c r="K498" i="47"/>
  <c r="J498" i="47"/>
  <c r="I498" i="47"/>
  <c r="G498" i="47"/>
  <c r="F498" i="47"/>
  <c r="D498" i="47"/>
  <c r="C498" i="47"/>
  <c r="H498" i="47" s="1"/>
  <c r="H431" i="47"/>
  <c r="C431" i="47"/>
  <c r="P431" i="47"/>
  <c r="Q431" i="47" s="1"/>
  <c r="O431" i="47"/>
  <c r="C433" i="47"/>
  <c r="E433" i="47" s="1"/>
  <c r="G446" i="47"/>
  <c r="P449" i="47"/>
  <c r="Q449" i="47" s="1"/>
  <c r="D449" i="47"/>
  <c r="O449" i="47" s="1"/>
  <c r="C449" i="47"/>
  <c r="N449" i="47" s="1"/>
  <c r="B449" i="47"/>
  <c r="L449" i="47"/>
  <c r="B460" i="47"/>
  <c r="C469" i="47"/>
  <c r="I469" i="47" s="1"/>
  <c r="L490" i="47"/>
  <c r="J490" i="47"/>
  <c r="P496" i="47"/>
  <c r="F496" i="47"/>
  <c r="E496" i="47"/>
  <c r="D496" i="47"/>
  <c r="M499" i="47"/>
  <c r="L499" i="47"/>
  <c r="P504" i="47"/>
  <c r="Q504" i="47" s="1"/>
  <c r="D504" i="47"/>
  <c r="O504" i="47" s="1"/>
  <c r="B504" i="47"/>
  <c r="B521" i="47"/>
  <c r="E523" i="47"/>
  <c r="D523" i="47"/>
  <c r="O523" i="47" s="1"/>
  <c r="B523" i="47"/>
  <c r="P523" i="47"/>
  <c r="L523" i="47"/>
  <c r="H523" i="47"/>
  <c r="Q537" i="47"/>
  <c r="I542" i="47"/>
  <c r="H542" i="47"/>
  <c r="F542" i="47"/>
  <c r="L542" i="47" s="1"/>
  <c r="P542" i="47"/>
  <c r="Q542" i="47" s="1"/>
  <c r="N542" i="47"/>
  <c r="M542" i="47"/>
  <c r="J542" i="47"/>
  <c r="G542" i="47"/>
  <c r="C542" i="47"/>
  <c r="B542" i="47"/>
  <c r="K542" i="47" s="1"/>
  <c r="F491" i="47"/>
  <c r="E499" i="47"/>
  <c r="C504" i="47"/>
  <c r="K504" i="47" s="1"/>
  <c r="E505" i="47"/>
  <c r="E512" i="47"/>
  <c r="I515" i="47"/>
  <c r="C521" i="47"/>
  <c r="I521" i="47" s="1"/>
  <c r="C523" i="47"/>
  <c r="J523" i="47" s="1"/>
  <c r="J525" i="47"/>
  <c r="K525" i="47"/>
  <c r="D525" i="47"/>
  <c r="O525" i="47" s="1"/>
  <c r="C525" i="47"/>
  <c r="I525" i="47" s="1"/>
  <c r="M540" i="47"/>
  <c r="L540" i="47"/>
  <c r="K540" i="47"/>
  <c r="J540" i="47"/>
  <c r="I540" i="47"/>
  <c r="H540" i="47"/>
  <c r="D542" i="47"/>
  <c r="O542" i="47" s="1"/>
  <c r="J592" i="47"/>
  <c r="N592" i="47"/>
  <c r="L592" i="47"/>
  <c r="K592" i="47"/>
  <c r="B461" i="47"/>
  <c r="P461" i="47"/>
  <c r="N470" i="47"/>
  <c r="L470" i="47"/>
  <c r="E487" i="47"/>
  <c r="C490" i="47"/>
  <c r="N490" i="47" s="1"/>
  <c r="B491" i="47"/>
  <c r="F492" i="47"/>
  <c r="D492" i="47"/>
  <c r="O492" i="47" s="1"/>
  <c r="B492" i="47"/>
  <c r="B493" i="47"/>
  <c r="P493" i="47"/>
  <c r="Q493" i="47" s="1"/>
  <c r="N494" i="47"/>
  <c r="K494" i="47"/>
  <c r="D495" i="47"/>
  <c r="O495" i="47" s="1"/>
  <c r="K495" i="47"/>
  <c r="I495" i="47"/>
  <c r="C496" i="47"/>
  <c r="G496" i="47" s="1"/>
  <c r="E504" i="47"/>
  <c r="K515" i="47"/>
  <c r="D521" i="47"/>
  <c r="E542" i="47"/>
  <c r="J583" i="47"/>
  <c r="I583" i="47"/>
  <c r="E583" i="47"/>
  <c r="N583" i="47"/>
  <c r="M583" i="47"/>
  <c r="K583" i="47"/>
  <c r="H583" i="47"/>
  <c r="G583" i="47"/>
  <c r="G458" i="47"/>
  <c r="C461" i="47"/>
  <c r="K461" i="47" s="1"/>
  <c r="N464" i="47"/>
  <c r="I466" i="47"/>
  <c r="G467" i="47"/>
  <c r="B470" i="47"/>
  <c r="G470" i="47" s="1"/>
  <c r="K475" i="47"/>
  <c r="I476" i="47"/>
  <c r="G477" i="47"/>
  <c r="B479" i="47"/>
  <c r="V480" i="47"/>
  <c r="K484" i="47"/>
  <c r="I485" i="47"/>
  <c r="G487" i="47"/>
  <c r="D490" i="47"/>
  <c r="O490" i="47" s="1"/>
  <c r="C491" i="47"/>
  <c r="J491" i="47" s="1"/>
  <c r="C492" i="47"/>
  <c r="K492" i="47" s="1"/>
  <c r="C493" i="47"/>
  <c r="N493" i="47" s="1"/>
  <c r="B494" i="47"/>
  <c r="B495" i="47"/>
  <c r="G495" i="47" s="1"/>
  <c r="G499" i="47"/>
  <c r="F504" i="47"/>
  <c r="G505" i="47"/>
  <c r="G512" i="47"/>
  <c r="L515" i="47"/>
  <c r="E521" i="47"/>
  <c r="D555" i="47"/>
  <c r="O555" i="47" s="1"/>
  <c r="B555" i="47"/>
  <c r="P555" i="47"/>
  <c r="Q555" i="47" s="1"/>
  <c r="G555" i="47"/>
  <c r="F555" i="47"/>
  <c r="C555" i="47"/>
  <c r="L555" i="47" s="1"/>
  <c r="F587" i="47"/>
  <c r="E587" i="47"/>
  <c r="D587" i="47"/>
  <c r="O587" i="47" s="1"/>
  <c r="C587" i="47"/>
  <c r="J587" i="47" s="1"/>
  <c r="Q587" i="47"/>
  <c r="P587" i="47"/>
  <c r="M587" i="47"/>
  <c r="H587" i="47"/>
  <c r="G587" i="47"/>
  <c r="B587" i="47"/>
  <c r="B453" i="47"/>
  <c r="P453" i="47"/>
  <c r="Q453" i="47" s="1"/>
  <c r="H458" i="47"/>
  <c r="D461" i="47"/>
  <c r="O461" i="47" s="1"/>
  <c r="I467" i="47"/>
  <c r="C470" i="47"/>
  <c r="J471" i="47"/>
  <c r="O473" i="47"/>
  <c r="J476" i="47"/>
  <c r="C479" i="47"/>
  <c r="I479" i="47" s="1"/>
  <c r="F480" i="47"/>
  <c r="D480" i="47"/>
  <c r="O480" i="47" s="1"/>
  <c r="L484" i="47"/>
  <c r="J485" i="47"/>
  <c r="H486" i="47"/>
  <c r="I487" i="47"/>
  <c r="D491" i="47"/>
  <c r="D493" i="47"/>
  <c r="O493" i="47" s="1"/>
  <c r="C494" i="47"/>
  <c r="L494" i="47" s="1"/>
  <c r="C495" i="47"/>
  <c r="L495" i="47" s="1"/>
  <c r="H499" i="47"/>
  <c r="J503" i="47"/>
  <c r="G503" i="47"/>
  <c r="H505" i="47"/>
  <c r="E509" i="47"/>
  <c r="H514" i="47"/>
  <c r="L514" i="47"/>
  <c r="J514" i="47"/>
  <c r="I514" i="47"/>
  <c r="G514" i="47"/>
  <c r="F514" i="47"/>
  <c r="D514" i="47"/>
  <c r="C514" i="47"/>
  <c r="B514" i="47"/>
  <c r="Q523" i="47"/>
  <c r="P525" i="47"/>
  <c r="E548" i="47"/>
  <c r="M548" i="47"/>
  <c r="L548" i="47"/>
  <c r="K548" i="47"/>
  <c r="J548" i="47"/>
  <c r="I548" i="47"/>
  <c r="H548" i="47"/>
  <c r="G548" i="47"/>
  <c r="V424" i="47"/>
  <c r="L430" i="47"/>
  <c r="C435" i="47"/>
  <c r="Q436" i="47"/>
  <c r="C441" i="47"/>
  <c r="K444" i="47"/>
  <c r="B447" i="47"/>
  <c r="J450" i="47"/>
  <c r="C453" i="47"/>
  <c r="H453" i="47" s="1"/>
  <c r="I458" i="47"/>
  <c r="E461" i="47"/>
  <c r="B462" i="47"/>
  <c r="P464" i="47"/>
  <c r="Q464" i="47" s="1"/>
  <c r="K466" i="47"/>
  <c r="K467" i="47"/>
  <c r="D470" i="47"/>
  <c r="B471" i="47"/>
  <c r="M475" i="47"/>
  <c r="K476" i="47"/>
  <c r="I477" i="47"/>
  <c r="D479" i="47"/>
  <c r="Q479" i="47" s="1"/>
  <c r="B480" i="47"/>
  <c r="B481" i="47"/>
  <c r="G481" i="47" s="1"/>
  <c r="P481" i="47"/>
  <c r="Q481" i="47" s="1"/>
  <c r="M484" i="47"/>
  <c r="K485" i="47"/>
  <c r="I486" i="47"/>
  <c r="K487" i="47"/>
  <c r="F490" i="47"/>
  <c r="E491" i="47"/>
  <c r="D494" i="47"/>
  <c r="E495" i="47"/>
  <c r="J496" i="47"/>
  <c r="I499" i="47"/>
  <c r="I505" i="47"/>
  <c r="E514" i="47"/>
  <c r="V523" i="47"/>
  <c r="Q525" i="47"/>
  <c r="G540" i="47"/>
  <c r="D435" i="47"/>
  <c r="O435" i="47" s="1"/>
  <c r="V436" i="47"/>
  <c r="D441" i="47"/>
  <c r="L442" i="47"/>
  <c r="L444" i="47"/>
  <c r="C447" i="47"/>
  <c r="H447" i="47" s="1"/>
  <c r="K450" i="47"/>
  <c r="D453" i="47"/>
  <c r="O453" i="47" s="1"/>
  <c r="N454" i="47"/>
  <c r="L454" i="47"/>
  <c r="J458" i="47"/>
  <c r="F461" i="47"/>
  <c r="H461" i="47" s="1"/>
  <c r="C462" i="47"/>
  <c r="L462" i="47" s="1"/>
  <c r="J463" i="47"/>
  <c r="H463" i="47"/>
  <c r="M466" i="47"/>
  <c r="L467" i="47"/>
  <c r="E470" i="47"/>
  <c r="C471" i="47"/>
  <c r="F472" i="47"/>
  <c r="H472" i="47" s="1"/>
  <c r="D472" i="47"/>
  <c r="N475" i="47"/>
  <c r="J477" i="47"/>
  <c r="C480" i="47"/>
  <c r="M480" i="47" s="1"/>
  <c r="C481" i="47"/>
  <c r="N484" i="47"/>
  <c r="L485" i="47"/>
  <c r="K486" i="47"/>
  <c r="L487" i="47"/>
  <c r="G490" i="47"/>
  <c r="F493" i="47"/>
  <c r="E494" i="47"/>
  <c r="F495" i="47"/>
  <c r="H495" i="47" s="1"/>
  <c r="K496" i="47"/>
  <c r="J499" i="47"/>
  <c r="H503" i="47"/>
  <c r="J505" i="47"/>
  <c r="P508" i="47"/>
  <c r="Q508" i="47" s="1"/>
  <c r="L508" i="47"/>
  <c r="I508" i="47"/>
  <c r="G508" i="47"/>
  <c r="E508" i="47"/>
  <c r="D508" i="47"/>
  <c r="O508" i="47" s="1"/>
  <c r="C508" i="47"/>
  <c r="N508" i="47" s="1"/>
  <c r="G509" i="47"/>
  <c r="K514" i="47"/>
  <c r="Q535" i="47"/>
  <c r="V545" i="47"/>
  <c r="B473" i="47"/>
  <c r="M473" i="47" s="1"/>
  <c r="P473" i="47"/>
  <c r="Q473" i="47" s="1"/>
  <c r="M476" i="47"/>
  <c r="F479" i="47"/>
  <c r="L482" i="47"/>
  <c r="M486" i="47"/>
  <c r="M487" i="47"/>
  <c r="H490" i="47"/>
  <c r="F494" i="47"/>
  <c r="J494" i="47" s="1"/>
  <c r="J495" i="47"/>
  <c r="L496" i="47"/>
  <c r="K499" i="47"/>
  <c r="H502" i="47"/>
  <c r="M502" i="47"/>
  <c r="J502" i="47"/>
  <c r="G502" i="47"/>
  <c r="E502" i="47"/>
  <c r="D502" i="47"/>
  <c r="Q502" i="47" s="1"/>
  <c r="C502" i="47"/>
  <c r="I503" i="47"/>
  <c r="H509" i="47"/>
  <c r="M520" i="47"/>
  <c r="L520" i="47"/>
  <c r="K520" i="47"/>
  <c r="I520" i="47"/>
  <c r="H520" i="47"/>
  <c r="G520" i="47"/>
  <c r="F464" i="47"/>
  <c r="D464" i="47"/>
  <c r="O464" i="47" s="1"/>
  <c r="I490" i="47"/>
  <c r="K491" i="47"/>
  <c r="H493" i="47"/>
  <c r="G494" i="47"/>
  <c r="M496" i="47"/>
  <c r="I522" i="47"/>
  <c r="F522" i="47"/>
  <c r="P522" i="47"/>
  <c r="N522" i="47"/>
  <c r="G522" i="47"/>
  <c r="P578" i="47"/>
  <c r="O578" i="47"/>
  <c r="N578" i="47"/>
  <c r="M578" i="47"/>
  <c r="L578" i="47"/>
  <c r="C578" i="47"/>
  <c r="K578" i="47" s="1"/>
  <c r="Q578" i="47"/>
  <c r="J578" i="47"/>
  <c r="F578" i="47"/>
  <c r="H578" i="47" s="1"/>
  <c r="E578" i="47"/>
  <c r="D578" i="47"/>
  <c r="B578" i="47"/>
  <c r="O458" i="47"/>
  <c r="I461" i="47"/>
  <c r="F462" i="47"/>
  <c r="B464" i="47"/>
  <c r="B465" i="47"/>
  <c r="P465" i="47"/>
  <c r="Q465" i="47" s="1"/>
  <c r="O467" i="47"/>
  <c r="H470" i="47"/>
  <c r="F471" i="47"/>
  <c r="E472" i="47"/>
  <c r="D473" i="47"/>
  <c r="N474" i="47"/>
  <c r="L474" i="47"/>
  <c r="F481" i="47"/>
  <c r="C482" i="47"/>
  <c r="N482" i="47" s="1"/>
  <c r="J483" i="47"/>
  <c r="H483" i="47"/>
  <c r="P486" i="47"/>
  <c r="Q486" i="47" s="1"/>
  <c r="O487" i="47"/>
  <c r="K490" i="47"/>
  <c r="L491" i="47"/>
  <c r="I493" i="47"/>
  <c r="H494" i="47"/>
  <c r="M495" i="47"/>
  <c r="N496" i="47"/>
  <c r="F502" i="47"/>
  <c r="L503" i="47"/>
  <c r="H508" i="47"/>
  <c r="L513" i="47"/>
  <c r="M513" i="47"/>
  <c r="K513" i="47"/>
  <c r="J513" i="47"/>
  <c r="I513" i="47"/>
  <c r="G513" i="47"/>
  <c r="F513" i="47"/>
  <c r="H513" i="47" s="1"/>
  <c r="E513" i="47"/>
  <c r="O514" i="47"/>
  <c r="E520" i="47"/>
  <c r="B522" i="47"/>
  <c r="M524" i="47"/>
  <c r="L524" i="47"/>
  <c r="K524" i="47"/>
  <c r="J524" i="47"/>
  <c r="I524" i="47"/>
  <c r="H524" i="47"/>
  <c r="E524" i="47"/>
  <c r="I526" i="47"/>
  <c r="H526" i="47"/>
  <c r="F526" i="47"/>
  <c r="L526" i="47" s="1"/>
  <c r="N526" i="47"/>
  <c r="M526" i="47"/>
  <c r="J526" i="47"/>
  <c r="G526" i="47"/>
  <c r="D526" i="47"/>
  <c r="C526" i="47"/>
  <c r="B526" i="47"/>
  <c r="K526" i="47" s="1"/>
  <c r="P566" i="47"/>
  <c r="Q566" i="47"/>
  <c r="N566" i="47"/>
  <c r="M566" i="47"/>
  <c r="I566" i="47"/>
  <c r="D566" i="47"/>
  <c r="O566" i="47" s="1"/>
  <c r="L566" i="47"/>
  <c r="J566" i="47"/>
  <c r="H566" i="47"/>
  <c r="G566" i="47"/>
  <c r="F566" i="47"/>
  <c r="E566" i="47"/>
  <c r="C566" i="47"/>
  <c r="B566" i="47"/>
  <c r="K566" i="47" s="1"/>
  <c r="G424" i="47"/>
  <c r="L426" i="47"/>
  <c r="F430" i="47"/>
  <c r="H430" i="47" s="1"/>
  <c r="I435" i="47"/>
  <c r="F436" i="47"/>
  <c r="L436" i="47" s="1"/>
  <c r="H441" i="47"/>
  <c r="E442" i="47"/>
  <c r="P444" i="47"/>
  <c r="Q444" i="47" s="1"/>
  <c r="G447" i="47"/>
  <c r="E454" i="47"/>
  <c r="F456" i="47"/>
  <c r="L456" i="47" s="1"/>
  <c r="D456" i="47"/>
  <c r="O456" i="47" s="1"/>
  <c r="P458" i="47"/>
  <c r="Q458" i="47" s="1"/>
  <c r="G462" i="47"/>
  <c r="E463" i="47"/>
  <c r="C464" i="47"/>
  <c r="E464" i="47" s="1"/>
  <c r="C465" i="47"/>
  <c r="N465" i="47" s="1"/>
  <c r="P467" i="47"/>
  <c r="Q467" i="47" s="1"/>
  <c r="I470" i="47"/>
  <c r="G471" i="47"/>
  <c r="G472" i="47"/>
  <c r="E473" i="47"/>
  <c r="B474" i="47"/>
  <c r="G474" i="47" s="1"/>
  <c r="P476" i="47"/>
  <c r="N477" i="47"/>
  <c r="K479" i="47"/>
  <c r="D482" i="47"/>
  <c r="O482" i="47" s="1"/>
  <c r="B483" i="47"/>
  <c r="G483" i="47" s="1"/>
  <c r="V484" i="47"/>
  <c r="M490" i="47"/>
  <c r="M491" i="47"/>
  <c r="J493" i="47"/>
  <c r="I494" i="47"/>
  <c r="N495" i="47"/>
  <c r="O496" i="47"/>
  <c r="L501" i="47"/>
  <c r="P501" i="47"/>
  <c r="Q501" i="47" s="1"/>
  <c r="F501" i="47"/>
  <c r="I502" i="47"/>
  <c r="M503" i="47"/>
  <c r="D507" i="47"/>
  <c r="O507" i="47" s="1"/>
  <c r="L507" i="47"/>
  <c r="H507" i="47"/>
  <c r="G507" i="47"/>
  <c r="F507" i="47"/>
  <c r="J507" i="47" s="1"/>
  <c r="J508" i="47"/>
  <c r="M509" i="47"/>
  <c r="B513" i="47"/>
  <c r="P514" i="47"/>
  <c r="Q514" i="47" s="1"/>
  <c r="P516" i="47"/>
  <c r="E516" i="47"/>
  <c r="D516" i="47"/>
  <c r="Q516" i="47" s="1"/>
  <c r="C516" i="47"/>
  <c r="B516" i="47"/>
  <c r="C522" i="47"/>
  <c r="E522" i="47" s="1"/>
  <c r="E526" i="47"/>
  <c r="B457" i="47"/>
  <c r="P457" i="47"/>
  <c r="Q457" i="47" s="1"/>
  <c r="N466" i="47"/>
  <c r="L466" i="47"/>
  <c r="J470" i="47"/>
  <c r="I471" i="47"/>
  <c r="F473" i="47"/>
  <c r="N473" i="47" s="1"/>
  <c r="J475" i="47"/>
  <c r="H475" i="47"/>
  <c r="O477" i="47"/>
  <c r="J480" i="47"/>
  <c r="F484" i="47"/>
  <c r="H484" i="47" s="1"/>
  <c r="D484" i="47"/>
  <c r="N491" i="47"/>
  <c r="K493" i="47"/>
  <c r="M494" i="47"/>
  <c r="Q496" i="47"/>
  <c r="K502" i="47"/>
  <c r="N503" i="47"/>
  <c r="K508" i="47"/>
  <c r="N509" i="47"/>
  <c r="J520" i="47"/>
  <c r="D522" i="47"/>
  <c r="O522" i="47" s="1"/>
  <c r="O526" i="47"/>
  <c r="L559" i="47"/>
  <c r="K559" i="47"/>
  <c r="J559" i="47"/>
  <c r="H559" i="47"/>
  <c r="G559" i="47"/>
  <c r="K435" i="47"/>
  <c r="J441" i="47"/>
  <c r="V444" i="47"/>
  <c r="J447" i="47"/>
  <c r="L450" i="47"/>
  <c r="J453" i="47"/>
  <c r="G454" i="47"/>
  <c r="C457" i="47"/>
  <c r="I462" i="47"/>
  <c r="G463" i="47"/>
  <c r="B466" i="47"/>
  <c r="G466" i="47" s="1"/>
  <c r="K470" i="47"/>
  <c r="K471" i="47"/>
  <c r="I472" i="47"/>
  <c r="G473" i="47"/>
  <c r="D474" i="47"/>
  <c r="O474" i="47" s="1"/>
  <c r="B475" i="47"/>
  <c r="G475" i="47" s="1"/>
  <c r="V476" i="47"/>
  <c r="K480" i="47"/>
  <c r="I481" i="47"/>
  <c r="F482" i="47"/>
  <c r="D483" i="47"/>
  <c r="Q483" i="47" s="1"/>
  <c r="B484" i="47"/>
  <c r="G484" i="47" s="1"/>
  <c r="B485" i="47"/>
  <c r="G485" i="47" s="1"/>
  <c r="P485" i="47"/>
  <c r="Q485" i="47" s="1"/>
  <c r="N485" i="47"/>
  <c r="P490" i="47"/>
  <c r="Q490" i="47" s="1"/>
  <c r="O491" i="47"/>
  <c r="L493" i="47"/>
  <c r="O494" i="47"/>
  <c r="P495" i="47"/>
  <c r="P500" i="47"/>
  <c r="Q500" i="47" s="1"/>
  <c r="O500" i="47"/>
  <c r="M500" i="47"/>
  <c r="K500" i="47"/>
  <c r="C501" i="47"/>
  <c r="H501" i="47" s="1"/>
  <c r="L502" i="47"/>
  <c r="O506" i="47"/>
  <c r="M508" i="47"/>
  <c r="D513" i="47"/>
  <c r="O513" i="47" s="1"/>
  <c r="K522" i="47"/>
  <c r="G524" i="47"/>
  <c r="P526" i="47"/>
  <c r="Q526" i="47" s="1"/>
  <c r="V527" i="47"/>
  <c r="N549" i="47"/>
  <c r="K549" i="47"/>
  <c r="I549" i="47"/>
  <c r="H549" i="47"/>
  <c r="G549" i="47"/>
  <c r="E549" i="47"/>
  <c r="N458" i="47"/>
  <c r="L458" i="47"/>
  <c r="H464" i="47"/>
  <c r="J467" i="47"/>
  <c r="H467" i="47"/>
  <c r="M470" i="47"/>
  <c r="H473" i="47"/>
  <c r="F476" i="47"/>
  <c r="L476" i="47" s="1"/>
  <c r="D476" i="47"/>
  <c r="O476" i="47" s="1"/>
  <c r="N486" i="47"/>
  <c r="L486" i="47"/>
  <c r="J486" i="47"/>
  <c r="P491" i="47"/>
  <c r="M493" i="47"/>
  <c r="P494" i="47"/>
  <c r="Q495" i="47"/>
  <c r="N502" i="47"/>
  <c r="B476" i="47"/>
  <c r="B477" i="47"/>
  <c r="M477" i="47" s="1"/>
  <c r="P477" i="47"/>
  <c r="Q477" i="47" s="1"/>
  <c r="O479" i="47"/>
  <c r="B486" i="47"/>
  <c r="G486" i="47" s="1"/>
  <c r="J487" i="47"/>
  <c r="F487" i="47"/>
  <c r="H487" i="47" s="1"/>
  <c r="Q491" i="47"/>
  <c r="P492" i="47"/>
  <c r="Q492" i="47" s="1"/>
  <c r="Q494" i="47"/>
  <c r="V495" i="47"/>
  <c r="C500" i="47"/>
  <c r="J500" i="47" s="1"/>
  <c r="E501" i="47"/>
  <c r="O502" i="47"/>
  <c r="I507" i="47"/>
  <c r="N513" i="47"/>
  <c r="M544" i="47"/>
  <c r="L544" i="47"/>
  <c r="K544" i="47"/>
  <c r="J544" i="47"/>
  <c r="I544" i="47"/>
  <c r="H544" i="47"/>
  <c r="G544" i="47"/>
  <c r="E544" i="47"/>
  <c r="M512" i="47"/>
  <c r="H512" i="47"/>
  <c r="J515" i="47"/>
  <c r="H515" i="47"/>
  <c r="G515" i="47"/>
  <c r="E515" i="47"/>
  <c r="M521" i="47"/>
  <c r="L521" i="47"/>
  <c r="J521" i="47"/>
  <c r="Q521" i="47"/>
  <c r="P521" i="47"/>
  <c r="O521" i="47"/>
  <c r="K521" i="47"/>
  <c r="H521" i="47"/>
  <c r="G521" i="47"/>
  <c r="F521" i="47"/>
  <c r="N521" i="47" s="1"/>
  <c r="I554" i="47"/>
  <c r="H554" i="47"/>
  <c r="F554" i="47"/>
  <c r="P554" i="47"/>
  <c r="Q554" i="47" s="1"/>
  <c r="N554" i="47"/>
  <c r="L554" i="47"/>
  <c r="J554" i="47"/>
  <c r="G554" i="47"/>
  <c r="E554" i="47"/>
  <c r="D554" i="47"/>
  <c r="O554" i="47" s="1"/>
  <c r="C554" i="47"/>
  <c r="K554" i="47" s="1"/>
  <c r="B554" i="47"/>
  <c r="M554" i="47" s="1"/>
  <c r="Q567" i="47"/>
  <c r="O567" i="47"/>
  <c r="C541" i="47"/>
  <c r="E541" i="47" s="1"/>
  <c r="E543" i="47"/>
  <c r="D543" i="47"/>
  <c r="B543" i="47"/>
  <c r="M549" i="47"/>
  <c r="I550" i="47"/>
  <c r="H550" i="47"/>
  <c r="F550" i="47"/>
  <c r="N550" i="47" s="1"/>
  <c r="M550" i="47"/>
  <c r="E551" i="47"/>
  <c r="D551" i="47"/>
  <c r="B551" i="47"/>
  <c r="M551" i="47" s="1"/>
  <c r="I551" i="47"/>
  <c r="H572" i="47"/>
  <c r="P572" i="47"/>
  <c r="O572" i="47"/>
  <c r="C572" i="47"/>
  <c r="M545" i="47"/>
  <c r="J545" i="47"/>
  <c r="I546" i="47"/>
  <c r="H546" i="47"/>
  <c r="F546" i="47"/>
  <c r="M546" i="47"/>
  <c r="E547" i="47"/>
  <c r="D547" i="47"/>
  <c r="B547" i="47"/>
  <c r="I547" i="47"/>
  <c r="D558" i="47"/>
  <c r="L565" i="47"/>
  <c r="G565" i="47"/>
  <c r="V569" i="47"/>
  <c r="B572" i="47"/>
  <c r="E557" i="47"/>
  <c r="E558" i="47"/>
  <c r="D572" i="47"/>
  <c r="V574" i="47"/>
  <c r="M603" i="47"/>
  <c r="L603" i="47"/>
  <c r="Q603" i="47"/>
  <c r="P603" i="47"/>
  <c r="O603" i="47"/>
  <c r="J603" i="47"/>
  <c r="I603" i="47"/>
  <c r="G603" i="47"/>
  <c r="F603" i="47"/>
  <c r="D603" i="47"/>
  <c r="C603" i="47"/>
  <c r="K603" i="47" s="1"/>
  <c r="D550" i="47"/>
  <c r="G551" i="47"/>
  <c r="E553" i="47"/>
  <c r="G556" i="47"/>
  <c r="G558" i="47"/>
  <c r="D564" i="47"/>
  <c r="O564" i="47" s="1"/>
  <c r="C564" i="47"/>
  <c r="B564" i="47"/>
  <c r="P570" i="47"/>
  <c r="E570" i="47"/>
  <c r="D570" i="47"/>
  <c r="C570" i="47"/>
  <c r="B570" i="47"/>
  <c r="G570" i="47" s="1"/>
  <c r="N570" i="47"/>
  <c r="I570" i="47"/>
  <c r="Q592" i="47"/>
  <c r="L497" i="47"/>
  <c r="E527" i="47"/>
  <c r="D527" i="47"/>
  <c r="O527" i="47" s="1"/>
  <c r="B527" i="47"/>
  <c r="M527" i="47" s="1"/>
  <c r="O534" i="47"/>
  <c r="K536" i="47"/>
  <c r="L538" i="47"/>
  <c r="H543" i="47"/>
  <c r="D545" i="47"/>
  <c r="D546" i="47"/>
  <c r="O546" i="47" s="1"/>
  <c r="G547" i="47"/>
  <c r="E550" i="47"/>
  <c r="H551" i="47"/>
  <c r="G552" i="47"/>
  <c r="H556" i="47"/>
  <c r="G557" i="47"/>
  <c r="M563" i="47"/>
  <c r="F564" i="47"/>
  <c r="F570" i="47"/>
  <c r="F572" i="47"/>
  <c r="F575" i="47"/>
  <c r="E575" i="47"/>
  <c r="D575" i="47"/>
  <c r="O575" i="47" s="1"/>
  <c r="K589" i="47"/>
  <c r="M505" i="47"/>
  <c r="J506" i="47"/>
  <c r="L509" i="47"/>
  <c r="I512" i="47"/>
  <c r="O517" i="47"/>
  <c r="K519" i="47"/>
  <c r="M529" i="47"/>
  <c r="L529" i="47"/>
  <c r="J529" i="47"/>
  <c r="P534" i="47"/>
  <c r="Q534" i="47" s="1"/>
  <c r="L536" i="47"/>
  <c r="M538" i="47"/>
  <c r="L539" i="47"/>
  <c r="H541" i="47"/>
  <c r="I543" i="47"/>
  <c r="E545" i="47"/>
  <c r="E546" i="47"/>
  <c r="H547" i="47"/>
  <c r="G550" i="47"/>
  <c r="J551" i="47"/>
  <c r="H552" i="47"/>
  <c r="G553" i="47"/>
  <c r="I556" i="47"/>
  <c r="H557" i="47"/>
  <c r="K558" i="47"/>
  <c r="D581" i="47"/>
  <c r="O581" i="47" s="1"/>
  <c r="F581" i="47"/>
  <c r="C581" i="47"/>
  <c r="P581" i="47"/>
  <c r="Q581" i="47" s="1"/>
  <c r="I598" i="47"/>
  <c r="H598" i="47"/>
  <c r="G598" i="47"/>
  <c r="E598" i="47"/>
  <c r="N598" i="47"/>
  <c r="M598" i="47"/>
  <c r="L598" i="47"/>
  <c r="C497" i="47"/>
  <c r="N499" i="47"/>
  <c r="B503" i="47"/>
  <c r="K503" i="47" s="1"/>
  <c r="N505" i="47"/>
  <c r="K506" i="47"/>
  <c r="B509" i="47"/>
  <c r="K509" i="47" s="1"/>
  <c r="J512" i="47"/>
  <c r="D515" i="47"/>
  <c r="O515" i="47" s="1"/>
  <c r="B515" i="47"/>
  <c r="M515" i="47" s="1"/>
  <c r="L519" i="47"/>
  <c r="F527" i="47"/>
  <c r="N527" i="47" s="1"/>
  <c r="B529" i="47"/>
  <c r="I529" i="47" s="1"/>
  <c r="I530" i="47"/>
  <c r="H530" i="47"/>
  <c r="F530" i="47"/>
  <c r="O537" i="47"/>
  <c r="N538" i="47"/>
  <c r="M539" i="47"/>
  <c r="I541" i="47"/>
  <c r="J543" i="47"/>
  <c r="F545" i="47"/>
  <c r="L545" i="47" s="1"/>
  <c r="G546" i="47"/>
  <c r="J547" i="47"/>
  <c r="J550" i="47"/>
  <c r="K551" i="47"/>
  <c r="I552" i="47"/>
  <c r="H553" i="47"/>
  <c r="J556" i="47"/>
  <c r="I557" i="47"/>
  <c r="L558" i="47"/>
  <c r="J565" i="47"/>
  <c r="H570" i="47"/>
  <c r="H571" i="47"/>
  <c r="V573" i="47"/>
  <c r="C575" i="47"/>
  <c r="J575" i="47" s="1"/>
  <c r="H577" i="47"/>
  <c r="B581" i="47"/>
  <c r="V587" i="47"/>
  <c r="H589" i="47"/>
  <c r="Q609" i="47"/>
  <c r="D531" i="47"/>
  <c r="B531" i="47"/>
  <c r="K541" i="47"/>
  <c r="K543" i="47"/>
  <c r="G545" i="47"/>
  <c r="J546" i="47"/>
  <c r="K547" i="47"/>
  <c r="K550" i="47"/>
  <c r="L551" i="47"/>
  <c r="J552" i="47"/>
  <c r="I553" i="47"/>
  <c r="K556" i="47"/>
  <c r="K557" i="47"/>
  <c r="P562" i="47"/>
  <c r="Q562" i="47" s="1"/>
  <c r="J562" i="47"/>
  <c r="I562" i="47"/>
  <c r="D562" i="47"/>
  <c r="O562" i="47"/>
  <c r="D569" i="47"/>
  <c r="O569" i="47" s="1"/>
  <c r="G569" i="47"/>
  <c r="F569" i="47"/>
  <c r="Q569" i="47"/>
  <c r="J570" i="47"/>
  <c r="Q583" i="47"/>
  <c r="L589" i="47"/>
  <c r="E497" i="47"/>
  <c r="P499" i="47"/>
  <c r="Q499" i="47" s="1"/>
  <c r="E503" i="47"/>
  <c r="M506" i="47"/>
  <c r="D509" i="47"/>
  <c r="O509" i="47" s="1"/>
  <c r="H510" i="47"/>
  <c r="O511" i="47"/>
  <c r="L512" i="47"/>
  <c r="N519" i="47"/>
  <c r="H527" i="47"/>
  <c r="D529" i="47"/>
  <c r="O529" i="47" s="1"/>
  <c r="C531" i="47"/>
  <c r="E531" i="47" s="1"/>
  <c r="M533" i="47"/>
  <c r="J533" i="47"/>
  <c r="V535" i="47"/>
  <c r="P538" i="47"/>
  <c r="Q538" i="47" s="1"/>
  <c r="O539" i="47"/>
  <c r="N541" i="47"/>
  <c r="L543" i="47"/>
  <c r="H545" i="47"/>
  <c r="K546" i="47"/>
  <c r="L547" i="47"/>
  <c r="L550" i="47"/>
  <c r="K552" i="47"/>
  <c r="K553" i="47"/>
  <c r="L556" i="47"/>
  <c r="O558" i="47"/>
  <c r="B562" i="47"/>
  <c r="M565" i="47"/>
  <c r="B569" i="47"/>
  <c r="K570" i="47"/>
  <c r="J571" i="47"/>
  <c r="P574" i="47"/>
  <c r="Q574" i="47" s="1"/>
  <c r="C574" i="47"/>
  <c r="N574" i="47" s="1"/>
  <c r="J577" i="47"/>
  <c r="J580" i="47"/>
  <c r="I580" i="47"/>
  <c r="G580" i="47"/>
  <c r="F580" i="47"/>
  <c r="H580" i="47" s="1"/>
  <c r="B580" i="47"/>
  <c r="N580" i="47"/>
  <c r="I581" i="47"/>
  <c r="Q588" i="47"/>
  <c r="M589" i="47"/>
  <c r="K630" i="47"/>
  <c r="I630" i="47"/>
  <c r="H630" i="47"/>
  <c r="N630" i="47"/>
  <c r="M630" i="47"/>
  <c r="L630" i="47"/>
  <c r="J630" i="47"/>
  <c r="G630" i="47"/>
  <c r="E630" i="47"/>
  <c r="E643" i="47"/>
  <c r="P643" i="47"/>
  <c r="F643" i="47"/>
  <c r="D643" i="47"/>
  <c r="O643" i="47" s="1"/>
  <c r="C643" i="47"/>
  <c r="B643" i="47"/>
  <c r="E529" i="47"/>
  <c r="F531" i="47"/>
  <c r="H534" i="47"/>
  <c r="F534" i="47"/>
  <c r="O541" i="47"/>
  <c r="M543" i="47"/>
  <c r="I545" i="47"/>
  <c r="L546" i="47"/>
  <c r="M547" i="47"/>
  <c r="N551" i="47"/>
  <c r="L552" i="47"/>
  <c r="M556" i="47"/>
  <c r="P558" i="47"/>
  <c r="Q558" i="47" s="1"/>
  <c r="C562" i="47"/>
  <c r="H562" i="47" s="1"/>
  <c r="C569" i="47"/>
  <c r="L570" i="47"/>
  <c r="Q572" i="47"/>
  <c r="M595" i="47"/>
  <c r="J595" i="47"/>
  <c r="I595" i="47"/>
  <c r="H595" i="47"/>
  <c r="E595" i="47"/>
  <c r="K598" i="47"/>
  <c r="V499" i="47"/>
  <c r="L505" i="47"/>
  <c r="Q511" i="47"/>
  <c r="N512" i="47"/>
  <c r="B517" i="47"/>
  <c r="G531" i="47"/>
  <c r="C533" i="47"/>
  <c r="B534" i="47"/>
  <c r="E535" i="47"/>
  <c r="D535" i="47"/>
  <c r="O535" i="47" s="1"/>
  <c r="B535" i="47"/>
  <c r="K535" i="47" s="1"/>
  <c r="Q536" i="47"/>
  <c r="P541" i="47"/>
  <c r="Q541" i="47" s="1"/>
  <c r="N543" i="47"/>
  <c r="K545" i="47"/>
  <c r="N546" i="47"/>
  <c r="N547" i="47"/>
  <c r="O550" i="47"/>
  <c r="O551" i="47"/>
  <c r="M552" i="47"/>
  <c r="N564" i="47"/>
  <c r="M570" i="47"/>
  <c r="N571" i="47"/>
  <c r="V572" i="47"/>
  <c r="D574" i="47"/>
  <c r="O574" i="47" s="1"/>
  <c r="M577" i="47"/>
  <c r="D580" i="47"/>
  <c r="V605" i="47"/>
  <c r="F637" i="47"/>
  <c r="J637" i="47" s="1"/>
  <c r="E637" i="47"/>
  <c r="D637" i="47"/>
  <c r="O637" i="47"/>
  <c r="M637" i="47"/>
  <c r="L637" i="47"/>
  <c r="P637" i="47"/>
  <c r="Q637" i="47" s="1"/>
  <c r="N637" i="47"/>
  <c r="H637" i="47"/>
  <c r="G637" i="47"/>
  <c r="C637" i="47"/>
  <c r="K637" i="47" s="1"/>
  <c r="B637" i="47"/>
  <c r="I637" i="47" s="1"/>
  <c r="V511" i="47"/>
  <c r="C517" i="47"/>
  <c r="F518" i="47"/>
  <c r="H531" i="47"/>
  <c r="C534" i="47"/>
  <c r="M537" i="47"/>
  <c r="L537" i="47"/>
  <c r="J537" i="47"/>
  <c r="V539" i="47"/>
  <c r="O543" i="47"/>
  <c r="N545" i="47"/>
  <c r="O547" i="47"/>
  <c r="P550" i="47"/>
  <c r="P551" i="47"/>
  <c r="Q551" i="47" s="1"/>
  <c r="F562" i="47"/>
  <c r="P564" i="47"/>
  <c r="K568" i="47"/>
  <c r="I568" i="47"/>
  <c r="C568" i="47"/>
  <c r="O568" i="47"/>
  <c r="O570" i="47"/>
  <c r="O571" i="47"/>
  <c r="N575" i="47"/>
  <c r="N577" i="47"/>
  <c r="M579" i="47"/>
  <c r="J579" i="47"/>
  <c r="I579" i="47"/>
  <c r="Q579" i="47"/>
  <c r="E580" i="47"/>
  <c r="M581" i="47"/>
  <c r="H584" i="47"/>
  <c r="N584" i="47"/>
  <c r="L584" i="47"/>
  <c r="G584" i="47"/>
  <c r="F584" i="47"/>
  <c r="B584" i="47"/>
  <c r="M584" i="47" s="1"/>
  <c r="P590" i="47"/>
  <c r="Q590" i="47" s="1"/>
  <c r="O590" i="47"/>
  <c r="F590" i="47"/>
  <c r="D590" i="47"/>
  <c r="C590" i="47"/>
  <c r="B590" i="47"/>
  <c r="N602" i="47"/>
  <c r="M602" i="47"/>
  <c r="K602" i="47"/>
  <c r="J602" i="47"/>
  <c r="I602" i="47"/>
  <c r="H602" i="47"/>
  <c r="G602" i="47"/>
  <c r="E602" i="47"/>
  <c r="I538" i="47"/>
  <c r="H538" i="47"/>
  <c r="F538" i="47"/>
  <c r="P543" i="47"/>
  <c r="Q543" i="47" s="1"/>
  <c r="O545" i="47"/>
  <c r="P546" i="47"/>
  <c r="P547" i="47"/>
  <c r="Q550" i="47"/>
  <c r="Q560" i="47"/>
  <c r="N561" i="47"/>
  <c r="L561" i="47"/>
  <c r="G561" i="47"/>
  <c r="G562" i="47"/>
  <c r="Q564" i="47"/>
  <c r="K569" i="47"/>
  <c r="Q570" i="47"/>
  <c r="D573" i="47"/>
  <c r="O573" i="47" s="1"/>
  <c r="F573" i="47"/>
  <c r="Q573" i="47"/>
  <c r="N581" i="47"/>
  <c r="H506" i="47"/>
  <c r="C511" i="47"/>
  <c r="C518" i="47"/>
  <c r="D519" i="47"/>
  <c r="O519" i="47" s="1"/>
  <c r="B519" i="47"/>
  <c r="G519" i="47" s="1"/>
  <c r="J531" i="47"/>
  <c r="E534" i="47"/>
  <c r="C537" i="47"/>
  <c r="B538" i="47"/>
  <c r="G538" i="47" s="1"/>
  <c r="E539" i="47"/>
  <c r="D539" i="47"/>
  <c r="Q539" i="47" s="1"/>
  <c r="B539" i="47"/>
  <c r="K539" i="47" s="1"/>
  <c r="P545" i="47"/>
  <c r="Q545" i="47" s="1"/>
  <c r="Q546" i="47"/>
  <c r="Q547" i="47"/>
  <c r="V551" i="47"/>
  <c r="E561" i="47"/>
  <c r="L562" i="47"/>
  <c r="D568" i="47"/>
  <c r="Q568" i="47" s="1"/>
  <c r="B573" i="47"/>
  <c r="P575" i="47"/>
  <c r="Q575" i="47" s="1"/>
  <c r="C579" i="47"/>
  <c r="K579" i="47" s="1"/>
  <c r="L580" i="47"/>
  <c r="D584" i="47"/>
  <c r="Q584" i="47" s="1"/>
  <c r="O592" i="47"/>
  <c r="M541" i="47"/>
  <c r="L541" i="47"/>
  <c r="J541" i="47"/>
  <c r="V543" i="47"/>
  <c r="V547" i="47"/>
  <c r="M557" i="47"/>
  <c r="I558" i="47"/>
  <c r="H558" i="47"/>
  <c r="F558" i="47"/>
  <c r="J558" i="47" s="1"/>
  <c r="M558" i="47"/>
  <c r="E559" i="47"/>
  <c r="D559" i="47"/>
  <c r="B559" i="47"/>
  <c r="M559" i="47" s="1"/>
  <c r="N559" i="47"/>
  <c r="I559" i="47"/>
  <c r="J560" i="47"/>
  <c r="E560" i="47"/>
  <c r="M562" i="47"/>
  <c r="N567" i="47"/>
  <c r="K567" i="47"/>
  <c r="N569" i="47"/>
  <c r="C573" i="47"/>
  <c r="L573" i="47" s="1"/>
  <c r="D579" i="47"/>
  <c r="O579" i="47" s="1"/>
  <c r="M580" i="47"/>
  <c r="V581" i="47"/>
  <c r="E584" i="47"/>
  <c r="L599" i="47"/>
  <c r="F599" i="47"/>
  <c r="E599" i="47"/>
  <c r="D599" i="47"/>
  <c r="O599" i="47" s="1"/>
  <c r="C599" i="47"/>
  <c r="B599" i="47"/>
  <c r="P599" i="47"/>
  <c r="Q599" i="47" s="1"/>
  <c r="N599" i="47"/>
  <c r="K599" i="47"/>
  <c r="L602" i="47"/>
  <c r="F621" i="47"/>
  <c r="E621" i="47"/>
  <c r="D621" i="47"/>
  <c r="O621" i="47" s="1"/>
  <c r="M621" i="47"/>
  <c r="L621" i="47"/>
  <c r="P621" i="47"/>
  <c r="Q621" i="47" s="1"/>
  <c r="N621" i="47"/>
  <c r="J621" i="47"/>
  <c r="H621" i="47"/>
  <c r="G621" i="47"/>
  <c r="C621" i="47"/>
  <c r="I621" i="47" s="1"/>
  <c r="B621" i="47"/>
  <c r="K621" i="47" s="1"/>
  <c r="L649" i="47"/>
  <c r="F649" i="47"/>
  <c r="N649" i="47" s="1"/>
  <c r="D649" i="47"/>
  <c r="O649" i="47" s="1"/>
  <c r="C649" i="47"/>
  <c r="M649" i="47" s="1"/>
  <c r="B649" i="47"/>
  <c r="Q549" i="47"/>
  <c r="Q553" i="47"/>
  <c r="Q557" i="47"/>
  <c r="V561" i="47"/>
  <c r="L567" i="47"/>
  <c r="P585" i="47"/>
  <c r="Q585" i="47" s="1"/>
  <c r="E589" i="47"/>
  <c r="M592" i="47"/>
  <c r="G594" i="47"/>
  <c r="D595" i="47"/>
  <c r="O595" i="47" s="1"/>
  <c r="H596" i="47"/>
  <c r="O597" i="47"/>
  <c r="E605" i="47"/>
  <c r="D605" i="47"/>
  <c r="M605" i="47"/>
  <c r="V617" i="47"/>
  <c r="F629" i="47"/>
  <c r="D629" i="47"/>
  <c r="O629" i="47" s="1"/>
  <c r="I631" i="47"/>
  <c r="E649" i="47"/>
  <c r="Q652" i="47"/>
  <c r="P654" i="47"/>
  <c r="O654" i="47"/>
  <c r="D654" i="47"/>
  <c r="C654" i="47"/>
  <c r="M607" i="47"/>
  <c r="L607" i="47"/>
  <c r="E607" i="47"/>
  <c r="N619" i="47"/>
  <c r="G619" i="47"/>
  <c r="E619" i="47"/>
  <c r="D619" i="47"/>
  <c r="Q642" i="47"/>
  <c r="Q666" i="47"/>
  <c r="P666" i="47"/>
  <c r="M666" i="47"/>
  <c r="L666" i="47"/>
  <c r="F666" i="47"/>
  <c r="D666" i="47"/>
  <c r="O666" i="47" s="1"/>
  <c r="C666" i="47"/>
  <c r="K666" i="47" s="1"/>
  <c r="B666" i="47"/>
  <c r="M696" i="47"/>
  <c r="J696" i="47"/>
  <c r="I696" i="47"/>
  <c r="H696" i="47"/>
  <c r="G696" i="47"/>
  <c r="E696" i="47"/>
  <c r="V585" i="47"/>
  <c r="O586" i="47"/>
  <c r="G589" i="47"/>
  <c r="L591" i="47"/>
  <c r="Q597" i="47"/>
  <c r="I606" i="47"/>
  <c r="B607" i="47"/>
  <c r="I608" i="47"/>
  <c r="B619" i="47"/>
  <c r="J622" i="47"/>
  <c r="V625" i="47"/>
  <c r="C629" i="47"/>
  <c r="V633" i="47"/>
  <c r="N635" i="47"/>
  <c r="M635" i="47"/>
  <c r="L635" i="47"/>
  <c r="G635" i="47"/>
  <c r="E635" i="47"/>
  <c r="D635" i="47"/>
  <c r="J642" i="47"/>
  <c r="H642" i="47"/>
  <c r="G642" i="47"/>
  <c r="H649" i="47"/>
  <c r="F654" i="47"/>
  <c r="E604" i="47"/>
  <c r="C607" i="47"/>
  <c r="E609" i="47"/>
  <c r="D609" i="47"/>
  <c r="O609" i="47" s="1"/>
  <c r="M609" i="47"/>
  <c r="C619" i="47"/>
  <c r="I619" i="47" s="1"/>
  <c r="D627" i="47"/>
  <c r="N648" i="47"/>
  <c r="I648" i="47"/>
  <c r="G648" i="47"/>
  <c r="E648" i="47"/>
  <c r="I649" i="47"/>
  <c r="V650" i="47"/>
  <c r="K653" i="47"/>
  <c r="J653" i="47"/>
  <c r="H653" i="47"/>
  <c r="G653" i="47"/>
  <c r="I589" i="47"/>
  <c r="B597" i="47"/>
  <c r="D607" i="47"/>
  <c r="O607" i="47" s="1"/>
  <c r="F613" i="47"/>
  <c r="E613" i="47"/>
  <c r="D613" i="47"/>
  <c r="O613" i="47" s="1"/>
  <c r="N615" i="47"/>
  <c r="M615" i="47"/>
  <c r="L615" i="47"/>
  <c r="F617" i="47"/>
  <c r="D617" i="47"/>
  <c r="Q617" i="47" s="1"/>
  <c r="O617" i="47"/>
  <c r="M617" i="47"/>
  <c r="K618" i="47"/>
  <c r="I618" i="47"/>
  <c r="H618" i="47"/>
  <c r="F646" i="47"/>
  <c r="D646" i="47"/>
  <c r="P646" i="47"/>
  <c r="Q646" i="47" s="1"/>
  <c r="N646" i="47"/>
  <c r="L646" i="47"/>
  <c r="J649" i="47"/>
  <c r="L563" i="47"/>
  <c r="E585" i="47"/>
  <c r="B586" i="47"/>
  <c r="M586" i="47" s="1"/>
  <c r="J589" i="47"/>
  <c r="D591" i="47"/>
  <c r="O591" i="47" s="1"/>
  <c r="H592" i="47"/>
  <c r="O593" i="47"/>
  <c r="C597" i="47"/>
  <c r="G604" i="47"/>
  <c r="F607" i="47"/>
  <c r="C609" i="47"/>
  <c r="G609" i="47" s="1"/>
  <c r="B611" i="47"/>
  <c r="B613" i="47"/>
  <c r="K613" i="47" s="1"/>
  <c r="B615" i="47"/>
  <c r="B617" i="47"/>
  <c r="H619" i="47"/>
  <c r="V623" i="47"/>
  <c r="C627" i="47"/>
  <c r="E627" i="47" s="1"/>
  <c r="I629" i="47"/>
  <c r="I634" i="47"/>
  <c r="H634" i="47"/>
  <c r="F635" i="47"/>
  <c r="F641" i="47"/>
  <c r="E641" i="47"/>
  <c r="D641" i="47"/>
  <c r="Q641" i="47" s="1"/>
  <c r="L641" i="47"/>
  <c r="K641" i="47"/>
  <c r="B646" i="47"/>
  <c r="P649" i="47"/>
  <c r="E653" i="47"/>
  <c r="E597" i="47"/>
  <c r="J604" i="47"/>
  <c r="G607" i="47"/>
  <c r="C611" i="47"/>
  <c r="I611" i="47" s="1"/>
  <c r="C613" i="47"/>
  <c r="M613" i="47" s="1"/>
  <c r="C615" i="47"/>
  <c r="E615" i="47" s="1"/>
  <c r="C617" i="47"/>
  <c r="N617" i="47" s="1"/>
  <c r="E618" i="47"/>
  <c r="K626" i="47"/>
  <c r="I626" i="47"/>
  <c r="H626" i="47"/>
  <c r="F627" i="47"/>
  <c r="H635" i="47"/>
  <c r="B641" i="47"/>
  <c r="K642" i="47"/>
  <c r="C646" i="47"/>
  <c r="M646" i="47" s="1"/>
  <c r="H648" i="47"/>
  <c r="Q649" i="47"/>
  <c r="Q654" i="47"/>
  <c r="B687" i="47"/>
  <c r="E687" i="47"/>
  <c r="D687" i="47"/>
  <c r="O687" i="47" s="1"/>
  <c r="P687" i="47"/>
  <c r="Q687" i="47" s="1"/>
  <c r="M687" i="47"/>
  <c r="F687" i="47"/>
  <c r="C687" i="47"/>
  <c r="G687" i="47" s="1"/>
  <c r="G613" i="47"/>
  <c r="D615" i="47"/>
  <c r="O615" i="47" s="1"/>
  <c r="G617" i="47"/>
  <c r="J619" i="47"/>
  <c r="F625" i="47"/>
  <c r="E625" i="47"/>
  <c r="D625" i="47"/>
  <c r="O625" i="47" s="1"/>
  <c r="M625" i="47"/>
  <c r="K629" i="47"/>
  <c r="F633" i="47"/>
  <c r="H633" i="47" s="1"/>
  <c r="E633" i="47"/>
  <c r="D633" i="47"/>
  <c r="O633" i="47" s="1"/>
  <c r="M633" i="47"/>
  <c r="E634" i="47"/>
  <c r="I635" i="47"/>
  <c r="C641" i="47"/>
  <c r="M641" i="47" s="1"/>
  <c r="G646" i="47"/>
  <c r="J648" i="47"/>
  <c r="I651" i="47"/>
  <c r="M651" i="47"/>
  <c r="I653" i="47"/>
  <c r="I656" i="47"/>
  <c r="H656" i="47"/>
  <c r="G656" i="47"/>
  <c r="N656" i="47"/>
  <c r="M656" i="47"/>
  <c r="M659" i="47"/>
  <c r="H659" i="47"/>
  <c r="G597" i="47"/>
  <c r="L604" i="47"/>
  <c r="G608" i="47"/>
  <c r="H609" i="47"/>
  <c r="F611" i="47"/>
  <c r="E612" i="47"/>
  <c r="H613" i="47"/>
  <c r="F615" i="47"/>
  <c r="G618" i="47"/>
  <c r="K619" i="47"/>
  <c r="M645" i="47"/>
  <c r="B645" i="47"/>
  <c r="P645" i="47"/>
  <c r="H646"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Q594" i="47"/>
  <c r="N595" i="47"/>
  <c r="K596" i="47"/>
  <c r="H597" i="47"/>
  <c r="I600" i="47"/>
  <c r="H600" i="47"/>
  <c r="M604" i="47"/>
  <c r="L605" i="47"/>
  <c r="K606" i="47"/>
  <c r="J607" i="47"/>
  <c r="J608" i="47"/>
  <c r="I609" i="47"/>
  <c r="G610" i="47"/>
  <c r="G614" i="47"/>
  <c r="G615" i="47"/>
  <c r="J618" i="47"/>
  <c r="O619" i="47"/>
  <c r="V621" i="47"/>
  <c r="C625" i="47"/>
  <c r="L625" i="47" s="1"/>
  <c r="P629" i="47"/>
  <c r="C633" i="47"/>
  <c r="G634" i="47"/>
  <c r="K635" i="47"/>
  <c r="L639" i="47"/>
  <c r="D639" i="47"/>
  <c r="O639" i="47" s="1"/>
  <c r="H641" i="47"/>
  <c r="C645" i="47"/>
  <c r="L648" i="47"/>
  <c r="J651" i="47"/>
  <c r="N653" i="47"/>
  <c r="J585" i="47"/>
  <c r="G586" i="47"/>
  <c r="O589" i="47"/>
  <c r="I591" i="47"/>
  <c r="F592" i="47"/>
  <c r="C593" i="47"/>
  <c r="I597" i="47"/>
  <c r="K607" i="47"/>
  <c r="K608" i="47"/>
  <c r="J609" i="47"/>
  <c r="H611" i="47"/>
  <c r="G612" i="47"/>
  <c r="J613" i="47"/>
  <c r="H615" i="47"/>
  <c r="J617" i="47"/>
  <c r="L618" i="47"/>
  <c r="P619" i="47"/>
  <c r="G623" i="47"/>
  <c r="D623" i="47"/>
  <c r="O623" i="47" s="1"/>
  <c r="G625" i="47"/>
  <c r="G626" i="47"/>
  <c r="G633" i="47"/>
  <c r="J634" i="47"/>
  <c r="O635" i="47"/>
  <c r="B639" i="47"/>
  <c r="I641" i="47"/>
  <c r="D645" i="47"/>
  <c r="Q645" i="47" s="1"/>
  <c r="K646" i="47"/>
  <c r="M648" i="47"/>
  <c r="K651" i="47"/>
  <c r="Q658" i="47"/>
  <c r="N665" i="47"/>
  <c r="L665" i="47"/>
  <c r="J665" i="47"/>
  <c r="H665" i="47"/>
  <c r="E665" i="47"/>
  <c r="P520" i="47"/>
  <c r="Q520" i="47" s="1"/>
  <c r="P524" i="47"/>
  <c r="Q524" i="47" s="1"/>
  <c r="P528" i="47"/>
  <c r="Q528" i="47" s="1"/>
  <c r="P532" i="47"/>
  <c r="Q532" i="47" s="1"/>
  <c r="P536" i="47"/>
  <c r="P540" i="47"/>
  <c r="Q540" i="47" s="1"/>
  <c r="P544" i="47"/>
  <c r="Q544" i="47" s="1"/>
  <c r="P548" i="47"/>
  <c r="Q548" i="47" s="1"/>
  <c r="L549" i="47"/>
  <c r="P552" i="47"/>
  <c r="Q552" i="47" s="1"/>
  <c r="L553" i="47"/>
  <c r="P556" i="47"/>
  <c r="Q556" i="47" s="1"/>
  <c r="L557" i="47"/>
  <c r="P560" i="47"/>
  <c r="M561" i="47"/>
  <c r="G563" i="47"/>
  <c r="V565" i="47"/>
  <c r="M567" i="47"/>
  <c r="L571" i="47"/>
  <c r="C576" i="47"/>
  <c r="C582" i="47"/>
  <c r="K585" i="47"/>
  <c r="H586" i="47"/>
  <c r="B588" i="47"/>
  <c r="P589" i="47"/>
  <c r="J591" i="47"/>
  <c r="G592" i="47"/>
  <c r="B594" i="47"/>
  <c r="P595" i="47"/>
  <c r="Q595" i="47" s="1"/>
  <c r="M596" i="47"/>
  <c r="J597" i="47"/>
  <c r="C600" i="47"/>
  <c r="E601" i="47"/>
  <c r="D601" i="47"/>
  <c r="O601" i="47" s="1"/>
  <c r="O605" i="47"/>
  <c r="M606" i="47"/>
  <c r="N607" i="47"/>
  <c r="L608" i="47"/>
  <c r="K609" i="47"/>
  <c r="J610" i="47"/>
  <c r="K612" i="47"/>
  <c r="J614" i="47"/>
  <c r="I615" i="47"/>
  <c r="K617" i="47"/>
  <c r="M618" i="47"/>
  <c r="Q619" i="47"/>
  <c r="B623" i="47"/>
  <c r="H625" i="47"/>
  <c r="J626" i="47"/>
  <c r="O627" i="47"/>
  <c r="N631" i="47"/>
  <c r="M631" i="47"/>
  <c r="L631" i="47"/>
  <c r="E631" i="47"/>
  <c r="D631" i="47"/>
  <c r="L634" i="47"/>
  <c r="P635" i="47"/>
  <c r="Q635" i="47" s="1"/>
  <c r="C639" i="47"/>
  <c r="M639" i="47" s="1"/>
  <c r="J641" i="47"/>
  <c r="E645" i="47"/>
  <c r="O646" i="47"/>
  <c r="L651" i="47"/>
  <c r="J656" i="47"/>
  <c r="M677" i="47"/>
  <c r="L677" i="47"/>
  <c r="K677" i="47"/>
  <c r="I677" i="47"/>
  <c r="E677" i="47"/>
  <c r="M683" i="47"/>
  <c r="K683" i="47"/>
  <c r="I683" i="47"/>
  <c r="G683" i="47"/>
  <c r="E683" i="47"/>
  <c r="H563" i="47"/>
  <c r="V577" i="47"/>
  <c r="D582" i="47"/>
  <c r="L583" i="47"/>
  <c r="L585" i="47"/>
  <c r="I586" i="47"/>
  <c r="C588" i="47"/>
  <c r="Q589" i="47"/>
  <c r="K591" i="47"/>
  <c r="I592" i="47"/>
  <c r="F593" i="47"/>
  <c r="C594" i="47"/>
  <c r="N596" i="47"/>
  <c r="K597" i="47"/>
  <c r="D600" i="47"/>
  <c r="O600" i="47" s="1"/>
  <c r="B601" i="47"/>
  <c r="G601" i="47" s="1"/>
  <c r="Q602" i="47"/>
  <c r="P605" i="47"/>
  <c r="Q605" i="47" s="1"/>
  <c r="N606" i="47"/>
  <c r="M608" i="47"/>
  <c r="L609" i="47"/>
  <c r="K610" i="47"/>
  <c r="L612" i="47"/>
  <c r="K614" i="47"/>
  <c r="J615" i="47"/>
  <c r="N618" i="47"/>
  <c r="V619" i="47"/>
  <c r="C623" i="47"/>
  <c r="I625" i="47"/>
  <c r="L626" i="47"/>
  <c r="P627" i="47"/>
  <c r="Q627" i="47" s="1"/>
  <c r="B631" i="47"/>
  <c r="G631" i="47" s="1"/>
  <c r="I633" i="47"/>
  <c r="M634" i="47"/>
  <c r="I638" i="47"/>
  <c r="H638" i="47"/>
  <c r="F639" i="47"/>
  <c r="N641" i="47"/>
  <c r="F645" i="47"/>
  <c r="K656" i="47"/>
  <c r="V589" i="47"/>
  <c r="L595" i="47"/>
  <c r="L597" i="47"/>
  <c r="P607" i="47"/>
  <c r="Q607" i="47" s="1"/>
  <c r="N609" i="47"/>
  <c r="M612" i="47"/>
  <c r="N613" i="47"/>
  <c r="K615" i="47"/>
  <c r="K622" i="47"/>
  <c r="I622" i="47"/>
  <c r="H622" i="47"/>
  <c r="V635" i="47"/>
  <c r="L656" i="47"/>
  <c r="K665" i="47"/>
  <c r="N677" i="47"/>
  <c r="D709" i="47"/>
  <c r="O709" i="47" s="1"/>
  <c r="G709" i="47"/>
  <c r="L709" i="47"/>
  <c r="Q709" i="47"/>
  <c r="P709" i="47"/>
  <c r="M709" i="47"/>
  <c r="K709" i="47"/>
  <c r="J709" i="47"/>
  <c r="I709" i="47"/>
  <c r="F709" i="47"/>
  <c r="C709" i="47"/>
  <c r="E709" i="47" s="1"/>
  <c r="Q644" i="47"/>
  <c r="D659" i="47"/>
  <c r="Q660" i="47"/>
  <c r="G667" i="47"/>
  <c r="E667" i="47"/>
  <c r="B681" i="47"/>
  <c r="P681" i="47"/>
  <c r="D681" i="47"/>
  <c r="O681" i="47" s="1"/>
  <c r="C681" i="47"/>
  <c r="J681" i="47" s="1"/>
  <c r="F704" i="47"/>
  <c r="D704" i="47"/>
  <c r="O704" i="47" s="1"/>
  <c r="N704" i="47"/>
  <c r="P704" i="47"/>
  <c r="Q704" i="47" s="1"/>
  <c r="C704" i="47"/>
  <c r="M704" i="47" s="1"/>
  <c r="P706" i="47"/>
  <c r="M706" i="47"/>
  <c r="Q706" i="47"/>
  <c r="N706" i="47"/>
  <c r="L706" i="47"/>
  <c r="J706" i="47"/>
  <c r="I706" i="47"/>
  <c r="H706" i="47"/>
  <c r="F706" i="47"/>
  <c r="C706" i="47"/>
  <c r="G706" i="47" s="1"/>
  <c r="N651" i="47"/>
  <c r="E655" i="47"/>
  <c r="H658" i="47"/>
  <c r="F659" i="47"/>
  <c r="O662" i="47"/>
  <c r="B667" i="47"/>
  <c r="N669" i="47"/>
  <c r="E682" i="47"/>
  <c r="Q690" i="47"/>
  <c r="B695" i="47"/>
  <c r="D695" i="47"/>
  <c r="C695" i="47"/>
  <c r="K695" i="47" s="1"/>
  <c r="Q695" i="47"/>
  <c r="P695" i="47"/>
  <c r="M695" i="47"/>
  <c r="B704" i="47"/>
  <c r="B706" i="47"/>
  <c r="Q604" i="47"/>
  <c r="Q608" i="47"/>
  <c r="Q612" i="47"/>
  <c r="Q616" i="47"/>
  <c r="Q620" i="47"/>
  <c r="Q624" i="47"/>
  <c r="Q628" i="47"/>
  <c r="Q632" i="47"/>
  <c r="Q636" i="47"/>
  <c r="Q640" i="47"/>
  <c r="I650" i="47"/>
  <c r="O651" i="47"/>
  <c r="B655" i="47"/>
  <c r="I655" i="47" s="1"/>
  <c r="L657" i="47"/>
  <c r="J658" i="47"/>
  <c r="G659" i="47"/>
  <c r="P662" i="47"/>
  <c r="Q662" i="47" s="1"/>
  <c r="G665" i="47"/>
  <c r="C667" i="47"/>
  <c r="I667" i="47" s="1"/>
  <c r="Q668" i="47"/>
  <c r="O670" i="47"/>
  <c r="F681" i="47"/>
  <c r="E699" i="47"/>
  <c r="G702" i="47"/>
  <c r="D706" i="47"/>
  <c r="O706" i="47" s="1"/>
  <c r="N709" i="47"/>
  <c r="O661" i="47"/>
  <c r="D667" i="47"/>
  <c r="P670" i="47"/>
  <c r="Q670" i="47" s="1"/>
  <c r="G682" i="47"/>
  <c r="V684" i="47"/>
  <c r="E690" i="47"/>
  <c r="N691" i="47"/>
  <c r="F695" i="47"/>
  <c r="E706" i="47"/>
  <c r="H715" i="47"/>
  <c r="D717" i="47"/>
  <c r="O717" i="47" s="1"/>
  <c r="Q717" i="47"/>
  <c r="F717" i="47"/>
  <c r="C717" i="47"/>
  <c r="N717" i="47" s="1"/>
  <c r="B717" i="47"/>
  <c r="C632" i="47"/>
  <c r="J632" i="47" s="1"/>
  <c r="K634" i="47"/>
  <c r="C636" i="47"/>
  <c r="H636" i="47" s="1"/>
  <c r="K638" i="47"/>
  <c r="C640" i="47"/>
  <c r="L642" i="47"/>
  <c r="E644" i="47"/>
  <c r="C650" i="47"/>
  <c r="D655" i="47"/>
  <c r="O655" i="47" s="1"/>
  <c r="Q656" i="47"/>
  <c r="O657" i="47"/>
  <c r="L658" i="47"/>
  <c r="I659" i="47"/>
  <c r="B661" i="47"/>
  <c r="P663" i="47"/>
  <c r="Q663" i="47" s="1"/>
  <c r="I665" i="47"/>
  <c r="F667" i="47"/>
  <c r="L667" i="47" s="1"/>
  <c r="P671" i="47"/>
  <c r="Q671" i="47" s="1"/>
  <c r="H678" i="47"/>
  <c r="C678" i="47"/>
  <c r="Q678" i="47"/>
  <c r="I682" i="47"/>
  <c r="I690" i="47"/>
  <c r="G695" i="47"/>
  <c r="G699" i="47"/>
  <c r="B701" i="47"/>
  <c r="P701" i="47"/>
  <c r="C701" i="47"/>
  <c r="M701" i="47" s="1"/>
  <c r="Q701" i="47"/>
  <c r="L701" i="47"/>
  <c r="K706" i="47"/>
  <c r="D725" i="47"/>
  <c r="K725" i="47"/>
  <c r="I725" i="47"/>
  <c r="B725" i="47"/>
  <c r="P725" i="47"/>
  <c r="Q725" i="47" s="1"/>
  <c r="O725" i="47"/>
  <c r="J725" i="47"/>
  <c r="F725" i="47"/>
  <c r="E725" i="47"/>
  <c r="C725" i="47"/>
  <c r="N725" i="47" s="1"/>
  <c r="E651" i="47"/>
  <c r="J659" i="47"/>
  <c r="C661" i="47"/>
  <c r="K662" i="47"/>
  <c r="I662" i="47"/>
  <c r="O669" i="47"/>
  <c r="M669" i="47"/>
  <c r="B678" i="47"/>
  <c r="B685" i="47"/>
  <c r="P685" i="47"/>
  <c r="Q685" i="47" s="1"/>
  <c r="M685" i="47"/>
  <c r="L685" i="47"/>
  <c r="J685" i="47"/>
  <c r="H685" i="47"/>
  <c r="D685" i="47"/>
  <c r="O685" i="47" s="1"/>
  <c r="B689" i="47"/>
  <c r="P689" i="47"/>
  <c r="Q689" i="47" s="1"/>
  <c r="J689" i="47"/>
  <c r="I689" i="47"/>
  <c r="H689" i="47"/>
  <c r="F689" i="47"/>
  <c r="D689" i="47"/>
  <c r="C689" i="47"/>
  <c r="J690" i="47"/>
  <c r="B693" i="47"/>
  <c r="P693" i="47"/>
  <c r="Q693" i="47" s="1"/>
  <c r="F693" i="47"/>
  <c r="E693" i="47"/>
  <c r="C693" i="47"/>
  <c r="N693" i="47" s="1"/>
  <c r="M698" i="47"/>
  <c r="I698" i="47"/>
  <c r="K699" i="47"/>
  <c r="D701" i="47"/>
  <c r="P717" i="47"/>
  <c r="O731" i="47"/>
  <c r="M657" i="47"/>
  <c r="L659" i="47"/>
  <c r="J667" i="47"/>
  <c r="F678" i="47"/>
  <c r="L681" i="47"/>
  <c r="O682" i="47"/>
  <c r="E685" i="47"/>
  <c r="I686" i="47"/>
  <c r="E698" i="47"/>
  <c r="F701" i="47"/>
  <c r="J703" i="47"/>
  <c r="H703" i="47"/>
  <c r="B703" i="47"/>
  <c r="P703" i="47"/>
  <c r="Q703" i="47" s="1"/>
  <c r="O703" i="47"/>
  <c r="M703" i="47"/>
  <c r="L703" i="47"/>
  <c r="K703" i="47"/>
  <c r="I703" i="47"/>
  <c r="E703" i="47"/>
  <c r="B670" i="47"/>
  <c r="H671" i="47"/>
  <c r="F671" i="47"/>
  <c r="F676" i="47"/>
  <c r="H676" i="47" s="1"/>
  <c r="D676" i="47"/>
  <c r="O676" i="47" s="1"/>
  <c r="J676" i="47"/>
  <c r="B676" i="47"/>
  <c r="N695" i="47"/>
  <c r="B705" i="47"/>
  <c r="I705" i="47" s="1"/>
  <c r="P705" i="47"/>
  <c r="M705" i="47"/>
  <c r="K705" i="47"/>
  <c r="H705" i="47"/>
  <c r="D705" i="47"/>
  <c r="O705" i="47" s="1"/>
  <c r="Q718" i="47"/>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P638" i="47"/>
  <c r="Q638" i="47" s="1"/>
  <c r="H640" i="47"/>
  <c r="J644" i="47"/>
  <c r="E647" i="47"/>
  <c r="F651" i="47"/>
  <c r="H651" i="47" s="1"/>
  <c r="J655" i="47"/>
  <c r="C657" i="47"/>
  <c r="N659" i="47"/>
  <c r="E662" i="47"/>
  <c r="C663" i="47"/>
  <c r="N663" i="47" s="1"/>
  <c r="Q664" i="47"/>
  <c r="P665" i="47"/>
  <c r="Q665" i="47" s="1"/>
  <c r="E669" i="47"/>
  <c r="C670" i="47"/>
  <c r="B671" i="47"/>
  <c r="E675" i="47"/>
  <c r="C676" i="47"/>
  <c r="L676" i="47" s="1"/>
  <c r="J678" i="47"/>
  <c r="N681" i="47"/>
  <c r="F684" i="47"/>
  <c r="D684" i="47"/>
  <c r="Q684" i="47" s="1"/>
  <c r="E684" i="47"/>
  <c r="G685" i="47"/>
  <c r="L689" i="47"/>
  <c r="F692" i="47"/>
  <c r="D692" i="47"/>
  <c r="Q692" i="47" s="1"/>
  <c r="N692" i="47"/>
  <c r="G692" i="47"/>
  <c r="E692" i="47"/>
  <c r="B692" i="47"/>
  <c r="O692" i="47"/>
  <c r="O695" i="47"/>
  <c r="H698" i="47"/>
  <c r="D703" i="47"/>
  <c r="C705" i="47"/>
  <c r="J705" i="47" s="1"/>
  <c r="K707" i="47"/>
  <c r="Q745" i="47"/>
  <c r="I624" i="47"/>
  <c r="I628" i="47"/>
  <c r="Q634" i="47"/>
  <c r="I640" i="47"/>
  <c r="I642" i="47"/>
  <c r="K644" i="47"/>
  <c r="J650" i="47"/>
  <c r="G651" i="47"/>
  <c r="K655" i="47"/>
  <c r="D657" i="47"/>
  <c r="I658" i="47"/>
  <c r="O659" i="47"/>
  <c r="F662" i="47"/>
  <c r="L662" i="47" s="1"/>
  <c r="D663" i="47"/>
  <c r="O663" i="47" s="1"/>
  <c r="M667" i="47"/>
  <c r="D670" i="47"/>
  <c r="C671" i="47"/>
  <c r="Q674" i="47"/>
  <c r="O674" i="47"/>
  <c r="M674" i="47"/>
  <c r="E676" i="47"/>
  <c r="Q681" i="47"/>
  <c r="F688" i="47"/>
  <c r="H688" i="47" s="1"/>
  <c r="D688" i="47"/>
  <c r="O688" i="47" s="1"/>
  <c r="N688" i="47"/>
  <c r="I688" i="47"/>
  <c r="C688" i="47"/>
  <c r="B688" i="47"/>
  <c r="O701" i="47"/>
  <c r="E705" i="47"/>
  <c r="D721" i="47"/>
  <c r="F721" i="47"/>
  <c r="C721" i="47"/>
  <c r="M721" i="47" s="1"/>
  <c r="P721" i="47"/>
  <c r="Q721" i="47" s="1"/>
  <c r="O721" i="47"/>
  <c r="B721" i="47"/>
  <c r="B642" i="47"/>
  <c r="M642" i="47" s="1"/>
  <c r="K650" i="47"/>
  <c r="M653" i="47"/>
  <c r="L655" i="47"/>
  <c r="E657" i="47"/>
  <c r="B658" i="47"/>
  <c r="G658" i="47" s="1"/>
  <c r="P659" i="47"/>
  <c r="Q659" i="47" s="1"/>
  <c r="I661" i="47"/>
  <c r="G662" i="47"/>
  <c r="F663" i="47"/>
  <c r="N667" i="47"/>
  <c r="G669" i="47"/>
  <c r="D671" i="47"/>
  <c r="O671" i="47" s="1"/>
  <c r="B674" i="47"/>
  <c r="C675" i="47"/>
  <c r="G676" i="47"/>
  <c r="C684" i="47"/>
  <c r="N684" i="47" s="1"/>
  <c r="K685" i="47"/>
  <c r="E688" i="47"/>
  <c r="N689" i="47"/>
  <c r="H692" i="47"/>
  <c r="L693" i="47"/>
  <c r="K698" i="47"/>
  <c r="F700" i="47"/>
  <c r="D700" i="47"/>
  <c r="O700" i="47" s="1"/>
  <c r="B700" i="47"/>
  <c r="Q700" i="47"/>
  <c r="H700" i="47"/>
  <c r="G703" i="47"/>
  <c r="F705" i="47"/>
  <c r="Q648" i="47"/>
  <c r="F657" i="47"/>
  <c r="O665" i="47"/>
  <c r="M665" i="47"/>
  <c r="O667" i="47"/>
  <c r="F670" i="47"/>
  <c r="C674" i="47"/>
  <c r="L674" i="47" s="1"/>
  <c r="D675" i="47"/>
  <c r="O675" i="47" s="1"/>
  <c r="I676" i="47"/>
  <c r="O678" i="47"/>
  <c r="Q679" i="47"/>
  <c r="J683" i="47"/>
  <c r="Q683" i="47"/>
  <c r="P683" i="47"/>
  <c r="N683" i="47"/>
  <c r="L683" i="47"/>
  <c r="F683" i="47"/>
  <c r="H683" i="47" s="1"/>
  <c r="N685" i="47"/>
  <c r="V686" i="47"/>
  <c r="O689" i="47"/>
  <c r="I692" i="47"/>
  <c r="M693" i="47"/>
  <c r="C700" i="47"/>
  <c r="K700" i="47" s="1"/>
  <c r="N703" i="47"/>
  <c r="L705" i="47"/>
  <c r="Q712" i="47"/>
  <c r="E659" i="47"/>
  <c r="P667" i="47"/>
  <c r="Q667" i="47" s="1"/>
  <c r="K688" i="47"/>
  <c r="Q705" i="47"/>
  <c r="B677" i="47"/>
  <c r="G677" i="47" s="1"/>
  <c r="P677" i="47"/>
  <c r="Q677" i="47" s="1"/>
  <c r="H682" i="47"/>
  <c r="N686" i="47"/>
  <c r="L686" i="47"/>
  <c r="F686" i="47"/>
  <c r="H686" i="47" s="1"/>
  <c r="V688" i="47"/>
  <c r="E702" i="47"/>
  <c r="G710" i="47"/>
  <c r="H713" i="47"/>
  <c r="J714" i="47"/>
  <c r="J715" i="47"/>
  <c r="E731" i="47"/>
  <c r="J740" i="47"/>
  <c r="I740" i="47"/>
  <c r="K740" i="47"/>
  <c r="G740" i="47"/>
  <c r="E740" i="47"/>
  <c r="J754" i="47"/>
  <c r="I754" i="47"/>
  <c r="H754" i="47"/>
  <c r="D754" i="47"/>
  <c r="O754" i="47" s="1"/>
  <c r="P754" i="47"/>
  <c r="Q754" i="47" s="1"/>
  <c r="K754" i="47"/>
  <c r="B754" i="47"/>
  <c r="N754" i="47"/>
  <c r="M754" i="47"/>
  <c r="F754" i="47"/>
  <c r="K714" i="47"/>
  <c r="M715" i="47"/>
  <c r="V718" i="47"/>
  <c r="H720" i="47"/>
  <c r="I720" i="47"/>
  <c r="F720" i="47"/>
  <c r="Q720" i="47"/>
  <c r="N720" i="47"/>
  <c r="N723" i="47"/>
  <c r="V747" i="47"/>
  <c r="N749" i="47"/>
  <c r="M749" i="47"/>
  <c r="J749" i="47"/>
  <c r="E749" i="47"/>
  <c r="B749" i="47"/>
  <c r="P749" i="47"/>
  <c r="F749" i="47"/>
  <c r="D749" i="47"/>
  <c r="O749" i="47" s="1"/>
  <c r="C749" i="47"/>
  <c r="I749" i="47" s="1"/>
  <c r="C754" i="47"/>
  <c r="N690" i="47"/>
  <c r="L690" i="47"/>
  <c r="F690" i="47"/>
  <c r="M699" i="47"/>
  <c r="I702" i="47"/>
  <c r="J711" i="47"/>
  <c r="M713" i="47"/>
  <c r="C720" i="47"/>
  <c r="J720" i="47" s="1"/>
  <c r="I726" i="47"/>
  <c r="O727" i="47"/>
  <c r="L737" i="47"/>
  <c r="K737" i="47"/>
  <c r="J737" i="47"/>
  <c r="D737" i="47"/>
  <c r="B737" i="47"/>
  <c r="O737" i="47"/>
  <c r="I737" i="47"/>
  <c r="H740" i="47"/>
  <c r="Q749" i="47"/>
  <c r="V672" i="47"/>
  <c r="F677" i="47"/>
  <c r="H677" i="47" s="1"/>
  <c r="M682" i="47"/>
  <c r="E686" i="47"/>
  <c r="B690" i="47"/>
  <c r="G690" i="47" s="1"/>
  <c r="J691" i="47"/>
  <c r="H691" i="47"/>
  <c r="B691" i="47"/>
  <c r="K691" i="47" s="1"/>
  <c r="N699" i="47"/>
  <c r="J702" i="47"/>
  <c r="H707" i="47"/>
  <c r="I708" i="47"/>
  <c r="M710" i="47"/>
  <c r="K711" i="47"/>
  <c r="N713" i="47"/>
  <c r="D720" i="47"/>
  <c r="O720" i="47" s="1"/>
  <c r="J726" i="47"/>
  <c r="N731" i="47"/>
  <c r="E733" i="47"/>
  <c r="D733" i="47"/>
  <c r="O733" i="47" s="1"/>
  <c r="H733" i="47"/>
  <c r="F733" i="47"/>
  <c r="B733" i="47"/>
  <c r="G733" i="47" s="1"/>
  <c r="P733" i="47"/>
  <c r="N733" i="47"/>
  <c r="M733" i="47"/>
  <c r="L733" i="47"/>
  <c r="C737" i="47"/>
  <c r="E737" i="47" s="1"/>
  <c r="L740" i="47"/>
  <c r="L752" i="47"/>
  <c r="N752" i="47"/>
  <c r="M752" i="47"/>
  <c r="H752" i="47"/>
  <c r="E752" i="47"/>
  <c r="K752" i="47"/>
  <c r="I752" i="47"/>
  <c r="G752" i="47"/>
  <c r="B803" i="47"/>
  <c r="O803" i="47"/>
  <c r="F803" i="47"/>
  <c r="D803" i="47"/>
  <c r="Q803" i="47"/>
  <c r="P803" i="47"/>
  <c r="K803" i="47"/>
  <c r="C803" i="47"/>
  <c r="I803" i="47" s="1"/>
  <c r="M711" i="47"/>
  <c r="P718" i="47"/>
  <c r="F718" i="47"/>
  <c r="C718" i="47"/>
  <c r="H718" i="47" s="1"/>
  <c r="E720" i="47"/>
  <c r="K726" i="47"/>
  <c r="D729" i="47"/>
  <c r="O729" i="47" s="1"/>
  <c r="P729" i="47"/>
  <c r="L729" i="47"/>
  <c r="H729" i="47"/>
  <c r="F729" i="47"/>
  <c r="N729" i="47" s="1"/>
  <c r="E729" i="47"/>
  <c r="M740" i="47"/>
  <c r="L744" i="47"/>
  <c r="J744" i="47"/>
  <c r="I744" i="47"/>
  <c r="H744" i="47"/>
  <c r="N744" i="47"/>
  <c r="M744" i="47"/>
  <c r="K744" i="47"/>
  <c r="I755" i="47"/>
  <c r="F755" i="47"/>
  <c r="D755" i="47"/>
  <c r="O755" i="47" s="1"/>
  <c r="Q755" i="47"/>
  <c r="P755" i="47"/>
  <c r="J755" i="47"/>
  <c r="G755" i="47"/>
  <c r="C755" i="47"/>
  <c r="M755" i="47" s="1"/>
  <c r="C672" i="47"/>
  <c r="C679" i="47"/>
  <c r="J679" i="47" s="1"/>
  <c r="F680" i="47"/>
  <c r="J680" i="47" s="1"/>
  <c r="D680" i="47"/>
  <c r="O680" i="47" s="1"/>
  <c r="D690" i="47"/>
  <c r="O690" i="47" s="1"/>
  <c r="D691" i="47"/>
  <c r="N694" i="47"/>
  <c r="L694" i="47"/>
  <c r="F694" i="47"/>
  <c r="H694" i="47" s="1"/>
  <c r="V696" i="47"/>
  <c r="M702" i="47"/>
  <c r="L708" i="47"/>
  <c r="N711" i="47"/>
  <c r="B718" i="47"/>
  <c r="G720"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O696" i="47" s="1"/>
  <c r="N696" i="47"/>
  <c r="B697" i="47"/>
  <c r="P697" i="47"/>
  <c r="Q697" i="47" s="1"/>
  <c r="J697" i="47"/>
  <c r="P702" i="47"/>
  <c r="Q702" i="47" s="1"/>
  <c r="L716" i="47"/>
  <c r="K720" i="47"/>
  <c r="B728" i="47"/>
  <c r="G729" i="47"/>
  <c r="F732" i="47"/>
  <c r="D732" i="47"/>
  <c r="O732" i="47" s="1"/>
  <c r="P732" i="47"/>
  <c r="Q732" i="47" s="1"/>
  <c r="J733" i="47"/>
  <c r="P737" i="47"/>
  <c r="Q737" i="47" s="1"/>
  <c r="N682" i="47"/>
  <c r="L682" i="47"/>
  <c r="H690" i="47"/>
  <c r="B696" i="47"/>
  <c r="K696" i="47" s="1"/>
  <c r="C697" i="47"/>
  <c r="N698" i="47"/>
  <c r="L698" i="47"/>
  <c r="F698" i="47"/>
  <c r="V700" i="47"/>
  <c r="V712" i="47"/>
  <c r="L715" i="47"/>
  <c r="F715" i="47"/>
  <c r="D715" i="47"/>
  <c r="O715" i="47" s="1"/>
  <c r="K715" i="47"/>
  <c r="L720" i="47"/>
  <c r="M723" i="47"/>
  <c r="H723" i="47"/>
  <c r="F723" i="47"/>
  <c r="L723" i="47" s="1"/>
  <c r="E723" i="47"/>
  <c r="C728" i="47"/>
  <c r="I729" i="47"/>
  <c r="O730" i="47"/>
  <c r="B732" i="47"/>
  <c r="K733" i="47"/>
  <c r="G744" i="47"/>
  <c r="J699" i="47"/>
  <c r="H699" i="47"/>
  <c r="B699" i="47"/>
  <c r="I699" i="47" s="1"/>
  <c r="Q708" i="47"/>
  <c r="V709" i="47"/>
  <c r="M720" i="47"/>
  <c r="V721" i="47"/>
  <c r="B723" i="47"/>
  <c r="K723" i="47" s="1"/>
  <c r="I724" i="47"/>
  <c r="D728" i="47"/>
  <c r="Q728" i="47" s="1"/>
  <c r="J729" i="47"/>
  <c r="C732" i="47"/>
  <c r="G732" i="47" s="1"/>
  <c r="J739" i="47"/>
  <c r="N757" i="47"/>
  <c r="D713" i="47"/>
  <c r="O713" i="47" s="1"/>
  <c r="L713" i="47"/>
  <c r="J713" i="47"/>
  <c r="C713" i="47"/>
  <c r="Q713" i="47"/>
  <c r="G714" i="47"/>
  <c r="N714" i="47"/>
  <c r="N736" i="47"/>
  <c r="J736" i="47"/>
  <c r="I736" i="47"/>
  <c r="H736" i="47"/>
  <c r="N702" i="47"/>
  <c r="L702" i="47"/>
  <c r="F702" i="47"/>
  <c r="H702" i="47" s="1"/>
  <c r="V704" i="47"/>
  <c r="P710" i="47"/>
  <c r="Q710" i="47" s="1"/>
  <c r="D710" i="47"/>
  <c r="O710" i="47" s="1"/>
  <c r="B710" i="47"/>
  <c r="K710" i="47" s="1"/>
  <c r="L710" i="47"/>
  <c r="I710" i="47"/>
  <c r="B713" i="47"/>
  <c r="E715" i="47"/>
  <c r="J718" i="47"/>
  <c r="D723" i="47"/>
  <c r="Q723" i="47" s="1"/>
  <c r="F728" i="47"/>
  <c r="V733" i="47"/>
  <c r="E736" i="47"/>
  <c r="O738" i="47"/>
  <c r="I741" i="47"/>
  <c r="E741" i="47"/>
  <c r="O712" i="47"/>
  <c r="F712" i="47"/>
  <c r="C712" i="47"/>
  <c r="E713" i="47"/>
  <c r="E714" i="47"/>
  <c r="G715" i="47"/>
  <c r="G723" i="47"/>
  <c r="M731" i="47"/>
  <c r="L731" i="47"/>
  <c r="J731" i="47"/>
  <c r="H731" i="47"/>
  <c r="F731" i="47"/>
  <c r="B731" i="47"/>
  <c r="I731" i="47" s="1"/>
  <c r="P731" i="47"/>
  <c r="Q731" i="47" s="1"/>
  <c r="H745" i="47"/>
  <c r="J745" i="47"/>
  <c r="I745" i="47"/>
  <c r="C745" i="47"/>
  <c r="K745" i="47" s="1"/>
  <c r="F745" i="47"/>
  <c r="D745" i="47"/>
  <c r="O745" i="47" s="1"/>
  <c r="B745" i="47"/>
  <c r="B712" i="47"/>
  <c r="F713" i="47"/>
  <c r="P726" i="47"/>
  <c r="H726" i="47"/>
  <c r="F726" i="47"/>
  <c r="L726" i="47" s="1"/>
  <c r="D726" i="47"/>
  <c r="O726" i="47" s="1"/>
  <c r="Q726" i="47"/>
  <c r="N726" i="47"/>
  <c r="M726" i="47"/>
  <c r="F743" i="47"/>
  <c r="D743" i="47"/>
  <c r="O743" i="47" s="1"/>
  <c r="P743" i="47"/>
  <c r="Q743" i="47" s="1"/>
  <c r="B743" i="47"/>
  <c r="C743" i="47"/>
  <c r="M747" i="47"/>
  <c r="K747" i="47"/>
  <c r="N747" i="47"/>
  <c r="J747" i="47"/>
  <c r="I747" i="47"/>
  <c r="F751" i="47"/>
  <c r="E751" i="47"/>
  <c r="D751" i="47"/>
  <c r="P751" i="47"/>
  <c r="O751" i="47"/>
  <c r="M751" i="47"/>
  <c r="I751" i="47"/>
  <c r="C751" i="47"/>
  <c r="B751" i="47"/>
  <c r="Q751" i="47"/>
  <c r="L751" i="47"/>
  <c r="K751" i="47"/>
  <c r="G761" i="47"/>
  <c r="M761" i="47"/>
  <c r="L761" i="47"/>
  <c r="K761" i="47"/>
  <c r="E761" i="47"/>
  <c r="I761" i="47"/>
  <c r="H761" i="47"/>
  <c r="K772" i="47"/>
  <c r="E772" i="47"/>
  <c r="L772" i="47"/>
  <c r="B772" i="47"/>
  <c r="P772" i="47"/>
  <c r="Q772" i="47" s="1"/>
  <c r="M772" i="47"/>
  <c r="H772" i="47"/>
  <c r="F772" i="47"/>
  <c r="N772" i="47" s="1"/>
  <c r="M777" i="47"/>
  <c r="L777" i="47"/>
  <c r="K777" i="47"/>
  <c r="E777" i="47"/>
  <c r="I777" i="47"/>
  <c r="B763" i="47"/>
  <c r="D763" i="47"/>
  <c r="O763" i="47" s="1"/>
  <c r="F763" i="47"/>
  <c r="E779" i="47"/>
  <c r="N779" i="47"/>
  <c r="L779" i="47"/>
  <c r="O739" i="47"/>
  <c r="P753" i="47"/>
  <c r="D753" i="47"/>
  <c r="Q753" i="47" s="1"/>
  <c r="E758" i="47"/>
  <c r="C763" i="47"/>
  <c r="I763" i="47" s="1"/>
  <c r="D772" i="47"/>
  <c r="G775" i="47"/>
  <c r="Q719" i="47"/>
  <c r="B730" i="47"/>
  <c r="P739" i="47"/>
  <c r="Q739" i="47" s="1"/>
  <c r="D746" i="47"/>
  <c r="O746" i="47" s="1"/>
  <c r="C746" i="47"/>
  <c r="J750" i="47"/>
  <c r="I750" i="47"/>
  <c r="H750" i="47"/>
  <c r="D750" i="47"/>
  <c r="Q750" i="47" s="1"/>
  <c r="N750" i="47"/>
  <c r="M750" i="47"/>
  <c r="F750" i="47"/>
  <c r="B750" i="47"/>
  <c r="B753" i="47"/>
  <c r="N761" i="47"/>
  <c r="G772" i="47"/>
  <c r="K775" i="47"/>
  <c r="H777" i="47"/>
  <c r="G779" i="47"/>
  <c r="B783" i="47"/>
  <c r="K783" i="47" s="1"/>
  <c r="I783" i="47"/>
  <c r="F783" i="47"/>
  <c r="D783" i="47"/>
  <c r="O783" i="47" s="1"/>
  <c r="P783" i="47"/>
  <c r="N783" i="47"/>
  <c r="J783" i="47"/>
  <c r="C783" i="47"/>
  <c r="M783" i="47" s="1"/>
  <c r="C730" i="47"/>
  <c r="C753" i="47"/>
  <c r="I758" i="47"/>
  <c r="G763" i="47"/>
  <c r="L758" i="47"/>
  <c r="E760" i="47"/>
  <c r="L760" i="47"/>
  <c r="H760" i="47"/>
  <c r="D760" i="47"/>
  <c r="O760" i="47" s="1"/>
  <c r="C760" i="47"/>
  <c r="B760" i="47"/>
  <c r="N768" i="47"/>
  <c r="K768" i="47"/>
  <c r="E768" i="47"/>
  <c r="D768" i="47"/>
  <c r="O768" i="47" s="1"/>
  <c r="C768" i="47"/>
  <c r="B768" i="47"/>
  <c r="Q768" i="47"/>
  <c r="M768" i="47"/>
  <c r="L768" i="47"/>
  <c r="I768" i="47"/>
  <c r="G768" i="47"/>
  <c r="J772" i="47"/>
  <c r="D707" i="47"/>
  <c r="H708" i="47"/>
  <c r="C719" i="47"/>
  <c r="E730" i="47"/>
  <c r="N741" i="47"/>
  <c r="M741" i="47"/>
  <c r="L741" i="47"/>
  <c r="H741" i="47"/>
  <c r="G741" i="47"/>
  <c r="B741" i="47"/>
  <c r="F746" i="47"/>
  <c r="G750" i="47"/>
  <c r="F753" i="47"/>
  <c r="F760" i="47"/>
  <c r="F768" i="47"/>
  <c r="O772" i="47"/>
  <c r="M771" i="47"/>
  <c r="N771" i="47"/>
  <c r="K771" i="47"/>
  <c r="G771" i="47"/>
  <c r="E771" i="47"/>
  <c r="K776" i="47"/>
  <c r="E776" i="47"/>
  <c r="G776" i="47"/>
  <c r="Q776" i="47"/>
  <c r="J776" i="47"/>
  <c r="I776" i="47"/>
  <c r="H776" i="47"/>
  <c r="D776" i="47"/>
  <c r="O776" i="47" s="1"/>
  <c r="B776" i="47"/>
  <c r="M776" i="47" s="1"/>
  <c r="F778" i="47"/>
  <c r="C778" i="47"/>
  <c r="M778" i="47" s="1"/>
  <c r="K778" i="47"/>
  <c r="D778" i="47"/>
  <c r="O778" i="47" s="1"/>
  <c r="C792" i="47"/>
  <c r="M792" i="47" s="1"/>
  <c r="B792" i="47"/>
  <c r="F792" i="47"/>
  <c r="D792" i="47"/>
  <c r="O792" i="47" s="1"/>
  <c r="P792" i="47"/>
  <c r="Q792" i="47" s="1"/>
  <c r="F739" i="47"/>
  <c r="H739" i="47" s="1"/>
  <c r="E739" i="47"/>
  <c r="D739" i="47"/>
  <c r="L739" i="47"/>
  <c r="K739" i="47"/>
  <c r="K753" i="47"/>
  <c r="K759" i="47"/>
  <c r="P760" i="47"/>
  <c r="Q760" i="47" s="1"/>
  <c r="P768" i="47"/>
  <c r="C776" i="47"/>
  <c r="N776" i="47" s="1"/>
  <c r="B778" i="47"/>
  <c r="B780" i="47"/>
  <c r="F780" i="47"/>
  <c r="D780" i="47"/>
  <c r="O780" i="47" s="1"/>
  <c r="C780" i="47"/>
  <c r="P780" i="47"/>
  <c r="Q780" i="47" s="1"/>
  <c r="I730" i="47"/>
  <c r="Q734" i="47"/>
  <c r="V735" i="47"/>
  <c r="B739" i="47"/>
  <c r="H771" i="47"/>
  <c r="F776" i="47"/>
  <c r="G778" i="47"/>
  <c r="J771" i="47"/>
  <c r="P776" i="47"/>
  <c r="N784" i="47"/>
  <c r="E784" i="47"/>
  <c r="D784" i="47"/>
  <c r="O784" i="47" s="1"/>
  <c r="C784" i="47"/>
  <c r="B784" i="47"/>
  <c r="K784" i="47" s="1"/>
  <c r="Q784" i="47"/>
  <c r="H784" i="47"/>
  <c r="F784" i="47"/>
  <c r="L784" i="47" s="1"/>
  <c r="Q802" i="47"/>
  <c r="J707" i="47"/>
  <c r="G708" i="47"/>
  <c r="C727" i="47"/>
  <c r="K727" i="47" s="1"/>
  <c r="K730" i="47"/>
  <c r="D735" i="47"/>
  <c r="Q735" i="47" s="1"/>
  <c r="O735" i="47"/>
  <c r="B736" i="47"/>
  <c r="G736" i="47" s="1"/>
  <c r="Q736" i="47"/>
  <c r="P736" i="47"/>
  <c r="M736" i="47"/>
  <c r="L736" i="47"/>
  <c r="C738" i="47"/>
  <c r="G739" i="47"/>
  <c r="J741" i="47"/>
  <c r="V746" i="47"/>
  <c r="E759" i="47"/>
  <c r="K764" i="47"/>
  <c r="B764" i="47"/>
  <c r="C764" i="47"/>
  <c r="M764" i="47" s="1"/>
  <c r="Q764" i="47"/>
  <c r="L771" i="47"/>
  <c r="V776" i="47"/>
  <c r="N778" i="47"/>
  <c r="F782" i="47"/>
  <c r="C782" i="47"/>
  <c r="K782" i="47" s="1"/>
  <c r="M782" i="47"/>
  <c r="H782" i="47"/>
  <c r="G782" i="47"/>
  <c r="E782" i="47"/>
  <c r="Q782" i="47"/>
  <c r="N782" i="47"/>
  <c r="L782" i="47"/>
  <c r="J782" i="47"/>
  <c r="D782" i="47"/>
  <c r="O782" i="47" s="1"/>
  <c r="G784" i="47"/>
  <c r="Q771" i="47"/>
  <c r="P778" i="47"/>
  <c r="Q778" i="47" s="1"/>
  <c r="E795" i="47"/>
  <c r="N795" i="47"/>
  <c r="M795" i="47"/>
  <c r="L795" i="47"/>
  <c r="V705" i="47"/>
  <c r="M707" i="47"/>
  <c r="J708" i="47"/>
  <c r="L711" i="47"/>
  <c r="I714" i="47"/>
  <c r="C716" i="47"/>
  <c r="C722" i="47"/>
  <c r="M730" i="47"/>
  <c r="C735" i="47"/>
  <c r="N735" i="47" s="1"/>
  <c r="D736" i="47"/>
  <c r="O736" i="47" s="1"/>
  <c r="I739" i="47"/>
  <c r="O741" i="47"/>
  <c r="F758" i="47"/>
  <c r="H758" i="47" s="1"/>
  <c r="M758" i="47"/>
  <c r="Q758" i="47"/>
  <c r="P758" i="47"/>
  <c r="O758" i="47"/>
  <c r="J758" i="47"/>
  <c r="K758" i="47"/>
  <c r="G758" i="47"/>
  <c r="F764" i="47"/>
  <c r="N767" i="47"/>
  <c r="L767" i="47"/>
  <c r="K767" i="47"/>
  <c r="J767" i="47"/>
  <c r="G767" i="47"/>
  <c r="J777" i="47"/>
  <c r="I782" i="47"/>
  <c r="J784" i="47"/>
  <c r="N788" i="47"/>
  <c r="C788" i="47"/>
  <c r="I788" i="47" s="1"/>
  <c r="B788" i="47"/>
  <c r="O788" i="47"/>
  <c r="I789" i="47"/>
  <c r="I802" i="47"/>
  <c r="I807" i="47"/>
  <c r="B807" i="47"/>
  <c r="P807" i="47"/>
  <c r="Q807" i="47" s="1"/>
  <c r="F807" i="47"/>
  <c r="D807" i="47"/>
  <c r="O807" i="47" s="1"/>
  <c r="C807" i="47"/>
  <c r="B791" i="47"/>
  <c r="O791" i="47"/>
  <c r="I791" i="47"/>
  <c r="G791" i="47"/>
  <c r="F791" i="47"/>
  <c r="J791" i="47" s="1"/>
  <c r="L791" i="47"/>
  <c r="D791" i="47"/>
  <c r="Q791" i="47" s="1"/>
  <c r="F794" i="47"/>
  <c r="C794" i="47"/>
  <c r="M794" i="47" s="1"/>
  <c r="K794" i="47"/>
  <c r="P794" i="47"/>
  <c r="Q794" i="47" s="1"/>
  <c r="O794" i="47"/>
  <c r="G794" i="47"/>
  <c r="N804" i="47"/>
  <c r="K804" i="47"/>
  <c r="C804" i="47"/>
  <c r="L804" i="47" s="1"/>
  <c r="B804" i="47"/>
  <c r="I804" i="47"/>
  <c r="O804" i="47"/>
  <c r="L818" i="47"/>
  <c r="J818" i="47"/>
  <c r="B818" i="47"/>
  <c r="V742" i="47"/>
  <c r="F747" i="47"/>
  <c r="E747" i="47"/>
  <c r="D747" i="47"/>
  <c r="O747" i="47" s="1"/>
  <c r="P747" i="47"/>
  <c r="F762" i="47"/>
  <c r="C762" i="47"/>
  <c r="M762" i="47"/>
  <c r="L762" i="47"/>
  <c r="K762" i="47"/>
  <c r="J762" i="47"/>
  <c r="E762" i="47"/>
  <c r="I773" i="47"/>
  <c r="F788" i="47"/>
  <c r="H788" i="47" s="1"/>
  <c r="C791" i="47"/>
  <c r="K791" i="47" s="1"/>
  <c r="B794" i="47"/>
  <c r="D804" i="47"/>
  <c r="C818" i="47"/>
  <c r="I818" i="47" s="1"/>
  <c r="D822" i="47"/>
  <c r="O822" i="47" s="1"/>
  <c r="F822" i="47"/>
  <c r="C822" i="47"/>
  <c r="H822" i="47" s="1"/>
  <c r="B822" i="47"/>
  <c r="D818" i="47"/>
  <c r="O818" i="47" s="1"/>
  <c r="E826" i="47"/>
  <c r="L826" i="47"/>
  <c r="J826" i="47"/>
  <c r="I826" i="47"/>
  <c r="G826" i="47"/>
  <c r="O831" i="47"/>
  <c r="F831" i="47"/>
  <c r="D831" i="47"/>
  <c r="C831" i="47"/>
  <c r="N831" i="47" s="1"/>
  <c r="Q831" i="47"/>
  <c r="P831" i="47"/>
  <c r="B831" i="47"/>
  <c r="J742" i="47"/>
  <c r="I742" i="47"/>
  <c r="H742" i="47"/>
  <c r="D742" i="47"/>
  <c r="O742" i="47" s="1"/>
  <c r="G747" i="47"/>
  <c r="J761" i="47"/>
  <c r="G762" i="47"/>
  <c r="V765" i="47"/>
  <c r="B767" i="47"/>
  <c r="I767" i="47" s="1"/>
  <c r="F767" i="47"/>
  <c r="E767" i="47"/>
  <c r="D767" i="47"/>
  <c r="O767" i="47" s="1"/>
  <c r="N773" i="47"/>
  <c r="G818" i="47"/>
  <c r="P822" i="47"/>
  <c r="Q822" i="47" s="1"/>
  <c r="B787" i="47"/>
  <c r="O787" i="47"/>
  <c r="I787" i="47"/>
  <c r="G787" i="47"/>
  <c r="F787" i="47"/>
  <c r="H787" i="47"/>
  <c r="D787" i="47"/>
  <c r="M787" i="47"/>
  <c r="P788" i="47"/>
  <c r="Q788" i="47" s="1"/>
  <c r="N791" i="47"/>
  <c r="L794" i="47"/>
  <c r="K796" i="47"/>
  <c r="E796" i="47"/>
  <c r="C796" i="47"/>
  <c r="B796" i="47"/>
  <c r="Q796" i="47"/>
  <c r="L796" i="47"/>
  <c r="J796" i="47"/>
  <c r="D796" i="47"/>
  <c r="O796" i="47" s="1"/>
  <c r="P804" i="47"/>
  <c r="Q804" i="47" s="1"/>
  <c r="K817" i="47"/>
  <c r="H817" i="47"/>
  <c r="N817" i="47"/>
  <c r="I817" i="47"/>
  <c r="G817" i="47"/>
  <c r="K826" i="47"/>
  <c r="F766" i="47"/>
  <c r="H766" i="47" s="1"/>
  <c r="C766" i="47"/>
  <c r="M766" i="47"/>
  <c r="G766" i="47"/>
  <c r="E766" i="47"/>
  <c r="B775" i="47"/>
  <c r="M775" i="47" s="1"/>
  <c r="I775" i="47"/>
  <c r="P775" i="47"/>
  <c r="Q775" i="47" s="1"/>
  <c r="N775" i="47"/>
  <c r="H775" i="47"/>
  <c r="H781" i="47"/>
  <c r="E781" i="47"/>
  <c r="C787" i="47"/>
  <c r="J787" i="47" s="1"/>
  <c r="F790" i="47"/>
  <c r="N790" i="47" s="1"/>
  <c r="C790" i="47"/>
  <c r="G790" i="47" s="1"/>
  <c r="M790" i="47"/>
  <c r="K790" i="47"/>
  <c r="J790" i="47"/>
  <c r="L790" i="47"/>
  <c r="I790" i="47"/>
  <c r="H790" i="47"/>
  <c r="B790" i="47"/>
  <c r="P818" i="47"/>
  <c r="Q818" i="47" s="1"/>
  <c r="P808" i="47"/>
  <c r="Q808" i="47" s="1"/>
  <c r="D808" i="47"/>
  <c r="O808" i="47" s="1"/>
  <c r="C808" i="47"/>
  <c r="K808" i="47" s="1"/>
  <c r="I808" i="47"/>
  <c r="H808" i="47"/>
  <c r="D766" i="47"/>
  <c r="O766" i="47" s="1"/>
  <c r="D775" i="47"/>
  <c r="O775" i="47" s="1"/>
  <c r="E790" i="47"/>
  <c r="N793" i="47"/>
  <c r="M793" i="47"/>
  <c r="L793" i="47"/>
  <c r="K793" i="47"/>
  <c r="E793" i="47"/>
  <c r="N799" i="47"/>
  <c r="H799" i="47"/>
  <c r="B808" i="47"/>
  <c r="K825" i="47"/>
  <c r="H825" i="47"/>
  <c r="N825" i="47"/>
  <c r="M825" i="47"/>
  <c r="L825" i="47"/>
  <c r="I825" i="47"/>
  <c r="G825" i="47"/>
  <c r="E825" i="47"/>
  <c r="N844" i="47"/>
  <c r="M844" i="47"/>
  <c r="L844" i="47"/>
  <c r="K844" i="47"/>
  <c r="J844" i="47"/>
  <c r="G742" i="47"/>
  <c r="L747" i="47"/>
  <c r="K748" i="47"/>
  <c r="P762" i="47"/>
  <c r="Q762" i="47" s="1"/>
  <c r="I766" i="47"/>
  <c r="F774" i="47"/>
  <c r="C774" i="47"/>
  <c r="Q774" i="47"/>
  <c r="P774" i="47"/>
  <c r="O774" i="47"/>
  <c r="E775" i="47"/>
  <c r="I781" i="47"/>
  <c r="L787" i="47"/>
  <c r="F808" i="47"/>
  <c r="N814" i="47"/>
  <c r="M814" i="47"/>
  <c r="G814" i="47"/>
  <c r="E814" i="47"/>
  <c r="D814" i="47"/>
  <c r="O814" i="47" s="1"/>
  <c r="J814" i="47"/>
  <c r="I814" i="47"/>
  <c r="H814" i="47"/>
  <c r="F814" i="47"/>
  <c r="P814" i="47"/>
  <c r="J817" i="47"/>
  <c r="H734" i="47"/>
  <c r="K742" i="47"/>
  <c r="B759" i="47"/>
  <c r="O759" i="47"/>
  <c r="I759" i="47"/>
  <c r="P759" i="47"/>
  <c r="Q759" i="47" s="1"/>
  <c r="N759" i="47"/>
  <c r="M759" i="47"/>
  <c r="H759" i="47"/>
  <c r="H765" i="47"/>
  <c r="E765" i="47"/>
  <c r="J766" i="47"/>
  <c r="J773" i="47"/>
  <c r="F775" i="47"/>
  <c r="B779" i="47"/>
  <c r="K779" i="47" s="1"/>
  <c r="I779" i="47"/>
  <c r="J779" i="47"/>
  <c r="H779" i="47"/>
  <c r="D779" i="47"/>
  <c r="Q779" i="47" s="1"/>
  <c r="K781" i="47"/>
  <c r="F786" i="47"/>
  <c r="C786" i="47"/>
  <c r="M786" i="47"/>
  <c r="K786" i="47"/>
  <c r="J786" i="47"/>
  <c r="E786" i="47"/>
  <c r="D786" i="47"/>
  <c r="O786" i="47" s="1"/>
  <c r="B786" i="47"/>
  <c r="L786" i="47"/>
  <c r="N787" i="47"/>
  <c r="E799" i="47"/>
  <c r="H811" i="47"/>
  <c r="J825" i="47"/>
  <c r="L766" i="47"/>
  <c r="V769" i="47"/>
  <c r="J775" i="47"/>
  <c r="M781" i="47"/>
  <c r="Q787" i="47"/>
  <c r="N789" i="47"/>
  <c r="H789" i="47"/>
  <c r="E789" i="47"/>
  <c r="M789" i="47"/>
  <c r="P790" i="47"/>
  <c r="Q790" i="47" s="1"/>
  <c r="I793" i="47"/>
  <c r="P796" i="47"/>
  <c r="F798" i="47"/>
  <c r="C798" i="47"/>
  <c r="M798" i="47"/>
  <c r="K798" i="47"/>
  <c r="J798" i="47"/>
  <c r="O798" i="47"/>
  <c r="N798" i="47"/>
  <c r="E798" i="47"/>
  <c r="K799" i="47"/>
  <c r="N805" i="47"/>
  <c r="I805" i="47"/>
  <c r="H805" i="47"/>
  <c r="E805" i="47"/>
  <c r="M805" i="47"/>
  <c r="N810" i="47"/>
  <c r="M810" i="47"/>
  <c r="F810" i="47"/>
  <c r="J810" i="47" s="1"/>
  <c r="P810" i="47"/>
  <c r="Q810" i="47" s="1"/>
  <c r="O810" i="47"/>
  <c r="H810" i="47"/>
  <c r="B810" i="47"/>
  <c r="I810" i="47" s="1"/>
  <c r="L811" i="47"/>
  <c r="K814" i="47"/>
  <c r="L799" i="47"/>
  <c r="F802" i="47"/>
  <c r="C802" i="47"/>
  <c r="E802" i="47" s="1"/>
  <c r="M802" i="47"/>
  <c r="J802" i="47"/>
  <c r="G802" i="47"/>
  <c r="D802" i="47"/>
  <c r="O802" i="47" s="1"/>
  <c r="B802" i="47"/>
  <c r="K802" i="47" s="1"/>
  <c r="G832" i="47"/>
  <c r="F832" i="47"/>
  <c r="E832" i="47"/>
  <c r="Q832" i="47"/>
  <c r="N832" i="47"/>
  <c r="J832" i="47"/>
  <c r="C832" i="47"/>
  <c r="M832" i="47" s="1"/>
  <c r="B832" i="47"/>
  <c r="B795" i="47"/>
  <c r="G795" i="47" s="1"/>
  <c r="O795" i="47"/>
  <c r="I795" i="47"/>
  <c r="F795" i="47"/>
  <c r="H795" i="47" s="1"/>
  <c r="N797" i="47"/>
  <c r="V823" i="47"/>
  <c r="D832" i="47"/>
  <c r="O838" i="47"/>
  <c r="N838" i="47"/>
  <c r="M838" i="47"/>
  <c r="F838" i="47"/>
  <c r="C838" i="47"/>
  <c r="E838" i="47" s="1"/>
  <c r="P838" i="47"/>
  <c r="K838" i="47"/>
  <c r="L842" i="47"/>
  <c r="I842" i="47"/>
  <c r="H842" i="47"/>
  <c r="G842" i="47"/>
  <c r="F836" i="47"/>
  <c r="E836" i="47"/>
  <c r="L836" i="47"/>
  <c r="I836" i="47"/>
  <c r="C836" i="47"/>
  <c r="J836" i="47" s="1"/>
  <c r="B836" i="47"/>
  <c r="P836" i="47"/>
  <c r="Q836" i="47" s="1"/>
  <c r="J795" i="47"/>
  <c r="I797" i="47"/>
  <c r="F806" i="47"/>
  <c r="C806" i="47"/>
  <c r="K806" i="47" s="1"/>
  <c r="M806" i="47"/>
  <c r="J815" i="47"/>
  <c r="I815" i="47"/>
  <c r="P815" i="47"/>
  <c r="M815" i="47"/>
  <c r="E815" i="47"/>
  <c r="C815" i="47"/>
  <c r="B815" i="47"/>
  <c r="O832" i="47"/>
  <c r="D836" i="47"/>
  <c r="O836" i="47" s="1"/>
  <c r="Q840" i="47"/>
  <c r="K842" i="47"/>
  <c r="J765" i="47"/>
  <c r="J781" i="47"/>
  <c r="J789" i="47"/>
  <c r="K795" i="47"/>
  <c r="K797" i="47"/>
  <c r="J805" i="47"/>
  <c r="D815" i="47"/>
  <c r="O815" i="47" s="1"/>
  <c r="J823" i="47"/>
  <c r="I823" i="47"/>
  <c r="P823" i="47"/>
  <c r="Q823" i="47" s="1"/>
  <c r="E823" i="47"/>
  <c r="C823" i="47"/>
  <c r="K823" i="47" s="1"/>
  <c r="B823" i="47"/>
  <c r="P832" i="47"/>
  <c r="O830" i="47"/>
  <c r="P830" i="47"/>
  <c r="I830" i="47"/>
  <c r="G830" i="47"/>
  <c r="E830" i="47"/>
  <c r="D830" i="47"/>
  <c r="Q838" i="47"/>
  <c r="N840" i="47"/>
  <c r="M840" i="47"/>
  <c r="L840" i="47"/>
  <c r="B830" i="47"/>
  <c r="H840" i="47"/>
  <c r="G823" i="47"/>
  <c r="C830" i="47"/>
  <c r="L830" i="47" s="1"/>
  <c r="J840" i="47"/>
  <c r="M843" i="47"/>
  <c r="K843" i="47"/>
  <c r="J843" i="47"/>
  <c r="F843" i="47"/>
  <c r="C843" i="47"/>
  <c r="I843" i="47" s="1"/>
  <c r="Q843" i="47"/>
  <c r="O843" i="47"/>
  <c r="P740" i="47"/>
  <c r="P744" i="47"/>
  <c r="P748" i="47"/>
  <c r="P752" i="47"/>
  <c r="Q752" i="47" s="1"/>
  <c r="N756" i="47"/>
  <c r="E756" i="47"/>
  <c r="P795" i="47"/>
  <c r="Q795" i="47" s="1"/>
  <c r="H806" i="47"/>
  <c r="F812" i="47"/>
  <c r="G812" i="47"/>
  <c r="B812" i="47"/>
  <c r="L812" i="47"/>
  <c r="K815" i="47"/>
  <c r="H823" i="47"/>
  <c r="F830" i="47"/>
  <c r="K840" i="47"/>
  <c r="B843" i="47"/>
  <c r="Q740" i="47"/>
  <c r="Q744" i="47"/>
  <c r="Q748" i="47"/>
  <c r="F770" i="47"/>
  <c r="C770" i="47"/>
  <c r="M770" i="47" s="1"/>
  <c r="C800" i="47"/>
  <c r="B800" i="47"/>
  <c r="C812" i="47"/>
  <c r="L815" i="47"/>
  <c r="M820" i="47"/>
  <c r="K820" i="47"/>
  <c r="J820" i="47"/>
  <c r="O824" i="47"/>
  <c r="M828" i="47"/>
  <c r="K828" i="47"/>
  <c r="J828" i="47"/>
  <c r="H830" i="47"/>
  <c r="J839" i="47"/>
  <c r="B839" i="47"/>
  <c r="K839" i="47" s="1"/>
  <c r="Q839" i="47"/>
  <c r="O839" i="47"/>
  <c r="N839" i="47"/>
  <c r="M839" i="47"/>
  <c r="D843" i="47"/>
  <c r="F847" i="47"/>
  <c r="D847" i="47"/>
  <c r="O847" i="47" s="1"/>
  <c r="C847" i="47"/>
  <c r="N847" i="47" s="1"/>
  <c r="B847" i="47"/>
  <c r="Q847" i="47"/>
  <c r="P847" i="47"/>
  <c r="C756" i="47"/>
  <c r="J757" i="47"/>
  <c r="B770" i="47"/>
  <c r="B771" i="47"/>
  <c r="O771" i="47"/>
  <c r="I771" i="47"/>
  <c r="B799" i="47"/>
  <c r="O799" i="47"/>
  <c r="I799" i="47"/>
  <c r="G799" i="47"/>
  <c r="F799" i="47"/>
  <c r="D800" i="47"/>
  <c r="O800" i="47" s="1"/>
  <c r="L806" i="47"/>
  <c r="D812" i="47"/>
  <c r="O812" i="47" s="1"/>
  <c r="N815" i="47"/>
  <c r="J819" i="47"/>
  <c r="F819" i="47"/>
  <c r="C819" i="47"/>
  <c r="M819" i="47" s="1"/>
  <c r="O819" i="47"/>
  <c r="G820" i="47"/>
  <c r="G828" i="47"/>
  <c r="C839" i="47"/>
  <c r="N806" i="47"/>
  <c r="V808" i="47"/>
  <c r="J811" i="47"/>
  <c r="I811" i="47"/>
  <c r="G811" i="47"/>
  <c r="D811" i="47"/>
  <c r="O811" i="47" s="1"/>
  <c r="P811" i="47"/>
  <c r="N811" i="47"/>
  <c r="M811" i="47"/>
  <c r="N823" i="47"/>
  <c r="F827" i="47"/>
  <c r="C827" i="47"/>
  <c r="Q827" i="47"/>
  <c r="O827" i="47"/>
  <c r="D839" i="47"/>
  <c r="B940" i="47"/>
  <c r="P940" i="47"/>
  <c r="O940" i="47"/>
  <c r="L940" i="47"/>
  <c r="J940" i="47"/>
  <c r="G940" i="47"/>
  <c r="F940" i="47"/>
  <c r="D940" i="47"/>
  <c r="Q940" i="47"/>
  <c r="N940" i="47"/>
  <c r="M940" i="47"/>
  <c r="K940" i="47"/>
  <c r="I940" i="47"/>
  <c r="H940" i="47"/>
  <c r="E940" i="47"/>
  <c r="C940" i="47"/>
  <c r="K855" i="47"/>
  <c r="F855" i="47"/>
  <c r="N855" i="47" s="1"/>
  <c r="E855" i="47"/>
  <c r="D855" i="47"/>
  <c r="O855" i="47" s="1"/>
  <c r="O805" i="47"/>
  <c r="Q809" i="47"/>
  <c r="F816" i="47"/>
  <c r="E816" i="47"/>
  <c r="F824" i="47"/>
  <c r="N851" i="47"/>
  <c r="J851" i="47"/>
  <c r="F851" i="47"/>
  <c r="E851" i="47"/>
  <c r="B855" i="47"/>
  <c r="Q882" i="47"/>
  <c r="M894" i="47"/>
  <c r="L894" i="47"/>
  <c r="J894" i="47"/>
  <c r="Q894" i="47"/>
  <c r="P894" i="47"/>
  <c r="O894" i="47"/>
  <c r="N894" i="47"/>
  <c r="K894" i="47"/>
  <c r="I894" i="47"/>
  <c r="H894" i="47"/>
  <c r="G894" i="47"/>
  <c r="F894" i="47"/>
  <c r="E894" i="47"/>
  <c r="D894" i="47"/>
  <c r="C894" i="47"/>
  <c r="B894" i="47"/>
  <c r="O834" i="47"/>
  <c r="N834" i="47"/>
  <c r="M834" i="47"/>
  <c r="B851" i="47"/>
  <c r="C855" i="47"/>
  <c r="M855" i="47" s="1"/>
  <c r="D900" i="47"/>
  <c r="F900" i="47"/>
  <c r="E900" i="47"/>
  <c r="C900" i="47"/>
  <c r="B900" i="47"/>
  <c r="O900" i="47"/>
  <c r="P900" i="47"/>
  <c r="Q900" i="47" s="1"/>
  <c r="N900" i="47"/>
  <c r="M900" i="47"/>
  <c r="L900" i="47"/>
  <c r="K900" i="47"/>
  <c r="J900" i="47"/>
  <c r="I900" i="47"/>
  <c r="H900" i="47"/>
  <c r="G900" i="47"/>
  <c r="Q757" i="47"/>
  <c r="Q761" i="47"/>
  <c r="Q765" i="47"/>
  <c r="Q769" i="47"/>
  <c r="Q773" i="47"/>
  <c r="Q777" i="47"/>
  <c r="Q781" i="47"/>
  <c r="Q785" i="47"/>
  <c r="Q789" i="47"/>
  <c r="Q793" i="47"/>
  <c r="Q797" i="47"/>
  <c r="Q801" i="47"/>
  <c r="Q805" i="47"/>
  <c r="C816" i="47"/>
  <c r="K816" i="47" s="1"/>
  <c r="C824" i="47"/>
  <c r="E824" i="47" s="1"/>
  <c r="B834" i="47"/>
  <c r="G834" i="47" s="1"/>
  <c r="C851" i="47"/>
  <c r="L851" i="47" s="1"/>
  <c r="H855" i="47"/>
  <c r="I859" i="47"/>
  <c r="P859" i="47"/>
  <c r="Q859" i="47" s="1"/>
  <c r="O859" i="47"/>
  <c r="N859" i="47"/>
  <c r="M859" i="47"/>
  <c r="L859" i="47"/>
  <c r="K859" i="47"/>
  <c r="J859" i="47"/>
  <c r="H859" i="47"/>
  <c r="G859" i="47"/>
  <c r="F859" i="47"/>
  <c r="Q850" i="47"/>
  <c r="D851" i="47"/>
  <c r="B859" i="47"/>
  <c r="M870" i="47"/>
  <c r="P870" i="47"/>
  <c r="Q870" i="47" s="1"/>
  <c r="O870" i="47"/>
  <c r="N870" i="47"/>
  <c r="L870" i="47"/>
  <c r="K870" i="47"/>
  <c r="J870" i="47"/>
  <c r="I870" i="47"/>
  <c r="H870" i="47"/>
  <c r="G870" i="47"/>
  <c r="F870" i="47"/>
  <c r="E870" i="47"/>
  <c r="D870" i="47"/>
  <c r="C870" i="47"/>
  <c r="B870" i="47"/>
  <c r="N826" i="47"/>
  <c r="M826" i="47"/>
  <c r="D834" i="47"/>
  <c r="C835" i="47"/>
  <c r="M835" i="47" s="1"/>
  <c r="J848" i="47"/>
  <c r="H851" i="47"/>
  <c r="P855" i="47"/>
  <c r="Q855" i="47" s="1"/>
  <c r="C859" i="47"/>
  <c r="K850" i="47"/>
  <c r="I850" i="47"/>
  <c r="O851" i="47"/>
  <c r="K854" i="47"/>
  <c r="I854" i="47"/>
  <c r="H854" i="47"/>
  <c r="E859" i="47"/>
  <c r="G765" i="47"/>
  <c r="G769" i="47"/>
  <c r="G773" i="47"/>
  <c r="G777" i="47"/>
  <c r="G781" i="47"/>
  <c r="G785" i="47"/>
  <c r="G789" i="47"/>
  <c r="G793" i="47"/>
  <c r="G797" i="47"/>
  <c r="G801" i="47"/>
  <c r="G805" i="47"/>
  <c r="I809" i="47"/>
  <c r="F820" i="47"/>
  <c r="E820" i="47"/>
  <c r="F828" i="47"/>
  <c r="H828" i="47" s="1"/>
  <c r="E828" i="47"/>
  <c r="H834" i="47"/>
  <c r="G835" i="47"/>
  <c r="I840" i="47"/>
  <c r="G840" i="47"/>
  <c r="F840" i="47"/>
  <c r="E840" i="47"/>
  <c r="I844" i="47"/>
  <c r="G844" i="47"/>
  <c r="F844" i="47"/>
  <c r="H844" i="47" s="1"/>
  <c r="E844" i="47"/>
  <c r="B844" i="47"/>
  <c r="K848" i="47"/>
  <c r="Q851" i="47"/>
  <c r="E854" i="47"/>
  <c r="Q846" i="47"/>
  <c r="L848" i="47"/>
  <c r="G850" i="47"/>
  <c r="E853" i="47"/>
  <c r="N853" i="47"/>
  <c r="M853" i="47"/>
  <c r="L853" i="47"/>
  <c r="H850" i="47"/>
  <c r="G854" i="47"/>
  <c r="E860" i="47"/>
  <c r="N860" i="47"/>
  <c r="M860" i="47"/>
  <c r="L860" i="47"/>
  <c r="K860" i="47"/>
  <c r="J860" i="47"/>
  <c r="I860" i="47"/>
  <c r="H860" i="47"/>
  <c r="G860" i="47"/>
  <c r="F860" i="47"/>
  <c r="D860" i="47"/>
  <c r="C860" i="47"/>
  <c r="N816" i="47"/>
  <c r="D820" i="47"/>
  <c r="O820" i="47" s="1"/>
  <c r="H826" i="47"/>
  <c r="D828" i="47"/>
  <c r="O828" i="47" s="1"/>
  <c r="K834" i="47"/>
  <c r="D840" i="47"/>
  <c r="O840" i="47" s="1"/>
  <c r="L850" i="47"/>
  <c r="L854" i="47"/>
  <c r="B860" i="47"/>
  <c r="G853"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5" i="47"/>
  <c r="Q829" i="47"/>
  <c r="Q833"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N852" i="47" s="1"/>
  <c r="B853" i="47"/>
  <c r="K853" i="47" s="1"/>
  <c r="N854" i="47"/>
  <c r="F856" i="47"/>
  <c r="B857" i="47"/>
  <c r="P858" i="47"/>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42" i="47"/>
  <c r="O846" i="47"/>
  <c r="G848" i="47"/>
  <c r="O850" i="47"/>
  <c r="G852" i="47"/>
  <c r="O854" i="47"/>
  <c r="G856" i="47"/>
  <c r="C857" i="47"/>
  <c r="Q858"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Q107" i="47" l="1"/>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B15" i="18" s="1"/>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T15" i="18" s="1"/>
  <c r="Q141" i="47"/>
  <c r="L60" i="47"/>
  <c r="K112" i="47"/>
  <c r="N89" i="47"/>
  <c r="I112" i="47"/>
  <c r="J143" i="47"/>
  <c r="N108" i="47"/>
  <c r="M114" i="47"/>
  <c r="K114" i="47"/>
  <c r="J114" i="47"/>
  <c r="E114" i="47"/>
  <c r="J95" i="47"/>
  <c r="Q114" i="47"/>
  <c r="S9" i="18" s="1"/>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S11" i="18" l="1"/>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<sst xmlns="http://schemas.openxmlformats.org/spreadsheetml/2006/main" count="20729" uniqueCount="7710">
  <si>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</si>
  <si>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</si>
  <si>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</si>
  <si>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</si>
  <si>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</si>
  <si>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</si>
  <si>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</si>
  <si>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</si>
  <si>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</si>
  <si>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</si>
  <si>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</si>
  <si>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</si>
  <si>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</si>
  <si>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</si>
  <si>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</si>
  <si>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</si>
  <si>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</si>
  <si>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</si>
  <si>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</si>
  <si>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</si>
  <si>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</si>
  <si>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</si>
  <si>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</si>
  <si>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</si>
  <si>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</si>
  <si>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</si>
  <si>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</si>
  <si>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</si>
  <si>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</si>
  <si>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</si>
  <si>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</si>
  <si>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</si>
  <si>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</si>
  <si>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</si>
  <si>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</si>
  <si>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</si>
  <si>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</si>
  <si>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</si>
  <si>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</si>
  <si>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</si>
  <si>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</si>
  <si>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</si>
  <si>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</si>
  <si>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</si>
  <si>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</si>
  <si>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</si>
  <si>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</si>
  <si>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</si>
  <si>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</si>
  <si>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</si>
  <si>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</si>
  <si>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</si>
  <si>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</si>
  <si>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</si>
  <si>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</si>
  <si>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</si>
  <si>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</si>
  <si>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</si>
  <si>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</si>
  <si>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</si>
  <si>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</si>
  <si>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</si>
  <si>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</si>
  <si>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</si>
  <si>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</si>
  <si>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</si>
  <si>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</si>
  <si>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</si>
  <si>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</si>
  <si>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</si>
  <si>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</si>
  <si>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</si>
  <si>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</si>
  <si>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</si>
  <si>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</si>
  <si>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</si>
  <si>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</si>
  <si>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</si>
  <si>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</si>
  <si>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</si>
  <si>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</si>
  <si>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</si>
  <si>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</si>
  <si>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</si>
  <si>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</si>
  <si>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</si>
  <si>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</si>
  <si>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</si>
  <si>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</si>
  <si>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</si>
  <si>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</si>
  <si>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</si>
  <si>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</si>
  <si>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</si>
  <si>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</si>
  <si>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</si>
  <si>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</si>
  <si>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</si>
  <si>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</si>
  <si>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</si>
  <si>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</si>
  <si>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</si>
  <si>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</si>
  <si>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</si>
  <si>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</si>
  <si>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</si>
  <si>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</si>
  <si>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</si>
  <si>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</si>
  <si>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</si>
  <si>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</si>
  <si>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</si>
  <si>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</si>
  <si>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</si>
  <si>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</si>
  <si>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</si>
  <si>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</si>
  <si>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</si>
  <si>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</si>
  <si>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</si>
  <si>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</si>
  <si>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</si>
  <si>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</si>
  <si>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</si>
  <si>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</si>
  <si>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</si>
  <si>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</si>
  <si>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</si>
  <si>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</si>
  <si>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</si>
  <si>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</si>
  <si>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</si>
  <si>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</si>
  <si>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</si>
  <si>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</si>
  <si>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</si>
  <si>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</si>
  <si>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</si>
  <si>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</si>
  <si>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</si>
  <si>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</si>
  <si>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</si>
  <si>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</si>
  <si>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</si>
  <si>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</si>
  <si>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</si>
  <si>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</si>
  <si>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</si>
  <si>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</si>
  <si>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</si>
  <si>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</si>
  <si>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</si>
  <si>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</si>
  <si>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</si>
  <si>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</si>
  <si>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</si>
  <si>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</si>
  <si>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</si>
  <si>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</si>
  <si>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</si>
  <si>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</si>
  <si>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</si>
  <si>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</si>
  <si>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</si>
  <si>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</si>
  <si>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</si>
  <si>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</si>
  <si>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</si>
  <si>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</si>
  <si>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</si>
  <si>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</si>
  <si>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</si>
  <si>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</si>
  <si>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</si>
  <si>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</si>
  <si>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</si>
  <si>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</si>
  <si>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</si>
  <si>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</si>
  <si>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</si>
  <si>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</si>
  <si>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</si>
  <si>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</si>
  <si>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</si>
  <si>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</si>
  <si>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</si>
  <si>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</si>
  <si>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</si>
  <si>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</si>
  <si>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</si>
  <si>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</si>
  <si>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</si>
  <si>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</si>
  <si>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</si>
  <si>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</si>
  <si>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</si>
  <si>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</si>
  <si>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</si>
  <si>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</si>
  <si>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</si>
  <si>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</si>
  <si>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</si>
  <si>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</si>
  <si>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</si>
  <si>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</si>
  <si>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</si>
  <si>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</si>
  <si>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</si>
  <si>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</si>
  <si>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</si>
  <si>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</si>
  <si>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</si>
  <si>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</si>
  <si>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</si>
  <si>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</si>
  <si>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</si>
  <si>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</si>
  <si>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</si>
  <si>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</si>
  <si>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</si>
  <si>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</si>
  <si>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</si>
  <si>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</si>
  <si>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</si>
  <si>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</si>
  <si>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</si>
  <si>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</si>
  <si>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</si>
  <si>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</si>
  <si>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</si>
  <si>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</si>
  <si>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</si>
  <si>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</si>
  <si>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</si>
  <si>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</si>
  <si>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</si>
  <si>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</si>
  <si>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</si>
  <si>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</si>
  <si>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</si>
  <si>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</si>
  <si>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</si>
  <si>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</si>
  <si>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</si>
  <si>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</si>
  <si>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</si>
  <si>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</si>
  <si>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</si>
  <si>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</si>
  <si>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</si>
  <si>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</si>
  <si>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</si>
  <si>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</si>
  <si>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</si>
  <si>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</si>
  <si>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</si>
  <si>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</si>
  <si>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</si>
  <si>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</si>
  <si>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</si>
  <si>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</si>
  <si>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</si>
  <si>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</si>
  <si>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</si>
  <si>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</si>
  <si>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</si>
  <si>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</si>
  <si>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</si>
  <si>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</si>
  <si>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</si>
  <si>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</si>
  <si>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</si>
  <si>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</si>
  <si>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</si>
  <si>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</si>
  <si>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</si>
  <si>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</si>
  <si>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</si>
  <si>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</si>
  <si>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</si>
  <si>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</si>
  <si>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</si>
  <si>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</si>
  <si>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</si>
  <si>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</si>
  <si>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</si>
  <si>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</si>
  <si>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</si>
  <si>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</si>
  <si>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</si>
  <si>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</si>
  <si>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</si>
  <si>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</si>
  <si>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</si>
  <si>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</si>
  <si>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</si>
  <si>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</si>
  <si>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</si>
  <si>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</si>
  <si>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</si>
  <si>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</si>
  <si>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</si>
  <si>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</si>
  <si>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</si>
  <si>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</si>
  <si>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</si>
  <si>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</si>
  <si>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</si>
  <si>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</si>
  <si>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</si>
  <si>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</si>
  <si>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</si>
  <si>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</si>
  <si>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</si>
  <si>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</si>
  <si>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</si>
  <si>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</si>
  <si>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</si>
  <si>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</si>
  <si>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</si>
  <si>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</si>
  <si>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</si>
  <si>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</si>
  <si>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</si>
  <si>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</si>
  <si>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</si>
  <si>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</si>
  <si>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</si>
  <si>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</si>
  <si>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</si>
  <si>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</si>
  <si>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</si>
  <si>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</si>
  <si>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</si>
  <si>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</si>
  <si>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</si>
  <si>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</si>
  <si>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</si>
  <si>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</si>
  <si>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</si>
  <si>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</si>
  <si>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</si>
  <si>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</si>
  <si>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</si>
  <si>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</si>
  <si>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</si>
  <si>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</si>
  <si>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</si>
  <si>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</si>
  <si>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</si>
  <si>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</si>
  <si>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</si>
  <si>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</si>
  <si>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</si>
  <si>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</si>
  <si>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</si>
  <si>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</si>
  <si>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</si>
  <si>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</si>
  <si>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</si>
  <si>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</si>
  <si>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</si>
  <si>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</si>
  <si>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</si>
  <si>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</si>
  <si>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</si>
  <si>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</si>
  <si>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</si>
  <si>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</si>
  <si>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</si>
  <si>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</si>
  <si>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</si>
  <si>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</si>
  <si>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</si>
  <si>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</si>
  <si>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</si>
  <si>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</si>
  <si>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</si>
  <si>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</si>
  <si>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</si>
  <si>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</si>
  <si>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</si>
  <si>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</si>
  <si>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</si>
  <si>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</si>
  <si>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</si>
  <si>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</si>
  <si>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</si>
  <si>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</si>
  <si>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</si>
  <si>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</si>
  <si>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</si>
  <si>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</si>
  <si>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</si>
  <si>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</si>
  <si>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</si>
  <si>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</si>
  <si>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</si>
  <si>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</si>
  <si>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</si>
  <si>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</si>
  <si>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</si>
  <si>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</si>
  <si>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</si>
  <si>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</si>
  <si>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</si>
  <si>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</si>
  <si>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</si>
  <si>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</si>
  <si>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</si>
  <si>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</si>
  <si>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</si>
  <si>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</si>
  <si>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</si>
  <si>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</si>
  <si>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</si>
  <si>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</si>
  <si>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</si>
  <si>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</si>
  <si>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</si>
  <si>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</si>
  <si>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</si>
  <si>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</si>
  <si>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</si>
  <si>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</si>
  <si>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</si>
  <si>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</si>
  <si>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</si>
  <si>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</si>
  <si>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</si>
  <si>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</si>
  <si>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</si>
  <si>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</si>
  <si>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</si>
  <si>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</si>
  <si>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</si>
  <si>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</si>
  <si>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</si>
  <si>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</si>
  <si>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</si>
  <si>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</si>
  <si>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</si>
  <si>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</si>
  <si>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</si>
  <si>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</si>
  <si>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</si>
  <si>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</si>
  <si>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</si>
  <si>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</si>
  <si>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</si>
  <si>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</si>
  <si>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</si>
  <si>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</si>
  <si>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</si>
  <si>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</si>
  <si>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</si>
  <si>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</si>
  <si>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</si>
  <si>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</si>
  <si>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</si>
  <si>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</si>
  <si>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</si>
  <si>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</si>
  <si>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</si>
  <si>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</si>
  <si>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</si>
  <si>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</si>
  <si>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</si>
  <si>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</si>
  <si>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</si>
  <si>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</si>
  <si>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</si>
  <si>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</si>
  <si>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</si>
  <si>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</si>
  <si>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</si>
  <si>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</si>
  <si>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</si>
  <si>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</si>
  <si>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</si>
  <si>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</si>
  <si>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</si>
  <si>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</si>
  <si>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</si>
  <si>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</si>
  <si>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</si>
  <si>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</si>
  <si>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</si>
  <si>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</si>
  <si>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</si>
  <si>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</si>
  <si>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</si>
  <si>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</si>
  <si>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</si>
  <si>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</si>
  <si>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</si>
  <si>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</si>
  <si>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</si>
  <si>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</si>
  <si>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</si>
  <si>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</si>
  <si>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</si>
  <si>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</si>
  <si>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</si>
  <si>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</si>
  <si>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</si>
  <si>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</si>
  <si>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</si>
  <si>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</si>
  <si>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</si>
  <si>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</si>
  <si>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</si>
  <si>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</si>
  <si>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</si>
  <si>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</si>
  <si>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</si>
  <si>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</si>
  <si>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</si>
  <si>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</si>
  <si>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</si>
  <si>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</si>
  <si>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</si>
  <si>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</si>
  <si>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</si>
  <si>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</si>
  <si>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</si>
  <si>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</si>
  <si>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</si>
  <si>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</si>
  <si>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</si>
  <si>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</si>
  <si>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</si>
  <si>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</si>
  <si>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</si>
  <si>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</si>
  <si>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</si>
  <si>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</si>
  <si>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</si>
  <si>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</si>
  <si>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</si>
  <si>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</si>
  <si>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</si>
  <si>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</si>
  <si>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</si>
  <si>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</si>
  <si>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</si>
  <si>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</si>
  <si>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</si>
  <si>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</si>
  <si>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</si>
  <si>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</si>
  <si>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</si>
  <si>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</si>
  <si>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</si>
  <si>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</si>
  <si>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</si>
  <si>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</si>
  <si>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</si>
  <si>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</si>
  <si>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</si>
  <si>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</si>
  <si>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</si>
  <si>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</si>
  <si>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</si>
  <si>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</si>
  <si>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</si>
  <si>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</si>
  <si>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</si>
  <si>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</si>
  <si>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</si>
  <si>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</si>
  <si>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</si>
  <si>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</si>
  <si>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</si>
  <si>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</si>
  <si>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</si>
  <si>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</si>
  <si>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</si>
  <si>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</si>
  <si>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</si>
  <si>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</si>
  <si>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</si>
  <si>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</si>
  <si>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</si>
  <si>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</si>
  <si>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</si>
  <si>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</si>
  <si>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</si>
  <si>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</si>
  <si>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</si>
  <si>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</si>
  <si>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</si>
  <si>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</si>
  <si>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</si>
  <si>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</si>
  <si>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</si>
  <si>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</si>
  <si>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</si>
  <si>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</si>
  <si>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</si>
  <si>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</si>
  <si>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</si>
  <si>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</si>
  <si>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</si>
  <si>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</si>
  <si>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</si>
  <si>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</si>
  <si>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</si>
  <si>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</si>
  <si>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</si>
  <si>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</si>
  <si>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</si>
  <si>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</si>
  <si>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</si>
  <si>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</si>
  <si>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</si>
  <si>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</si>
  <si>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</si>
  <si>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</si>
  <si>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</si>
  <si>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</si>
  <si>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</si>
  <si>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</si>
  <si>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</si>
  <si>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</si>
  <si>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</si>
  <si>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</si>
  <si>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</si>
  <si>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</si>
  <si>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</si>
  <si>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</si>
  <si>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</si>
  <si>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</si>
  <si>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</si>
  <si>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</si>
  <si>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</si>
  <si>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</si>
  <si>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</si>
  <si>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</si>
  <si>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</si>
  <si>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</si>
  <si>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</si>
  <si>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</si>
  <si>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</si>
  <si>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</si>
  <si>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</si>
  <si>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</si>
  <si>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</si>
  <si>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</si>
  <si>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</si>
  <si>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</si>
  <si>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</si>
  <si>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</si>
  <si>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</si>
  <si>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</si>
  <si>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</si>
  <si>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</si>
  <si>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</si>
  <si>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</si>
  <si>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</si>
  <si>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</si>
  <si>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</si>
  <si>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</si>
  <si>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</si>
  <si>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</si>
  <si>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</si>
  <si>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</si>
  <si>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</si>
  <si>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</si>
  <si>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</si>
  <si>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</si>
  <si>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</si>
  <si>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</si>
  <si>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</si>
  <si>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</si>
  <si>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</si>
  <si>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</si>
  <si>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</si>
  <si>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</si>
  <si>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</si>
  <si>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</si>
  <si>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</si>
  <si>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</si>
  <si>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</si>
  <si>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</si>
  <si>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</si>
  <si>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</si>
  <si>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</si>
  <si>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</si>
  <si>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</si>
  <si>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</si>
  <si>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</si>
  <si>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</si>
  <si>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</si>
  <si>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</si>
  <si>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</si>
  <si>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</si>
  <si>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</si>
  <si>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</si>
  <si>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</si>
  <si>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</si>
  <si>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</si>
  <si>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</si>
  <si>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</si>
  <si>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</si>
  <si>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</si>
  <si>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</si>
  <si>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</si>
  <si>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</si>
  <si>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</si>
  <si>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</si>
  <si>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</si>
  <si>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</si>
  <si>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</si>
  <si>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</si>
  <si>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</si>
  <si>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</si>
  <si>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</si>
  <si>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</si>
  <si>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</si>
  <si>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</si>
  <si>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</si>
  <si>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</si>
  <si>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</si>
  <si>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</si>
  <si>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</si>
  <si>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</si>
  <si>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</si>
  <si>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</si>
  <si>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</si>
  <si>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</si>
  <si>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</si>
  <si>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</si>
  <si>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</si>
  <si>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</si>
  <si>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</si>
  <si>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</si>
  <si>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</si>
  <si>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</si>
  <si>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</si>
  <si>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</si>
  <si>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</si>
  <si>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</si>
  <si>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</si>
  <si>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</si>
  <si>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</si>
  <si>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</si>
  <si>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</si>
  <si>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</si>
  <si>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</si>
  <si>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</si>
  <si>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</si>
  <si>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</si>
  <si>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</si>
  <si>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</si>
  <si>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</si>
  <si>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</si>
  <si>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</si>
  <si>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</si>
  <si>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</si>
  <si>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</si>
  <si>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</si>
  <si>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</si>
  <si>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</si>
  <si>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</si>
  <si>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</si>
  <si>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</si>
  <si>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</si>
  <si>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</si>
  <si>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</si>
  <si>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</si>
  <si>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</si>
  <si>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</si>
  <si>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</si>
  <si>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</si>
  <si>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</si>
  <si>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</si>
  <si>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</si>
  <si>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</si>
  <si>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</si>
  <si>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</si>
  <si>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</si>
  <si>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</si>
  <si>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</si>
  <si>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</si>
  <si>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</si>
  <si>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</si>
  <si>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</si>
  <si>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</si>
  <si>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</si>
  <si>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</si>
  <si>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</si>
  <si>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</si>
  <si>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</si>
  <si>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</si>
  <si>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</si>
  <si>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</si>
  <si>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</si>
  <si>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</si>
  <si>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</si>
  <si>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</si>
  <si>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</si>
  <si>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</si>
  <si>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</si>
  <si>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</si>
  <si>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</si>
  <si>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</si>
  <si>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</si>
  <si>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</si>
  <si>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</si>
  <si>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</si>
  <si>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</si>
  <si>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</si>
  <si>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</si>
  <si>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</si>
  <si>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</si>
  <si>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</si>
  <si>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</si>
  <si>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</si>
  <si>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</si>
  <si>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</si>
  <si>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</si>
  <si>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</si>
  <si>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</si>
  <si>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</si>
  <si>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</si>
  <si>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</si>
  <si>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</si>
  <si>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</si>
  <si>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</si>
  <si>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</si>
  <si>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</si>
  <si>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</si>
  <si>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</si>
  <si>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</si>
  <si>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</si>
  <si>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</si>
  <si>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</si>
  <si>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</si>
  <si>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</si>
  <si>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</si>
  <si>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</si>
  <si>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</si>
  <si>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</si>
  <si>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</si>
  <si>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</si>
  <si>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</si>
  <si>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</si>
  <si>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</si>
  <si>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</si>
  <si>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</si>
  <si>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</si>
  <si>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</si>
  <si>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</si>
  <si>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</si>
  <si>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</si>
  <si>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</si>
  <si>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</si>
  <si>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</si>
  <si>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</si>
  <si>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</si>
  <si>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</si>
  <si>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</si>
  <si>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</si>
  <si>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</si>
  <si>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</si>
  <si>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</si>
  <si>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</si>
  <si>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</si>
  <si>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</si>
  <si>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</si>
  <si>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</si>
  <si>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</si>
  <si>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</si>
  <si>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</si>
  <si>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</si>
  <si>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</si>
  <si>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</si>
  <si>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</si>
  <si>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</si>
  <si>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</si>
  <si>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</si>
  <si>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</si>
  <si>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</si>
  <si>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</si>
  <si>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</si>
  <si>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</si>
  <si>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</si>
  <si>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</si>
  <si>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</si>
  <si>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</si>
  <si>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</si>
  <si>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</si>
  <si>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</si>
  <si>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</si>
  <si>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</si>
  <si>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</si>
  <si>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</si>
  <si>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</si>
  <si>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</si>
  <si>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</si>
  <si>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</si>
  <si>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</si>
  <si>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</si>
  <si>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</si>
  <si>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</si>
  <si>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</si>
  <si>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</si>
  <si>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</si>
  <si>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</si>
  <si>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</si>
  <si>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</si>
  <si>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</si>
  <si>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</si>
  <si>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</si>
  <si>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</si>
  <si>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</si>
  <si>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</si>
  <si>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</si>
  <si>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</si>
  <si>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</si>
  <si>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</si>
  <si>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</si>
  <si>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</si>
  <si>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</si>
  <si>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</si>
  <si>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</si>
  <si>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</si>
  <si>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</si>
  <si>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</si>
  <si>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</si>
  <si>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</si>
  <si>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</si>
  <si>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</si>
  <si>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</si>
  <si>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</si>
  <si>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</si>
  <si>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</si>
  <si>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</si>
  <si>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</si>
  <si>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</si>
  <si>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</si>
  <si>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</si>
  <si>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</si>
  <si>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</si>
  <si>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</si>
  <si>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</si>
  <si>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</si>
  <si>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</si>
  <si>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</si>
  <si>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</si>
  <si>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</si>
  <si>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</si>
  <si>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</si>
  <si>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</si>
  <si>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</si>
  <si>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</si>
  <si>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</si>
  <si>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</si>
  <si>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</si>
  <si>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</si>
  <si>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</si>
  <si>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</si>
  <si>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</si>
  <si>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</si>
  <si>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</si>
  <si>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</si>
  <si>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</si>
  <si>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</si>
  <si>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</si>
  <si>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</si>
  <si>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</si>
  <si>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</si>
  <si>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</si>
  <si>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</si>
  <si>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</si>
  <si>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</si>
  <si>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</si>
  <si>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</si>
  <si>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</si>
  <si>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</si>
  <si>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</si>
  <si>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</si>
  <si>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</si>
  <si>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</si>
  <si>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</si>
  <si>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</si>
  <si>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</si>
  <si>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</si>
  <si>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</si>
  <si>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</si>
  <si>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</si>
  <si>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</si>
  <si>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</si>
  <si>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</si>
  <si>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</si>
  <si>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</si>
  <si>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</si>
  <si>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</si>
  <si>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</si>
  <si>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</si>
  <si>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</si>
  <si>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</si>
  <si>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</si>
  <si>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</si>
  <si>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</si>
  <si>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</si>
  <si>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</si>
  <si>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</si>
  <si>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</si>
  <si>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</si>
  <si>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</si>
  <si>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</si>
  <si>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</si>
  <si>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</si>
  <si>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</si>
  <si>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</si>
  <si>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</si>
  <si>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</si>
  <si>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</si>
  <si>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</si>
  <si>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</si>
  <si>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</si>
  <si>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</si>
  <si>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</si>
  <si>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</si>
  <si>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</si>
  <si>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</si>
  <si>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</si>
  <si>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</si>
  <si>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</si>
  <si>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</si>
  <si>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</si>
  <si>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</si>
  <si>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</si>
  <si>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</si>
  <si>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</si>
  <si>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</si>
  <si>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</si>
  <si>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</si>
  <si>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</si>
  <si>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</si>
  <si>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</si>
  <si>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</si>
  <si>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</si>
  <si>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</si>
  <si>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</si>
  <si>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</si>
  <si>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</si>
  <si>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</si>
  <si>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</si>
  <si>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</si>
  <si>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</si>
  <si>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</si>
  <si>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</si>
  <si>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</si>
  <si>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</si>
  <si>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</si>
  <si>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</si>
  <si>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</si>
  <si>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</si>
  <si>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</si>
  <si>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</si>
  <si>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</si>
  <si>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</si>
  <si>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</si>
  <si>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</si>
  <si>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</si>
  <si>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</si>
  <si>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</si>
  <si>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</si>
  <si>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</si>
  <si>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</si>
  <si>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</si>
  <si>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</si>
  <si>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</si>
  <si>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</si>
  <si>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</si>
  <si>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</si>
  <si>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</si>
  <si>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</si>
  <si>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</si>
  <si>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</si>
  <si>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</si>
  <si>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</si>
  <si>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</si>
  <si>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</si>
  <si>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</si>
  <si>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</si>
  <si>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</si>
  <si>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</si>
  <si>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</si>
  <si>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</si>
  <si>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</si>
  <si>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</si>
  <si>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</si>
  <si>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</si>
  <si>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</si>
  <si>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</si>
  <si>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</si>
  <si>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</si>
  <si>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</si>
  <si>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</si>
  <si>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</si>
  <si>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</si>
  <si>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</si>
  <si>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</si>
  <si>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</si>
  <si>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</si>
  <si>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</si>
  <si>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</si>
  <si>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</si>
  <si>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</si>
  <si>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</si>
  <si>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</si>
  <si>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</si>
  <si>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</si>
  <si>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</si>
  <si>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</si>
  <si>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</si>
  <si>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</si>
  <si>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</si>
  <si>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</si>
  <si>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</si>
  <si>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</si>
  <si>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</si>
  <si>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</si>
  <si>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</si>
  <si>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</si>
  <si>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</si>
  <si>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</si>
  <si>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</si>
  <si>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</si>
  <si>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</si>
  <si>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</si>
  <si>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</si>
  <si>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</si>
  <si>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</si>
  <si>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</si>
  <si>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</si>
  <si>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</si>
  <si>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</si>
  <si>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</si>
  <si>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</si>
  <si>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</si>
  <si>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</si>
  <si>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</si>
  <si>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</si>
  <si>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</si>
  <si>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</si>
  <si>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</si>
  <si>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</si>
  <si>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</si>
  <si>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</si>
  <si>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</si>
  <si>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</si>
  <si>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</si>
  <si>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</si>
  <si>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</si>
  <si>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</si>
  <si>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</si>
  <si>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</si>
  <si>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</si>
  <si>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</si>
  <si>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</si>
  <si>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</si>
  <si>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</si>
  <si>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</si>
  <si>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</si>
  <si>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</si>
  <si>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</si>
  <si>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</si>
  <si>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</si>
  <si>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</si>
  <si>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</si>
  <si>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</si>
  <si>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</si>
  <si>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</si>
  <si>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</si>
  <si>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</si>
  <si>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</si>
  <si>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</si>
  <si>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</si>
  <si>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</si>
  <si>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</si>
  <si>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</si>
  <si>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</si>
  <si>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</si>
  <si>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</si>
  <si>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</si>
  <si>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</si>
  <si>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</si>
  <si>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</si>
  <si>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</si>
  <si>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</si>
  <si>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</si>
  <si>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</si>
  <si>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</si>
  <si>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</si>
  <si>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</si>
  <si>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</si>
  <si>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</si>
  <si>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</si>
  <si>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</si>
  <si>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</si>
  <si>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</si>
  <si>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</si>
  <si>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</si>
  <si>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</si>
  <si>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</si>
  <si>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</si>
  <si>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</si>
  <si>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</si>
  <si>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</si>
  <si>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</si>
  <si>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</si>
  <si>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</si>
  <si>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</si>
  <si>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</si>
  <si>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</si>
  <si>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</si>
  <si>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</si>
  <si>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</si>
  <si>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</si>
  <si>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</si>
  <si>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</si>
  <si>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</si>
  <si>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</si>
  <si>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</si>
  <si>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</si>
  <si>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</si>
  <si>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</si>
  <si>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</si>
  <si>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</si>
  <si>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</si>
  <si>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</si>
  <si>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</si>
  <si>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</si>
  <si>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</si>
  <si>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</si>
  <si>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</si>
  <si>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</si>
  <si>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</si>
  <si>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</si>
  <si>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</si>
  <si>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</si>
  <si>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</si>
  <si>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</si>
  <si>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</si>
  <si>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</si>
  <si>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</si>
  <si>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</si>
  <si>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</si>
  <si>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</si>
  <si>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</si>
  <si>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</si>
  <si>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</si>
  <si>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</si>
  <si>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</si>
  <si>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</si>
  <si>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</si>
  <si>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</si>
  <si>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</si>
  <si>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</si>
  <si>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</si>
  <si>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</si>
  <si>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</si>
  <si>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</si>
  <si>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</si>
  <si>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</si>
  <si>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</si>
  <si>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</si>
  <si>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</si>
  <si>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</si>
  <si>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</si>
  <si>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</si>
  <si>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</si>
  <si>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</si>
  <si>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</si>
  <si>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</si>
  <si>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</si>
  <si>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</si>
  <si>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</si>
  <si>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</si>
  <si>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</si>
  <si>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</si>
  <si>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</si>
  <si>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</si>
  <si>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</si>
  <si>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</si>
  <si>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</si>
  <si>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</si>
  <si>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</si>
  <si>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</si>
  <si>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</si>
  <si>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</si>
  <si>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</si>
  <si>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</si>
  <si>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</si>
  <si>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</si>
  <si>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</si>
  <si>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</si>
  <si>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</si>
  <si>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</si>
  <si>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</si>
  <si>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</si>
  <si>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</si>
  <si>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</si>
  <si>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</si>
  <si>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</si>
  <si>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</si>
  <si>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</si>
  <si>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</si>
  <si>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</si>
  <si>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</si>
  <si>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</si>
  <si>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</si>
  <si>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</si>
  <si>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</si>
  <si>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</si>
  <si>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</si>
  <si>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</si>
  <si>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</si>
  <si>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</si>
  <si>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</si>
  <si>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</si>
  <si>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</si>
  <si>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</si>
  <si>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</si>
  <si>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</si>
  <si>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</si>
  <si>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</si>
  <si>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</si>
  <si>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</si>
  <si>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</si>
  <si>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</si>
  <si>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</si>
  <si>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</si>
  <si>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</si>
  <si>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</si>
  <si>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</si>
  <si>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</si>
  <si>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</si>
  <si>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</si>
  <si>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</si>
  <si>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</si>
  <si>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</si>
  <si>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</si>
  <si>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</si>
  <si>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</si>
  <si>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</si>
  <si>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</si>
  <si>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</si>
  <si>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</si>
  <si>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</si>
  <si>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</si>
  <si>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</si>
  <si>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</si>
  <si>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</si>
  <si>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</si>
  <si>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</si>
  <si>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</si>
  <si>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</si>
  <si>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</si>
  <si>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</si>
  <si>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</si>
  <si>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</si>
  <si>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</si>
  <si>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</si>
  <si>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</si>
  <si>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</si>
  <si>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</si>
  <si>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</si>
  <si>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</si>
  <si>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</si>
  <si>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</si>
  <si>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</si>
  <si>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</si>
  <si>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</si>
  <si>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</si>
  <si>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</si>
  <si>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</si>
  <si>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</si>
  <si>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</si>
  <si>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</si>
  <si>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</si>
  <si>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</si>
  <si>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</si>
  <si>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</si>
  <si>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</si>
  <si>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</si>
  <si>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</si>
  <si>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</si>
  <si>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</si>
  <si>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</si>
  <si>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</si>
  <si>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</si>
  <si>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</si>
  <si>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</si>
  <si>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</si>
  <si>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</si>
  <si>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</si>
  <si>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</si>
  <si>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</si>
  <si>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</si>
  <si>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</si>
  <si>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</si>
  <si>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</si>
  <si>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</si>
  <si>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</si>
  <si>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</si>
  <si>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</si>
  <si>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</si>
  <si>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</si>
  <si>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</si>
  <si>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</si>
  <si>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</si>
  <si>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</si>
  <si>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</si>
  <si>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</si>
  <si>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</si>
  <si>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</si>
  <si>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</si>
  <si>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</si>
  <si>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</si>
  <si>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</si>
  <si>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</si>
  <si>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</si>
  <si>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</si>
  <si>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</si>
  <si>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</si>
  <si>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</si>
  <si>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</si>
  <si>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</si>
  <si>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</si>
  <si>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</si>
  <si>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</si>
  <si>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</si>
  <si>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</si>
  <si>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</si>
  <si>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</si>
  <si>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</si>
  <si>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</si>
  <si>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</si>
  <si>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</si>
  <si>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</si>
  <si>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</si>
  <si>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</si>
  <si>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</si>
  <si>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</si>
  <si>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</si>
  <si>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</si>
  <si>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</si>
  <si>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</si>
  <si>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</si>
  <si>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</si>
  <si>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</si>
  <si>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</si>
  <si>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</si>
  <si>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</si>
  <si>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</si>
  <si>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</si>
  <si>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</si>
  <si>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</si>
  <si>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</si>
  <si>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</si>
  <si>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</si>
  <si>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</si>
  <si>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</si>
  <si>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</si>
  <si>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</si>
  <si>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</si>
  <si>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</si>
  <si>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</si>
  <si>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</si>
  <si>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</si>
  <si>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</si>
  <si>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</si>
  <si>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</si>
  <si>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</si>
  <si>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</si>
  <si>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</si>
  <si>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</si>
  <si>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</si>
  <si>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</si>
  <si>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</si>
  <si>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</si>
  <si>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</si>
  <si>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</si>
  <si>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</si>
  <si>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</si>
  <si>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</si>
  <si>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</si>
  <si>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</si>
  <si>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</si>
  <si>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</si>
  <si>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</si>
  <si>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</si>
  <si>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</si>
  <si>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</si>
  <si>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</si>
  <si>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</si>
  <si>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</si>
  <si>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</si>
  <si>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</si>
  <si>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</si>
  <si>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</si>
  <si>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</si>
  <si>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</si>
  <si>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</si>
  <si>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</si>
  <si>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</si>
  <si>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</si>
  <si>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</si>
  <si>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</si>
  <si>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</si>
  <si>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</si>
  <si>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</si>
  <si>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</si>
  <si>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</si>
  <si>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</si>
  <si>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</si>
  <si>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</si>
  <si>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</si>
  <si>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</si>
  <si>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</si>
  <si>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</si>
  <si>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</si>
  <si>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</si>
  <si>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</si>
  <si>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</si>
  <si>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</si>
  <si>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</si>
  <si>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</si>
  <si>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</si>
  <si>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</si>
  <si>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</si>
  <si>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</si>
  <si>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</si>
  <si>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</si>
  <si>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</si>
  <si>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</si>
  <si>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</si>
  <si>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</si>
  <si>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</si>
  <si>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</si>
  <si>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</si>
  <si>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</si>
  <si>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</si>
  <si>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</si>
  <si>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</si>
  <si>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</si>
  <si>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</si>
  <si>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</si>
  <si>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</si>
  <si>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</si>
  <si>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</si>
  <si>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</si>
  <si>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</si>
  <si>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</si>
  <si>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</si>
  <si>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</si>
  <si>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</si>
  <si>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</si>
  <si>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</si>
  <si>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</si>
  <si>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</si>
  <si>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</si>
  <si>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</si>
  <si>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</si>
  <si>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</si>
  <si>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</si>
  <si>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</si>
  <si>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</si>
  <si>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</si>
  <si>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</si>
  <si>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</si>
  <si>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</si>
  <si>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</si>
  <si>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</si>
  <si>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</si>
  <si>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</si>
  <si>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</si>
  <si>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</si>
  <si>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</si>
  <si>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</si>
  <si>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</si>
  <si>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</si>
  <si>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</si>
  <si>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</si>
  <si>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</si>
  <si>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</si>
  <si>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</si>
  <si>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</si>
  <si>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</si>
  <si>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</si>
  <si>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</si>
  <si>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</si>
  <si>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</si>
  <si>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</si>
  <si>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</si>
  <si>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</si>
  <si>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</si>
  <si>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</si>
  <si>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</si>
  <si>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</si>
  <si>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</si>
  <si>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</si>
  <si>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</si>
  <si>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</si>
  <si>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</si>
  <si>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</si>
  <si>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</si>
  <si>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</si>
  <si>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</si>
  <si>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</si>
  <si>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</si>
  <si>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</si>
  <si>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</si>
  <si>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</si>
  <si>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</si>
  <si>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</si>
  <si>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</si>
  <si>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</si>
  <si>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</si>
  <si>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</si>
  <si>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</si>
  <si>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</si>
  <si>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</si>
  <si>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</si>
  <si>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</si>
  <si>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</si>
  <si>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</si>
  <si>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</si>
  <si>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</si>
  <si>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</si>
  <si>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</si>
  <si>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</si>
  <si>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</si>
  <si>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</si>
  <si>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</si>
  <si>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</si>
  <si>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</si>
  <si>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</si>
  <si>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</si>
  <si>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</si>
  <si>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</si>
  <si>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</si>
  <si>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</si>
  <si>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</si>
  <si>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</si>
  <si>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</si>
  <si>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</si>
  <si>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</si>
  <si>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</si>
  <si>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</si>
  <si>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</si>
  <si>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</si>
  <si>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</si>
  <si>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</si>
  <si>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</si>
  <si>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</si>
  <si>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</si>
  <si>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</si>
  <si>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</si>
  <si>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</si>
  <si>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</si>
  <si>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</si>
  <si>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</si>
  <si>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</si>
  <si>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</si>
  <si>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</si>
  <si>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</si>
  <si>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</si>
  <si>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</si>
  <si>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</si>
  <si>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</si>
  <si>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</si>
  <si>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</si>
  <si>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</si>
  <si>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</si>
  <si>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</si>
  <si>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</si>
  <si>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</si>
  <si>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</si>
  <si>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</si>
  <si>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</si>
  <si>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</si>
  <si>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</si>
  <si>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</si>
  <si>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</si>
  <si>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</si>
  <si>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</si>
  <si>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</si>
  <si>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</si>
  <si>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</si>
  <si>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</si>
  <si>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</si>
  <si>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</si>
  <si>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</si>
  <si>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</si>
  <si>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</si>
  <si>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</si>
  <si>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</si>
  <si>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</si>
  <si>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</si>
  <si>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</si>
  <si>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</si>
  <si>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</si>
  <si>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</si>
  <si>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</si>
  <si>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</si>
  <si>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</si>
  <si>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</si>
  <si>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</si>
  <si>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</si>
  <si>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</si>
  <si>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</si>
  <si>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</si>
  <si>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</si>
  <si>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</si>
  <si>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</si>
  <si>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</si>
  <si>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</si>
  <si>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</si>
  <si>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</si>
  <si>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</si>
  <si>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</si>
  <si>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</si>
  <si>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</si>
  <si>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</si>
  <si>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</si>
  <si>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</si>
  <si>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</si>
  <si>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</si>
  <si>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</si>
  <si>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</si>
  <si>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</si>
  <si>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</si>
  <si>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</si>
  <si>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</si>
  <si>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</si>
  <si>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</si>
  <si>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</si>
  <si>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</si>
  <si>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</si>
  <si>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</si>
  <si>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</si>
  <si>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</si>
  <si>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</si>
  <si>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</si>
  <si>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</si>
  <si>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</si>
  <si>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</si>
  <si>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</si>
  <si>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</si>
  <si>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</si>
  <si>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</si>
  <si>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</si>
  <si>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</si>
  <si>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</si>
  <si>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</si>
  <si>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</si>
  <si>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</si>
  <si>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</si>
  <si>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</si>
  <si>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</si>
  <si>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</si>
  <si>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</si>
  <si>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</si>
  <si>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</si>
  <si>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</si>
  <si>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</si>
  <si>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</si>
  <si>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</si>
  <si>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</si>
  <si>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</si>
  <si>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</si>
  <si>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</si>
  <si>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</si>
  <si>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</si>
  <si>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</si>
  <si>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</si>
  <si>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</si>
  <si>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</si>
  <si>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</si>
  <si>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</si>
  <si>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</si>
  <si>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</si>
  <si>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</si>
  <si>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</si>
  <si>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</si>
  <si>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</si>
  <si>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</si>
  <si>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</si>
  <si>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</si>
  <si>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</si>
  <si>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</si>
  <si>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</si>
  <si>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</si>
  <si>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</si>
  <si>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</si>
  <si>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</si>
  <si>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</si>
  <si>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</si>
  <si>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</si>
  <si>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</si>
  <si>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</si>
  <si>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</si>
  <si>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</si>
  <si>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</si>
  <si>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</si>
  <si>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</si>
  <si>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</si>
  <si>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</si>
  <si>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</si>
  <si>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</si>
  <si>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</si>
  <si>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</si>
  <si>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</si>
  <si>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</si>
  <si>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</si>
  <si>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</si>
  <si>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</si>
  <si>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</si>
  <si>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</si>
  <si>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</si>
  <si>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</si>
  <si>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</si>
  <si>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</si>
  <si>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</si>
  <si>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</si>
  <si>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</si>
  <si>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</si>
  <si>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</si>
  <si>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</si>
  <si>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</si>
  <si>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</si>
  <si>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</si>
  <si>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</si>
  <si>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</si>
  <si>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</si>
  <si>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</si>
  <si>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</si>
  <si>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</si>
  <si>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</si>
  <si>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</si>
  <si>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</si>
  <si>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</si>
  <si>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</si>
  <si>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</si>
  <si>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</si>
  <si>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</si>
  <si>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</si>
  <si>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</si>
  <si>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</si>
  <si>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</si>
  <si>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</si>
  <si>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</si>
  <si>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</si>
  <si>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</si>
  <si>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</si>
  <si>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</si>
  <si>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</si>
  <si>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</si>
  <si>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</si>
  <si>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</si>
  <si>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</si>
  <si>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</si>
  <si>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</si>
  <si>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</si>
  <si>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</si>
  <si>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</si>
  <si>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</si>
  <si>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</si>
  <si>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</si>
  <si>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</si>
  <si>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</si>
  <si>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</si>
  <si>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</si>
  <si>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</si>
  <si>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</si>
  <si>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</si>
  <si>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</si>
  <si>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</si>
  <si>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</si>
  <si>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</si>
  <si>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</si>
  <si>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</si>
  <si>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</si>
  <si>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</si>
  <si>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</si>
  <si>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</si>
  <si>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</si>
  <si>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</si>
  <si>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</si>
  <si>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</si>
  <si>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</si>
  <si>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</si>
  <si>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</si>
  <si>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</si>
  <si>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</si>
  <si>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</si>
  <si>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</si>
  <si>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</si>
  <si>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</si>
  <si>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</si>
  <si>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</si>
  <si>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</si>
  <si>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</si>
  <si>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</si>
  <si>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</si>
  <si>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</si>
  <si>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</si>
  <si>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</si>
  <si>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</si>
  <si>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</si>
  <si>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</si>
  <si>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</si>
  <si>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</si>
  <si>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</si>
  <si>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</si>
  <si>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</si>
  <si>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</si>
  <si>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</si>
  <si>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</si>
  <si>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</si>
  <si>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</si>
  <si>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</si>
  <si>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</si>
  <si>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</si>
  <si>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</si>
  <si>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</si>
  <si>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</si>
  <si>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</si>
  <si>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</si>
  <si>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</si>
  <si>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</si>
  <si>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</si>
  <si>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</si>
  <si>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</si>
  <si>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</si>
  <si>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</si>
  <si>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</si>
  <si>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</si>
  <si>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</si>
  <si>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</si>
  <si>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</si>
  <si>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</si>
  <si>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</si>
  <si>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</si>
  <si>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</si>
  <si>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</si>
  <si>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</si>
  <si>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</si>
  <si>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</si>
  <si>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</si>
  <si>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</si>
  <si>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</si>
  <si>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</si>
  <si>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</si>
  <si>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</si>
  <si>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</si>
  <si>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</si>
  <si>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</si>
  <si>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</si>
  <si>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</si>
  <si>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</si>
  <si>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</si>
  <si>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</si>
  <si>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</si>
  <si>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</si>
  <si>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</si>
  <si>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</si>
  <si>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</si>
  <si>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</si>
  <si>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</si>
  <si>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</si>
  <si>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</si>
  <si>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</si>
  <si>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</si>
  <si>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</si>
  <si>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</si>
  <si>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</si>
  <si>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</si>
  <si>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</si>
  <si>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</si>
  <si>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</si>
  <si>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</si>
  <si>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</si>
  <si>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</si>
  <si>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</si>
  <si>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</si>
  <si>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</si>
  <si>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</si>
  <si>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</si>
  <si>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</si>
  <si>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</si>
  <si>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</si>
  <si>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</si>
  <si>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</si>
  <si>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</si>
  <si>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</si>
  <si>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</si>
  <si>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</si>
  <si>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</si>
  <si>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</si>
  <si>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</si>
  <si>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</si>
  <si>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</si>
  <si>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</si>
  <si>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</si>
  <si>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</si>
  <si>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</si>
  <si>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</si>
  <si>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</si>
  <si>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</si>
  <si>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</si>
  <si>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</si>
  <si>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</si>
  <si>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</si>
  <si>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</si>
  <si>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</si>
  <si>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</si>
  <si>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</si>
  <si>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</si>
  <si>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</si>
  <si>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</si>
  <si>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</si>
  <si>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</si>
  <si>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</si>
  <si>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</si>
  <si>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</si>
  <si>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</si>
  <si>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</si>
  <si>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</si>
  <si>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</si>
  <si>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</si>
  <si>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</si>
  <si>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</si>
  <si>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</si>
  <si>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</si>
  <si>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</si>
  <si>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</si>
  <si>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</si>
  <si>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</si>
  <si>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</si>
  <si>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</si>
  <si>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</si>
  <si>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</si>
  <si>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</si>
  <si>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</si>
  <si>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</si>
  <si>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</si>
  <si>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</si>
  <si>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</si>
  <si>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</si>
  <si>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</si>
  <si>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</si>
  <si>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</si>
  <si>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</si>
  <si>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</si>
  <si>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</si>
  <si>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</si>
  <si>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</si>
  <si>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</si>
  <si>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</si>
  <si>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</si>
  <si>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</si>
  <si>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</si>
  <si>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</si>
  <si>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</si>
  <si>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</si>
  <si>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</si>
  <si>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</si>
  <si>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</si>
  <si>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</si>
  <si>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</si>
  <si>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</si>
  <si>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</si>
  <si>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</si>
  <si>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</si>
  <si>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</si>
  <si>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</si>
  <si>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</si>
  <si>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</si>
  <si>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</si>
  <si>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</si>
  <si>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</si>
  <si>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</si>
  <si>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</si>
  <si>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</si>
  <si>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</si>
  <si>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</si>
  <si>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</si>
  <si>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</si>
  <si>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</si>
  <si>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</si>
  <si>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</si>
  <si>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</si>
  <si>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</si>
  <si>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</si>
  <si>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</si>
  <si>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</si>
  <si>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</si>
  <si>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</si>
  <si>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</si>
  <si>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</si>
  <si>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</si>
  <si>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</si>
  <si>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</si>
  <si>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</si>
  <si>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</si>
  <si>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</si>
  <si>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</si>
  <si>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</si>
  <si>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</si>
  <si>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</si>
  <si>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</si>
  <si>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</si>
  <si>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</si>
  <si>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</si>
  <si>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</si>
  <si>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</si>
  <si>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</si>
  <si>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</si>
  <si>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</si>
  <si>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</si>
  <si>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</si>
  <si>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</si>
  <si>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</si>
  <si>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</si>
  <si>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</si>
  <si>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</si>
  <si>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</si>
  <si>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</si>
  <si>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</si>
  <si>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</si>
  <si>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</si>
  <si>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</si>
  <si>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</si>
  <si>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</si>
  <si>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</si>
  <si>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</si>
  <si>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</si>
  <si>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</si>
  <si>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</si>
  <si>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</si>
  <si>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</si>
  <si>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</si>
  <si>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</si>
  <si>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</si>
  <si>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</si>
  <si>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</si>
  <si>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</si>
  <si>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</si>
  <si>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</si>
  <si>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</si>
  <si>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</si>
  <si>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</si>
  <si>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</si>
  <si>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</si>
  <si>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</si>
  <si>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</si>
  <si>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</si>
  <si>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</si>
  <si>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</si>
  <si>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</si>
  <si>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</si>
  <si>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</si>
  <si>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</si>
  <si>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</si>
  <si>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</si>
  <si>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</si>
  <si>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</si>
  <si>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</si>
  <si>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</si>
  <si>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</si>
  <si>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</si>
  <si>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</si>
  <si>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</si>
  <si>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</si>
  <si>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</si>
  <si>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</si>
  <si>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</si>
  <si>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</si>
  <si>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</si>
  <si>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</si>
  <si>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</si>
  <si>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</si>
  <si>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</si>
  <si>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</si>
  <si>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</si>
  <si>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</si>
  <si>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</si>
  <si>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</si>
  <si>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</si>
  <si>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</si>
  <si>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</si>
  <si>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</si>
  <si>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</si>
  <si>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</si>
  <si>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</si>
  <si>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</si>
  <si>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</si>
  <si>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</si>
  <si>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</si>
  <si>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</si>
  <si>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</si>
  <si>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</si>
  <si>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</si>
  <si>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</si>
  <si>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</si>
  <si>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</si>
  <si>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</si>
  <si>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</si>
  <si>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</si>
  <si>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</si>
  <si>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</si>
  <si>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</si>
  <si>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</si>
  <si>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</si>
  <si>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</si>
  <si>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</si>
  <si>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</si>
  <si>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</si>
  <si>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</si>
  <si>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</si>
  <si>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</si>
  <si>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</si>
  <si>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</si>
  <si>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</si>
  <si>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</si>
  <si>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</si>
  <si>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</si>
  <si>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</si>
  <si>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</si>
  <si>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</si>
  <si>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</si>
  <si>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</si>
  <si>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</si>
  <si>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</si>
  <si>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</si>
  <si>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</si>
  <si>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</si>
  <si>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</si>
  <si>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</si>
  <si>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</si>
  <si>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</si>
  <si>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</si>
  <si>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</si>
  <si>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</si>
  <si>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</si>
  <si>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</si>
  <si>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</si>
  <si>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</si>
  <si>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</si>
  <si>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</si>
  <si>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</si>
  <si>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</si>
  <si>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</si>
  <si>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</si>
  <si>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</si>
  <si>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</si>
  <si>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</si>
  <si>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</si>
  <si>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</si>
  <si>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</si>
  <si>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</si>
  <si>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</si>
  <si>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</si>
  <si>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</si>
  <si>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</si>
  <si>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</si>
  <si>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</si>
  <si>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</si>
  <si>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</si>
  <si>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</si>
  <si>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</si>
  <si>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</si>
  <si>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</si>
  <si>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</si>
  <si>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</si>
  <si>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</si>
  <si>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</si>
  <si>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</si>
  <si>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</si>
  <si>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</si>
  <si>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</si>
  <si>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</si>
  <si>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</si>
  <si>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</si>
  <si>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</si>
  <si>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</si>
  <si>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</si>
  <si>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</si>
  <si>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</si>
  <si>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</si>
  <si>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</si>
  <si>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</si>
  <si>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</si>
  <si>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</si>
  <si>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</si>
  <si>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</si>
  <si>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</si>
  <si>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</si>
  <si>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</si>
  <si>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</si>
  <si>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</si>
  <si>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</si>
  <si>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</si>
  <si>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</si>
  <si>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</si>
  <si>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</si>
  <si>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</si>
  <si>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</si>
  <si>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</si>
  <si>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</si>
  <si>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</si>
  <si>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</si>
  <si>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</si>
  <si>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</si>
  <si>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</si>
  <si>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</si>
  <si>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</si>
  <si>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</si>
  <si>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</si>
  <si>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</si>
  <si>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</si>
  <si>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</si>
  <si>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</si>
  <si>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</si>
  <si>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</si>
  <si>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</si>
  <si>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</si>
  <si>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</si>
  <si>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</si>
  <si>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</si>
  <si>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</si>
  <si>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</si>
  <si>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</si>
  <si>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</si>
  <si>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</si>
  <si>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</si>
  <si>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</si>
  <si>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</si>
  <si>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</si>
  <si>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</si>
  <si>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</si>
  <si>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</si>
  <si>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</si>
  <si>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</si>
  <si>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</si>
  <si>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</si>
  <si>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</si>
  <si>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</si>
  <si>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</si>
  <si>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</si>
  <si>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</si>
  <si>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</si>
  <si>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</si>
  <si>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</si>
  <si>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</si>
  <si>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</si>
  <si>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</si>
  <si>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</si>
  <si>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</si>
  <si>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</si>
  <si>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</si>
  <si>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</si>
  <si>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</si>
  <si>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</si>
  <si>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</si>
  <si>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</si>
  <si>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</si>
  <si>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</si>
  <si>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</si>
  <si>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</si>
  <si>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</si>
  <si>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</si>
  <si>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</si>
  <si>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</si>
  <si>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</si>
  <si>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</si>
  <si>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</si>
  <si>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</si>
  <si>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</si>
  <si>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</si>
  <si>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</si>
  <si>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</si>
  <si>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</si>
  <si>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</si>
  <si>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</si>
  <si>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</si>
  <si>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</si>
  <si>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</si>
  <si>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</si>
  <si>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</si>
  <si>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</si>
  <si>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</si>
  <si>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</si>
  <si>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</si>
  <si>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</si>
  <si>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</si>
  <si>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</si>
  <si>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</si>
  <si>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</si>
  <si>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</si>
  <si>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</si>
  <si>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</si>
  <si>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</si>
  <si>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</si>
  <si>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</si>
  <si>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</si>
  <si>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</si>
  <si>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</si>
  <si>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</si>
  <si>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</si>
  <si>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</si>
  <si>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</si>
  <si>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</si>
  <si>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</si>
  <si>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</si>
  <si>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</si>
  <si>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</si>
  <si>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</si>
  <si>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</si>
  <si>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</si>
  <si>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</si>
  <si>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</si>
  <si>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</si>
  <si>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</si>
  <si>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</si>
  <si>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</si>
  <si>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</si>
  <si>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</si>
  <si>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</si>
  <si>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</si>
  <si>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</si>
  <si>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</si>
  <si>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</si>
  <si>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</si>
  <si>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</si>
  <si>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</si>
  <si>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</si>
  <si>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</si>
  <si>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</si>
  <si>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</si>
  <si>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</si>
  <si>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</si>
  <si>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</si>
  <si>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</si>
  <si>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</si>
  <si>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</si>
  <si>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</si>
  <si>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</si>
  <si>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</si>
  <si>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</si>
  <si>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</si>
  <si>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</si>
  <si>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</si>
  <si>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</si>
  <si>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</si>
  <si>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</si>
  <si>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</si>
  <si>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</si>
  <si>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</si>
  <si>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</si>
  <si>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</si>
  <si>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</si>
  <si>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</si>
  <si>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</si>
  <si>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</si>
  <si>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</si>
  <si>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</si>
  <si>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</si>
  <si>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</si>
  <si>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</si>
  <si>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</si>
  <si>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</si>
  <si>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</si>
  <si>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</si>
  <si>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</si>
  <si>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</si>
  <si>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</si>
  <si>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</si>
  <si>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</si>
  <si>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</si>
  <si>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</si>
  <si>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</si>
  <si>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</si>
  <si>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</si>
  <si>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</si>
  <si>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</si>
  <si>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</si>
  <si>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</si>
  <si>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</si>
  <si>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</si>
  <si>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</si>
  <si>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</si>
  <si>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</si>
  <si>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</si>
  <si>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</si>
  <si>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</si>
  <si>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</si>
  <si>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</si>
  <si>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</si>
  <si>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</si>
  <si>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</si>
  <si>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</si>
  <si>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</si>
  <si>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</si>
  <si>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</si>
  <si>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</si>
  <si>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</si>
  <si>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</si>
  <si>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</si>
  <si>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</si>
  <si>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</si>
  <si>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</si>
  <si>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</si>
  <si>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</si>
  <si>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</si>
  <si>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</si>
  <si>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</si>
  <si>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</si>
  <si>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</si>
  <si>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</si>
  <si>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</si>
  <si>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</si>
  <si>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</si>
  <si>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</si>
  <si>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</si>
  <si>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</si>
  <si>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</si>
  <si>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</si>
  <si>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</si>
  <si>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</si>
  <si>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</si>
  <si>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</si>
  <si>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</si>
  <si>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</si>
  <si>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</si>
  <si>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</si>
  <si>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</si>
  <si>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</si>
  <si>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</si>
  <si>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</si>
  <si>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</si>
  <si>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</si>
  <si>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</si>
  <si>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</si>
  <si>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</si>
  <si>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</si>
  <si>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</si>
  <si>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</si>
  <si>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</si>
  <si>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</si>
  <si>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</si>
  <si>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</si>
  <si>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</si>
  <si>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</si>
  <si>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</si>
  <si>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</si>
  <si>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</si>
  <si>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</si>
  <si>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</si>
  <si>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</si>
  <si>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</si>
  <si>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</si>
  <si>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</si>
  <si>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</si>
  <si>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</si>
  <si>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</si>
  <si>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</si>
  <si>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</si>
  <si>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</si>
  <si>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</si>
  <si>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</si>
  <si>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</si>
  <si>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</si>
  <si>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</si>
  <si>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</si>
  <si>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</si>
  <si>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</si>
  <si>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</si>
  <si>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</si>
  <si>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</si>
  <si>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</si>
  <si>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</si>
  <si>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</si>
  <si>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</si>
  <si>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</si>
  <si>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</si>
  <si>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</si>
  <si>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</si>
  <si>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</si>
  <si>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</si>
  <si>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</si>
  <si>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</si>
  <si>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</si>
  <si>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</si>
  <si>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</si>
  <si>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</si>
  <si>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</si>
  <si>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</si>
  <si>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</si>
  <si>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</si>
  <si>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</si>
  <si>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</si>
  <si>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</si>
  <si>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</si>
  <si>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</si>
  <si>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</si>
  <si>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</si>
  <si>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</si>
  <si>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</si>
  <si>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</si>
  <si>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</si>
  <si>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</si>
  <si>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</si>
  <si>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</si>
  <si>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</si>
  <si>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</si>
  <si>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</si>
  <si>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</si>
  <si>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</si>
  <si>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</si>
  <si>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</si>
  <si>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</si>
  <si>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</si>
  <si>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</si>
  <si>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</si>
  <si>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</si>
  <si>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</si>
  <si>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</si>
  <si>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</si>
  <si>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</si>
  <si>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</si>
  <si>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</si>
  <si>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</si>
  <si>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</si>
  <si>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</si>
  <si>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</si>
  <si>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</si>
  <si>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</si>
  <si>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</si>
  <si>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</si>
  <si>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</si>
  <si>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</si>
  <si>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</si>
  <si>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</si>
  <si>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</si>
  <si>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</si>
  <si>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</si>
  <si>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</si>
  <si>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</si>
  <si>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</si>
  <si>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</si>
  <si>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</si>
  <si>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</si>
  <si>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</si>
  <si>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</si>
  <si>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</si>
  <si>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</si>
  <si>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</si>
  <si>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</si>
  <si>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</si>
  <si>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</si>
  <si>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</si>
  <si>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</si>
  <si>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</si>
  <si>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</si>
  <si>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</si>
  <si>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</si>
  <si>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</si>
  <si>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</si>
  <si>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</si>
  <si>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</si>
  <si>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</si>
  <si>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</si>
  <si>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</si>
  <si>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</si>
  <si>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</si>
  <si>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</si>
  <si>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</si>
  <si>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</si>
  <si>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</si>
  <si>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</si>
  <si>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</si>
  <si>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</si>
  <si>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</si>
  <si>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</si>
  <si>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</si>
  <si>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</si>
  <si>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</si>
  <si>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</si>
  <si>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</si>
  <si>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</si>
  <si>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</si>
  <si>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</si>
  <si>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</si>
  <si>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</si>
  <si>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</si>
  <si>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</si>
  <si>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</si>
  <si>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</si>
  <si>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</si>
  <si>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</si>
  <si>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</si>
  <si>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</si>
  <si>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</si>
  <si>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</si>
  <si>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</si>
  <si>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</si>
  <si>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</si>
  <si>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</si>
  <si>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</si>
  <si>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</si>
  <si>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</si>
  <si>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</si>
  <si>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</si>
  <si>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</si>
  <si>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</si>
  <si>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</si>
  <si>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</si>
  <si>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</si>
  <si>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</si>
  <si>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</si>
  <si>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</si>
  <si>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</si>
  <si>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</si>
  <si>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</si>
  <si>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</si>
  <si>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</si>
  <si>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</si>
  <si>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</si>
  <si>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</si>
  <si>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</si>
  <si>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</si>
  <si>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</si>
  <si>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</si>
  <si>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</si>
  <si>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</si>
  <si>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</si>
  <si>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</si>
  <si>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</si>
  <si>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</si>
  <si>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</si>
  <si>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</si>
  <si>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</si>
  <si>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</si>
  <si>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</si>
  <si>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</si>
  <si>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</si>
  <si>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</si>
  <si>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</si>
  <si>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</si>
  <si>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</si>
  <si>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</si>
  <si>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</si>
  <si>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</si>
  <si>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</si>
  <si>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</si>
  <si>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</si>
  <si>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</si>
  <si>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</si>
  <si>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</si>
  <si>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</si>
  <si>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</si>
  <si>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</si>
  <si>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</si>
  <si>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</si>
  <si>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</si>
  <si>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</si>
  <si>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</si>
  <si>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</si>
  <si>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</si>
  <si>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</si>
  <si>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</si>
  <si>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</si>
  <si>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</si>
  <si>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</si>
  <si>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</si>
  <si>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</si>
  <si>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</si>
  <si>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</si>
  <si>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</si>
  <si>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</si>
  <si>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</si>
  <si>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</si>
  <si>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</si>
  <si>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</si>
  <si>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</si>
  <si>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</si>
  <si>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</si>
  <si>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</si>
  <si>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</si>
  <si>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</si>
  <si>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</si>
  <si>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</si>
  <si>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</si>
  <si>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</si>
  <si>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</si>
  <si>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</si>
  <si>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</si>
  <si>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</si>
  <si>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</si>
  <si>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</si>
  <si>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</si>
  <si>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</si>
  <si>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</si>
  <si>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</si>
  <si>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</si>
  <si>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</si>
  <si>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</si>
  <si>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</si>
  <si>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</si>
  <si>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</si>
  <si>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</si>
  <si>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</si>
  <si>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</si>
  <si>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</si>
  <si>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</si>
  <si>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</si>
  <si>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</si>
  <si>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</si>
  <si>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</si>
  <si>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</si>
  <si>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</si>
  <si>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</si>
  <si>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</si>
  <si>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</si>
  <si>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</si>
  <si>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</si>
  <si>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</si>
  <si>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</si>
  <si>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</si>
  <si>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</si>
  <si>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</si>
  <si>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</si>
  <si>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</si>
  <si>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</si>
  <si>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</si>
  <si>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</si>
  <si>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</si>
  <si>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</si>
  <si>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</si>
  <si>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</si>
  <si>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</si>
  <si>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</si>
  <si>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</si>
  <si>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</si>
  <si>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</si>
  <si>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</si>
  <si>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</si>
  <si>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</si>
  <si>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</si>
  <si>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</si>
  <si>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</si>
  <si>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</si>
  <si>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</si>
  <si>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</si>
  <si>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</si>
  <si>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</si>
  <si>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</si>
  <si>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</si>
  <si>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</si>
  <si>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</si>
  <si>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</si>
  <si>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</si>
  <si>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</si>
  <si>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</si>
  <si>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</si>
  <si>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</si>
  <si>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</si>
  <si>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</si>
  <si>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</si>
  <si>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</si>
  <si>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</si>
  <si>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</si>
  <si>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</si>
  <si>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</si>
  <si>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</si>
  <si>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</si>
  <si>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</si>
  <si>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</si>
  <si>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</si>
  <si>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</si>
  <si>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</si>
  <si>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</si>
  <si>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</si>
  <si>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</si>
  <si>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</si>
  <si>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</si>
  <si>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</si>
  <si>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</si>
  <si>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</si>
  <si>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</si>
  <si>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</si>
  <si>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</si>
  <si>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</si>
  <si>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</si>
  <si>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</si>
  <si>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</si>
  <si>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</si>
  <si>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</si>
  <si>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</si>
  <si>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</si>
  <si>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</si>
  <si>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</si>
  <si>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</si>
  <si>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</si>
  <si>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</si>
  <si>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</si>
  <si>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</si>
  <si>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</si>
  <si>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</si>
  <si>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</si>
  <si>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</si>
  <si>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</si>
  <si>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</si>
  <si>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</si>
  <si>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</si>
  <si>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</si>
  <si>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</si>
  <si>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</si>
  <si>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</si>
  <si>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</si>
  <si>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</si>
  <si>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</si>
  <si>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</si>
  <si>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</si>
  <si>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</si>
  <si>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</si>
  <si>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</si>
  <si>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</si>
  <si>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</si>
  <si>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</si>
  <si>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</si>
  <si>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</si>
  <si>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</si>
  <si>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</si>
  <si>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</si>
  <si>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</si>
  <si>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</si>
  <si>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</si>
  <si>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</si>
  <si>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</si>
  <si>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</si>
  <si>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</si>
  <si>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</si>
  <si>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</si>
  <si>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</si>
  <si>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</si>
  <si>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</si>
  <si>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</si>
  <si>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</si>
  <si>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</si>
  <si>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</si>
  <si>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</si>
  <si>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</si>
  <si>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</si>
  <si>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</si>
  <si>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</si>
  <si>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</si>
  <si>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</si>
  <si>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</si>
  <si>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</si>
  <si>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</si>
  <si>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</si>
  <si>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</si>
  <si>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</si>
  <si>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</si>
  <si>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</si>
  <si>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</si>
  <si>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</si>
  <si>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</si>
  <si>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</si>
  <si>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</si>
  <si>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</si>
  <si>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</si>
  <si>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</si>
  <si>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</si>
  <si>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</si>
  <si>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</si>
  <si>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</si>
  <si>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</si>
  <si>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</si>
  <si>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</si>
  <si>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</si>
  <si>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</si>
  <si>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</si>
  <si>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</si>
  <si>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</si>
  <si>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</si>
  <si>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</si>
  <si>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</si>
  <si>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</si>
  <si>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</si>
  <si>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</si>
  <si>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</si>
  <si>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</si>
  <si>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</si>
  <si>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</si>
  <si>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</si>
  <si>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</si>
  <si>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</si>
  <si>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</si>
  <si>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</si>
  <si>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</si>
  <si>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</si>
  <si>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</si>
  <si>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</si>
  <si>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</si>
  <si>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</si>
  <si>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</si>
  <si>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</si>
  <si>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</si>
  <si>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</si>
  <si>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</si>
  <si>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</si>
  <si>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</si>
  <si>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</si>
  <si>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</si>
  <si>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</si>
  <si>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</si>
  <si>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</si>
  <si>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</si>
  <si>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</si>
  <si>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</si>
  <si>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</si>
  <si>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</si>
  <si>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</si>
  <si>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</si>
  <si>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</si>
  <si>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</si>
  <si>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</si>
  <si>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</si>
  <si>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</si>
  <si>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</si>
  <si>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</si>
  <si>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</si>
  <si>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</si>
  <si>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</si>
  <si>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</si>
  <si>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</si>
  <si>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</si>
  <si>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</si>
  <si>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</si>
  <si>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</si>
  <si>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</si>
  <si>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</si>
  <si>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</si>
  <si>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</si>
  <si>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</si>
  <si>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</si>
  <si>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</si>
  <si>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</si>
  <si>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</si>
  <si>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</si>
  <si>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</si>
  <si>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</si>
  <si>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</si>
  <si>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</si>
  <si>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</si>
  <si>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</si>
  <si>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</si>
  <si>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</si>
  <si>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</si>
  <si>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</si>
  <si>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</si>
  <si>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</si>
  <si>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</si>
  <si>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</si>
  <si>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</si>
  <si>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</si>
  <si>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</si>
  <si>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</si>
  <si>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</si>
  <si>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</si>
  <si>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</si>
  <si>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</si>
  <si>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</si>
  <si>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</si>
  <si>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</si>
  <si>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</si>
  <si>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</si>
  <si>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</si>
  <si>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</si>
  <si>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</si>
  <si>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</si>
  <si>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</si>
  <si>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</si>
  <si>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</si>
  <si>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</si>
  <si>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</si>
  <si>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</si>
  <si>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</si>
  <si>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</si>
  <si>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</si>
  <si>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</si>
  <si>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</si>
  <si>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</si>
  <si>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</si>
  <si>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</si>
  <si>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</si>
  <si>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</si>
  <si>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</si>
  <si>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</si>
  <si>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</si>
  <si>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</si>
  <si>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</si>
  <si>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</si>
  <si>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</si>
  <si>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</si>
  <si>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</si>
  <si>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</si>
  <si>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</si>
  <si>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</si>
  <si>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</si>
  <si>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</si>
  <si>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</si>
  <si>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</si>
  <si>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</si>
  <si>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</si>
  <si>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</si>
  <si>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</si>
  <si>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</si>
  <si>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</si>
  <si>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</si>
  <si>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</si>
  <si>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</si>
  <si>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</si>
  <si>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</si>
  <si>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</si>
  <si>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</si>
  <si>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</si>
  <si>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</si>
  <si>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</si>
  <si>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</si>
  <si>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</si>
  <si>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</si>
  <si>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</si>
  <si>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</si>
  <si>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</si>
  <si>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</si>
  <si>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</si>
  <si>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</si>
  <si>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</si>
  <si>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</si>
  <si>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</si>
  <si>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</si>
  <si>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</si>
  <si>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</si>
  <si>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</si>
  <si>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</si>
  <si>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</si>
  <si>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</si>
  <si>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</si>
  <si>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</si>
  <si>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</si>
  <si>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</si>
  <si>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</si>
  <si>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</si>
  <si>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</si>
  <si>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</si>
  <si>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</si>
  <si>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</si>
  <si>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</si>
  <si>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</si>
  <si>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</si>
  <si>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</si>
  <si>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</si>
  <si>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</si>
  <si>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</si>
  <si>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</si>
  <si>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</si>
  <si>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</si>
  <si>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</si>
  <si>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</si>
  <si>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</si>
  <si>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</si>
  <si>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</si>
  <si>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</si>
  <si>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</si>
  <si>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</si>
  <si>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</si>
  <si>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</si>
  <si>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</si>
  <si>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</si>
  <si>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</si>
  <si>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</si>
  <si>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</si>
  <si>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</si>
  <si>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</si>
  <si>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</si>
  <si>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</si>
  <si>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</si>
  <si>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</si>
  <si>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</si>
  <si>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</si>
  <si>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</si>
  <si>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</si>
  <si>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</si>
  <si>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</si>
  <si>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</si>
  <si>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</si>
  <si>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</si>
  <si>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</si>
  <si>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</si>
  <si>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</si>
  <si>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</si>
  <si>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</si>
  <si>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</si>
  <si>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</si>
  <si>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</si>
  <si>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</si>
  <si>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</si>
  <si>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</si>
  <si>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</si>
  <si>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</si>
  <si>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</si>
  <si>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</si>
  <si>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</si>
  <si>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</si>
  <si>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</si>
  <si>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</si>
  <si>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</si>
  <si>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</si>
  <si>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</si>
  <si>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</si>
  <si>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</si>
  <si>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</si>
  <si>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</si>
  <si>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</si>
  <si>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</si>
  <si>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</si>
  <si>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</si>
  <si>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</si>
  <si>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</si>
  <si>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</si>
  <si>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</si>
  <si>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</si>
  <si>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</si>
  <si>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</si>
  <si>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</si>
  <si>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</si>
  <si>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</si>
  <si>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</si>
  <si>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</si>
  <si>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</si>
  <si>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</si>
  <si>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</si>
  <si>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</si>
  <si>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</si>
  <si>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</si>
  <si>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</si>
  <si>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</si>
  <si>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</si>
  <si>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</si>
  <si>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</si>
  <si>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</si>
  <si>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</si>
  <si>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</si>
  <si>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</si>
  <si>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</si>
  <si>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</si>
  <si>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</si>
  <si>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</si>
  <si>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</si>
  <si>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</si>
  <si>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</si>
  <si>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</si>
  <si>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</si>
  <si>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</si>
  <si>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</si>
  <si>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</si>
  <si>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</si>
  <si>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</si>
  <si>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</si>
  <si>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</si>
  <si>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</si>
  <si>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</si>
  <si>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</si>
  <si>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</si>
  <si>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</si>
  <si>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</si>
  <si>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</si>
  <si>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</si>
  <si>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</si>
  <si>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</si>
  <si>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</si>
  <si>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</si>
  <si>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</si>
  <si>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</si>
  <si>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</si>
  <si>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</si>
  <si>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</si>
  <si>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</si>
  <si>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</si>
  <si>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</si>
  <si>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</si>
  <si>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</si>
  <si>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</si>
  <si>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</si>
  <si>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</si>
  <si>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</si>
  <si>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</si>
  <si>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</si>
  <si>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</si>
  <si>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</si>
  <si>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</si>
  <si>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</si>
  <si>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</si>
  <si>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</si>
  <si>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</si>
  <si>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</si>
  <si>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</si>
  <si>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</si>
  <si>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</si>
  <si>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</si>
  <si>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</si>
  <si>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</si>
  <si>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</si>
  <si>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</si>
  <si>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</si>
  <si>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</si>
  <si>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</si>
  <si>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</si>
  <si>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</si>
  <si>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</si>
  <si>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</si>
  <si>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</si>
  <si>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</si>
  <si>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</si>
  <si>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</si>
  <si>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</si>
  <si>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</si>
  <si>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</si>
  <si>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</si>
  <si>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</si>
  <si>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</si>
  <si>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</si>
  <si>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</si>
  <si>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</si>
  <si>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</si>
  <si>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</si>
  <si>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</si>
  <si>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</si>
  <si>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</si>
  <si>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</si>
  <si>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</si>
  <si>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</si>
  <si>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</si>
  <si>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</si>
  <si>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</si>
  <si>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</si>
  <si>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</si>
  <si>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</si>
  <si>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</si>
  <si>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</si>
  <si>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</si>
  <si>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</si>
  <si>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</si>
  <si>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</si>
  <si>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</si>
  <si>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</si>
  <si>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</si>
  <si>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</si>
  <si>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</si>
  <si>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</si>
  <si>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</si>
  <si>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</si>
  <si>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</si>
  <si>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</si>
  <si>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</si>
  <si>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</si>
  <si>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</si>
  <si>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</si>
  <si>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</si>
  <si>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</si>
  <si>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</si>
  <si>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</si>
  <si>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</si>
  <si>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</si>
  <si>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</si>
  <si>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</si>
  <si>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</si>
  <si>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</si>
  <si>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</si>
  <si>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</si>
  <si>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</si>
  <si>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</si>
  <si>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</si>
  <si>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</si>
  <si>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</si>
  <si>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</si>
  <si>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</si>
  <si>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</si>
  <si>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</si>
  <si>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</si>
  <si>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</si>
  <si>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</si>
  <si>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</si>
  <si>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</si>
  <si>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</si>
  <si>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</si>
  <si>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</si>
  <si>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</si>
  <si>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</si>
  <si>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</si>
  <si>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</si>
  <si>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</si>
  <si>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</si>
  <si>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</si>
  <si>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</si>
  <si>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</si>
  <si>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</si>
  <si>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</si>
  <si>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</si>
  <si>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</si>
  <si>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</si>
  <si>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</si>
  <si>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</si>
  <si>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</si>
  <si>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</si>
  <si>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</si>
  <si>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</si>
  <si>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</si>
  <si>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</si>
  <si>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</si>
  <si>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</si>
  <si>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</si>
  <si>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</si>
  <si>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</si>
  <si>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</si>
  <si>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</si>
  <si>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</si>
  <si>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</si>
  <si>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</si>
  <si>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</si>
  <si>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</si>
  <si>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</si>
  <si>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</si>
  <si>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</si>
  <si>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</si>
  <si>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</si>
  <si>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</si>
  <si>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</si>
  <si>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</si>
  <si>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</si>
  <si>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</si>
  <si>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</si>
  <si>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</si>
  <si>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</si>
  <si>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</si>
  <si>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</si>
  <si>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</si>
  <si>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</si>
  <si>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</si>
  <si>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</si>
  <si>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</si>
  <si>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</si>
  <si>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</si>
  <si>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</si>
  <si>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</si>
  <si>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</si>
  <si>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</si>
  <si>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</si>
  <si>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</si>
  <si>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</si>
  <si>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</si>
  <si>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</si>
  <si>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</si>
  <si>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</si>
  <si>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</si>
  <si>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</si>
  <si>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</si>
  <si>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</si>
  <si>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</si>
  <si>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</si>
  <si>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</si>
  <si>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</si>
  <si>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</si>
  <si>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</si>
  <si>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</si>
  <si>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</si>
  <si>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</si>
  <si>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</si>
  <si>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</si>
  <si>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</si>
  <si>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</si>
  <si>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</si>
  <si>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</si>
  <si>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</si>
  <si>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</si>
  <si>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</si>
  <si>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</si>
  <si>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</si>
  <si>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</si>
  <si>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</si>
  <si>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</si>
  <si>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</si>
  <si>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</si>
  <si>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</si>
  <si>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</si>
  <si>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</si>
  <si>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</si>
  <si>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</si>
  <si>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</si>
  <si>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</si>
  <si>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</si>
  <si>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</si>
  <si>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</si>
  <si>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</si>
  <si>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</si>
  <si>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</si>
  <si>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</si>
  <si>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</si>
  <si>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</si>
  <si>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</si>
  <si>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</si>
  <si>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</si>
  <si>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</si>
  <si>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</si>
  <si>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</si>
  <si>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</si>
  <si>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</si>
  <si>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</si>
  <si>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</si>
  <si>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</si>
  <si>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</si>
  <si>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</si>
  <si>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</si>
  <si>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</si>
  <si>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</si>
  <si>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</si>
  <si>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</si>
  <si>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</si>
  <si>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</si>
  <si>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</si>
  <si>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</si>
  <si>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</si>
  <si>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</si>
  <si>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</si>
  <si>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</si>
  <si>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</si>
  <si>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</si>
  <si>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</si>
  <si>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</si>
  <si>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</si>
  <si>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</si>
  <si>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</si>
  <si>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</si>
  <si>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</si>
  <si>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</si>
  <si>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</si>
  <si>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</si>
  <si>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</si>
  <si>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</si>
  <si>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</si>
  <si>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</si>
  <si>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</si>
  <si>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</si>
  <si>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</si>
  <si>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</si>
  <si>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</si>
  <si>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</si>
  <si>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</si>
  <si>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</si>
  <si>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</si>
  <si>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</si>
  <si>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</si>
  <si>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</si>
  <si>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</si>
  <si>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</si>
  <si>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</si>
  <si>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</si>
  <si>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</si>
  <si>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</si>
  <si>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</si>
  <si>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</si>
  <si>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</si>
  <si>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</si>
  <si>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</si>
  <si>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</si>
  <si>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</si>
  <si>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</si>
  <si>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</si>
  <si>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</si>
  <si>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</si>
  <si>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</si>
  <si>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</si>
  <si>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</si>
  <si>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</si>
  <si>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</si>
  <si>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</si>
  <si>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</si>
  <si>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</si>
  <si>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</si>
  <si>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</si>
  <si>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</si>
  <si>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</si>
  <si>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</si>
  <si>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</si>
  <si>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</si>
  <si>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</si>
  <si>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</si>
  <si>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</si>
  <si>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</si>
  <si>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</si>
  <si>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</si>
  <si>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</si>
  <si>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</si>
  <si>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</si>
  <si>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</si>
  <si>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</si>
  <si>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</si>
  <si>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</si>
  <si>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</si>
  <si>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</si>
  <si>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</si>
  <si>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</si>
  <si>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</si>
  <si>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</si>
  <si>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</si>
  <si>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</si>
  <si>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</si>
  <si>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</si>
  <si>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</si>
  <si>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</si>
  <si>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</si>
  <si>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</si>
  <si>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</si>
  <si>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</si>
  <si>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</si>
  <si>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</si>
  <si>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</si>
  <si>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</si>
  <si>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</si>
  <si>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</si>
  <si>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</si>
  <si>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</si>
  <si>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</si>
  <si>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</si>
  <si>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</si>
  <si>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</si>
  <si>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</si>
  <si>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</si>
  <si>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</si>
  <si>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</si>
  <si>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</si>
  <si>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</si>
  <si>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</si>
  <si>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</si>
  <si>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</si>
  <si>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</si>
  <si>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</si>
  <si>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</si>
  <si>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</si>
  <si>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</si>
  <si>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</si>
  <si>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</si>
  <si>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</si>
  <si>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</si>
  <si>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</si>
  <si>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</si>
  <si>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</si>
  <si>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</si>
  <si>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</si>
  <si>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</si>
  <si>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</si>
  <si>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</si>
  <si>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</si>
  <si>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</si>
  <si>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</si>
  <si>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</si>
  <si>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</si>
  <si>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</si>
  <si>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</si>
  <si>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</si>
  <si>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</si>
  <si>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</si>
  <si>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</si>
  <si>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</si>
  <si>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</si>
  <si>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</si>
  <si>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</si>
  <si>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</si>
  <si>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</si>
  <si>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</si>
  <si>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</si>
  <si>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</si>
  <si>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</si>
  <si>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</si>
  <si>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</si>
  <si>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Usable, 1</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</si>
  <si>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</si>
  <si>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</si>
  <si>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</si>
  <si>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</si>
  <si>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</si>
  <si>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</si>
  <si>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</si>
  <si>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</si>
  <si>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</si>
  <si>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</si>
  <si>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</si>
  <si>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</si>
  <si>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</si>
  <si>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</si>
  <si>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</si>
  <si>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</si>
  <si>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</si>
  <si>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</si>
  <si>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</si>
  <si>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</si>
  <si>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</si>
  <si>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</si>
  <si>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item_acquired: gain_stat bombs 1; bomb_stun</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</si>
  <si>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</si>
  <si>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</si>
  <si>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</si>
  <si>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</si>
  <si>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</si>
  <si>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</si>
  <si>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</si>
  <si>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</si>
  <si>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</si>
  <si>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</si>
  <si>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</si>
  <si>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</si>
  <si>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</si>
  <si>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</si>
  <si>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</si>
  <si>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</si>
  <si>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</si>
  <si>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</si>
  <si>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</si>
  <si>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</si>
  <si>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</si>
  <si>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</si>
  <si>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</si>
  <si>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</si>
  <si>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</si>
  <si>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</si>
  <si>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</si>
  <si>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item_used: obtain_item any</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</si>
  <si>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</si>
  <si>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</si>
  <si>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</si>
  <si>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</si>
  <si>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</si>
  <si>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</si>
  <si>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</si>
  <si>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</si>
  <si>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</si>
  <si>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</si>
  <si>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</si>
  <si>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</si>
  <si>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</si>
  <si>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</si>
  <si>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</si>
  <si>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</si>
  <si>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</si>
  <si>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</si>
  <si>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</si>
  <si>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</si>
  <si>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</si>
  <si>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</si>
  <si>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</si>
  <si>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</si>
  <si>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</si>
  <si>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</si>
  <si>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</si>
  <si>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</si>
  <si>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</si>
  <si>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</si>
  <si>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</si>
  <si>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</si>
  <si>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</si>
  <si>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</si>
  <si>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</si>
  <si>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</si>
  <si>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</si>
  <si>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</si>
  <si>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</si>
  <si>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</si>
  <si>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</si>
  <si>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</si>
  <si>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</si>
  <si>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</si>
  <si>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</si>
  <si>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</si>
  <si>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</si>
  <si>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</si>
  <si>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</si>
  <si>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</si>
  <si>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</si>
  <si>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</si>
  <si>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</si>
  <si>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</si>
  <si>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</si>
  <si>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</si>
  <si>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</si>
  <si>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</si>
  <si>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</si>
  <si>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</si>
  <si>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</si>
  <si>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</si>
  <si>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</si>
  <si>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</si>
  <si>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</si>
  <si>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</si>
  <si>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</si>
  <si>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</si>
  <si>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</si>
  <si>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</si>
  <si>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</si>
  <si>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</si>
  <si>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</si>
  <si>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</si>
  <si>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</si>
  <si>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</si>
  <si>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</si>
  <si>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</si>
  <si>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</si>
  <si>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</si>
  <si>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</si>
  <si>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</si>
  <si>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</si>
  <si>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</si>
  <si>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</si>
  <si>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</si>
  <si>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</si>
  <si>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</si>
  <si>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</si>
  <si>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</si>
  <si>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</si>
  <si>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</si>
  <si>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</si>
  <si>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</si>
  <si>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</si>
  <si>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</si>
  <si>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</si>
  <si>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</si>
  <si>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</si>
  <si>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</si>
  <si>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</si>
  <si>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</si>
  <si>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</si>
  <si>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</si>
  <si>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</si>
  <si>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</si>
  <si>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</si>
  <si>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</si>
  <si>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</si>
  <si>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</si>
  <si>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</si>
  <si>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</si>
  <si>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</si>
  <si>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</si>
  <si>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</si>
  <si>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</si>
  <si>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</si>
  <si>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</si>
  <si>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</si>
  <si>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</si>
  <si>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</si>
  <si>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</si>
  <si>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</si>
  <si>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</si>
  <si>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</si>
  <si>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</si>
  <si>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</si>
  <si>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</si>
  <si>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</si>
  <si>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</si>
  <si>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</si>
  <si>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</si>
  <si>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</si>
  <si>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</si>
  <si>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</si>
  <si>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</si>
  <si>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</si>
  <si>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</si>
  <si>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</si>
  <si>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</si>
  <si>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</si>
  <si>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</si>
  <si>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</si>
  <si>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</si>
  <si>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</si>
  <si>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</si>
  <si>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</si>
  <si>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</si>
  <si>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</si>
  <si>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</si>
  <si>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</si>
  <si>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</si>
  <si>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</si>
  <si>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</si>
  <si>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</si>
  <si>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</si>
  <si>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</si>
  <si>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</si>
  <si>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</si>
  <si>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</si>
  <si>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</si>
  <si>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</si>
  <si>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</si>
  <si>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</si>
  <si>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</si>
  <si>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</si>
  <si>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</si>
  <si>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</si>
  <si>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</si>
  <si>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</si>
  <si>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</si>
  <si>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</si>
  <si>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</si>
  <si>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</si>
  <si>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</si>
  <si>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</si>
  <si>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</si>
  <si>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</si>
  <si>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</si>
  <si>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</si>
  <si>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</si>
  <si>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</si>
  <si>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</si>
  <si>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</si>
  <si>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</si>
  <si>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</si>
  <si>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</si>
  <si>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</si>
  <si>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</si>
  <si>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</si>
  <si>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</si>
  <si>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</si>
  <si>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</si>
  <si>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</si>
  <si>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</si>
  <si>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</si>
  <si>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</si>
  <si>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</si>
  <si>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</si>
  <si>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</si>
  <si>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</si>
  <si>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</si>
  <si>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</si>
  <si>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</si>
  <si>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</si>
  <si>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</si>
  <si>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</si>
  <si>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</si>
  <si>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</si>
  <si>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</si>
  <si>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</si>
  <si>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</si>
  <si>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</si>
  <si>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</si>
  <si>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</si>
  <si>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</si>
  <si>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</si>
  <si>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</si>
  <si>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</si>
  <si>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</si>
  <si>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</si>
  <si>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</si>
  <si>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</si>
  <si>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</si>
  <si>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</si>
  <si>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</si>
  <si>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</si>
  <si>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</si>
  <si>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</si>
  <si>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</si>
  <si>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</si>
  <si>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</si>
  <si>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</si>
  <si>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</si>
  <si>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</si>
  <si>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</si>
  <si>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</si>
  <si>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</si>
  <si>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</si>
  <si>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</si>
  <si>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</si>
  <si>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</si>
  <si>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</si>
  <si>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</si>
  <si>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</si>
  <si>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</si>
  <si>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</si>
  <si>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</si>
  <si>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</si>
  <si>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</si>
  <si>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</si>
  <si>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</si>
  <si>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</si>
  <si>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</si>
  <si>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</si>
  <si>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</si>
  <si>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</si>
  <si>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</si>
  <si>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</si>
  <si>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</si>
  <si>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</si>
  <si>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</si>
  <si>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</si>
  <si>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</si>
  <si>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</si>
  <si>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</si>
  <si>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</si>
  <si>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</si>
  <si>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</si>
  <si>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</si>
  <si>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</si>
  <si>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</si>
  <si>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</si>
  <si>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</si>
  <si>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</si>
  <si>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</si>
  <si>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</si>
  <si>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</si>
  <si>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Gains "and must be beaten in (1+(1/2)^X-2)) hours or less"</t>
  </si>
  <si>
    <t>clause "must be beaten in {1+(1/2)^(X-2):hours} or less"</t>
  </si>
  <si>
    <t>Increase tile movement by X</t>
  </si>
  <si>
    <t>tile_move +{X}</t>
  </si>
  <si>
    <t>Marked</t>
  </si>
  <si>
    <t>Debuff</t>
  </si>
  <si>
    <t>Gain "You must get X achivements or take 3 Damage."</t>
  </si>
  <si>
    <t>demand "get {X} [achievement|achievements]" else -&gt; take_damage 3</t>
  </si>
  <si>
    <t>Gains "and if you get X achivements, Gain a [chest reward]"</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</si>
  <si>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</si>
  <si>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</si>
  <si>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</si>
  <si>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</si>
  <si>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</si>
  <si>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</si>
  <si>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</si>
  <si>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</si>
  <si>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</si>
  <si>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Gain "You must skip or trash X items/upgrades or take 3 Damage."</t>
  </si>
  <si>
    <t>demand "skip or trash {X} [item/upgrade|items/upgrades]" else -&gt; take_damage 3</t>
  </si>
  <si>
    <t>Gains "or instead skip or trash 4-X items/upgrades"</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</si>
  <si>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</si>
  <si>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</si>
  <si>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</si>
  <si>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</si>
  <si>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</si>
  <si>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</si>
  <si>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</si>
  <si>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</si>
  <si>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</si>
  <si>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</si>
  <si>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</si>
  <si>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</si>
  <si>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</si>
  <si>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</si>
  <si>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</si>
  <si>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</si>
  <si>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</si>
  <si>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</si>
  <si>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</si>
  <si>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</si>
  <si>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</si>
  <si>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</si>
  <si>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</si>
  <si>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</si>
  <si>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</si>
  <si>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</si>
  <si>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</si>
  <si>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</si>
  <si>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</si>
  <si>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</si>
  <si>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</si>
  <si>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</si>
  <si>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</si>
  <si>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</si>
  <si>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</si>
  <si>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</si>
  <si>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</si>
  <si>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</si>
  <si>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</si>
  <si>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</si>
  <si>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</si>
  <si>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</si>
  <si>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</si>
  <si>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</si>
  <si>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</si>
  <si>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</si>
  <si>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</si>
  <si>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</si>
  <si>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</si>
  <si>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</si>
  <si>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</si>
  <si>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</si>
  <si>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</si>
  <si>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</si>
  <si>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</si>
  <si>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</si>
  <si>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</si>
  <si>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</si>
  <si>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</si>
  <si>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</si>
  <si>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</si>
  <si>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</si>
  <si>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</si>
  <si>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</si>
  <si>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</si>
  <si>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</si>
  <si>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</si>
  <si>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</si>
  <si>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</si>
  <si>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</si>
  <si>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</si>
  <si>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</si>
  <si>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</si>
  <si>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</si>
  <si>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</si>
  <si>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</si>
  <si>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</si>
  <si>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</si>
  <si>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</si>
  <si>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</si>
  <si>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</si>
  <si>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</si>
  <si>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</si>
  <si>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</si>
  <si>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</si>
  <si>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</si>
  <si>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</si>
  <si>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</si>
  <si>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</si>
  <si>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</si>
  <si>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</si>
  <si>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</si>
  <si>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</si>
  <si>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</si>
  <si>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</si>
  <si>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</si>
  <si>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</si>
  <si>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</si>
  <si>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</si>
  <si>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</si>
  <si>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</si>
  <si>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</si>
  <si>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</si>
  <si>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</si>
  <si>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</si>
  <si>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</si>
  <si>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</si>
  <si>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</si>
  <si>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</si>
  <si>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</si>
  <si>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</si>
  <si>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</si>
  <si>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</si>
  <si>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</si>
  <si>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</si>
  <si>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</si>
  <si>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</si>
  <si>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</si>
  <si>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</si>
  <si>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</si>
  <si>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</si>
  <si>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</si>
  <si>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</si>
  <si>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</si>
  <si>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</si>
  <si>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</si>
  <si>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</si>
  <si>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Gain +3 Charges for random Chargeable items</t>
  </si>
  <si>
    <t>charge random 3</t>
  </si>
  <si>
    <t>Fully Charge 3 Random Chargeable Items</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</si>
  <si>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</si>
  <si>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</si>
  <si>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</si>
  <si>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</si>
  <si>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</si>
  <si>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</si>
  <si>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</si>
  <si>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</si>
  <si>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</si>
  <si>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</si>
  <si>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</si>
  <si>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</si>
  <si>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</si>
  <si>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</si>
  <si>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</si>
  <si>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</si>
  <si>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</si>
  <si>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</si>
  <si>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</si>
  <si>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</si>
  <si>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</si>
  <si>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</si>
  <si>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</si>
  <si>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</si>
  <si>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</si>
  <si>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t>
  </si>
  <si>
    <t>add_curse random</t>
  </si>
  <si>
    <t>Gain a Random Curse and Forget all Identified loot</t>
  </si>
  <si>
    <t>add_curse random; forget loot all</t>
  </si>
  <si>
    <t>On Tile</t>
  </si>
  <si>
    <t>On Tile Effect</t>
  </si>
  <si>
    <t>Fire Potion</t>
  </si>
  <si>
    <t>Take 3 Damage and Gain +3 Burn</t>
  </si>
  <si>
    <t>take_damage 3; apply_status burn 3 player</t>
  </si>
  <si>
    <t>Apply the Fire tile, Deal 1 Damage, and Apply +3 Burn to everything in a 3x3 area centered on this tile</t>
  </si>
  <si>
    <t>apply_tile fire area=3x3; deal_damage 1 area=3x3; apply_status burn 3 area=3x3</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</si>
  <si>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</si>
  <si>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</si>
  <si>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</si>
  <si>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</si>
  <si>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</si>
  <si>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</si>
  <si>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</si>
  <si>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</si>
  <si>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</si>
  <si>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</si>
  <si>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</si>
  <si>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</si>
  <si>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</si>
  <si>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</si>
  <si>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</si>
  <si>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</si>
  <si>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</si>
  <si>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</si>
  <si>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</si>
  <si>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</si>
  <si>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</si>
  <si>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</si>
  <si>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</si>
  <si>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</si>
  <si>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</si>
  <si>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</si>
  <si>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</si>
  <si>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</si>
  <si>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</si>
  <si>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</si>
  <si>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</si>
  <si>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</si>
  <si>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</si>
  <si>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</si>
  <si>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</si>
  <si>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</si>
  <si>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</si>
  <si>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</si>
  <si>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</si>
  <si>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</si>
  <si>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</si>
  <si>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</si>
  <si>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</si>
  <si>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</si>
  <si>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</si>
  <si>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</si>
  <si>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</si>
  <si>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</si>
  <si>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</si>
  <si>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</si>
  <si>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</si>
  <si>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</si>
  <si>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</si>
  <si>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</si>
  <si>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</si>
  <si>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</si>
  <si>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</si>
  <si>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</si>
  <si>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</si>
  <si>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</si>
  <si>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</si>
  <si>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</si>
  <si>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</si>
  <si>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</si>
  <si>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</si>
  <si>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</si>
  <si>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</si>
  <si>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</si>
  <si>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</si>
  <si>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</si>
  <si>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</si>
  <si>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</si>
  <si>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</si>
  <si>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</si>
  <si>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</si>
  <si>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</si>
  <si>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</si>
  <si>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</si>
  <si>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</si>
  <si>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</si>
  <si>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</si>
  <si>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</si>
  <si>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</si>
  <si>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</si>
  <si>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</si>
  <si>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</si>
  <si>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</si>
  <si>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</si>
  <si>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</si>
  <si>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</si>
  <si>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</si>
  <si>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</si>
  <si>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</si>
  <si>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</si>
  <si>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</si>
  <si>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</si>
  <si>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</si>
  <si>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</si>
  <si>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</si>
  <si>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</si>
  <si>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</si>
  <si>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</si>
  <si>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unit landmine: detonate_unit; remove_tile</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</si>
  <si>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</si>
  <si>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</si>
  <si>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</si>
  <si>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</si>
  <si>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</si>
  <si>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</si>
  <si>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</si>
  <si>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</si>
  <si>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</si>
  <si>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</si>
  <si>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</si>
  <si>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</si>
  <si>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</si>
  <si>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</si>
  <si>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</si>
  <si>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</si>
  <si>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</si>
  <si>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</si>
  <si>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</si>
  <si>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</si>
  <si>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</si>
  <si>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</si>
  <si>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</si>
  <si>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</si>
  <si>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</si>
  <si>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</si>
  <si>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</si>
  <si>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</si>
  <si>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</si>
  <si>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</si>
  <si>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</si>
  <si>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</si>
  <si>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</si>
  <si>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</si>
  <si>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</si>
  <si>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</si>
  <si>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</si>
  <si>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</si>
  <si>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</si>
  <si>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</si>
  <si>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</si>
  <si>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</si>
  <si>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</si>
  <si>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</si>
  <si>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</si>
  <si>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</si>
  <si>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</si>
  <si>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</si>
  <si>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</si>
  <si>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</si>
  <si>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</si>
  <si>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</si>
  <si>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</si>
  <si>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</si>
  <si>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</si>
  <si>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</si>
  <si>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</si>
  <si>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</si>
  <si>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</si>
  <si>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</si>
  <si>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</si>
  <si>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</si>
  <si>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</si>
  <si>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</si>
  <si>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</si>
  <si>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</si>
  <si>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</si>
  <si>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</si>
  <si>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</si>
  <si>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</si>
  <si>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</si>
  <si>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</si>
  <si>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</si>
  <si>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</si>
  <si>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</si>
  <si>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</si>
  <si>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</si>
  <si>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</si>
  <si>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</si>
  <si>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</si>
  <si>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</si>
  <si>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</si>
  <si>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</si>
  <si>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</si>
  <si>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</si>
  <si>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</si>
  <si>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</si>
  <si>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</si>
  <si>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</si>
  <si>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</si>
  <si>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</si>
  <si>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</si>
  <si>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</si>
  <si>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</si>
  <si>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</si>
  <si>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</si>
  <si>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</si>
  <si>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</si>
  <si>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</si>
  <si>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</si>
  <si>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</si>
  <si>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</si>
  <si>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</si>
  <si>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</si>
  <si>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</si>
  <si>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</si>
  <si>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</si>
  <si>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</si>
  <si>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</si>
  <si>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</si>
  <si>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</si>
  <si>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</si>
  <si>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</si>
  <si>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</si>
  <si>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</si>
  <si>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</si>
  <si>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</si>
  <si>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</si>
  <si>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</si>
  <si>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</si>
  <si>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</si>
  <si>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</si>
  <si>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</si>
  <si>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</si>
  <si>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</si>
  <si>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</si>
  <si>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</si>
  <si>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</si>
  <si>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</si>
  <si>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</si>
  <si>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</si>
  <si>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</si>
  <si>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</si>
  <si>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</si>
  <si>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</si>
  <si>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</si>
  <si>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</si>
  <si>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</si>
  <si>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</si>
  <si>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</si>
  <si>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</si>
  <si>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</si>
  <si>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</si>
  <si>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</si>
  <si>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</si>
  <si>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</si>
  <si>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</si>
  <si>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</si>
  <si>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</si>
  <si>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</si>
  <si>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</si>
  <si>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</si>
  <si>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</si>
  <si>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</si>
  <si>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</si>
  <si>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</si>
  <si>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</si>
  <si>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</si>
  <si>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</si>
  <si>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</si>
  <si>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</si>
  <si>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</si>
  <si>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</si>
  <si>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</si>
  <si>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</si>
  <si>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</si>
  <si>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</si>
  <si>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</si>
  <si>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</si>
  <si>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</si>
  <si>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</si>
  <si>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</si>
  <si>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</si>
  <si>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</si>
  <si>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</si>
  <si>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</si>
  <si>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</si>
  <si>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</si>
  <si>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</si>
  <si>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</si>
  <si>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</si>
  <si>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</si>
  <si>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</si>
  <si>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</si>
  <si>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</si>
  <si>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</si>
  <si>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</si>
  <si>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</si>
  <si>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</si>
  <si>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</si>
  <si>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</si>
  <si>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</si>
  <si>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</si>
  <si>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</si>
  <si>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</si>
  <si>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</si>
  <si>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</si>
  <si>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</si>
  <si>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</si>
  <si>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</si>
  <si>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</si>
  <si>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</si>
  <si>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</si>
  <si>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</si>
  <si>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</si>
  <si>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</si>
  <si>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</si>
  <si>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</si>
  <si>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</si>
  <si>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</si>
  <si>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</si>
  <si>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</si>
  <si>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</si>
  <si>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</si>
  <si>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</si>
  <si>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</si>
  <si>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</si>
  <si>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</si>
  <si>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</si>
  <si>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</si>
  <si>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</si>
  <si>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</si>
  <si>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</si>
  <si>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</si>
  <si>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</si>
  <si>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</si>
  <si>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</si>
  <si>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</si>
  <si>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</si>
  <si>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</si>
  <si>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</si>
  <si>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</si>
  <si>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</si>
  <si>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</si>
  <si>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</si>
  <si>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</si>
  <si>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</si>
  <si>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</si>
  <si>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</si>
  <si>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</si>
  <si>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</si>
  <si>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</si>
  <si>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</si>
  <si>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</si>
  <si>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</si>
  <si>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</si>
  <si>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</si>
  <si>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</si>
  <si>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</si>
  <si>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</si>
  <si>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</si>
  <si>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</si>
  <si>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</si>
  <si>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</si>
  <si>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</si>
  <si>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</si>
  <si>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</si>
  <si>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</si>
  <si>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</si>
  <si>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</si>
  <si>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</si>
  <si>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</si>
  <si>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</si>
  <si>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</si>
  <si>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</si>
  <si>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</si>
  <si>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</si>
  <si>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</si>
  <si>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</si>
  <si>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</si>
  <si>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</si>
  <si>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</si>
  <si>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</si>
  <si>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</si>
  <si>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</si>
  <si>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</si>
  <si>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</si>
  <si>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</si>
  <si>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</si>
  <si>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</si>
  <si>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</si>
  <si>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</si>
  <si>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</si>
  <si>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</si>
  <si>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</si>
  <si>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</si>
  <si>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</si>
  <si>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</si>
  <si>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</si>
  <si>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</si>
  <si>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</si>
  <si>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</si>
  <si>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</si>
  <si>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</si>
  <si>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</si>
  <si>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</si>
  <si>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</si>
  <si>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</si>
  <si>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</si>
  <si>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</si>
  <si>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</si>
  <si>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</si>
  <si>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</si>
  <si>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</si>
  <si>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</si>
  <si>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</si>
  <si>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</si>
  <si>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</si>
  <si>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</si>
  <si>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</si>
  <si>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</si>
  <si>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</si>
  <si>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</si>
  <si>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</si>
  <si>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</si>
  <si>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</si>
  <si>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</si>
  <si>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</si>
  <si>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</si>
  <si>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</si>
  <si>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</si>
  <si>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</si>
  <si>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</si>
  <si>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</si>
  <si>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</si>
  <si>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</si>
  <si>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</si>
  <si>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</si>
  <si>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</si>
  <si>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</si>
  <si>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</si>
  <si>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</si>
  <si>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</si>
  <si>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</si>
  <si>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</si>
  <si>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</si>
  <si>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</si>
  <si>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</si>
  <si>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</si>
  <si>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</si>
  <si>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</si>
  <si>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</si>
  <si>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</si>
  <si>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</si>
  <si>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</si>
  <si>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</si>
  <si>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</si>
  <si>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</si>
  <si>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</si>
  <si>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</si>
  <si>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</si>
  <si>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</si>
  <si>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</si>
  <si>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</si>
  <si>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</si>
  <si>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</si>
  <si>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</si>
  <si>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</si>
  <si>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</si>
  <si>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</si>
  <si>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</si>
  <si>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</si>
  <si>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</si>
  <si>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</si>
  <si>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</si>
  <si>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</si>
  <si>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</si>
  <si>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</si>
  <si>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</si>
  <si>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</si>
  <si>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</si>
  <si>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</si>
  <si>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</si>
  <si>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</si>
  <si>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</si>
  <si>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</si>
  <si>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</si>
  <si>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</si>
  <si>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</si>
  <si>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</si>
  <si>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</si>
  <si>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</si>
  <si>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</si>
  <si>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</si>
  <si>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</si>
  <si>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</si>
  <si>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</si>
  <si>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</si>
  <si>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</si>
  <si>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</si>
  <si>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</si>
  <si>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</si>
  <si>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</si>
  <si>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</si>
  <si>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</si>
  <si>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</si>
  <si>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</si>
  <si>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</si>
  <si>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</si>
  <si>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</si>
  <si>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</si>
  <si>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</si>
  <si>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</si>
  <si>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</si>
  <si>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</si>
  <si>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</si>
  <si>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</si>
  <si>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</si>
  <si>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</si>
  <si>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</si>
  <si>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</si>
  <si>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</si>
  <si>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</si>
  <si>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</si>
  <si>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</si>
  <si>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</si>
  <si>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</si>
  <si>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</si>
  <si>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</si>
  <si>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</si>
  <si>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</si>
  <si>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</si>
  <si>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</si>
  <si>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</si>
  <si>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</si>
  <si>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</si>
  <si>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</si>
  <si>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</si>
  <si>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</si>
  <si>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</si>
  <si>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</si>
  <si>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</si>
  <si>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</si>
  <si>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</si>
  <si>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</si>
  <si>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</si>
  <si>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</si>
  <si>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</si>
  <si>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</si>
  <si>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</si>
  <si>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</si>
  <si>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</si>
  <si>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</si>
  <si>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</si>
  <si>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</si>
  <si>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</si>
  <si>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</si>
  <si>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</si>
  <si>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</si>
  <si>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</si>
  <si>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</si>
  <si>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</si>
  <si>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</si>
  <si>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</si>
  <si>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</si>
  <si>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</si>
  <si>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</si>
  <si>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</si>
  <si>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</si>
  <si>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</si>
  <si>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</si>
  <si>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</si>
  <si>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</si>
  <si>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</si>
  <si>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</si>
  <si>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</si>
  <si>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</si>
  <si>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</si>
  <si>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</si>
  <si>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</si>
  <si>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</si>
  <si>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</si>
  <si>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</si>
  <si>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</si>
  <si>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</si>
  <si>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</si>
  <si>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</si>
  <si>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</si>
  <si>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</si>
  <si>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</si>
  <si>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</si>
  <si>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</si>
  <si>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</si>
  <si>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</si>
  <si>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</si>
  <si>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</si>
  <si>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</si>
  <si>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</si>
  <si>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</si>
  <si>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</si>
  <si>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</si>
  <si>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</si>
  <si>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</si>
  <si>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</si>
  <si>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</si>
  <si>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</si>
  <si>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</si>
  <si>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</si>
  <si>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</si>
  <si>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</si>
  <si>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</si>
  <si>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</si>
  <si>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</si>
  <si>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</si>
  <si>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</si>
  <si>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</si>
  <si>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</si>
  <si>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</si>
  <si>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</si>
  <si>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</si>
  <si>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</si>
  <si>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</si>
  <si>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</si>
  <si>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</si>
  <si>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</si>
  <si>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</si>
  <si>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</si>
  <si>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</si>
  <si>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</si>
  <si>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</si>
  <si>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</si>
  <si>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</si>
  <si>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</si>
  <si>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</si>
  <si>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</si>
  <si>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</si>
  <si>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</si>
  <si>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</si>
  <si>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</si>
  <si>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</si>
  <si>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</si>
  <si>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</si>
  <si>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</si>
  <si>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</si>
  <si>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</si>
  <si>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</si>
  <si>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</si>
  <si>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</si>
  <si>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</si>
  <si>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</si>
  <si>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</si>
  <si>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</si>
  <si>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</si>
  <si>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</si>
  <si>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</si>
  <si>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</si>
  <si>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</si>
  <si>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</si>
  <si>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</si>
  <si>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</si>
  <si>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</si>
  <si>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</si>
  <si>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</si>
  <si>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</si>
  <si>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</si>
  <si>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</si>
  <si>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</si>
  <si>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</si>
  <si>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</si>
  <si>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</si>
  <si>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</si>
  <si>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</si>
  <si>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</si>
  <si>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</si>
  <si>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</si>
  <si>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</si>
  <si>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</si>
  <si>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</si>
  <si>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</si>
  <si>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</si>
  <si>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</si>
  <si>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</si>
  <si>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</si>
  <si>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</si>
  <si>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</si>
  <si>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</si>
  <si>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</si>
  <si>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</si>
  <si>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</si>
  <si>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</si>
  <si>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</si>
  <si>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</si>
  <si>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</si>
  <si>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</si>
  <si>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</si>
  <si>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</si>
  <si>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</si>
  <si>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</si>
  <si>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</si>
  <si>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</si>
  <si>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</si>
  <si>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</si>
  <si>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</si>
  <si>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</si>
  <si>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</si>
  <si>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</si>
  <si>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</si>
  <si>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</si>
  <si>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</si>
  <si>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</si>
  <si>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</si>
  <si>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</si>
  <si>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</si>
  <si>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</si>
  <si>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</si>
  <si>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</si>
  <si>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</si>
  <si>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</si>
  <si>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</si>
  <si>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</si>
  <si>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</si>
  <si>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</si>
  <si>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</si>
  <si>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</si>
  <si>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</si>
  <si>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</si>
  <si>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</si>
  <si>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</si>
  <si>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</si>
  <si>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</si>
  <si>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</si>
  <si>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</si>
  <si>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</si>
  <si>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</si>
  <si>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</si>
  <si>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</si>
  <si>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</si>
  <si>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</si>
  <si>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</si>
  <si>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</si>
  <si>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</si>
  <si>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</si>
  <si>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</si>
  <si>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</si>
  <si>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</si>
  <si>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</si>
  <si>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</si>
  <si>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</si>
  <si>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</si>
  <si>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</si>
  <si>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</si>
  <si>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</si>
  <si>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</si>
  <si>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</si>
  <si>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</si>
  <si>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</si>
  <si>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</si>
  <si>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</si>
  <si>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</si>
  <si>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</si>
  <si>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</si>
  <si>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</si>
  <si>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</si>
  <si>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</si>
  <si>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</si>
  <si>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</si>
  <si>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</si>
  <si>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</si>
  <si>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</si>
  <si>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</si>
  <si>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</si>
  <si>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</si>
  <si>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</si>
  <si>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</si>
  <si>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</si>
  <si>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</si>
  <si>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</si>
  <si>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</si>
  <si>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</si>
  <si>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</si>
  <si>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</si>
  <si>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</si>
  <si>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</si>
  <si>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</si>
  <si>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</si>
  <si>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</si>
  <si>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</si>
  <si>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</si>
  <si>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</si>
  <si>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</si>
  <si>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</si>
  <si>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</si>
  <si>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</si>
  <si>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</si>
  <si>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</si>
  <si>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</si>
  <si>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</si>
  <si>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</si>
  <si>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</si>
  <si>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</si>
  <si>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</si>
  <si>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</si>
  <si>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</si>
  <si>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</si>
  <si>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</si>
  <si>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</si>
  <si>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</si>
  <si>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</si>
  <si>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</si>
  <si>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</si>
  <si>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</si>
  <si>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</si>
  <si>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</si>
  <si>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</si>
  <si>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</si>
  <si>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</si>
  <si>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</si>
  <si>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</si>
  <si>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</si>
  <si>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</si>
  <si>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</si>
  <si>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</si>
  <si>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</si>
  <si>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</si>
  <si>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</si>
  <si>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</si>
  <si>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</si>
  <si>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</si>
  <si>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</si>
  <si>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</si>
  <si>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</si>
  <si>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</si>
  <si>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</si>
  <si>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</si>
  <si>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</si>
  <si>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</si>
  <si>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</si>
  <si>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</si>
  <si>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</si>
  <si>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</si>
  <si>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</si>
  <si>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</si>
  <si>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</si>
  <si>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</si>
  <si>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</si>
  <si>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</si>
  <si>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</si>
  <si>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</si>
  <si>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</si>
  <si>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</si>
  <si>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</si>
  <si>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</si>
  <si>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</si>
  <si>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</si>
  <si>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</si>
  <si>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</si>
  <si>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</si>
  <si>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</si>
  <si>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</si>
  <si>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</si>
  <si>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</si>
  <si>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</si>
  <si>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</si>
  <si>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</si>
  <si>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</si>
  <si>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</si>
  <si>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</si>
  <si>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</si>
  <si>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</si>
  <si>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</si>
  <si>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</si>
  <si>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</si>
  <si>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</si>
  <si>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</si>
  <si>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</si>
  <si>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</si>
  <si>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</si>
  <si>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</si>
  <si>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</si>
  <si>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</si>
  <si>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</si>
  <si>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</si>
  <si>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</si>
  <si>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</si>
  <si>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</si>
  <si>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</si>
  <si>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</si>
  <si>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</si>
  <si>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</si>
  <si>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</si>
  <si>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</si>
  <si>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</si>
  <si>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</si>
  <si>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</si>
  <si>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</si>
  <si>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</si>
  <si>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</si>
  <si>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</si>
  <si>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</si>
  <si>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</si>
  <si>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</si>
  <si>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</si>
  <si>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</si>
  <si>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</si>
  <si>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</si>
  <si>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</si>
  <si>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</si>
  <si>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</si>
  <si>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</si>
  <si>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</si>
  <si>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</si>
  <si>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</si>
  <si>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</si>
  <si>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</si>
  <si>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</si>
  <si>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</si>
  <si>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</si>
  <si>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</si>
  <si>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</si>
  <si>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</si>
  <si>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</si>
  <si>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</si>
  <si>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</si>
  <si>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</si>
  <si>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</si>
  <si>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</si>
  <si>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</si>
  <si>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</si>
  <si>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</si>
  <si>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</si>
  <si>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</si>
  <si>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</si>
  <si>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</si>
  <si>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</si>
  <si>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</si>
  <si>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</si>
  <si>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</si>
  <si>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</si>
  <si>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</si>
  <si>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</si>
  <si>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</si>
  <si>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</si>
  <si>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</si>
  <si>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</si>
  <si>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</si>
  <si>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</si>
  <si>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</si>
  <si>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</si>
  <si>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</si>
  <si>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</si>
  <si>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</si>
  <si>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</si>
  <si>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</si>
  <si>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</si>
  <si>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</si>
  <si>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</si>
  <si>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</si>
  <si>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</si>
  <si>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</si>
  <si>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</si>
  <si>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</si>
  <si>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</si>
  <si>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</si>
  <si>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</si>
  <si>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</si>
  <si>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</si>
  <si>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</si>
  <si>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</si>
  <si>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</si>
  <si>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</si>
  <si>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</si>
  <si>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</si>
  <si>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</si>
  <si>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</si>
  <si>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</si>
  <si>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</si>
  <si>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</si>
  <si>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</si>
  <si>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</si>
  <si>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</si>
  <si>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</si>
  <si>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</si>
  <si>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</si>
  <si>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</si>
  <si>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</si>
  <si>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</si>
  <si>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</si>
  <si>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</si>
  <si>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</si>
  <si>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</si>
  <si>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</si>
  <si>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</si>
  <si>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</si>
  <si>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</si>
  <si>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</si>
  <si>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</si>
  <si>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</si>
  <si>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</si>
  <si>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</si>
  <si>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</si>
  <si>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</si>
  <si>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</si>
  <si>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</si>
  <si>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</si>
  <si>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</si>
  <si>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</si>
  <si>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</si>
  <si>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</si>
  <si>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</si>
  <si>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</si>
  <si>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</si>
  <si>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</si>
  <si>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</si>
  <si>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</si>
  <si>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</si>
  <si>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</si>
  <si>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</si>
  <si>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</si>
  <si>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</si>
  <si>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</si>
  <si>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</si>
  <si>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</si>
  <si>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</si>
  <si>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</si>
  <si>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</si>
  <si>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</si>
  <si>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</si>
  <si>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</si>
  <si>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</si>
  <si>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</si>
  <si>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</si>
  <si>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</si>
  <si>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</si>
  <si>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</si>
  <si>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</si>
  <si>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</si>
  <si>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</si>
  <si>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</si>
  <si>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</si>
  <si>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</si>
  <si>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</si>
  <si>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</si>
  <si>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</si>
  <si>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</si>
  <si>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</si>
  <si>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</si>
  <si>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</si>
  <si>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</si>
  <si>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</si>
  <si>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</si>
  <si>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</si>
  <si>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</si>
  <si>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</si>
  <si>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</si>
  <si>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</si>
  <si>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</si>
  <si>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</si>
  <si>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</si>
  <si>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</si>
  <si>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</si>
  <si>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</si>
  <si>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</si>
  <si>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</si>
  <si>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</si>
  <si>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</si>
  <si>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</si>
  <si>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</si>
  <si>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</si>
  <si>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</si>
  <si>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</si>
  <si>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</si>
  <si>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</si>
  <si>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</si>
  <si>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</si>
  <si>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</si>
  <si>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</si>
  <si>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</si>
  <si>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</si>
  <si>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</si>
  <si>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</si>
  <si>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</si>
  <si>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</si>
  <si>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</si>
  <si>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</si>
  <si>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</si>
  <si>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</si>
  <si>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</si>
  <si>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</si>
  <si>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</si>
  <si>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</si>
  <si>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</si>
  <si>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</si>
  <si>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</si>
  <si>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</si>
  <si>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</si>
  <si>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</si>
  <si>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</si>
  <si>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</si>
  <si>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</si>
  <si>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</si>
  <si>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</si>
  <si>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</si>
  <si>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</si>
  <si>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</si>
  <si>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</si>
  <si>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</si>
  <si>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</si>
  <si>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</si>
  <si>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</si>
  <si>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</si>
  <si>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</si>
  <si>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</si>
  <si>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</si>
  <si>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</si>
  <si>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</si>
  <si>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</si>
  <si>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</si>
  <si>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</si>
  <si>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</si>
  <si>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</si>
  <si>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</si>
  <si>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</si>
  <si>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</si>
  <si>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</si>
  <si>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</si>
  <si>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</si>
  <si>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</si>
  <si>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</si>
  <si>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</si>
  <si>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</si>
  <si>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</si>
  <si>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</si>
  <si>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</si>
  <si>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</si>
  <si>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</si>
  <si>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</si>
  <si>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</si>
  <si>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</si>
  <si>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</si>
  <si>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</si>
  <si>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</si>
  <si>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</si>
  <si>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</si>
  <si>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</si>
  <si>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</si>
  <si>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</si>
  <si>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</si>
  <si>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</si>
  <si>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</si>
  <si>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</si>
  <si>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</si>
  <si>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</si>
  <si>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</si>
  <si>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</si>
  <si>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</si>
  <si>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</si>
  <si>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</si>
  <si>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</si>
  <si>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</si>
  <si>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</si>
  <si>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</si>
  <si>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</si>
  <si>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</si>
  <si>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</si>
  <si>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</si>
  <si>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</si>
  <si>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</si>
  <si>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</si>
  <si>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</si>
  <si>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</si>
  <si>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</si>
  <si>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</si>
  <si>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</si>
  <si>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</si>
  <si>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</si>
  <si>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</si>
  <si>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</si>
  <si>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</si>
  <si>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</si>
  <si>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</si>
  <si>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</si>
  <si>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</si>
  <si>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</si>
  <si>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</si>
  <si>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</si>
  <si>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</si>
  <si>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</si>
  <si>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</si>
  <si>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</si>
  <si>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</si>
  <si>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</si>
  <si>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</si>
  <si>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</si>
  <si>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</si>
  <si>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</si>
  <si>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</si>
  <si>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</si>
  <si>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</si>
  <si>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</si>
  <si>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</si>
  <si>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</si>
  <si>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</si>
  <si>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</si>
  <si>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</si>
  <si>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</si>
  <si>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</si>
  <si>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</si>
  <si>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</si>
  <si>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</si>
  <si>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</si>
  <si>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</si>
  <si>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</si>
  <si>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</si>
  <si>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</si>
  <si>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</si>
  <si>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</si>
  <si>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</si>
  <si>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</si>
  <si>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</si>
  <si>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</si>
  <si>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</si>
  <si>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</si>
  <si>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</si>
  <si>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</si>
  <si>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</si>
  <si>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</si>
  <si>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</si>
  <si>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</si>
  <si>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</si>
  <si>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</si>
  <si>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</si>
  <si>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</si>
  <si>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</si>
  <si>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</si>
  <si>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</si>
  <si>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</si>
  <si>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</si>
  <si>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</si>
  <si>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</si>
  <si>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</si>
  <si>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</si>
  <si>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</si>
  <si>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</si>
  <si>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</si>
  <si>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</si>
  <si>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</si>
  <si>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</si>
  <si>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</si>
  <si>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</si>
  <si>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</si>
  <si>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</si>
  <si>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</si>
  <si>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</si>
  <si>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</si>
  <si>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</si>
  <si>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</si>
  <si>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</si>
  <si>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</si>
  <si>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</si>
  <si>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</si>
  <si>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</si>
  <si>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</si>
  <si>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</si>
  <si>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</si>
  <si>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</si>
  <si>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</si>
  <si>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</si>
  <si>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</si>
  <si>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</si>
  <si>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</si>
  <si>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</si>
  <si>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</si>
  <si>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</si>
  <si>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</si>
  <si>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</si>
  <si>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</si>
  <si>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</si>
  <si>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</si>
  <si>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</si>
  <si>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</si>
  <si>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</si>
  <si>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</si>
  <si>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</si>
  <si>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</si>
  <si>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</si>
  <si>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</si>
  <si>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</si>
  <si>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</si>
  <si>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</si>
  <si>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</si>
  <si>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</si>
  <si>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</si>
  <si>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</si>
  <si>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</si>
  <si>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</si>
  <si>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</si>
  <si>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</si>
  <si>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</si>
  <si>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</si>
  <si>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</si>
  <si>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</si>
  <si>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</si>
  <si>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</si>
  <si>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</si>
  <si>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</si>
  <si>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</si>
  <si>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</si>
  <si>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</si>
  <si>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</si>
  <si>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</si>
  <si>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</si>
  <si>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</si>
  <si>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</si>
  <si>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</si>
  <si>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</si>
  <si>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</si>
  <si>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</si>
  <si>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</si>
  <si>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</si>
  <si>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</si>
  <si>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</si>
  <si>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</si>
  <si>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</si>
  <si>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</si>
  <si>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</si>
  <si>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</si>
  <si>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</si>
  <si>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</si>
  <si>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</si>
  <si>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</si>
  <si>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</si>
  <si>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</si>
  <si>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</si>
  <si>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</si>
  <si>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</si>
  <si>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</si>
  <si>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</si>
  <si>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</si>
  <si>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</si>
  <si>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</si>
  <si>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</si>
  <si>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</si>
  <si>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</si>
  <si>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</si>
  <si>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</si>
  <si>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</si>
  <si>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</si>
  <si>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</si>
  <si>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</si>
  <si>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</si>
  <si>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</si>
  <si>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</si>
  <si>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</si>
  <si>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</si>
  <si>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</si>
  <si>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</si>
  <si>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</si>
  <si>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</si>
  <si>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</si>
  <si>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</si>
  <si>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</si>
  <si>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</si>
  <si>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</si>
  <si>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</si>
  <si>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</si>
  <si>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</si>
  <si>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</si>
  <si>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</si>
  <si>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</si>
  <si>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</si>
  <si>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</si>
  <si>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</si>
  <si>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</si>
  <si>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</si>
  <si>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</si>
  <si>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</si>
  <si>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</si>
  <si>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</si>
  <si>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</si>
  <si>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</si>
  <si>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</si>
  <si>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</si>
  <si>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</si>
  <si>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</si>
  <si>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</si>
  <si>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</si>
  <si>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</si>
  <si>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</si>
  <si>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</si>
  <si>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</si>
  <si>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</si>
  <si>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</si>
  <si>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</si>
  <si>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</si>
  <si>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</si>
  <si>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</si>
  <si>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</si>
  <si>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</si>
  <si>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</si>
  <si>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</si>
  <si>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</si>
  <si>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</si>
  <si>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</si>
  <si>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</si>
  <si>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</si>
  <si>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</si>
  <si>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</si>
  <si>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</si>
  <si>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</si>
  <si>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</si>
  <si>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</si>
  <si>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</si>
  <si>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</si>
  <si>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</si>
  <si>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</si>
  <si>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</si>
  <si>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</si>
  <si>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</si>
  <si>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</si>
  <si>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</si>
  <si>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</si>
  <si>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</si>
  <si>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</si>
  <si>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</si>
  <si>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</si>
  <si>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</si>
  <si>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</si>
  <si>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</si>
  <si>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</si>
  <si>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</si>
  <si>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</si>
  <si>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</si>
  <si>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</si>
  <si>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</si>
  <si>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</si>
  <si>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</si>
  <si>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</si>
  <si>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</si>
  <si>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</si>
  <si>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</si>
  <si>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</si>
  <si>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</si>
  <si>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</si>
  <si>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</si>
  <si>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</si>
  <si>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</si>
  <si>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</si>
  <si>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</si>
  <si>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</si>
  <si>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</si>
  <si>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</si>
  <si>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</si>
  <si>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</si>
  <si>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</si>
  <si>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</si>
  <si>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</si>
  <si>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</si>
  <si>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</si>
  <si>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</si>
  <si>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</si>
  <si>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</si>
  <si>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</si>
  <si>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</si>
  <si>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</si>
  <si>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</si>
  <si>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</si>
  <si>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</si>
  <si>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</si>
  <si>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</si>
  <si>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</si>
  <si>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</si>
  <si>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</si>
  <si>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</si>
  <si>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</si>
  <si>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</si>
  <si>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</si>
  <si>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</si>
  <si>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</si>
  <si>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</si>
  <si>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</si>
  <si>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</si>
  <si>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</si>
  <si>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</si>
  <si>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</si>
  <si>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</si>
  <si>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</si>
  <si>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</si>
  <si>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</si>
  <si>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</si>
  <si>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</si>
  <si>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</si>
  <si>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</si>
  <si>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</si>
  <si>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</si>
  <si>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</si>
  <si>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</si>
  <si>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</si>
  <si>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</si>
  <si>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</si>
  <si>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</si>
  <si>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</si>
  <si>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</si>
  <si>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</si>
  <si>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</si>
  <si>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</si>
  <si>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</si>
  <si>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</si>
  <si>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</si>
  <si>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</si>
  <si>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</si>
  <si>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</si>
  <si>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</si>
  <si>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</si>
  <si>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</si>
  <si>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</si>
  <si>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</si>
  <si>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</si>
  <si>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</si>
  <si>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</si>
  <si>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</si>
  <si>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</si>
  <si>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</si>
  <si>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</si>
  <si>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</si>
  <si>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</si>
  <si>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</si>
  <si>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</si>
  <si>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</si>
  <si>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</si>
  <si>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</si>
  <si>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</si>
  <si>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</si>
  <si>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</si>
  <si>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</si>
  <si>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</si>
  <si>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</si>
  <si>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</si>
  <si>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</si>
  <si>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</si>
  <si>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</si>
  <si>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</si>
  <si>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</si>
  <si>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</si>
  <si>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</si>
  <si>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</si>
  <si>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</si>
  <si>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</si>
  <si>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</si>
  <si>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</si>
  <si>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</si>
  <si>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</si>
  <si>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</si>
  <si>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</si>
  <si>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</si>
  <si>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</si>
  <si>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</si>
  <si>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</si>
  <si>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</si>
  <si>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</si>
  <si>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</si>
  <si>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</si>
  <si>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</si>
  <si>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</si>
  <si>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</si>
  <si>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</si>
  <si>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</si>
  <si>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</si>
  <si>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</si>
  <si>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</si>
  <si>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</si>
  <si>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</si>
  <si>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</si>
  <si>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</si>
  <si>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</si>
  <si>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</si>
  <si>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</si>
  <si>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</si>
  <si>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</si>
  <si>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</si>
  <si>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</si>
  <si>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</si>
  <si>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</si>
  <si>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</si>
  <si>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</si>
  <si>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</si>
  <si>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</si>
  <si>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</si>
  <si>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</si>
  <si>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</si>
  <si>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</si>
  <si>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</si>
  <si>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</si>
  <si>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</si>
  <si>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</si>
  <si>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</si>
  <si>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</si>
  <si>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</si>
  <si>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</si>
  <si>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</si>
  <si>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</si>
  <si>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</si>
  <si>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</si>
  <si>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</si>
  <si>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</si>
  <si>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</si>
  <si>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</si>
  <si>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</si>
  <si>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</si>
  <si>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</si>
  <si>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</si>
  <si>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</si>
  <si>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</si>
  <si>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</si>
  <si>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</si>
  <si>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</si>
  <si>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</si>
  <si>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</si>
  <si>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</si>
  <si>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</si>
  <si>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</si>
  <si>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</si>
  <si>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</si>
  <si>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</si>
  <si>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</si>
  <si>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</si>
  <si>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</si>
  <si>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</si>
  <si>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</si>
  <si>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</si>
  <si>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</si>
  <si>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</si>
  <si>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</si>
  <si>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</si>
  <si>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</si>
  <si>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</si>
  <si>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</si>
  <si>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</si>
  <si>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</si>
  <si>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</si>
  <si>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</si>
  <si>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</si>
  <si>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</si>
  <si>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</si>
  <si>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</si>
  <si>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</si>
  <si>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</si>
  <si>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</si>
  <si>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</si>
  <si>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</si>
  <si>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</si>
  <si>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</si>
  <si>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</si>
  <si>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</si>
  <si>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</si>
  <si>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</si>
  <si>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</si>
  <si>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</si>
  <si>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</si>
  <si>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</si>
  <si>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</si>
  <si>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</si>
  <si>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</si>
  <si>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</si>
  <si>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</si>
  <si>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</si>
  <si>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</si>
  <si>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</si>
  <si>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</si>
  <si>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</si>
  <si>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</si>
  <si>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</si>
  <si>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</si>
  <si>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</si>
  <si>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</si>
  <si>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</si>
  <si>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</si>
  <si>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</si>
  <si>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</si>
  <si>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</si>
  <si>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</si>
  <si>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</si>
  <si>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</si>
  <si>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</si>
  <si>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</si>
  <si>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</si>
  <si>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</si>
  <si>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</si>
  <si>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</si>
  <si>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</si>
  <si>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</si>
  <si>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</si>
  <si>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</si>
  <si>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</si>
  <si>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</si>
  <si>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</si>
  <si>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</si>
  <si>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</si>
  <si>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</si>
  <si>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</si>
  <si>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</si>
  <si>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</si>
  <si>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</si>
  <si>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</si>
  <si>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</si>
  <si>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</si>
  <si>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</si>
  <si>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</si>
  <si>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</si>
  <si>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</si>
  <si>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</si>
  <si>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</si>
  <si>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</si>
  <si>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</si>
  <si>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</si>
  <si>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</si>
  <si>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</si>
  <si>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</si>
  <si>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</si>
  <si>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</si>
  <si>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</si>
  <si>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</si>
  <si>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</si>
  <si>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</si>
  <si>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</si>
  <si>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</si>
  <si>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</si>
  <si>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</si>
  <si>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</si>
  <si>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</si>
  <si>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</si>
  <si>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</si>
  <si>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</si>
  <si>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</si>
  <si>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</si>
  <si>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</si>
  <si>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</si>
  <si>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</si>
  <si>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</si>
  <si>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</si>
  <si>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</si>
  <si>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</si>
  <si>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</si>
  <si>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</si>
  <si>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</si>
  <si>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</si>
  <si>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</si>
  <si>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</si>
  <si>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</si>
  <si>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</si>
  <si>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</si>
  <si>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</si>
  <si>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</si>
  <si>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</si>
  <si>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</si>
  <si>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</si>
  <si>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</si>
  <si>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</si>
  <si>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</si>
  <si>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</si>
  <si>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</si>
  <si>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</si>
  <si>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</si>
  <si>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</si>
  <si>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</si>
  <si>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</si>
  <si>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</si>
  <si>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</si>
  <si>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</si>
  <si>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</si>
  <si>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</si>
  <si>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</si>
  <si>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</si>
  <si>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</si>
  <si>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</si>
  <si>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</si>
  <si>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</si>
  <si>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</si>
  <si>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</si>
  <si>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</si>
  <si>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</si>
  <si>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</si>
  <si>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</si>
  <si>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</si>
  <si>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</si>
  <si>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</si>
  <si>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</si>
  <si>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</si>
  <si>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</si>
  <si>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</si>
  <si>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</si>
  <si>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</si>
  <si>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</si>
  <si>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</si>
  <si>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</si>
  <si>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</si>
  <si>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</si>
  <si>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</si>
  <si>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</si>
  <si>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</si>
  <si>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</si>
  <si>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</si>
  <si>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</si>
  <si>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</si>
  <si>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</si>
  <si>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</si>
  <si>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</si>
  <si>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</si>
  <si>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</si>
  <si>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</si>
  <si>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</si>
  <si>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</si>
  <si>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</si>
  <si>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</si>
  <si>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</si>
  <si>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</si>
  <si>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</si>
  <si>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</si>
  <si>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</si>
  <si>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</si>
  <si>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</si>
  <si>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</si>
  <si>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</si>
  <si>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</si>
  <si>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</si>
  <si>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</si>
  <si>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</si>
  <si>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</si>
  <si>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</si>
  <si>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</si>
  <si>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</si>
  <si>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</si>
  <si>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</si>
  <si>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</si>
  <si>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</si>
  <si>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</si>
  <si>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</si>
  <si>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</si>
  <si>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</si>
  <si>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</si>
  <si>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</si>
  <si>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</si>
  <si>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</si>
  <si>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</si>
  <si>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</si>
  <si>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</si>
  <si>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</si>
  <si>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</si>
  <si>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</si>
  <si>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</si>
  <si>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</si>
  <si>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</si>
  <si>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</si>
  <si>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</si>
  <si>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</si>
  <si>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</si>
  <si>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</si>
  <si>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</si>
  <si>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</si>
  <si>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</si>
  <si>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</si>
  <si>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</si>
  <si>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</si>
  <si>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</si>
  <si>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</si>
  <si>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</si>
  <si>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</si>
  <si>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</si>
  <si>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</si>
  <si>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</si>
  <si>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</si>
  <si>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</si>
  <si>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</si>
  <si>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</si>
  <si>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</si>
  <si>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</si>
  <si>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</si>
  <si>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</si>
  <si>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</si>
  <si>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</si>
  <si>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</si>
  <si>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</si>
  <si>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</si>
  <si>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</si>
  <si>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</si>
  <si>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</si>
  <si>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</si>
  <si>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</si>
  <si>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</si>
  <si>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</si>
  <si>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</si>
  <si>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</si>
  <si>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</si>
  <si>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</si>
  <si>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</si>
  <si>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</si>
  <si>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</si>
  <si>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</si>
  <si>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</si>
  <si>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</si>
  <si>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</si>
  <si>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</si>
  <si>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</si>
  <si>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</si>
  <si>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</si>
  <si>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</si>
  <si>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</si>
  <si>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</si>
  <si>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</si>
  <si>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</si>
  <si>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</si>
  <si>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</si>
  <si>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</si>
  <si>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</si>
  <si>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</si>
  <si>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</si>
  <si>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</si>
  <si>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</si>
  <si>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</si>
  <si>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</si>
  <si>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</si>
  <si>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</si>
  <si>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</si>
  <si>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</si>
  <si>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</si>
  <si>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</si>
  <si>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</si>
  <si>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</si>
  <si>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</si>
  <si>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</si>
  <si>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</si>
  <si>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</si>
  <si>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</si>
  <si>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</si>
  <si>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</si>
  <si>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</si>
  <si>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</si>
  <si>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</si>
  <si>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</si>
  <si>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</si>
  <si>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</si>
  <si>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</si>
  <si>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</si>
  <si>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</si>
  <si>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</si>
  <si>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</si>
  <si>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</si>
  <si>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</si>
  <si>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</si>
  <si>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</si>
  <si>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</si>
  <si>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</si>
  <si>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</si>
  <si>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</si>
  <si>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</si>
  <si>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</si>
  <si>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</si>
  <si>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</si>
  <si>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</si>
  <si>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</si>
  <si>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</si>
  <si>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</si>
  <si>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</si>
  <si>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</si>
  <si>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</si>
  <si>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</si>
  <si>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</si>
  <si>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</si>
  <si>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</si>
  <si>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</si>
  <si>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</si>
  <si>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</si>
  <si>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</si>
  <si>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</si>
  <si>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</si>
  <si>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</si>
  <si>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</si>
  <si>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</si>
  <si>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</si>
  <si>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</si>
  <si>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</si>
  <si>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</si>
  <si>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</si>
  <si>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</si>
  <si>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</si>
  <si>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</si>
  <si>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</si>
  <si>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</si>
  <si>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</si>
  <si>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</si>
  <si>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</si>
  <si>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</si>
  <si>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</si>
  <si>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</si>
  <si>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</si>
  <si>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</si>
  <si>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</si>
  <si>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</si>
  <si>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</si>
  <si>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</si>
  <si>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</si>
  <si>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</si>
  <si>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</si>
  <si>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</si>
  <si>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</si>
  <si>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</si>
  <si>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</si>
  <si>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</si>
  <si>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</si>
  <si>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</si>
  <si>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</si>
  <si>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</si>
  <si>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</si>
  <si>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</si>
  <si>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</si>
  <si>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</si>
  <si>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</si>
  <si>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</si>
  <si>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</si>
  <si>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</si>
  <si>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</si>
  <si>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</si>
  <si>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</si>
  <si>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</si>
  <si>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</si>
  <si>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</si>
  <si>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</si>
  <si>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</si>
  <si>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</si>
  <si>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</si>
  <si>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</si>
  <si>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</si>
  <si>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</si>
  <si>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</si>
  <si>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</si>
  <si>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</si>
  <si>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</si>
  <si>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</si>
  <si>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</si>
  <si>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</si>
  <si>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</si>
  <si>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</si>
  <si>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</si>
  <si>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</si>
  <si>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</si>
  <si>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</si>
  <si>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</si>
  <si>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</si>
  <si>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</si>
  <si>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</si>
  <si>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</si>
  <si>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</si>
  <si>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</si>
  <si>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</si>
  <si>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</si>
  <si>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</si>
  <si>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</si>
  <si>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</si>
  <si>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</si>
  <si>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</si>
  <si>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</si>
  <si>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</si>
  <si>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</si>
  <si>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</si>
  <si>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</si>
  <si>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</si>
  <si>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</si>
  <si>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</si>
  <si>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</si>
  <si>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</si>
  <si>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</si>
  <si>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</si>
  <si>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</si>
  <si>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</si>
  <si>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</si>
  <si>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</si>
  <si>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</si>
  <si>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</si>
  <si>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</si>
  <si>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</si>
  <si>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</si>
  <si>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</si>
  <si>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</si>
  <si>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</si>
  <si>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</si>
  <si>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</si>
  <si>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</si>
  <si>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</si>
  <si>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</si>
  <si>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</si>
  <si>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</si>
  <si>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</si>
  <si>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</si>
  <si>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</si>
  <si>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</si>
  <si>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</si>
  <si>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</si>
  <si>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</si>
  <si>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</si>
  <si>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</si>
  <si>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</si>
  <si>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</si>
  <si>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</si>
  <si>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</si>
  <si>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</si>
  <si>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</si>
  <si>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</si>
  <si>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</si>
  <si>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</si>
  <si>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</si>
  <si>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</si>
  <si>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</si>
  <si>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</si>
  <si>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</si>
  <si>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</si>
  <si>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</si>
  <si>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</si>
  <si>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</si>
  <si>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</si>
  <si>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</si>
  <si>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</si>
  <si>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</si>
  <si>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</si>
  <si>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</si>
  <si>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</si>
  <si>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</si>
  <si>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</si>
  <si>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</si>
  <si>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</si>
  <si>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</si>
  <si>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</si>
  <si>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</si>
  <si>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</si>
  <si>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</si>
  <si>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</si>
  <si>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</si>
  <si>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</si>
  <si>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</si>
  <si>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</si>
  <si>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</si>
  <si>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</si>
  <si>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</si>
  <si>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</si>
  <si>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</si>
  <si>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</si>
  <si>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</si>
  <si>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</si>
  <si>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</si>
  <si>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</si>
  <si>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</si>
  <si>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</si>
  <si>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</si>
  <si>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</si>
  <si>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</si>
  <si>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</si>
  <si>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</si>
  <si>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</si>
  <si>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</si>
  <si>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</si>
  <si>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</si>
  <si>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</si>
  <si>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</si>
  <si>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</si>
  <si>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</si>
  <si>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</si>
  <si>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</si>
  <si>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</si>
  <si>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</si>
  <si>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</si>
  <si>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</si>
  <si>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</si>
  <si>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</si>
  <si>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</si>
  <si>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</si>
  <si>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</si>
  <si>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</si>
  <si>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</si>
  <si>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</si>
  <si>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</si>
  <si>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</si>
  <si>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</si>
  <si>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</si>
  <si>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</si>
  <si>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</si>
  <si>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</si>
  <si>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</si>
  <si>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</si>
  <si>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</si>
  <si>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</si>
  <si>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</si>
  <si>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</si>
  <si>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</si>
  <si>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</si>
  <si>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</si>
  <si>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</si>
  <si>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</si>
  <si>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</si>
  <si>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</si>
  <si>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</si>
  <si>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</si>
  <si>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</si>
  <si>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</si>
  <si>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</si>
  <si>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</si>
  <si>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</si>
  <si>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</si>
  <si>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</si>
  <si>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</si>
  <si>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</si>
  <si>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</si>
  <si>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</si>
  <si>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</si>
  <si>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</si>
  <si>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</si>
  <si>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</si>
  <si>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</si>
  <si>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</si>
  <si>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</si>
  <si>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</si>
  <si>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</si>
  <si>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</si>
  <si>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</si>
  <si>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</si>
  <si>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</si>
  <si>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</si>
  <si>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</si>
  <si>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</si>
  <si>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</si>
  <si>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</si>
  <si>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</si>
  <si>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</si>
  <si>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</si>
  <si>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</si>
  <si>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</si>
  <si>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</si>
  <si>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</si>
  <si>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</si>
  <si>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</si>
  <si>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</si>
  <si>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</si>
  <si>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</si>
  <si>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</si>
  <si>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</si>
  <si>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</si>
  <si>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</si>
  <si>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</si>
  <si>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</si>
  <si>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</si>
  <si>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</si>
  <si>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</si>
  <si>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</si>
  <si>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</si>
  <si>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</si>
  <si>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</si>
  <si>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</si>
  <si>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</si>
  <si>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</si>
  <si>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</si>
  <si>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</si>
  <si>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</si>
  <si>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</si>
  <si>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</si>
  <si>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</si>
  <si>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</si>
  <si>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</si>
  <si>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</si>
  <si>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</si>
  <si>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</si>
  <si>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</si>
  <si>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</si>
  <si>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</si>
  <si>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</si>
  <si>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</si>
  <si>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</si>
  <si>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</si>
  <si>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</si>
  <si>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</si>
  <si>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</si>
  <si>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</si>
  <si>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</si>
  <si>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</si>
  <si>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</si>
  <si>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</si>
  <si>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</si>
  <si>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</si>
  <si>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</si>
  <si>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</si>
  <si>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</si>
  <si>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</si>
  <si>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</si>
  <si>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</si>
  <si>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</si>
  <si>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</si>
  <si>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</si>
  <si>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</si>
  <si>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</si>
  <si>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</si>
  <si>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</si>
  <si>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</si>
  <si>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</si>
  <si>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</si>
  <si>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</si>
  <si>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</si>
  <si>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</si>
  <si>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</si>
  <si>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</si>
  <si>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</si>
  <si>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</si>
  <si>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</si>
  <si>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</si>
  <si>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</si>
  <si>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</si>
  <si>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</si>
  <si>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</si>
  <si>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</si>
  <si>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</si>
  <si>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</si>
  <si>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</si>
  <si>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</si>
  <si>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</si>
  <si>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</si>
  <si>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</si>
  <si>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</si>
  <si>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</si>
  <si>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</si>
  <si>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</si>
  <si>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</si>
  <si>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</si>
  <si>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</si>
  <si>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</si>
  <si>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</si>
  <si>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</si>
  <si>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</si>
  <si>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</si>
  <si>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</si>
  <si>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</si>
  <si>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</si>
  <si>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</si>
  <si>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</si>
  <si>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</si>
  <si>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</si>
  <si>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</si>
  <si>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</si>
  <si>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</si>
  <si>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</si>
  <si>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</si>
  <si>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</si>
  <si>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</si>
  <si>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</si>
  <si>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</si>
  <si>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</si>
  <si>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</si>
  <si>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</si>
  <si>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</si>
  <si>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</si>
  <si>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</si>
  <si>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</si>
  <si>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</si>
  <si>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</si>
  <si>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</si>
  <si>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</si>
  <si>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</si>
  <si>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</si>
  <si>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</si>
  <si>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</si>
  <si>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</si>
  <si>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</si>
  <si>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</si>
  <si>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</si>
  <si>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</si>
  <si>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</si>
  <si>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</si>
  <si>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</si>
  <si>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</si>
  <si>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</si>
  <si>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</si>
  <si>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</si>
  <si>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</si>
  <si>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</si>
  <si>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</si>
  <si>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</si>
  <si>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</si>
  <si>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</si>
  <si>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</si>
  <si>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</si>
  <si>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</si>
  <si>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</si>
  <si>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</si>
  <si>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</si>
  <si>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</si>
  <si>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</si>
  <si>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</si>
  <si>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</si>
  <si>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</si>
  <si>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</si>
  <si>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</si>
  <si>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</si>
  <si>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</si>
  <si>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</si>
  <si>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</si>
  <si>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</si>
  <si>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</si>
  <si>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</si>
  <si>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</si>
  <si>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</si>
  <si>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</si>
  <si>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</si>
  <si>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</si>
  <si>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</si>
  <si>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</si>
  <si>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</si>
  <si>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</si>
  <si>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</si>
  <si>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</si>
  <si>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</si>
  <si>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</si>
  <si>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</si>
  <si>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</si>
  <si>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</si>
  <si>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</si>
  <si>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</si>
  <si>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</si>
  <si>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</si>
  <si>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</si>
  <si>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</si>
  <si>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</si>
  <si>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</si>
  <si>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</si>
  <si>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</si>
  <si>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</si>
  <si>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</si>
  <si>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</si>
  <si>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</si>
  <si>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</si>
  <si>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</si>
  <si>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</si>
  <si>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</si>
  <si>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</si>
  <si>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</si>
  <si>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</si>
  <si>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</si>
  <si>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</si>
  <si>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</si>
  <si>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</si>
  <si>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</si>
  <si>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</si>
  <si>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</si>
  <si>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</si>
  <si>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</si>
  <si>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</si>
  <si>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</si>
  <si>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</si>
  <si>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</si>
  <si>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</si>
  <si>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</si>
  <si>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</si>
  <si>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</si>
  <si>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</si>
  <si>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</si>
  <si>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</si>
  <si>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</si>
  <si>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</si>
  <si>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</si>
  <si>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</si>
  <si>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</si>
  <si>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</si>
  <si>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</si>
  <si>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</si>
  <si>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</si>
  <si>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</si>
  <si>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</si>
  <si>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</si>
  <si>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</si>
  <si>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</si>
  <si>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</si>
  <si>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</si>
  <si>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</si>
  <si>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</si>
  <si>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</si>
  <si>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</si>
  <si>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</si>
  <si>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</si>
  <si>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</si>
  <si>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</si>
  <si>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</si>
  <si>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</si>
  <si>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</si>
  <si>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</si>
  <si>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</si>
  <si>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</si>
  <si>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</si>
  <si>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</si>
  <si>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</si>
  <si>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</si>
  <si>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</si>
  <si>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</si>
  <si>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</si>
  <si>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</si>
  <si>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</si>
  <si>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</si>
  <si>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</si>
  <si>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</si>
  <si>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</si>
  <si>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</si>
  <si>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</si>
  <si>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</si>
  <si>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</si>
  <si>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</si>
  <si>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</si>
  <si>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</si>
  <si>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</si>
  <si>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</si>
  <si>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</si>
  <si>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</si>
  <si>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</si>
  <si>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</si>
  <si>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</si>
  <si>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</si>
  <si>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</si>
  <si>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</si>
  <si>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</si>
  <si>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</si>
  <si>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</si>
  <si>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</si>
  <si>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</si>
  <si>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</si>
  <si>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</si>
  <si>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</si>
  <si>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</si>
  <si>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</si>
  <si>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</si>
  <si>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</si>
  <si>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</si>
  <si>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</si>
  <si>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</si>
  <si>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</si>
  <si>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</si>
  <si>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</si>
  <si>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</si>
  <si>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</si>
  <si>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</si>
  <si>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</si>
  <si>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</si>
  <si>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</si>
  <si>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</si>
  <si>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</si>
  <si>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</si>
  <si>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</si>
  <si>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</si>
  <si>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</si>
  <si>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</si>
  <si>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</si>
  <si>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</si>
  <si>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</si>
  <si>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</si>
  <si>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</si>
  <si>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</si>
  <si>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</si>
  <si>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</si>
  <si>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</si>
  <si>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</si>
  <si>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</si>
  <si>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</si>
  <si>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</si>
  <si>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</si>
  <si>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</si>
  <si>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</si>
  <si>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</si>
  <si>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</si>
  <si>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</si>
  <si>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</si>
  <si>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</si>
  <si>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</si>
  <si>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</si>
  <si>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</si>
  <si>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</si>
  <si>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</si>
  <si>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</si>
  <si>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</si>
  <si>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</si>
  <si>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</si>
  <si>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</si>
  <si>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</si>
  <si>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</si>
  <si>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</si>
  <si>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</si>
  <si>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</si>
  <si>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</si>
  <si>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</si>
  <si>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</si>
  <si>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</si>
  <si>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</si>
  <si>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</si>
  <si>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</si>
  <si>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</si>
  <si>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</si>
  <si>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</si>
  <si>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</si>
  <si>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</si>
  <si>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</si>
  <si>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</si>
  <si>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</si>
  <si>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</si>
  <si>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</si>
  <si>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</si>
  <si>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</si>
  <si>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</si>
  <si>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</si>
  <si>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</si>
  <si>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</si>
  <si>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</si>
  <si>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</si>
  <si>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</si>
  <si>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</si>
  <si>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</si>
  <si>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</si>
  <si>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</si>
  <si>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</si>
  <si>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</si>
  <si>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</si>
  <si>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</si>
  <si>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</si>
  <si>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</si>
  <si>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</si>
  <si>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</si>
  <si>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</si>
  <si>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</si>
  <si>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</si>
  <si>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</si>
  <si>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</si>
  <si>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</si>
  <si>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</si>
  <si>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</si>
  <si>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</si>
  <si>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</si>
  <si>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</si>
  <si>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</si>
  <si>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</si>
  <si>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</si>
  <si>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</si>
  <si>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</si>
  <si>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</si>
  <si>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</si>
  <si>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</si>
  <si>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</si>
  <si>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</si>
  <si>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</si>
  <si>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</si>
  <si>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</si>
  <si>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</si>
  <si>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</si>
  <si>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</si>
  <si>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</si>
  <si>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</si>
  <si>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</si>
  <si>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</si>
  <si>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</si>
  <si>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</si>
  <si>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</si>
  <si>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</si>
  <si>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</si>
  <si>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</si>
  <si>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</si>
  <si>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</si>
  <si>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</si>
  <si>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</si>
  <si>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</si>
  <si>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</si>
  <si>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</si>
  <si>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</si>
  <si>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</si>
  <si>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</si>
  <si>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</si>
  <si>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</si>
  <si>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</si>
  <si>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</si>
  <si>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</si>
  <si>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</si>
  <si>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</si>
  <si>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</si>
  <si>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</si>
  <si>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</si>
  <si>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</si>
  <si>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</si>
  <si>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</si>
  <si>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</si>
  <si>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</si>
  <si>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</si>
  <si>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</si>
  <si>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</si>
  <si>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</si>
  <si>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</si>
  <si>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</si>
  <si>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</si>
  <si>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</si>
  <si>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</si>
  <si>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</si>
  <si>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</si>
  <si>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</si>
  <si>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</si>
  <si>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</si>
  <si>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</si>
  <si>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</si>
  <si>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</si>
  <si>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</si>
  <si>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</si>
  <si>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</si>
  <si>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</si>
  <si>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</si>
  <si>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</si>
  <si>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</si>
  <si>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</si>
  <si>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</si>
  <si>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</si>
  <si>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</si>
  <si>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</si>
  <si>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</si>
  <si>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</si>
  <si>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</si>
  <si>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</si>
  <si>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</si>
  <si>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</si>
  <si>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</si>
  <si>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</si>
  <si>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</si>
  <si>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</si>
  <si>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</si>
  <si>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</si>
  <si>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</si>
  <si>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</si>
  <si>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</si>
  <si>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</si>
  <si>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</si>
  <si>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</si>
  <si>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</si>
  <si>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</si>
  <si>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</si>
  <si>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</si>
  <si>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</si>
  <si>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</si>
  <si>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</si>
  <si>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</si>
  <si>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</si>
  <si>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</si>
  <si>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</si>
  <si>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</si>
  <si>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</si>
  <si>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</si>
  <si>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</si>
  <si>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</si>
  <si>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</si>
  <si>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</si>
  <si>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</si>
  <si>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</si>
  <si>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</si>
  <si>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</si>
  <si>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</si>
  <si>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</si>
  <si>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</si>
  <si>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</si>
  <si>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</si>
  <si>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</si>
  <si>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</si>
  <si>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</si>
  <si>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</si>
  <si>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</si>
  <si>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</si>
  <si>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</si>
  <si>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</si>
  <si>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</si>
  <si>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</si>
  <si>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</si>
  <si>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</si>
  <si>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</si>
  <si>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</si>
  <si>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</si>
  <si>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</si>
  <si>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</si>
  <si>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</si>
  <si>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</si>
  <si>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</si>
  <si>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</si>
  <si>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</si>
  <si>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</si>
  <si>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</si>
  <si>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</si>
  <si>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</si>
  <si>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</si>
  <si>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</si>
  <si>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</si>
  <si>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</si>
  <si>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</si>
  <si>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</si>
  <si>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</si>
  <si>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</si>
  <si>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</si>
  <si>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</si>
  <si>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</si>
  <si>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</si>
  <si>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</si>
  <si>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</si>
  <si>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</si>
  <si>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</si>
  <si>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</si>
  <si>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</si>
  <si>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</si>
  <si>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</si>
  <si>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</si>
  <si>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</si>
  <si>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</si>
  <si>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</si>
  <si>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</si>
  <si>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</si>
  <si>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</si>
  <si>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</si>
  <si>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</si>
  <si>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</si>
  <si>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</si>
  <si>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</si>
  <si>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</si>
  <si>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</si>
  <si>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</si>
  <si>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</si>
  <si>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</si>
  <si>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</si>
  <si>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</si>
  <si>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</si>
  <si>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</si>
  <si>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</si>
  <si>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</si>
  <si>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</si>
  <si>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</si>
  <si>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</si>
  <si>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</si>
  <si>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</si>
  <si>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</si>
  <si>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</si>
  <si>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</si>
  <si>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</si>
  <si>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</si>
  <si>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</si>
  <si>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</si>
  <si>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</si>
  <si>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</si>
  <si>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</si>
  <si>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</si>
  <si>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</si>
  <si>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</si>
  <si>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</si>
  <si>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</si>
  <si>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</si>
  <si>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</si>
  <si>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</si>
  <si>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</si>
  <si>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</si>
  <si>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</si>
  <si>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</si>
  <si>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</si>
  <si>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</si>
  <si>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</si>
  <si>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</si>
  <si>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</si>
  <si>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</si>
  <si>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</si>
  <si>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</si>
  <si>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</si>
  <si>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</si>
  <si>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</si>
  <si>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</si>
  <si>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</si>
  <si>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</si>
  <si>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</si>
  <si>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</si>
  <si>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</si>
  <si>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</si>
  <si>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</si>
  <si>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</si>
  <si>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</si>
  <si>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</si>
  <si>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</si>
  <si>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</si>
  <si>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</si>
  <si>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</si>
  <si>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</si>
  <si>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</si>
  <si>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</si>
  <si>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</si>
  <si>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</si>
  <si>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</si>
  <si>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</si>
  <si>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</si>
  <si>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</si>
  <si>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</si>
  <si>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</si>
  <si>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</si>
  <si>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</si>
  <si>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</si>
  <si>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</si>
  <si>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</si>
  <si>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</si>
  <si>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</si>
  <si>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</si>
  <si>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</si>
  <si>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</si>
  <si>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</si>
  <si>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</si>
  <si>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</si>
  <si>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</si>
  <si>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</si>
  <si>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</si>
  <si>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</si>
  <si>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</si>
  <si>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</si>
  <si>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</si>
  <si>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</si>
  <si>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</si>
  <si>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</si>
  <si>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</si>
  <si>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</si>
  <si>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</si>
  <si>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</si>
  <si>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</si>
  <si>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</si>
  <si>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</si>
  <si>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</si>
  <si>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</si>
  <si>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</si>
  <si>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</si>
  <si>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</si>
  <si>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</si>
  <si>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</si>
  <si>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</si>
  <si>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</si>
  <si>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</si>
  <si>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</si>
  <si>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</si>
  <si>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</si>
  <si>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</si>
  <si>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</si>
  <si>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</si>
  <si>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</si>
  <si>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</si>
  <si>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</si>
  <si>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</si>
  <si>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</si>
  <si>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</si>
  <si>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</si>
  <si>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</si>
  <si>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</si>
  <si>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</si>
  <si>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</si>
  <si>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</si>
  <si>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</si>
  <si>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</si>
  <si>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</si>
  <si>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</si>
  <si>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</si>
  <si>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</si>
  <si>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</si>
  <si>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</si>
  <si>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</si>
  <si>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</si>
  <si>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</si>
  <si>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</si>
  <si>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</si>
  <si>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</si>
  <si>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</si>
  <si>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</si>
  <si>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</si>
  <si>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</si>
  <si>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</si>
  <si>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</si>
  <si>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</si>
  <si>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</si>
  <si>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</si>
  <si>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</si>
  <si>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</si>
  <si>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</si>
  <si>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</si>
  <si>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</si>
  <si>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</si>
  <si>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</si>
  <si>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</si>
  <si>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</si>
  <si>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</si>
  <si>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</si>
  <si>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</si>
  <si>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</si>
  <si>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</si>
  <si>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</si>
  <si>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</si>
  <si>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</si>
  <si>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</si>
  <si>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</si>
  <si>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</si>
  <si>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</si>
  <si>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</si>
  <si>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</si>
  <si>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</si>
  <si>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</si>
  <si>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</si>
  <si>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</si>
  <si>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</si>
  <si>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</si>
  <si>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</si>
  <si>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</si>
  <si>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</si>
  <si>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</si>
  <si>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</si>
  <si>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</si>
  <si>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</si>
  <si>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</si>
  <si>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</si>
  <si>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</si>
  <si>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</si>
  <si>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</si>
  <si>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</si>
  <si>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</si>
  <si>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</si>
  <si>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</si>
  <si>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</si>
  <si>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</si>
  <si>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</si>
  <si>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</si>
  <si>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</si>
  <si>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</si>
  <si>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</si>
  <si>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</si>
  <si>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</si>
  <si>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</si>
  <si>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</si>
  <si>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</si>
  <si>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</si>
  <si>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</si>
  <si>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</si>
  <si>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</si>
  <si>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</si>
  <si>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</si>
  <si>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</si>
  <si>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</si>
  <si>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</si>
  <si>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</si>
  <si>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</si>
  <si>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</si>
  <si>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</si>
  <si>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</si>
  <si>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</si>
  <si>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</si>
  <si>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</si>
  <si>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</si>
  <si>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</si>
  <si>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</si>
  <si>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</si>
  <si>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</si>
  <si>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</si>
  <si>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</si>
  <si>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</si>
  <si>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</si>
  <si>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</si>
  <si>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</si>
  <si>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</si>
  <si>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</si>
  <si>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</si>
  <si>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</si>
  <si>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</si>
  <si>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</si>
  <si>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</si>
  <si>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</si>
  <si>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</si>
  <si>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</si>
  <si>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</si>
  <si>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</si>
  <si>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</si>
  <si>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</si>
  <si>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</si>
  <si>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</si>
  <si>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</si>
  <si>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</si>
  <si>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</si>
  <si>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</si>
  <si>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</si>
  <si>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</si>
  <si>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</si>
  <si>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</si>
  <si>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</si>
  <si>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</si>
  <si>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</si>
  <si>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</si>
  <si>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</si>
  <si>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</si>
  <si>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</si>
  <si>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</si>
  <si>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</si>
  <si>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</si>
  <si>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</si>
  <si>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</si>
  <si>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</si>
  <si>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</si>
  <si>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</si>
  <si>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</si>
  <si>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</si>
  <si>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</si>
  <si>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</si>
  <si>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</si>
  <si>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</si>
  <si>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</si>
  <si>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</si>
  <si>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</si>
  <si>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</si>
  <si>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</si>
  <si>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</si>
  <si>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</si>
  <si>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</si>
  <si>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</si>
  <si>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</si>
  <si>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</si>
  <si>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</si>
  <si>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</si>
  <si>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</si>
  <si>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</si>
  <si>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</si>
  <si>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</si>
  <si>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</si>
  <si>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</si>
  <si>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</si>
  <si>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</si>
  <si>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</si>
  <si>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</si>
  <si>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</si>
  <si>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</si>
  <si>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</si>
  <si>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</si>
  <si>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</si>
  <si>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</si>
  <si>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</si>
  <si>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</si>
  <si>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</si>
  <si>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</si>
  <si>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</si>
  <si>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</si>
  <si>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</si>
  <si>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</si>
  <si>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</si>
  <si>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</si>
  <si>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</si>
  <si>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</si>
  <si>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</si>
  <si>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</si>
  <si>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</si>
  <si>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</si>
  <si>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</si>
  <si>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</si>
  <si>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</si>
  <si>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</si>
  <si>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</si>
  <si>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</si>
  <si>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</si>
  <si>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</si>
  <si>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</si>
  <si>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</si>
  <si>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</si>
  <si>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</si>
  <si>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</si>
  <si>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</si>
  <si>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</si>
  <si>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</si>
  <si>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</si>
  <si>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</si>
  <si>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</si>
  <si>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</si>
  <si>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</si>
  <si>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</si>
  <si>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</si>
  <si>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</si>
  <si>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</si>
  <si>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</si>
  <si>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</si>
  <si>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</si>
  <si>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</si>
  <si>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</si>
  <si>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</si>
  <si>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</si>
  <si>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</si>
  <si>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</si>
  <si>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</si>
  <si>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</si>
  <si>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</si>
  <si>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</si>
  <si>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</si>
  <si>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</si>
  <si>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</si>
  <si>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</si>
  <si>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</si>
  <si>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</si>
  <si>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</si>
  <si>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</si>
  <si>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</si>
  <si>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</si>
  <si>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</si>
  <si>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</si>
  <si>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</si>
  <si>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</si>
  <si>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</si>
  <si>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</si>
  <si>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</si>
  <si>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</si>
  <si>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</si>
  <si>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</si>
  <si>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</si>
  <si>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</si>
  <si>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</si>
  <si>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</si>
  <si>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</si>
  <si>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</si>
  <si>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</si>
  <si>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</si>
  <si>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</si>
  <si>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</si>
  <si>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</si>
  <si>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</si>
  <si>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</si>
  <si>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</si>
  <si>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</si>
  <si>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</si>
  <si>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</si>
  <si>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</si>
  <si>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</si>
  <si>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</si>
  <si>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</si>
  <si>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</si>
  <si>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</si>
  <si>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</si>
  <si>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</si>
  <si>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</si>
  <si>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</si>
  <si>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</si>
  <si>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</si>
  <si>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</si>
  <si>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</si>
  <si>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</si>
  <si>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</si>
  <si>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</si>
  <si>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</si>
  <si>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</si>
  <si>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</si>
  <si>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</si>
  <si>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</si>
  <si>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</si>
  <si>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</si>
  <si>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</si>
  <si>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</si>
  <si>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</si>
  <si>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</si>
  <si>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</si>
  <si>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</si>
  <si>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</si>
  <si>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</si>
  <si>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</si>
  <si>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</si>
  <si>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</si>
  <si>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</si>
  <si>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</si>
  <si>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</si>
  <si>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</si>
  <si>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</si>
  <si>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</si>
  <si>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</si>
  <si>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</si>
  <si>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</si>
  <si>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</si>
  <si>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</si>
  <si>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</si>
  <si>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</si>
  <si>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</si>
  <si>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</si>
  <si>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</si>
  <si>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</si>
  <si>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</si>
  <si>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</si>
  <si>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</si>
  <si>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</si>
  <si>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</si>
  <si>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</si>
  <si>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</si>
  <si>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</si>
  <si>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</si>
  <si>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</si>
  <si>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</si>
  <si>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</si>
  <si>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</si>
  <si>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</si>
  <si>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</si>
  <si>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</si>
  <si>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</si>
  <si>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</si>
  <si>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</si>
  <si>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</si>
  <si>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</si>
  <si>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</si>
  <si>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</si>
  <si>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</si>
  <si>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</si>
  <si>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</si>
  <si>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</si>
  <si>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</si>
  <si>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</si>
  <si>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</si>
  <si>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</si>
  <si>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</si>
  <si>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</si>
  <si>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</si>
  <si>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</si>
  <si>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</si>
  <si>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</si>
  <si>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</si>
  <si>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</si>
  <si>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</si>
  <si>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</si>
  <si>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</si>
  <si>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</si>
  <si>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</si>
  <si>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</si>
  <si>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</si>
  <si>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</si>
  <si>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</si>
  <si>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</si>
  <si>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</si>
  <si>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</si>
  <si>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</si>
  <si>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Gain "if X or all bosses were beaten without getting hit, Gain a [chest reward]"</t>
  </si>
  <si>
    <t>goal "{X} or all bosses were beaten without getting hit" -&gt; gain_chest reward {X}</t>
  </si>
  <si>
    <t>Gains "and you must beat X or all bosses without getting hit"</t>
  </si>
  <si>
    <t>clause "you must beat {X} or all bosses without getting hit"</t>
  </si>
  <si>
    <t>Gain "If the difficulty is increased X times or as much as possible, Gain a [chest reward] and 1 Bash"</t>
  </si>
  <si>
    <t>goal "the difficulty is increased {X} [time|times] or as much as possible" -&gt; gain_chest reward {X}; gain_stat bash 1</t>
  </si>
  <si>
    <t>Gains "and the difficulty must be increased X times or as much as possible"</t>
  </si>
  <si>
    <t>clause "the difficulty must be increased {X} [time|times] or as much as possible"</t>
  </si>
  <si>
    <t>Gain +1 Max Health and +1 Loot</t>
  </si>
  <si>
    <t>System 1</t>
  </si>
  <si>
    <t>Subsystem 1</t>
  </si>
  <si>
    <t>System 2</t>
  </si>
  <si>
    <t>Subsystem 2</t>
  </si>
  <si>
    <t>System 3</t>
  </si>
  <si>
    <t>Subsystem 3</t>
  </si>
  <si>
    <t>Item</t>
  </si>
  <si>
    <t>Temporary Shield</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</si>
  <si>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</si>
  <si>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</si>
  <si>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</si>
  <si>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</si>
  <si>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</si>
  <si>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</si>
  <si>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</si>
  <si>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</si>
  <si>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</si>
  <si>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</si>
  <si>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</si>
  <si>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</si>
  <si>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</si>
  <si>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</si>
  <si>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</si>
  <si>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</si>
  <si>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</si>
  <si>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</si>
  <si>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</si>
  <si>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</si>
  <si>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</si>
  <si>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</si>
  <si>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</si>
  <si>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</si>
  <si>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</si>
  <si>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</si>
  <si>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</si>
  <si>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</si>
  <si>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</si>
  <si>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</si>
  <si>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</si>
  <si>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</si>
  <si>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</si>
  <si>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</si>
  <si>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</si>
  <si>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</si>
  <si>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</si>
  <si>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</si>
  <si>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</si>
  <si>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</si>
  <si>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</si>
  <si>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</si>
  <si>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</si>
  <si>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</si>
  <si>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</si>
  <si>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</si>
  <si>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</si>
  <si>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</si>
  <si>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</si>
  <si>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</si>
  <si>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</si>
  <si>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</si>
  <si>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</si>
  <si>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</si>
  <si>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</si>
  <si>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</si>
  <si>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</si>
  <si>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</si>
  <si>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</si>
  <si>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</si>
  <si>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</si>
  <si>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</si>
  <si>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</si>
  <si>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</si>
  <si>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</si>
  <si>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</si>
  <si>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</si>
  <si>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</si>
  <si>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</si>
  <si>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</si>
  <si>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</si>
  <si>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</si>
  <si>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</si>
  <si>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</si>
  <si>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Good Direction</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</si>
  <si>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</si>
  <si>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</si>
  <si>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</si>
  <si>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</si>
  <si>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</si>
  <si>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</si>
  <si>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</si>
  <si>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</si>
  <si>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</si>
  <si>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</si>
  <si>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</si>
  <si>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</si>
  <si>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</si>
  <si>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</si>
  <si>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</si>
  <si>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</si>
  <si>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</si>
  <si>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Enemy Damage Taken</t>
  </si>
  <si>
    <t>Dir 1</t>
  </si>
  <si>
    <t>Dir 2</t>
  </si>
  <si>
    <t>Dir 3</t>
  </si>
  <si>
    <t>Groups</t>
  </si>
  <si>
    <t>Loot Copy</t>
  </si>
  <si>
    <t>Collectables</t>
  </si>
  <si>
    <t>Items</t>
  </si>
  <si>
    <t>Loot Amount</t>
  </si>
  <si>
    <t>Goals</t>
  </si>
  <si>
    <t>Event: Arcade, Loot: XIV - Temperance</t>
  </si>
  <si>
    <t>Object Use</t>
  </si>
  <si>
    <t>Arcade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</si>
  <si>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</si>
  <si>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</si>
  <si>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</si>
  <si>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</si>
  <si>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</si>
  <si>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</si>
  <si>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</si>
  <si>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</si>
  <si>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</si>
  <si>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</si>
  <si>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</si>
  <si>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</si>
  <si>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</si>
  <si>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</si>
  <si>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</si>
  <si>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</si>
  <si>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</si>
  <si>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</si>
  <si>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</si>
  <si>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</si>
  <si>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</si>
  <si>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</si>
  <si>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</si>
  <si>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</si>
  <si>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</si>
  <si>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</si>
  <si>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</si>
  <si>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</si>
  <si>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</si>
  <si>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</si>
  <si>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</si>
  <si>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Gain "You must not heal intentionally or take 3 Damage"</t>
  </si>
  <si>
    <t>Gain "You must beat a game twice in a row to set it as Completed. This lasts for X turns."</t>
  </si>
  <si>
    <t>Gain "and if you beat the game twice in a row, Gain a [chest reward]"</t>
  </si>
  <si>
    <t>Gain " and if you didn't intentionally heal, Gain a [chest reward]"</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</si>
  <si>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</si>
  <si>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</si>
  <si>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</si>
  <si>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</si>
  <si>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</si>
  <si>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</si>
  <si>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</si>
  <si>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</si>
  <si>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</si>
  <si>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</si>
  <si>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</si>
  <si>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</si>
  <si>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</si>
  <si>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</si>
  <si>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</si>
  <si>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Apply +3 Burn to any Enemy on target Tile and apply the Fire Tile to this Tile</t>
  </si>
  <si>
    <t>Spawn 1 Random Enemy to the Board</t>
  </si>
  <si>
    <t>Wand of Create Monster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</si>
</sst>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12</c:v>
                </c:pt>
                <c:pt idx="39">
                  <c:v>19</c:v>
                </c:pt>
                <c:pt idx="40">
                  <c:v>16</c:v>
                </c:pt>
                <c:pt idx="41">
                  <c:v>25</c:v>
                </c:pt>
                <c:pt idx="42">
                  <c:v>42</c:v>
                </c:pt>
                <c:pt idx="43">
                  <c:v>37</c:v>
                </c:pt>
                <c:pt idx="44">
                  <c:v>54</c:v>
                </c:pt>
                <c:pt idx="45">
                  <c:v>73</c:v>
                </c:pt>
                <c:pt idx="46">
                  <c:v>54</c:v>
                </c:pt>
                <c:pt idx="47">
                  <c:v>67</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199</c:v>
                </c:pt>
                <c:pt idx="2">
                  <c:v>119</c:v>
                </c:pt>
                <c:pt idx="3">
                  <c:v>66</c:v>
                </c:pt>
                <c:pt idx="4">
                  <c:v>25</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235</c:v>
                </c:pt>
                <c:pt idx="1">
                  <c:v>92</c:v>
                </c:pt>
                <c:pt idx="2">
                  <c:v>92</c:v>
                </c:pt>
                <c:pt idx="3">
                  <c:v>104</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4" totalsRowShown="0">
  <autoFilter ref="A1:J54" xr:uid="{00000000-0009-0000-0100-000004000000}"/>
  <sortState xmlns:xlrd2="http://schemas.microsoft.com/office/spreadsheetml/2017/richdata2" ref="A2:J56">
    <sortCondition ref="A45:A5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1" totalsRowShown="0">
  <autoFilter ref="A1:L51" xr:uid="{00000000-0009-0000-0100-000005000000}"/>
  <sortState xmlns:xlrd2="http://schemas.microsoft.com/office/spreadsheetml/2017/richdata2" ref="A2:L51">
    <sortCondition ref="B2:B51"/>
    <sortCondition ref="C2:C51"/>
    <sortCondition ref="A2:A51"/>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29" totalsRowShown="0">
  <autoFilter ref="A1:E29" xr:uid="{B3B4986F-86F2-4597-8B56-C34EAD028576}"/>
  <sortState xmlns:xlrd2="http://schemas.microsoft.com/office/spreadsheetml/2017/richdata2" ref="A2:E28">
    <sortCondition ref="A20:A28"/>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sortState xmlns:xlrd2="http://schemas.microsoft.com/office/spreadsheetml/2017/richdata2" ref="A2:AK12">
    <sortCondition ref="A9:A12"/>
  </sortState>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4" totalsRowShown="0">
  <autoFilter ref="A1:F14" xr:uid="{4B2D17DB-B773-4722-B212-4474DB6E4080}"/>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B00-000001000000}" name="Name"/>
    <tableColumn id="2" xr3:uid="{00000000-0010-0000-0B00-000002000000}" name="Preference"/>
    <tableColumn id="3" xr3:uid="{00000000-0010-0000-0B00-000003000000}" name="Description"/>
    <tableColumn id="4" xr3:uid="{00000000-0010-0000-0B00-000004000000}" name="Effect"/>
    <tableColumn id="5" xr3:uid="{00000000-0010-0000-0B00-000005000000}" name="Horse Description"/>
    <tableColumn id="6" xr3:uid="{00000000-0010-0000-0B00-000006000000}" name="Horse Effect"/>
    <tableColumn id="7" xr3:uid="{00000000-0010-0000-0B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5" totalsRowShown="0">
  <autoFilter ref="A1:I5" xr:uid="{516DD2D2-D2D6-406C-90FD-446DB475286A}"/>
  <tableColumns count="9">
    <tableColumn id="1" xr3:uid="{9D633514-A5FF-4C3D-B6F5-D411D7AECA30}" name="Name"/>
    <tableColumn id="4" xr3:uid="{03FE4BF9-AEC4-41AC-9BD6-05E5DF472E73}" name="Rarity"/>
    <tableColumn id="2" xr3:uid="{A3C47153-A71C-4131-A0B2-9D62F9DD2F34}" name="Game"/>
    <tableColumn id="3" xr3:uid="{9810B957-0B20-4C14-9140-A782C44BD3C4}" name="Preference"/>
    <tableColumn id="10" xr3:uid="{DBF4211A-D8BC-48A0-B2B3-557CCE1230FC}" name="Type"/>
    <tableColumn id="5" xr3:uid="{3A661958-6E59-4D23-A6D5-9865100B4296}" name="Charges"/>
    <tableColumn id="6" xr3:uid="{264144C4-942B-40BA-B5F7-9257B62A38A2}" name="Description"/>
    <tableColumn id="7" xr3:uid="{411CF1A5-6BAD-4AC7-9814-640BD1B12DB5}" name="Effect"/>
    <tableColumn id="8" xr3:uid="{84D9670D-59FD-425D-8C7A-E887C1716C4A}"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0F00-000001000000}" name="Name"/>
    <tableColumn id="2" xr3:uid="{00000000-0010-0000-0F00-000002000000}" name="Description"/>
    <tableColumn id="3" xr3:uid="{00000000-0010-0000-0F00-000003000000}" name="Effect"/>
    <tableColumn id="4" xr3:uid="{00000000-0010-0000-0F00-000004000000}" name="Interactions"/>
    <tableColumn id="5" xr3:uid="{00000000-0010-0000-0F00-000005000000}" name="Decay"/>
    <tableColumn id="6" xr3:uid="{00000000-0010-0000-0F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O59" totalsRowShown="0">
  <autoFilter ref="A1:O59" xr:uid="{1488E5C4-2A91-4674-9CD8-0B77B8CFB172}"/>
  <tableColumns count="15">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T14:T19" totalsRowShown="0">
  <autoFilter ref="T14:T19"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Q1:R37" totalsRowShown="0">
  <autoFilter ref="Q1:R37" xr:uid="{122B7FB3-A60E-4060-AB70-515C5FBF11F9}"/>
  <sortState xmlns:xlrd2="http://schemas.microsoft.com/office/spreadsheetml/2017/richdata2" ref="Q2:R15">
    <sortCondition ref="Q5:Q15"/>
  </sortState>
  <tableColumns count="2">
    <tableColumn id="1" xr3:uid="{82E001BE-3818-493B-9B38-AEB69348528B}" name="Subsystem"/>
    <tableColumn id="2" xr3:uid="{811ADC91-8965-4D46-BB94-DA81884CD06D}" name="Good Directio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T10:T12" totalsRowShown="0">
  <autoFilter ref="T10:T12"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T3:T8" totalsRowShown="0">
  <autoFilter ref="T3:T8"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46" Type="http://schemas.openxmlformats.org/officeDocument/2006/relationships/hyperlink" Target="https://store.steampowered.com/app/365900/Pixel_Dungeon/"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table" Target="../tables/table1.xm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www.reddit.com/r/shmups/comments/y3uhl5/i_just_released_my_game_icewall_an_action/"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www.roguebasin.com/index.php/Cth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www.youtube.com/watch?v=dfLSGkKC2u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www.reddit.com/r/Games/comments/196wldd/swarm_grinder_last_bite_games_a_roguelite_game/"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254" Type="http://schemas.openxmlformats.org/officeDocument/2006/relationships/hyperlink" Target="https://en.wikipedia.org/wiki/Slay_the_Spire" TargetMode="External"/><Relationship Id="rId657" Type="http://schemas.openxmlformats.org/officeDocument/2006/relationships/hyperlink" Target="https://x.com/kagaya_wqy/status/1152559201945677825"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296" Type="http://schemas.openxmlformats.org/officeDocument/2006/relationships/hyperlink" Target="https://www.thegamer.com/teenage-mutant-ninja-turtles-tmnt-splintered-fate-leads-talk-idw-inspirations-2025-dlc-and-the-comparisons-to-hades/"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x.com/imgame_official/status/1925464077654249724" TargetMode="External"/><Relationship Id="rId559" Type="http://schemas.openxmlformats.org/officeDocument/2006/relationships/hyperlink" Target="https://indiegraph.wordpress.com/2013/12/11/interview-with-the-creator-of-baron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363" Type="http://schemas.openxmlformats.org/officeDocument/2006/relationships/hyperlink" Target="https://youtu.be/VGMszILvj78" TargetMode="External"/><Relationship Id="rId419" Type="http://schemas.openxmlformats.org/officeDocument/2006/relationships/hyperlink" Target="https://roguebasin.com/index.php?title=Wayward" TargetMode="External"/><Relationship Id="rId570" Type="http://schemas.openxmlformats.org/officeDocument/2006/relationships/hyperlink" Target="https://wesleyjkurtz.wixsite.com/orangedrop/post/mana-spark-kishimoto-studios-indie-devs-behemutt-an-in-depth-interview" TargetMode="External"/><Relationship Id="rId626" Type="http://schemas.openxmlformats.org/officeDocument/2006/relationships/hyperlink" Target="https://www.reddit.com/r/Spore/comments/1uz4aye/just_released_my_game_pathogenic_its_basically/"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xuanmingzhou.com/blog/glyphica-a-solo-dev-retrospective/"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80.lv/articles/making-hack-and-slash-action-rpg-voin-as-solo-developer"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indie-games.eu/hell-maiden-touhou-meets-vampire-survivors-interview/"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scousegamer88.com/2021/03/31/astral-ascent-hibernian-workshop-interview/"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www.polygon.com/ball-x-pit-review/"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news/app/2934220/view/698764742929416235?l=english"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Pern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youtu.be/HyhYA69y62c"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16odn6/star_survivor_prologue_spaceowl_games_scifi/"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rogueliker.com/vellum-inspirations/"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steamcommunity.com/app/3088070/discussions/0/562532756309055685/"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store.epicgames.com/news/terratech-legion-interview-russ-clark-car-building-freedom-bullet-heaven?lang=hi"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www.reddit.com/r/IndieGaming/comments/1dnw8jb/been_working_on_an_experimental_survivorslik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tonemadison.com/articles/whisker-squadron-survivor-takes-aim-at-its-pain-points/"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store.steampowered.com/app/2218400/Greedland/"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reddit.com/r/playmygame/comments/sqb852/our_spellcasting_roguelike_abandoned_archive_no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VGMszILvj78"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store.steampowered.com/app/2479320/Pesticide_Not_Required/"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basin.com/index.php/ZMAngband"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youtube.com/watch?v=mGVNTEOoBXc"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www.reddit.com/r/DestroyMyGame/comments/119wet3/looking_for_feedback_on_this_vs_inspired/"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5"/>
  <sheetViews>
    <sheetView topLeftCell="A126" zoomScaleNormal="100" workbookViewId="0">
      <selection activeCell="D125" sqref="D12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0</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c r="H106" t="s">
        <v>187</v>
      </c>
      <c r="I106" t="s">
        <v>7532</v>
      </c>
    </row>
    <row r="107" spans="1:10" ht="15" customHeight="1" x14ac:dyDescent="0.25">
      <c r="A107" t="s">
        <v>536</v>
      </c>
      <c r="B107">
        <v>2013</v>
      </c>
      <c r="C107" t="s">
        <v>179</v>
      </c>
      <c r="D107" t="b">
        <f>TRUE()</f>
        <v>1</v>
      </c>
      <c r="E107" t="b">
        <f>COUNTIF(connections!A:A, A107) &gt; 0</f>
        <v>1</v>
      </c>
      <c r="F107" t="s">
        <v>458</v>
      </c>
      <c r="G107" t="s">
        <v>537</v>
      </c>
      <c r="H107" t="s">
        <v>187</v>
      </c>
      <c r="I107" t="s">
        <v>7533</v>
      </c>
    </row>
    <row r="108" spans="1:10" ht="15" customHeight="1" x14ac:dyDescent="0.25">
      <c r="A108" t="s">
        <v>538</v>
      </c>
      <c r="B108">
        <v>2025</v>
      </c>
      <c r="C108" t="s">
        <v>179</v>
      </c>
      <c r="D108" t="b">
        <f>TRUE()</f>
        <v>1</v>
      </c>
      <c r="E108" t="b">
        <f>COUNTIF(connections!A:A, A108) &gt; 0</f>
        <v>0</v>
      </c>
      <c r="F108" t="s">
        <v>458</v>
      </c>
      <c r="G108" t="s">
        <v>539</v>
      </c>
      <c r="H108" t="s">
        <v>187</v>
      </c>
      <c r="I108" t="s">
        <v>7534</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633</v>
      </c>
      <c r="B137">
        <v>2025</v>
      </c>
      <c r="C137" t="s">
        <v>182</v>
      </c>
      <c r="D137" t="b">
        <f>TRUE()</f>
        <v>1</v>
      </c>
      <c r="E137" t="b">
        <f>COUNTIF(connections!A:A, A137) &gt; 0</f>
        <v>0</v>
      </c>
      <c r="G137" t="s">
        <v>634</v>
      </c>
    </row>
    <row r="138" spans="1:10" ht="15" customHeight="1" x14ac:dyDescent="0.25">
      <c r="A138" t="s">
        <v>635</v>
      </c>
      <c r="B138">
        <v>2022</v>
      </c>
      <c r="C138" t="s">
        <v>176</v>
      </c>
      <c r="D138" t="b">
        <f>TRUE()</f>
        <v>1</v>
      </c>
      <c r="E138" t="b">
        <f>COUNTIF(connections!A:A, A138) &gt; 0</f>
        <v>0</v>
      </c>
      <c r="G138" t="s">
        <v>636</v>
      </c>
      <c r="H138" t="s">
        <v>187</v>
      </c>
      <c r="I138" t="s">
        <v>637</v>
      </c>
      <c r="J138" s="1" t="s">
        <v>638</v>
      </c>
    </row>
    <row r="139" spans="1:10" ht="15" customHeight="1" x14ac:dyDescent="0.25">
      <c r="A139" t="s">
        <v>639</v>
      </c>
      <c r="B139">
        <v>2015</v>
      </c>
      <c r="C139" t="s">
        <v>222</v>
      </c>
      <c r="D139" t="b">
        <f>TRUE()</f>
        <v>1</v>
      </c>
      <c r="E139" t="b">
        <f>COUNTIF(connections!A:A, A139) &gt; 0</f>
        <v>0</v>
      </c>
      <c r="G139" t="s">
        <v>640</v>
      </c>
      <c r="H139" t="s">
        <v>187</v>
      </c>
      <c r="I139" t="s">
        <v>641</v>
      </c>
      <c r="J139" s="1" t="s">
        <v>642</v>
      </c>
    </row>
    <row r="140" spans="1:10" ht="15" customHeight="1" x14ac:dyDescent="0.25">
      <c r="A140" t="s">
        <v>643</v>
      </c>
      <c r="B140">
        <v>2020</v>
      </c>
      <c r="C140" t="s">
        <v>222</v>
      </c>
      <c r="D140" t="b">
        <f>TRUE()</f>
        <v>1</v>
      </c>
      <c r="E140" t="b">
        <f>COUNTIF(connections!A:A, A140) &gt; 0</f>
        <v>1</v>
      </c>
      <c r="F140" t="s">
        <v>404</v>
      </c>
      <c r="G140" t="s">
        <v>644</v>
      </c>
      <c r="H140" t="s">
        <v>187</v>
      </c>
      <c r="I140" t="s">
        <v>645</v>
      </c>
      <c r="J140" s="1" t="s">
        <v>646</v>
      </c>
    </row>
    <row r="141" spans="1:10" ht="15" customHeight="1" x14ac:dyDescent="0.25">
      <c r="A141" t="s">
        <v>647</v>
      </c>
      <c r="B141">
        <v>2023</v>
      </c>
      <c r="C141" t="s">
        <v>176</v>
      </c>
      <c r="D141" t="b">
        <f>TRUE()</f>
        <v>1</v>
      </c>
      <c r="E141" t="b">
        <f>COUNTIF(connections!A:A, A141) &gt; 0</f>
        <v>0</v>
      </c>
      <c r="G141" t="s">
        <v>648</v>
      </c>
      <c r="H141" t="s">
        <v>187</v>
      </c>
      <c r="I141" t="s">
        <v>649</v>
      </c>
      <c r="J141" s="1" t="s">
        <v>650</v>
      </c>
    </row>
    <row r="142" spans="1:10" ht="15" customHeight="1" x14ac:dyDescent="0.25">
      <c r="A142" t="s">
        <v>651</v>
      </c>
      <c r="B142">
        <v>2023</v>
      </c>
      <c r="C142" t="s">
        <v>176</v>
      </c>
      <c r="D142" t="b">
        <f>TRUE()</f>
        <v>1</v>
      </c>
      <c r="E142" t="b">
        <f>COUNTIF(connections!A:A, A142) &gt; 0</f>
        <v>1</v>
      </c>
      <c r="F142" t="s">
        <v>652</v>
      </c>
      <c r="G142" t="s">
        <v>653</v>
      </c>
      <c r="H142" t="s">
        <v>187</v>
      </c>
      <c r="I142" t="s">
        <v>654</v>
      </c>
      <c r="J142" s="1" t="s">
        <v>655</v>
      </c>
    </row>
    <row r="143" spans="1:10" ht="15" customHeight="1" x14ac:dyDescent="0.25">
      <c r="A143" t="s">
        <v>656</v>
      </c>
      <c r="B143">
        <v>2025</v>
      </c>
      <c r="C143" t="s">
        <v>179</v>
      </c>
      <c r="D143" t="b">
        <f>TRUE()</f>
        <v>1</v>
      </c>
      <c r="E143" t="b">
        <f>COUNTIF(connections!A:A, A143) &gt; 0</f>
        <v>0</v>
      </c>
      <c r="G143" t="s">
        <v>657</v>
      </c>
      <c r="H143" t="s">
        <v>187</v>
      </c>
      <c r="I143" t="s">
        <v>658</v>
      </c>
    </row>
    <row r="144" spans="1:10" ht="15" customHeight="1" x14ac:dyDescent="0.25">
      <c r="A144" t="s">
        <v>659</v>
      </c>
      <c r="B144">
        <v>2023</v>
      </c>
      <c r="C144" t="s">
        <v>176</v>
      </c>
      <c r="D144" t="b">
        <f>TRUE()</f>
        <v>1</v>
      </c>
      <c r="E144" t="b">
        <f>COUNTIF(connections!A:A, A144) &gt; 0</f>
        <v>0</v>
      </c>
      <c r="G144" t="s">
        <v>660</v>
      </c>
      <c r="H144" t="s">
        <v>187</v>
      </c>
      <c r="I144" t="s">
        <v>661</v>
      </c>
      <c r="J144" s="1" t="s">
        <v>662</v>
      </c>
    </row>
    <row r="145" spans="1:10" ht="15" customHeight="1" x14ac:dyDescent="0.25">
      <c r="A145" t="s">
        <v>663</v>
      </c>
      <c r="B145">
        <v>2017</v>
      </c>
      <c r="C145" t="s">
        <v>176</v>
      </c>
      <c r="D145" t="b">
        <f>FALSE()</f>
        <v>0</v>
      </c>
      <c r="E145" t="b">
        <f>COUNTIF(connections!A:A, A145) &gt; 0</f>
        <v>0</v>
      </c>
      <c r="G145" t="s">
        <v>664</v>
      </c>
      <c r="H145" t="s">
        <v>187</v>
      </c>
      <c r="I145" t="s">
        <v>665</v>
      </c>
      <c r="J145" s="1" t="s">
        <v>666</v>
      </c>
    </row>
    <row r="146" spans="1:10" ht="15" customHeight="1" x14ac:dyDescent="0.25">
      <c r="A146" t="s">
        <v>667</v>
      </c>
      <c r="B146">
        <v>2023</v>
      </c>
      <c r="C146" t="s">
        <v>182</v>
      </c>
      <c r="D146" t="b">
        <f>TRUE()</f>
        <v>1</v>
      </c>
      <c r="E146" t="b">
        <f>COUNTIF(connections!A:A, A146) &gt; 0</f>
        <v>0</v>
      </c>
      <c r="F146" t="s">
        <v>264</v>
      </c>
      <c r="G146" t="s">
        <v>668</v>
      </c>
      <c r="H146" t="s">
        <v>187</v>
      </c>
      <c r="I146" t="s">
        <v>669</v>
      </c>
      <c r="J146" s="1" t="s">
        <v>670</v>
      </c>
    </row>
    <row r="147" spans="1:10" ht="15" customHeight="1" x14ac:dyDescent="0.25">
      <c r="A147" t="s">
        <v>671</v>
      </c>
      <c r="B147">
        <v>2026</v>
      </c>
      <c r="C147" t="s">
        <v>182</v>
      </c>
      <c r="D147" t="b">
        <f>TRUE()</f>
        <v>1</v>
      </c>
      <c r="E147" t="b">
        <f>COUNTIF(connections!A:A, A147) &gt; 0</f>
        <v>0</v>
      </c>
      <c r="F147" t="s">
        <v>264</v>
      </c>
      <c r="G147" t="s">
        <v>672</v>
      </c>
    </row>
    <row r="148" spans="1:10" ht="15" customHeight="1" x14ac:dyDescent="0.25">
      <c r="A148" t="s">
        <v>673</v>
      </c>
      <c r="B148">
        <v>2023</v>
      </c>
      <c r="C148" t="s">
        <v>182</v>
      </c>
      <c r="D148" t="b">
        <f>TRUE()</f>
        <v>1</v>
      </c>
      <c r="E148" t="b">
        <f>COUNTIF(connections!A:A, A148) &gt; 0</f>
        <v>0</v>
      </c>
      <c r="G148" t="s">
        <v>674</v>
      </c>
      <c r="H148" t="s">
        <v>187</v>
      </c>
      <c r="I148" t="s">
        <v>675</v>
      </c>
      <c r="J148" s="1" t="s">
        <v>676</v>
      </c>
    </row>
    <row r="149" spans="1:10" ht="15" customHeight="1" x14ac:dyDescent="0.25">
      <c r="A149" t="s">
        <v>677</v>
      </c>
      <c r="B149">
        <v>2020</v>
      </c>
      <c r="C149" t="s">
        <v>222</v>
      </c>
      <c r="D149" t="b">
        <f>FALSE()</f>
        <v>0</v>
      </c>
      <c r="E149" t="b">
        <f>COUNTIF(connections!A:A, A149) &gt; 0</f>
        <v>0</v>
      </c>
      <c r="G149" t="s">
        <v>678</v>
      </c>
      <c r="H149" t="s">
        <v>187</v>
      </c>
      <c r="I149" t="s">
        <v>679</v>
      </c>
      <c r="J149" s="1" t="s">
        <v>680</v>
      </c>
    </row>
    <row r="150" spans="1:10" ht="15" customHeight="1" x14ac:dyDescent="0.25">
      <c r="A150" t="s">
        <v>681</v>
      </c>
      <c r="B150">
        <v>2025</v>
      </c>
      <c r="C150" t="s">
        <v>182</v>
      </c>
      <c r="D150" t="b">
        <f>TRUE()</f>
        <v>1</v>
      </c>
      <c r="E150" t="b">
        <f>COUNTIF(connections!A:A, A150) &gt; 0</f>
        <v>0</v>
      </c>
      <c r="G150" t="s">
        <v>682</v>
      </c>
      <c r="H150" t="s">
        <v>187</v>
      </c>
      <c r="I150" t="s">
        <v>683</v>
      </c>
      <c r="J150" s="1" t="s">
        <v>684</v>
      </c>
    </row>
    <row r="151" spans="1:10" ht="15" customHeight="1" x14ac:dyDescent="0.25">
      <c r="A151" t="s">
        <v>685</v>
      </c>
      <c r="B151">
        <v>2019</v>
      </c>
      <c r="C151" t="s">
        <v>222</v>
      </c>
      <c r="D151" t="b">
        <f>TRUE()</f>
        <v>1</v>
      </c>
      <c r="E151" t="b">
        <f>COUNTIF(connections!A:A, A151) &gt; 0</f>
        <v>0</v>
      </c>
      <c r="G151" t="s">
        <v>686</v>
      </c>
      <c r="H151" t="s">
        <v>187</v>
      </c>
      <c r="I151" t="s">
        <v>687</v>
      </c>
      <c r="J151" s="1" t="s">
        <v>688</v>
      </c>
    </row>
    <row r="152" spans="1:10" ht="15" customHeight="1" x14ac:dyDescent="0.25">
      <c r="A152" t="s">
        <v>689</v>
      </c>
      <c r="B152">
        <v>2015</v>
      </c>
      <c r="C152" t="s">
        <v>179</v>
      </c>
      <c r="D152" t="b">
        <f>TRUE()</f>
        <v>1</v>
      </c>
      <c r="E152" t="b">
        <f>COUNTIF(connections!A:A, A152) &gt; 0</f>
        <v>1</v>
      </c>
      <c r="F152" t="s">
        <v>399</v>
      </c>
      <c r="G152" t="s">
        <v>690</v>
      </c>
      <c r="H152" t="s">
        <v>187</v>
      </c>
      <c r="I152" t="s">
        <v>691</v>
      </c>
      <c r="J152" s="1" t="s">
        <v>692</v>
      </c>
    </row>
    <row r="153" spans="1:10" ht="15" customHeight="1" x14ac:dyDescent="0.25">
      <c r="A153" t="s">
        <v>693</v>
      </c>
      <c r="B153">
        <v>2017</v>
      </c>
      <c r="C153" t="s">
        <v>176</v>
      </c>
      <c r="D153" t="b">
        <f>FALSE()</f>
        <v>0</v>
      </c>
      <c r="E153" t="b">
        <f>COUNTIF(connections!A:A, A153) &gt; 0</f>
        <v>0</v>
      </c>
      <c r="F153" t="s">
        <v>694</v>
      </c>
      <c r="G153" t="s">
        <v>695</v>
      </c>
      <c r="H153" t="s">
        <v>187</v>
      </c>
      <c r="I153" t="s">
        <v>696</v>
      </c>
      <c r="J153" s="1" t="s">
        <v>697</v>
      </c>
    </row>
    <row r="154" spans="1:10" ht="15" customHeight="1" x14ac:dyDescent="0.25">
      <c r="A154" t="s">
        <v>698</v>
      </c>
      <c r="B154">
        <v>1998</v>
      </c>
      <c r="C154" t="s">
        <v>179</v>
      </c>
      <c r="D154" t="b">
        <f>TRUE()</f>
        <v>1</v>
      </c>
      <c r="E154" t="b">
        <f>COUNTIF(connections!A:A, A154) &gt; 0</f>
        <v>0</v>
      </c>
      <c r="G154" t="s">
        <v>699</v>
      </c>
      <c r="H154" t="s">
        <v>187</v>
      </c>
      <c r="I154" t="s">
        <v>700</v>
      </c>
    </row>
    <row r="155" spans="1:10" ht="15" customHeight="1" x14ac:dyDescent="0.25">
      <c r="A155" t="s">
        <v>701</v>
      </c>
      <c r="B155">
        <v>2023</v>
      </c>
      <c r="C155" t="s">
        <v>182</v>
      </c>
      <c r="D155" t="b">
        <f>FALSE()</f>
        <v>0</v>
      </c>
      <c r="E155" t="b">
        <f>COUNTIF(connections!A:A, A155) &gt; 0</f>
        <v>0</v>
      </c>
      <c r="G155" t="s">
        <v>702</v>
      </c>
    </row>
    <row r="156" spans="1:10" ht="15" customHeight="1" x14ac:dyDescent="0.25">
      <c r="A156" t="s">
        <v>703</v>
      </c>
      <c r="B156">
        <v>2025</v>
      </c>
      <c r="C156" t="s">
        <v>182</v>
      </c>
      <c r="D156" t="b">
        <f>FALSE()</f>
        <v>0</v>
      </c>
      <c r="E156" t="b">
        <f>COUNTIF(connections!A:A, A156) &gt; 0</f>
        <v>0</v>
      </c>
      <c r="G156" t="s">
        <v>704</v>
      </c>
      <c r="J156" s="1" t="s">
        <v>705</v>
      </c>
    </row>
    <row r="157" spans="1:10" ht="15" customHeight="1" x14ac:dyDescent="0.25">
      <c r="A157" t="s">
        <v>706</v>
      </c>
      <c r="B157">
        <v>2026</v>
      </c>
      <c r="C157" t="s">
        <v>182</v>
      </c>
      <c r="D157" t="b">
        <f>TRUE()</f>
        <v>1</v>
      </c>
      <c r="E157" t="b">
        <f>COUNTIF(connections!A:A, A157) &gt; 0</f>
        <v>0</v>
      </c>
      <c r="G157" t="s">
        <v>707</v>
      </c>
      <c r="J157" s="11" t="s">
        <v>708</v>
      </c>
    </row>
    <row r="158" spans="1:10" ht="15" customHeight="1" x14ac:dyDescent="0.25">
      <c r="A158" t="s">
        <v>709</v>
      </c>
      <c r="B158">
        <v>2022</v>
      </c>
      <c r="C158" t="s">
        <v>176</v>
      </c>
      <c r="D158" t="b">
        <f>TRUE()</f>
        <v>1</v>
      </c>
      <c r="E158" t="b">
        <f>COUNTIF(connections!A:A, A158) &gt; 0</f>
        <v>1</v>
      </c>
      <c r="G158" t="s">
        <v>710</v>
      </c>
      <c r="H158" t="s">
        <v>187</v>
      </c>
      <c r="I158" t="s">
        <v>711</v>
      </c>
      <c r="J158" s="1" t="s">
        <v>712</v>
      </c>
    </row>
    <row r="159" spans="1:10" ht="15" customHeight="1" x14ac:dyDescent="0.25">
      <c r="A159" t="s">
        <v>713</v>
      </c>
      <c r="B159">
        <v>2018</v>
      </c>
      <c r="C159" t="s">
        <v>222</v>
      </c>
      <c r="D159" t="b">
        <f>TRUE()</f>
        <v>1</v>
      </c>
      <c r="E159" t="b">
        <f>COUNTIF(connections!A:A, A159) &gt; 0</f>
        <v>0</v>
      </c>
      <c r="G159" t="s">
        <v>714</v>
      </c>
      <c r="H159" t="s">
        <v>187</v>
      </c>
      <c r="I159" t="s">
        <v>715</v>
      </c>
      <c r="J159" s="1" t="s">
        <v>716</v>
      </c>
    </row>
    <row r="160" spans="1:10" ht="15" customHeight="1" x14ac:dyDescent="0.25">
      <c r="A160" t="s">
        <v>717</v>
      </c>
      <c r="B160">
        <v>2024</v>
      </c>
      <c r="C160" t="s">
        <v>182</v>
      </c>
      <c r="D160" t="b">
        <f>TRUE()</f>
        <v>1</v>
      </c>
      <c r="E160" t="b">
        <f>COUNTIF(connections!A:A, A160) &gt; 0</f>
        <v>1</v>
      </c>
      <c r="F160" t="s">
        <v>354</v>
      </c>
      <c r="G160" t="s">
        <v>718</v>
      </c>
      <c r="J160" s="11" t="s">
        <v>719</v>
      </c>
    </row>
    <row r="161" spans="1:10" ht="15" customHeight="1" x14ac:dyDescent="0.25">
      <c r="A161" t="s">
        <v>720</v>
      </c>
      <c r="B161">
        <v>2016</v>
      </c>
      <c r="C161" t="s">
        <v>222</v>
      </c>
      <c r="D161" t="b">
        <f>TRUE()</f>
        <v>1</v>
      </c>
      <c r="E161" t="b">
        <f>COUNTIF(connections!A:A, A161) &gt; 0</f>
        <v>1</v>
      </c>
      <c r="G161" t="s">
        <v>721</v>
      </c>
      <c r="H161" t="s">
        <v>187</v>
      </c>
      <c r="I161" t="s">
        <v>722</v>
      </c>
      <c r="J161" s="1" t="s">
        <v>723</v>
      </c>
    </row>
    <row r="162" spans="1:10" ht="15" customHeight="1" x14ac:dyDescent="0.25">
      <c r="A162" t="s">
        <v>724</v>
      </c>
      <c r="B162">
        <v>2020</v>
      </c>
      <c r="C162" t="s">
        <v>222</v>
      </c>
      <c r="D162" t="b">
        <f>TRUE()</f>
        <v>1</v>
      </c>
      <c r="E162" t="b">
        <f>COUNTIF(connections!A:A, A162) &gt; 0</f>
        <v>0</v>
      </c>
      <c r="G162" t="s">
        <v>725</v>
      </c>
    </row>
    <row r="163" spans="1:10" ht="15" customHeight="1" x14ac:dyDescent="0.25">
      <c r="A163" t="s">
        <v>726</v>
      </c>
      <c r="B163">
        <v>2020</v>
      </c>
      <c r="C163" t="s">
        <v>176</v>
      </c>
      <c r="D163" t="b">
        <f>TRUE()</f>
        <v>1</v>
      </c>
      <c r="E163" t="b">
        <f>COUNTIF(connections!A:A, A163) &gt; 0</f>
        <v>1</v>
      </c>
      <c r="G163" t="s">
        <v>727</v>
      </c>
      <c r="H163" t="s">
        <v>187</v>
      </c>
      <c r="I163" t="s">
        <v>728</v>
      </c>
      <c r="J163" s="1" t="s">
        <v>729</v>
      </c>
    </row>
    <row r="164" spans="1:10" ht="15" customHeight="1" x14ac:dyDescent="0.25">
      <c r="A164" t="s">
        <v>730</v>
      </c>
      <c r="B164">
        <v>2026</v>
      </c>
      <c r="C164" t="s">
        <v>222</v>
      </c>
      <c r="D164" t="b">
        <f>TRUE()</f>
        <v>1</v>
      </c>
      <c r="E164" t="b">
        <f>COUNTIF(connections!A:A, A164) &gt; 0</f>
        <v>0</v>
      </c>
      <c r="F164" t="s">
        <v>731</v>
      </c>
      <c r="G164" t="s">
        <v>732</v>
      </c>
    </row>
    <row r="165" spans="1:10" ht="15" customHeight="1" x14ac:dyDescent="0.25">
      <c r="A165" t="s">
        <v>733</v>
      </c>
      <c r="B165">
        <v>2023</v>
      </c>
      <c r="C165" t="s">
        <v>176</v>
      </c>
      <c r="D165" t="b">
        <f>FALSE()</f>
        <v>0</v>
      </c>
      <c r="E165" t="b">
        <f>COUNTIF(connections!A:A, A165) &gt; 0</f>
        <v>0</v>
      </c>
      <c r="G165" t="s">
        <v>734</v>
      </c>
      <c r="H165" t="s">
        <v>187</v>
      </c>
      <c r="I165" t="s">
        <v>735</v>
      </c>
      <c r="J165" s="1" t="s">
        <v>736</v>
      </c>
    </row>
    <row r="166" spans="1:10" ht="15" customHeight="1" x14ac:dyDescent="0.25">
      <c r="A166" t="s">
        <v>737</v>
      </c>
      <c r="B166">
        <v>2019</v>
      </c>
      <c r="C166" t="s">
        <v>176</v>
      </c>
      <c r="D166" t="b">
        <f>TRUE()</f>
        <v>1</v>
      </c>
      <c r="E166" t="b">
        <f>COUNTIF(connections!A:A, A166) &gt; 0</f>
        <v>1</v>
      </c>
      <c r="G166" t="s">
        <v>738</v>
      </c>
      <c r="H166" t="s">
        <v>187</v>
      </c>
      <c r="I166" t="s">
        <v>739</v>
      </c>
      <c r="J166" s="1" t="s">
        <v>740</v>
      </c>
    </row>
    <row r="167" spans="1:10" ht="15" customHeight="1" x14ac:dyDescent="0.25">
      <c r="A167" t="s">
        <v>741</v>
      </c>
      <c r="B167">
        <v>2026</v>
      </c>
      <c r="C167" t="s">
        <v>176</v>
      </c>
      <c r="D167" t="b">
        <f>TRUE()</f>
        <v>1</v>
      </c>
      <c r="E167" t="b">
        <f>COUNTIF(connections!A:A, A167) &gt; 0</f>
        <v>0</v>
      </c>
      <c r="G167" t="s">
        <v>742</v>
      </c>
      <c r="J167" s="11" t="s">
        <v>743</v>
      </c>
    </row>
    <row r="168" spans="1:10" ht="15" customHeight="1" x14ac:dyDescent="0.25">
      <c r="A168" t="s">
        <v>744</v>
      </c>
      <c r="B168">
        <v>2025</v>
      </c>
      <c r="C168" t="s">
        <v>176</v>
      </c>
      <c r="D168" t="b">
        <f>TRUE()</f>
        <v>1</v>
      </c>
      <c r="E168" t="b">
        <f>COUNTIF(connections!A:A, A168) &gt; 0</f>
        <v>0</v>
      </c>
      <c r="G168" t="s">
        <v>745</v>
      </c>
    </row>
    <row r="169" spans="1:10" ht="15" customHeight="1" x14ac:dyDescent="0.25">
      <c r="A169" t="s">
        <v>746</v>
      </c>
      <c r="B169">
        <v>2015</v>
      </c>
      <c r="C169" t="s">
        <v>222</v>
      </c>
      <c r="D169" t="b">
        <f>TRUE()</f>
        <v>1</v>
      </c>
      <c r="E169" t="b">
        <f>COUNTIF(connections!A:A, A169) &gt; 0</f>
        <v>1</v>
      </c>
      <c r="G169" t="s">
        <v>747</v>
      </c>
      <c r="H169" t="s">
        <v>187</v>
      </c>
      <c r="I169" t="s">
        <v>748</v>
      </c>
      <c r="J169" s="1" t="s">
        <v>749</v>
      </c>
    </row>
    <row r="170" spans="1:10" ht="15" customHeight="1" x14ac:dyDescent="0.25">
      <c r="A170" t="s">
        <v>750</v>
      </c>
      <c r="B170">
        <v>2023</v>
      </c>
      <c r="C170" t="s">
        <v>222</v>
      </c>
      <c r="D170" t="b">
        <f>TRUE()</f>
        <v>1</v>
      </c>
      <c r="E170" t="b">
        <f>COUNTIF(connections!A:A, A170) &gt; 0</f>
        <v>0</v>
      </c>
      <c r="G170" t="s">
        <v>751</v>
      </c>
      <c r="H170" t="s">
        <v>187</v>
      </c>
      <c r="I170" t="s">
        <v>752</v>
      </c>
      <c r="J170" s="1" t="s">
        <v>753</v>
      </c>
    </row>
    <row r="171" spans="1:10" ht="15" customHeight="1" x14ac:dyDescent="0.25">
      <c r="A171" t="s">
        <v>754</v>
      </c>
      <c r="B171">
        <v>2022</v>
      </c>
      <c r="C171" t="s">
        <v>176</v>
      </c>
      <c r="D171" t="b">
        <f>TRUE()</f>
        <v>1</v>
      </c>
      <c r="E171" t="b">
        <f>COUNTIF(connections!A:A, A171) &gt; 0</f>
        <v>1</v>
      </c>
      <c r="F171" t="s">
        <v>755</v>
      </c>
      <c r="G171" t="s">
        <v>756</v>
      </c>
      <c r="H171" t="s">
        <v>187</v>
      </c>
      <c r="I171" t="s">
        <v>757</v>
      </c>
      <c r="J171" s="1" t="s">
        <v>758</v>
      </c>
    </row>
    <row r="172" spans="1:10" ht="15" customHeight="1" x14ac:dyDescent="0.25">
      <c r="A172" t="s">
        <v>759</v>
      </c>
      <c r="B172">
        <v>2018</v>
      </c>
      <c r="C172" t="s">
        <v>176</v>
      </c>
      <c r="D172" t="b">
        <f>TRUE()</f>
        <v>1</v>
      </c>
      <c r="E172" t="b">
        <f>COUNTIF(connections!A:A, A172) &gt; 0</f>
        <v>1</v>
      </c>
      <c r="G172" t="s">
        <v>760</v>
      </c>
      <c r="H172" t="s">
        <v>187</v>
      </c>
      <c r="I172" t="s">
        <v>761</v>
      </c>
      <c r="J172" s="1" t="s">
        <v>762</v>
      </c>
    </row>
    <row r="173" spans="1:10" ht="15" customHeight="1" x14ac:dyDescent="0.25">
      <c r="A173" t="s">
        <v>763</v>
      </c>
      <c r="B173">
        <v>2020</v>
      </c>
      <c r="C173" t="s">
        <v>176</v>
      </c>
      <c r="D173" t="b">
        <f>TRUE()</f>
        <v>1</v>
      </c>
      <c r="E173" t="b">
        <f>COUNTIF(connections!A:A, A173) &gt; 0</f>
        <v>0</v>
      </c>
      <c r="F173" t="s">
        <v>458</v>
      </c>
      <c r="G173" t="s">
        <v>764</v>
      </c>
      <c r="H173" t="s">
        <v>187</v>
      </c>
      <c r="I173" t="s">
        <v>765</v>
      </c>
      <c r="J173" s="1" t="s">
        <v>766</v>
      </c>
    </row>
    <row r="174" spans="1:10" ht="15" customHeight="1" x14ac:dyDescent="0.25">
      <c r="A174" t="s">
        <v>767</v>
      </c>
      <c r="B174">
        <v>2025</v>
      </c>
      <c r="C174" t="s">
        <v>182</v>
      </c>
      <c r="D174" t="b">
        <f>TRUE()</f>
        <v>1</v>
      </c>
      <c r="E174" t="b">
        <f>COUNTIF(connections!A:A, A174) &gt; 0</f>
        <v>0</v>
      </c>
      <c r="F174" t="s">
        <v>315</v>
      </c>
      <c r="G174" t="s">
        <v>768</v>
      </c>
      <c r="H174" t="s">
        <v>187</v>
      </c>
      <c r="I174" t="s">
        <v>769</v>
      </c>
      <c r="J174" s="1" t="s">
        <v>770</v>
      </c>
    </row>
    <row r="175" spans="1:10" ht="15" customHeight="1" x14ac:dyDescent="0.25">
      <c r="A175" t="s">
        <v>771</v>
      </c>
      <c r="B175">
        <v>2026</v>
      </c>
      <c r="C175" t="s">
        <v>222</v>
      </c>
      <c r="D175" t="b">
        <f>TRUE()</f>
        <v>1</v>
      </c>
      <c r="E175" t="b">
        <f>COUNTIF(connections!A:A, A175) &gt; 0</f>
        <v>0</v>
      </c>
      <c r="G175" t="s">
        <v>772</v>
      </c>
      <c r="J175" s="11" t="s">
        <v>773</v>
      </c>
    </row>
    <row r="176" spans="1:10" ht="15" customHeight="1" x14ac:dyDescent="0.25">
      <c r="A176" t="s">
        <v>774</v>
      </c>
      <c r="B176">
        <v>2025</v>
      </c>
      <c r="C176" t="s">
        <v>176</v>
      </c>
      <c r="D176" t="b">
        <f>FALSE()</f>
        <v>0</v>
      </c>
      <c r="E176" t="b">
        <f>COUNTIF(connections!A:A, A176) &gt; 0</f>
        <v>0</v>
      </c>
      <c r="F176" t="s">
        <v>458</v>
      </c>
      <c r="G176" t="s">
        <v>775</v>
      </c>
    </row>
    <row r="177" spans="1:10" ht="15" customHeight="1" x14ac:dyDescent="0.25">
      <c r="A177" t="s">
        <v>776</v>
      </c>
      <c r="B177">
        <v>2025</v>
      </c>
      <c r="C177" t="s">
        <v>176</v>
      </c>
      <c r="D177" t="b">
        <f>FALSE()</f>
        <v>0</v>
      </c>
      <c r="E177" t="b">
        <f>COUNTIF(connections!A:A, A177) &gt; 0</f>
        <v>0</v>
      </c>
      <c r="G177" t="s">
        <v>777</v>
      </c>
    </row>
    <row r="178" spans="1:10" ht="15" customHeight="1" x14ac:dyDescent="0.25">
      <c r="A178" t="s">
        <v>778</v>
      </c>
      <c r="B178">
        <v>2023</v>
      </c>
      <c r="C178" t="s">
        <v>176</v>
      </c>
      <c r="D178" t="b">
        <f>TRUE()</f>
        <v>1</v>
      </c>
      <c r="E178" t="b">
        <f>COUNTIF(connections!A:A, A178) &gt; 0</f>
        <v>1</v>
      </c>
      <c r="F178" t="s">
        <v>199</v>
      </c>
      <c r="G178" t="s">
        <v>779</v>
      </c>
      <c r="H178" t="s">
        <v>187</v>
      </c>
      <c r="I178" t="s">
        <v>780</v>
      </c>
      <c r="J178" s="1" t="s">
        <v>781</v>
      </c>
    </row>
    <row r="179" spans="1:10" ht="15" customHeight="1" x14ac:dyDescent="0.25">
      <c r="A179" t="s">
        <v>782</v>
      </c>
      <c r="B179">
        <v>2016</v>
      </c>
      <c r="C179" t="s">
        <v>176</v>
      </c>
      <c r="D179" t="b">
        <f>TRUE()</f>
        <v>1</v>
      </c>
      <c r="E179" t="b">
        <f>COUNTIF(connections!A:A, A179) &gt; 0</f>
        <v>0</v>
      </c>
      <c r="F179" t="s">
        <v>458</v>
      </c>
      <c r="G179" t="s">
        <v>783</v>
      </c>
      <c r="H179" t="s">
        <v>187</v>
      </c>
      <c r="I179" t="s">
        <v>784</v>
      </c>
      <c r="J179" s="1" t="s">
        <v>785</v>
      </c>
    </row>
    <row r="180" spans="1:10" ht="15" customHeight="1" x14ac:dyDescent="0.25">
      <c r="A180" t="s">
        <v>786</v>
      </c>
      <c r="B180">
        <v>2023</v>
      </c>
      <c r="C180" t="s">
        <v>182</v>
      </c>
      <c r="D180" t="b">
        <f>TRUE()</f>
        <v>1</v>
      </c>
      <c r="E180" t="b">
        <f>COUNTIF(connections!A:A, A180) &gt; 0</f>
        <v>1</v>
      </c>
      <c r="F180" t="s">
        <v>787</v>
      </c>
      <c r="G180" t="s">
        <v>788</v>
      </c>
      <c r="H180" t="s">
        <v>187</v>
      </c>
      <c r="I180" t="s">
        <v>789</v>
      </c>
      <c r="J180" s="1" t="s">
        <v>790</v>
      </c>
    </row>
    <row r="181" spans="1:10" ht="15" customHeight="1" x14ac:dyDescent="0.25">
      <c r="A181" t="s">
        <v>791</v>
      </c>
      <c r="B181">
        <v>2014</v>
      </c>
      <c r="C181" t="s">
        <v>176</v>
      </c>
      <c r="D181" t="b">
        <v>1</v>
      </c>
      <c r="E181" t="b">
        <f>COUNTIF(connections!A:A, A181) &gt; 0</f>
        <v>0</v>
      </c>
      <c r="G181" t="s">
        <v>792</v>
      </c>
      <c r="H181" t="s">
        <v>187</v>
      </c>
      <c r="I181" t="s">
        <v>793</v>
      </c>
      <c r="J181" s="11" t="s">
        <v>794</v>
      </c>
    </row>
    <row r="182" spans="1:10" ht="15" customHeight="1" x14ac:dyDescent="0.25">
      <c r="A182" t="s">
        <v>795</v>
      </c>
      <c r="B182">
        <v>2019</v>
      </c>
      <c r="C182" t="s">
        <v>182</v>
      </c>
      <c r="D182" t="b">
        <f>TRUE()</f>
        <v>1</v>
      </c>
      <c r="E182" t="b">
        <f>COUNTIF(connections!A:A, A182) &gt; 0</f>
        <v>0</v>
      </c>
      <c r="G182" t="s">
        <v>796</v>
      </c>
      <c r="H182" t="s">
        <v>187</v>
      </c>
      <c r="I182" t="s">
        <v>797</v>
      </c>
      <c r="J182" s="1" t="s">
        <v>798</v>
      </c>
    </row>
    <row r="183" spans="1:10" ht="15" customHeight="1" x14ac:dyDescent="0.25">
      <c r="A183" t="s">
        <v>799</v>
      </c>
      <c r="B183">
        <v>2025</v>
      </c>
      <c r="C183" t="s">
        <v>182</v>
      </c>
      <c r="D183" t="b">
        <f>TRUE()</f>
        <v>1</v>
      </c>
      <c r="E183" t="b">
        <f>COUNTIF(connections!A:A, A183) &gt; 0</f>
        <v>0</v>
      </c>
      <c r="G183" t="s">
        <v>800</v>
      </c>
      <c r="H183" t="s">
        <v>187</v>
      </c>
      <c r="I183" t="s">
        <v>801</v>
      </c>
      <c r="J183" s="1" t="s">
        <v>802</v>
      </c>
    </row>
    <row r="184" spans="1:10" ht="15" customHeight="1" x14ac:dyDescent="0.25">
      <c r="A184" t="s">
        <v>803</v>
      </c>
      <c r="B184">
        <v>2025</v>
      </c>
      <c r="C184" t="s">
        <v>182</v>
      </c>
      <c r="D184" t="b">
        <f>TRUE()</f>
        <v>1</v>
      </c>
      <c r="E184" t="b">
        <f>COUNTIF(connections!A:A, A184) &gt; 0</f>
        <v>0</v>
      </c>
      <c r="G184" t="s">
        <v>804</v>
      </c>
      <c r="H184" t="s">
        <v>187</v>
      </c>
      <c r="I184" t="s">
        <v>805</v>
      </c>
      <c r="J184" s="1" t="s">
        <v>806</v>
      </c>
    </row>
    <row r="185" spans="1:10" ht="15" customHeight="1" x14ac:dyDescent="0.25">
      <c r="A185" t="s">
        <v>807</v>
      </c>
      <c r="B185">
        <v>2014</v>
      </c>
      <c r="C185" t="s">
        <v>176</v>
      </c>
      <c r="D185" t="b">
        <f>TRUE()</f>
        <v>1</v>
      </c>
      <c r="E185" t="b">
        <f>COUNTIF(connections!A:A, A185) &gt; 0</f>
        <v>0</v>
      </c>
      <c r="G185" t="s">
        <v>808</v>
      </c>
      <c r="H185" t="s">
        <v>187</v>
      </c>
      <c r="I185" t="s">
        <v>809</v>
      </c>
      <c r="J185" s="1" t="s">
        <v>810</v>
      </c>
    </row>
    <row r="186" spans="1:10" ht="15" customHeight="1" x14ac:dyDescent="0.25">
      <c r="A186" t="s">
        <v>811</v>
      </c>
      <c r="B186">
        <v>2024</v>
      </c>
      <c r="C186" t="s">
        <v>176</v>
      </c>
      <c r="D186" t="b">
        <f>TRUE()</f>
        <v>1</v>
      </c>
      <c r="E186" t="b">
        <f>COUNTIF(connections!A:A, A186) &gt; 0</f>
        <v>1</v>
      </c>
      <c r="F186" t="s">
        <v>617</v>
      </c>
      <c r="G186" t="s">
        <v>812</v>
      </c>
    </row>
    <row r="187" spans="1:10" ht="15" customHeight="1" x14ac:dyDescent="0.25">
      <c r="A187" t="s">
        <v>813</v>
      </c>
      <c r="B187">
        <v>2018</v>
      </c>
      <c r="C187" t="s">
        <v>182</v>
      </c>
      <c r="D187" t="b">
        <f>TRUE()</f>
        <v>1</v>
      </c>
      <c r="E187" t="b">
        <f>COUNTIF(connections!A:A, A187) &gt; 0</f>
        <v>1</v>
      </c>
      <c r="G187" t="s">
        <v>814</v>
      </c>
    </row>
    <row r="188" spans="1:10" ht="15" customHeight="1" x14ac:dyDescent="0.25">
      <c r="A188" t="s">
        <v>815</v>
      </c>
      <c r="B188">
        <v>2021</v>
      </c>
      <c r="C188" t="s">
        <v>182</v>
      </c>
      <c r="D188" t="b">
        <f>TRUE()</f>
        <v>1</v>
      </c>
      <c r="E188" t="b">
        <f>COUNTIF(connections!A:A, A188) &gt; 0</f>
        <v>0</v>
      </c>
      <c r="G188" t="s">
        <v>816</v>
      </c>
      <c r="H188" t="s">
        <v>187</v>
      </c>
      <c r="I188" t="s">
        <v>817</v>
      </c>
      <c r="J188" s="1" t="s">
        <v>818</v>
      </c>
    </row>
    <row r="189" spans="1:10" ht="15" customHeight="1" x14ac:dyDescent="0.25">
      <c r="A189" t="s">
        <v>819</v>
      </c>
      <c r="B189">
        <v>2012</v>
      </c>
      <c r="C189" t="s">
        <v>176</v>
      </c>
      <c r="D189" t="b">
        <f>FALSE()</f>
        <v>0</v>
      </c>
      <c r="E189" t="b">
        <f>COUNTIF(connections!A:A, A189) &gt; 0</f>
        <v>0</v>
      </c>
      <c r="G189" t="s">
        <v>820</v>
      </c>
    </row>
    <row r="190" spans="1:10" ht="15" customHeight="1" x14ac:dyDescent="0.25">
      <c r="A190" t="s">
        <v>821</v>
      </c>
      <c r="B190">
        <v>2026</v>
      </c>
      <c r="C190" t="s">
        <v>179</v>
      </c>
      <c r="D190" t="b">
        <f>TRUE()</f>
        <v>1</v>
      </c>
      <c r="E190" t="b">
        <f>COUNTIF(connections!A:A, A190) &gt; 0</f>
        <v>0</v>
      </c>
      <c r="F190" t="s">
        <v>822</v>
      </c>
      <c r="G190" t="s">
        <v>823</v>
      </c>
      <c r="H190" t="s">
        <v>187</v>
      </c>
      <c r="I190" t="s">
        <v>824</v>
      </c>
      <c r="J190" s="1" t="s">
        <v>825</v>
      </c>
    </row>
    <row r="191" spans="1:10" ht="15" customHeight="1" x14ac:dyDescent="0.25">
      <c r="A191" t="s">
        <v>826</v>
      </c>
      <c r="B191">
        <v>2019</v>
      </c>
      <c r="C191" t="s">
        <v>222</v>
      </c>
      <c r="D191" t="b">
        <f>TRUE()</f>
        <v>1</v>
      </c>
      <c r="E191" t="b">
        <f>COUNTIF(connections!A:A, A191) &gt; 0</f>
        <v>1</v>
      </c>
      <c r="G191" t="s">
        <v>827</v>
      </c>
    </row>
    <row r="192" spans="1:10" ht="15" customHeight="1" x14ac:dyDescent="0.25">
      <c r="A192" t="s">
        <v>828</v>
      </c>
      <c r="B192">
        <v>2025</v>
      </c>
      <c r="C192" t="s">
        <v>182</v>
      </c>
      <c r="D192" t="b">
        <f>TRUE()</f>
        <v>1</v>
      </c>
      <c r="E192" t="b">
        <f>COUNTIF(connections!A:A, A192) &gt; 0</f>
        <v>0</v>
      </c>
      <c r="F192" t="s">
        <v>271</v>
      </c>
      <c r="G192" t="s">
        <v>829</v>
      </c>
      <c r="H192" t="s">
        <v>187</v>
      </c>
      <c r="I192" t="s">
        <v>830</v>
      </c>
      <c r="J192" s="1" t="s">
        <v>831</v>
      </c>
    </row>
    <row r="193" spans="1:10" ht="15" customHeight="1" x14ac:dyDescent="0.25">
      <c r="A193" t="s">
        <v>832</v>
      </c>
      <c r="B193">
        <v>2022</v>
      </c>
      <c r="C193" t="s">
        <v>222</v>
      </c>
      <c r="D193" t="b">
        <f>FALSE()</f>
        <v>0</v>
      </c>
      <c r="E193" t="b">
        <f>COUNTIF(connections!A:A, A193) &gt; 0</f>
        <v>0</v>
      </c>
      <c r="G193" t="s">
        <v>833</v>
      </c>
      <c r="H193" t="s">
        <v>187</v>
      </c>
      <c r="I193" t="s">
        <v>834</v>
      </c>
      <c r="J193" s="1" t="s">
        <v>835</v>
      </c>
    </row>
    <row r="194" spans="1:10" ht="15" customHeight="1" x14ac:dyDescent="0.25">
      <c r="A194" t="s">
        <v>836</v>
      </c>
      <c r="B194">
        <v>2010</v>
      </c>
      <c r="C194" t="s">
        <v>179</v>
      </c>
      <c r="D194" t="b">
        <f>TRUE()</f>
        <v>1</v>
      </c>
      <c r="E194" t="b">
        <f>COUNTIF(connections!A:A, A194) &gt; 0</f>
        <v>1</v>
      </c>
      <c r="G194" t="s">
        <v>837</v>
      </c>
    </row>
    <row r="195" spans="1:10" ht="15" customHeight="1" x14ac:dyDescent="0.25">
      <c r="A195" t="s">
        <v>838</v>
      </c>
      <c r="B195">
        <v>2025</v>
      </c>
      <c r="C195" t="s">
        <v>176</v>
      </c>
      <c r="D195" t="b">
        <f>TRUE()</f>
        <v>1</v>
      </c>
      <c r="E195" t="b">
        <f>COUNTIF(connections!A:A, A195) &gt; 0</f>
        <v>0</v>
      </c>
      <c r="G195" t="s">
        <v>839</v>
      </c>
      <c r="H195" t="s">
        <v>187</v>
      </c>
      <c r="I195" t="s">
        <v>840</v>
      </c>
      <c r="J195" s="1" t="s">
        <v>841</v>
      </c>
    </row>
    <row r="196" spans="1:10" ht="15" customHeight="1" x14ac:dyDescent="0.25">
      <c r="A196" t="s">
        <v>842</v>
      </c>
      <c r="B196">
        <v>2021</v>
      </c>
      <c r="C196" t="s">
        <v>176</v>
      </c>
      <c r="D196" t="b">
        <f>TRUE()</f>
        <v>1</v>
      </c>
      <c r="E196" t="b">
        <f>COUNTIF(connections!A:A, A196) &gt; 0</f>
        <v>1</v>
      </c>
      <c r="G196" t="s">
        <v>843</v>
      </c>
      <c r="H196" t="s">
        <v>187</v>
      </c>
      <c r="I196" t="s">
        <v>844</v>
      </c>
      <c r="J196" s="1" t="s">
        <v>845</v>
      </c>
    </row>
    <row r="197" spans="1:10" ht="15" customHeight="1" x14ac:dyDescent="0.25">
      <c r="A197" t="s">
        <v>846</v>
      </c>
      <c r="B197">
        <v>2019</v>
      </c>
      <c r="C197" t="s">
        <v>176</v>
      </c>
      <c r="D197" t="b">
        <f>TRUE()</f>
        <v>1</v>
      </c>
      <c r="E197" t="b">
        <f>COUNTIF(connections!A:A, A197) &gt; 0</f>
        <v>0</v>
      </c>
      <c r="G197" t="s">
        <v>847</v>
      </c>
    </row>
    <row r="198" spans="1:10" ht="15" customHeight="1" x14ac:dyDescent="0.25">
      <c r="A198" t="s">
        <v>848</v>
      </c>
      <c r="B198">
        <v>1996</v>
      </c>
      <c r="C198" t="s">
        <v>176</v>
      </c>
      <c r="D198" t="b">
        <f>TRUE()</f>
        <v>1</v>
      </c>
      <c r="E198" t="b">
        <f>COUNTIF(connections!A:A, A198) &gt; 0</f>
        <v>1</v>
      </c>
      <c r="G198" t="s">
        <v>849</v>
      </c>
      <c r="H198" t="s">
        <v>187</v>
      </c>
      <c r="I198" t="s">
        <v>850</v>
      </c>
    </row>
    <row r="199" spans="1:10" ht="15" customHeight="1" x14ac:dyDescent="0.25">
      <c r="A199" t="s">
        <v>851</v>
      </c>
      <c r="B199">
        <v>2024</v>
      </c>
      <c r="C199" t="s">
        <v>182</v>
      </c>
      <c r="D199" t="b">
        <f>TRUE()</f>
        <v>1</v>
      </c>
      <c r="E199" t="b">
        <f>COUNTIF(connections!A:A, A199) &gt; 0</f>
        <v>0</v>
      </c>
      <c r="F199" t="s">
        <v>315</v>
      </c>
      <c r="G199" t="s">
        <v>852</v>
      </c>
      <c r="H199" t="s">
        <v>187</v>
      </c>
      <c r="I199" t="s">
        <v>853</v>
      </c>
      <c r="J199" s="1" t="s">
        <v>854</v>
      </c>
    </row>
    <row r="200" spans="1:10" ht="15" customHeight="1" x14ac:dyDescent="0.25">
      <c r="A200" t="s">
        <v>855</v>
      </c>
      <c r="B200">
        <v>2026</v>
      </c>
      <c r="C200" t="s">
        <v>182</v>
      </c>
      <c r="D200" t="b">
        <f>TRUE()</f>
        <v>1</v>
      </c>
      <c r="E200" t="b">
        <f>COUNTIF(connections!A:A, A200) &gt; 0</f>
        <v>0</v>
      </c>
      <c r="F200" t="s">
        <v>315</v>
      </c>
      <c r="G200" t="s">
        <v>856</v>
      </c>
    </row>
    <row r="201" spans="1:10" ht="15" customHeight="1" x14ac:dyDescent="0.25">
      <c r="A201" t="s">
        <v>857</v>
      </c>
      <c r="B201">
        <v>2025</v>
      </c>
      <c r="C201" t="s">
        <v>182</v>
      </c>
      <c r="D201" t="b">
        <f>TRUE()</f>
        <v>1</v>
      </c>
      <c r="E201" t="b">
        <f>COUNTIF(connections!A:A, A201) &gt; 0</f>
        <v>0</v>
      </c>
      <c r="G201" t="s">
        <v>858</v>
      </c>
      <c r="J201" s="11" t="s">
        <v>859</v>
      </c>
    </row>
    <row r="202" spans="1:10" ht="15" customHeight="1" x14ac:dyDescent="0.25">
      <c r="A202" t="s">
        <v>860</v>
      </c>
      <c r="B202">
        <v>2025</v>
      </c>
      <c r="C202" t="s">
        <v>222</v>
      </c>
      <c r="D202" t="b">
        <f>FALSE()</f>
        <v>0</v>
      </c>
      <c r="E202" t="b">
        <f>COUNTIF(connections!A:A, A202) &gt; 0</f>
        <v>0</v>
      </c>
      <c r="F202" t="s">
        <v>315</v>
      </c>
      <c r="G202" t="s">
        <v>861</v>
      </c>
      <c r="H202" t="s">
        <v>187</v>
      </c>
      <c r="I202" t="s">
        <v>862</v>
      </c>
      <c r="J202" s="11" t="s">
        <v>863</v>
      </c>
    </row>
    <row r="203" spans="1:10" ht="15" customHeight="1" x14ac:dyDescent="0.25">
      <c r="A203" t="s">
        <v>864</v>
      </c>
      <c r="B203">
        <v>2025</v>
      </c>
      <c r="C203" t="s">
        <v>182</v>
      </c>
      <c r="D203" t="b">
        <f>TRUE()</f>
        <v>1</v>
      </c>
      <c r="E203" t="b">
        <f>COUNTIF(connections!A:A, A203) &gt; 0</f>
        <v>0</v>
      </c>
      <c r="F203" t="s">
        <v>315</v>
      </c>
      <c r="G203" t="s">
        <v>865</v>
      </c>
    </row>
    <row r="204" spans="1:10" ht="15" customHeight="1" x14ac:dyDescent="0.25">
      <c r="A204" t="s">
        <v>866</v>
      </c>
      <c r="B204">
        <v>2024</v>
      </c>
      <c r="C204" t="s">
        <v>182</v>
      </c>
      <c r="D204" t="b">
        <f>TRUE()</f>
        <v>1</v>
      </c>
      <c r="E204" t="b">
        <f>COUNTIF(connections!A:A, A204) &gt; 0</f>
        <v>0</v>
      </c>
      <c r="F204" t="s">
        <v>315</v>
      </c>
      <c r="G204" t="s">
        <v>867</v>
      </c>
      <c r="H204" t="s">
        <v>187</v>
      </c>
      <c r="I204" t="s">
        <v>868</v>
      </c>
      <c r="J204" s="11" t="s">
        <v>869</v>
      </c>
    </row>
    <row r="205" spans="1:10" ht="15" customHeight="1" x14ac:dyDescent="0.25">
      <c r="A205" t="s">
        <v>870</v>
      </c>
      <c r="B205">
        <v>2024</v>
      </c>
      <c r="C205" t="s">
        <v>182</v>
      </c>
      <c r="D205" t="b">
        <f>FALSE()</f>
        <v>0</v>
      </c>
      <c r="E205" t="b">
        <f>COUNTIF(connections!A:A, A205) &gt; 0</f>
        <v>0</v>
      </c>
      <c r="F205" t="s">
        <v>315</v>
      </c>
      <c r="G205" t="s">
        <v>871</v>
      </c>
      <c r="H205" t="s">
        <v>187</v>
      </c>
      <c r="I205" t="s">
        <v>872</v>
      </c>
      <c r="J205" s="1" t="s">
        <v>873</v>
      </c>
    </row>
    <row r="206" spans="1:10" ht="15" customHeight="1" x14ac:dyDescent="0.25">
      <c r="A206" t="s">
        <v>874</v>
      </c>
      <c r="B206">
        <v>2019</v>
      </c>
      <c r="C206" t="s">
        <v>182</v>
      </c>
      <c r="D206" t="b">
        <f>TRUE()</f>
        <v>1</v>
      </c>
      <c r="E206" t="b">
        <f>COUNTIF(connections!A:A, A206) &gt; 0</f>
        <v>1</v>
      </c>
      <c r="F206" t="s">
        <v>315</v>
      </c>
      <c r="G206" t="s">
        <v>875</v>
      </c>
      <c r="H206" t="s">
        <v>187</v>
      </c>
      <c r="I206" t="s">
        <v>876</v>
      </c>
      <c r="J206" s="1" t="s">
        <v>877</v>
      </c>
    </row>
    <row r="207" spans="1:10" ht="15" customHeight="1" x14ac:dyDescent="0.25">
      <c r="A207" t="s">
        <v>878</v>
      </c>
      <c r="B207">
        <v>2025</v>
      </c>
      <c r="C207" t="s">
        <v>182</v>
      </c>
      <c r="D207" t="b">
        <f>TRUE()</f>
        <v>1</v>
      </c>
      <c r="E207" t="b">
        <f>COUNTIF(connections!A:A, A207) &gt; 0</f>
        <v>0</v>
      </c>
      <c r="F207" t="s">
        <v>315</v>
      </c>
      <c r="G207" t="s">
        <v>879</v>
      </c>
    </row>
    <row r="208" spans="1:10" ht="15" customHeight="1" x14ac:dyDescent="0.25">
      <c r="A208" t="s">
        <v>880</v>
      </c>
      <c r="B208">
        <v>2025</v>
      </c>
      <c r="C208" t="s">
        <v>182</v>
      </c>
      <c r="D208" t="b">
        <f>TRUE()</f>
        <v>1</v>
      </c>
      <c r="E208" t="b">
        <f>COUNTIF(connections!A:A, A208) &gt; 0</f>
        <v>0</v>
      </c>
      <c r="F208" t="s">
        <v>315</v>
      </c>
      <c r="G208" t="s">
        <v>881</v>
      </c>
      <c r="H208" t="s">
        <v>187</v>
      </c>
      <c r="I208" t="s">
        <v>882</v>
      </c>
      <c r="J208" s="1" t="s">
        <v>883</v>
      </c>
    </row>
    <row r="209" spans="1:10" ht="15" customHeight="1" x14ac:dyDescent="0.25">
      <c r="A209" t="s">
        <v>884</v>
      </c>
      <c r="B209">
        <v>2021</v>
      </c>
      <c r="C209" t="s">
        <v>176</v>
      </c>
      <c r="D209" t="b">
        <f>FALSE()</f>
        <v>0</v>
      </c>
      <c r="E209" t="b">
        <f>COUNTIF(connections!A:A, A209) &gt; 0</f>
        <v>0</v>
      </c>
      <c r="G209" t="s">
        <v>885</v>
      </c>
      <c r="H209" t="s">
        <v>187</v>
      </c>
      <c r="I209" t="s">
        <v>886</v>
      </c>
      <c r="J209" s="1" t="s">
        <v>887</v>
      </c>
    </row>
    <row r="210" spans="1:10" ht="15" customHeight="1" x14ac:dyDescent="0.25">
      <c r="A210" t="s">
        <v>888</v>
      </c>
      <c r="B210">
        <v>2024</v>
      </c>
      <c r="C210" t="s">
        <v>182</v>
      </c>
      <c r="D210" t="b">
        <f>TRUE()</f>
        <v>1</v>
      </c>
      <c r="E210" t="b">
        <f>COUNTIF(connections!A:A, A210) &gt; 0</f>
        <v>0</v>
      </c>
      <c r="G210" t="s">
        <v>889</v>
      </c>
    </row>
    <row r="211" spans="1:10" ht="15" customHeight="1" x14ac:dyDescent="0.25">
      <c r="A211" t="s">
        <v>890</v>
      </c>
      <c r="B211">
        <v>2023</v>
      </c>
      <c r="C211" t="s">
        <v>176</v>
      </c>
      <c r="D211" t="b">
        <f>TRUE()</f>
        <v>1</v>
      </c>
      <c r="E211" t="b">
        <f>COUNTIF(connections!A:A, A211) &gt; 0</f>
        <v>0</v>
      </c>
      <c r="G211" t="s">
        <v>891</v>
      </c>
      <c r="H211" t="s">
        <v>187</v>
      </c>
      <c r="I211" t="s">
        <v>892</v>
      </c>
      <c r="J211" s="1" t="s">
        <v>893</v>
      </c>
    </row>
    <row r="212" spans="1:10" ht="15" customHeight="1" x14ac:dyDescent="0.25">
      <c r="A212" t="s">
        <v>894</v>
      </c>
      <c r="B212">
        <v>2026</v>
      </c>
      <c r="C212" t="s">
        <v>176</v>
      </c>
      <c r="D212" t="b">
        <f>TRUE()</f>
        <v>1</v>
      </c>
      <c r="E212" t="b">
        <f>COUNTIF(connections!A:A, A212) &gt; 0</f>
        <v>0</v>
      </c>
      <c r="G212" t="s">
        <v>895</v>
      </c>
      <c r="J212" s="11" t="s">
        <v>896</v>
      </c>
    </row>
    <row r="213" spans="1:10" ht="15" customHeight="1" x14ac:dyDescent="0.25">
      <c r="A213" t="s">
        <v>897</v>
      </c>
      <c r="B213">
        <v>2024</v>
      </c>
      <c r="C213" t="s">
        <v>182</v>
      </c>
      <c r="D213" t="b">
        <f>TRUE()</f>
        <v>1</v>
      </c>
      <c r="E213" t="b">
        <f>COUNTIF(connections!A:A, A213) &gt; 0</f>
        <v>0</v>
      </c>
      <c r="G213" t="s">
        <v>898</v>
      </c>
    </row>
    <row r="214" spans="1:10" ht="15" customHeight="1" x14ac:dyDescent="0.25">
      <c r="A214" t="s">
        <v>899</v>
      </c>
      <c r="B214">
        <v>2025</v>
      </c>
      <c r="C214" t="s">
        <v>182</v>
      </c>
      <c r="D214" t="b">
        <f>TRUE()</f>
        <v>1</v>
      </c>
      <c r="E214" t="b">
        <f>COUNTIF(connections!A:A, A214) &gt; 0</f>
        <v>0</v>
      </c>
      <c r="G214" t="s">
        <v>900</v>
      </c>
    </row>
    <row r="215" spans="1:10" ht="15" customHeight="1" x14ac:dyDescent="0.25">
      <c r="A215" t="s">
        <v>901</v>
      </c>
      <c r="B215">
        <v>2025</v>
      </c>
      <c r="C215" t="s">
        <v>182</v>
      </c>
      <c r="D215" t="b">
        <f>TRUE()</f>
        <v>1</v>
      </c>
      <c r="E215" t="b">
        <f>COUNTIF(connections!A:A, A215) &gt; 0</f>
        <v>0</v>
      </c>
      <c r="G215" t="s">
        <v>902</v>
      </c>
      <c r="H215" t="s">
        <v>187</v>
      </c>
      <c r="I215" t="s">
        <v>903</v>
      </c>
      <c r="J215" s="1" t="s">
        <v>904</v>
      </c>
    </row>
    <row r="216" spans="1:10" ht="15" customHeight="1" x14ac:dyDescent="0.25">
      <c r="A216" t="s">
        <v>905</v>
      </c>
      <c r="B216">
        <v>2022</v>
      </c>
      <c r="C216" t="s">
        <v>222</v>
      </c>
      <c r="D216" t="b">
        <f>TRUE()</f>
        <v>1</v>
      </c>
      <c r="E216" t="b">
        <f>COUNTIF(connections!A:A, A216) &gt; 0</f>
        <v>1</v>
      </c>
      <c r="F216" t="s">
        <v>906</v>
      </c>
      <c r="G216" t="s">
        <v>907</v>
      </c>
      <c r="H216" t="s">
        <v>187</v>
      </c>
      <c r="I216" t="s">
        <v>908</v>
      </c>
      <c r="J216" s="1" t="s">
        <v>909</v>
      </c>
    </row>
    <row r="217" spans="1:10" ht="15" customHeight="1" x14ac:dyDescent="0.25">
      <c r="A217" t="s">
        <v>910</v>
      </c>
      <c r="B217">
        <v>2026</v>
      </c>
      <c r="C217" t="s">
        <v>222</v>
      </c>
      <c r="D217" t="b">
        <f>TRUE()</f>
        <v>1</v>
      </c>
      <c r="E217" t="b">
        <f>COUNTIF(connections!A:A, A217) &gt; 0</f>
        <v>0</v>
      </c>
      <c r="G217" t="s">
        <v>911</v>
      </c>
      <c r="J217" s="11" t="s">
        <v>912</v>
      </c>
    </row>
    <row r="218" spans="1:10" ht="15" customHeight="1" x14ac:dyDescent="0.25">
      <c r="A218" t="s">
        <v>913</v>
      </c>
      <c r="B218">
        <v>2026</v>
      </c>
      <c r="C218" t="s">
        <v>176</v>
      </c>
      <c r="D218" t="b">
        <f>FALSE()</f>
        <v>0</v>
      </c>
      <c r="E218" t="b">
        <f>COUNTIF(connections!A:A, A218) &gt; 0</f>
        <v>0</v>
      </c>
      <c r="G218" t="s">
        <v>914</v>
      </c>
    </row>
    <row r="219" spans="1:10" ht="15" customHeight="1" x14ac:dyDescent="0.25">
      <c r="A219" t="s">
        <v>915</v>
      </c>
      <c r="B219">
        <v>2013</v>
      </c>
      <c r="C219" t="s">
        <v>176</v>
      </c>
      <c r="D219" t="b">
        <f>TRUE()</f>
        <v>1</v>
      </c>
      <c r="E219" t="b">
        <f>COUNTIF(connections!A:A, A219) &gt; 0</f>
        <v>1</v>
      </c>
      <c r="G219" t="s">
        <v>916</v>
      </c>
      <c r="H219" t="s">
        <v>187</v>
      </c>
      <c r="I219" t="s">
        <v>917</v>
      </c>
      <c r="J219" s="1" t="s">
        <v>918</v>
      </c>
    </row>
    <row r="220" spans="1:10" ht="15" customHeight="1" x14ac:dyDescent="0.25">
      <c r="A220" t="s">
        <v>919</v>
      </c>
      <c r="B220">
        <v>2014</v>
      </c>
      <c r="C220" t="s">
        <v>176</v>
      </c>
      <c r="D220" t="b">
        <f>TRUE()</f>
        <v>1</v>
      </c>
      <c r="E220" t="b">
        <f>COUNTIF(connections!A:A, A220) &gt; 0</f>
        <v>0</v>
      </c>
      <c r="G220" t="s">
        <v>920</v>
      </c>
      <c r="H220" t="s">
        <v>187</v>
      </c>
      <c r="I220" t="s">
        <v>921</v>
      </c>
      <c r="J220" s="1" t="s">
        <v>922</v>
      </c>
    </row>
    <row r="221" spans="1:10" ht="15" customHeight="1" x14ac:dyDescent="0.25">
      <c r="A221" t="s">
        <v>923</v>
      </c>
      <c r="B221">
        <v>2002</v>
      </c>
      <c r="C221" t="s">
        <v>179</v>
      </c>
      <c r="D221" t="b">
        <f>TRUE()</f>
        <v>1</v>
      </c>
      <c r="E221" t="b">
        <f>COUNTIF(connections!A:A, A221) &gt; 0</f>
        <v>1</v>
      </c>
      <c r="G221" t="s">
        <v>924</v>
      </c>
    </row>
    <row r="222" spans="1:10" ht="15" customHeight="1" x14ac:dyDescent="0.25">
      <c r="A222" t="s">
        <v>925</v>
      </c>
      <c r="B222">
        <v>2019</v>
      </c>
      <c r="C222" t="s">
        <v>222</v>
      </c>
      <c r="D222" t="b">
        <f>TRUE()</f>
        <v>1</v>
      </c>
      <c r="E222" t="b">
        <f>COUNTIF(connections!A:A, A222) &gt; 0</f>
        <v>1</v>
      </c>
      <c r="G222" t="s">
        <v>926</v>
      </c>
    </row>
    <row r="223" spans="1:10" ht="15" customHeight="1" x14ac:dyDescent="0.25">
      <c r="A223" t="s">
        <v>927</v>
      </c>
      <c r="B223">
        <v>2023</v>
      </c>
      <c r="C223" t="s">
        <v>176</v>
      </c>
      <c r="D223" t="b">
        <f>FALSE()</f>
        <v>0</v>
      </c>
      <c r="E223" t="b">
        <f>COUNTIF(connections!A:A, A223) &gt; 0</f>
        <v>0</v>
      </c>
      <c r="F223" t="s">
        <v>229</v>
      </c>
      <c r="G223" t="s">
        <v>928</v>
      </c>
      <c r="H223" t="s">
        <v>187</v>
      </c>
      <c r="I223" t="s">
        <v>929</v>
      </c>
      <c r="J223" s="1" t="s">
        <v>930</v>
      </c>
    </row>
    <row r="224" spans="1:10" ht="15" customHeight="1" x14ac:dyDescent="0.25">
      <c r="A224" t="s">
        <v>931</v>
      </c>
      <c r="B224">
        <v>2015</v>
      </c>
      <c r="C224" t="s">
        <v>176</v>
      </c>
      <c r="D224" t="b">
        <f>TRUE()</f>
        <v>1</v>
      </c>
      <c r="E224" t="b">
        <f>COUNTIF(connections!A:A, A224) &gt; 0</f>
        <v>1</v>
      </c>
      <c r="G224" t="s">
        <v>932</v>
      </c>
      <c r="H224" t="s">
        <v>187</v>
      </c>
      <c r="I224" t="s">
        <v>933</v>
      </c>
      <c r="J224" s="1" t="s">
        <v>934</v>
      </c>
    </row>
    <row r="225" spans="1:10" ht="15" customHeight="1" x14ac:dyDescent="0.25">
      <c r="A225" t="s">
        <v>935</v>
      </c>
      <c r="B225">
        <v>1990</v>
      </c>
      <c r="C225" t="s">
        <v>179</v>
      </c>
      <c r="D225" t="b">
        <f>TRUE()</f>
        <v>1</v>
      </c>
      <c r="E225" t="b">
        <f>COUNTIF(connections!A:A, A225) &gt; 0</f>
        <v>0</v>
      </c>
      <c r="G225" t="s">
        <v>936</v>
      </c>
      <c r="H225" t="s">
        <v>187</v>
      </c>
      <c r="I225" t="s">
        <v>937</v>
      </c>
    </row>
    <row r="226" spans="1:10" ht="15" customHeight="1" x14ac:dyDescent="0.25">
      <c r="A226" t="s">
        <v>938</v>
      </c>
      <c r="B226">
        <v>2006</v>
      </c>
      <c r="C226" t="s">
        <v>179</v>
      </c>
      <c r="D226" t="b">
        <f>TRUE()</f>
        <v>1</v>
      </c>
      <c r="E226" t="b">
        <f>COUNTIF(connections!A:A, A226) &gt; 0</f>
        <v>0</v>
      </c>
      <c r="G226" t="s">
        <v>939</v>
      </c>
      <c r="H226" t="s">
        <v>187</v>
      </c>
      <c r="I226" t="s">
        <v>940</v>
      </c>
    </row>
    <row r="227" spans="1:10" ht="15" customHeight="1" x14ac:dyDescent="0.25">
      <c r="A227" t="s">
        <v>941</v>
      </c>
      <c r="B227">
        <v>2003</v>
      </c>
      <c r="C227" t="s">
        <v>179</v>
      </c>
      <c r="D227" t="b">
        <f>TRUE()</f>
        <v>1</v>
      </c>
      <c r="E227" t="b">
        <f>COUNTIF(connections!A:A, A227) &gt; 0</f>
        <v>0</v>
      </c>
      <c r="G227" t="s">
        <v>942</v>
      </c>
    </row>
    <row r="228" spans="1:10" ht="15" customHeight="1" x14ac:dyDescent="0.25">
      <c r="A228" t="s">
        <v>943</v>
      </c>
      <c r="B228">
        <v>2025</v>
      </c>
      <c r="C228" t="s">
        <v>222</v>
      </c>
      <c r="D228" t="b">
        <v>0</v>
      </c>
      <c r="E228" t="b">
        <v>0</v>
      </c>
      <c r="G228" t="s">
        <v>944</v>
      </c>
      <c r="H228" t="s">
        <v>187</v>
      </c>
      <c r="I228" t="s">
        <v>945</v>
      </c>
      <c r="J228" s="11" t="s">
        <v>946</v>
      </c>
    </row>
    <row r="229" spans="1:10" ht="15" customHeight="1" x14ac:dyDescent="0.25">
      <c r="A229" t="s">
        <v>947</v>
      </c>
      <c r="B229">
        <v>2014</v>
      </c>
      <c r="C229" t="s">
        <v>182</v>
      </c>
      <c r="D229" t="b">
        <f>TRUE()</f>
        <v>1</v>
      </c>
      <c r="E229" t="b">
        <f>COUNTIF(connections!A:A, A229) &gt; 0</f>
        <v>1</v>
      </c>
      <c r="G229" t="s">
        <v>948</v>
      </c>
    </row>
    <row r="230" spans="1:10" ht="15" customHeight="1" x14ac:dyDescent="0.25">
      <c r="A230" t="s">
        <v>949</v>
      </c>
      <c r="B230">
        <v>2020</v>
      </c>
      <c r="C230" t="s">
        <v>176</v>
      </c>
      <c r="D230" t="b">
        <f>TRUE()</f>
        <v>1</v>
      </c>
      <c r="E230" t="b">
        <f>COUNTIF(connections!A:A, A230) &gt; 0</f>
        <v>0</v>
      </c>
      <c r="G230" t="s">
        <v>950</v>
      </c>
      <c r="H230" t="s">
        <v>187</v>
      </c>
      <c r="I230" t="s">
        <v>951</v>
      </c>
      <c r="J230" s="1" t="s">
        <v>952</v>
      </c>
    </row>
    <row r="231" spans="1:10" ht="15" customHeight="1" x14ac:dyDescent="0.25">
      <c r="A231" t="s">
        <v>953</v>
      </c>
      <c r="B231">
        <v>2024</v>
      </c>
      <c r="C231" t="s">
        <v>222</v>
      </c>
      <c r="D231" t="b">
        <f>TRUE()</f>
        <v>1</v>
      </c>
      <c r="E231" t="b">
        <f>COUNTIF(connections!A:A, A231) &gt; 0</f>
        <v>0</v>
      </c>
      <c r="F231" t="s">
        <v>617</v>
      </c>
      <c r="G231" t="s">
        <v>954</v>
      </c>
    </row>
    <row r="232" spans="1:10" ht="15" customHeight="1" x14ac:dyDescent="0.25">
      <c r="A232" t="s">
        <v>955</v>
      </c>
      <c r="B232">
        <v>2025</v>
      </c>
      <c r="C232" t="s">
        <v>222</v>
      </c>
      <c r="D232" t="b">
        <f>TRUE()</f>
        <v>1</v>
      </c>
      <c r="E232" t="b">
        <f>COUNTIF(connections!A:A, A232) &gt; 0</f>
        <v>0</v>
      </c>
      <c r="G232" t="s">
        <v>956</v>
      </c>
      <c r="H232" t="s">
        <v>187</v>
      </c>
      <c r="I232" t="s">
        <v>957</v>
      </c>
      <c r="J232" s="11" t="s">
        <v>958</v>
      </c>
    </row>
    <row r="233" spans="1:10" ht="15" customHeight="1" x14ac:dyDescent="0.25">
      <c r="A233" t="s">
        <v>959</v>
      </c>
      <c r="B233">
        <v>2025</v>
      </c>
      <c r="C233" t="s">
        <v>222</v>
      </c>
      <c r="D233" t="b">
        <f>TRUE()</f>
        <v>1</v>
      </c>
      <c r="E233" t="b">
        <f>COUNTIF(connections!A:A, A233) &gt; 0</f>
        <v>0</v>
      </c>
      <c r="G233" t="s">
        <v>960</v>
      </c>
    </row>
    <row r="234" spans="1:10" ht="15" customHeight="1" x14ac:dyDescent="0.25">
      <c r="A234" t="s">
        <v>961</v>
      </c>
      <c r="B234">
        <v>2024</v>
      </c>
      <c r="C234" t="s">
        <v>182</v>
      </c>
      <c r="D234" t="b">
        <f>TRUE()</f>
        <v>1</v>
      </c>
      <c r="E234" t="b">
        <f>COUNTIF(connections!A:A, A234) &gt; 0</f>
        <v>1</v>
      </c>
      <c r="F234" t="s">
        <v>354</v>
      </c>
      <c r="G234" t="s">
        <v>962</v>
      </c>
      <c r="H234" t="s">
        <v>187</v>
      </c>
      <c r="I234" t="s">
        <v>963</v>
      </c>
      <c r="J234" s="1" t="s">
        <v>964</v>
      </c>
    </row>
    <row r="235" spans="1:10" ht="15" customHeight="1" x14ac:dyDescent="0.25">
      <c r="A235" t="s">
        <v>965</v>
      </c>
      <c r="B235">
        <v>2006</v>
      </c>
      <c r="C235" t="s">
        <v>179</v>
      </c>
      <c r="D235" t="b">
        <f>TRUE()</f>
        <v>1</v>
      </c>
      <c r="E235" t="b">
        <f>COUNTIF(connections!A:A, A235) &gt; 0</f>
        <v>1</v>
      </c>
      <c r="G235" t="s">
        <v>966</v>
      </c>
      <c r="H235" t="s">
        <v>187</v>
      </c>
      <c r="I235" t="s">
        <v>967</v>
      </c>
    </row>
    <row r="236" spans="1:10" ht="15" customHeight="1" x14ac:dyDescent="0.25">
      <c r="A236" t="s">
        <v>968</v>
      </c>
      <c r="B236">
        <v>2021</v>
      </c>
      <c r="C236" t="s">
        <v>222</v>
      </c>
      <c r="D236" t="b">
        <f>FALSE()</f>
        <v>0</v>
      </c>
      <c r="E236" t="b">
        <f>COUNTIF(connections!A:A, A236) &gt; 0</f>
        <v>0</v>
      </c>
      <c r="F236" t="s">
        <v>614</v>
      </c>
      <c r="G236" t="s">
        <v>969</v>
      </c>
      <c r="H236" t="s">
        <v>187</v>
      </c>
      <c r="I236" t="s">
        <v>970</v>
      </c>
      <c r="J236" s="1" t="s">
        <v>971</v>
      </c>
    </row>
    <row r="237" spans="1:10" ht="15" customHeight="1" x14ac:dyDescent="0.25">
      <c r="A237" t="s">
        <v>972</v>
      </c>
      <c r="B237">
        <v>2023</v>
      </c>
      <c r="C237" t="s">
        <v>179</v>
      </c>
      <c r="D237" t="b">
        <f>TRUE()</f>
        <v>1</v>
      </c>
      <c r="E237" t="b">
        <f>COUNTIF(connections!A:A, A237) &gt; 0</f>
        <v>0</v>
      </c>
      <c r="G237" t="s">
        <v>973</v>
      </c>
      <c r="H237" t="s">
        <v>187</v>
      </c>
      <c r="I237" t="s">
        <v>974</v>
      </c>
      <c r="J237" s="11" t="s">
        <v>975</v>
      </c>
    </row>
    <row r="238" spans="1:10" ht="15" customHeight="1" x14ac:dyDescent="0.25">
      <c r="A238" t="s">
        <v>976</v>
      </c>
      <c r="B238">
        <v>1993</v>
      </c>
      <c r="C238" t="s">
        <v>176</v>
      </c>
      <c r="D238" t="b">
        <f>FALSE()</f>
        <v>0</v>
      </c>
      <c r="E238" t="b">
        <f>COUNTIF(connections!A:A, A238) &gt; 0</f>
        <v>0</v>
      </c>
      <c r="G238" t="s">
        <v>977</v>
      </c>
    </row>
    <row r="239" spans="1:10" ht="15" customHeight="1" x14ac:dyDescent="0.25">
      <c r="A239" t="s">
        <v>978</v>
      </c>
      <c r="B239">
        <v>2008</v>
      </c>
      <c r="C239" t="s">
        <v>179</v>
      </c>
      <c r="D239" t="b">
        <f>TRUE()</f>
        <v>1</v>
      </c>
      <c r="E239" t="b">
        <f>COUNTIF(connections!A:A, A239) &gt; 0</f>
        <v>0</v>
      </c>
      <c r="G239" t="s">
        <v>979</v>
      </c>
      <c r="H239" t="s">
        <v>187</v>
      </c>
      <c r="I239" t="s">
        <v>980</v>
      </c>
    </row>
    <row r="240" spans="1:10" ht="15" customHeight="1" x14ac:dyDescent="0.25">
      <c r="A240" t="s">
        <v>981</v>
      </c>
      <c r="B240">
        <v>2016</v>
      </c>
      <c r="C240" t="s">
        <v>222</v>
      </c>
      <c r="D240" t="b">
        <f>TRUE()</f>
        <v>1</v>
      </c>
      <c r="E240" t="b">
        <f>COUNTIF(connections!A:A, A240) &gt; 0</f>
        <v>0</v>
      </c>
      <c r="G240" t="s">
        <v>982</v>
      </c>
      <c r="H240" t="s">
        <v>187</v>
      </c>
      <c r="I240" t="s">
        <v>983</v>
      </c>
      <c r="J240" s="11" t="s">
        <v>984</v>
      </c>
    </row>
    <row r="241" spans="1:10" ht="15" customHeight="1" x14ac:dyDescent="0.25">
      <c r="A241" t="s">
        <v>985</v>
      </c>
      <c r="B241">
        <v>2010</v>
      </c>
      <c r="C241" t="s">
        <v>179</v>
      </c>
      <c r="D241" t="b">
        <f>TRUE()</f>
        <v>1</v>
      </c>
      <c r="E241" t="b">
        <f>COUNTIF(connections!A:A, A241) &gt; 0</f>
        <v>1</v>
      </c>
      <c r="G241" t="s">
        <v>986</v>
      </c>
      <c r="H241" t="s">
        <v>187</v>
      </c>
      <c r="I241" t="s">
        <v>987</v>
      </c>
      <c r="J241" s="1" t="s">
        <v>988</v>
      </c>
    </row>
    <row r="242" spans="1:10" ht="15" customHeight="1" x14ac:dyDescent="0.25">
      <c r="A242" t="s">
        <v>989</v>
      </c>
      <c r="B242">
        <v>2024</v>
      </c>
      <c r="C242" t="s">
        <v>182</v>
      </c>
      <c r="D242" t="b">
        <f>TRUE()</f>
        <v>1</v>
      </c>
      <c r="E242" t="b">
        <f>COUNTIF(connections!A:A, A242) &gt; 0</f>
        <v>0</v>
      </c>
      <c r="F242" t="s">
        <v>354</v>
      </c>
      <c r="G242" t="s">
        <v>990</v>
      </c>
      <c r="H242" t="s">
        <v>187</v>
      </c>
      <c r="I242" t="s">
        <v>991</v>
      </c>
      <c r="J242" s="1" t="s">
        <v>992</v>
      </c>
    </row>
    <row r="243" spans="1:10" ht="15" customHeight="1" x14ac:dyDescent="0.25">
      <c r="A243" t="s">
        <v>993</v>
      </c>
      <c r="B243">
        <v>2024</v>
      </c>
      <c r="C243" t="s">
        <v>176</v>
      </c>
      <c r="D243" t="b">
        <f>TRUE()</f>
        <v>1</v>
      </c>
      <c r="E243" t="b">
        <f>COUNTIF(connections!A:A, A243) &gt; 0</f>
        <v>0</v>
      </c>
      <c r="G243" t="s">
        <v>994</v>
      </c>
    </row>
    <row r="244" spans="1:10" ht="15" customHeight="1" x14ac:dyDescent="0.25">
      <c r="A244" t="s">
        <v>995</v>
      </c>
      <c r="B244">
        <v>2011</v>
      </c>
      <c r="C244" t="s">
        <v>179</v>
      </c>
      <c r="D244" t="b">
        <f>TRUE()</f>
        <v>1</v>
      </c>
      <c r="E244" t="b">
        <f>COUNTIF(connections!A:A, A244) &gt; 0</f>
        <v>1</v>
      </c>
      <c r="G244" t="s">
        <v>996</v>
      </c>
      <c r="H244" t="s">
        <v>187</v>
      </c>
      <c r="I244" t="s">
        <v>997</v>
      </c>
      <c r="J244" s="1" t="s">
        <v>998</v>
      </c>
    </row>
    <row r="245" spans="1:10" ht="15" customHeight="1" x14ac:dyDescent="0.25">
      <c r="A245" t="s">
        <v>999</v>
      </c>
      <c r="B245">
        <v>2018</v>
      </c>
      <c r="C245" t="s">
        <v>176</v>
      </c>
      <c r="D245" t="b">
        <f>TRUE()</f>
        <v>1</v>
      </c>
      <c r="E245" t="b">
        <f>COUNTIF(connections!A:A, A245) &gt; 0</f>
        <v>1</v>
      </c>
      <c r="G245" t="s">
        <v>1000</v>
      </c>
      <c r="H245" t="s">
        <v>187</v>
      </c>
      <c r="I245" t="s">
        <v>1001</v>
      </c>
      <c r="J245" s="1" t="s">
        <v>1002</v>
      </c>
    </row>
    <row r="246" spans="1:10" ht="15" customHeight="1" x14ac:dyDescent="0.25">
      <c r="A246" t="s">
        <v>1003</v>
      </c>
      <c r="B246">
        <v>2025</v>
      </c>
      <c r="C246" t="s">
        <v>176</v>
      </c>
      <c r="D246" t="b">
        <f>TRUE()</f>
        <v>1</v>
      </c>
      <c r="E246" t="b">
        <f>COUNTIF(connections!A:A, A246) &gt; 0</f>
        <v>0</v>
      </c>
      <c r="G246" t="s">
        <v>1004</v>
      </c>
    </row>
    <row r="247" spans="1:10" ht="15" customHeight="1" x14ac:dyDescent="0.25">
      <c r="A247" t="s">
        <v>1005</v>
      </c>
      <c r="B247">
        <v>2006</v>
      </c>
      <c r="C247" t="s">
        <v>222</v>
      </c>
      <c r="D247" t="b">
        <f>TRUE()</f>
        <v>1</v>
      </c>
      <c r="E247" t="b">
        <f>COUNTIF(connections!A:A, A247) &gt; 0</f>
        <v>1</v>
      </c>
      <c r="G247" t="s">
        <v>1006</v>
      </c>
      <c r="H247" t="s">
        <v>187</v>
      </c>
      <c r="I247" t="s">
        <v>1007</v>
      </c>
      <c r="J247" s="1" t="s">
        <v>1008</v>
      </c>
    </row>
    <row r="248" spans="1:10" ht="15" customHeight="1" x14ac:dyDescent="0.25">
      <c r="A248" t="s">
        <v>1009</v>
      </c>
      <c r="B248">
        <v>2023</v>
      </c>
      <c r="C248" t="s">
        <v>222</v>
      </c>
      <c r="D248" t="b">
        <f>TRUE()</f>
        <v>1</v>
      </c>
      <c r="E248" t="b">
        <f>COUNTIF(connections!A:A, A248) &gt; 0</f>
        <v>0</v>
      </c>
      <c r="G248" t="s">
        <v>1010</v>
      </c>
    </row>
    <row r="249" spans="1:10" ht="15" customHeight="1" x14ac:dyDescent="0.25">
      <c r="A249" t="s">
        <v>1011</v>
      </c>
      <c r="B249">
        <v>2025</v>
      </c>
      <c r="C249" t="s">
        <v>176</v>
      </c>
      <c r="D249" t="b">
        <f>TRUE()</f>
        <v>1</v>
      </c>
      <c r="E249" t="b">
        <f>COUNTIF(connections!A:A, A249) &gt; 0</f>
        <v>1</v>
      </c>
      <c r="G249" t="s">
        <v>1012</v>
      </c>
      <c r="H249" t="s">
        <v>187</v>
      </c>
      <c r="I249" t="s">
        <v>1013</v>
      </c>
      <c r="J249" s="1" t="s">
        <v>1014</v>
      </c>
    </row>
    <row r="250" spans="1:10" ht="15" customHeight="1" x14ac:dyDescent="0.25">
      <c r="A250" t="s">
        <v>1015</v>
      </c>
      <c r="B250">
        <v>2013</v>
      </c>
      <c r="C250" t="s">
        <v>176</v>
      </c>
      <c r="D250" t="b">
        <f>TRUE()</f>
        <v>1</v>
      </c>
      <c r="E250" t="b">
        <f>COUNTIF(connections!A:A, A250) &gt; 0</f>
        <v>0</v>
      </c>
      <c r="G250" t="s">
        <v>1016</v>
      </c>
      <c r="J250" s="11" t="s">
        <v>1017</v>
      </c>
    </row>
    <row r="251" spans="1:10" ht="15" customHeight="1" x14ac:dyDescent="0.25">
      <c r="A251" t="s">
        <v>1018</v>
      </c>
      <c r="B251">
        <v>2023</v>
      </c>
      <c r="C251" t="s">
        <v>176</v>
      </c>
      <c r="D251" t="b">
        <f>TRUE()</f>
        <v>1</v>
      </c>
      <c r="E251" t="b">
        <f>COUNTIF(connections!A:A, A251) &gt; 0</f>
        <v>0</v>
      </c>
      <c r="G251" t="s">
        <v>1019</v>
      </c>
      <c r="H251" t="s">
        <v>187</v>
      </c>
      <c r="I251" t="s">
        <v>1020</v>
      </c>
      <c r="J251" s="1" t="s">
        <v>1021</v>
      </c>
    </row>
    <row r="252" spans="1:10" ht="15" customHeight="1" x14ac:dyDescent="0.25">
      <c r="A252" t="s">
        <v>1022</v>
      </c>
      <c r="B252">
        <v>2023</v>
      </c>
      <c r="C252" t="s">
        <v>176</v>
      </c>
      <c r="D252" t="b">
        <f>TRUE()</f>
        <v>1</v>
      </c>
      <c r="E252" t="b">
        <f>COUNTIF(connections!A:A, A252) &gt; 0</f>
        <v>0</v>
      </c>
      <c r="G252" t="s">
        <v>1023</v>
      </c>
      <c r="H252" t="s">
        <v>187</v>
      </c>
      <c r="I252" t="s">
        <v>1024</v>
      </c>
      <c r="J252" s="11" t="s">
        <v>1025</v>
      </c>
    </row>
    <row r="253" spans="1:10" ht="15" customHeight="1" x14ac:dyDescent="0.25">
      <c r="A253" t="s">
        <v>1026</v>
      </c>
      <c r="B253">
        <v>2024</v>
      </c>
      <c r="C253" t="s">
        <v>179</v>
      </c>
      <c r="D253" t="b">
        <f>TRUE()</f>
        <v>1</v>
      </c>
      <c r="E253" t="b">
        <f>COUNTIF(connections!A:A, A253) &gt; 0</f>
        <v>0</v>
      </c>
      <c r="G253" t="s">
        <v>1027</v>
      </c>
    </row>
    <row r="254" spans="1:10" ht="15" customHeight="1" x14ac:dyDescent="0.25">
      <c r="A254" t="s">
        <v>1028</v>
      </c>
      <c r="B254">
        <v>2008</v>
      </c>
      <c r="C254" t="s">
        <v>179</v>
      </c>
      <c r="D254" t="b">
        <f>TRUE()</f>
        <v>1</v>
      </c>
      <c r="E254" t="b">
        <f>COUNTIF(connections!A:A, A254) &gt; 0</f>
        <v>1</v>
      </c>
      <c r="G254" t="s">
        <v>1029</v>
      </c>
    </row>
    <row r="255" spans="1:10" ht="15" customHeight="1" x14ac:dyDescent="0.25">
      <c r="A255" t="s">
        <v>1030</v>
      </c>
      <c r="B255">
        <v>2022</v>
      </c>
      <c r="C255" t="s">
        <v>176</v>
      </c>
      <c r="D255" t="b">
        <f>TRUE()</f>
        <v>1</v>
      </c>
      <c r="E255" t="b">
        <f>COUNTIF(connections!A:A, A255) &gt; 0</f>
        <v>1</v>
      </c>
      <c r="F255" t="s">
        <v>1031</v>
      </c>
      <c r="G255" t="s">
        <v>1032</v>
      </c>
      <c r="H255" t="s">
        <v>187</v>
      </c>
      <c r="I255" t="s">
        <v>1033</v>
      </c>
      <c r="J255" s="1" t="s">
        <v>1034</v>
      </c>
    </row>
    <row r="256" spans="1:10" ht="15" customHeight="1" x14ac:dyDescent="0.25">
      <c r="A256" t="s">
        <v>1035</v>
      </c>
      <c r="B256">
        <v>2024</v>
      </c>
      <c r="C256" t="s">
        <v>222</v>
      </c>
      <c r="D256" t="b">
        <f>TRUE()</f>
        <v>1</v>
      </c>
      <c r="E256" t="b">
        <f>COUNTIF(connections!A:A, A256) &gt; 0</f>
        <v>0</v>
      </c>
      <c r="F256" t="s">
        <v>404</v>
      </c>
      <c r="G256" t="s">
        <v>1036</v>
      </c>
      <c r="H256" t="s">
        <v>187</v>
      </c>
      <c r="I256" t="s">
        <v>1037</v>
      </c>
      <c r="J256" s="1" t="s">
        <v>1038</v>
      </c>
    </row>
    <row r="257" spans="1:10" ht="15" customHeight="1" x14ac:dyDescent="0.25">
      <c r="A257" t="s">
        <v>1039</v>
      </c>
      <c r="B257">
        <v>2023</v>
      </c>
      <c r="C257" t="s">
        <v>182</v>
      </c>
      <c r="D257" t="b">
        <f>TRUE()</f>
        <v>1</v>
      </c>
      <c r="E257" t="b">
        <f>COUNTIF(connections!A:A, A257) &gt; 0</f>
        <v>0</v>
      </c>
      <c r="G257" t="s">
        <v>1040</v>
      </c>
      <c r="H257" t="s">
        <v>187</v>
      </c>
      <c r="I257" t="s">
        <v>1041</v>
      </c>
      <c r="J257" s="1" t="s">
        <v>1042</v>
      </c>
    </row>
    <row r="258" spans="1:10" ht="15" customHeight="1" x14ac:dyDescent="0.25">
      <c r="A258" t="s">
        <v>1043</v>
      </c>
      <c r="B258">
        <v>2025</v>
      </c>
      <c r="C258" t="s">
        <v>176</v>
      </c>
      <c r="D258" t="b">
        <f>TRUE()</f>
        <v>1</v>
      </c>
      <c r="E258" t="b">
        <f>COUNTIF(connections!A:A, A258) &gt; 0</f>
        <v>0</v>
      </c>
      <c r="G258" t="s">
        <v>1044</v>
      </c>
      <c r="H258" t="s">
        <v>187</v>
      </c>
      <c r="I258" t="s">
        <v>1045</v>
      </c>
      <c r="J258" s="1" t="s">
        <v>1046</v>
      </c>
    </row>
    <row r="259" spans="1:10" ht="15" customHeight="1" x14ac:dyDescent="0.25">
      <c r="A259" t="s">
        <v>1047</v>
      </c>
      <c r="B259">
        <v>2016</v>
      </c>
      <c r="C259" t="s">
        <v>176</v>
      </c>
      <c r="D259" t="b">
        <f>TRUE()</f>
        <v>1</v>
      </c>
      <c r="E259" t="b">
        <f>COUNTIF(connections!A:A, A259) &gt; 0</f>
        <v>1</v>
      </c>
      <c r="G259" t="s">
        <v>1048</v>
      </c>
      <c r="H259" t="s">
        <v>187</v>
      </c>
      <c r="I259" t="s">
        <v>1049</v>
      </c>
      <c r="J259" s="1" t="s">
        <v>1050</v>
      </c>
    </row>
    <row r="260" spans="1:10" ht="15" customHeight="1" x14ac:dyDescent="0.25">
      <c r="A260" t="s">
        <v>1051</v>
      </c>
      <c r="B260">
        <v>2025</v>
      </c>
      <c r="C260" t="s">
        <v>222</v>
      </c>
      <c r="D260" t="b">
        <f>TRUE()</f>
        <v>1</v>
      </c>
      <c r="E260" t="b">
        <f>COUNTIF(connections!A:A, A260) &gt; 0</f>
        <v>0</v>
      </c>
      <c r="G260" t="s">
        <v>1052</v>
      </c>
    </row>
    <row r="261" spans="1:10" ht="15" customHeight="1" x14ac:dyDescent="0.25">
      <c r="A261" t="s">
        <v>1053</v>
      </c>
      <c r="B261">
        <v>2004</v>
      </c>
      <c r="C261" t="s">
        <v>179</v>
      </c>
      <c r="D261" t="b">
        <f>TRUE()</f>
        <v>1</v>
      </c>
      <c r="E261" t="b">
        <f>COUNTIF(connections!A:A, A261) &gt; 0</f>
        <v>0</v>
      </c>
      <c r="G261" t="s">
        <v>1054</v>
      </c>
      <c r="H261" t="s">
        <v>187</v>
      </c>
      <c r="I261" t="s">
        <v>1055</v>
      </c>
    </row>
    <row r="262" spans="1:10" ht="15" customHeight="1" x14ac:dyDescent="0.25">
      <c r="A262" t="s">
        <v>1056</v>
      </c>
      <c r="B262">
        <v>2015</v>
      </c>
      <c r="C262" t="s">
        <v>179</v>
      </c>
      <c r="D262" t="b">
        <f>TRUE()</f>
        <v>1</v>
      </c>
      <c r="E262" t="b">
        <f>COUNTIF(connections!A:A, A262) &gt; 0</f>
        <v>1</v>
      </c>
      <c r="G262" t="s">
        <v>1057</v>
      </c>
    </row>
    <row r="263" spans="1:10" ht="15" customHeight="1" x14ac:dyDescent="0.25">
      <c r="A263" t="s">
        <v>1058</v>
      </c>
      <c r="B263">
        <v>2017</v>
      </c>
      <c r="C263" t="s">
        <v>179</v>
      </c>
      <c r="D263" t="b">
        <f>TRUE()</f>
        <v>1</v>
      </c>
      <c r="E263" t="b">
        <f>COUNTIF(connections!A:A, A263) &gt; 0</f>
        <v>0</v>
      </c>
      <c r="G263" t="s">
        <v>1059</v>
      </c>
    </row>
    <row r="264" spans="1:10" ht="15" customHeight="1" x14ac:dyDescent="0.25">
      <c r="A264" t="s">
        <v>1060</v>
      </c>
      <c r="B264">
        <v>2026</v>
      </c>
      <c r="C264" t="s">
        <v>176</v>
      </c>
      <c r="D264" t="b">
        <f>TRUE()</f>
        <v>1</v>
      </c>
      <c r="E264" t="b">
        <f>COUNTIF(connections!A:A, A264) &gt; 0</f>
        <v>0</v>
      </c>
      <c r="G264" t="s">
        <v>1061</v>
      </c>
      <c r="H264" t="s">
        <v>187</v>
      </c>
      <c r="I264" t="s">
        <v>1062</v>
      </c>
      <c r="J264" s="1" t="s">
        <v>1063</v>
      </c>
    </row>
    <row r="265" spans="1:10" ht="15" customHeight="1" x14ac:dyDescent="0.25">
      <c r="A265" t="s">
        <v>1064</v>
      </c>
      <c r="B265">
        <v>2023</v>
      </c>
      <c r="C265" t="s">
        <v>176</v>
      </c>
      <c r="D265" t="b">
        <f>FALSE()</f>
        <v>0</v>
      </c>
      <c r="E265" t="b">
        <f>COUNTIF(connections!A:A, A265) &gt; 0</f>
        <v>0</v>
      </c>
      <c r="G265" t="s">
        <v>1065</v>
      </c>
      <c r="H265" t="s">
        <v>187</v>
      </c>
      <c r="I265" t="s">
        <v>1066</v>
      </c>
      <c r="J265" s="1" t="s">
        <v>1067</v>
      </c>
    </row>
    <row r="266" spans="1:10" ht="15" customHeight="1" x14ac:dyDescent="0.25">
      <c r="A266" t="s">
        <v>1068</v>
      </c>
      <c r="B266">
        <v>2020</v>
      </c>
      <c r="C266" t="s">
        <v>176</v>
      </c>
      <c r="D266" t="b">
        <f>TRUE()</f>
        <v>1</v>
      </c>
      <c r="E266" t="b">
        <f>COUNTIF(connections!A:A, A266) &gt; 0</f>
        <v>0</v>
      </c>
      <c r="G266" t="s">
        <v>1069</v>
      </c>
      <c r="H266" t="s">
        <v>187</v>
      </c>
      <c r="I266" t="s">
        <v>1070</v>
      </c>
      <c r="J266" s="1" t="s">
        <v>1071</v>
      </c>
    </row>
    <row r="267" spans="1:10" ht="15" customHeight="1" x14ac:dyDescent="0.25">
      <c r="A267" t="s">
        <v>1072</v>
      </c>
      <c r="B267">
        <v>2024</v>
      </c>
      <c r="C267" t="s">
        <v>182</v>
      </c>
      <c r="D267" t="b">
        <f>TRUE()</f>
        <v>1</v>
      </c>
      <c r="E267" t="b">
        <f>COUNTIF(connections!A:A, A267) &gt; 0</f>
        <v>0</v>
      </c>
      <c r="G267" t="s">
        <v>1073</v>
      </c>
      <c r="H267" t="s">
        <v>187</v>
      </c>
      <c r="I267" t="s">
        <v>1074</v>
      </c>
      <c r="J267" s="1" t="s">
        <v>1075</v>
      </c>
    </row>
    <row r="268" spans="1:10" ht="15" customHeight="1" x14ac:dyDescent="0.25">
      <c r="A268" t="s">
        <v>1076</v>
      </c>
      <c r="B268">
        <v>2024</v>
      </c>
      <c r="C268" t="s">
        <v>182</v>
      </c>
      <c r="D268" t="b">
        <f>FALSE()</f>
        <v>0</v>
      </c>
      <c r="E268" t="b">
        <f>COUNTIF(connections!A:A, A268) &gt; 0</f>
        <v>0</v>
      </c>
      <c r="F268" t="s">
        <v>1077</v>
      </c>
      <c r="G268" t="s">
        <v>1078</v>
      </c>
      <c r="H268" t="s">
        <v>187</v>
      </c>
      <c r="I268" t="s">
        <v>1079</v>
      </c>
      <c r="J268" s="1" t="s">
        <v>1080</v>
      </c>
    </row>
    <row r="269" spans="1:10" ht="15" customHeight="1" x14ac:dyDescent="0.25">
      <c r="A269" t="s">
        <v>1081</v>
      </c>
      <c r="B269">
        <v>1990</v>
      </c>
      <c r="C269" t="s">
        <v>179</v>
      </c>
      <c r="D269" t="b">
        <f>TRUE()</f>
        <v>1</v>
      </c>
      <c r="E269" t="b">
        <f>COUNTIF(connections!A:A, A269) &gt; 0</f>
        <v>1</v>
      </c>
      <c r="G269" t="s">
        <v>1082</v>
      </c>
      <c r="H269" t="s">
        <v>187</v>
      </c>
      <c r="I269" t="s">
        <v>1083</v>
      </c>
    </row>
    <row r="270" spans="1:10" ht="15" customHeight="1" x14ac:dyDescent="0.25">
      <c r="A270" t="s">
        <v>1084</v>
      </c>
      <c r="B270">
        <v>2018</v>
      </c>
      <c r="C270" t="s">
        <v>222</v>
      </c>
      <c r="D270" t="b">
        <f>TRUE()</f>
        <v>1</v>
      </c>
      <c r="E270" t="b">
        <f>COUNTIF(connections!A:A, A270) &gt; 0</f>
        <v>0</v>
      </c>
      <c r="G270" t="s">
        <v>1085</v>
      </c>
    </row>
    <row r="271" spans="1:10" ht="15" customHeight="1" x14ac:dyDescent="0.25">
      <c r="A271" t="s">
        <v>1086</v>
      </c>
      <c r="B271">
        <v>2024</v>
      </c>
      <c r="C271" t="s">
        <v>222</v>
      </c>
      <c r="D271" t="b">
        <f>TRUE()</f>
        <v>1</v>
      </c>
      <c r="E271" t="b">
        <f>COUNTIF(connections!A:A, A271) &gt; 0</f>
        <v>0</v>
      </c>
      <c r="F271" t="s">
        <v>652</v>
      </c>
      <c r="G271" t="s">
        <v>1087</v>
      </c>
      <c r="H271" t="s">
        <v>187</v>
      </c>
      <c r="I271" t="s">
        <v>1088</v>
      </c>
      <c r="J271" s="1" t="s">
        <v>1089</v>
      </c>
    </row>
    <row r="272" spans="1:10" ht="15" customHeight="1" x14ac:dyDescent="0.25">
      <c r="A272" t="s">
        <v>1090</v>
      </c>
      <c r="B272">
        <v>2021</v>
      </c>
      <c r="C272" t="s">
        <v>182</v>
      </c>
      <c r="D272" t="b">
        <f>TRUE()</f>
        <v>1</v>
      </c>
      <c r="E272" t="b">
        <f>COUNTIF(connections!A:A, A272) &gt; 0</f>
        <v>1</v>
      </c>
      <c r="G272" t="s">
        <v>1091</v>
      </c>
      <c r="H272" t="s">
        <v>187</v>
      </c>
      <c r="I272" t="s">
        <v>1092</v>
      </c>
      <c r="J272" s="1" t="s">
        <v>1093</v>
      </c>
    </row>
    <row r="273" spans="1:10" ht="15" customHeight="1" x14ac:dyDescent="0.25">
      <c r="A273" t="s">
        <v>1094</v>
      </c>
      <c r="B273">
        <v>2007</v>
      </c>
      <c r="C273" t="s">
        <v>179</v>
      </c>
      <c r="D273" t="b">
        <f>TRUE()</f>
        <v>1</v>
      </c>
      <c r="E273" t="b">
        <f>COUNTIF(connections!A:A, A273) &gt; 0</f>
        <v>1</v>
      </c>
      <c r="G273" t="s">
        <v>1095</v>
      </c>
      <c r="H273" t="s">
        <v>187</v>
      </c>
      <c r="I273" t="s">
        <v>1096</v>
      </c>
    </row>
    <row r="274" spans="1:10" ht="15" customHeight="1" x14ac:dyDescent="0.25">
      <c r="A274" t="s">
        <v>1097</v>
      </c>
      <c r="B274">
        <v>2024</v>
      </c>
      <c r="C274" t="s">
        <v>176</v>
      </c>
      <c r="D274" t="b">
        <f>TRUE()</f>
        <v>1</v>
      </c>
      <c r="E274" t="b">
        <f>COUNTIF(connections!A:A, A274) &gt; 0</f>
        <v>0</v>
      </c>
      <c r="F274" t="s">
        <v>652</v>
      </c>
      <c r="G274" t="s">
        <v>1098</v>
      </c>
      <c r="H274" t="s">
        <v>187</v>
      </c>
      <c r="I274" t="s">
        <v>1099</v>
      </c>
      <c r="J274" s="1" t="s">
        <v>1100</v>
      </c>
    </row>
    <row r="275" spans="1:10" ht="15" customHeight="1" x14ac:dyDescent="0.25">
      <c r="A275" t="s">
        <v>1101</v>
      </c>
      <c r="B275">
        <v>2022</v>
      </c>
      <c r="C275" t="s">
        <v>176</v>
      </c>
      <c r="D275" t="b">
        <f>TRUE()</f>
        <v>1</v>
      </c>
      <c r="E275" t="b">
        <f>COUNTIF(connections!A:A, A275) &gt; 0</f>
        <v>1</v>
      </c>
      <c r="G275" t="s">
        <v>1102</v>
      </c>
    </row>
    <row r="276" spans="1:10" ht="15" customHeight="1" x14ac:dyDescent="0.25">
      <c r="A276" t="s">
        <v>1103</v>
      </c>
      <c r="B276">
        <v>2025</v>
      </c>
      <c r="C276" t="s">
        <v>222</v>
      </c>
      <c r="D276" t="b">
        <f>FALSE()</f>
        <v>0</v>
      </c>
      <c r="E276" t="b">
        <f>COUNTIF(connections!A:A, A276) &gt; 0</f>
        <v>0</v>
      </c>
      <c r="G276" t="s">
        <v>1104</v>
      </c>
    </row>
    <row r="277" spans="1:10" ht="15" customHeight="1" x14ac:dyDescent="0.25">
      <c r="A277" t="s">
        <v>1105</v>
      </c>
      <c r="B277">
        <v>2017</v>
      </c>
      <c r="C277" t="s">
        <v>176</v>
      </c>
      <c r="D277" t="b">
        <f>TRUE()</f>
        <v>1</v>
      </c>
      <c r="E277" t="b">
        <f>COUNTIF(connections!A:A, A277) &gt; 0</f>
        <v>0</v>
      </c>
      <c r="F277" t="s">
        <v>274</v>
      </c>
      <c r="G277" t="s">
        <v>1106</v>
      </c>
      <c r="H277" t="s">
        <v>187</v>
      </c>
      <c r="I277" t="s">
        <v>1107</v>
      </c>
      <c r="J277" s="1" t="s">
        <v>1108</v>
      </c>
    </row>
    <row r="278" spans="1:10" ht="15" customHeight="1" x14ac:dyDescent="0.25">
      <c r="A278" t="s">
        <v>1109</v>
      </c>
      <c r="B278">
        <v>2026</v>
      </c>
      <c r="C278" t="s">
        <v>182</v>
      </c>
      <c r="D278" t="b">
        <v>1</v>
      </c>
      <c r="E278" t="b">
        <v>0</v>
      </c>
      <c r="F278" t="s">
        <v>587</v>
      </c>
      <c r="G278" t="s">
        <v>1110</v>
      </c>
      <c r="J278" s="11" t="s">
        <v>1111</v>
      </c>
    </row>
    <row r="279" spans="1:10" ht="15" customHeight="1" x14ac:dyDescent="0.25">
      <c r="A279" t="s">
        <v>1112</v>
      </c>
      <c r="B279">
        <v>2024</v>
      </c>
      <c r="C279" t="s">
        <v>176</v>
      </c>
      <c r="D279" t="b">
        <f>FALSE()</f>
        <v>0</v>
      </c>
      <c r="E279" t="b">
        <f>COUNTIF(connections!A:A, A279) &gt; 0</f>
        <v>0</v>
      </c>
      <c r="F279" t="s">
        <v>614</v>
      </c>
      <c r="G279" t="s">
        <v>1113</v>
      </c>
      <c r="H279" t="s">
        <v>187</v>
      </c>
      <c r="I279" t="s">
        <v>1114</v>
      </c>
      <c r="J279" s="1" t="s">
        <v>1115</v>
      </c>
    </row>
    <row r="280" spans="1:10" ht="15" customHeight="1" x14ac:dyDescent="0.25">
      <c r="A280" t="s">
        <v>1116</v>
      </c>
      <c r="B280">
        <v>2018</v>
      </c>
      <c r="C280" t="s">
        <v>222</v>
      </c>
      <c r="D280" t="b">
        <f>TRUE()</f>
        <v>1</v>
      </c>
      <c r="E280" t="b">
        <f>COUNTIF(connections!A:A, A280) &gt; 0</f>
        <v>1</v>
      </c>
      <c r="G280" t="s">
        <v>1117</v>
      </c>
      <c r="H280" t="s">
        <v>187</v>
      </c>
      <c r="I280" t="s">
        <v>1118</v>
      </c>
      <c r="J280" s="1" t="s">
        <v>1119</v>
      </c>
    </row>
    <row r="281" spans="1:10" ht="15" customHeight="1" x14ac:dyDescent="0.25">
      <c r="A281" t="s">
        <v>1120</v>
      </c>
      <c r="B281">
        <v>2023</v>
      </c>
      <c r="C281" t="s">
        <v>222</v>
      </c>
      <c r="D281" t="b">
        <f>TRUE()</f>
        <v>1</v>
      </c>
      <c r="E281" t="b">
        <f>COUNTIF(connections!A:A, A281) &gt; 0</f>
        <v>0</v>
      </c>
      <c r="G281" t="s">
        <v>1121</v>
      </c>
      <c r="H281" t="s">
        <v>187</v>
      </c>
      <c r="I281" t="s">
        <v>1122</v>
      </c>
      <c r="J281" s="1" t="s">
        <v>1123</v>
      </c>
    </row>
    <row r="282" spans="1:10" ht="15" customHeight="1" x14ac:dyDescent="0.25">
      <c r="A282" t="s">
        <v>1124</v>
      </c>
      <c r="B282">
        <v>2020</v>
      </c>
      <c r="C282" t="s">
        <v>182</v>
      </c>
      <c r="D282" t="b">
        <f>TRUE()</f>
        <v>1</v>
      </c>
      <c r="E282" t="b">
        <f>COUNTIF(connections!A:A, A282) &gt; 0</f>
        <v>1</v>
      </c>
      <c r="F282" t="s">
        <v>274</v>
      </c>
      <c r="G282" t="s">
        <v>1125</v>
      </c>
      <c r="H282" t="s">
        <v>187</v>
      </c>
      <c r="I282" t="s">
        <v>1126</v>
      </c>
      <c r="J282" s="11" t="s">
        <v>1127</v>
      </c>
    </row>
    <row r="283" spans="1:10" ht="15" customHeight="1" x14ac:dyDescent="0.25">
      <c r="A283" t="s">
        <v>1128</v>
      </c>
      <c r="B283">
        <v>2025</v>
      </c>
      <c r="C283" t="s">
        <v>176</v>
      </c>
      <c r="D283" t="b">
        <f>FALSE()</f>
        <v>0</v>
      </c>
      <c r="E283" t="b">
        <f>COUNTIF(connections!A:A, A283) &gt; 0</f>
        <v>0</v>
      </c>
      <c r="G283" t="s">
        <v>1129</v>
      </c>
    </row>
    <row r="284" spans="1:10" ht="15" customHeight="1" x14ac:dyDescent="0.25">
      <c r="A284" t="s">
        <v>1130</v>
      </c>
      <c r="B284">
        <v>2022</v>
      </c>
      <c r="C284" t="s">
        <v>222</v>
      </c>
      <c r="D284" t="b">
        <f>TRUE()</f>
        <v>1</v>
      </c>
      <c r="E284" t="b">
        <f>COUNTIF(connections!A:A, A284) &gt; 0</f>
        <v>1</v>
      </c>
      <c r="G284" t="s">
        <v>1131</v>
      </c>
      <c r="H284" t="s">
        <v>187</v>
      </c>
      <c r="I284" t="s">
        <v>1132</v>
      </c>
      <c r="J284" s="1" t="s">
        <v>1133</v>
      </c>
    </row>
    <row r="285" spans="1:10" ht="15" customHeight="1" x14ac:dyDescent="0.25">
      <c r="A285" t="s">
        <v>1134</v>
      </c>
      <c r="B285">
        <v>2017</v>
      </c>
      <c r="C285" t="s">
        <v>176</v>
      </c>
      <c r="D285" t="b">
        <f>TRUE()</f>
        <v>1</v>
      </c>
      <c r="E285" t="b">
        <f>COUNTIF(connections!A:A, A285) &gt; 0</f>
        <v>0</v>
      </c>
      <c r="G285" t="s">
        <v>1135</v>
      </c>
      <c r="H285" t="s">
        <v>187</v>
      </c>
      <c r="I285" t="s">
        <v>1136</v>
      </c>
      <c r="J285" s="1" t="s">
        <v>1137</v>
      </c>
    </row>
    <row r="286" spans="1:10" ht="15" customHeight="1" x14ac:dyDescent="0.25">
      <c r="A286" t="s">
        <v>1138</v>
      </c>
      <c r="B286">
        <v>2025</v>
      </c>
      <c r="C286" t="s">
        <v>176</v>
      </c>
      <c r="D286" t="b">
        <f>TRUE()</f>
        <v>1</v>
      </c>
      <c r="E286" t="b">
        <f>COUNTIF(connections!A:A, A286) &gt; 0</f>
        <v>0</v>
      </c>
      <c r="G286" t="s">
        <v>1139</v>
      </c>
      <c r="H286" t="s">
        <v>187</v>
      </c>
      <c r="I286" t="s">
        <v>1140</v>
      </c>
      <c r="J286" s="1" t="s">
        <v>1141</v>
      </c>
    </row>
    <row r="287" spans="1:10" ht="15" customHeight="1" x14ac:dyDescent="0.25">
      <c r="A287" t="s">
        <v>1142</v>
      </c>
      <c r="B287">
        <v>2006</v>
      </c>
      <c r="C287" t="s">
        <v>179</v>
      </c>
      <c r="D287" t="b">
        <f>TRUE()</f>
        <v>1</v>
      </c>
      <c r="E287" t="b">
        <f>COUNTIF(connections!A:A, A287) &gt; 0</f>
        <v>0</v>
      </c>
      <c r="G287" t="s">
        <v>1143</v>
      </c>
      <c r="H287" t="s">
        <v>187</v>
      </c>
      <c r="I287" t="s">
        <v>1144</v>
      </c>
    </row>
    <row r="288" spans="1:10" ht="15" customHeight="1" x14ac:dyDescent="0.25">
      <c r="A288" t="s">
        <v>1145</v>
      </c>
      <c r="B288">
        <v>2012</v>
      </c>
      <c r="C288" t="s">
        <v>222</v>
      </c>
      <c r="D288" t="b">
        <f>TRUE()</f>
        <v>1</v>
      </c>
      <c r="E288" t="b">
        <f>COUNTIF(connections!A:A, A288) &gt; 0</f>
        <v>1</v>
      </c>
      <c r="F288" t="s">
        <v>274</v>
      </c>
      <c r="G288" t="s">
        <v>1146</v>
      </c>
      <c r="H288" t="s">
        <v>187</v>
      </c>
      <c r="I288" t="s">
        <v>1147</v>
      </c>
      <c r="J288" s="1" t="s">
        <v>1148</v>
      </c>
    </row>
    <row r="289" spans="1:10" ht="15" customHeight="1" x14ac:dyDescent="0.25">
      <c r="A289" t="s">
        <v>1149</v>
      </c>
      <c r="B289">
        <v>2013</v>
      </c>
      <c r="C289" t="s">
        <v>176</v>
      </c>
      <c r="D289" t="b">
        <f>TRUE()</f>
        <v>1</v>
      </c>
      <c r="E289" t="b">
        <f>COUNTIF(connections!A:A, A289) &gt; 0</f>
        <v>0</v>
      </c>
      <c r="G289" t="s">
        <v>1150</v>
      </c>
      <c r="J289" s="11" t="s">
        <v>1151</v>
      </c>
    </row>
    <row r="290" spans="1:10" ht="15" customHeight="1" x14ac:dyDescent="0.25">
      <c r="A290" t="s">
        <v>1152</v>
      </c>
      <c r="B290">
        <v>2020</v>
      </c>
      <c r="C290" t="s">
        <v>176</v>
      </c>
      <c r="D290" t="b">
        <f>TRUE()</f>
        <v>1</v>
      </c>
      <c r="E290" t="b">
        <f>COUNTIF(connections!A:A, A290) &gt; 0</f>
        <v>0</v>
      </c>
      <c r="G290" t="s">
        <v>1153</v>
      </c>
      <c r="H290" t="s">
        <v>187</v>
      </c>
      <c r="I290" t="s">
        <v>1154</v>
      </c>
      <c r="J290" s="1" t="s">
        <v>1155</v>
      </c>
    </row>
    <row r="291" spans="1:10" ht="15" customHeight="1" x14ac:dyDescent="0.25">
      <c r="A291" t="s">
        <v>1156</v>
      </c>
      <c r="B291">
        <v>2010</v>
      </c>
      <c r="C291" t="s">
        <v>179</v>
      </c>
      <c r="D291" t="b">
        <f>TRUE()</f>
        <v>1</v>
      </c>
      <c r="E291" t="b">
        <f>COUNTIF(connections!A:A, A291) &gt; 0</f>
        <v>1</v>
      </c>
      <c r="F291" t="s">
        <v>328</v>
      </c>
      <c r="G291" t="s">
        <v>1157</v>
      </c>
    </row>
    <row r="292" spans="1:10" ht="15" customHeight="1" x14ac:dyDescent="0.25">
      <c r="A292" t="s">
        <v>1158</v>
      </c>
      <c r="B292">
        <v>2014</v>
      </c>
      <c r="C292" t="s">
        <v>179</v>
      </c>
      <c r="D292" t="b">
        <f>TRUE()</f>
        <v>1</v>
      </c>
      <c r="E292" t="b">
        <f>COUNTIF(connections!A:A, A292) &gt; 0</f>
        <v>1</v>
      </c>
      <c r="F292" t="s">
        <v>328</v>
      </c>
      <c r="G292" t="s">
        <v>1159</v>
      </c>
    </row>
    <row r="293" spans="1:10" ht="15" customHeight="1" x14ac:dyDescent="0.25">
      <c r="A293" t="s">
        <v>1160</v>
      </c>
      <c r="B293">
        <v>2024</v>
      </c>
      <c r="C293" t="s">
        <v>176</v>
      </c>
      <c r="D293" t="b">
        <f>TRUE()</f>
        <v>1</v>
      </c>
      <c r="E293" t="b">
        <f>COUNTIF(connections!A:A, A293) &gt; 0</f>
        <v>0</v>
      </c>
      <c r="F293" t="s">
        <v>274</v>
      </c>
      <c r="G293" t="s">
        <v>1161</v>
      </c>
      <c r="H293" t="s">
        <v>187</v>
      </c>
      <c r="I293" t="s">
        <v>1162</v>
      </c>
      <c r="J293" s="1" t="s">
        <v>1163</v>
      </c>
    </row>
    <row r="294" spans="1:10" ht="15" customHeight="1" x14ac:dyDescent="0.25">
      <c r="A294" t="s">
        <v>1164</v>
      </c>
      <c r="B294">
        <v>2026</v>
      </c>
      <c r="C294" t="s">
        <v>182</v>
      </c>
      <c r="D294" t="b">
        <f>TRUE()</f>
        <v>1</v>
      </c>
      <c r="E294" t="b">
        <f>COUNTIF(connections!A:A, A294) &gt; 0</f>
        <v>0</v>
      </c>
      <c r="F294" t="s">
        <v>1165</v>
      </c>
      <c r="G294" t="s">
        <v>1166</v>
      </c>
    </row>
    <row r="295" spans="1:10" ht="15" customHeight="1" x14ac:dyDescent="0.25">
      <c r="A295" t="s">
        <v>1167</v>
      </c>
      <c r="B295">
        <v>2025</v>
      </c>
      <c r="C295" t="s">
        <v>176</v>
      </c>
      <c r="D295" t="b">
        <f>TRUE()</f>
        <v>1</v>
      </c>
      <c r="E295" t="b">
        <f>COUNTIF(connections!A:A, A295) &gt; 0</f>
        <v>0</v>
      </c>
      <c r="G295" t="s">
        <v>1168</v>
      </c>
    </row>
    <row r="296" spans="1:10" ht="15" customHeight="1" x14ac:dyDescent="0.25">
      <c r="A296" t="s">
        <v>1169</v>
      </c>
      <c r="B296">
        <v>2024</v>
      </c>
      <c r="C296" t="s">
        <v>176</v>
      </c>
      <c r="D296" t="b">
        <f>TRUE()</f>
        <v>1</v>
      </c>
      <c r="E296" t="b">
        <f>COUNTIF(connections!A:A, A296) &gt; 0</f>
        <v>0</v>
      </c>
      <c r="G296" t="s">
        <v>1170</v>
      </c>
      <c r="H296" t="s">
        <v>187</v>
      </c>
      <c r="I296" t="s">
        <v>1171</v>
      </c>
    </row>
    <row r="297" spans="1:10" ht="15" customHeight="1" x14ac:dyDescent="0.25">
      <c r="A297" t="s">
        <v>1172</v>
      </c>
      <c r="B297">
        <v>2002</v>
      </c>
      <c r="C297" t="s">
        <v>179</v>
      </c>
      <c r="D297" t="b">
        <f>TRUE()</f>
        <v>1</v>
      </c>
      <c r="E297" t="b">
        <f>COUNTIF(connections!A:A, A297) &gt; 0</f>
        <v>1</v>
      </c>
      <c r="F297" t="s">
        <v>277</v>
      </c>
      <c r="G297" t="s">
        <v>1173</v>
      </c>
      <c r="H297" t="s">
        <v>187</v>
      </c>
      <c r="I297" t="s">
        <v>1174</v>
      </c>
    </row>
    <row r="298" spans="1:10" ht="15" customHeight="1" x14ac:dyDescent="0.25">
      <c r="A298" t="s">
        <v>1175</v>
      </c>
      <c r="B298">
        <v>2007</v>
      </c>
      <c r="C298" t="s">
        <v>179</v>
      </c>
      <c r="D298" t="b">
        <f>TRUE()</f>
        <v>1</v>
      </c>
      <c r="E298" t="b">
        <f>COUNTIF(connections!A:A, A298) &gt; 0</f>
        <v>1</v>
      </c>
      <c r="F298" t="s">
        <v>277</v>
      </c>
      <c r="G298" t="s">
        <v>1176</v>
      </c>
      <c r="H298" t="s">
        <v>187</v>
      </c>
      <c r="I298" t="s">
        <v>1177</v>
      </c>
    </row>
    <row r="299" spans="1:10" ht="15" customHeight="1" x14ac:dyDescent="0.25">
      <c r="A299" t="s">
        <v>1178</v>
      </c>
      <c r="B299">
        <v>2022</v>
      </c>
      <c r="C299" t="s">
        <v>179</v>
      </c>
      <c r="D299" t="b">
        <f>TRUE()</f>
        <v>1</v>
      </c>
      <c r="E299" t="b">
        <f>COUNTIF(connections!A:A, A299) &gt; 0</f>
        <v>0</v>
      </c>
      <c r="F299" t="s">
        <v>277</v>
      </c>
      <c r="G299" t="s">
        <v>1179</v>
      </c>
      <c r="J299" s="11" t="s">
        <v>1180</v>
      </c>
    </row>
    <row r="300" spans="1:10" ht="15" customHeight="1" x14ac:dyDescent="0.25">
      <c r="A300" t="s">
        <v>1181</v>
      </c>
      <c r="B300">
        <v>2024</v>
      </c>
      <c r="C300" t="s">
        <v>176</v>
      </c>
      <c r="D300" t="b">
        <f>FALSE()</f>
        <v>0</v>
      </c>
      <c r="E300" t="b">
        <f>COUNTIF(connections!A:A, A300) &gt; 0</f>
        <v>1</v>
      </c>
      <c r="G300" t="s">
        <v>1182</v>
      </c>
      <c r="H300" t="s">
        <v>187</v>
      </c>
      <c r="I300" t="s">
        <v>1183</v>
      </c>
      <c r="J300" s="1" t="s">
        <v>1184</v>
      </c>
    </row>
    <row r="301" spans="1:10" ht="15" customHeight="1" x14ac:dyDescent="0.25">
      <c r="A301" t="s">
        <v>1185</v>
      </c>
      <c r="B301">
        <v>2026</v>
      </c>
      <c r="C301" t="s">
        <v>176</v>
      </c>
      <c r="D301" t="b">
        <f>TRUE()</f>
        <v>1</v>
      </c>
      <c r="E301" t="b">
        <f>COUNTIF(connections!A:A, A301) &gt; 0</f>
        <v>0</v>
      </c>
      <c r="G301" t="s">
        <v>1186</v>
      </c>
      <c r="J301" s="11" t="s">
        <v>1187</v>
      </c>
    </row>
    <row r="302" spans="1:10" ht="15" customHeight="1" x14ac:dyDescent="0.25">
      <c r="A302" t="s">
        <v>1188</v>
      </c>
      <c r="B302">
        <v>2020</v>
      </c>
      <c r="C302" t="s">
        <v>176</v>
      </c>
      <c r="D302" t="b">
        <f>FALSE()</f>
        <v>0</v>
      </c>
      <c r="E302" t="b">
        <f>COUNTIF(connections!A:A, A302) &gt; 0</f>
        <v>1</v>
      </c>
      <c r="G302" t="s">
        <v>1189</v>
      </c>
      <c r="H302" t="s">
        <v>187</v>
      </c>
      <c r="I302" t="s">
        <v>1190</v>
      </c>
      <c r="J302" s="1" t="s">
        <v>1191</v>
      </c>
    </row>
    <row r="303" spans="1:10" ht="15" customHeight="1" x14ac:dyDescent="0.25">
      <c r="A303" t="s">
        <v>1192</v>
      </c>
      <c r="B303">
        <v>2023</v>
      </c>
      <c r="C303" t="s">
        <v>176</v>
      </c>
      <c r="D303" t="b">
        <f>FALSE()</f>
        <v>0</v>
      </c>
      <c r="E303" t="b">
        <f>COUNTIF(connections!A:A, A303) &gt; 0</f>
        <v>0</v>
      </c>
      <c r="G303" t="s">
        <v>1193</v>
      </c>
      <c r="H303" t="s">
        <v>187</v>
      </c>
      <c r="I303" t="s">
        <v>1194</v>
      </c>
      <c r="J303" s="1" t="s">
        <v>1195</v>
      </c>
    </row>
    <row r="304" spans="1:10" ht="15" customHeight="1" x14ac:dyDescent="0.25">
      <c r="A304" t="s">
        <v>1196</v>
      </c>
      <c r="B304">
        <v>2024</v>
      </c>
      <c r="C304" t="s">
        <v>176</v>
      </c>
      <c r="D304" t="b">
        <f>TRUE()</f>
        <v>1</v>
      </c>
      <c r="E304" t="b">
        <f>COUNTIF(connections!A:A, A304) &gt; 0</f>
        <v>0</v>
      </c>
      <c r="G304" t="s">
        <v>1197</v>
      </c>
    </row>
    <row r="305" spans="1:10" ht="15" customHeight="1" x14ac:dyDescent="0.25">
      <c r="A305" t="s">
        <v>1198</v>
      </c>
      <c r="B305">
        <v>2020</v>
      </c>
      <c r="C305" t="s">
        <v>179</v>
      </c>
      <c r="D305" t="b">
        <f>TRUE()</f>
        <v>1</v>
      </c>
      <c r="E305" t="b">
        <f>COUNTIF(connections!A:A, A305) &gt; 0</f>
        <v>0</v>
      </c>
      <c r="G305" t="s">
        <v>1199</v>
      </c>
      <c r="H305" t="s">
        <v>187</v>
      </c>
      <c r="I305" t="s">
        <v>1200</v>
      </c>
      <c r="J305" s="1" t="s">
        <v>1201</v>
      </c>
    </row>
    <row r="306" spans="1:10" ht="15" customHeight="1" x14ac:dyDescent="0.25">
      <c r="A306" t="s">
        <v>1202</v>
      </c>
      <c r="B306">
        <v>2025</v>
      </c>
      <c r="C306" t="s">
        <v>222</v>
      </c>
      <c r="D306" t="b">
        <f>FALSE()</f>
        <v>0</v>
      </c>
      <c r="E306" t="b">
        <f>COUNTIF(connections!A:A, A306) &gt; 0</f>
        <v>0</v>
      </c>
      <c r="F306" t="s">
        <v>404</v>
      </c>
      <c r="G306" t="s">
        <v>1203</v>
      </c>
      <c r="H306" t="s">
        <v>187</v>
      </c>
      <c r="I306" t="s">
        <v>1204</v>
      </c>
      <c r="J306" s="1" t="s">
        <v>1205</v>
      </c>
    </row>
    <row r="307" spans="1:10" ht="15" customHeight="1" x14ac:dyDescent="0.25">
      <c r="A307" t="s">
        <v>1206</v>
      </c>
      <c r="B307">
        <v>2024</v>
      </c>
      <c r="C307" t="s">
        <v>176</v>
      </c>
      <c r="D307" t="b">
        <f>FALSE()</f>
        <v>0</v>
      </c>
      <c r="E307" t="b">
        <f>COUNTIF(connections!A:A, A307) &gt; 0</f>
        <v>0</v>
      </c>
      <c r="F307" t="s">
        <v>277</v>
      </c>
      <c r="G307" t="s">
        <v>1207</v>
      </c>
      <c r="H307" t="s">
        <v>187</v>
      </c>
      <c r="I307" t="s">
        <v>1208</v>
      </c>
      <c r="J307" s="1" t="s">
        <v>1209</v>
      </c>
    </row>
    <row r="308" spans="1:10" ht="15" customHeight="1" x14ac:dyDescent="0.25">
      <c r="A308" t="s">
        <v>1210</v>
      </c>
      <c r="B308">
        <v>2026</v>
      </c>
      <c r="C308" t="s">
        <v>182</v>
      </c>
      <c r="D308" t="b">
        <f>FALSE()</f>
        <v>0</v>
      </c>
      <c r="E308" t="b">
        <f>COUNTIF(connections!A:A, A308) &gt; 0</f>
        <v>0</v>
      </c>
      <c r="F308" t="s">
        <v>264</v>
      </c>
      <c r="G308" t="s">
        <v>1211</v>
      </c>
    </row>
    <row r="309" spans="1:10" ht="15" customHeight="1" x14ac:dyDescent="0.25">
      <c r="A309" t="s">
        <v>1212</v>
      </c>
      <c r="B309">
        <v>2023</v>
      </c>
      <c r="C309" t="s">
        <v>176</v>
      </c>
      <c r="D309" t="b">
        <f>TRUE()</f>
        <v>1</v>
      </c>
      <c r="E309" t="b">
        <f>COUNTIF(connections!A:A, A309) &gt; 0</f>
        <v>0</v>
      </c>
      <c r="G309" t="s">
        <v>1213</v>
      </c>
      <c r="H309" t="s">
        <v>187</v>
      </c>
      <c r="I309" t="s">
        <v>1214</v>
      </c>
      <c r="J309" s="1" t="s">
        <v>1215</v>
      </c>
    </row>
    <row r="310" spans="1:10" ht="15" customHeight="1" x14ac:dyDescent="0.25">
      <c r="A310" t="s">
        <v>1216</v>
      </c>
      <c r="B310">
        <v>2025</v>
      </c>
      <c r="C310" t="s">
        <v>176</v>
      </c>
      <c r="D310" t="b">
        <f>FALSE()</f>
        <v>0</v>
      </c>
      <c r="E310" t="b">
        <f>COUNTIF(connections!A:A, A310) &gt; 0</f>
        <v>0</v>
      </c>
      <c r="G310" t="s">
        <v>1217</v>
      </c>
      <c r="H310" t="s">
        <v>187</v>
      </c>
      <c r="I310" t="s">
        <v>1218</v>
      </c>
      <c r="J310" s="1" t="s">
        <v>1219</v>
      </c>
    </row>
    <row r="311" spans="1:10" ht="15" customHeight="1" x14ac:dyDescent="0.25">
      <c r="A311" t="s">
        <v>1220</v>
      </c>
      <c r="B311">
        <v>2020</v>
      </c>
      <c r="C311" t="s">
        <v>176</v>
      </c>
      <c r="D311" t="b">
        <f>TRUE()</f>
        <v>1</v>
      </c>
      <c r="E311" t="b">
        <f>COUNTIF(connections!A:A, A311) &gt; 0</f>
        <v>0</v>
      </c>
      <c r="G311" t="s">
        <v>1221</v>
      </c>
      <c r="H311" t="s">
        <v>187</v>
      </c>
      <c r="I311" t="s">
        <v>1222</v>
      </c>
      <c r="J311" s="1" t="s">
        <v>1223</v>
      </c>
    </row>
    <row r="312" spans="1:10" ht="15" customHeight="1" x14ac:dyDescent="0.25">
      <c r="A312" t="s">
        <v>1224</v>
      </c>
      <c r="B312">
        <v>2014</v>
      </c>
      <c r="C312" t="s">
        <v>179</v>
      </c>
      <c r="D312" t="b">
        <f>TRUE()</f>
        <v>1</v>
      </c>
      <c r="E312" t="b">
        <f>COUNTIF(connections!A:A, A312) &gt; 0</f>
        <v>0</v>
      </c>
      <c r="G312" t="s">
        <v>1225</v>
      </c>
      <c r="H312" t="s">
        <v>187</v>
      </c>
      <c r="I312" t="s">
        <v>1226</v>
      </c>
      <c r="J312" s="1" t="s">
        <v>1227</v>
      </c>
    </row>
    <row r="313" spans="1:10" ht="15" customHeight="1" x14ac:dyDescent="0.25">
      <c r="A313" t="s">
        <v>1228</v>
      </c>
      <c r="B313">
        <v>2020</v>
      </c>
      <c r="C313" t="s">
        <v>176</v>
      </c>
      <c r="D313" t="b">
        <f>TRUE()</f>
        <v>1</v>
      </c>
      <c r="E313" t="b">
        <f>COUNTIF(connections!A:A, A313) &gt; 0</f>
        <v>0</v>
      </c>
      <c r="G313" t="s">
        <v>1229</v>
      </c>
      <c r="H313" t="s">
        <v>187</v>
      </c>
      <c r="I313" t="s">
        <v>1230</v>
      </c>
      <c r="J313" s="1" t="s">
        <v>1231</v>
      </c>
    </row>
    <row r="314" spans="1:10" ht="15" customHeight="1" x14ac:dyDescent="0.25">
      <c r="A314" t="s">
        <v>1232</v>
      </c>
      <c r="B314">
        <v>2022</v>
      </c>
      <c r="C314" t="s">
        <v>176</v>
      </c>
      <c r="D314" t="b">
        <f>TRUE()</f>
        <v>1</v>
      </c>
      <c r="E314" t="b">
        <f>COUNTIF(connections!A:A, A314) &gt; 0</f>
        <v>0</v>
      </c>
      <c r="G314" t="s">
        <v>1233</v>
      </c>
      <c r="H314" t="s">
        <v>187</v>
      </c>
      <c r="I314" t="s">
        <v>1234</v>
      </c>
      <c r="J314" s="1" t="s">
        <v>1235</v>
      </c>
    </row>
    <row r="315" spans="1:10" ht="15" customHeight="1" x14ac:dyDescent="0.25">
      <c r="A315" t="s">
        <v>1236</v>
      </c>
      <c r="B315">
        <v>2016</v>
      </c>
      <c r="C315" t="s">
        <v>176</v>
      </c>
      <c r="D315" t="b">
        <f>TRUE()</f>
        <v>1</v>
      </c>
      <c r="E315" t="b">
        <f>COUNTIF(connections!A:A, A315) &gt; 0</f>
        <v>1</v>
      </c>
      <c r="G315" t="s">
        <v>1237</v>
      </c>
      <c r="H315" t="s">
        <v>187</v>
      </c>
      <c r="I315" t="s">
        <v>1238</v>
      </c>
      <c r="J315" s="1" t="s">
        <v>1239</v>
      </c>
    </row>
    <row r="316" spans="1:10" ht="15" customHeight="1" x14ac:dyDescent="0.25">
      <c r="A316" t="s">
        <v>1240</v>
      </c>
      <c r="B316">
        <v>2020</v>
      </c>
      <c r="C316" t="s">
        <v>176</v>
      </c>
      <c r="D316" t="b">
        <f>TRUE()</f>
        <v>1</v>
      </c>
      <c r="E316" t="b">
        <f>COUNTIF(connections!A:A, A316) &gt; 0</f>
        <v>0</v>
      </c>
      <c r="G316" t="s">
        <v>1241</v>
      </c>
      <c r="H316" t="s">
        <v>187</v>
      </c>
      <c r="I316" t="s">
        <v>1242</v>
      </c>
      <c r="J316" s="1" t="s">
        <v>1243</v>
      </c>
    </row>
    <row r="317" spans="1:10" ht="15" customHeight="1" x14ac:dyDescent="0.25">
      <c r="A317" t="s">
        <v>1244</v>
      </c>
      <c r="B317">
        <v>2023</v>
      </c>
      <c r="C317" t="s">
        <v>176</v>
      </c>
      <c r="D317" t="b">
        <f>TRUE()</f>
        <v>1</v>
      </c>
      <c r="E317" t="b">
        <f>COUNTIF(connections!A:A, A317) &gt; 0</f>
        <v>0</v>
      </c>
      <c r="G317" t="s">
        <v>1245</v>
      </c>
    </row>
    <row r="318" spans="1:10" ht="15" customHeight="1" x14ac:dyDescent="0.25">
      <c r="A318" t="s">
        <v>1246</v>
      </c>
      <c r="B318">
        <v>2020</v>
      </c>
      <c r="C318" t="s">
        <v>182</v>
      </c>
      <c r="D318" t="b">
        <f>TRUE()</f>
        <v>1</v>
      </c>
      <c r="E318" t="b">
        <f>COUNTIF(connections!A:A, A318) &gt; 0</f>
        <v>0</v>
      </c>
      <c r="G318" t="s">
        <v>1247</v>
      </c>
      <c r="H318" t="s">
        <v>187</v>
      </c>
      <c r="I318" t="s">
        <v>1248</v>
      </c>
      <c r="J318" s="11" t="s">
        <v>1249</v>
      </c>
    </row>
    <row r="319" spans="1:10" ht="15" customHeight="1" x14ac:dyDescent="0.25">
      <c r="A319" t="s">
        <v>1250</v>
      </c>
      <c r="B319">
        <v>2025</v>
      </c>
      <c r="C319" t="s">
        <v>176</v>
      </c>
      <c r="D319" t="b">
        <f>FALSE()</f>
        <v>0</v>
      </c>
      <c r="E319" t="b">
        <f>COUNTIF(connections!A:A, A319) &gt; 0</f>
        <v>0</v>
      </c>
      <c r="F319" t="s">
        <v>277</v>
      </c>
      <c r="G319" t="s">
        <v>1251</v>
      </c>
    </row>
    <row r="320" spans="1:10" ht="15" customHeight="1" x14ac:dyDescent="0.25">
      <c r="A320" t="s">
        <v>1252</v>
      </c>
      <c r="B320">
        <v>2023</v>
      </c>
      <c r="C320" t="s">
        <v>176</v>
      </c>
      <c r="D320" t="b">
        <f>TRUE()</f>
        <v>1</v>
      </c>
      <c r="E320" t="b">
        <f>COUNTIF(connections!A:A, A320) &gt; 0</f>
        <v>0</v>
      </c>
      <c r="G320" t="s">
        <v>1253</v>
      </c>
      <c r="H320" t="s">
        <v>187</v>
      </c>
      <c r="I320" t="s">
        <v>1254</v>
      </c>
      <c r="J320" s="1" t="s">
        <v>1255</v>
      </c>
    </row>
    <row r="321" spans="1:10" ht="15" customHeight="1" x14ac:dyDescent="0.25">
      <c r="A321" t="s">
        <v>1256</v>
      </c>
      <c r="B321">
        <v>2020</v>
      </c>
      <c r="C321" t="s">
        <v>182</v>
      </c>
      <c r="D321" t="b">
        <f>TRUE()</f>
        <v>1</v>
      </c>
      <c r="E321" t="b">
        <f>COUNTIF(connections!A:A, A321) &gt; 0</f>
        <v>1</v>
      </c>
      <c r="G321" t="s">
        <v>1257</v>
      </c>
      <c r="H321" t="s">
        <v>187</v>
      </c>
      <c r="I321" t="s">
        <v>1258</v>
      </c>
      <c r="J321" s="1" t="s">
        <v>1259</v>
      </c>
    </row>
    <row r="322" spans="1:10" ht="15" customHeight="1" x14ac:dyDescent="0.25">
      <c r="A322" t="s">
        <v>1260</v>
      </c>
      <c r="B322">
        <v>2021</v>
      </c>
      <c r="C322" t="s">
        <v>176</v>
      </c>
      <c r="D322" t="b">
        <f>TRUE()</f>
        <v>1</v>
      </c>
      <c r="E322" t="b">
        <f>COUNTIF(connections!A:A, A322) &gt; 0</f>
        <v>1</v>
      </c>
      <c r="G322" t="s">
        <v>1261</v>
      </c>
      <c r="H322" t="s">
        <v>187</v>
      </c>
      <c r="I322" t="s">
        <v>1262</v>
      </c>
    </row>
    <row r="323" spans="1:10" ht="15" customHeight="1" x14ac:dyDescent="0.25">
      <c r="A323" t="s">
        <v>1263</v>
      </c>
      <c r="B323">
        <v>2024</v>
      </c>
      <c r="C323" t="s">
        <v>176</v>
      </c>
      <c r="D323" t="b">
        <f>TRUE()</f>
        <v>1</v>
      </c>
      <c r="E323" t="b">
        <f>COUNTIF(connections!A:A, A323) &gt; 0</f>
        <v>0</v>
      </c>
      <c r="G323" t="s">
        <v>1264</v>
      </c>
      <c r="J323" s="11" t="s">
        <v>1265</v>
      </c>
    </row>
    <row r="324" spans="1:10" ht="15" customHeight="1" x14ac:dyDescent="0.25">
      <c r="A324" t="s">
        <v>1266</v>
      </c>
      <c r="B324">
        <v>2015</v>
      </c>
      <c r="C324" t="s">
        <v>182</v>
      </c>
      <c r="D324" t="b">
        <f>TRUE()</f>
        <v>1</v>
      </c>
      <c r="E324" t="b">
        <f>COUNTIF(connections!A:A, A324) &gt; 0</f>
        <v>1</v>
      </c>
      <c r="G324" t="s">
        <v>1267</v>
      </c>
      <c r="J324" s="1" t="s">
        <v>1268</v>
      </c>
    </row>
    <row r="325" spans="1:10" ht="15" customHeight="1" x14ac:dyDescent="0.25">
      <c r="A325" t="s">
        <v>1269</v>
      </c>
      <c r="B325">
        <v>2017</v>
      </c>
      <c r="C325" t="s">
        <v>222</v>
      </c>
      <c r="D325" t="b">
        <f>FALSE()</f>
        <v>0</v>
      </c>
      <c r="E325" t="b">
        <f>COUNTIF(connections!A:A, A325) &gt; 0</f>
        <v>0</v>
      </c>
      <c r="G325" t="s">
        <v>1270</v>
      </c>
      <c r="H325" t="s">
        <v>187</v>
      </c>
      <c r="I325" t="s">
        <v>1271</v>
      </c>
      <c r="J325" s="1" t="s">
        <v>1272</v>
      </c>
    </row>
    <row r="326" spans="1:10" ht="15" customHeight="1" x14ac:dyDescent="0.25">
      <c r="A326" t="s">
        <v>1273</v>
      </c>
      <c r="B326">
        <v>2020</v>
      </c>
      <c r="C326" t="s">
        <v>176</v>
      </c>
      <c r="D326" t="b">
        <f>TRUE()</f>
        <v>1</v>
      </c>
      <c r="E326" t="b">
        <f>COUNTIF(connections!A:A, A326) &gt; 0</f>
        <v>1</v>
      </c>
      <c r="G326" t="s">
        <v>1274</v>
      </c>
      <c r="H326" t="s">
        <v>187</v>
      </c>
      <c r="I326" t="s">
        <v>1275</v>
      </c>
      <c r="J326" s="1" t="s">
        <v>1276</v>
      </c>
    </row>
    <row r="327" spans="1:10" ht="15" customHeight="1" x14ac:dyDescent="0.25">
      <c r="A327" t="s">
        <v>1277</v>
      </c>
      <c r="B327">
        <v>2022</v>
      </c>
      <c r="C327" t="s">
        <v>176</v>
      </c>
      <c r="D327" t="b">
        <f>TRUE()</f>
        <v>1</v>
      </c>
      <c r="E327" t="b">
        <f>COUNTIF(connections!A:A, A327) &gt; 0</f>
        <v>1</v>
      </c>
      <c r="F327" t="s">
        <v>274</v>
      </c>
      <c r="G327" t="s">
        <v>1278</v>
      </c>
      <c r="H327" t="s">
        <v>187</v>
      </c>
      <c r="I327" t="s">
        <v>1279</v>
      </c>
      <c r="J327" s="1" t="s">
        <v>1280</v>
      </c>
    </row>
    <row r="328" spans="1:10" ht="15" customHeight="1" x14ac:dyDescent="0.25">
      <c r="A328" t="s">
        <v>1281</v>
      </c>
      <c r="B328">
        <v>2025</v>
      </c>
      <c r="C328" t="s">
        <v>176</v>
      </c>
      <c r="D328" t="b">
        <f>TRUE()</f>
        <v>1</v>
      </c>
      <c r="E328" t="b">
        <f>COUNTIF(connections!A:A, A328) &gt; 0</f>
        <v>0</v>
      </c>
      <c r="F328" t="s">
        <v>274</v>
      </c>
      <c r="G328" t="s">
        <v>1282</v>
      </c>
      <c r="H328" t="s">
        <v>187</v>
      </c>
      <c r="I328" t="s">
        <v>1283</v>
      </c>
      <c r="J328" s="1" t="s">
        <v>1284</v>
      </c>
    </row>
    <row r="329" spans="1:10" ht="15" customHeight="1" x14ac:dyDescent="0.25">
      <c r="A329" t="s">
        <v>1285</v>
      </c>
      <c r="B329">
        <v>1984</v>
      </c>
      <c r="C329" t="s">
        <v>179</v>
      </c>
      <c r="D329" t="b">
        <f>TRUE()</f>
        <v>1</v>
      </c>
      <c r="E329" t="b">
        <f>COUNTIF(connections!A:A, A329) &gt; 0</f>
        <v>1</v>
      </c>
      <c r="G329" t="s">
        <v>1286</v>
      </c>
      <c r="H329" t="s">
        <v>187</v>
      </c>
      <c r="I329" t="s">
        <v>1287</v>
      </c>
    </row>
    <row r="330" spans="1:10" ht="15" customHeight="1" x14ac:dyDescent="0.25">
      <c r="A330" t="s">
        <v>1288</v>
      </c>
      <c r="B330">
        <v>2022</v>
      </c>
      <c r="C330" t="s">
        <v>179</v>
      </c>
      <c r="D330" t="b">
        <f>TRUE()</f>
        <v>1</v>
      </c>
      <c r="E330" t="b">
        <f>COUNTIF(connections!A:A, A330) &gt; 0</f>
        <v>1</v>
      </c>
      <c r="G330" t="s">
        <v>1289</v>
      </c>
      <c r="H330" t="s">
        <v>187</v>
      </c>
      <c r="I330" t="s">
        <v>1290</v>
      </c>
    </row>
    <row r="331" spans="1:10" ht="15" customHeight="1" x14ac:dyDescent="0.25">
      <c r="A331" t="s">
        <v>1291</v>
      </c>
      <c r="B331">
        <v>2021</v>
      </c>
      <c r="C331" t="s">
        <v>182</v>
      </c>
      <c r="D331" t="b">
        <f>TRUE()</f>
        <v>1</v>
      </c>
      <c r="E331" t="b">
        <f>COUNTIF(connections!A:A, A331) &gt; 0</f>
        <v>0</v>
      </c>
      <c r="F331" t="s">
        <v>199</v>
      </c>
      <c r="G331" t="s">
        <v>1292</v>
      </c>
      <c r="H331" t="s">
        <v>187</v>
      </c>
      <c r="I331" t="s">
        <v>1293</v>
      </c>
      <c r="J331" s="1" t="s">
        <v>1294</v>
      </c>
    </row>
    <row r="332" spans="1:10" ht="15" customHeight="1" x14ac:dyDescent="0.25">
      <c r="A332" t="s">
        <v>1295</v>
      </c>
      <c r="B332">
        <v>2019</v>
      </c>
      <c r="C332" t="s">
        <v>176</v>
      </c>
      <c r="D332" t="b">
        <f>TRUE()</f>
        <v>1</v>
      </c>
      <c r="E332" t="b">
        <f>COUNTIF(connections!A:A, A332) &gt; 0</f>
        <v>1</v>
      </c>
      <c r="F332" t="s">
        <v>199</v>
      </c>
      <c r="G332" t="s">
        <v>1296</v>
      </c>
      <c r="H332" t="s">
        <v>187</v>
      </c>
      <c r="I332" t="s">
        <v>1297</v>
      </c>
      <c r="J332" s="1" t="s">
        <v>1298</v>
      </c>
    </row>
    <row r="333" spans="1:10" ht="15" customHeight="1" x14ac:dyDescent="0.25">
      <c r="A333" t="s">
        <v>1299</v>
      </c>
      <c r="B333">
        <v>2024</v>
      </c>
      <c r="C333" t="s">
        <v>176</v>
      </c>
      <c r="D333" t="b">
        <f>TRUE()</f>
        <v>1</v>
      </c>
      <c r="E333" t="b">
        <f>COUNTIF(connections!A:A, A333) &gt; 0</f>
        <v>0</v>
      </c>
      <c r="F333" t="s">
        <v>199</v>
      </c>
      <c r="G333" t="s">
        <v>1300</v>
      </c>
      <c r="H333" t="s">
        <v>187</v>
      </c>
      <c r="I333" t="s">
        <v>1301</v>
      </c>
      <c r="J333" s="1" t="s">
        <v>1302</v>
      </c>
    </row>
    <row r="334" spans="1:10" ht="15" customHeight="1" x14ac:dyDescent="0.25">
      <c r="A334" t="s">
        <v>1303</v>
      </c>
      <c r="B334">
        <v>2023</v>
      </c>
      <c r="C334" t="s">
        <v>176</v>
      </c>
      <c r="D334" t="b">
        <f>TRUE()</f>
        <v>1</v>
      </c>
      <c r="E334" t="b">
        <f>COUNTIF(connections!A:A, A334) &gt; 0</f>
        <v>1</v>
      </c>
      <c r="F334" t="s">
        <v>199</v>
      </c>
      <c r="G334" t="s">
        <v>1304</v>
      </c>
      <c r="H334" t="s">
        <v>187</v>
      </c>
      <c r="I334" t="s">
        <v>1305</v>
      </c>
      <c r="J334" s="1" t="s">
        <v>1306</v>
      </c>
    </row>
    <row r="335" spans="1:10" ht="15" customHeight="1" x14ac:dyDescent="0.25">
      <c r="A335" t="s">
        <v>1307</v>
      </c>
      <c r="B335">
        <v>2014</v>
      </c>
      <c r="C335" t="s">
        <v>182</v>
      </c>
      <c r="D335" t="b">
        <f>TRUE()</f>
        <v>1</v>
      </c>
      <c r="E335" t="b">
        <f>COUNTIF(connections!A:A, A335) &gt; 0</f>
        <v>1</v>
      </c>
      <c r="G335" t="s">
        <v>1308</v>
      </c>
      <c r="H335" t="s">
        <v>187</v>
      </c>
      <c r="I335" t="s">
        <v>1309</v>
      </c>
      <c r="J335" s="1" t="s">
        <v>1310</v>
      </c>
    </row>
    <row r="336" spans="1:10" ht="15" customHeight="1" x14ac:dyDescent="0.25">
      <c r="A336" t="s">
        <v>1311</v>
      </c>
      <c r="B336">
        <v>2017</v>
      </c>
      <c r="C336" t="s">
        <v>182</v>
      </c>
      <c r="D336" t="b">
        <f>TRUE()</f>
        <v>1</v>
      </c>
      <c r="E336" t="b">
        <f>COUNTIF(connections!A:A, A336) &gt; 0</f>
        <v>0</v>
      </c>
      <c r="G336" t="s">
        <v>1312</v>
      </c>
    </row>
    <row r="337" spans="1:10" ht="15" customHeight="1" x14ac:dyDescent="0.25">
      <c r="A337" t="s">
        <v>1313</v>
      </c>
      <c r="B337">
        <v>2026</v>
      </c>
      <c r="C337" t="s">
        <v>176</v>
      </c>
      <c r="D337" t="b">
        <v>1</v>
      </c>
      <c r="E337" t="b">
        <f>COUNTIF(connections!A:A, A337) &gt; 0</f>
        <v>0</v>
      </c>
      <c r="G337" t="s">
        <v>1314</v>
      </c>
      <c r="J337" s="11" t="s">
        <v>1315</v>
      </c>
    </row>
    <row r="338" spans="1:10" ht="15" customHeight="1" x14ac:dyDescent="0.25">
      <c r="A338" t="s">
        <v>1316</v>
      </c>
      <c r="B338">
        <v>2025</v>
      </c>
      <c r="C338" t="s">
        <v>176</v>
      </c>
      <c r="D338" t="b">
        <f>FALSE()</f>
        <v>0</v>
      </c>
      <c r="E338" t="b">
        <f>COUNTIF(connections!A:A, A338) &gt; 0</f>
        <v>0</v>
      </c>
      <c r="F338" t="s">
        <v>614</v>
      </c>
      <c r="G338" t="s">
        <v>1317</v>
      </c>
    </row>
    <row r="339" spans="1:10" ht="15" customHeight="1" x14ac:dyDescent="0.25">
      <c r="A339" t="s">
        <v>1318</v>
      </c>
      <c r="B339">
        <v>2017</v>
      </c>
      <c r="C339" t="s">
        <v>179</v>
      </c>
      <c r="D339" t="b">
        <f>TRUE()</f>
        <v>1</v>
      </c>
      <c r="E339" t="b">
        <f>COUNTIF(connections!A:A, A339) &gt; 0</f>
        <v>0</v>
      </c>
      <c r="G339" t="s">
        <v>1319</v>
      </c>
      <c r="J339" s="1" t="s">
        <v>1320</v>
      </c>
    </row>
    <row r="340" spans="1:10" ht="15" customHeight="1" x14ac:dyDescent="0.25">
      <c r="A340" t="s">
        <v>1321</v>
      </c>
      <c r="B340">
        <v>2017</v>
      </c>
      <c r="C340" t="s">
        <v>176</v>
      </c>
      <c r="D340" t="b">
        <f>TRUE()</f>
        <v>1</v>
      </c>
      <c r="E340" t="b">
        <f>COUNTIF(connections!A:A, A340) &gt; 0</f>
        <v>0</v>
      </c>
      <c r="G340" t="s">
        <v>1322</v>
      </c>
    </row>
    <row r="341" spans="1:10" ht="15" customHeight="1" x14ac:dyDescent="0.25">
      <c r="A341" t="s">
        <v>1323</v>
      </c>
      <c r="B341">
        <v>2025</v>
      </c>
      <c r="C341" t="s">
        <v>176</v>
      </c>
      <c r="D341" t="b">
        <f>FALSE()</f>
        <v>0</v>
      </c>
      <c r="E341" t="b">
        <f>COUNTIF(connections!A:A, A341) &gt; 0</f>
        <v>0</v>
      </c>
      <c r="G341" t="s">
        <v>1324</v>
      </c>
      <c r="H341" t="s">
        <v>187</v>
      </c>
      <c r="I341" t="s">
        <v>1325</v>
      </c>
      <c r="J341" s="1" t="s">
        <v>1326</v>
      </c>
    </row>
    <row r="342" spans="1:10" ht="15" customHeight="1" x14ac:dyDescent="0.25">
      <c r="A342" t="s">
        <v>1327</v>
      </c>
      <c r="B342">
        <v>2022</v>
      </c>
      <c r="C342" t="s">
        <v>176</v>
      </c>
      <c r="D342" t="b">
        <f>TRUE()</f>
        <v>1</v>
      </c>
      <c r="E342" t="b">
        <f>COUNTIF(connections!A:A, A342) &gt; 0</f>
        <v>0</v>
      </c>
      <c r="F342" t="s">
        <v>199</v>
      </c>
      <c r="G342" t="s">
        <v>1328</v>
      </c>
      <c r="H342" t="s">
        <v>187</v>
      </c>
      <c r="I342" t="s">
        <v>1329</v>
      </c>
      <c r="J342" s="1" t="s">
        <v>1330</v>
      </c>
    </row>
    <row r="343" spans="1:10" ht="15" customHeight="1" x14ac:dyDescent="0.25">
      <c r="A343" t="s">
        <v>1331</v>
      </c>
      <c r="B343">
        <v>2025</v>
      </c>
      <c r="C343" t="s">
        <v>182</v>
      </c>
      <c r="D343" t="b">
        <f>TRUE()</f>
        <v>1</v>
      </c>
      <c r="E343" t="b">
        <f>COUNTIF(connections!A:A, A343) &gt; 0</f>
        <v>0</v>
      </c>
      <c r="G343" t="s">
        <v>1332</v>
      </c>
      <c r="H343" t="s">
        <v>187</v>
      </c>
      <c r="I343" t="s">
        <v>1333</v>
      </c>
      <c r="J343" s="1" t="s">
        <v>1334</v>
      </c>
    </row>
    <row r="344" spans="1:10" ht="15" customHeight="1" x14ac:dyDescent="0.25">
      <c r="A344" t="s">
        <v>1335</v>
      </c>
      <c r="B344">
        <v>2023</v>
      </c>
      <c r="C344" t="s">
        <v>176</v>
      </c>
      <c r="D344" t="b">
        <f>FALSE()</f>
        <v>0</v>
      </c>
      <c r="E344" t="b">
        <f>COUNTIF(connections!A:A, A344) &gt; 0</f>
        <v>0</v>
      </c>
      <c r="G344" t="s">
        <v>1336</v>
      </c>
    </row>
    <row r="345" spans="1:10" ht="15" customHeight="1" x14ac:dyDescent="0.25">
      <c r="A345" t="s">
        <v>1337</v>
      </c>
      <c r="B345">
        <v>2017</v>
      </c>
      <c r="C345" t="s">
        <v>176</v>
      </c>
      <c r="D345" t="b">
        <f>FALSE()</f>
        <v>0</v>
      </c>
      <c r="E345" t="b">
        <f>COUNTIF(connections!A:A, A345) &gt; 0</f>
        <v>0</v>
      </c>
      <c r="G345" t="s">
        <v>1338</v>
      </c>
      <c r="H345" t="s">
        <v>187</v>
      </c>
      <c r="I345" t="s">
        <v>1339</v>
      </c>
      <c r="J345" s="1" t="s">
        <v>1340</v>
      </c>
    </row>
    <row r="346" spans="1:10" ht="15" customHeight="1" x14ac:dyDescent="0.25">
      <c r="A346" t="s">
        <v>1341</v>
      </c>
      <c r="B346">
        <v>2014</v>
      </c>
      <c r="C346" t="s">
        <v>176</v>
      </c>
      <c r="D346" t="b">
        <f>FALSE()</f>
        <v>0</v>
      </c>
      <c r="E346" t="b">
        <f>COUNTIF(connections!A:A, A346) &gt; 0</f>
        <v>0</v>
      </c>
      <c r="G346" t="s">
        <v>1342</v>
      </c>
      <c r="H346" t="s">
        <v>187</v>
      </c>
      <c r="I346" t="s">
        <v>1343</v>
      </c>
      <c r="J346" s="1" t="s">
        <v>1344</v>
      </c>
    </row>
    <row r="347" spans="1:10" ht="15" customHeight="1" x14ac:dyDescent="0.25">
      <c r="A347" t="s">
        <v>1345</v>
      </c>
      <c r="B347">
        <v>2025</v>
      </c>
      <c r="C347" t="s">
        <v>176</v>
      </c>
      <c r="D347" t="b">
        <f>TRUE()</f>
        <v>1</v>
      </c>
      <c r="E347" t="b">
        <f>COUNTIF(connections!A:A, A347) &gt; 0</f>
        <v>0</v>
      </c>
      <c r="G347" t="s">
        <v>1346</v>
      </c>
      <c r="H347" t="s">
        <v>187</v>
      </c>
      <c r="I347" t="s">
        <v>1347</v>
      </c>
      <c r="J347" s="1" t="s">
        <v>1348</v>
      </c>
    </row>
    <row r="348" spans="1:10" ht="15" customHeight="1" x14ac:dyDescent="0.25">
      <c r="A348" t="s">
        <v>1349</v>
      </c>
      <c r="B348">
        <v>2026</v>
      </c>
      <c r="C348" t="s">
        <v>176</v>
      </c>
      <c r="D348" t="b">
        <f>TRUE()</f>
        <v>1</v>
      </c>
      <c r="E348" t="b">
        <f>COUNTIF(connections!A:A, A348) &gt; 0</f>
        <v>0</v>
      </c>
      <c r="F348" t="s">
        <v>199</v>
      </c>
      <c r="G348" t="s">
        <v>1350</v>
      </c>
      <c r="J348" s="11" t="s">
        <v>1351</v>
      </c>
    </row>
    <row r="349" spans="1:10" ht="15" customHeight="1" x14ac:dyDescent="0.25">
      <c r="A349" t="s">
        <v>1352</v>
      </c>
      <c r="B349">
        <v>2023</v>
      </c>
      <c r="C349" t="s">
        <v>176</v>
      </c>
      <c r="D349" t="b">
        <f>FALSE()</f>
        <v>0</v>
      </c>
      <c r="E349" t="b">
        <f>COUNTIF(connections!A:A, A349) &gt; 0</f>
        <v>0</v>
      </c>
      <c r="G349" t="s">
        <v>1353</v>
      </c>
    </row>
    <row r="350" spans="1:10" ht="15" customHeight="1" x14ac:dyDescent="0.25">
      <c r="A350" t="s">
        <v>1354</v>
      </c>
      <c r="B350">
        <v>2023</v>
      </c>
      <c r="C350" t="s">
        <v>182</v>
      </c>
      <c r="D350" t="b">
        <f>TRUE()</f>
        <v>1</v>
      </c>
      <c r="E350" t="b">
        <f>COUNTIF(connections!A:A, A350) &gt; 0</f>
        <v>0</v>
      </c>
      <c r="G350" t="s">
        <v>1355</v>
      </c>
      <c r="H350" t="s">
        <v>187</v>
      </c>
      <c r="I350" t="s">
        <v>1356</v>
      </c>
      <c r="J350" s="1" t="s">
        <v>1357</v>
      </c>
    </row>
    <row r="351" spans="1:10" ht="15" customHeight="1" x14ac:dyDescent="0.25">
      <c r="A351" t="s">
        <v>1358</v>
      </c>
      <c r="B351">
        <v>2025</v>
      </c>
      <c r="C351" t="s">
        <v>176</v>
      </c>
      <c r="D351" t="b">
        <f>TRUE()</f>
        <v>1</v>
      </c>
      <c r="E351" t="b">
        <f>COUNTIF(connections!A:A, A351) &gt; 0</f>
        <v>0</v>
      </c>
      <c r="G351" t="s">
        <v>1359</v>
      </c>
      <c r="H351" t="s">
        <v>187</v>
      </c>
      <c r="I351" t="s">
        <v>1360</v>
      </c>
      <c r="J351" s="1" t="s">
        <v>1361</v>
      </c>
    </row>
    <row r="352" spans="1:10" ht="15" customHeight="1" x14ac:dyDescent="0.25">
      <c r="A352" t="s">
        <v>1362</v>
      </c>
      <c r="B352">
        <v>2023</v>
      </c>
      <c r="C352" t="s">
        <v>176</v>
      </c>
      <c r="D352" t="b">
        <f>TRUE()</f>
        <v>1</v>
      </c>
      <c r="E352" t="b">
        <f>COUNTIF(connections!A:A, A352) &gt; 0</f>
        <v>0</v>
      </c>
      <c r="F352" t="s">
        <v>199</v>
      </c>
      <c r="G352" t="s">
        <v>1363</v>
      </c>
      <c r="H352" t="s">
        <v>187</v>
      </c>
      <c r="I352" t="s">
        <v>1364</v>
      </c>
      <c r="J352" s="1" t="s">
        <v>1365</v>
      </c>
    </row>
    <row r="353" spans="1:10" ht="15" customHeight="1" x14ac:dyDescent="0.25">
      <c r="A353" t="s">
        <v>1366</v>
      </c>
      <c r="B353">
        <v>2018</v>
      </c>
      <c r="C353" t="s">
        <v>176</v>
      </c>
      <c r="D353" t="b">
        <f>TRUE()</f>
        <v>1</v>
      </c>
      <c r="E353" t="b">
        <f>COUNTIF(connections!A:A, A353) &gt; 0</f>
        <v>1</v>
      </c>
      <c r="G353" t="s">
        <v>1367</v>
      </c>
      <c r="H353" t="s">
        <v>187</v>
      </c>
      <c r="I353" t="s">
        <v>1368</v>
      </c>
      <c r="J353" s="1" t="s">
        <v>1369</v>
      </c>
    </row>
    <row r="354" spans="1:10" ht="15" customHeight="1" x14ac:dyDescent="0.25">
      <c r="A354" t="s">
        <v>1370</v>
      </c>
      <c r="B354">
        <v>2025</v>
      </c>
      <c r="C354" t="s">
        <v>176</v>
      </c>
      <c r="D354" t="b">
        <f>TRUE()</f>
        <v>1</v>
      </c>
      <c r="E354" t="b">
        <f>COUNTIF(connections!A:A, A354) &gt; 0</f>
        <v>0</v>
      </c>
      <c r="G354" t="s">
        <v>1371</v>
      </c>
      <c r="H354" t="s">
        <v>187</v>
      </c>
      <c r="I354" t="s">
        <v>1372</v>
      </c>
      <c r="J354" s="1" t="s">
        <v>1373</v>
      </c>
    </row>
    <row r="355" spans="1:10" ht="15" customHeight="1" x14ac:dyDescent="0.25">
      <c r="A355" t="s">
        <v>1374</v>
      </c>
      <c r="B355">
        <v>2025</v>
      </c>
      <c r="C355" t="s">
        <v>222</v>
      </c>
      <c r="D355" t="b">
        <f>TRUE()</f>
        <v>1</v>
      </c>
      <c r="E355" t="b">
        <f>COUNTIF(connections!A:A, A355) &gt; 0</f>
        <v>0</v>
      </c>
      <c r="G355" t="s">
        <v>1375</v>
      </c>
      <c r="J355" s="11" t="s">
        <v>1376</v>
      </c>
    </row>
    <row r="356" spans="1:10" ht="15" customHeight="1" x14ac:dyDescent="0.25">
      <c r="A356" t="s">
        <v>1377</v>
      </c>
      <c r="B356">
        <v>2026</v>
      </c>
      <c r="C356" t="s">
        <v>222</v>
      </c>
      <c r="D356" t="b">
        <f>TRUE()</f>
        <v>1</v>
      </c>
      <c r="E356" t="b">
        <f>COUNTIF(connections!A:A, A356) &gt; 0</f>
        <v>0</v>
      </c>
      <c r="G356" t="s">
        <v>1378</v>
      </c>
    </row>
    <row r="357" spans="1:10" ht="15" customHeight="1" x14ac:dyDescent="0.25">
      <c r="A357" t="s">
        <v>1379</v>
      </c>
      <c r="B357">
        <v>2023</v>
      </c>
      <c r="C357" t="s">
        <v>176</v>
      </c>
      <c r="D357" t="b">
        <f>TRUE()</f>
        <v>1</v>
      </c>
      <c r="E357" t="b">
        <f>COUNTIF(connections!A:A, A357) &gt; 0</f>
        <v>0</v>
      </c>
      <c r="G357" t="s">
        <v>1380</v>
      </c>
      <c r="H357" t="s">
        <v>187</v>
      </c>
      <c r="I357" t="s">
        <v>1381</v>
      </c>
      <c r="J357" s="1" t="s">
        <v>1382</v>
      </c>
    </row>
    <row r="358" spans="1:10" ht="15" customHeight="1" x14ac:dyDescent="0.25">
      <c r="A358" t="s">
        <v>1383</v>
      </c>
      <c r="B358">
        <v>2026</v>
      </c>
      <c r="C358" t="s">
        <v>179</v>
      </c>
      <c r="D358" t="b">
        <f>TRUE()</f>
        <v>1</v>
      </c>
      <c r="E358" t="b">
        <f>COUNTIF(connections!A:A, A358) &gt; 0</f>
        <v>0</v>
      </c>
      <c r="G358" t="s">
        <v>1384</v>
      </c>
      <c r="J358" s="11" t="s">
        <v>1385</v>
      </c>
    </row>
    <row r="359" spans="1:10" ht="15" customHeight="1" x14ac:dyDescent="0.25">
      <c r="A359" t="s">
        <v>1386</v>
      </c>
      <c r="B359">
        <v>2013</v>
      </c>
      <c r="C359" t="s">
        <v>179</v>
      </c>
      <c r="D359" t="b">
        <f>TRUE()</f>
        <v>1</v>
      </c>
      <c r="E359" t="b">
        <f>COUNTIF(connections!A:A, A359) &gt; 0</f>
        <v>1</v>
      </c>
      <c r="G359" t="s">
        <v>1387</v>
      </c>
      <c r="H359" t="s">
        <v>187</v>
      </c>
      <c r="I359" t="s">
        <v>1388</v>
      </c>
    </row>
    <row r="360" spans="1:10" ht="15" customHeight="1" x14ac:dyDescent="0.25">
      <c r="A360" t="s">
        <v>1389</v>
      </c>
      <c r="B360">
        <v>2025</v>
      </c>
      <c r="C360" t="s">
        <v>179</v>
      </c>
      <c r="D360" t="b">
        <f>TRUE()</f>
        <v>1</v>
      </c>
      <c r="E360" t="b">
        <f>COUNTIF(connections!A:A, A360) &gt; 0</f>
        <v>0</v>
      </c>
      <c r="F360" t="s">
        <v>1390</v>
      </c>
      <c r="G360" t="s">
        <v>1391</v>
      </c>
    </row>
    <row r="361" spans="1:10" ht="15" customHeight="1" x14ac:dyDescent="0.25">
      <c r="A361" t="s">
        <v>1392</v>
      </c>
      <c r="B361">
        <v>2026</v>
      </c>
      <c r="C361" t="s">
        <v>176</v>
      </c>
      <c r="D361" t="b">
        <f>TRUE()</f>
        <v>1</v>
      </c>
      <c r="E361" t="b">
        <f>COUNTIF(connections!A:A, A361) &gt; 0</f>
        <v>0</v>
      </c>
      <c r="G361" t="s">
        <v>1393</v>
      </c>
      <c r="J361" s="11" t="s">
        <v>1394</v>
      </c>
    </row>
    <row r="362" spans="1:10" ht="15" customHeight="1" x14ac:dyDescent="0.25">
      <c r="A362" t="s">
        <v>1395</v>
      </c>
      <c r="B362">
        <v>2026</v>
      </c>
      <c r="C362" t="s">
        <v>182</v>
      </c>
      <c r="D362" t="b">
        <f>TRUE()</f>
        <v>1</v>
      </c>
      <c r="E362" t="b">
        <f>COUNTIF(connections!A:A, A362) &gt; 0</f>
        <v>0</v>
      </c>
      <c r="G362" t="s">
        <v>1396</v>
      </c>
    </row>
    <row r="363" spans="1:10" ht="15" customHeight="1" x14ac:dyDescent="0.25">
      <c r="A363" t="s">
        <v>1397</v>
      </c>
      <c r="B363">
        <v>2026</v>
      </c>
      <c r="C363" t="s">
        <v>176</v>
      </c>
      <c r="D363" t="b">
        <f>TRUE()</f>
        <v>1</v>
      </c>
      <c r="E363" t="b">
        <f>COUNTIF(connections!A:A, A363) &gt; 0</f>
        <v>0</v>
      </c>
      <c r="F363" t="s">
        <v>1398</v>
      </c>
      <c r="G363" t="s">
        <v>1399</v>
      </c>
      <c r="H363" t="s">
        <v>187</v>
      </c>
      <c r="I363" t="s">
        <v>1400</v>
      </c>
    </row>
    <row r="364" spans="1:10" ht="15" customHeight="1" x14ac:dyDescent="0.25">
      <c r="A364" t="s">
        <v>1401</v>
      </c>
      <c r="B364">
        <v>2012</v>
      </c>
      <c r="C364" t="s">
        <v>179</v>
      </c>
      <c r="D364" t="b">
        <f>TRUE()</f>
        <v>1</v>
      </c>
      <c r="E364" t="b">
        <f>COUNTIF(connections!A:A, A364) &gt; 0</f>
        <v>0</v>
      </c>
      <c r="G364" t="s">
        <v>1402</v>
      </c>
      <c r="J364" s="11" t="s">
        <v>1403</v>
      </c>
    </row>
    <row r="365" spans="1:10" ht="15" customHeight="1" x14ac:dyDescent="0.25">
      <c r="A365" t="s">
        <v>1404</v>
      </c>
      <c r="B365">
        <v>2025</v>
      </c>
      <c r="C365" t="s">
        <v>176</v>
      </c>
      <c r="D365" t="b">
        <f>TRUE()</f>
        <v>1</v>
      </c>
      <c r="E365" t="b">
        <f>COUNTIF(connections!A:A, A365) &gt; 0</f>
        <v>0</v>
      </c>
      <c r="G365" t="s">
        <v>1405</v>
      </c>
      <c r="H365" t="s">
        <v>187</v>
      </c>
      <c r="I365" t="s">
        <v>1406</v>
      </c>
      <c r="J365" s="1" t="s">
        <v>1407</v>
      </c>
    </row>
    <row r="366" spans="1:10" ht="15" customHeight="1" x14ac:dyDescent="0.25">
      <c r="A366" t="s">
        <v>1408</v>
      </c>
      <c r="B366">
        <v>2017</v>
      </c>
      <c r="C366" t="s">
        <v>179</v>
      </c>
      <c r="D366" t="b">
        <f>TRUE()</f>
        <v>1</v>
      </c>
      <c r="E366" t="b">
        <f>COUNTIF(connections!A:A, A366) &gt; 0</f>
        <v>0</v>
      </c>
      <c r="G366" t="s">
        <v>1409</v>
      </c>
    </row>
    <row r="367" spans="1:10" ht="15" customHeight="1" x14ac:dyDescent="0.25">
      <c r="A367" t="s">
        <v>1410</v>
      </c>
      <c r="B367">
        <v>2022</v>
      </c>
      <c r="C367" t="s">
        <v>176</v>
      </c>
      <c r="D367" t="b">
        <f>TRUE()</f>
        <v>1</v>
      </c>
      <c r="E367" t="b">
        <f>COUNTIF(connections!A:A, A367) &gt; 0</f>
        <v>0</v>
      </c>
      <c r="G367" t="s">
        <v>1411</v>
      </c>
      <c r="H367" t="s">
        <v>187</v>
      </c>
      <c r="I367" t="s">
        <v>1412</v>
      </c>
      <c r="J367" s="1" t="s">
        <v>1413</v>
      </c>
    </row>
    <row r="368" spans="1:10" ht="15" customHeight="1" x14ac:dyDescent="0.25">
      <c r="A368" t="s">
        <v>1414</v>
      </c>
      <c r="B368">
        <v>2017</v>
      </c>
      <c r="C368" t="s">
        <v>176</v>
      </c>
      <c r="D368" t="b">
        <f>TRUE()</f>
        <v>1</v>
      </c>
      <c r="E368" t="b">
        <f>COUNTIF(connections!A:A, A368) &gt; 0</f>
        <v>0</v>
      </c>
      <c r="G368" t="s">
        <v>1415</v>
      </c>
      <c r="H368" t="s">
        <v>187</v>
      </c>
      <c r="I368" t="s">
        <v>1416</v>
      </c>
      <c r="J368" s="1" t="s">
        <v>1417</v>
      </c>
    </row>
    <row r="369" spans="1:10" ht="15" customHeight="1" x14ac:dyDescent="0.25">
      <c r="A369" t="s">
        <v>1418</v>
      </c>
      <c r="B369">
        <v>2016</v>
      </c>
      <c r="C369" t="s">
        <v>176</v>
      </c>
      <c r="D369" t="b">
        <v>1</v>
      </c>
      <c r="E369" t="b">
        <f>COUNTIF(connections!A:A, A369) &gt; 0</f>
        <v>0</v>
      </c>
      <c r="G369" t="s">
        <v>1419</v>
      </c>
      <c r="J369" s="11" t="s">
        <v>1420</v>
      </c>
    </row>
    <row r="370" spans="1:10" ht="15" customHeight="1" x14ac:dyDescent="0.25">
      <c r="A370" t="s">
        <v>1421</v>
      </c>
      <c r="B370">
        <v>2007</v>
      </c>
      <c r="C370" t="s">
        <v>179</v>
      </c>
      <c r="D370" t="b">
        <f>TRUE()</f>
        <v>1</v>
      </c>
      <c r="E370" t="b">
        <f>COUNTIF(connections!A:A, A370) &gt; 0</f>
        <v>1</v>
      </c>
      <c r="G370" t="s">
        <v>1422</v>
      </c>
      <c r="H370" t="s">
        <v>187</v>
      </c>
      <c r="I370" t="s">
        <v>1423</v>
      </c>
    </row>
    <row r="371" spans="1:10" ht="15" customHeight="1" x14ac:dyDescent="0.25">
      <c r="A371" t="s">
        <v>1424</v>
      </c>
      <c r="B371">
        <v>2015</v>
      </c>
      <c r="C371" t="s">
        <v>222</v>
      </c>
      <c r="D371" t="b">
        <f>TRUE()</f>
        <v>1</v>
      </c>
      <c r="E371" t="b">
        <f>COUNTIF(connections!A:A, A371) &gt; 0</f>
        <v>0</v>
      </c>
      <c r="G371" t="s">
        <v>1425</v>
      </c>
    </row>
    <row r="372" spans="1:10" ht="15" customHeight="1" x14ac:dyDescent="0.25">
      <c r="A372" t="s">
        <v>1426</v>
      </c>
      <c r="B372">
        <v>2011</v>
      </c>
      <c r="C372" t="s">
        <v>179</v>
      </c>
      <c r="D372" t="b">
        <f>TRUE()</f>
        <v>1</v>
      </c>
      <c r="E372" t="b">
        <f>COUNTIF(connections!A:A, A372) &gt; 0</f>
        <v>0</v>
      </c>
      <c r="F372" t="s">
        <v>274</v>
      </c>
      <c r="G372" t="s">
        <v>1427</v>
      </c>
      <c r="H372" t="s">
        <v>187</v>
      </c>
      <c r="I372" t="s">
        <v>1428</v>
      </c>
    </row>
    <row r="373" spans="1:10" ht="15" customHeight="1" x14ac:dyDescent="0.25">
      <c r="A373" t="s">
        <v>1429</v>
      </c>
      <c r="B373">
        <v>2023</v>
      </c>
      <c r="C373" t="s">
        <v>222</v>
      </c>
      <c r="D373" t="b">
        <f>TRUE()</f>
        <v>1</v>
      </c>
      <c r="E373" t="b">
        <f>COUNTIF(connections!A:A, A373) &gt; 0</f>
        <v>0</v>
      </c>
      <c r="G373" t="s">
        <v>1430</v>
      </c>
      <c r="H373" t="s">
        <v>187</v>
      </c>
      <c r="I373" t="s">
        <v>1431</v>
      </c>
      <c r="J373" s="11" t="s">
        <v>1432</v>
      </c>
    </row>
    <row r="374" spans="1:10" ht="15" customHeight="1" x14ac:dyDescent="0.25">
      <c r="A374" t="s">
        <v>1433</v>
      </c>
      <c r="B374">
        <v>2025</v>
      </c>
      <c r="C374" t="s">
        <v>222</v>
      </c>
      <c r="D374" t="b">
        <f>TRUE()</f>
        <v>1</v>
      </c>
      <c r="E374" t="b">
        <f>COUNTIF(connections!A:A, A374) &gt; 0</f>
        <v>0</v>
      </c>
      <c r="G374" t="s">
        <v>1434</v>
      </c>
      <c r="J374" s="11" t="s">
        <v>1435</v>
      </c>
    </row>
    <row r="375" spans="1:10" ht="15" customHeight="1" x14ac:dyDescent="0.25">
      <c r="A375" t="s">
        <v>1436</v>
      </c>
      <c r="B375">
        <v>2021</v>
      </c>
      <c r="C375" t="s">
        <v>182</v>
      </c>
      <c r="D375" t="b">
        <f>TRUE()</f>
        <v>1</v>
      </c>
      <c r="E375" t="b">
        <f>COUNTIF(connections!A:A, A375) &gt; 0</f>
        <v>1</v>
      </c>
      <c r="G375" t="s">
        <v>1437</v>
      </c>
      <c r="H375" t="s">
        <v>187</v>
      </c>
      <c r="I375" t="s">
        <v>1438</v>
      </c>
      <c r="J375" s="1" t="s">
        <v>1439</v>
      </c>
    </row>
    <row r="376" spans="1:10" ht="15" customHeight="1" x14ac:dyDescent="0.25">
      <c r="A376" t="s">
        <v>1440</v>
      </c>
      <c r="B376">
        <v>2021</v>
      </c>
      <c r="C376" t="s">
        <v>222</v>
      </c>
      <c r="D376" t="b">
        <f>TRUE()</f>
        <v>1</v>
      </c>
      <c r="E376" t="b">
        <f>COUNTIF(connections!A:A, A376) &gt; 0</f>
        <v>0</v>
      </c>
      <c r="G376" t="s">
        <v>1441</v>
      </c>
      <c r="H376" t="s">
        <v>187</v>
      </c>
      <c r="I376" t="s">
        <v>1442</v>
      </c>
      <c r="J376" s="1" t="s">
        <v>1443</v>
      </c>
    </row>
    <row r="377" spans="1:10" ht="15" customHeight="1" x14ac:dyDescent="0.25">
      <c r="A377" t="s">
        <v>1444</v>
      </c>
      <c r="B377">
        <v>2018</v>
      </c>
      <c r="C377" t="s">
        <v>222</v>
      </c>
      <c r="D377" t="b">
        <f>TRUE()</f>
        <v>1</v>
      </c>
      <c r="E377" t="b">
        <f>COUNTIF(connections!A:A, A377) &gt; 0</f>
        <v>1</v>
      </c>
      <c r="F377" t="s">
        <v>274</v>
      </c>
      <c r="G377" t="s">
        <v>1445</v>
      </c>
      <c r="H377" t="s">
        <v>187</v>
      </c>
      <c r="I377" t="s">
        <v>1446</v>
      </c>
      <c r="J377" s="1" t="s">
        <v>1447</v>
      </c>
    </row>
    <row r="378" spans="1:10" ht="15" customHeight="1" x14ac:dyDescent="0.25">
      <c r="A378" t="s">
        <v>1448</v>
      </c>
      <c r="B378">
        <v>2025</v>
      </c>
      <c r="C378" t="s">
        <v>182</v>
      </c>
      <c r="D378" t="b">
        <f>TRUE()</f>
        <v>1</v>
      </c>
      <c r="E378" t="b">
        <f>COUNTIF(connections!A:A, A378) &gt; 0</f>
        <v>0</v>
      </c>
      <c r="G378" t="s">
        <v>1449</v>
      </c>
      <c r="J378" s="11" t="s">
        <v>1450</v>
      </c>
    </row>
    <row r="379" spans="1:10" ht="15" customHeight="1" x14ac:dyDescent="0.25">
      <c r="A379" t="s">
        <v>1451</v>
      </c>
      <c r="B379">
        <v>2019</v>
      </c>
      <c r="C379" t="s">
        <v>222</v>
      </c>
      <c r="D379" t="b">
        <f>TRUE()</f>
        <v>1</v>
      </c>
      <c r="E379" t="b">
        <f>COUNTIF(connections!A:A, A379) &gt; 0</f>
        <v>0</v>
      </c>
      <c r="G379" t="s">
        <v>1452</v>
      </c>
      <c r="H379" t="s">
        <v>187</v>
      </c>
      <c r="I379" t="s">
        <v>1453</v>
      </c>
      <c r="J379" s="1" t="s">
        <v>1454</v>
      </c>
    </row>
    <row r="380" spans="1:10" ht="15" customHeight="1" x14ac:dyDescent="0.25">
      <c r="A380" t="s">
        <v>1455</v>
      </c>
      <c r="B380">
        <v>2001</v>
      </c>
      <c r="C380" t="s">
        <v>179</v>
      </c>
      <c r="D380" t="b">
        <f>TRUE()</f>
        <v>1</v>
      </c>
      <c r="E380" t="b">
        <f>COUNTIF(connections!A:A, A380) &gt; 0</f>
        <v>1</v>
      </c>
      <c r="G380" t="s">
        <v>1456</v>
      </c>
      <c r="H380" t="s">
        <v>187</v>
      </c>
      <c r="I380" t="s">
        <v>1457</v>
      </c>
    </row>
    <row r="381" spans="1:10" ht="15" customHeight="1" x14ac:dyDescent="0.25">
      <c r="A381" t="s">
        <v>1458</v>
      </c>
      <c r="B381">
        <v>2007</v>
      </c>
      <c r="C381" t="s">
        <v>179</v>
      </c>
      <c r="D381" t="b">
        <f>TRUE()</f>
        <v>1</v>
      </c>
      <c r="E381" t="b">
        <f>COUNTIF(connections!A:A, A381) &gt; 0</f>
        <v>0</v>
      </c>
      <c r="G381" t="s">
        <v>1459</v>
      </c>
      <c r="H381" t="s">
        <v>187</v>
      </c>
      <c r="I381" t="s">
        <v>1460</v>
      </c>
    </row>
    <row r="382" spans="1:10" ht="15" customHeight="1" x14ac:dyDescent="0.25">
      <c r="A382" t="s">
        <v>1461</v>
      </c>
      <c r="B382">
        <v>2006</v>
      </c>
      <c r="C382" t="s">
        <v>179</v>
      </c>
      <c r="D382" t="b">
        <f>TRUE()</f>
        <v>1</v>
      </c>
      <c r="E382" t="b">
        <f>COUNTIF(connections!A:A, A382) &gt; 0</f>
        <v>1</v>
      </c>
      <c r="G382" t="s">
        <v>1462</v>
      </c>
      <c r="H382" t="s">
        <v>187</v>
      </c>
      <c r="I382" t="s">
        <v>1463</v>
      </c>
    </row>
    <row r="383" spans="1:10" ht="15" customHeight="1" x14ac:dyDescent="0.25">
      <c r="A383" t="s">
        <v>1464</v>
      </c>
      <c r="B383">
        <v>2025</v>
      </c>
      <c r="C383" t="s">
        <v>176</v>
      </c>
      <c r="D383" t="b">
        <f>TRUE()</f>
        <v>1</v>
      </c>
      <c r="E383" t="b">
        <f>COUNTIF(connections!A:A, A383) &gt; 0</f>
        <v>0</v>
      </c>
      <c r="G383" t="s">
        <v>1465</v>
      </c>
    </row>
    <row r="384" spans="1:10" ht="15" customHeight="1" x14ac:dyDescent="0.25">
      <c r="A384" t="s">
        <v>1466</v>
      </c>
      <c r="B384">
        <v>2018</v>
      </c>
      <c r="C384" t="s">
        <v>176</v>
      </c>
      <c r="D384" t="b">
        <f>FALSE()</f>
        <v>0</v>
      </c>
      <c r="E384" t="b">
        <f>COUNTIF(connections!A:A, A384) &gt; 0</f>
        <v>0</v>
      </c>
      <c r="F384" t="s">
        <v>264</v>
      </c>
      <c r="G384" t="s">
        <v>1467</v>
      </c>
    </row>
    <row r="385" spans="1:10" ht="15" customHeight="1" x14ac:dyDescent="0.25">
      <c r="A385" t="s">
        <v>1468</v>
      </c>
      <c r="B385">
        <v>2019</v>
      </c>
      <c r="C385" t="s">
        <v>179</v>
      </c>
      <c r="D385" t="b">
        <f>TRUE()</f>
        <v>1</v>
      </c>
      <c r="E385" t="b">
        <f>COUNTIF(connections!A:A, A385) &gt; 0</f>
        <v>0</v>
      </c>
      <c r="F385" t="s">
        <v>274</v>
      </c>
      <c r="G385" t="s">
        <v>1469</v>
      </c>
      <c r="H385" t="s">
        <v>187</v>
      </c>
      <c r="I385" t="s">
        <v>1470</v>
      </c>
      <c r="J385" s="1" t="s">
        <v>1471</v>
      </c>
    </row>
    <row r="386" spans="1:10" ht="15" customHeight="1" x14ac:dyDescent="0.25">
      <c r="A386" t="s">
        <v>1472</v>
      </c>
      <c r="B386">
        <v>2023</v>
      </c>
      <c r="C386" t="s">
        <v>176</v>
      </c>
      <c r="D386" t="b">
        <f>TRUE()</f>
        <v>1</v>
      </c>
      <c r="E386" t="b">
        <f>COUNTIF(connections!A:A, A386) &gt; 0</f>
        <v>0</v>
      </c>
      <c r="G386" t="s">
        <v>1473</v>
      </c>
      <c r="H386" t="s">
        <v>187</v>
      </c>
      <c r="I386" t="s">
        <v>1474</v>
      </c>
      <c r="J386" s="1" t="s">
        <v>1475</v>
      </c>
    </row>
    <row r="387" spans="1:10" ht="15" customHeight="1" x14ac:dyDescent="0.25">
      <c r="A387" t="s">
        <v>1476</v>
      </c>
      <c r="B387">
        <v>2024</v>
      </c>
      <c r="C387" t="s">
        <v>222</v>
      </c>
      <c r="D387" t="b">
        <f>TRUE()</f>
        <v>1</v>
      </c>
      <c r="E387" t="b">
        <f>COUNTIF(connections!A:A, A387) &gt; 0</f>
        <v>0</v>
      </c>
      <c r="G387" t="s">
        <v>1477</v>
      </c>
      <c r="H387" t="s">
        <v>187</v>
      </c>
      <c r="I387" t="s">
        <v>1478</v>
      </c>
      <c r="J387" s="1" t="s">
        <v>1479</v>
      </c>
    </row>
    <row r="388" spans="1:10" ht="15" customHeight="1" x14ac:dyDescent="0.25">
      <c r="A388" t="s">
        <v>1480</v>
      </c>
      <c r="B388">
        <v>2025</v>
      </c>
      <c r="C388" t="s">
        <v>176</v>
      </c>
      <c r="D388" t="b">
        <f>TRUE()</f>
        <v>1</v>
      </c>
      <c r="E388" t="b">
        <f>COUNTIF(connections!A:A, A388) &gt; 0</f>
        <v>0</v>
      </c>
      <c r="G388" t="s">
        <v>1481</v>
      </c>
      <c r="J388" s="11" t="s">
        <v>1482</v>
      </c>
    </row>
    <row r="389" spans="1:10" ht="15" customHeight="1" x14ac:dyDescent="0.25">
      <c r="A389" t="s">
        <v>1483</v>
      </c>
      <c r="B389">
        <v>2015</v>
      </c>
      <c r="C389" t="s">
        <v>179</v>
      </c>
      <c r="D389" t="b">
        <f>TRUE()</f>
        <v>1</v>
      </c>
      <c r="E389" t="b">
        <f>COUNTIF(connections!A:A, A389) &gt; 0</f>
        <v>0</v>
      </c>
      <c r="G389" t="s">
        <v>1484</v>
      </c>
      <c r="H389" t="s">
        <v>187</v>
      </c>
      <c r="I389" t="s">
        <v>1485</v>
      </c>
      <c r="J389" s="1" t="s">
        <v>1486</v>
      </c>
    </row>
    <row r="390" spans="1:10" ht="15" customHeight="1" x14ac:dyDescent="0.25">
      <c r="A390" t="s">
        <v>1487</v>
      </c>
      <c r="B390">
        <v>2023</v>
      </c>
      <c r="C390" t="s">
        <v>176</v>
      </c>
      <c r="D390" t="b">
        <f>TRUE()</f>
        <v>1</v>
      </c>
      <c r="E390" t="b">
        <f>COUNTIF(connections!A:A, A390) &gt; 0</f>
        <v>0</v>
      </c>
      <c r="G390" t="s">
        <v>1488</v>
      </c>
      <c r="H390" t="s">
        <v>187</v>
      </c>
      <c r="I390" t="s">
        <v>1489</v>
      </c>
      <c r="J390" s="1" t="s">
        <v>1490</v>
      </c>
    </row>
    <row r="391" spans="1:10" ht="15" customHeight="1" x14ac:dyDescent="0.25">
      <c r="A391" t="s">
        <v>1491</v>
      </c>
      <c r="B391">
        <v>2025</v>
      </c>
      <c r="C391" t="s">
        <v>222</v>
      </c>
      <c r="D391" t="b">
        <f>FALSE()</f>
        <v>0</v>
      </c>
      <c r="E391" t="b">
        <f>COUNTIF(connections!A:A, A391) &gt; 0</f>
        <v>0</v>
      </c>
      <c r="G391" t="s">
        <v>1492</v>
      </c>
    </row>
    <row r="392" spans="1:10" ht="15" customHeight="1" x14ac:dyDescent="0.25">
      <c r="A392" t="s">
        <v>1493</v>
      </c>
      <c r="B392">
        <v>2025</v>
      </c>
      <c r="C392" t="s">
        <v>176</v>
      </c>
      <c r="D392" t="b">
        <f>TRUE()</f>
        <v>1</v>
      </c>
      <c r="E392" t="b">
        <f>COUNTIF(connections!A:A, A392) &gt; 0</f>
        <v>0</v>
      </c>
      <c r="F392" t="s">
        <v>399</v>
      </c>
      <c r="G392" t="s">
        <v>1494</v>
      </c>
      <c r="H392" t="s">
        <v>187</v>
      </c>
      <c r="I392" t="s">
        <v>1495</v>
      </c>
      <c r="J392" s="1" t="s">
        <v>1496</v>
      </c>
    </row>
    <row r="393" spans="1:10" ht="15" customHeight="1" x14ac:dyDescent="0.25">
      <c r="A393" t="s">
        <v>1497</v>
      </c>
      <c r="B393">
        <v>2016</v>
      </c>
      <c r="C393" t="s">
        <v>222</v>
      </c>
      <c r="D393" t="b">
        <f>TRUE()</f>
        <v>1</v>
      </c>
      <c r="E393" t="b">
        <f>COUNTIF(connections!A:A, A393) &gt; 0</f>
        <v>1</v>
      </c>
      <c r="G393" t="s">
        <v>1498</v>
      </c>
      <c r="H393" t="s">
        <v>187</v>
      </c>
      <c r="I393" t="s">
        <v>1499</v>
      </c>
      <c r="J393" s="1" t="s">
        <v>1500</v>
      </c>
    </row>
    <row r="394" spans="1:10" ht="15" customHeight="1" x14ac:dyDescent="0.25">
      <c r="A394" t="s">
        <v>1501</v>
      </c>
      <c r="B394">
        <v>2023</v>
      </c>
      <c r="C394" t="s">
        <v>176</v>
      </c>
      <c r="D394" t="b">
        <f>TRUE()</f>
        <v>1</v>
      </c>
      <c r="E394" t="b">
        <f>COUNTIF(connections!A:A, A394) &gt; 0</f>
        <v>0</v>
      </c>
      <c r="F394" t="s">
        <v>529</v>
      </c>
      <c r="G394" t="s">
        <v>1502</v>
      </c>
      <c r="H394" t="s">
        <v>187</v>
      </c>
      <c r="I394" t="s">
        <v>1503</v>
      </c>
      <c r="J394" s="1" t="s">
        <v>1021</v>
      </c>
    </row>
    <row r="395" spans="1:10" ht="15" customHeight="1" x14ac:dyDescent="0.25">
      <c r="A395" t="s">
        <v>1504</v>
      </c>
      <c r="B395">
        <v>2025</v>
      </c>
      <c r="C395" t="s">
        <v>222</v>
      </c>
      <c r="D395" t="b">
        <f>TRUE()</f>
        <v>1</v>
      </c>
      <c r="E395" t="b">
        <f>COUNTIF(connections!A:A, A395) &gt; 0</f>
        <v>0</v>
      </c>
      <c r="F395" t="s">
        <v>1031</v>
      </c>
      <c r="G395" t="s">
        <v>1505</v>
      </c>
      <c r="H395" t="s">
        <v>187</v>
      </c>
      <c r="I395" t="s">
        <v>1506</v>
      </c>
      <c r="J395" s="1" t="s">
        <v>1507</v>
      </c>
    </row>
    <row r="396" spans="1:10" ht="15" customHeight="1" x14ac:dyDescent="0.25">
      <c r="A396" t="s">
        <v>1508</v>
      </c>
      <c r="B396">
        <v>2025</v>
      </c>
      <c r="C396" t="s">
        <v>182</v>
      </c>
      <c r="D396" t="b">
        <f>TRUE()</f>
        <v>1</v>
      </c>
      <c r="E396" t="b">
        <f>COUNTIF(connections!A:A, A396) &gt; 0</f>
        <v>0</v>
      </c>
      <c r="F396" t="s">
        <v>1031</v>
      </c>
      <c r="G396" t="s">
        <v>1509</v>
      </c>
      <c r="H396" t="s">
        <v>187</v>
      </c>
      <c r="I396" t="s">
        <v>1510</v>
      </c>
      <c r="J396" s="1" t="s">
        <v>1511</v>
      </c>
    </row>
    <row r="397" spans="1:10" ht="15" customHeight="1" x14ac:dyDescent="0.25">
      <c r="A397" t="s">
        <v>1512</v>
      </c>
      <c r="B397">
        <v>2020</v>
      </c>
      <c r="C397" t="s">
        <v>182</v>
      </c>
      <c r="D397" t="b">
        <f>TRUE()</f>
        <v>1</v>
      </c>
      <c r="E397" t="b">
        <f>COUNTIF(connections!A:A, A397) &gt; 0</f>
        <v>0</v>
      </c>
      <c r="G397" t="s">
        <v>1513</v>
      </c>
    </row>
    <row r="398" spans="1:10" ht="15" customHeight="1" x14ac:dyDescent="0.25">
      <c r="A398" t="s">
        <v>1514</v>
      </c>
      <c r="B398">
        <v>2020</v>
      </c>
      <c r="C398" t="s">
        <v>179</v>
      </c>
      <c r="D398" t="b">
        <f>TRUE()</f>
        <v>1</v>
      </c>
      <c r="E398" t="b">
        <f>COUNTIF(connections!A:A, A398) &gt; 0</f>
        <v>0</v>
      </c>
      <c r="G398" t="s">
        <v>1515</v>
      </c>
      <c r="H398" t="s">
        <v>187</v>
      </c>
      <c r="I398" t="s">
        <v>1516</v>
      </c>
    </row>
    <row r="399" spans="1:10" ht="15" customHeight="1" x14ac:dyDescent="0.25">
      <c r="A399" t="s">
        <v>1517</v>
      </c>
      <c r="B399">
        <v>2024</v>
      </c>
      <c r="C399" t="s">
        <v>176</v>
      </c>
      <c r="D399" t="b">
        <f>TRUE()</f>
        <v>1</v>
      </c>
      <c r="E399" t="b">
        <f>COUNTIF(connections!A:A, A399) &gt; 0</f>
        <v>1</v>
      </c>
      <c r="F399" t="s">
        <v>652</v>
      </c>
      <c r="G399" t="s">
        <v>1518</v>
      </c>
      <c r="H399" t="s">
        <v>187</v>
      </c>
      <c r="I399" t="s">
        <v>1519</v>
      </c>
      <c r="J399" s="1" t="s">
        <v>1520</v>
      </c>
    </row>
    <row r="400" spans="1:10" ht="15" customHeight="1" x14ac:dyDescent="0.25">
      <c r="A400" t="s">
        <v>1521</v>
      </c>
      <c r="B400">
        <v>2006</v>
      </c>
      <c r="C400" t="s">
        <v>179</v>
      </c>
      <c r="D400" t="b">
        <f>TRUE()</f>
        <v>1</v>
      </c>
      <c r="E400" t="b">
        <f>COUNTIF(connections!A:A, A400) &gt; 0</f>
        <v>0</v>
      </c>
      <c r="G400" t="s">
        <v>1522</v>
      </c>
      <c r="H400" t="s">
        <v>187</v>
      </c>
      <c r="I400" t="s">
        <v>1523</v>
      </c>
    </row>
    <row r="401" spans="1:10" ht="15" customHeight="1" x14ac:dyDescent="0.25">
      <c r="A401" t="s">
        <v>1524</v>
      </c>
      <c r="B401">
        <v>1986</v>
      </c>
      <c r="C401" t="s">
        <v>179</v>
      </c>
      <c r="D401" t="b">
        <f>TRUE()</f>
        <v>1</v>
      </c>
      <c r="E401" t="b">
        <f>COUNTIF(connections!A:A, A401) &gt; 0</f>
        <v>0</v>
      </c>
      <c r="G401" t="s">
        <v>1525</v>
      </c>
      <c r="H401" t="s">
        <v>187</v>
      </c>
      <c r="I401" t="s">
        <v>1526</v>
      </c>
    </row>
    <row r="402" spans="1:10" ht="15" customHeight="1" x14ac:dyDescent="0.25">
      <c r="A402" t="s">
        <v>1527</v>
      </c>
      <c r="B402">
        <v>2019</v>
      </c>
      <c r="C402" t="s">
        <v>222</v>
      </c>
      <c r="D402" t="b">
        <f>TRUE()</f>
        <v>1</v>
      </c>
      <c r="E402" t="b">
        <f>COUNTIF(connections!A:A, A402) &gt; 0</f>
        <v>0</v>
      </c>
      <c r="G402" t="s">
        <v>1528</v>
      </c>
      <c r="H402" t="s">
        <v>187</v>
      </c>
      <c r="I402" t="s">
        <v>1529</v>
      </c>
      <c r="J402" s="1" t="s">
        <v>1530</v>
      </c>
    </row>
    <row r="403" spans="1:10" ht="15" customHeight="1" x14ac:dyDescent="0.25">
      <c r="A403" t="s">
        <v>1531</v>
      </c>
      <c r="B403">
        <v>2024</v>
      </c>
      <c r="C403" t="s">
        <v>176</v>
      </c>
      <c r="D403" t="b">
        <f>TRUE()</f>
        <v>1</v>
      </c>
      <c r="E403" t="b">
        <f>COUNTIF(connections!A:A, A403) &gt; 0</f>
        <v>0</v>
      </c>
      <c r="F403" t="s">
        <v>264</v>
      </c>
      <c r="G403" t="s">
        <v>1532</v>
      </c>
    </row>
    <row r="404" spans="1:10" ht="15" customHeight="1" x14ac:dyDescent="0.25">
      <c r="A404" t="s">
        <v>1533</v>
      </c>
      <c r="B404">
        <v>2026</v>
      </c>
      <c r="C404" t="s">
        <v>182</v>
      </c>
      <c r="D404" t="b">
        <f>FALSE()</f>
        <v>0</v>
      </c>
      <c r="E404" t="b">
        <f>COUNTIF(connections!A:A, A404) &gt; 0</f>
        <v>0</v>
      </c>
      <c r="G404" t="s">
        <v>1534</v>
      </c>
    </row>
    <row r="405" spans="1:10" ht="15" customHeight="1" x14ac:dyDescent="0.25">
      <c r="A405" t="s">
        <v>1535</v>
      </c>
      <c r="B405">
        <v>2023</v>
      </c>
      <c r="C405" t="s">
        <v>222</v>
      </c>
      <c r="D405" t="b">
        <f>FALSE()</f>
        <v>0</v>
      </c>
      <c r="E405" t="b">
        <f>COUNTIF(connections!A:A, A405) &gt; 0</f>
        <v>0</v>
      </c>
      <c r="G405" t="s">
        <v>1536</v>
      </c>
      <c r="H405" t="s">
        <v>187</v>
      </c>
      <c r="I405" t="s">
        <v>1537</v>
      </c>
      <c r="J405" s="1" t="s">
        <v>1538</v>
      </c>
    </row>
    <row r="406" spans="1:10" ht="15" customHeight="1" x14ac:dyDescent="0.25">
      <c r="A406" t="s">
        <v>1539</v>
      </c>
      <c r="B406">
        <v>1995</v>
      </c>
      <c r="C406" t="s">
        <v>179</v>
      </c>
      <c r="D406" t="b">
        <f>TRUE()</f>
        <v>1</v>
      </c>
      <c r="E406" t="b">
        <f>COUNTIF(connections!A:A, A406) &gt; 0</f>
        <v>1</v>
      </c>
      <c r="G406" t="s">
        <v>1540</v>
      </c>
      <c r="H406" t="s">
        <v>187</v>
      </c>
      <c r="I406" t="s">
        <v>1541</v>
      </c>
    </row>
    <row r="407" spans="1:10" ht="15" customHeight="1" x14ac:dyDescent="0.25">
      <c r="A407" t="s">
        <v>1542</v>
      </c>
      <c r="B407">
        <v>2023</v>
      </c>
      <c r="C407" t="s">
        <v>176</v>
      </c>
      <c r="D407" t="b">
        <f>TRUE()</f>
        <v>1</v>
      </c>
      <c r="E407" t="b">
        <f>COUNTIF(connections!A:A, A407) &gt; 0</f>
        <v>0</v>
      </c>
      <c r="G407" t="s">
        <v>1543</v>
      </c>
      <c r="H407" t="s">
        <v>187</v>
      </c>
      <c r="I407" t="s">
        <v>1544</v>
      </c>
      <c r="J407" s="1" t="s">
        <v>1545</v>
      </c>
    </row>
    <row r="408" spans="1:10" ht="15" customHeight="1" x14ac:dyDescent="0.25">
      <c r="A408" t="s">
        <v>1546</v>
      </c>
      <c r="B408">
        <v>2024</v>
      </c>
      <c r="C408" t="s">
        <v>222</v>
      </c>
      <c r="D408" t="b">
        <f>TRUE()</f>
        <v>1</v>
      </c>
      <c r="E408" t="b">
        <f>COUNTIF(connections!A:A, A408) &gt; 0</f>
        <v>0</v>
      </c>
      <c r="F408" t="s">
        <v>274</v>
      </c>
      <c r="G408" t="s">
        <v>1547</v>
      </c>
      <c r="H408" t="s">
        <v>187</v>
      </c>
      <c r="I408" t="s">
        <v>1548</v>
      </c>
      <c r="J408" s="1" t="s">
        <v>1549</v>
      </c>
    </row>
    <row r="409" spans="1:10" ht="15" customHeight="1" x14ac:dyDescent="0.25">
      <c r="A409" t="s">
        <v>1550</v>
      </c>
      <c r="B409">
        <v>2021</v>
      </c>
      <c r="C409" t="s">
        <v>222</v>
      </c>
      <c r="D409" t="b">
        <f>TRUE()</f>
        <v>1</v>
      </c>
      <c r="E409" t="b">
        <f>COUNTIF(connections!A:A, A409) &gt; 0</f>
        <v>1</v>
      </c>
      <c r="G409" t="s">
        <v>1551</v>
      </c>
      <c r="H409" t="s">
        <v>187</v>
      </c>
      <c r="I409" t="s">
        <v>1552</v>
      </c>
      <c r="J409" s="1" t="s">
        <v>1553</v>
      </c>
    </row>
    <row r="410" spans="1:10" ht="15" customHeight="1" x14ac:dyDescent="0.25">
      <c r="A410" t="s">
        <v>1554</v>
      </c>
      <c r="B410">
        <v>2017</v>
      </c>
      <c r="C410" t="s">
        <v>222</v>
      </c>
      <c r="D410" t="b">
        <f>TRUE()</f>
        <v>1</v>
      </c>
      <c r="E410" t="b">
        <f>COUNTIF(connections!A:A, A410) &gt; 0</f>
        <v>0</v>
      </c>
      <c r="G410" t="s">
        <v>1555</v>
      </c>
    </row>
    <row r="411" spans="1:10" ht="15" customHeight="1" x14ac:dyDescent="0.25">
      <c r="A411" t="s">
        <v>1556</v>
      </c>
      <c r="B411">
        <v>2022</v>
      </c>
      <c r="C411" t="s">
        <v>222</v>
      </c>
      <c r="D411" t="b">
        <f>FALSE()</f>
        <v>0</v>
      </c>
      <c r="E411" t="b">
        <f>COUNTIF(connections!A:A, A411) &gt; 0</f>
        <v>0</v>
      </c>
      <c r="F411" t="s">
        <v>652</v>
      </c>
      <c r="G411" t="s">
        <v>1557</v>
      </c>
      <c r="H411" t="s">
        <v>187</v>
      </c>
      <c r="I411" t="s">
        <v>1558</v>
      </c>
      <c r="J411" s="1" t="s">
        <v>1559</v>
      </c>
    </row>
    <row r="412" spans="1:10" ht="15" customHeight="1" x14ac:dyDescent="0.25">
      <c r="A412" t="s">
        <v>1560</v>
      </c>
      <c r="B412">
        <v>2025</v>
      </c>
      <c r="C412" t="s">
        <v>222</v>
      </c>
      <c r="D412" t="b">
        <f>TRUE()</f>
        <v>1</v>
      </c>
      <c r="E412" t="b">
        <f>COUNTIF(connections!A:A, A412) &gt; 0</f>
        <v>0</v>
      </c>
      <c r="G412" t="s">
        <v>1561</v>
      </c>
    </row>
    <row r="413" spans="1:10" ht="15" customHeight="1" x14ac:dyDescent="0.25">
      <c r="A413" t="s">
        <v>1562</v>
      </c>
      <c r="B413">
        <v>2026</v>
      </c>
      <c r="C413" t="s">
        <v>176</v>
      </c>
      <c r="D413" t="b">
        <f>TRUE()</f>
        <v>1</v>
      </c>
      <c r="E413" t="b">
        <f>COUNTIF(connections!A:A, A413) &gt; 0</f>
        <v>0</v>
      </c>
      <c r="G413" t="s">
        <v>1563</v>
      </c>
    </row>
    <row r="414" spans="1:10" ht="15" customHeight="1" x14ac:dyDescent="0.25">
      <c r="A414" t="s">
        <v>1564</v>
      </c>
      <c r="B414">
        <v>2019</v>
      </c>
      <c r="C414" t="s">
        <v>179</v>
      </c>
      <c r="D414" t="b">
        <f>TRUE()</f>
        <v>1</v>
      </c>
      <c r="E414" t="b">
        <f>COUNTIF(connections!A:A, A414) &gt; 0</f>
        <v>0</v>
      </c>
      <c r="G414" t="s">
        <v>1565</v>
      </c>
    </row>
    <row r="415" spans="1:10" ht="15" customHeight="1" x14ac:dyDescent="0.25">
      <c r="A415" t="s">
        <v>1566</v>
      </c>
      <c r="B415">
        <v>2023</v>
      </c>
      <c r="C415" t="s">
        <v>182</v>
      </c>
      <c r="D415" t="b">
        <f>TRUE()</f>
        <v>1</v>
      </c>
      <c r="E415" t="b">
        <f>COUNTIF(connections!A:A, A415) &gt; 0</f>
        <v>1</v>
      </c>
      <c r="G415" t="s">
        <v>1567</v>
      </c>
      <c r="J415" s="11" t="s">
        <v>1568</v>
      </c>
    </row>
    <row r="416" spans="1:10" ht="15" customHeight="1" x14ac:dyDescent="0.25">
      <c r="A416" t="s">
        <v>1569</v>
      </c>
      <c r="B416">
        <v>2022</v>
      </c>
      <c r="C416" t="s">
        <v>182</v>
      </c>
      <c r="D416" t="b">
        <f>TRUE()</f>
        <v>1</v>
      </c>
      <c r="E416" t="b">
        <f>COUNTIF(connections!A:A, A416) &gt; 0</f>
        <v>0</v>
      </c>
      <c r="G416" t="s">
        <v>1570</v>
      </c>
    </row>
    <row r="417" spans="1:10" ht="15" customHeight="1" x14ac:dyDescent="0.25">
      <c r="A417" t="s">
        <v>1571</v>
      </c>
      <c r="B417">
        <v>2025</v>
      </c>
      <c r="C417" t="s">
        <v>176</v>
      </c>
      <c r="D417" t="b">
        <f>TRUE()</f>
        <v>1</v>
      </c>
      <c r="E417" t="b">
        <f>COUNTIF(connections!A:A, A417) &gt; 0</f>
        <v>0</v>
      </c>
      <c r="G417" t="s">
        <v>1572</v>
      </c>
    </row>
    <row r="418" spans="1:10" ht="15" customHeight="1" x14ac:dyDescent="0.25">
      <c r="A418" t="s">
        <v>1573</v>
      </c>
      <c r="B418">
        <v>2001</v>
      </c>
      <c r="C418" t="s">
        <v>179</v>
      </c>
      <c r="D418" t="b">
        <f>TRUE()</f>
        <v>1</v>
      </c>
      <c r="E418" t="b">
        <f>COUNTIF(connections!A:A, A418) &gt; 0</f>
        <v>1</v>
      </c>
      <c r="G418" t="s">
        <v>1574</v>
      </c>
    </row>
    <row r="419" spans="1:10" ht="15" customHeight="1" x14ac:dyDescent="0.25">
      <c r="A419" t="s">
        <v>1575</v>
      </c>
      <c r="B419">
        <v>2024</v>
      </c>
      <c r="C419" t="s">
        <v>182</v>
      </c>
      <c r="D419" t="b">
        <f>TRUE()</f>
        <v>1</v>
      </c>
      <c r="E419" t="b">
        <f>COUNTIF(connections!A:A, A419) &gt; 0</f>
        <v>0</v>
      </c>
      <c r="G419" t="s">
        <v>1576</v>
      </c>
    </row>
    <row r="420" spans="1:10" ht="15" customHeight="1" x14ac:dyDescent="0.25">
      <c r="A420" t="s">
        <v>1577</v>
      </c>
      <c r="B420">
        <v>2021</v>
      </c>
      <c r="C420" t="s">
        <v>182</v>
      </c>
      <c r="D420" t="b">
        <f>TRUE()</f>
        <v>1</v>
      </c>
      <c r="E420" t="b">
        <f>COUNTIF(connections!A:A, A420) &gt; 0</f>
        <v>1</v>
      </c>
      <c r="F420" t="s">
        <v>354</v>
      </c>
      <c r="G420" t="s">
        <v>1578</v>
      </c>
      <c r="H420" t="s">
        <v>187</v>
      </c>
      <c r="I420" t="s">
        <v>1579</v>
      </c>
      <c r="J420" s="1" t="s">
        <v>1580</v>
      </c>
    </row>
    <row r="421" spans="1:10" ht="15" customHeight="1" x14ac:dyDescent="0.25">
      <c r="A421" t="s">
        <v>1581</v>
      </c>
      <c r="B421">
        <v>2023</v>
      </c>
      <c r="C421" t="s">
        <v>182</v>
      </c>
      <c r="D421" t="b">
        <f>TRUE()</f>
        <v>1</v>
      </c>
      <c r="E421" t="b">
        <f>COUNTIF(connections!A:A, A421) &gt; 0</f>
        <v>0</v>
      </c>
      <c r="F421" t="s">
        <v>354</v>
      </c>
      <c r="G421" t="s">
        <v>1582</v>
      </c>
      <c r="H421" t="s">
        <v>187</v>
      </c>
      <c r="I421" t="s">
        <v>1583</v>
      </c>
      <c r="J421" s="1" t="s">
        <v>1584</v>
      </c>
    </row>
    <row r="422" spans="1:10" ht="15" customHeight="1" x14ac:dyDescent="0.25">
      <c r="A422" t="s">
        <v>1585</v>
      </c>
      <c r="B422">
        <v>2026</v>
      </c>
      <c r="C422" t="s">
        <v>176</v>
      </c>
      <c r="D422" t="b">
        <f>TRUE()</f>
        <v>1</v>
      </c>
      <c r="E422" t="b">
        <f>COUNTIF(connections!A:A, A422) &gt; 0</f>
        <v>0</v>
      </c>
      <c r="G422" t="s">
        <v>1586</v>
      </c>
      <c r="J422" s="11" t="s">
        <v>1587</v>
      </c>
    </row>
    <row r="423" spans="1:10" ht="15" customHeight="1" x14ac:dyDescent="0.25">
      <c r="A423" t="s">
        <v>1588</v>
      </c>
      <c r="B423">
        <v>2026</v>
      </c>
      <c r="C423" t="s">
        <v>222</v>
      </c>
      <c r="D423" t="b">
        <f>TRUE()</f>
        <v>1</v>
      </c>
      <c r="E423" t="b">
        <f>COUNTIF(connections!A:A, A423) &gt; 0</f>
        <v>0</v>
      </c>
      <c r="F423" t="s">
        <v>264</v>
      </c>
      <c r="G423" t="s">
        <v>1589</v>
      </c>
    </row>
    <row r="424" spans="1:10" ht="16.5" customHeight="1" x14ac:dyDescent="0.25">
      <c r="A424" t="s">
        <v>1590</v>
      </c>
      <c r="B424">
        <v>2026</v>
      </c>
      <c r="C424" t="s">
        <v>176</v>
      </c>
      <c r="D424" t="b">
        <f>FALSE()</f>
        <v>0</v>
      </c>
      <c r="E424" t="b">
        <f>COUNTIF(connections!A:A, A424) &gt; 0</f>
        <v>0</v>
      </c>
      <c r="G424" t="s">
        <v>1591</v>
      </c>
      <c r="J424" s="1" t="s">
        <v>1592</v>
      </c>
    </row>
    <row r="425" spans="1:10" ht="15" customHeight="1" x14ac:dyDescent="0.25">
      <c r="A425" t="s">
        <v>1593</v>
      </c>
      <c r="B425">
        <v>2019</v>
      </c>
      <c r="C425" t="s">
        <v>176</v>
      </c>
      <c r="D425" t="b">
        <f>TRUE()</f>
        <v>1</v>
      </c>
      <c r="E425" t="b">
        <f>COUNTIF(connections!A:A, A425) &gt; 0</f>
        <v>1</v>
      </c>
      <c r="G425" t="s">
        <v>1594</v>
      </c>
    </row>
    <row r="426" spans="1:10" ht="15" customHeight="1" x14ac:dyDescent="0.25">
      <c r="A426" t="s">
        <v>1595</v>
      </c>
      <c r="B426">
        <v>2023</v>
      </c>
      <c r="C426" t="s">
        <v>176</v>
      </c>
      <c r="D426" t="b">
        <f>TRUE()</f>
        <v>1</v>
      </c>
      <c r="E426" t="b">
        <f>COUNTIF(connections!A:A, A426) &gt; 0</f>
        <v>1</v>
      </c>
      <c r="G426" t="s">
        <v>1596</v>
      </c>
    </row>
    <row r="427" spans="1:10" ht="15" customHeight="1" x14ac:dyDescent="0.25">
      <c r="A427" t="s">
        <v>1597</v>
      </c>
      <c r="B427">
        <v>2025</v>
      </c>
      <c r="C427" t="s">
        <v>176</v>
      </c>
      <c r="D427" t="b">
        <f>TRUE()</f>
        <v>1</v>
      </c>
      <c r="E427" t="b">
        <f>COUNTIF(connections!A:A, A427) &gt; 0</f>
        <v>0</v>
      </c>
      <c r="G427" t="s">
        <v>1598</v>
      </c>
    </row>
    <row r="428" spans="1:10" ht="15" customHeight="1" x14ac:dyDescent="0.25">
      <c r="A428" t="s">
        <v>1599</v>
      </c>
      <c r="B428">
        <v>2020</v>
      </c>
      <c r="C428" t="s">
        <v>179</v>
      </c>
      <c r="D428" t="b">
        <f>TRUE()</f>
        <v>1</v>
      </c>
      <c r="E428" t="b">
        <f>COUNTIF(connections!A:A, A428) &gt; 0</f>
        <v>0</v>
      </c>
      <c r="G428" t="s">
        <v>1600</v>
      </c>
      <c r="H428" t="s">
        <v>187</v>
      </c>
      <c r="I428" t="s">
        <v>1601</v>
      </c>
      <c r="J428" s="1" t="s">
        <v>1602</v>
      </c>
    </row>
    <row r="429" spans="1:10" ht="15" customHeight="1" x14ac:dyDescent="0.25">
      <c r="A429" t="s">
        <v>1603</v>
      </c>
      <c r="B429">
        <v>2018</v>
      </c>
      <c r="C429" t="s">
        <v>176</v>
      </c>
      <c r="D429" t="b">
        <f>TRUE()</f>
        <v>1</v>
      </c>
      <c r="E429" t="b">
        <f>COUNTIF(connections!A:A, A429) &gt; 0</f>
        <v>0</v>
      </c>
      <c r="G429" t="s">
        <v>1604</v>
      </c>
      <c r="H429" t="s">
        <v>187</v>
      </c>
      <c r="I429" t="s">
        <v>1605</v>
      </c>
      <c r="J429" s="1" t="s">
        <v>1606</v>
      </c>
    </row>
    <row r="430" spans="1:10" ht="15" customHeight="1" x14ac:dyDescent="0.25">
      <c r="A430" t="s">
        <v>1607</v>
      </c>
      <c r="B430">
        <v>2025</v>
      </c>
      <c r="C430" t="s">
        <v>176</v>
      </c>
      <c r="D430" t="b">
        <f>TRUE()</f>
        <v>1</v>
      </c>
      <c r="E430" t="b">
        <f>COUNTIF(connections!A:A, A430) &gt; 0</f>
        <v>0</v>
      </c>
      <c r="G430" t="s">
        <v>1608</v>
      </c>
      <c r="H430" t="s">
        <v>187</v>
      </c>
      <c r="I430" t="s">
        <v>1609</v>
      </c>
      <c r="J430" s="11" t="s">
        <v>1610</v>
      </c>
    </row>
    <row r="431" spans="1:10" ht="15" customHeight="1" x14ac:dyDescent="0.25">
      <c r="A431" t="s">
        <v>1611</v>
      </c>
      <c r="B431">
        <v>2026</v>
      </c>
      <c r="C431" t="s">
        <v>182</v>
      </c>
      <c r="D431" t="b">
        <f>TRUE()</f>
        <v>1</v>
      </c>
      <c r="E431" t="b">
        <f>COUNTIF(connections!A:A, A431) &gt; 0</f>
        <v>0</v>
      </c>
      <c r="G431" t="s">
        <v>1612</v>
      </c>
      <c r="J431" s="11" t="s">
        <v>1613</v>
      </c>
    </row>
    <row r="432" spans="1:10" ht="15" customHeight="1" x14ac:dyDescent="0.25">
      <c r="A432" t="s">
        <v>1614</v>
      </c>
      <c r="B432">
        <v>2025</v>
      </c>
      <c r="C432" t="s">
        <v>176</v>
      </c>
      <c r="D432" t="b">
        <f>TRUE()</f>
        <v>1</v>
      </c>
      <c r="E432" t="b">
        <f>COUNTIF(connections!A:A, A432) &gt; 0</f>
        <v>0</v>
      </c>
      <c r="G432" t="s">
        <v>1615</v>
      </c>
      <c r="H432" t="s">
        <v>187</v>
      </c>
      <c r="I432" t="s">
        <v>1616</v>
      </c>
      <c r="J432" s="1" t="s">
        <v>1617</v>
      </c>
    </row>
    <row r="433" spans="1:10" ht="15" customHeight="1" x14ac:dyDescent="0.25">
      <c r="A433" t="s">
        <v>1618</v>
      </c>
      <c r="B433">
        <v>2022</v>
      </c>
      <c r="C433" t="s">
        <v>222</v>
      </c>
      <c r="D433" t="b">
        <f>FALSE()</f>
        <v>0</v>
      </c>
      <c r="E433" t="b">
        <f>COUNTIF(connections!A:A, A433) &gt; 0</f>
        <v>0</v>
      </c>
      <c r="G433" t="s">
        <v>1619</v>
      </c>
      <c r="H433" t="s">
        <v>187</v>
      </c>
      <c r="I433" t="s">
        <v>1620</v>
      </c>
      <c r="J433" s="1" t="s">
        <v>1621</v>
      </c>
    </row>
    <row r="434" spans="1:10" ht="15" customHeight="1" x14ac:dyDescent="0.25">
      <c r="A434" t="s">
        <v>1622</v>
      </c>
      <c r="B434">
        <v>2025</v>
      </c>
      <c r="C434" t="s">
        <v>176</v>
      </c>
      <c r="D434" t="b">
        <f>TRUE()</f>
        <v>1</v>
      </c>
      <c r="E434" t="b">
        <f>COUNTIF(connections!A:A, A434) &gt; 0</f>
        <v>0</v>
      </c>
      <c r="G434" t="s">
        <v>1623</v>
      </c>
      <c r="H434" t="s">
        <v>187</v>
      </c>
      <c r="I434" t="s">
        <v>1624</v>
      </c>
      <c r="J434" s="1" t="s">
        <v>1625</v>
      </c>
    </row>
    <row r="435" spans="1:10" ht="15" customHeight="1" x14ac:dyDescent="0.25">
      <c r="A435" t="s">
        <v>1626</v>
      </c>
      <c r="B435">
        <v>2024</v>
      </c>
      <c r="C435" t="s">
        <v>182</v>
      </c>
      <c r="D435" t="b">
        <f>TRUE()</f>
        <v>1</v>
      </c>
      <c r="E435" t="b">
        <f>COUNTIF(connections!A:A, A435) &gt; 0</f>
        <v>0</v>
      </c>
      <c r="G435" t="s">
        <v>1627</v>
      </c>
    </row>
    <row r="436" spans="1:10" ht="15" customHeight="1" x14ac:dyDescent="0.25">
      <c r="A436" t="s">
        <v>1628</v>
      </c>
      <c r="B436">
        <v>2024</v>
      </c>
      <c r="C436" t="s">
        <v>182</v>
      </c>
      <c r="D436" t="b">
        <f>TRUE()</f>
        <v>1</v>
      </c>
      <c r="E436" t="b">
        <f>COUNTIF(connections!A:A, A436) &gt; 0</f>
        <v>0</v>
      </c>
      <c r="G436" t="s">
        <v>1629</v>
      </c>
      <c r="H436" t="s">
        <v>187</v>
      </c>
      <c r="I436" t="s">
        <v>1630</v>
      </c>
      <c r="J436" s="1" t="s">
        <v>1631</v>
      </c>
    </row>
    <row r="437" spans="1:10" ht="15" customHeight="1" x14ac:dyDescent="0.25">
      <c r="A437" t="s">
        <v>1632</v>
      </c>
      <c r="B437">
        <v>2026</v>
      </c>
      <c r="C437" t="s">
        <v>182</v>
      </c>
      <c r="D437" t="b">
        <f>TRUE()</f>
        <v>1</v>
      </c>
      <c r="E437" t="b">
        <f>COUNTIF(connections!A:A, A437) &gt; 0</f>
        <v>0</v>
      </c>
      <c r="G437" t="s">
        <v>1633</v>
      </c>
    </row>
    <row r="438" spans="1:10" ht="15" customHeight="1" x14ac:dyDescent="0.25">
      <c r="A438" t="s">
        <v>1634</v>
      </c>
      <c r="B438">
        <v>2025</v>
      </c>
      <c r="C438" t="s">
        <v>182</v>
      </c>
      <c r="D438" t="b">
        <f>TRUE()</f>
        <v>1</v>
      </c>
      <c r="E438" t="b">
        <f>COUNTIF(connections!A:A, A438) &gt; 0</f>
        <v>0</v>
      </c>
      <c r="G438" t="s">
        <v>1635</v>
      </c>
      <c r="H438" t="s">
        <v>187</v>
      </c>
      <c r="I438" t="s">
        <v>1636</v>
      </c>
      <c r="J438" s="1" t="s">
        <v>1637</v>
      </c>
    </row>
    <row r="439" spans="1:10" ht="15" customHeight="1" x14ac:dyDescent="0.25">
      <c r="A439" t="s">
        <v>1638</v>
      </c>
      <c r="B439">
        <v>2024</v>
      </c>
      <c r="C439" t="s">
        <v>222</v>
      </c>
      <c r="D439" t="b">
        <f>TRUE()</f>
        <v>1</v>
      </c>
      <c r="E439" t="b">
        <f>COUNTIF(connections!A:A, A439) &gt; 0</f>
        <v>0</v>
      </c>
      <c r="G439" t="s">
        <v>1639</v>
      </c>
      <c r="H439" t="s">
        <v>187</v>
      </c>
      <c r="I439" t="s">
        <v>1640</v>
      </c>
      <c r="J439" s="1" t="s">
        <v>1641</v>
      </c>
    </row>
    <row r="440" spans="1:10" ht="15" customHeight="1" x14ac:dyDescent="0.25">
      <c r="A440" t="s">
        <v>1642</v>
      </c>
      <c r="B440">
        <v>2020</v>
      </c>
      <c r="C440" t="s">
        <v>176</v>
      </c>
      <c r="D440" t="b">
        <f>TRUE()</f>
        <v>1</v>
      </c>
      <c r="E440" t="b">
        <f>COUNTIF(connections!A:A, A440) &gt; 0</f>
        <v>0</v>
      </c>
      <c r="G440" t="s">
        <v>1643</v>
      </c>
      <c r="H440" t="s">
        <v>187</v>
      </c>
      <c r="I440" t="s">
        <v>1644</v>
      </c>
      <c r="J440" s="1" t="s">
        <v>1645</v>
      </c>
    </row>
    <row r="441" spans="1:10" ht="15" customHeight="1" x14ac:dyDescent="0.25">
      <c r="A441" t="s">
        <v>1646</v>
      </c>
      <c r="B441">
        <v>2021</v>
      </c>
      <c r="C441" t="s">
        <v>176</v>
      </c>
      <c r="D441" t="b">
        <f>FALSE()</f>
        <v>0</v>
      </c>
      <c r="E441" t="b">
        <f>COUNTIF(connections!A:A, A441) &gt; 0</f>
        <v>0</v>
      </c>
      <c r="G441" t="s">
        <v>1647</v>
      </c>
      <c r="H441" t="s">
        <v>187</v>
      </c>
      <c r="I441" t="s">
        <v>1648</v>
      </c>
      <c r="J441" s="1" t="s">
        <v>1649</v>
      </c>
    </row>
    <row r="442" spans="1:10" ht="15" customHeight="1" x14ac:dyDescent="0.25">
      <c r="A442" t="s">
        <v>1650</v>
      </c>
      <c r="B442">
        <v>2026</v>
      </c>
      <c r="C442" t="s">
        <v>222</v>
      </c>
      <c r="D442" t="b">
        <f>TRUE()</f>
        <v>1</v>
      </c>
      <c r="E442" t="b">
        <f>COUNTIF(connections!A:A, A442) &gt; 0</f>
        <v>0</v>
      </c>
      <c r="F442" t="s">
        <v>529</v>
      </c>
      <c r="G442" t="s">
        <v>1651</v>
      </c>
      <c r="H442" t="s">
        <v>187</v>
      </c>
      <c r="I442" t="s">
        <v>1652</v>
      </c>
      <c r="J442" s="1" t="s">
        <v>1653</v>
      </c>
    </row>
    <row r="443" spans="1:10" ht="15" customHeight="1" x14ac:dyDescent="0.25">
      <c r="A443" t="s">
        <v>1654</v>
      </c>
      <c r="B443">
        <v>2025</v>
      </c>
      <c r="C443" t="s">
        <v>176</v>
      </c>
      <c r="D443" t="b">
        <f>FALSE()</f>
        <v>0</v>
      </c>
      <c r="E443" t="b">
        <f>COUNTIF(connections!A:A, A443) &gt; 0</f>
        <v>0</v>
      </c>
      <c r="G443" t="s">
        <v>1655</v>
      </c>
    </row>
    <row r="444" spans="1:10" ht="15" customHeight="1" x14ac:dyDescent="0.25">
      <c r="A444" t="s">
        <v>1656</v>
      </c>
      <c r="B444">
        <v>2024</v>
      </c>
      <c r="C444" t="s">
        <v>222</v>
      </c>
      <c r="D444" t="b">
        <f>FALSE()</f>
        <v>0</v>
      </c>
      <c r="E444" t="b">
        <f>COUNTIF(connections!A:A, A444) &gt; 0</f>
        <v>1</v>
      </c>
      <c r="G444" t="s">
        <v>1657</v>
      </c>
      <c r="H444" t="s">
        <v>187</v>
      </c>
      <c r="I444" t="s">
        <v>1658</v>
      </c>
      <c r="J444" s="1" t="s">
        <v>1659</v>
      </c>
    </row>
    <row r="445" spans="1:10" ht="15" customHeight="1" x14ac:dyDescent="0.25">
      <c r="A445" t="s">
        <v>1660</v>
      </c>
      <c r="B445">
        <v>2012</v>
      </c>
      <c r="C445" t="s">
        <v>179</v>
      </c>
      <c r="D445" t="b">
        <f>TRUE()</f>
        <v>1</v>
      </c>
      <c r="E445" t="b">
        <f>COUNTIF(connections!A:A, A445) &gt; 0</f>
        <v>1</v>
      </c>
      <c r="F445" t="s">
        <v>328</v>
      </c>
      <c r="G445" t="s">
        <v>1661</v>
      </c>
    </row>
    <row r="446" spans="1:10" ht="15" customHeight="1" x14ac:dyDescent="0.25">
      <c r="A446" t="s">
        <v>1662</v>
      </c>
      <c r="B446">
        <v>2011</v>
      </c>
      <c r="C446" t="s">
        <v>179</v>
      </c>
      <c r="D446" t="b">
        <f>TRUE()</f>
        <v>1</v>
      </c>
      <c r="E446" t="b">
        <f>COUNTIF(connections!A:A, A446) &gt; 0</f>
        <v>1</v>
      </c>
      <c r="F446" t="s">
        <v>328</v>
      </c>
      <c r="G446" t="s">
        <v>1663</v>
      </c>
    </row>
    <row r="447" spans="1:10" ht="15" customHeight="1" x14ac:dyDescent="0.25">
      <c r="A447" t="s">
        <v>1664</v>
      </c>
      <c r="B447">
        <v>1987</v>
      </c>
      <c r="C447" t="s">
        <v>179</v>
      </c>
      <c r="D447" t="b">
        <v>1</v>
      </c>
      <c r="E447" t="b">
        <f>COUNTIF(connections!A:A, A447) &gt; 0</f>
        <v>0</v>
      </c>
      <c r="G447" t="s">
        <v>1665</v>
      </c>
      <c r="H447" t="s">
        <v>187</v>
      </c>
      <c r="I447" t="s">
        <v>1666</v>
      </c>
    </row>
    <row r="448" spans="1:10" ht="15" customHeight="1" x14ac:dyDescent="0.25">
      <c r="A448" t="s">
        <v>1667</v>
      </c>
      <c r="B448">
        <v>2023</v>
      </c>
      <c r="C448" t="s">
        <v>176</v>
      </c>
      <c r="D448" t="b">
        <f>TRUE()</f>
        <v>1</v>
      </c>
      <c r="E448" t="b">
        <f>COUNTIF(connections!A:A, A448) &gt; 0</f>
        <v>0</v>
      </c>
      <c r="G448" t="s">
        <v>1668</v>
      </c>
      <c r="H448" t="s">
        <v>187</v>
      </c>
      <c r="I448" t="s">
        <v>1669</v>
      </c>
      <c r="J448" s="1" t="s">
        <v>1670</v>
      </c>
    </row>
    <row r="449" spans="1:10" ht="15" customHeight="1" x14ac:dyDescent="0.25">
      <c r="A449" t="s">
        <v>1671</v>
      </c>
      <c r="B449">
        <v>2022</v>
      </c>
      <c r="C449" t="s">
        <v>176</v>
      </c>
      <c r="D449" t="b">
        <f>TRUE()</f>
        <v>1</v>
      </c>
      <c r="E449" t="b">
        <f>COUNTIF(connections!A:A, A449) &gt; 0</f>
        <v>0</v>
      </c>
      <c r="G449" t="s">
        <v>1672</v>
      </c>
    </row>
    <row r="450" spans="1:10" ht="15" customHeight="1" x14ac:dyDescent="0.25">
      <c r="A450" t="s">
        <v>1673</v>
      </c>
      <c r="B450">
        <v>2021</v>
      </c>
      <c r="C450" t="s">
        <v>182</v>
      </c>
      <c r="D450" t="b">
        <f>TRUE()</f>
        <v>1</v>
      </c>
      <c r="E450" t="b">
        <f>COUNTIF(connections!A:A, A450) &gt; 0</f>
        <v>0</v>
      </c>
      <c r="G450" t="s">
        <v>1674</v>
      </c>
      <c r="H450" t="s">
        <v>187</v>
      </c>
      <c r="I450" t="s">
        <v>1675</v>
      </c>
      <c r="J450" s="1" t="s">
        <v>1676</v>
      </c>
    </row>
    <row r="451" spans="1:10" ht="15" customHeight="1" x14ac:dyDescent="0.25">
      <c r="A451" t="s">
        <v>1677</v>
      </c>
      <c r="B451">
        <v>2002</v>
      </c>
      <c r="C451" t="s">
        <v>179</v>
      </c>
      <c r="D451" t="b">
        <f>TRUE()</f>
        <v>1</v>
      </c>
      <c r="E451" t="b">
        <f>COUNTIF(connections!A:A, A451) &gt; 0</f>
        <v>1</v>
      </c>
      <c r="G451" t="s">
        <v>1678</v>
      </c>
      <c r="H451" t="s">
        <v>187</v>
      </c>
      <c r="I451" t="s">
        <v>1679</v>
      </c>
    </row>
    <row r="452" spans="1:10" ht="15" customHeight="1" x14ac:dyDescent="0.25">
      <c r="A452" t="s">
        <v>1680</v>
      </c>
      <c r="B452">
        <v>2003</v>
      </c>
      <c r="C452" t="s">
        <v>179</v>
      </c>
      <c r="D452" t="b">
        <f>TRUE()</f>
        <v>1</v>
      </c>
      <c r="E452" t="b">
        <f>COUNTIF(connections!A:A, A452) &gt; 0</f>
        <v>0</v>
      </c>
      <c r="G452" t="s">
        <v>1681</v>
      </c>
      <c r="H452" t="s">
        <v>187</v>
      </c>
      <c r="I452" t="s">
        <v>1682</v>
      </c>
    </row>
    <row r="453" spans="1:10" ht="15" customHeight="1" x14ac:dyDescent="0.25">
      <c r="A453" t="s">
        <v>1683</v>
      </c>
      <c r="B453">
        <v>2020</v>
      </c>
      <c r="C453" t="s">
        <v>179</v>
      </c>
      <c r="D453" t="b">
        <f>TRUE()</f>
        <v>1</v>
      </c>
      <c r="E453" t="b">
        <f>COUNTIF(connections!A:A, A453) &gt; 0</f>
        <v>1</v>
      </c>
      <c r="G453" t="s">
        <v>1684</v>
      </c>
    </row>
    <row r="454" spans="1:10" ht="15" customHeight="1" x14ac:dyDescent="0.25">
      <c r="A454" t="s">
        <v>1685</v>
      </c>
      <c r="B454">
        <v>2022</v>
      </c>
      <c r="C454" t="s">
        <v>179</v>
      </c>
      <c r="D454" t="b">
        <f>TRUE()</f>
        <v>1</v>
      </c>
      <c r="E454" t="b">
        <f>COUNTIF(connections!A:A, A454) &gt; 0</f>
        <v>0</v>
      </c>
      <c r="G454" t="s">
        <v>1686</v>
      </c>
    </row>
    <row r="455" spans="1:10" ht="15" customHeight="1" x14ac:dyDescent="0.25">
      <c r="A455" t="s">
        <v>1687</v>
      </c>
      <c r="B455">
        <v>2017</v>
      </c>
      <c r="C455" t="s">
        <v>182</v>
      </c>
      <c r="D455" t="b">
        <f>TRUE()</f>
        <v>1</v>
      </c>
      <c r="E455" t="b">
        <f>COUNTIF(connections!A:A, A455) &gt; 0</f>
        <v>1</v>
      </c>
      <c r="G455" t="s">
        <v>1688</v>
      </c>
      <c r="H455" t="s">
        <v>187</v>
      </c>
      <c r="I455" t="s">
        <v>1689</v>
      </c>
      <c r="J455" s="1" t="s">
        <v>1690</v>
      </c>
    </row>
    <row r="456" spans="1:10" ht="15" customHeight="1" x14ac:dyDescent="0.25">
      <c r="A456" t="s">
        <v>1691</v>
      </c>
      <c r="B456">
        <v>2020</v>
      </c>
      <c r="C456" t="s">
        <v>182</v>
      </c>
      <c r="D456" t="b">
        <f>TRUE()</f>
        <v>1</v>
      </c>
      <c r="E456" t="b">
        <f>COUNTIF(connections!A:A, A456) &gt; 0</f>
        <v>1</v>
      </c>
      <c r="G456" t="s">
        <v>1692</v>
      </c>
      <c r="H456" t="s">
        <v>187</v>
      </c>
      <c r="I456" t="s">
        <v>1693</v>
      </c>
      <c r="J456" s="1" t="s">
        <v>1694</v>
      </c>
    </row>
    <row r="457" spans="1:10" ht="15" customHeight="1" x14ac:dyDescent="0.25">
      <c r="A457" t="s">
        <v>1695</v>
      </c>
      <c r="B457">
        <v>2025</v>
      </c>
      <c r="C457" t="s">
        <v>182</v>
      </c>
      <c r="D457" t="b">
        <f>TRUE()</f>
        <v>1</v>
      </c>
      <c r="E457" t="b">
        <f>COUNTIF(connections!A:A, A457) &gt; 0</f>
        <v>0</v>
      </c>
      <c r="G457" t="s">
        <v>1696</v>
      </c>
    </row>
    <row r="458" spans="1:10" ht="15" customHeight="1" x14ac:dyDescent="0.25">
      <c r="A458" t="s">
        <v>1697</v>
      </c>
      <c r="B458">
        <v>2025</v>
      </c>
      <c r="C458" t="s">
        <v>176</v>
      </c>
      <c r="D458" t="b">
        <f>TRUE()</f>
        <v>1</v>
      </c>
      <c r="E458" t="b">
        <f>COUNTIF(connections!A:A, A458) &gt; 0</f>
        <v>0</v>
      </c>
      <c r="G458" t="s">
        <v>1698</v>
      </c>
      <c r="H458" t="s">
        <v>187</v>
      </c>
      <c r="I458" t="s">
        <v>1699</v>
      </c>
      <c r="J458" s="1" t="s">
        <v>1700</v>
      </c>
    </row>
    <row r="459" spans="1:10" ht="15" customHeight="1" x14ac:dyDescent="0.25">
      <c r="A459" t="s">
        <v>1701</v>
      </c>
      <c r="B459">
        <v>2015</v>
      </c>
      <c r="C459" t="s">
        <v>176</v>
      </c>
      <c r="D459" t="b">
        <f>TRUE()</f>
        <v>1</v>
      </c>
      <c r="E459" t="b">
        <f>COUNTIF(connections!A:A, A459) &gt; 0</f>
        <v>0</v>
      </c>
      <c r="G459" t="s">
        <v>1702</v>
      </c>
      <c r="H459" t="s">
        <v>187</v>
      </c>
      <c r="I459" t="s">
        <v>1703</v>
      </c>
      <c r="J459" s="1" t="s">
        <v>1704</v>
      </c>
    </row>
    <row r="460" spans="1:10" ht="15" customHeight="1" x14ac:dyDescent="0.25">
      <c r="A460" t="s">
        <v>1705</v>
      </c>
      <c r="B460">
        <v>2026</v>
      </c>
      <c r="C460" t="s">
        <v>182</v>
      </c>
      <c r="D460" t="b">
        <f>TRUE()</f>
        <v>1</v>
      </c>
      <c r="E460" t="b">
        <f>COUNTIF(connections!A:A, A460) &gt; 0</f>
        <v>0</v>
      </c>
      <c r="G460" t="s">
        <v>1706</v>
      </c>
      <c r="J460" s="11" t="s">
        <v>1707</v>
      </c>
    </row>
    <row r="461" spans="1:10" ht="15" customHeight="1" x14ac:dyDescent="0.25">
      <c r="A461" t="s">
        <v>1708</v>
      </c>
      <c r="B461">
        <v>2016</v>
      </c>
      <c r="C461" t="s">
        <v>176</v>
      </c>
      <c r="D461" t="b">
        <f>FALSE()</f>
        <v>0</v>
      </c>
      <c r="E461" t="b">
        <f>COUNTIF(connections!A:A, A461) &gt; 0</f>
        <v>1</v>
      </c>
      <c r="G461" t="s">
        <v>1709</v>
      </c>
      <c r="H461" t="s">
        <v>187</v>
      </c>
      <c r="I461" t="s">
        <v>1710</v>
      </c>
      <c r="J461" s="1" t="s">
        <v>1711</v>
      </c>
    </row>
    <row r="462" spans="1:10" ht="15" customHeight="1" x14ac:dyDescent="0.25">
      <c r="A462" t="s">
        <v>1712</v>
      </c>
      <c r="B462">
        <v>2024</v>
      </c>
      <c r="C462" t="s">
        <v>176</v>
      </c>
      <c r="D462" t="b">
        <f>TRUE()</f>
        <v>1</v>
      </c>
      <c r="E462" t="b">
        <f>COUNTIF(connections!A:A, A462) &gt; 0</f>
        <v>0</v>
      </c>
      <c r="G462" t="s">
        <v>1713</v>
      </c>
    </row>
    <row r="463" spans="1:10" ht="15" customHeight="1" x14ac:dyDescent="0.25">
      <c r="A463" t="s">
        <v>1714</v>
      </c>
      <c r="B463">
        <v>2018</v>
      </c>
      <c r="C463" t="s">
        <v>176</v>
      </c>
      <c r="D463" t="b">
        <f>TRUE()</f>
        <v>1</v>
      </c>
      <c r="E463" t="b">
        <f>COUNTIF(connections!A:A, A463) &gt; 0</f>
        <v>1</v>
      </c>
      <c r="G463" t="s">
        <v>1715</v>
      </c>
      <c r="H463" t="s">
        <v>187</v>
      </c>
      <c r="I463" t="s">
        <v>1716</v>
      </c>
      <c r="J463" s="1" t="s">
        <v>1717</v>
      </c>
    </row>
    <row r="464" spans="1:10" ht="15" customHeight="1" x14ac:dyDescent="0.25">
      <c r="A464" t="s">
        <v>1718</v>
      </c>
      <c r="B464">
        <v>2025</v>
      </c>
      <c r="C464" t="s">
        <v>176</v>
      </c>
      <c r="D464" t="b">
        <f>TRUE()</f>
        <v>1</v>
      </c>
      <c r="E464" t="b">
        <f>COUNTIF(connections!A:A, A464) &gt; 0</f>
        <v>0</v>
      </c>
      <c r="G464" t="s">
        <v>1719</v>
      </c>
    </row>
    <row r="465" spans="1:10" ht="15" customHeight="1" x14ac:dyDescent="0.25">
      <c r="A465" t="s">
        <v>1720</v>
      </c>
      <c r="B465">
        <v>2023</v>
      </c>
      <c r="C465" t="s">
        <v>179</v>
      </c>
      <c r="D465" t="b">
        <f>TRUE()</f>
        <v>1</v>
      </c>
      <c r="E465" t="b">
        <f>COUNTIF(connections!A:A, A465) &gt; 0</f>
        <v>0</v>
      </c>
      <c r="G465" t="s">
        <v>1721</v>
      </c>
      <c r="H465" t="s">
        <v>187</v>
      </c>
      <c r="I465" t="s">
        <v>1722</v>
      </c>
      <c r="J465" s="1" t="s">
        <v>1723</v>
      </c>
    </row>
    <row r="466" spans="1:10" ht="15" customHeight="1" x14ac:dyDescent="0.25">
      <c r="A466" t="s">
        <v>1724</v>
      </c>
      <c r="B466">
        <v>2026</v>
      </c>
      <c r="C466" t="s">
        <v>176</v>
      </c>
      <c r="D466" t="b">
        <f>TRUE()</f>
        <v>1</v>
      </c>
      <c r="E466" t="b">
        <f>COUNTIF(connections!A:A, A466) &gt; 0</f>
        <v>0</v>
      </c>
      <c r="G466" t="s">
        <v>1725</v>
      </c>
    </row>
    <row r="467" spans="1:10" ht="15" customHeight="1" x14ac:dyDescent="0.25">
      <c r="A467" t="s">
        <v>1726</v>
      </c>
      <c r="B467">
        <v>1983</v>
      </c>
      <c r="C467" t="s">
        <v>179</v>
      </c>
      <c r="D467" t="b">
        <f>TRUE()</f>
        <v>1</v>
      </c>
      <c r="E467" t="b">
        <f>COUNTIF(connections!A:A, A467) &gt; 0</f>
        <v>1</v>
      </c>
      <c r="G467" t="s">
        <v>1727</v>
      </c>
      <c r="H467" t="s">
        <v>187</v>
      </c>
      <c r="I467" t="s">
        <v>1728</v>
      </c>
    </row>
    <row r="468" spans="1:10" ht="15" customHeight="1" x14ac:dyDescent="0.25">
      <c r="A468" t="s">
        <v>1729</v>
      </c>
      <c r="B468">
        <v>2024</v>
      </c>
      <c r="C468" t="s">
        <v>182</v>
      </c>
      <c r="D468" t="b">
        <f>TRUE()</f>
        <v>1</v>
      </c>
      <c r="E468" t="b">
        <f>COUNTIF(connections!A:A, A468) &gt; 0</f>
        <v>0</v>
      </c>
      <c r="F468" t="s">
        <v>568</v>
      </c>
      <c r="G468" t="s">
        <v>1730</v>
      </c>
      <c r="H468" t="s">
        <v>187</v>
      </c>
      <c r="I468" t="s">
        <v>1731</v>
      </c>
      <c r="J468" s="1" t="s">
        <v>1732</v>
      </c>
    </row>
    <row r="469" spans="1:10" ht="15" customHeight="1" x14ac:dyDescent="0.25">
      <c r="A469" t="s">
        <v>1733</v>
      </c>
      <c r="B469">
        <v>2025</v>
      </c>
      <c r="C469" t="s">
        <v>176</v>
      </c>
      <c r="D469" t="b">
        <f>FALSE()</f>
        <v>0</v>
      </c>
      <c r="E469" t="b">
        <f>COUNTIF(connections!A:A, A469) &gt; 0</f>
        <v>0</v>
      </c>
      <c r="G469" t="s">
        <v>1734</v>
      </c>
    </row>
    <row r="470" spans="1:10" ht="15" customHeight="1" x14ac:dyDescent="0.25">
      <c r="A470" t="s">
        <v>1735</v>
      </c>
      <c r="B470">
        <v>2023</v>
      </c>
      <c r="C470" t="s">
        <v>176</v>
      </c>
      <c r="D470" t="b">
        <f>TRUE()</f>
        <v>1</v>
      </c>
      <c r="E470" t="b">
        <f>COUNTIF(connections!A:A, A470) &gt; 0</f>
        <v>0</v>
      </c>
      <c r="G470" t="s">
        <v>1736</v>
      </c>
      <c r="H470" t="s">
        <v>187</v>
      </c>
      <c r="I470" t="s">
        <v>1737</v>
      </c>
      <c r="J470" s="1" t="s">
        <v>1738</v>
      </c>
    </row>
    <row r="471" spans="1:10" ht="15" customHeight="1" x14ac:dyDescent="0.25">
      <c r="A471" t="s">
        <v>1739</v>
      </c>
      <c r="B471">
        <v>2018</v>
      </c>
      <c r="C471" t="s">
        <v>176</v>
      </c>
      <c r="D471" t="b">
        <f>TRUE()</f>
        <v>1</v>
      </c>
      <c r="E471" t="b">
        <f>COUNTIF(connections!A:A, A471) &gt; 0</f>
        <v>1</v>
      </c>
      <c r="F471" t="s">
        <v>277</v>
      </c>
      <c r="G471" t="s">
        <v>1740</v>
      </c>
      <c r="H471" t="s">
        <v>187</v>
      </c>
      <c r="I471" t="s">
        <v>1741</v>
      </c>
      <c r="J471" s="1" t="s">
        <v>1742</v>
      </c>
    </row>
    <row r="472" spans="1:10" ht="15" customHeight="1" x14ac:dyDescent="0.25">
      <c r="A472" t="s">
        <v>1743</v>
      </c>
      <c r="B472">
        <v>2022</v>
      </c>
      <c r="C472" t="s">
        <v>176</v>
      </c>
      <c r="D472" t="b">
        <f>TRUE()</f>
        <v>1</v>
      </c>
      <c r="E472" t="b">
        <f>COUNTIF(connections!A:A, A472) &gt; 0</f>
        <v>0</v>
      </c>
      <c r="F472" t="s">
        <v>277</v>
      </c>
      <c r="G472" t="s">
        <v>1744</v>
      </c>
      <c r="H472" t="s">
        <v>187</v>
      </c>
      <c r="I472" t="s">
        <v>1745</v>
      </c>
      <c r="J472" s="1" t="s">
        <v>1746</v>
      </c>
    </row>
    <row r="473" spans="1:10" ht="15" customHeight="1" x14ac:dyDescent="0.25">
      <c r="A473" t="s">
        <v>1747</v>
      </c>
      <c r="B473">
        <v>2011</v>
      </c>
      <c r="C473" t="s">
        <v>179</v>
      </c>
      <c r="D473" t="b">
        <f>TRUE()</f>
        <v>1</v>
      </c>
      <c r="E473" t="b">
        <f>COUNTIF(connections!A:A, A473) &gt; 0</f>
        <v>1</v>
      </c>
      <c r="F473" t="s">
        <v>328</v>
      </c>
      <c r="G473" t="s">
        <v>1748</v>
      </c>
    </row>
    <row r="474" spans="1:10" ht="15" customHeight="1" x14ac:dyDescent="0.25">
      <c r="A474" t="s">
        <v>1749</v>
      </c>
      <c r="B474">
        <v>2023</v>
      </c>
      <c r="C474" t="s">
        <v>176</v>
      </c>
      <c r="D474" t="b">
        <f>TRUE()</f>
        <v>1</v>
      </c>
      <c r="E474" t="b">
        <f>COUNTIF(connections!A:A, A474) &gt; 0</f>
        <v>0</v>
      </c>
      <c r="G474" t="s">
        <v>1750</v>
      </c>
      <c r="H474" t="s">
        <v>187</v>
      </c>
      <c r="I474" t="s">
        <v>1751</v>
      </c>
      <c r="J474" s="1" t="s">
        <v>1752</v>
      </c>
    </row>
    <row r="475" spans="1:10" ht="15" customHeight="1" x14ac:dyDescent="0.25">
      <c r="A475" t="s">
        <v>1753</v>
      </c>
      <c r="B475">
        <v>2021</v>
      </c>
      <c r="C475" t="s">
        <v>176</v>
      </c>
      <c r="D475" t="b">
        <f>TRUE()</f>
        <v>1</v>
      </c>
      <c r="E475" t="b">
        <f>COUNTIF(connections!A:A, A475) &gt; 0</f>
        <v>1</v>
      </c>
      <c r="G475" t="s">
        <v>1754</v>
      </c>
      <c r="H475" t="s">
        <v>187</v>
      </c>
      <c r="I475" t="s">
        <v>1755</v>
      </c>
      <c r="J475" s="1" t="s">
        <v>1756</v>
      </c>
    </row>
    <row r="476" spans="1:10" ht="15" customHeight="1" x14ac:dyDescent="0.25">
      <c r="A476" t="s">
        <v>1757</v>
      </c>
      <c r="B476">
        <v>2025</v>
      </c>
      <c r="C476" t="s">
        <v>182</v>
      </c>
      <c r="D476" t="b">
        <f>TRUE()</f>
        <v>1</v>
      </c>
      <c r="E476" t="b">
        <f>COUNTIF(connections!A:A, A476) &gt; 0</f>
        <v>0</v>
      </c>
      <c r="G476" t="s">
        <v>1758</v>
      </c>
    </row>
    <row r="477" spans="1:10" ht="15" customHeight="1" x14ac:dyDescent="0.25">
      <c r="A477" t="s">
        <v>1759</v>
      </c>
      <c r="B477">
        <v>2016</v>
      </c>
      <c r="C477" t="s">
        <v>179</v>
      </c>
      <c r="D477" t="b">
        <f>TRUE()</f>
        <v>1</v>
      </c>
      <c r="E477" t="b">
        <f>COUNTIF(connections!A:A, A477) &gt; 0</f>
        <v>0</v>
      </c>
      <c r="G477" t="s">
        <v>1760</v>
      </c>
      <c r="J477" s="11" t="s">
        <v>1761</v>
      </c>
    </row>
    <row r="478" spans="1:10" ht="15" customHeight="1" x14ac:dyDescent="0.25">
      <c r="A478" t="s">
        <v>1762</v>
      </c>
      <c r="B478">
        <v>1995</v>
      </c>
      <c r="C478" t="s">
        <v>179</v>
      </c>
      <c r="D478" t="b">
        <f>TRUE()</f>
        <v>1</v>
      </c>
      <c r="E478" t="b">
        <f>COUNTIF(connections!A:A, A478) &gt; 0</f>
        <v>1</v>
      </c>
      <c r="G478" t="s">
        <v>1763</v>
      </c>
      <c r="H478" t="s">
        <v>187</v>
      </c>
      <c r="I478" t="s">
        <v>1764</v>
      </c>
    </row>
    <row r="479" spans="1:10" ht="15" customHeight="1" x14ac:dyDescent="0.25">
      <c r="A479" t="s">
        <v>1765</v>
      </c>
      <c r="B479">
        <v>2024</v>
      </c>
      <c r="C479" t="s">
        <v>176</v>
      </c>
      <c r="D479" t="b">
        <f>TRUE()</f>
        <v>1</v>
      </c>
      <c r="E479" t="b">
        <f>COUNTIF(connections!A:A, A479) &gt; 0</f>
        <v>0</v>
      </c>
      <c r="G479" t="s">
        <v>1766</v>
      </c>
      <c r="H479" t="s">
        <v>187</v>
      </c>
      <c r="I479" t="s">
        <v>1767</v>
      </c>
      <c r="J479" s="1" t="s">
        <v>1768</v>
      </c>
    </row>
    <row r="480" spans="1:10" ht="15" customHeight="1" x14ac:dyDescent="0.25">
      <c r="A480" t="s">
        <v>1769</v>
      </c>
      <c r="B480">
        <v>2022</v>
      </c>
      <c r="C480" t="s">
        <v>182</v>
      </c>
      <c r="D480" t="b">
        <f>TRUE()</f>
        <v>1</v>
      </c>
      <c r="E480" t="b">
        <f>COUNTIF(connections!A:A, A480) &gt; 0</f>
        <v>0</v>
      </c>
      <c r="G480" t="s">
        <v>1770</v>
      </c>
      <c r="J480" s="11" t="s">
        <v>1771</v>
      </c>
    </row>
    <row r="481" spans="1:10" ht="15" customHeight="1" x14ac:dyDescent="0.25">
      <c r="A481" t="s">
        <v>1772</v>
      </c>
      <c r="B481">
        <v>2022</v>
      </c>
      <c r="C481" t="s">
        <v>176</v>
      </c>
      <c r="D481" t="b">
        <f>TRUE()</f>
        <v>1</v>
      </c>
      <c r="E481" t="b">
        <f>COUNTIF(connections!A:A, A481) &gt; 0</f>
        <v>0</v>
      </c>
      <c r="F481" t="s">
        <v>458</v>
      </c>
      <c r="G481" t="s">
        <v>1773</v>
      </c>
      <c r="H481" t="s">
        <v>187</v>
      </c>
      <c r="I481" t="s">
        <v>1774</v>
      </c>
      <c r="J481" s="1" t="s">
        <v>1775</v>
      </c>
    </row>
    <row r="482" spans="1:10" ht="15" customHeight="1" x14ac:dyDescent="0.25">
      <c r="A482" t="s">
        <v>1776</v>
      </c>
      <c r="B482">
        <v>2024</v>
      </c>
      <c r="C482" t="s">
        <v>222</v>
      </c>
      <c r="D482" t="b">
        <f>FALSE()</f>
        <v>0</v>
      </c>
      <c r="E482" t="b">
        <f>COUNTIF(connections!A:A, A482) &gt; 0</f>
        <v>0</v>
      </c>
      <c r="F482" t="s">
        <v>458</v>
      </c>
      <c r="G482" t="s">
        <v>1777</v>
      </c>
      <c r="H482" t="s">
        <v>187</v>
      </c>
      <c r="I482" t="s">
        <v>1778</v>
      </c>
      <c r="J482" s="1" t="s">
        <v>1779</v>
      </c>
    </row>
    <row r="483" spans="1:10" ht="15" customHeight="1" x14ac:dyDescent="0.25">
      <c r="A483" t="s">
        <v>1780</v>
      </c>
      <c r="B483">
        <v>2022</v>
      </c>
      <c r="C483" t="s">
        <v>176</v>
      </c>
      <c r="D483" t="b">
        <f>TRUE()</f>
        <v>1</v>
      </c>
      <c r="E483" t="b">
        <f>COUNTIF(connections!A:A, A483) &gt; 0</f>
        <v>1</v>
      </c>
      <c r="F483" t="s">
        <v>458</v>
      </c>
      <c r="G483" t="s">
        <v>1781</v>
      </c>
      <c r="H483" t="s">
        <v>187</v>
      </c>
      <c r="I483" t="s">
        <v>1782</v>
      </c>
      <c r="J483" s="1" t="s">
        <v>1783</v>
      </c>
    </row>
    <row r="484" spans="1:10" ht="15" customHeight="1" x14ac:dyDescent="0.25">
      <c r="A484" t="s">
        <v>1784</v>
      </c>
      <c r="B484">
        <v>2024</v>
      </c>
      <c r="C484" t="s">
        <v>176</v>
      </c>
      <c r="D484" t="b">
        <f>TRUE()</f>
        <v>1</v>
      </c>
      <c r="E484" t="b">
        <f>COUNTIF(connections!A:A, A484) &gt; 0</f>
        <v>0</v>
      </c>
      <c r="F484" t="s">
        <v>458</v>
      </c>
      <c r="G484" t="s">
        <v>1785</v>
      </c>
      <c r="H484" t="s">
        <v>187</v>
      </c>
      <c r="I484" t="s">
        <v>1786</v>
      </c>
      <c r="J484" s="1" t="s">
        <v>1787</v>
      </c>
    </row>
    <row r="485" spans="1:10" ht="15" customHeight="1" x14ac:dyDescent="0.25">
      <c r="A485" t="s">
        <v>1788</v>
      </c>
      <c r="B485">
        <v>2019</v>
      </c>
      <c r="C485" t="s">
        <v>176</v>
      </c>
      <c r="D485" t="b">
        <f>TRUE()</f>
        <v>1</v>
      </c>
      <c r="E485" t="b">
        <f>COUNTIF(connections!A:A, A485) &gt; 0</f>
        <v>1</v>
      </c>
      <c r="G485" t="s">
        <v>1789</v>
      </c>
      <c r="H485" t="s">
        <v>187</v>
      </c>
      <c r="I485" t="s">
        <v>1790</v>
      </c>
      <c r="J485" s="1" t="s">
        <v>1791</v>
      </c>
    </row>
    <row r="486" spans="1:10" ht="15" customHeight="1" x14ac:dyDescent="0.25">
      <c r="A486" t="s">
        <v>1792</v>
      </c>
      <c r="B486">
        <v>2025</v>
      </c>
      <c r="C486" t="s">
        <v>176</v>
      </c>
      <c r="D486" t="b">
        <f>TRUE()</f>
        <v>1</v>
      </c>
      <c r="E486" t="b">
        <f>COUNTIF(connections!A:A, A486) &gt; 0</f>
        <v>0</v>
      </c>
      <c r="G486" t="s">
        <v>1793</v>
      </c>
    </row>
    <row r="487" spans="1:10" ht="15" customHeight="1" x14ac:dyDescent="0.25">
      <c r="A487" t="s">
        <v>1794</v>
      </c>
      <c r="B487">
        <v>2022</v>
      </c>
      <c r="C487" t="s">
        <v>176</v>
      </c>
      <c r="D487" t="b">
        <f>TRUE()</f>
        <v>1</v>
      </c>
      <c r="E487" t="b">
        <f>COUNTIF(connections!A:A, A487) &gt; 0</f>
        <v>0</v>
      </c>
      <c r="G487" t="s">
        <v>1795</v>
      </c>
    </row>
    <row r="488" spans="1:10" ht="15" customHeight="1" x14ac:dyDescent="0.25">
      <c r="A488" t="s">
        <v>1796</v>
      </c>
      <c r="B488">
        <v>1987</v>
      </c>
      <c r="C488" t="s">
        <v>179</v>
      </c>
      <c r="D488" t="b">
        <f>TRUE()</f>
        <v>1</v>
      </c>
      <c r="E488" t="b">
        <f>COUNTIF(connections!A:A, A488) &gt; 0</f>
        <v>1</v>
      </c>
      <c r="G488" t="s">
        <v>1797</v>
      </c>
      <c r="H488" t="s">
        <v>187</v>
      </c>
      <c r="I488" t="s">
        <v>1798</v>
      </c>
    </row>
    <row r="489" spans="1:10" ht="15" customHeight="1" x14ac:dyDescent="0.25">
      <c r="A489" t="s">
        <v>1799</v>
      </c>
      <c r="B489">
        <v>2025</v>
      </c>
      <c r="C489" t="s">
        <v>176</v>
      </c>
      <c r="D489" t="b">
        <f>TRUE()</f>
        <v>1</v>
      </c>
      <c r="E489" t="b">
        <f>COUNTIF(connections!A:A, A489) &gt; 0</f>
        <v>0</v>
      </c>
      <c r="G489" t="s">
        <v>1800</v>
      </c>
      <c r="J489" s="11" t="s">
        <v>1801</v>
      </c>
    </row>
    <row r="490" spans="1:10" ht="15" customHeight="1" x14ac:dyDescent="0.25">
      <c r="A490" t="s">
        <v>1802</v>
      </c>
      <c r="B490">
        <v>2021</v>
      </c>
      <c r="C490" t="s">
        <v>176</v>
      </c>
      <c r="D490" t="b">
        <f>TRUE()</f>
        <v>1</v>
      </c>
      <c r="E490" t="b">
        <f>COUNTIF(connections!A:A, A490) &gt; 0</f>
        <v>0</v>
      </c>
      <c r="G490" t="s">
        <v>1803</v>
      </c>
      <c r="J490" s="11" t="s">
        <v>1804</v>
      </c>
    </row>
    <row r="491" spans="1:10" ht="15" customHeight="1" x14ac:dyDescent="0.25">
      <c r="A491" t="s">
        <v>1805</v>
      </c>
      <c r="B491">
        <v>2025</v>
      </c>
      <c r="C491" t="s">
        <v>176</v>
      </c>
      <c r="D491" t="b">
        <f>TRUE()</f>
        <v>1</v>
      </c>
      <c r="E491" t="b">
        <f>COUNTIF(connections!A:A, A491) &gt; 0</f>
        <v>0</v>
      </c>
      <c r="F491" t="s">
        <v>1806</v>
      </c>
      <c r="G491" t="s">
        <v>1807</v>
      </c>
      <c r="H491" t="s">
        <v>187</v>
      </c>
      <c r="I491" t="s">
        <v>1808</v>
      </c>
      <c r="J491" s="1" t="s">
        <v>1809</v>
      </c>
    </row>
    <row r="492" spans="1:10" ht="16.5" customHeight="1" x14ac:dyDescent="0.25">
      <c r="A492" t="s">
        <v>1810</v>
      </c>
      <c r="B492">
        <v>2024</v>
      </c>
      <c r="C492" t="s">
        <v>176</v>
      </c>
      <c r="D492" t="b">
        <f>TRUE()</f>
        <v>1</v>
      </c>
      <c r="E492" t="b">
        <f>COUNTIF(connections!A:A, A492) &gt; 0</f>
        <v>0</v>
      </c>
      <c r="G492" t="s">
        <v>1811</v>
      </c>
    </row>
    <row r="493" spans="1:10" ht="15" customHeight="1" x14ac:dyDescent="0.25">
      <c r="A493" t="s">
        <v>1812</v>
      </c>
      <c r="B493">
        <v>2026</v>
      </c>
      <c r="C493" t="s">
        <v>182</v>
      </c>
      <c r="D493" t="b">
        <f>TRUE()</f>
        <v>1</v>
      </c>
      <c r="E493" t="b">
        <f>COUNTIF(connections!A:A, A493) &gt; 0</f>
        <v>0</v>
      </c>
      <c r="G493" t="s">
        <v>1813</v>
      </c>
    </row>
    <row r="494" spans="1:10" ht="15" customHeight="1" x14ac:dyDescent="0.25">
      <c r="A494" t="s">
        <v>1814</v>
      </c>
      <c r="B494">
        <v>2024</v>
      </c>
      <c r="C494" t="s">
        <v>222</v>
      </c>
      <c r="D494" t="b">
        <f>TRUE()</f>
        <v>1</v>
      </c>
      <c r="E494" t="b">
        <f>COUNTIF(connections!A:A, A494) &gt; 0</f>
        <v>1</v>
      </c>
      <c r="G494" t="s">
        <v>1815</v>
      </c>
      <c r="H494" t="s">
        <v>187</v>
      </c>
      <c r="I494" t="s">
        <v>1816</v>
      </c>
      <c r="J494" s="11" t="s">
        <v>1817</v>
      </c>
    </row>
    <row r="495" spans="1:10" ht="15" customHeight="1" x14ac:dyDescent="0.25">
      <c r="A495" t="s">
        <v>1818</v>
      </c>
      <c r="B495">
        <v>2019</v>
      </c>
      <c r="C495" t="s">
        <v>176</v>
      </c>
      <c r="D495" t="b">
        <f>TRUE()</f>
        <v>1</v>
      </c>
      <c r="E495" t="b">
        <f>COUNTIF(connections!A:A, A495) &gt; 0</f>
        <v>1</v>
      </c>
      <c r="G495" t="s">
        <v>1819</v>
      </c>
      <c r="H495" t="s">
        <v>187</v>
      </c>
      <c r="I495" t="s">
        <v>1820</v>
      </c>
      <c r="J495" s="1" t="s">
        <v>1821</v>
      </c>
    </row>
    <row r="496" spans="1:10" ht="15" customHeight="1" x14ac:dyDescent="0.25">
      <c r="A496" t="s">
        <v>1822</v>
      </c>
      <c r="B496">
        <v>2022</v>
      </c>
      <c r="C496" t="s">
        <v>176</v>
      </c>
      <c r="D496" t="b">
        <f>TRUE()</f>
        <v>1</v>
      </c>
      <c r="E496" t="b">
        <f>COUNTIF(connections!A:A, A496) &gt; 0</f>
        <v>0</v>
      </c>
      <c r="G496" t="s">
        <v>1823</v>
      </c>
      <c r="H496" t="s">
        <v>187</v>
      </c>
      <c r="I496" t="s">
        <v>1824</v>
      </c>
      <c r="J496" s="1" t="s">
        <v>1825</v>
      </c>
    </row>
    <row r="497" spans="1:10" ht="15" customHeight="1" x14ac:dyDescent="0.25">
      <c r="A497" t="s">
        <v>1826</v>
      </c>
      <c r="B497">
        <v>2025</v>
      </c>
      <c r="C497" t="s">
        <v>176</v>
      </c>
      <c r="D497" t="b">
        <f>TRUE()</f>
        <v>1</v>
      </c>
      <c r="E497" t="b">
        <f>COUNTIF(connections!A:A, A497) &gt; 0</f>
        <v>0</v>
      </c>
      <c r="G497" t="s">
        <v>1827</v>
      </c>
      <c r="H497" t="s">
        <v>187</v>
      </c>
      <c r="I497" t="s">
        <v>1828</v>
      </c>
      <c r="J497" s="1" t="s">
        <v>1829</v>
      </c>
    </row>
    <row r="498" spans="1:10" ht="15" customHeight="1" x14ac:dyDescent="0.25">
      <c r="A498" t="s">
        <v>1830</v>
      </c>
      <c r="B498">
        <v>2023</v>
      </c>
      <c r="C498" t="s">
        <v>176</v>
      </c>
      <c r="D498" t="b">
        <f>TRUE()</f>
        <v>1</v>
      </c>
      <c r="E498" t="b">
        <f>COUNTIF(connections!A:A, A498) &gt; 0</f>
        <v>0</v>
      </c>
      <c r="G498" t="s">
        <v>1831</v>
      </c>
      <c r="H498" t="s">
        <v>187</v>
      </c>
      <c r="I498" t="s">
        <v>1832</v>
      </c>
      <c r="J498" s="1" t="s">
        <v>1833</v>
      </c>
    </row>
    <row r="499" spans="1:10" ht="15" customHeight="1" x14ac:dyDescent="0.25">
      <c r="A499" t="s">
        <v>1834</v>
      </c>
      <c r="B499">
        <v>2025</v>
      </c>
      <c r="C499" t="s">
        <v>222</v>
      </c>
      <c r="D499" t="b">
        <f>TRUE()</f>
        <v>1</v>
      </c>
      <c r="E499" t="b">
        <f>COUNTIF(connections!A:A, A499) &gt; 0</f>
        <v>0</v>
      </c>
      <c r="G499" t="s">
        <v>1835</v>
      </c>
      <c r="H499" t="s">
        <v>187</v>
      </c>
      <c r="I499" t="s">
        <v>1836</v>
      </c>
      <c r="J499" s="1" t="s">
        <v>1837</v>
      </c>
    </row>
    <row r="500" spans="1:10" ht="15" customHeight="1" x14ac:dyDescent="0.25">
      <c r="A500" t="s">
        <v>1838</v>
      </c>
      <c r="B500">
        <v>2022</v>
      </c>
      <c r="C500" t="s">
        <v>176</v>
      </c>
      <c r="D500" t="b">
        <f>TRUE()</f>
        <v>1</v>
      </c>
      <c r="E500" t="b">
        <f>COUNTIF(connections!A:A, A500) &gt; 0</f>
        <v>0</v>
      </c>
      <c r="G500" t="s">
        <v>1839</v>
      </c>
      <c r="H500" t="s">
        <v>187</v>
      </c>
      <c r="I500" t="s">
        <v>1840</v>
      </c>
      <c r="J500" s="1" t="s">
        <v>1841</v>
      </c>
    </row>
    <row r="501" spans="1:10" ht="15" customHeight="1" x14ac:dyDescent="0.25">
      <c r="A501" t="s">
        <v>1842</v>
      </c>
      <c r="B501">
        <v>2025</v>
      </c>
      <c r="C501" t="s">
        <v>222</v>
      </c>
      <c r="D501" t="b">
        <f>FALSE()</f>
        <v>0</v>
      </c>
      <c r="E501" t="b">
        <f>COUNTIF(connections!A:A, A501) &gt; 0</f>
        <v>0</v>
      </c>
      <c r="F501" t="s">
        <v>506</v>
      </c>
      <c r="G501" t="s">
        <v>1843</v>
      </c>
    </row>
    <row r="502" spans="1:10" ht="15" customHeight="1" x14ac:dyDescent="0.25">
      <c r="A502" t="s">
        <v>1844</v>
      </c>
      <c r="B502">
        <v>2019</v>
      </c>
      <c r="C502" t="s">
        <v>176</v>
      </c>
      <c r="D502" t="b">
        <f>TRUE()</f>
        <v>1</v>
      </c>
      <c r="E502" t="b">
        <f>COUNTIF(connections!A:A, A502) &gt; 0</f>
        <v>0</v>
      </c>
      <c r="F502" t="s">
        <v>274</v>
      </c>
      <c r="G502" t="s">
        <v>1845</v>
      </c>
      <c r="H502" t="s">
        <v>187</v>
      </c>
      <c r="I502" t="s">
        <v>1846</v>
      </c>
      <c r="J502" s="1" t="s">
        <v>1847</v>
      </c>
    </row>
    <row r="503" spans="1:10" ht="15" customHeight="1" x14ac:dyDescent="0.25">
      <c r="A503" t="s">
        <v>1848</v>
      </c>
      <c r="B503">
        <v>2019</v>
      </c>
      <c r="C503" t="s">
        <v>182</v>
      </c>
      <c r="D503" t="b">
        <f>TRUE()</f>
        <v>1</v>
      </c>
      <c r="E503" t="b">
        <f>COUNTIF(connections!A:A, A503) &gt; 0</f>
        <v>0</v>
      </c>
      <c r="G503" t="s">
        <v>1849</v>
      </c>
      <c r="H503" t="s">
        <v>187</v>
      </c>
      <c r="I503" t="s">
        <v>1850</v>
      </c>
      <c r="J503" s="1" t="s">
        <v>1851</v>
      </c>
    </row>
    <row r="504" spans="1:10" ht="15" customHeight="1" x14ac:dyDescent="0.25">
      <c r="A504" t="s">
        <v>1852</v>
      </c>
      <c r="B504">
        <v>2024</v>
      </c>
      <c r="C504" t="s">
        <v>222</v>
      </c>
      <c r="D504" t="b">
        <f>TRUE()</f>
        <v>1</v>
      </c>
      <c r="E504" t="b">
        <f>COUNTIF(connections!A:A, A504) &gt; 0</f>
        <v>1</v>
      </c>
      <c r="G504" t="s">
        <v>1853</v>
      </c>
      <c r="H504" t="s">
        <v>187</v>
      </c>
      <c r="I504" t="s">
        <v>1854</v>
      </c>
      <c r="J504" s="1" t="s">
        <v>1855</v>
      </c>
    </row>
    <row r="505" spans="1:10" ht="15" customHeight="1" x14ac:dyDescent="0.25">
      <c r="A505" t="s">
        <v>1856</v>
      </c>
      <c r="B505">
        <v>2015</v>
      </c>
      <c r="C505" t="s">
        <v>176</v>
      </c>
      <c r="D505" t="b">
        <f>TRUE()</f>
        <v>1</v>
      </c>
      <c r="E505" t="b">
        <f>COUNTIF(connections!A:A, A505) &gt; 0</f>
        <v>1</v>
      </c>
      <c r="G505" t="s">
        <v>1857</v>
      </c>
      <c r="H505" t="s">
        <v>187</v>
      </c>
      <c r="I505" t="s">
        <v>1858</v>
      </c>
      <c r="J505" s="1" t="s">
        <v>1859</v>
      </c>
    </row>
    <row r="506" spans="1:10" ht="15" customHeight="1" x14ac:dyDescent="0.25">
      <c r="A506" t="s">
        <v>1860</v>
      </c>
      <c r="B506">
        <v>2025</v>
      </c>
      <c r="C506" t="s">
        <v>176</v>
      </c>
      <c r="D506" t="b">
        <f>TRUE()</f>
        <v>1</v>
      </c>
      <c r="E506" t="b">
        <f>COUNTIF(connections!A:A, A506) &gt; 0</f>
        <v>0</v>
      </c>
      <c r="G506" t="s">
        <v>1861</v>
      </c>
      <c r="H506" t="s">
        <v>187</v>
      </c>
      <c r="I506" t="s">
        <v>1862</v>
      </c>
      <c r="J506" s="1" t="s">
        <v>1863</v>
      </c>
    </row>
    <row r="507" spans="1:10" ht="15" customHeight="1" x14ac:dyDescent="0.25">
      <c r="A507" t="s">
        <v>1864</v>
      </c>
      <c r="B507">
        <v>2026</v>
      </c>
      <c r="C507" t="s">
        <v>222</v>
      </c>
      <c r="D507" t="b">
        <f>TRUE()</f>
        <v>1</v>
      </c>
      <c r="E507" t="b">
        <f>COUNTIF(connections!A:A, A507) &gt; 0</f>
        <v>0</v>
      </c>
      <c r="G507" t="s">
        <v>1865</v>
      </c>
    </row>
    <row r="508" spans="1:10" ht="15" customHeight="1" x14ac:dyDescent="0.25">
      <c r="A508" t="s">
        <v>1866</v>
      </c>
      <c r="B508">
        <v>2023</v>
      </c>
      <c r="C508" t="s">
        <v>176</v>
      </c>
      <c r="D508" t="b">
        <f>TRUE()</f>
        <v>1</v>
      </c>
      <c r="E508" t="b">
        <f>COUNTIF(connections!A:A, A508) &gt; 0</f>
        <v>0</v>
      </c>
      <c r="G508" t="s">
        <v>1867</v>
      </c>
    </row>
    <row r="509" spans="1:10" ht="15" customHeight="1" x14ac:dyDescent="0.25">
      <c r="A509" t="s">
        <v>1868</v>
      </c>
      <c r="B509">
        <v>2021</v>
      </c>
      <c r="C509" t="s">
        <v>182</v>
      </c>
      <c r="D509" t="b">
        <v>1</v>
      </c>
      <c r="E509" t="b">
        <f>COUNTIF(connections!A:A, A509) &gt; 0</f>
        <v>0</v>
      </c>
      <c r="G509" t="s">
        <v>1869</v>
      </c>
      <c r="H509" t="s">
        <v>187</v>
      </c>
      <c r="I509" t="s">
        <v>1870</v>
      </c>
      <c r="J509" s="11" t="s">
        <v>1871</v>
      </c>
    </row>
    <row r="510" spans="1:10" ht="15" customHeight="1" x14ac:dyDescent="0.25">
      <c r="A510" t="s">
        <v>1872</v>
      </c>
      <c r="B510">
        <v>2018</v>
      </c>
      <c r="C510" t="s">
        <v>176</v>
      </c>
      <c r="D510" t="b">
        <f>FALSE()</f>
        <v>0</v>
      </c>
      <c r="E510" t="b">
        <f>COUNTIF(connections!A:A, A510) &gt; 0</f>
        <v>0</v>
      </c>
      <c r="G510" t="s">
        <v>1873</v>
      </c>
      <c r="H510" t="s">
        <v>187</v>
      </c>
      <c r="I510" t="s">
        <v>1874</v>
      </c>
      <c r="J510" s="1" t="s">
        <v>1875</v>
      </c>
    </row>
    <row r="511" spans="1:10" ht="15" customHeight="1" x14ac:dyDescent="0.25">
      <c r="A511" t="s">
        <v>1876</v>
      </c>
      <c r="B511">
        <v>2026</v>
      </c>
      <c r="C511" t="s">
        <v>176</v>
      </c>
      <c r="D511" t="b">
        <f>TRUE()</f>
        <v>1</v>
      </c>
      <c r="E511" t="b">
        <f>COUNTIF(connections!A:A, A511) &gt; 0</f>
        <v>0</v>
      </c>
      <c r="G511" t="s">
        <v>1877</v>
      </c>
    </row>
    <row r="512" spans="1:10" ht="15" customHeight="1" x14ac:dyDescent="0.25">
      <c r="A512" t="s">
        <v>1878</v>
      </c>
      <c r="B512">
        <v>2025</v>
      </c>
      <c r="C512" t="s">
        <v>176</v>
      </c>
      <c r="D512" t="b">
        <f>TRUE()</f>
        <v>1</v>
      </c>
      <c r="E512" t="b">
        <f>COUNTIF(connections!A:A, A512) &gt; 0</f>
        <v>0</v>
      </c>
      <c r="G512" t="s">
        <v>1879</v>
      </c>
    </row>
    <row r="513" spans="1:10" ht="15" customHeight="1" x14ac:dyDescent="0.25">
      <c r="A513" t="s">
        <v>1880</v>
      </c>
      <c r="B513">
        <v>2026</v>
      </c>
      <c r="C513" t="s">
        <v>176</v>
      </c>
      <c r="D513" t="b">
        <f>TRUE()</f>
        <v>1</v>
      </c>
      <c r="E513" t="b">
        <f>COUNTIF(connections!A:A, A513) &gt; 0</f>
        <v>0</v>
      </c>
      <c r="G513" t="s">
        <v>1881</v>
      </c>
      <c r="J513" s="11" t="s">
        <v>1882</v>
      </c>
    </row>
    <row r="514" spans="1:10" ht="15" customHeight="1" x14ac:dyDescent="0.25">
      <c r="A514" t="s">
        <v>1883</v>
      </c>
      <c r="B514">
        <v>1987</v>
      </c>
      <c r="C514" t="s">
        <v>179</v>
      </c>
      <c r="D514" t="b">
        <f>TRUE()</f>
        <v>1</v>
      </c>
      <c r="E514" t="b">
        <f>COUNTIF(connections!A:A, A514) &gt; 0</f>
        <v>1</v>
      </c>
      <c r="G514" t="s">
        <v>1884</v>
      </c>
      <c r="H514" t="s">
        <v>187</v>
      </c>
      <c r="I514" t="s">
        <v>1885</v>
      </c>
    </row>
    <row r="515" spans="1:10" ht="15" customHeight="1" x14ac:dyDescent="0.25">
      <c r="A515" t="s">
        <v>1886</v>
      </c>
      <c r="B515">
        <v>2015</v>
      </c>
      <c r="C515" t="s">
        <v>179</v>
      </c>
      <c r="D515" t="b">
        <f>TRUE()</f>
        <v>1</v>
      </c>
      <c r="E515" t="b">
        <f>COUNTIF(connections!A:A, A515) &gt; 0</f>
        <v>1</v>
      </c>
      <c r="G515" t="s">
        <v>1887</v>
      </c>
    </row>
    <row r="516" spans="1:10" ht="15" customHeight="1" x14ac:dyDescent="0.25">
      <c r="A516" t="s">
        <v>1888</v>
      </c>
      <c r="B516">
        <v>2019</v>
      </c>
      <c r="C516" t="s">
        <v>179</v>
      </c>
      <c r="D516" t="b">
        <f>TRUE()</f>
        <v>1</v>
      </c>
      <c r="E516" t="b">
        <f>COUNTIF(connections!A:A, A516) &gt; 0</f>
        <v>0</v>
      </c>
      <c r="G516" t="s">
        <v>1889</v>
      </c>
      <c r="H516" t="s">
        <v>187</v>
      </c>
      <c r="I516" t="s">
        <v>1890</v>
      </c>
      <c r="J516" s="11" t="s">
        <v>1891</v>
      </c>
    </row>
    <row r="517" spans="1:10" ht="15" customHeight="1" x14ac:dyDescent="0.25">
      <c r="A517" t="s">
        <v>1892</v>
      </c>
      <c r="B517">
        <v>2017</v>
      </c>
      <c r="C517" t="s">
        <v>179</v>
      </c>
      <c r="D517" t="b">
        <f>TRUE()</f>
        <v>1</v>
      </c>
      <c r="E517" t="b">
        <f>COUNTIF(connections!A:A, A517) &gt; 0</f>
        <v>1</v>
      </c>
      <c r="G517" t="s">
        <v>1893</v>
      </c>
    </row>
    <row r="518" spans="1:10" ht="15" customHeight="1" x14ac:dyDescent="0.25">
      <c r="A518" t="s">
        <v>1894</v>
      </c>
      <c r="B518">
        <v>2025</v>
      </c>
      <c r="C518" t="s">
        <v>182</v>
      </c>
      <c r="D518" t="b">
        <f>TRUE()</f>
        <v>1</v>
      </c>
      <c r="E518" t="b">
        <f>COUNTIF(connections!A:A, A518) &gt; 0</f>
        <v>0</v>
      </c>
      <c r="F518" t="s">
        <v>264</v>
      </c>
      <c r="G518" t="s">
        <v>1895</v>
      </c>
    </row>
    <row r="519" spans="1:10" ht="15" customHeight="1" x14ac:dyDescent="0.25">
      <c r="A519" t="s">
        <v>1896</v>
      </c>
      <c r="B519">
        <v>2020</v>
      </c>
      <c r="C519" t="s">
        <v>176</v>
      </c>
      <c r="D519" t="b">
        <f>TRUE()</f>
        <v>1</v>
      </c>
      <c r="E519" t="b">
        <f>COUNTIF(connections!A:A, A519) &gt; 0</f>
        <v>0</v>
      </c>
      <c r="G519" t="s">
        <v>1897</v>
      </c>
      <c r="H519" t="s">
        <v>187</v>
      </c>
      <c r="I519" t="s">
        <v>1898</v>
      </c>
      <c r="J519" s="1" t="s">
        <v>1899</v>
      </c>
    </row>
    <row r="520" spans="1:10" ht="15" customHeight="1" x14ac:dyDescent="0.25">
      <c r="A520" t="s">
        <v>1900</v>
      </c>
      <c r="B520">
        <v>2014</v>
      </c>
      <c r="C520" t="s">
        <v>179</v>
      </c>
      <c r="D520" t="b">
        <f>TRUE()</f>
        <v>1</v>
      </c>
      <c r="E520" t="b">
        <f>COUNTIF(connections!A:A, A520) &gt; 0</f>
        <v>1</v>
      </c>
      <c r="G520" t="s">
        <v>1901</v>
      </c>
      <c r="H520" t="s">
        <v>187</v>
      </c>
      <c r="I520" t="s">
        <v>1902</v>
      </c>
      <c r="J520" s="11" t="s">
        <v>1903</v>
      </c>
    </row>
    <row r="521" spans="1:10" ht="15" customHeight="1" x14ac:dyDescent="0.25">
      <c r="A521" t="s">
        <v>1904</v>
      </c>
      <c r="B521">
        <v>2019</v>
      </c>
      <c r="C521" t="s">
        <v>179</v>
      </c>
      <c r="D521" t="b">
        <f>TRUE()</f>
        <v>1</v>
      </c>
      <c r="E521" t="b">
        <f>COUNTIF(connections!A:A, A521) &gt; 0</f>
        <v>0</v>
      </c>
      <c r="G521" t="s">
        <v>1905</v>
      </c>
      <c r="H521" t="s">
        <v>187</v>
      </c>
      <c r="I521" t="s">
        <v>1906</v>
      </c>
      <c r="J521" s="1" t="s">
        <v>1907</v>
      </c>
    </row>
    <row r="522" spans="1:10" ht="15" customHeight="1" x14ac:dyDescent="0.25">
      <c r="A522" t="s">
        <v>1908</v>
      </c>
      <c r="B522">
        <v>2023</v>
      </c>
      <c r="C522" t="s">
        <v>176</v>
      </c>
      <c r="D522" t="b">
        <f>FALSE()</f>
        <v>0</v>
      </c>
      <c r="E522" t="b">
        <f>COUNTIF(connections!A:A, A522) &gt; 0</f>
        <v>0</v>
      </c>
      <c r="G522" t="s">
        <v>1909</v>
      </c>
      <c r="H522" t="s">
        <v>187</v>
      </c>
      <c r="I522" t="s">
        <v>1910</v>
      </c>
      <c r="J522" s="1" t="s">
        <v>1911</v>
      </c>
    </row>
    <row r="523" spans="1:10" ht="15" customHeight="1" x14ac:dyDescent="0.25">
      <c r="A523" t="s">
        <v>1912</v>
      </c>
      <c r="B523">
        <v>2014</v>
      </c>
      <c r="C523" t="s">
        <v>176</v>
      </c>
      <c r="D523" t="b">
        <v>1</v>
      </c>
      <c r="E523" t="b">
        <f>COUNTIF(connections!A:A, A523) &gt; 0</f>
        <v>0</v>
      </c>
      <c r="G523" t="s">
        <v>1913</v>
      </c>
      <c r="J523" s="11" t="s">
        <v>1914</v>
      </c>
    </row>
    <row r="524" spans="1:10" ht="15" customHeight="1" x14ac:dyDescent="0.25">
      <c r="A524" t="s">
        <v>1915</v>
      </c>
      <c r="B524">
        <v>2025</v>
      </c>
      <c r="C524" t="s">
        <v>222</v>
      </c>
      <c r="D524" t="b">
        <f>FALSE()</f>
        <v>0</v>
      </c>
      <c r="E524" t="b">
        <f>COUNTIF(connections!A:A, A524) &gt; 0</f>
        <v>0</v>
      </c>
      <c r="G524" t="s">
        <v>1916</v>
      </c>
      <c r="H524" t="s">
        <v>187</v>
      </c>
      <c r="I524" t="s">
        <v>1917</v>
      </c>
      <c r="J524" s="1" t="s">
        <v>1918</v>
      </c>
    </row>
    <row r="525" spans="1:10" ht="15" customHeight="1" x14ac:dyDescent="0.25">
      <c r="A525" t="s">
        <v>1919</v>
      </c>
      <c r="B525">
        <v>2022</v>
      </c>
      <c r="C525" t="s">
        <v>179</v>
      </c>
      <c r="D525" t="b">
        <f>TRUE()</f>
        <v>1</v>
      </c>
      <c r="E525" t="b">
        <f>COUNTIF(connections!A:A, A525) &gt; 0</f>
        <v>0</v>
      </c>
      <c r="G525" t="s">
        <v>1920</v>
      </c>
      <c r="H525" t="s">
        <v>187</v>
      </c>
      <c r="I525" t="s">
        <v>1921</v>
      </c>
    </row>
    <row r="526" spans="1:10" ht="15" customHeight="1" x14ac:dyDescent="0.25">
      <c r="A526" t="s">
        <v>1922</v>
      </c>
      <c r="B526">
        <v>2025</v>
      </c>
      <c r="C526" t="s">
        <v>182</v>
      </c>
      <c r="D526" t="b">
        <f>TRUE()</f>
        <v>1</v>
      </c>
      <c r="E526" t="b">
        <f>COUNTIF(connections!A:A, A526) &gt; 0</f>
        <v>0</v>
      </c>
      <c r="G526" t="s">
        <v>1923</v>
      </c>
      <c r="H526" t="s">
        <v>187</v>
      </c>
      <c r="I526" t="s">
        <v>1924</v>
      </c>
      <c r="J526" s="1" t="s">
        <v>1925</v>
      </c>
    </row>
    <row r="527" spans="1:10" ht="15" customHeight="1" x14ac:dyDescent="0.25">
      <c r="A527" t="s">
        <v>1926</v>
      </c>
      <c r="B527">
        <v>2025</v>
      </c>
      <c r="C527" t="s">
        <v>179</v>
      </c>
      <c r="D527" t="b">
        <f>TRUE()</f>
        <v>1</v>
      </c>
      <c r="E527" t="b">
        <f>COUNTIF(connections!A:A, A527) &gt; 0</f>
        <v>0</v>
      </c>
      <c r="G527" t="s">
        <v>1927</v>
      </c>
    </row>
    <row r="528" spans="1:10" ht="15" customHeight="1" x14ac:dyDescent="0.25">
      <c r="A528" t="s">
        <v>1928</v>
      </c>
      <c r="B528">
        <v>2023</v>
      </c>
      <c r="C528" t="s">
        <v>176</v>
      </c>
      <c r="D528" t="b">
        <f>TRUE()</f>
        <v>1</v>
      </c>
      <c r="E528" t="b">
        <f>COUNTIF(connections!A:A, A528) &gt; 0</f>
        <v>0</v>
      </c>
      <c r="G528" t="s">
        <v>1929</v>
      </c>
      <c r="H528" t="s">
        <v>187</v>
      </c>
      <c r="I528" t="s">
        <v>1930</v>
      </c>
      <c r="J528" s="1" t="s">
        <v>1931</v>
      </c>
    </row>
    <row r="529" spans="1:10" ht="15" customHeight="1" x14ac:dyDescent="0.25">
      <c r="A529" t="s">
        <v>1932</v>
      </c>
      <c r="B529">
        <v>2025</v>
      </c>
      <c r="C529" t="s">
        <v>222</v>
      </c>
      <c r="D529" t="b">
        <f>TRUE()</f>
        <v>1</v>
      </c>
      <c r="E529" t="b">
        <f>COUNTIF(connections!A:A, A529) &gt; 0</f>
        <v>0</v>
      </c>
      <c r="F529" t="s">
        <v>1165</v>
      </c>
      <c r="G529" t="s">
        <v>1933</v>
      </c>
    </row>
    <row r="530" spans="1:10" ht="15" customHeight="1" x14ac:dyDescent="0.25">
      <c r="A530" t="s">
        <v>1934</v>
      </c>
      <c r="B530">
        <v>2021</v>
      </c>
      <c r="C530" t="s">
        <v>176</v>
      </c>
      <c r="D530" t="b">
        <f>TRUE()</f>
        <v>1</v>
      </c>
      <c r="E530" t="b">
        <f>COUNTIF(connections!A:A, A530) &gt; 0</f>
        <v>1</v>
      </c>
      <c r="G530" t="s">
        <v>1935</v>
      </c>
      <c r="H530" t="s">
        <v>187</v>
      </c>
      <c r="I530" t="s">
        <v>1936</v>
      </c>
      <c r="J530" s="1" t="s">
        <v>1937</v>
      </c>
    </row>
    <row r="531" spans="1:10" ht="15" customHeight="1" x14ac:dyDescent="0.25">
      <c r="A531" t="s">
        <v>1938</v>
      </c>
      <c r="B531">
        <v>2023</v>
      </c>
      <c r="C531" t="s">
        <v>179</v>
      </c>
      <c r="D531" t="b">
        <f>TRUE()</f>
        <v>1</v>
      </c>
      <c r="E531" t="b">
        <f>COUNTIF(connections!A:A, A531) &gt; 0</f>
        <v>0</v>
      </c>
      <c r="G531" t="s">
        <v>1939</v>
      </c>
      <c r="H531" t="s">
        <v>187</v>
      </c>
      <c r="I531" t="s">
        <v>1940</v>
      </c>
      <c r="J531" s="1" t="s">
        <v>1941</v>
      </c>
    </row>
    <row r="532" spans="1:10" ht="15" customHeight="1" x14ac:dyDescent="0.25">
      <c r="A532" t="s">
        <v>1942</v>
      </c>
      <c r="B532">
        <v>2026</v>
      </c>
      <c r="C532" t="s">
        <v>176</v>
      </c>
      <c r="D532" t="b">
        <v>1</v>
      </c>
      <c r="E532" t="b">
        <f>COUNTIF(connections!A:A, A532) &gt; 0</f>
        <v>0</v>
      </c>
      <c r="G532" t="s">
        <v>1943</v>
      </c>
      <c r="J532" s="11" t="s">
        <v>1944</v>
      </c>
    </row>
    <row r="533" spans="1:10" ht="15" customHeight="1" x14ac:dyDescent="0.25">
      <c r="A533" t="s">
        <v>1945</v>
      </c>
      <c r="B533">
        <v>2015</v>
      </c>
      <c r="C533" t="s">
        <v>179</v>
      </c>
      <c r="D533" t="b">
        <f>TRUE()</f>
        <v>1</v>
      </c>
      <c r="E533" t="b">
        <f>COUNTIF(connections!A:A, A533) &gt; 0</f>
        <v>0</v>
      </c>
      <c r="G533" t="s">
        <v>1946</v>
      </c>
      <c r="H533" t="s">
        <v>187</v>
      </c>
      <c r="I533" t="s">
        <v>1947</v>
      </c>
    </row>
    <row r="534" spans="1:10" ht="15" customHeight="1" x14ac:dyDescent="0.25">
      <c r="A534" t="s">
        <v>1948</v>
      </c>
      <c r="B534">
        <v>2021</v>
      </c>
      <c r="C534" t="s">
        <v>222</v>
      </c>
      <c r="D534" t="b">
        <f>TRUE()</f>
        <v>1</v>
      </c>
      <c r="E534" t="b">
        <f>COUNTIF(connections!A:A, A534) &gt; 0</f>
        <v>1</v>
      </c>
      <c r="F534" t="s">
        <v>1165</v>
      </c>
      <c r="G534" t="s">
        <v>1949</v>
      </c>
      <c r="H534" t="s">
        <v>187</v>
      </c>
      <c r="I534" t="s">
        <v>1950</v>
      </c>
      <c r="J534" s="1" t="s">
        <v>1951</v>
      </c>
    </row>
    <row r="535" spans="1:10" ht="15" customHeight="1" x14ac:dyDescent="0.25">
      <c r="A535" t="s">
        <v>1952</v>
      </c>
      <c r="B535">
        <v>2022</v>
      </c>
      <c r="C535" t="s">
        <v>182</v>
      </c>
      <c r="D535" t="b">
        <f>TRUE()</f>
        <v>1</v>
      </c>
      <c r="E535" t="b">
        <f>COUNTIF(connections!A:A, A535) &gt; 0</f>
        <v>1</v>
      </c>
      <c r="F535" t="s">
        <v>354</v>
      </c>
      <c r="G535" t="s">
        <v>1953</v>
      </c>
      <c r="H535" t="s">
        <v>187</v>
      </c>
      <c r="I535" t="s">
        <v>1954</v>
      </c>
      <c r="J535" s="1" t="s">
        <v>1955</v>
      </c>
    </row>
    <row r="536" spans="1:10" ht="15" customHeight="1" x14ac:dyDescent="0.25">
      <c r="A536" t="s">
        <v>1956</v>
      </c>
      <c r="B536">
        <v>2026</v>
      </c>
      <c r="C536" t="s">
        <v>182</v>
      </c>
      <c r="D536" t="b">
        <f>TRUE()</f>
        <v>1</v>
      </c>
      <c r="E536" t="b">
        <f>COUNTIF(connections!A:A, A536) &gt; 0</f>
        <v>0</v>
      </c>
      <c r="G536" t="s">
        <v>1957</v>
      </c>
      <c r="J536" s="11" t="s">
        <v>1958</v>
      </c>
    </row>
    <row r="537" spans="1:10" ht="15" customHeight="1" x14ac:dyDescent="0.25">
      <c r="A537" t="s">
        <v>1959</v>
      </c>
      <c r="B537">
        <v>2024</v>
      </c>
      <c r="C537" t="s">
        <v>176</v>
      </c>
      <c r="D537" t="b">
        <f>TRUE()</f>
        <v>1</v>
      </c>
      <c r="E537" t="b">
        <f>COUNTIF(connections!A:A, A537) &gt; 0</f>
        <v>0</v>
      </c>
      <c r="G537" t="s">
        <v>1960</v>
      </c>
      <c r="H537" t="s">
        <v>187</v>
      </c>
      <c r="I537" t="s">
        <v>1961</v>
      </c>
      <c r="J537" s="1" t="s">
        <v>1962</v>
      </c>
    </row>
    <row r="538" spans="1:10" ht="15" customHeight="1" x14ac:dyDescent="0.25">
      <c r="A538" t="s">
        <v>1963</v>
      </c>
      <c r="B538">
        <v>2023</v>
      </c>
      <c r="C538" t="s">
        <v>176</v>
      </c>
      <c r="D538" t="b">
        <f>TRUE()</f>
        <v>1</v>
      </c>
      <c r="E538" t="b">
        <f>COUNTIF(connections!A:A, A538) &gt; 0</f>
        <v>0</v>
      </c>
      <c r="G538" t="s">
        <v>1964</v>
      </c>
      <c r="H538" t="s">
        <v>187</v>
      </c>
      <c r="I538" t="s">
        <v>1965</v>
      </c>
      <c r="J538" s="1" t="s">
        <v>1966</v>
      </c>
    </row>
    <row r="539" spans="1:10" ht="15" customHeight="1" x14ac:dyDescent="0.25">
      <c r="A539" t="s">
        <v>1967</v>
      </c>
      <c r="B539">
        <v>2025</v>
      </c>
      <c r="C539" t="s">
        <v>182</v>
      </c>
      <c r="D539" t="b">
        <f>TRUE()</f>
        <v>1</v>
      </c>
      <c r="E539" t="b">
        <f>COUNTIF(connections!A:A, A539) &gt; 0</f>
        <v>0</v>
      </c>
      <c r="F539" t="s">
        <v>315</v>
      </c>
      <c r="G539" t="s">
        <v>1968</v>
      </c>
      <c r="H539" t="s">
        <v>187</v>
      </c>
      <c r="I539" t="s">
        <v>1969</v>
      </c>
      <c r="J539" s="1" t="s">
        <v>1970</v>
      </c>
    </row>
    <row r="540" spans="1:10" ht="15" customHeight="1" x14ac:dyDescent="0.25">
      <c r="A540" t="s">
        <v>1971</v>
      </c>
      <c r="B540">
        <v>2012</v>
      </c>
      <c r="C540" t="s">
        <v>179</v>
      </c>
      <c r="D540" t="b">
        <f>TRUE()</f>
        <v>1</v>
      </c>
      <c r="E540" t="b">
        <f>COUNTIF(connections!A:A, A540) &gt; 0</f>
        <v>1</v>
      </c>
      <c r="G540" t="s">
        <v>1972</v>
      </c>
      <c r="J540" s="11" t="s">
        <v>1973</v>
      </c>
    </row>
    <row r="541" spans="1:10" ht="15" customHeight="1" x14ac:dyDescent="0.25">
      <c r="A541" t="s">
        <v>1974</v>
      </c>
      <c r="B541">
        <v>2022</v>
      </c>
      <c r="C541" t="s">
        <v>222</v>
      </c>
      <c r="D541" t="b">
        <f>FALSE()</f>
        <v>0</v>
      </c>
      <c r="E541" t="b">
        <f>COUNTIF(connections!A:A, A541) &gt; 0</f>
        <v>0</v>
      </c>
      <c r="F541" t="s">
        <v>264</v>
      </c>
      <c r="G541" t="s">
        <v>1975</v>
      </c>
      <c r="H541" t="s">
        <v>187</v>
      </c>
      <c r="I541" t="s">
        <v>1976</v>
      </c>
      <c r="J541" s="1" t="s">
        <v>1977</v>
      </c>
    </row>
    <row r="542" spans="1:10" ht="15" customHeight="1" x14ac:dyDescent="0.25">
      <c r="A542" t="s">
        <v>1978</v>
      </c>
      <c r="B542">
        <v>2026</v>
      </c>
      <c r="C542" t="s">
        <v>182</v>
      </c>
      <c r="D542" t="b">
        <f>TRUE()</f>
        <v>1</v>
      </c>
      <c r="E542" t="b">
        <f>COUNTIF(connections!A:A, A542) &gt; 0</f>
        <v>0</v>
      </c>
      <c r="G542" t="s">
        <v>1979</v>
      </c>
      <c r="J542" s="1" t="s">
        <v>1980</v>
      </c>
    </row>
    <row r="543" spans="1:10" ht="15" customHeight="1" x14ac:dyDescent="0.25">
      <c r="A543" t="s">
        <v>1981</v>
      </c>
      <c r="B543">
        <v>2021</v>
      </c>
      <c r="C543" t="s">
        <v>182</v>
      </c>
      <c r="D543" t="b">
        <f>TRUE()</f>
        <v>1</v>
      </c>
      <c r="E543" t="b">
        <f>COUNTIF(connections!A:A, A543) &gt; 0</f>
        <v>0</v>
      </c>
      <c r="F543" t="s">
        <v>354</v>
      </c>
      <c r="G543" t="s">
        <v>1982</v>
      </c>
    </row>
    <row r="544" spans="1:10" ht="15" customHeight="1" x14ac:dyDescent="0.25">
      <c r="A544" t="s">
        <v>1983</v>
      </c>
      <c r="B544">
        <v>2026</v>
      </c>
      <c r="C544" t="s">
        <v>182</v>
      </c>
      <c r="D544" t="b">
        <f>TRUE()</f>
        <v>1</v>
      </c>
      <c r="E544" t="b">
        <f>COUNTIF(connections!A:A, A544) &gt; 0</f>
        <v>0</v>
      </c>
      <c r="G544" t="s">
        <v>1984</v>
      </c>
    </row>
    <row r="545" spans="1:10" ht="15" customHeight="1" x14ac:dyDescent="0.25">
      <c r="A545" t="s">
        <v>1985</v>
      </c>
      <c r="B545">
        <v>2022</v>
      </c>
      <c r="C545" t="s">
        <v>182</v>
      </c>
      <c r="D545" t="b">
        <f>TRUE()</f>
        <v>1</v>
      </c>
      <c r="E545" t="b">
        <f>COUNTIF(connections!A:A, A545) &gt; 0</f>
        <v>0</v>
      </c>
      <c r="F545" t="s">
        <v>1986</v>
      </c>
      <c r="G545" t="s">
        <v>1987</v>
      </c>
      <c r="H545" t="s">
        <v>187</v>
      </c>
      <c r="I545" t="s">
        <v>1988</v>
      </c>
    </row>
    <row r="546" spans="1:10" ht="15" customHeight="1" x14ac:dyDescent="0.25">
      <c r="A546" t="s">
        <v>1989</v>
      </c>
      <c r="B546">
        <v>2024</v>
      </c>
      <c r="C546" t="s">
        <v>176</v>
      </c>
      <c r="D546" t="b">
        <f>FALSE()</f>
        <v>0</v>
      </c>
      <c r="E546" t="b">
        <f>COUNTIF(connections!A:A, A546) &gt; 0</f>
        <v>0</v>
      </c>
      <c r="G546" t="s">
        <v>1990</v>
      </c>
      <c r="H546" t="s">
        <v>187</v>
      </c>
      <c r="I546" t="s">
        <v>1991</v>
      </c>
      <c r="J546" s="1" t="s">
        <v>1992</v>
      </c>
    </row>
    <row r="547" spans="1:10" ht="15" customHeight="1" x14ac:dyDescent="0.25">
      <c r="A547" t="s">
        <v>1993</v>
      </c>
      <c r="B547">
        <v>2026</v>
      </c>
      <c r="C547" t="s">
        <v>222</v>
      </c>
      <c r="D547" t="b">
        <f>TRUE()</f>
        <v>1</v>
      </c>
      <c r="E547" t="b">
        <f>COUNTIF(connections!A:A, A547) &gt; 0</f>
        <v>0</v>
      </c>
      <c r="F547" t="s">
        <v>1986</v>
      </c>
      <c r="G547" t="s">
        <v>1994</v>
      </c>
      <c r="H547" t="s">
        <v>187</v>
      </c>
      <c r="I547" t="s">
        <v>1995</v>
      </c>
    </row>
    <row r="548" spans="1:10" ht="15" customHeight="1" x14ac:dyDescent="0.25">
      <c r="A548" t="s">
        <v>1996</v>
      </c>
      <c r="B548">
        <v>2021</v>
      </c>
      <c r="C548" t="s">
        <v>222</v>
      </c>
      <c r="D548" t="b">
        <f>TRUE()</f>
        <v>1</v>
      </c>
      <c r="E548" t="b">
        <f>COUNTIF(connections!A:A, A548) &gt; 0</f>
        <v>1</v>
      </c>
      <c r="F548" t="s">
        <v>1986</v>
      </c>
      <c r="G548" t="s">
        <v>1997</v>
      </c>
      <c r="H548" t="s">
        <v>187</v>
      </c>
      <c r="I548" t="s">
        <v>1998</v>
      </c>
    </row>
    <row r="549" spans="1:10" ht="15" customHeight="1" x14ac:dyDescent="0.25">
      <c r="A549" t="s">
        <v>1999</v>
      </c>
      <c r="B549">
        <v>2026</v>
      </c>
      <c r="C549" t="s">
        <v>222</v>
      </c>
      <c r="D549" t="b">
        <f>TRUE()</f>
        <v>1</v>
      </c>
      <c r="E549" t="b">
        <f>COUNTIF(connections!A:A, A549) &gt; 0</f>
        <v>0</v>
      </c>
      <c r="F549" t="s">
        <v>1986</v>
      </c>
      <c r="G549" t="s">
        <v>2000</v>
      </c>
      <c r="H549" t="s">
        <v>187</v>
      </c>
      <c r="I549" t="s">
        <v>2001</v>
      </c>
    </row>
    <row r="550" spans="1:10" ht="15" customHeight="1" x14ac:dyDescent="0.25">
      <c r="A550" t="s">
        <v>2002</v>
      </c>
      <c r="B550">
        <v>2009</v>
      </c>
      <c r="C550" t="s">
        <v>179</v>
      </c>
      <c r="D550" t="b">
        <f>TRUE()</f>
        <v>1</v>
      </c>
      <c r="E550" t="b">
        <f>COUNTIF(connections!A:A, A550) &gt; 0</f>
        <v>0</v>
      </c>
      <c r="F550" t="s">
        <v>1986</v>
      </c>
      <c r="G550" t="s">
        <v>2003</v>
      </c>
      <c r="H550" t="s">
        <v>187</v>
      </c>
      <c r="I550" t="s">
        <v>2004</v>
      </c>
    </row>
    <row r="551" spans="1:10" ht="15" customHeight="1" x14ac:dyDescent="0.25">
      <c r="A551" t="s">
        <v>2005</v>
      </c>
      <c r="B551">
        <v>2007</v>
      </c>
      <c r="C551" t="s">
        <v>179</v>
      </c>
      <c r="D551" t="b">
        <f>TRUE()</f>
        <v>1</v>
      </c>
      <c r="E551" t="b">
        <f>COUNTIF(connections!A:A, A551) &gt; 0</f>
        <v>1</v>
      </c>
      <c r="F551" t="s">
        <v>1986</v>
      </c>
      <c r="G551" t="s">
        <v>2006</v>
      </c>
      <c r="H551" t="s">
        <v>187</v>
      </c>
      <c r="I551" t="s">
        <v>2007</v>
      </c>
    </row>
    <row r="552" spans="1:10" ht="15" customHeight="1" x14ac:dyDescent="0.25">
      <c r="A552" t="s">
        <v>2008</v>
      </c>
      <c r="B552">
        <v>2012</v>
      </c>
      <c r="C552" t="s">
        <v>179</v>
      </c>
      <c r="D552" t="b">
        <f>TRUE()</f>
        <v>1</v>
      </c>
      <c r="E552" t="b">
        <f>COUNTIF(connections!A:A, A552) &gt; 0</f>
        <v>0</v>
      </c>
      <c r="F552" t="s">
        <v>1986</v>
      </c>
      <c r="G552" t="s">
        <v>2009</v>
      </c>
    </row>
    <row r="553" spans="1:10" ht="15" customHeight="1" x14ac:dyDescent="0.25">
      <c r="A553" t="s">
        <v>2010</v>
      </c>
      <c r="B553">
        <v>2005</v>
      </c>
      <c r="C553" t="s">
        <v>179</v>
      </c>
      <c r="D553" t="b">
        <f>TRUE()</f>
        <v>1</v>
      </c>
      <c r="E553" t="b">
        <f>COUNTIF(connections!A:A, A553) &gt; 0</f>
        <v>1</v>
      </c>
      <c r="F553" t="s">
        <v>1986</v>
      </c>
      <c r="G553" t="s">
        <v>2011</v>
      </c>
      <c r="H553" t="s">
        <v>187</v>
      </c>
      <c r="I553" t="s">
        <v>2012</v>
      </c>
    </row>
    <row r="554" spans="1:10" ht="15" customHeight="1" x14ac:dyDescent="0.25">
      <c r="A554" t="s">
        <v>2013</v>
      </c>
      <c r="B554">
        <v>2020</v>
      </c>
      <c r="C554" t="s">
        <v>179</v>
      </c>
      <c r="D554" t="b">
        <f>TRUE()</f>
        <v>1</v>
      </c>
      <c r="E554" t="b">
        <f>COUNTIF(connections!A:A, A554) &gt; 0</f>
        <v>0</v>
      </c>
      <c r="F554" t="s">
        <v>1986</v>
      </c>
      <c r="G554" t="s">
        <v>2014</v>
      </c>
    </row>
    <row r="555" spans="1:10" ht="15" customHeight="1" x14ac:dyDescent="0.25">
      <c r="A555" t="s">
        <v>2015</v>
      </c>
      <c r="B555">
        <v>2015</v>
      </c>
      <c r="C555" t="s">
        <v>179</v>
      </c>
      <c r="D555" t="b">
        <f>TRUE()</f>
        <v>1</v>
      </c>
      <c r="E555" t="b">
        <f>COUNTIF(connections!A:A, A555) &gt; 0</f>
        <v>0</v>
      </c>
      <c r="F555" t="s">
        <v>1986</v>
      </c>
      <c r="G555" t="s">
        <v>2016</v>
      </c>
    </row>
    <row r="556" spans="1:10" ht="15" customHeight="1" x14ac:dyDescent="0.25">
      <c r="A556" t="s">
        <v>2017</v>
      </c>
      <c r="B556">
        <v>2024</v>
      </c>
      <c r="C556" t="s">
        <v>222</v>
      </c>
      <c r="D556" t="b">
        <f>TRUE()</f>
        <v>1</v>
      </c>
      <c r="E556" t="b">
        <f>COUNTIF(connections!A:A, A556) &gt; 0</f>
        <v>1</v>
      </c>
      <c r="F556" t="s">
        <v>1986</v>
      </c>
      <c r="G556" t="s">
        <v>2018</v>
      </c>
    </row>
    <row r="557" spans="1:10" ht="15" customHeight="1" x14ac:dyDescent="0.25">
      <c r="A557" t="s">
        <v>2019</v>
      </c>
      <c r="B557">
        <v>2025</v>
      </c>
      <c r="C557" t="s">
        <v>222</v>
      </c>
      <c r="D557" t="b">
        <f>TRUE()</f>
        <v>1</v>
      </c>
      <c r="E557" t="b">
        <f>COUNTIF(connections!A:A, A557) &gt; 0</f>
        <v>0</v>
      </c>
      <c r="F557" t="s">
        <v>1986</v>
      </c>
      <c r="G557" t="s">
        <v>2020</v>
      </c>
      <c r="H557" t="s">
        <v>187</v>
      </c>
      <c r="I557" t="s">
        <v>2021</v>
      </c>
    </row>
    <row r="558" spans="1:10" ht="15" customHeight="1" x14ac:dyDescent="0.25">
      <c r="A558" t="s">
        <v>2022</v>
      </c>
      <c r="B558">
        <v>2020</v>
      </c>
      <c r="C558" t="s">
        <v>222</v>
      </c>
      <c r="D558" t="b">
        <f>TRUE()</f>
        <v>1</v>
      </c>
      <c r="E558" t="b">
        <f>COUNTIF(connections!A:A, A558) &gt; 0</f>
        <v>1</v>
      </c>
      <c r="G558" t="s">
        <v>2023</v>
      </c>
    </row>
    <row r="559" spans="1:10" ht="15" customHeight="1" x14ac:dyDescent="0.25">
      <c r="A559" t="s">
        <v>2024</v>
      </c>
      <c r="B559">
        <v>2003</v>
      </c>
      <c r="C559" t="s">
        <v>179</v>
      </c>
      <c r="D559" t="b">
        <f>TRUE()</f>
        <v>1</v>
      </c>
      <c r="E559" t="b">
        <f>COUNTIF(connections!A:A, A559) &gt; 0</f>
        <v>1</v>
      </c>
      <c r="G559" t="s">
        <v>2025</v>
      </c>
      <c r="H559" t="s">
        <v>187</v>
      </c>
      <c r="I559" t="s">
        <v>2026</v>
      </c>
    </row>
    <row r="560" spans="1:10" ht="15" customHeight="1" x14ac:dyDescent="0.25">
      <c r="A560" t="s">
        <v>2027</v>
      </c>
      <c r="B560">
        <v>2024</v>
      </c>
      <c r="C560" t="s">
        <v>176</v>
      </c>
      <c r="D560" t="b">
        <f>TRUE()</f>
        <v>1</v>
      </c>
      <c r="E560" t="b">
        <f>COUNTIF(connections!A:A, A560) &gt; 0</f>
        <v>0</v>
      </c>
      <c r="G560" t="s">
        <v>2028</v>
      </c>
    </row>
    <row r="561" spans="1:10" ht="15" customHeight="1" x14ac:dyDescent="0.25">
      <c r="A561" t="s">
        <v>2029</v>
      </c>
      <c r="B561">
        <v>2026</v>
      </c>
      <c r="C561" t="s">
        <v>222</v>
      </c>
      <c r="D561" t="b">
        <f>TRUE()</f>
        <v>1</v>
      </c>
      <c r="E561" t="b">
        <f>COUNTIF(connections!A:A, A561) &gt; 0</f>
        <v>0</v>
      </c>
      <c r="F561" t="s">
        <v>731</v>
      </c>
      <c r="G561" t="s">
        <v>2030</v>
      </c>
      <c r="J561" s="1" t="s">
        <v>2031</v>
      </c>
    </row>
    <row r="562" spans="1:10" ht="15" customHeight="1" x14ac:dyDescent="0.25">
      <c r="A562" t="s">
        <v>2032</v>
      </c>
      <c r="B562">
        <v>2022</v>
      </c>
      <c r="C562" t="s">
        <v>176</v>
      </c>
      <c r="D562" t="b">
        <f>TRUE()</f>
        <v>1</v>
      </c>
      <c r="E562" t="b">
        <f>COUNTIF(connections!A:A, A562) &gt; 0</f>
        <v>0</v>
      </c>
      <c r="G562" t="s">
        <v>2033</v>
      </c>
      <c r="H562" t="s">
        <v>187</v>
      </c>
      <c r="I562" t="s">
        <v>2034</v>
      </c>
      <c r="J562" s="1" t="s">
        <v>2035</v>
      </c>
    </row>
    <row r="563" spans="1:10" ht="15" customHeight="1" x14ac:dyDescent="0.25">
      <c r="A563" t="s">
        <v>2036</v>
      </c>
      <c r="B563">
        <v>2023</v>
      </c>
      <c r="C563" t="s">
        <v>179</v>
      </c>
      <c r="D563" t="b">
        <f>TRUE()</f>
        <v>1</v>
      </c>
      <c r="E563" t="b">
        <f>COUNTIF(connections!A:A, A563) &gt; 0</f>
        <v>0</v>
      </c>
      <c r="G563" t="s">
        <v>2037</v>
      </c>
      <c r="H563" t="s">
        <v>187</v>
      </c>
      <c r="I563" t="s">
        <v>2038</v>
      </c>
      <c r="J563" s="1" t="s">
        <v>2039</v>
      </c>
    </row>
    <row r="564" spans="1:10" ht="15" customHeight="1" x14ac:dyDescent="0.25">
      <c r="A564" t="s">
        <v>2040</v>
      </c>
      <c r="B564">
        <v>2014</v>
      </c>
      <c r="C564" t="s">
        <v>179</v>
      </c>
      <c r="D564" t="b">
        <f>TRUE()</f>
        <v>1</v>
      </c>
      <c r="E564" t="b">
        <f>COUNTIF(connections!A:A, A564) &gt; 0</f>
        <v>0</v>
      </c>
      <c r="G564" t="s">
        <v>2041</v>
      </c>
      <c r="H564" t="s">
        <v>187</v>
      </c>
      <c r="I564" t="s">
        <v>2042</v>
      </c>
      <c r="J564" s="1" t="s">
        <v>2043</v>
      </c>
    </row>
    <row r="565" spans="1:10" ht="15" customHeight="1" x14ac:dyDescent="0.25">
      <c r="A565" t="s">
        <v>2044</v>
      </c>
      <c r="B565">
        <v>2024</v>
      </c>
      <c r="C565" t="s">
        <v>176</v>
      </c>
      <c r="D565" t="b">
        <f>FALSE()</f>
        <v>0</v>
      </c>
      <c r="E565" t="b">
        <f>COUNTIF(connections!A:A, A565) &gt; 0</f>
        <v>0</v>
      </c>
      <c r="G565" t="s">
        <v>2045</v>
      </c>
    </row>
    <row r="566" spans="1:10" ht="15" customHeight="1" x14ac:dyDescent="0.25">
      <c r="A566" t="s">
        <v>2046</v>
      </c>
      <c r="B566">
        <v>2026</v>
      </c>
      <c r="C566" t="s">
        <v>182</v>
      </c>
      <c r="D566" t="b">
        <f>TRUE()</f>
        <v>1</v>
      </c>
      <c r="E566" t="b">
        <f>COUNTIF(connections!A:A, A566) &gt; 0</f>
        <v>0</v>
      </c>
      <c r="F566" t="s">
        <v>354</v>
      </c>
      <c r="G566" t="s">
        <v>2047</v>
      </c>
      <c r="H566" t="s">
        <v>187</v>
      </c>
      <c r="I566" t="s">
        <v>2048</v>
      </c>
      <c r="J566" s="1" t="s">
        <v>2049</v>
      </c>
    </row>
    <row r="567" spans="1:10" ht="15" customHeight="1" x14ac:dyDescent="0.25">
      <c r="A567" t="s">
        <v>2050</v>
      </c>
      <c r="B567">
        <v>2024</v>
      </c>
      <c r="C567" t="s">
        <v>222</v>
      </c>
      <c r="D567" t="b">
        <f>TRUE()</f>
        <v>1</v>
      </c>
      <c r="E567" t="b">
        <f>COUNTIF(connections!A:A, A567) &gt; 0</f>
        <v>0</v>
      </c>
      <c r="G567" t="s">
        <v>2051</v>
      </c>
      <c r="H567" t="s">
        <v>187</v>
      </c>
      <c r="I567" t="s">
        <v>2052</v>
      </c>
      <c r="J567" s="1" t="s">
        <v>2053</v>
      </c>
    </row>
    <row r="568" spans="1:10" ht="15" customHeight="1" x14ac:dyDescent="0.25">
      <c r="A568" t="s">
        <v>2054</v>
      </c>
      <c r="B568">
        <v>1992</v>
      </c>
      <c r="C568" t="s">
        <v>179</v>
      </c>
      <c r="D568" t="b">
        <f>TRUE()</f>
        <v>1</v>
      </c>
      <c r="E568" t="b">
        <f>COUNTIF(connections!A:A, A568) &gt; 0</f>
        <v>1</v>
      </c>
      <c r="G568" t="s">
        <v>2055</v>
      </c>
      <c r="H568" t="s">
        <v>187</v>
      </c>
      <c r="I568" t="s">
        <v>2056</v>
      </c>
    </row>
    <row r="569" spans="1:10" ht="15" customHeight="1" x14ac:dyDescent="0.25">
      <c r="A569" t="s">
        <v>2057</v>
      </c>
      <c r="B569">
        <v>2024</v>
      </c>
      <c r="C569" t="s">
        <v>176</v>
      </c>
      <c r="D569" t="b">
        <f>TRUE()</f>
        <v>1</v>
      </c>
      <c r="E569" t="b">
        <f>COUNTIF(connections!A:A, A569) &gt; 0</f>
        <v>0</v>
      </c>
      <c r="G569" t="s">
        <v>2058</v>
      </c>
    </row>
    <row r="570" spans="1:10" ht="15" customHeight="1" x14ac:dyDescent="0.25">
      <c r="A570" t="s">
        <v>2059</v>
      </c>
      <c r="B570">
        <v>2015</v>
      </c>
      <c r="C570" t="s">
        <v>176</v>
      </c>
      <c r="D570" t="b">
        <f>TRUE()</f>
        <v>1</v>
      </c>
      <c r="E570" t="b">
        <f>COUNTIF(connections!A:A, A570) &gt; 0</f>
        <v>0</v>
      </c>
      <c r="G570" t="s">
        <v>2060</v>
      </c>
      <c r="J570" s="11" t="s">
        <v>2061</v>
      </c>
    </row>
    <row r="571" spans="1:10" ht="15" customHeight="1" x14ac:dyDescent="0.25">
      <c r="A571" t="s">
        <v>2062</v>
      </c>
      <c r="B571">
        <v>2019</v>
      </c>
      <c r="C571" t="s">
        <v>182</v>
      </c>
      <c r="D571" t="b">
        <f>TRUE()</f>
        <v>1</v>
      </c>
      <c r="E571" t="b">
        <f>COUNTIF(connections!A:A, A571) &gt; 0</f>
        <v>0</v>
      </c>
      <c r="G571" t="s">
        <v>2063</v>
      </c>
      <c r="H571" t="s">
        <v>187</v>
      </c>
      <c r="I571" t="s">
        <v>2064</v>
      </c>
      <c r="J571" s="1" t="s">
        <v>2065</v>
      </c>
    </row>
    <row r="572" spans="1:10" ht="15" customHeight="1" x14ac:dyDescent="0.25">
      <c r="A572" t="s">
        <v>2066</v>
      </c>
      <c r="B572">
        <v>2023</v>
      </c>
      <c r="C572" t="s">
        <v>176</v>
      </c>
      <c r="D572" t="b">
        <f>TRUE()</f>
        <v>1</v>
      </c>
      <c r="E572" t="b">
        <f>COUNTIF(connections!A:A, A572) &gt; 0</f>
        <v>1</v>
      </c>
      <c r="G572" t="s">
        <v>2067</v>
      </c>
      <c r="H572" t="s">
        <v>187</v>
      </c>
      <c r="I572" t="s">
        <v>2068</v>
      </c>
      <c r="J572" s="1" t="s">
        <v>2069</v>
      </c>
    </row>
    <row r="573" spans="1:10" ht="15" customHeight="1" x14ac:dyDescent="0.25">
      <c r="A573" t="s">
        <v>2070</v>
      </c>
      <c r="B573">
        <v>2025</v>
      </c>
      <c r="C573" t="s">
        <v>176</v>
      </c>
      <c r="D573" t="b">
        <f>TRUE()</f>
        <v>1</v>
      </c>
      <c r="E573" t="b">
        <f>COUNTIF(connections!A:A, A573) &gt; 0</f>
        <v>0</v>
      </c>
      <c r="F573" t="s">
        <v>274</v>
      </c>
      <c r="G573" t="s">
        <v>2071</v>
      </c>
    </row>
    <row r="574" spans="1:10" ht="15" customHeight="1" x14ac:dyDescent="0.25">
      <c r="A574" t="s">
        <v>2072</v>
      </c>
      <c r="B574">
        <v>2024</v>
      </c>
      <c r="C574" t="s">
        <v>176</v>
      </c>
      <c r="D574" t="b">
        <f>TRUE()</f>
        <v>1</v>
      </c>
      <c r="E574" t="b">
        <f>COUNTIF(connections!A:A, A574) &gt; 0</f>
        <v>0</v>
      </c>
      <c r="G574" t="s">
        <v>2073</v>
      </c>
    </row>
    <row r="575" spans="1:10" ht="15" customHeight="1" x14ac:dyDescent="0.25">
      <c r="A575" t="s">
        <v>2074</v>
      </c>
      <c r="B575">
        <v>2010</v>
      </c>
      <c r="C575" t="s">
        <v>176</v>
      </c>
      <c r="D575" t="b">
        <f>TRUE()</f>
        <v>1</v>
      </c>
      <c r="E575" t="b">
        <f>COUNTIF(connections!A:A, A575) &gt; 0</f>
        <v>1</v>
      </c>
      <c r="G575" t="s">
        <v>2075</v>
      </c>
      <c r="H575" t="s">
        <v>187</v>
      </c>
      <c r="I575" t="s">
        <v>2076</v>
      </c>
      <c r="J575" s="1" t="s">
        <v>2077</v>
      </c>
    </row>
    <row r="576" spans="1:10" ht="15" customHeight="1" x14ac:dyDescent="0.25">
      <c r="A576" t="s">
        <v>2078</v>
      </c>
      <c r="B576">
        <v>2012</v>
      </c>
      <c r="C576" t="s">
        <v>176</v>
      </c>
      <c r="D576" t="b">
        <f>TRUE()</f>
        <v>1</v>
      </c>
      <c r="E576" t="b">
        <f>COUNTIF(connections!A:A, A576) &gt; 0</f>
        <v>0</v>
      </c>
      <c r="G576" t="s">
        <v>2079</v>
      </c>
      <c r="H576" t="s">
        <v>187</v>
      </c>
      <c r="I576" t="s">
        <v>2080</v>
      </c>
    </row>
    <row r="577" spans="1:10" ht="15" customHeight="1" x14ac:dyDescent="0.25">
      <c r="A577" t="s">
        <v>2081</v>
      </c>
      <c r="B577">
        <v>2015</v>
      </c>
      <c r="C577" t="s">
        <v>222</v>
      </c>
      <c r="D577" t="b">
        <f>TRUE()</f>
        <v>1</v>
      </c>
      <c r="E577" t="b">
        <f>COUNTIF(connections!A:A, A577) &gt; 0</f>
        <v>1</v>
      </c>
      <c r="G577" t="s">
        <v>2082</v>
      </c>
      <c r="H577" t="s">
        <v>187</v>
      </c>
      <c r="I577" t="s">
        <v>2083</v>
      </c>
      <c r="J577" s="11" t="s">
        <v>2084</v>
      </c>
    </row>
    <row r="578" spans="1:10" ht="15" customHeight="1" x14ac:dyDescent="0.25">
      <c r="A578" t="s">
        <v>2085</v>
      </c>
      <c r="B578">
        <v>2022</v>
      </c>
      <c r="C578" t="s">
        <v>176</v>
      </c>
      <c r="D578" t="b">
        <f>TRUE()</f>
        <v>1</v>
      </c>
      <c r="E578" t="b">
        <f>COUNTIF(connections!A:A, A578) &gt; 0</f>
        <v>0</v>
      </c>
      <c r="G578" t="s">
        <v>2086</v>
      </c>
      <c r="H578" t="s">
        <v>187</v>
      </c>
      <c r="I578" t="s">
        <v>2087</v>
      </c>
      <c r="J578" s="1" t="s">
        <v>2088</v>
      </c>
    </row>
    <row r="579" spans="1:10" ht="15" customHeight="1" x14ac:dyDescent="0.25">
      <c r="A579" t="s">
        <v>2089</v>
      </c>
      <c r="B579">
        <v>2025</v>
      </c>
      <c r="C579" t="s">
        <v>182</v>
      </c>
      <c r="D579" t="b">
        <f>TRUE()</f>
        <v>1</v>
      </c>
      <c r="E579" t="b">
        <f>COUNTIF(connections!A:A, A579) &gt; 0</f>
        <v>0</v>
      </c>
      <c r="G579" t="s">
        <v>2090</v>
      </c>
      <c r="J579" s="11" t="s">
        <v>2091</v>
      </c>
    </row>
    <row r="580" spans="1:10" ht="15" customHeight="1" x14ac:dyDescent="0.25">
      <c r="A580" t="s">
        <v>2092</v>
      </c>
      <c r="B580">
        <v>2023</v>
      </c>
      <c r="C580" t="s">
        <v>176</v>
      </c>
      <c r="D580" t="b">
        <f>TRUE()</f>
        <v>1</v>
      </c>
      <c r="E580" t="b">
        <f>COUNTIF(connections!A:A, A580) &gt; 0</f>
        <v>0</v>
      </c>
      <c r="G580" t="s">
        <v>2093</v>
      </c>
      <c r="H580" t="s">
        <v>187</v>
      </c>
      <c r="I580" t="s">
        <v>2094</v>
      </c>
      <c r="J580" s="1" t="s">
        <v>2095</v>
      </c>
    </row>
    <row r="581" spans="1:10" ht="15" customHeight="1" x14ac:dyDescent="0.25">
      <c r="A581" t="s">
        <v>2096</v>
      </c>
      <c r="B581">
        <v>2023</v>
      </c>
      <c r="C581" t="s">
        <v>176</v>
      </c>
      <c r="D581" t="b">
        <f>TRUE()</f>
        <v>1</v>
      </c>
      <c r="E581" t="b">
        <f>COUNTIF(connections!A:A, A581) &gt; 0</f>
        <v>1</v>
      </c>
      <c r="G581" t="s">
        <v>2097</v>
      </c>
      <c r="H581" t="s">
        <v>187</v>
      </c>
      <c r="I581" t="s">
        <v>2098</v>
      </c>
      <c r="J581" s="1" t="s">
        <v>2099</v>
      </c>
    </row>
    <row r="582" spans="1:10" ht="15" customHeight="1" x14ac:dyDescent="0.25">
      <c r="A582" t="s">
        <v>2100</v>
      </c>
      <c r="B582">
        <v>2021</v>
      </c>
      <c r="C582" t="s">
        <v>176</v>
      </c>
      <c r="D582" t="b">
        <f>TRUE()</f>
        <v>1</v>
      </c>
      <c r="E582" t="b">
        <f>COUNTIF(connections!A:A, A582) &gt; 0</f>
        <v>0</v>
      </c>
      <c r="G582" t="s">
        <v>2101</v>
      </c>
      <c r="H582" t="s">
        <v>187</v>
      </c>
      <c r="I582" t="s">
        <v>2102</v>
      </c>
      <c r="J582" s="1" t="s">
        <v>2103</v>
      </c>
    </row>
    <row r="583" spans="1:10" ht="15" customHeight="1" x14ac:dyDescent="0.25">
      <c r="A583" t="s">
        <v>2104</v>
      </c>
      <c r="B583">
        <v>2025</v>
      </c>
      <c r="C583" t="s">
        <v>176</v>
      </c>
      <c r="D583" t="b">
        <f>TRUE()</f>
        <v>1</v>
      </c>
      <c r="E583" t="b">
        <f>COUNTIF(connections!A:A, A583) &gt; 0</f>
        <v>0</v>
      </c>
      <c r="F583" t="s">
        <v>399</v>
      </c>
      <c r="G583" t="s">
        <v>2105</v>
      </c>
      <c r="H583" t="s">
        <v>187</v>
      </c>
      <c r="I583" t="s">
        <v>2106</v>
      </c>
      <c r="J583" s="1" t="s">
        <v>2107</v>
      </c>
    </row>
    <row r="584" spans="1:10" ht="15" customHeight="1" x14ac:dyDescent="0.25">
      <c r="A584" t="s">
        <v>2108</v>
      </c>
      <c r="B584">
        <v>2020</v>
      </c>
      <c r="C584" t="s">
        <v>179</v>
      </c>
      <c r="D584" t="b">
        <f>TRUE()</f>
        <v>1</v>
      </c>
      <c r="E584" t="b">
        <f>COUNTIF(connections!A:A, A584) &gt; 0</f>
        <v>1</v>
      </c>
      <c r="G584" t="s">
        <v>2109</v>
      </c>
      <c r="H584" t="s">
        <v>187</v>
      </c>
      <c r="I584" t="s">
        <v>2110</v>
      </c>
      <c r="J584" s="1" t="s">
        <v>2111</v>
      </c>
    </row>
    <row r="585" spans="1:10" ht="15" customHeight="1" x14ac:dyDescent="0.25">
      <c r="A585" t="s">
        <v>2112</v>
      </c>
      <c r="B585">
        <v>2024</v>
      </c>
      <c r="C585" t="s">
        <v>179</v>
      </c>
      <c r="D585" t="b">
        <f>TRUE()</f>
        <v>1</v>
      </c>
      <c r="E585" t="b">
        <f>COUNTIF(connections!A:A, A585) &gt; 0</f>
        <v>1</v>
      </c>
      <c r="G585" t="s">
        <v>2113</v>
      </c>
      <c r="H585" t="s">
        <v>187</v>
      </c>
      <c r="I585" t="s">
        <v>2114</v>
      </c>
      <c r="J585" s="1" t="s">
        <v>2115</v>
      </c>
    </row>
    <row r="586" spans="1:10" ht="15" customHeight="1" x14ac:dyDescent="0.25">
      <c r="A586" t="s">
        <v>2116</v>
      </c>
      <c r="B586">
        <v>2026</v>
      </c>
      <c r="C586" t="s">
        <v>179</v>
      </c>
      <c r="D586" t="b">
        <f>TRUE()</f>
        <v>1</v>
      </c>
      <c r="E586" t="b">
        <f>COUNTIF(connections!A:A, A586) &gt; 0</f>
        <v>0</v>
      </c>
      <c r="G586" t="s">
        <v>2117</v>
      </c>
      <c r="J586" s="1" t="s">
        <v>2118</v>
      </c>
    </row>
    <row r="587" spans="1:10" ht="15" customHeight="1" x14ac:dyDescent="0.25">
      <c r="A587" t="s">
        <v>2119</v>
      </c>
      <c r="B587">
        <v>2022</v>
      </c>
      <c r="C587" t="s">
        <v>182</v>
      </c>
      <c r="D587" t="b">
        <f>TRUE()</f>
        <v>1</v>
      </c>
      <c r="E587" t="b">
        <f>COUNTIF(connections!A:A, A587) &gt; 0</f>
        <v>0</v>
      </c>
      <c r="G587" t="s">
        <v>2120</v>
      </c>
      <c r="H587" t="s">
        <v>187</v>
      </c>
      <c r="I587" t="s">
        <v>2121</v>
      </c>
      <c r="J587" s="1" t="s">
        <v>2122</v>
      </c>
    </row>
    <row r="588" spans="1:10" ht="15" customHeight="1" x14ac:dyDescent="0.25">
      <c r="A588" t="s">
        <v>2123</v>
      </c>
      <c r="B588">
        <v>2020</v>
      </c>
      <c r="C588" t="s">
        <v>222</v>
      </c>
      <c r="D588" t="b">
        <f>TRUE()</f>
        <v>1</v>
      </c>
      <c r="E588" t="b">
        <f>COUNTIF(connections!A:A, A588) &gt; 0</f>
        <v>1</v>
      </c>
      <c r="G588" t="s">
        <v>2124</v>
      </c>
      <c r="H588" t="s">
        <v>187</v>
      </c>
      <c r="I588" t="s">
        <v>2125</v>
      </c>
      <c r="J588" s="1" t="s">
        <v>2126</v>
      </c>
    </row>
    <row r="589" spans="1:10" ht="15" customHeight="1" x14ac:dyDescent="0.25">
      <c r="A589" t="s">
        <v>2127</v>
      </c>
      <c r="B589">
        <v>2025</v>
      </c>
      <c r="C589" t="s">
        <v>182</v>
      </c>
      <c r="D589" t="b">
        <f>FALSE()</f>
        <v>0</v>
      </c>
      <c r="E589" t="b">
        <f>COUNTIF(connections!A:A, A589) &gt; 0</f>
        <v>0</v>
      </c>
      <c r="G589" t="s">
        <v>2128</v>
      </c>
      <c r="H589" t="s">
        <v>187</v>
      </c>
      <c r="I589" t="s">
        <v>2129</v>
      </c>
      <c r="J589" s="1" t="s">
        <v>2130</v>
      </c>
    </row>
    <row r="590" spans="1:10" ht="15" customHeight="1" x14ac:dyDescent="0.25">
      <c r="A590" t="s">
        <v>2131</v>
      </c>
      <c r="B590">
        <v>2017</v>
      </c>
      <c r="C590" t="s">
        <v>176</v>
      </c>
      <c r="D590" t="b">
        <f>TRUE()</f>
        <v>1</v>
      </c>
      <c r="E590" t="b">
        <f>COUNTIF(connections!A:A, A590) &gt; 0</f>
        <v>1</v>
      </c>
      <c r="G590" t="s">
        <v>2132</v>
      </c>
    </row>
    <row r="591" spans="1:10" ht="15" customHeight="1" x14ac:dyDescent="0.25">
      <c r="A591" t="s">
        <v>2133</v>
      </c>
      <c r="B591">
        <v>2013</v>
      </c>
      <c r="C591" t="s">
        <v>176</v>
      </c>
      <c r="D591" t="b">
        <f>TRUE()</f>
        <v>1</v>
      </c>
      <c r="E591" t="b">
        <f>COUNTIF(connections!A:A, A591) &gt; 0</f>
        <v>1</v>
      </c>
      <c r="F591" t="s">
        <v>274</v>
      </c>
      <c r="G591" t="s">
        <v>2134</v>
      </c>
      <c r="H591" t="s">
        <v>187</v>
      </c>
      <c r="I591" t="s">
        <v>2135</v>
      </c>
      <c r="J591" s="1" t="s">
        <v>2136</v>
      </c>
    </row>
    <row r="592" spans="1:10" ht="15" customHeight="1" x14ac:dyDescent="0.25">
      <c r="A592" t="s">
        <v>2137</v>
      </c>
      <c r="B592">
        <v>2020</v>
      </c>
      <c r="C592" t="s">
        <v>176</v>
      </c>
      <c r="D592" t="b">
        <f>TRUE()</f>
        <v>1</v>
      </c>
      <c r="E592" t="b">
        <f>COUNTIF(connections!A:A, A592) &gt; 0</f>
        <v>1</v>
      </c>
      <c r="F592" t="s">
        <v>274</v>
      </c>
      <c r="G592" t="s">
        <v>2138</v>
      </c>
      <c r="H592" t="s">
        <v>187</v>
      </c>
      <c r="I592" t="s">
        <v>2139</v>
      </c>
      <c r="J592" s="1" t="s">
        <v>2140</v>
      </c>
    </row>
    <row r="593" spans="1:10" ht="15" customHeight="1" x14ac:dyDescent="0.25">
      <c r="A593" t="s">
        <v>2141</v>
      </c>
      <c r="B593">
        <v>2023</v>
      </c>
      <c r="C593" t="s">
        <v>176</v>
      </c>
      <c r="D593" t="b">
        <f>TRUE()</f>
        <v>1</v>
      </c>
      <c r="E593" t="b">
        <f>COUNTIF(connections!A:A, A593) &gt; 0</f>
        <v>0</v>
      </c>
      <c r="F593" t="s">
        <v>274</v>
      </c>
      <c r="G593" t="s">
        <v>2142</v>
      </c>
      <c r="H593" t="s">
        <v>187</v>
      </c>
      <c r="I593" t="s">
        <v>2143</v>
      </c>
      <c r="J593" s="1" t="s">
        <v>2144</v>
      </c>
    </row>
    <row r="594" spans="1:10" ht="15" customHeight="1" x14ac:dyDescent="0.25">
      <c r="A594" t="s">
        <v>2145</v>
      </c>
      <c r="B594">
        <v>2014</v>
      </c>
      <c r="C594" t="s">
        <v>222</v>
      </c>
      <c r="D594" t="b">
        <f>TRUE()</f>
        <v>1</v>
      </c>
      <c r="E594" t="b">
        <f>COUNTIF(connections!A:A, A594) &gt; 0</f>
        <v>0</v>
      </c>
      <c r="G594" t="s">
        <v>2146</v>
      </c>
    </row>
    <row r="595" spans="1:10" ht="15" customHeight="1" x14ac:dyDescent="0.25">
      <c r="A595" t="s">
        <v>2147</v>
      </c>
      <c r="B595">
        <v>2020</v>
      </c>
      <c r="C595" t="s">
        <v>176</v>
      </c>
      <c r="D595" t="b">
        <f>TRUE()</f>
        <v>1</v>
      </c>
      <c r="E595" t="b">
        <f>COUNTIF(connections!A:A, A595) &gt; 0</f>
        <v>1</v>
      </c>
      <c r="G595" t="s">
        <v>2148</v>
      </c>
      <c r="H595" t="s">
        <v>187</v>
      </c>
      <c r="I595" t="s">
        <v>2149</v>
      </c>
      <c r="J595" s="1" t="s">
        <v>2150</v>
      </c>
    </row>
    <row r="596" spans="1:10" ht="15" customHeight="1" x14ac:dyDescent="0.25">
      <c r="A596" t="s">
        <v>2151</v>
      </c>
      <c r="B596">
        <v>2024</v>
      </c>
      <c r="C596" t="s">
        <v>176</v>
      </c>
      <c r="D596" t="b">
        <f>TRUE()</f>
        <v>1</v>
      </c>
      <c r="E596" t="b">
        <f>COUNTIF(connections!A:A, A596) &gt; 0</f>
        <v>0</v>
      </c>
      <c r="F596" t="s">
        <v>274</v>
      </c>
      <c r="G596" t="s">
        <v>2152</v>
      </c>
      <c r="H596" t="s">
        <v>187</v>
      </c>
      <c r="I596" t="s">
        <v>2153</v>
      </c>
      <c r="J596" s="1" t="s">
        <v>2154</v>
      </c>
    </row>
    <row r="597" spans="1:10" ht="15" customHeight="1" x14ac:dyDescent="0.25">
      <c r="A597" t="s">
        <v>2155</v>
      </c>
      <c r="B597">
        <v>1980</v>
      </c>
      <c r="C597" t="s">
        <v>179</v>
      </c>
      <c r="D597" t="b">
        <f>TRUE()</f>
        <v>1</v>
      </c>
      <c r="E597" t="b">
        <f>COUNTIF(connections!A:A, A597) &gt; 0</f>
        <v>1</v>
      </c>
      <c r="G597" t="s">
        <v>2156</v>
      </c>
      <c r="H597" t="s">
        <v>187</v>
      </c>
      <c r="I597" t="s">
        <v>2157</v>
      </c>
      <c r="J597" s="1" t="s">
        <v>2158</v>
      </c>
    </row>
    <row r="598" spans="1:10" ht="15" customHeight="1" x14ac:dyDescent="0.25">
      <c r="A598" t="s">
        <v>2159</v>
      </c>
      <c r="B598">
        <v>2024</v>
      </c>
      <c r="C598" t="s">
        <v>222</v>
      </c>
      <c r="D598" t="b">
        <f>TRUE()</f>
        <v>1</v>
      </c>
      <c r="E598" t="b">
        <f>COUNTIF(connections!A:A, A598) &gt; 0</f>
        <v>0</v>
      </c>
      <c r="G598" t="s">
        <v>2160</v>
      </c>
    </row>
    <row r="599" spans="1:10" ht="15" customHeight="1" x14ac:dyDescent="0.25">
      <c r="A599" t="s">
        <v>2161</v>
      </c>
      <c r="B599">
        <v>2019</v>
      </c>
      <c r="C599" t="s">
        <v>179</v>
      </c>
      <c r="D599" t="b">
        <f>TRUE()</f>
        <v>1</v>
      </c>
      <c r="E599" t="b">
        <f>COUNTIF(connections!A:A, A599) &gt; 0</f>
        <v>0</v>
      </c>
      <c r="G599" t="s">
        <v>2162</v>
      </c>
    </row>
    <row r="600" spans="1:10" ht="15" customHeight="1" x14ac:dyDescent="0.25">
      <c r="A600" t="s">
        <v>2163</v>
      </c>
      <c r="B600">
        <v>2026</v>
      </c>
      <c r="C600" t="s">
        <v>176</v>
      </c>
      <c r="D600" t="b">
        <f>TRUE()</f>
        <v>1</v>
      </c>
      <c r="E600" t="b">
        <f>COUNTIF(connections!A:A, A600) &gt; 0</f>
        <v>0</v>
      </c>
      <c r="G600" t="s">
        <v>2164</v>
      </c>
    </row>
    <row r="601" spans="1:10" ht="15" customHeight="1" x14ac:dyDescent="0.25">
      <c r="A601" t="s">
        <v>2165</v>
      </c>
      <c r="B601">
        <v>2024</v>
      </c>
      <c r="C601" t="s">
        <v>176</v>
      </c>
      <c r="D601" t="b">
        <f>FALSE()</f>
        <v>0</v>
      </c>
      <c r="E601" t="b">
        <f>COUNTIF(connections!A:A, A601) &gt; 0</f>
        <v>0</v>
      </c>
      <c r="F601" t="s">
        <v>274</v>
      </c>
      <c r="G601" t="s">
        <v>2166</v>
      </c>
    </row>
    <row r="602" spans="1:10" ht="15" customHeight="1" x14ac:dyDescent="0.25">
      <c r="A602" t="s">
        <v>2167</v>
      </c>
      <c r="B602">
        <v>2007</v>
      </c>
      <c r="C602" t="s">
        <v>179</v>
      </c>
      <c r="D602" t="b">
        <f>TRUE()</f>
        <v>1</v>
      </c>
      <c r="E602" t="b">
        <f>COUNTIF(connections!A:A, A602) &gt; 0</f>
        <v>0</v>
      </c>
      <c r="G602" t="s">
        <v>2168</v>
      </c>
      <c r="H602" t="s">
        <v>187</v>
      </c>
      <c r="I602" t="s">
        <v>2169</v>
      </c>
    </row>
    <row r="603" spans="1:10" ht="15" customHeight="1" x14ac:dyDescent="0.25">
      <c r="A603" t="s">
        <v>2170</v>
      </c>
      <c r="B603">
        <v>2021</v>
      </c>
      <c r="C603" t="s">
        <v>176</v>
      </c>
      <c r="D603" t="b">
        <f>TRUE()</f>
        <v>1</v>
      </c>
      <c r="E603" t="b">
        <f>COUNTIF(connections!A:A, A603) &gt; 0</f>
        <v>0</v>
      </c>
      <c r="G603" t="s">
        <v>2171</v>
      </c>
      <c r="H603" t="s">
        <v>187</v>
      </c>
      <c r="I603" t="s">
        <v>2172</v>
      </c>
      <c r="J603" s="1" t="s">
        <v>2173</v>
      </c>
    </row>
    <row r="604" spans="1:10" ht="15" customHeight="1" x14ac:dyDescent="0.25">
      <c r="A604" t="s">
        <v>2174</v>
      </c>
      <c r="B604">
        <v>2013</v>
      </c>
      <c r="C604" t="s">
        <v>176</v>
      </c>
      <c r="D604" t="b">
        <f>TRUE()</f>
        <v>1</v>
      </c>
      <c r="E604" t="b">
        <f>COUNTIF(connections!A:A, A604) &gt; 0</f>
        <v>1</v>
      </c>
      <c r="G604" t="s">
        <v>2175</v>
      </c>
      <c r="H604" t="s">
        <v>187</v>
      </c>
      <c r="I604" t="s">
        <v>2176</v>
      </c>
      <c r="J604" s="1" t="s">
        <v>2177</v>
      </c>
    </row>
    <row r="605" spans="1:10" ht="15" customHeight="1" x14ac:dyDescent="0.25">
      <c r="A605" t="s">
        <v>2178</v>
      </c>
      <c r="B605">
        <v>2020</v>
      </c>
      <c r="C605" t="s">
        <v>176</v>
      </c>
      <c r="D605" t="b">
        <f>TRUE()</f>
        <v>1</v>
      </c>
      <c r="E605" t="b">
        <f>COUNTIF(connections!A:A, A605) &gt; 0</f>
        <v>0</v>
      </c>
      <c r="G605" t="s">
        <v>2179</v>
      </c>
      <c r="H605" t="s">
        <v>187</v>
      </c>
      <c r="I605" t="s">
        <v>2180</v>
      </c>
      <c r="J605" s="1" t="s">
        <v>2181</v>
      </c>
    </row>
    <row r="606" spans="1:10" ht="15" customHeight="1" x14ac:dyDescent="0.25">
      <c r="A606" t="s">
        <v>2182</v>
      </c>
      <c r="B606">
        <v>2021</v>
      </c>
      <c r="C606" t="s">
        <v>222</v>
      </c>
      <c r="D606" t="b">
        <f>TRUE()</f>
        <v>1</v>
      </c>
      <c r="E606" t="b">
        <f>COUNTIF(connections!A:A, A606) &gt; 0</f>
        <v>0</v>
      </c>
      <c r="F606" t="s">
        <v>1806</v>
      </c>
      <c r="G606" t="s">
        <v>2183</v>
      </c>
      <c r="H606" t="s">
        <v>187</v>
      </c>
      <c r="I606" t="s">
        <v>2184</v>
      </c>
      <c r="J606" s="1" t="s">
        <v>2185</v>
      </c>
    </row>
    <row r="607" spans="1:10" ht="15" customHeight="1" x14ac:dyDescent="0.25">
      <c r="A607" t="s">
        <v>2186</v>
      </c>
      <c r="B607">
        <v>2022</v>
      </c>
      <c r="C607" t="s">
        <v>222</v>
      </c>
      <c r="D607" t="b">
        <f>TRUE()</f>
        <v>1</v>
      </c>
      <c r="E607" t="b">
        <f>COUNTIF(connections!A:A, A607) &gt; 0</f>
        <v>1</v>
      </c>
      <c r="F607" t="s">
        <v>404</v>
      </c>
      <c r="G607" t="s">
        <v>2187</v>
      </c>
    </row>
    <row r="608" spans="1:10" ht="15" customHeight="1" x14ac:dyDescent="0.25">
      <c r="A608" t="s">
        <v>2188</v>
      </c>
      <c r="B608">
        <v>2024</v>
      </c>
      <c r="C608" t="s">
        <v>182</v>
      </c>
      <c r="D608" t="b">
        <v>1</v>
      </c>
      <c r="E608" t="b">
        <f>COUNTIF(connections!A:A, A608) &gt; 0</f>
        <v>0</v>
      </c>
      <c r="G608" t="s">
        <v>2189</v>
      </c>
      <c r="J608" s="11" t="s">
        <v>2190</v>
      </c>
    </row>
    <row r="609" spans="1:10" ht="15" customHeight="1" x14ac:dyDescent="0.25">
      <c r="A609" t="s">
        <v>2191</v>
      </c>
      <c r="B609">
        <v>2016</v>
      </c>
      <c r="C609" t="s">
        <v>222</v>
      </c>
      <c r="D609" t="b">
        <v>1</v>
      </c>
      <c r="E609" t="b">
        <f>COUNTIF(connections!A:A, A609) &gt; 0</f>
        <v>0</v>
      </c>
      <c r="G609" t="s">
        <v>2192</v>
      </c>
    </row>
    <row r="610" spans="1:10" ht="15" customHeight="1" x14ac:dyDescent="0.25">
      <c r="A610" t="s">
        <v>2193</v>
      </c>
      <c r="B610">
        <v>2022</v>
      </c>
      <c r="C610" t="s">
        <v>176</v>
      </c>
      <c r="D610" t="b">
        <f>TRUE()</f>
        <v>1</v>
      </c>
      <c r="E610" t="b">
        <f>COUNTIF(connections!A:A, A610) &gt; 0</f>
        <v>0</v>
      </c>
      <c r="G610" t="s">
        <v>2194</v>
      </c>
      <c r="H610" t="s">
        <v>187</v>
      </c>
      <c r="I610" t="s">
        <v>2195</v>
      </c>
      <c r="J610" s="1" t="s">
        <v>2196</v>
      </c>
    </row>
    <row r="611" spans="1:10" ht="15" customHeight="1" x14ac:dyDescent="0.25">
      <c r="A611" t="s">
        <v>2197</v>
      </c>
      <c r="B611">
        <v>2021</v>
      </c>
      <c r="C611" t="s">
        <v>182</v>
      </c>
      <c r="D611" t="b">
        <f>TRUE()</f>
        <v>1</v>
      </c>
      <c r="E611" t="b">
        <f>COUNTIF(connections!A:A, A611) &gt; 0</f>
        <v>1</v>
      </c>
      <c r="G611" t="s">
        <v>2198</v>
      </c>
      <c r="H611" t="s">
        <v>187</v>
      </c>
      <c r="I611" t="s">
        <v>2199</v>
      </c>
      <c r="J611" s="1" t="s">
        <v>2200</v>
      </c>
    </row>
    <row r="612" spans="1:10" ht="15" customHeight="1" x14ac:dyDescent="0.25">
      <c r="A612" t="s">
        <v>2201</v>
      </c>
      <c r="B612">
        <v>2023</v>
      </c>
      <c r="C612" t="s">
        <v>179</v>
      </c>
      <c r="D612" t="b">
        <f>TRUE()</f>
        <v>1</v>
      </c>
      <c r="E612" t="b">
        <f>COUNTIF(connections!A:A, A612) &gt; 0</f>
        <v>0</v>
      </c>
      <c r="G612" t="s">
        <v>2202</v>
      </c>
    </row>
    <row r="613" spans="1:10" ht="15" customHeight="1" x14ac:dyDescent="0.25">
      <c r="A613" t="s">
        <v>2203</v>
      </c>
      <c r="B613">
        <v>2026</v>
      </c>
      <c r="C613" t="s">
        <v>182</v>
      </c>
      <c r="D613" t="b">
        <f>TRUE()</f>
        <v>1</v>
      </c>
      <c r="E613" t="b">
        <f>COUNTIF(connections!A:A, A613) &gt; 0</f>
        <v>0</v>
      </c>
      <c r="F613" t="s">
        <v>354</v>
      </c>
      <c r="G613" t="s">
        <v>2204</v>
      </c>
    </row>
    <row r="614" spans="1:10" ht="15" customHeight="1" x14ac:dyDescent="0.25">
      <c r="A614" t="s">
        <v>2205</v>
      </c>
      <c r="B614">
        <v>2014</v>
      </c>
      <c r="C614" t="s">
        <v>179</v>
      </c>
      <c r="D614" t="b">
        <f>TRUE()</f>
        <v>1</v>
      </c>
      <c r="E614" t="b">
        <f>COUNTIF(connections!A:A, A614) &gt; 0</f>
        <v>0</v>
      </c>
      <c r="G614" t="s">
        <v>2206</v>
      </c>
      <c r="J614" s="1" t="s">
        <v>2207</v>
      </c>
    </row>
    <row r="615" spans="1:10" ht="15" customHeight="1" x14ac:dyDescent="0.25">
      <c r="A615" t="s">
        <v>2208</v>
      </c>
      <c r="B615">
        <v>2022</v>
      </c>
      <c r="C615" t="s">
        <v>222</v>
      </c>
      <c r="D615" t="b">
        <f>FALSE()</f>
        <v>0</v>
      </c>
      <c r="E615" t="b">
        <f>COUNTIF(connections!A:A, A615) &gt; 0</f>
        <v>0</v>
      </c>
      <c r="G615" t="s">
        <v>2209</v>
      </c>
      <c r="H615" t="s">
        <v>187</v>
      </c>
      <c r="I615" t="s">
        <v>2210</v>
      </c>
      <c r="J615" s="1" t="s">
        <v>2211</v>
      </c>
    </row>
    <row r="616" spans="1:10" ht="15" customHeight="1" x14ac:dyDescent="0.25">
      <c r="A616" t="s">
        <v>2212</v>
      </c>
      <c r="B616">
        <v>2021</v>
      </c>
      <c r="C616" t="s">
        <v>222</v>
      </c>
      <c r="D616" t="b">
        <f>TRUE()</f>
        <v>1</v>
      </c>
      <c r="E616" t="b">
        <f>COUNTIF(connections!A:A, A616) &gt; 0</f>
        <v>1</v>
      </c>
      <c r="F616" t="s">
        <v>315</v>
      </c>
      <c r="G616" t="s">
        <v>2213</v>
      </c>
      <c r="H616" t="s">
        <v>187</v>
      </c>
      <c r="I616" t="s">
        <v>2214</v>
      </c>
      <c r="J616" s="1" t="s">
        <v>2215</v>
      </c>
    </row>
    <row r="617" spans="1:10" ht="15" customHeight="1" x14ac:dyDescent="0.25">
      <c r="A617" t="s">
        <v>2216</v>
      </c>
      <c r="B617">
        <v>2024</v>
      </c>
      <c r="C617" t="s">
        <v>222</v>
      </c>
      <c r="D617" t="b">
        <f>TRUE()</f>
        <v>1</v>
      </c>
      <c r="E617" t="b">
        <f>COUNTIF(connections!A:A, A617) &gt; 0</f>
        <v>0</v>
      </c>
      <c r="F617" t="s">
        <v>315</v>
      </c>
      <c r="G617" t="s">
        <v>2217</v>
      </c>
      <c r="H617" t="s">
        <v>187</v>
      </c>
      <c r="I617" t="s">
        <v>2218</v>
      </c>
      <c r="J617" s="1" t="s">
        <v>2219</v>
      </c>
    </row>
    <row r="618" spans="1:10" ht="15" customHeight="1" x14ac:dyDescent="0.25">
      <c r="A618" t="s">
        <v>2220</v>
      </c>
      <c r="B618">
        <v>2026</v>
      </c>
      <c r="C618" t="s">
        <v>182</v>
      </c>
      <c r="D618" t="b">
        <v>1</v>
      </c>
      <c r="E618" t="b">
        <f>COUNTIF(connections!A:A, A618) &gt; 0</f>
        <v>0</v>
      </c>
      <c r="G618" t="s">
        <v>2221</v>
      </c>
      <c r="J618" s="11" t="s">
        <v>2222</v>
      </c>
    </row>
    <row r="619" spans="1:10" ht="15" customHeight="1" x14ac:dyDescent="0.25">
      <c r="A619" t="s">
        <v>2223</v>
      </c>
      <c r="B619">
        <v>2025</v>
      </c>
      <c r="C619" t="s">
        <v>182</v>
      </c>
      <c r="D619" t="b">
        <f>TRUE()</f>
        <v>1</v>
      </c>
      <c r="E619" t="b">
        <f>COUNTIF(connections!A:A, A619) &gt; 0</f>
        <v>0</v>
      </c>
      <c r="F619" t="s">
        <v>354</v>
      </c>
      <c r="G619" t="s">
        <v>2224</v>
      </c>
      <c r="J619" s="11" t="s">
        <v>2225</v>
      </c>
    </row>
    <row r="620" spans="1:10" ht="15" customHeight="1" x14ac:dyDescent="0.25">
      <c r="A620" t="s">
        <v>2226</v>
      </c>
      <c r="B620">
        <v>2021</v>
      </c>
      <c r="C620" t="s">
        <v>176</v>
      </c>
      <c r="D620" t="b">
        <f>FALSE()</f>
        <v>0</v>
      </c>
      <c r="E620" t="b">
        <f>COUNTIF(connections!A:A, A620) &gt; 0</f>
        <v>0</v>
      </c>
      <c r="G620" t="s">
        <v>2227</v>
      </c>
      <c r="H620" t="s">
        <v>187</v>
      </c>
      <c r="I620" t="s">
        <v>2228</v>
      </c>
      <c r="J620" s="1" t="s">
        <v>2229</v>
      </c>
    </row>
    <row r="621" spans="1:10" ht="15" customHeight="1" x14ac:dyDescent="0.25">
      <c r="A621" t="s">
        <v>2230</v>
      </c>
      <c r="B621">
        <v>2026</v>
      </c>
      <c r="C621" t="s">
        <v>182</v>
      </c>
      <c r="D621" t="b">
        <f>TRUE()</f>
        <v>1</v>
      </c>
      <c r="E621" t="b">
        <f>COUNTIF(connections!A:A, A621) &gt; 0</f>
        <v>0</v>
      </c>
      <c r="F621" t="s">
        <v>315</v>
      </c>
      <c r="G621" t="s">
        <v>2231</v>
      </c>
      <c r="J621" s="11" t="s">
        <v>2232</v>
      </c>
    </row>
    <row r="622" spans="1:10" ht="15" customHeight="1" x14ac:dyDescent="0.25">
      <c r="A622" t="s">
        <v>2233</v>
      </c>
      <c r="B622">
        <v>2025</v>
      </c>
      <c r="C622" t="s">
        <v>182</v>
      </c>
      <c r="D622" t="b">
        <f>TRUE()</f>
        <v>1</v>
      </c>
      <c r="E622" t="b">
        <f>COUNTIF(connections!A:A, A622) &gt; 0</f>
        <v>0</v>
      </c>
      <c r="G622" t="s">
        <v>2234</v>
      </c>
      <c r="H622" t="s">
        <v>187</v>
      </c>
      <c r="I622" t="s">
        <v>2235</v>
      </c>
      <c r="J622" s="1" t="s">
        <v>2236</v>
      </c>
    </row>
    <row r="623" spans="1:10" ht="15" customHeight="1" x14ac:dyDescent="0.25">
      <c r="A623" t="s">
        <v>2237</v>
      </c>
      <c r="B623">
        <v>2026</v>
      </c>
      <c r="C623" t="s">
        <v>182</v>
      </c>
      <c r="D623" t="b">
        <f>TRUE()</f>
        <v>1</v>
      </c>
      <c r="E623" t="b">
        <f>COUNTIF(connections!A:A, A623) &gt; 0</f>
        <v>0</v>
      </c>
      <c r="G623" t="s">
        <v>2238</v>
      </c>
      <c r="J623" s="11" t="s">
        <v>2239</v>
      </c>
    </row>
    <row r="624" spans="1:10" ht="15" customHeight="1" x14ac:dyDescent="0.25">
      <c r="A624" t="s">
        <v>2240</v>
      </c>
      <c r="B624">
        <v>2023</v>
      </c>
      <c r="C624" t="s">
        <v>182</v>
      </c>
      <c r="D624" t="b">
        <f>TRUE()</f>
        <v>1</v>
      </c>
      <c r="E624" t="b">
        <f>COUNTIF(connections!A:A, A624) &gt; 0</f>
        <v>0</v>
      </c>
      <c r="G624" t="s">
        <v>2241</v>
      </c>
      <c r="J624" s="11" t="s">
        <v>2242</v>
      </c>
    </row>
    <row r="625" spans="1:10" ht="15" customHeight="1" x14ac:dyDescent="0.25">
      <c r="A625" t="s">
        <v>2243</v>
      </c>
      <c r="B625">
        <v>2010</v>
      </c>
      <c r="C625" t="s">
        <v>179</v>
      </c>
      <c r="D625" t="b">
        <f>TRUE()</f>
        <v>1</v>
      </c>
      <c r="E625" t="b">
        <f>COUNTIF(connections!A:A, A625) &gt; 0</f>
        <v>0</v>
      </c>
      <c r="F625" t="s">
        <v>328</v>
      </c>
      <c r="G625" t="s">
        <v>2244</v>
      </c>
    </row>
    <row r="626" spans="1:10" ht="15" customHeight="1" x14ac:dyDescent="0.25">
      <c r="A626" t="s">
        <v>2245</v>
      </c>
      <c r="B626">
        <v>2024</v>
      </c>
      <c r="C626" t="s">
        <v>176</v>
      </c>
      <c r="D626" t="b">
        <f>TRUE()</f>
        <v>1</v>
      </c>
      <c r="E626" t="b">
        <f>COUNTIF(connections!A:A, A626) &gt; 0</f>
        <v>0</v>
      </c>
      <c r="G626" t="s">
        <v>2246</v>
      </c>
      <c r="J626" s="11" t="s">
        <v>2247</v>
      </c>
    </row>
    <row r="627" spans="1:10" ht="15" customHeight="1" x14ac:dyDescent="0.25">
      <c r="A627" t="s">
        <v>2248</v>
      </c>
      <c r="B627">
        <v>2022</v>
      </c>
      <c r="C627" t="s">
        <v>176</v>
      </c>
      <c r="D627" t="b">
        <f>TRUE()</f>
        <v>1</v>
      </c>
      <c r="E627" t="b">
        <f>COUNTIF(connections!A:A, A627) &gt; 0</f>
        <v>0</v>
      </c>
      <c r="G627" t="s">
        <v>2249</v>
      </c>
      <c r="H627" t="s">
        <v>187</v>
      </c>
      <c r="I627" t="s">
        <v>2250</v>
      </c>
      <c r="J627" s="1" t="s">
        <v>2251</v>
      </c>
    </row>
    <row r="628" spans="1:10" ht="15" customHeight="1" x14ac:dyDescent="0.25">
      <c r="A628" t="s">
        <v>2252</v>
      </c>
      <c r="B628">
        <v>2023</v>
      </c>
      <c r="C628" t="s">
        <v>176</v>
      </c>
      <c r="D628" t="b">
        <v>1</v>
      </c>
      <c r="E628" t="b">
        <f>COUNTIF(connections!A:A, A628) &gt; 0</f>
        <v>0</v>
      </c>
      <c r="G628" t="s">
        <v>2253</v>
      </c>
      <c r="J628" s="11" t="s">
        <v>2254</v>
      </c>
    </row>
    <row r="629" spans="1:10" ht="15" customHeight="1" x14ac:dyDescent="0.25">
      <c r="A629" t="s">
        <v>2255</v>
      </c>
      <c r="B629">
        <v>2020</v>
      </c>
      <c r="C629" t="s">
        <v>176</v>
      </c>
      <c r="D629" t="b">
        <f>TRUE()</f>
        <v>1</v>
      </c>
      <c r="E629" t="b">
        <f>COUNTIF(connections!A:A, A629) &gt; 0</f>
        <v>1</v>
      </c>
      <c r="G629" t="s">
        <v>2256</v>
      </c>
      <c r="H629" t="s">
        <v>187</v>
      </c>
      <c r="I629" t="s">
        <v>2257</v>
      </c>
      <c r="J629" s="1" t="s">
        <v>2258</v>
      </c>
    </row>
    <row r="630" spans="1:10" ht="15" customHeight="1" x14ac:dyDescent="0.25">
      <c r="A630" t="s">
        <v>2259</v>
      </c>
      <c r="B630">
        <v>2023</v>
      </c>
      <c r="C630" t="s">
        <v>176</v>
      </c>
      <c r="D630" t="b">
        <f>TRUE()</f>
        <v>1</v>
      </c>
      <c r="E630" t="b">
        <f>COUNTIF(connections!A:A, A630) &gt; 0</f>
        <v>0</v>
      </c>
      <c r="F630" t="s">
        <v>652</v>
      </c>
      <c r="G630" t="s">
        <v>2260</v>
      </c>
    </row>
    <row r="631" spans="1:10" ht="15" customHeight="1" x14ac:dyDescent="0.25">
      <c r="A631" t="s">
        <v>2261</v>
      </c>
      <c r="B631">
        <v>2023</v>
      </c>
      <c r="C631" t="s">
        <v>176</v>
      </c>
      <c r="D631" t="b">
        <f>FALSE()</f>
        <v>0</v>
      </c>
      <c r="E631" t="b">
        <f>COUNTIF(connections!A:A, A631) &gt; 0</f>
        <v>0</v>
      </c>
      <c r="G631" t="s">
        <v>2262</v>
      </c>
      <c r="H631" t="s">
        <v>187</v>
      </c>
      <c r="I631" t="s">
        <v>2263</v>
      </c>
      <c r="J631" s="1" t="s">
        <v>2264</v>
      </c>
    </row>
    <row r="632" spans="1:10" ht="15" customHeight="1" x14ac:dyDescent="0.25">
      <c r="A632" t="s">
        <v>2265</v>
      </c>
      <c r="B632">
        <v>2025</v>
      </c>
      <c r="C632" t="s">
        <v>222</v>
      </c>
      <c r="D632" t="b">
        <f>TRUE()</f>
        <v>1</v>
      </c>
      <c r="E632" t="b">
        <f>COUNTIF(connections!A:A, A632) &gt; 0</f>
        <v>0</v>
      </c>
      <c r="G632" t="s">
        <v>2266</v>
      </c>
      <c r="J632" s="1" t="s">
        <v>2267</v>
      </c>
    </row>
    <row r="633" spans="1:10" ht="15" customHeight="1" x14ac:dyDescent="0.25">
      <c r="A633" t="s">
        <v>2268</v>
      </c>
      <c r="B633">
        <v>2025</v>
      </c>
      <c r="C633" t="s">
        <v>176</v>
      </c>
      <c r="D633" t="b">
        <f>TRUE()</f>
        <v>1</v>
      </c>
      <c r="E633" t="b">
        <f>COUNTIF(connections!A:A, A633) &gt; 0</f>
        <v>0</v>
      </c>
      <c r="G633" t="s">
        <v>2269</v>
      </c>
    </row>
    <row r="634" spans="1:10" ht="15" customHeight="1" x14ac:dyDescent="0.25">
      <c r="A634" t="s">
        <v>2270</v>
      </c>
      <c r="B634">
        <v>2022</v>
      </c>
      <c r="C634" t="s">
        <v>176</v>
      </c>
      <c r="D634" t="b">
        <f>TRUE()</f>
        <v>1</v>
      </c>
      <c r="E634" t="b">
        <f>COUNTIF(connections!A:A, A634) &gt; 0</f>
        <v>1</v>
      </c>
      <c r="G634" t="s">
        <v>2271</v>
      </c>
      <c r="H634" t="s">
        <v>187</v>
      </c>
      <c r="I634" t="s">
        <v>2272</v>
      </c>
      <c r="J634" s="1" t="s">
        <v>2273</v>
      </c>
    </row>
    <row r="635" spans="1:10" ht="15" customHeight="1" x14ac:dyDescent="0.25">
      <c r="A635" t="s">
        <v>2274</v>
      </c>
      <c r="B635">
        <v>2026</v>
      </c>
      <c r="C635" t="s">
        <v>176</v>
      </c>
      <c r="D635" t="b">
        <f>TRUE()</f>
        <v>1</v>
      </c>
      <c r="E635" t="b">
        <f>COUNTIF(connections!A:A, A635) &gt; 0</f>
        <v>0</v>
      </c>
      <c r="G635" t="s">
        <v>2275</v>
      </c>
      <c r="J635" s="11" t="s">
        <v>2276</v>
      </c>
    </row>
    <row r="636" spans="1:10" ht="15" customHeight="1" x14ac:dyDescent="0.25">
      <c r="A636" t="s">
        <v>2277</v>
      </c>
      <c r="B636">
        <v>2015</v>
      </c>
      <c r="C636" t="s">
        <v>179</v>
      </c>
      <c r="D636" t="b">
        <f>TRUE()</f>
        <v>1</v>
      </c>
      <c r="E636" t="b">
        <f>COUNTIF(connections!A:A, A636) &gt; 0</f>
        <v>0</v>
      </c>
      <c r="G636" t="s">
        <v>2278</v>
      </c>
      <c r="H636" t="s">
        <v>187</v>
      </c>
      <c r="I636" t="s">
        <v>2279</v>
      </c>
    </row>
    <row r="637" spans="1:10" ht="15" customHeight="1" x14ac:dyDescent="0.25">
      <c r="A637" t="s">
        <v>2280</v>
      </c>
      <c r="B637">
        <v>2025</v>
      </c>
      <c r="C637" t="s">
        <v>222</v>
      </c>
      <c r="D637" t="b">
        <f>TRUE()</f>
        <v>1</v>
      </c>
      <c r="E637" t="b">
        <f>COUNTIF(connections!A:A, A637) &gt; 0</f>
        <v>0</v>
      </c>
      <c r="G637" t="s">
        <v>2281</v>
      </c>
    </row>
    <row r="638" spans="1:10" ht="15" customHeight="1" x14ac:dyDescent="0.25">
      <c r="A638" t="s">
        <v>2282</v>
      </c>
      <c r="B638">
        <v>2025</v>
      </c>
      <c r="C638" t="s">
        <v>176</v>
      </c>
      <c r="D638" t="b">
        <f>TRUE()</f>
        <v>1</v>
      </c>
      <c r="E638" t="b">
        <f>COUNTIF(connections!A:A, A638) &gt; 0</f>
        <v>0</v>
      </c>
      <c r="G638" t="s">
        <v>2283</v>
      </c>
    </row>
    <row r="639" spans="1:10" ht="15" customHeight="1" x14ac:dyDescent="0.25">
      <c r="A639" t="s">
        <v>2284</v>
      </c>
      <c r="B639">
        <v>2023</v>
      </c>
      <c r="C639" t="s">
        <v>176</v>
      </c>
      <c r="D639" t="b">
        <f>TRUE()</f>
        <v>1</v>
      </c>
      <c r="E639" t="b">
        <f>COUNTIF(connections!A:A, A639) &gt; 0</f>
        <v>0</v>
      </c>
      <c r="G639" t="s">
        <v>2285</v>
      </c>
      <c r="J639" s="11" t="s">
        <v>2286</v>
      </c>
    </row>
    <row r="640" spans="1:10" ht="15" customHeight="1" x14ac:dyDescent="0.25">
      <c r="A640" t="s">
        <v>2287</v>
      </c>
      <c r="B640">
        <v>2014</v>
      </c>
      <c r="C640" t="s">
        <v>179</v>
      </c>
      <c r="D640" t="b">
        <f>TRUE()</f>
        <v>1</v>
      </c>
      <c r="E640" t="b">
        <f>COUNTIF(connections!A:A, A640) &gt; 0</f>
        <v>1</v>
      </c>
      <c r="G640" t="s">
        <v>2288</v>
      </c>
    </row>
    <row r="641" spans="1:10" ht="15" customHeight="1" x14ac:dyDescent="0.25">
      <c r="A641" t="s">
        <v>2289</v>
      </c>
      <c r="B641">
        <v>2022</v>
      </c>
      <c r="C641" t="s">
        <v>176</v>
      </c>
      <c r="D641" t="b">
        <f>TRUE()</f>
        <v>1</v>
      </c>
      <c r="E641" t="b">
        <f>COUNTIF(connections!A:A, A641) &gt; 0</f>
        <v>0</v>
      </c>
      <c r="F641" t="s">
        <v>652</v>
      </c>
      <c r="G641" t="s">
        <v>2290</v>
      </c>
      <c r="H641" t="s">
        <v>187</v>
      </c>
      <c r="I641" t="s">
        <v>2291</v>
      </c>
      <c r="J641" s="1" t="s">
        <v>2292</v>
      </c>
    </row>
    <row r="642" spans="1:10" ht="15" customHeight="1" x14ac:dyDescent="0.25">
      <c r="A642" t="s">
        <v>2293</v>
      </c>
      <c r="B642">
        <v>2008</v>
      </c>
      <c r="C642" t="s">
        <v>179</v>
      </c>
      <c r="D642" t="b">
        <f>TRUE()</f>
        <v>1</v>
      </c>
      <c r="E642" t="b">
        <f>COUNTIF(connections!A:A, A642) &gt; 0</f>
        <v>1</v>
      </c>
      <c r="G642" t="s">
        <v>2294</v>
      </c>
      <c r="H642" t="s">
        <v>187</v>
      </c>
      <c r="I642" t="s">
        <v>2295</v>
      </c>
    </row>
    <row r="643" spans="1:10" ht="15" customHeight="1" x14ac:dyDescent="0.25">
      <c r="A643" t="s">
        <v>2296</v>
      </c>
      <c r="B643">
        <v>2000</v>
      </c>
      <c r="C643" t="s">
        <v>179</v>
      </c>
      <c r="D643" t="b">
        <f>TRUE()</f>
        <v>1</v>
      </c>
      <c r="E643" t="b">
        <f>COUNTIF(connections!A:A, A643) &gt; 0</f>
        <v>1</v>
      </c>
      <c r="G643" t="s">
        <v>2297</v>
      </c>
      <c r="H643" t="s">
        <v>187</v>
      </c>
      <c r="I643" t="s">
        <v>2298</v>
      </c>
    </row>
    <row r="644" spans="1:10" ht="15" customHeight="1" x14ac:dyDescent="0.25">
      <c r="A644" t="s">
        <v>2299</v>
      </c>
      <c r="B644">
        <v>2010</v>
      </c>
      <c r="C644" t="s">
        <v>179</v>
      </c>
      <c r="D644" t="b">
        <f>TRUE()</f>
        <v>1</v>
      </c>
      <c r="E644" t="b">
        <f>COUNTIF(connections!A:A, A644) &gt; 0</f>
        <v>1</v>
      </c>
      <c r="G644" t="s">
        <v>2300</v>
      </c>
      <c r="H644" t="s">
        <v>187</v>
      </c>
      <c r="I644" t="s">
        <v>2301</v>
      </c>
    </row>
    <row r="645" spans="1:10" ht="15" customHeight="1" x14ac:dyDescent="0.25">
      <c r="A645" t="s">
        <v>2302</v>
      </c>
      <c r="B645">
        <v>2002</v>
      </c>
      <c r="C645" t="s">
        <v>179</v>
      </c>
      <c r="D645" t="b">
        <f>TRUE()</f>
        <v>1</v>
      </c>
      <c r="E645" t="b">
        <f>COUNTIF(connections!A:A, A645) &gt; 0</f>
        <v>0</v>
      </c>
      <c r="G645" t="s">
        <v>2303</v>
      </c>
      <c r="H645" t="s">
        <v>187</v>
      </c>
      <c r="I645" t="s">
        <v>2304</v>
      </c>
    </row>
    <row r="646" spans="1:10" ht="15" customHeight="1" x14ac:dyDescent="0.25">
      <c r="A646" t="s">
        <v>2305</v>
      </c>
      <c r="B646">
        <v>1996</v>
      </c>
      <c r="C646" t="s">
        <v>179</v>
      </c>
      <c r="D646" t="b">
        <f>TRUE()</f>
        <v>1</v>
      </c>
      <c r="E646" t="b">
        <f>COUNTIF(connections!A:A, A646) &gt; 0</f>
        <v>1</v>
      </c>
      <c r="G646" t="s">
        <v>2306</v>
      </c>
      <c r="H646" t="s">
        <v>187</v>
      </c>
      <c r="I646" t="s">
        <v>2307</v>
      </c>
    </row>
    <row r="647" spans="1:10" ht="15" customHeight="1" x14ac:dyDescent="0.25">
      <c r="A647" t="s">
        <v>2308</v>
      </c>
      <c r="B647">
        <v>2001</v>
      </c>
      <c r="C647" t="s">
        <v>179</v>
      </c>
      <c r="D647" t="b">
        <f>TRUE()</f>
        <v>1</v>
      </c>
      <c r="E647" t="b">
        <f>COUNTIF(connections!A:A, A647) &gt; 0</f>
        <v>0</v>
      </c>
      <c r="G647" t="s">
        <v>2309</v>
      </c>
      <c r="H647" t="s">
        <v>187</v>
      </c>
      <c r="I647" t="s">
        <v>2310</v>
      </c>
    </row>
    <row r="648" spans="1:10" ht="15" customHeight="1" x14ac:dyDescent="0.25">
      <c r="A648" t="s">
        <v>2311</v>
      </c>
      <c r="B648">
        <v>2024</v>
      </c>
      <c r="C648" t="s">
        <v>179</v>
      </c>
      <c r="D648" t="b">
        <f>TRUE()</f>
        <v>1</v>
      </c>
      <c r="E648" t="b">
        <f>COUNTIF(connections!A:A, A648) &gt; 0</f>
        <v>0</v>
      </c>
      <c r="G648" t="s">
        <v>2312</v>
      </c>
      <c r="H648" t="s">
        <v>187</v>
      </c>
      <c r="I648" t="s">
        <v>2313</v>
      </c>
      <c r="J648" s="1" t="s">
        <v>2314</v>
      </c>
    </row>
    <row r="649" spans="1:10" ht="15" customHeight="1" x14ac:dyDescent="0.25">
      <c r="A649" t="s">
        <v>2315</v>
      </c>
      <c r="B649">
        <v>2010</v>
      </c>
      <c r="C649" t="s">
        <v>179</v>
      </c>
      <c r="D649" t="b">
        <f>TRUE()</f>
        <v>1</v>
      </c>
      <c r="E649" t="b">
        <f>COUNTIF(connections!A:A, A649) &gt; 0</f>
        <v>1</v>
      </c>
      <c r="G649" t="s">
        <v>2316</v>
      </c>
      <c r="H649" t="s">
        <v>187</v>
      </c>
      <c r="I649" t="s">
        <v>2317</v>
      </c>
      <c r="J649" s="1" t="s">
        <v>2318</v>
      </c>
    </row>
    <row r="650" spans="1:10" ht="15" customHeight="1" x14ac:dyDescent="0.25">
      <c r="A650" t="s">
        <v>2319</v>
      </c>
      <c r="B650">
        <v>2023</v>
      </c>
      <c r="C650" t="s">
        <v>222</v>
      </c>
      <c r="D650" t="b">
        <f>TRUE()</f>
        <v>1</v>
      </c>
      <c r="E650" t="b">
        <f>COUNTIF(connections!A:A, A650) &gt; 0</f>
        <v>1</v>
      </c>
      <c r="G650" t="s">
        <v>2320</v>
      </c>
      <c r="H650" t="s">
        <v>187</v>
      </c>
      <c r="I650" t="s">
        <v>2321</v>
      </c>
      <c r="J650" s="1" t="s">
        <v>2322</v>
      </c>
    </row>
    <row r="651" spans="1:10" ht="15" customHeight="1" x14ac:dyDescent="0.25">
      <c r="A651" t="s">
        <v>2323</v>
      </c>
      <c r="B651">
        <v>2010</v>
      </c>
      <c r="C651" t="s">
        <v>176</v>
      </c>
      <c r="D651" t="b">
        <f>TRUE()</f>
        <v>1</v>
      </c>
      <c r="E651" t="b">
        <f>COUNTIF(connections!A:A, A651) &gt; 0</f>
        <v>1</v>
      </c>
      <c r="G651" t="s">
        <v>2324</v>
      </c>
    </row>
    <row r="652" spans="1:10" ht="15" customHeight="1" x14ac:dyDescent="0.25">
      <c r="A652" t="s">
        <v>2325</v>
      </c>
      <c r="B652">
        <v>2022</v>
      </c>
      <c r="C652" t="s">
        <v>222</v>
      </c>
      <c r="D652" t="b">
        <f>TRUE()</f>
        <v>1</v>
      </c>
      <c r="E652" t="b">
        <f>COUNTIF(connections!A:A, A652) &gt; 0</f>
        <v>1</v>
      </c>
      <c r="F652" t="s">
        <v>1165</v>
      </c>
      <c r="G652" t="s">
        <v>2326</v>
      </c>
      <c r="H652" t="s">
        <v>187</v>
      </c>
      <c r="I652" t="s">
        <v>2327</v>
      </c>
      <c r="J652" s="1" t="s">
        <v>2328</v>
      </c>
    </row>
    <row r="653" spans="1:10" ht="15" customHeight="1" x14ac:dyDescent="0.25">
      <c r="A653" t="s">
        <v>2329</v>
      </c>
      <c r="B653">
        <v>2022</v>
      </c>
      <c r="C653" t="s">
        <v>176</v>
      </c>
      <c r="D653" t="b">
        <f>TRUE()</f>
        <v>1</v>
      </c>
      <c r="E653" t="b">
        <f>COUNTIF(connections!A:A, A653) &gt; 0</f>
        <v>0</v>
      </c>
      <c r="F653" t="s">
        <v>1031</v>
      </c>
      <c r="G653" t="s">
        <v>2330</v>
      </c>
    </row>
    <row r="654" spans="1:10" ht="15" customHeight="1" x14ac:dyDescent="0.25">
      <c r="A654" t="s">
        <v>2331</v>
      </c>
      <c r="B654">
        <v>2012</v>
      </c>
      <c r="C654" t="s">
        <v>179</v>
      </c>
      <c r="D654" t="b">
        <f>TRUE()</f>
        <v>1</v>
      </c>
      <c r="E654" t="b">
        <f>COUNTIF(connections!A:A, A654) &gt; 0</f>
        <v>0</v>
      </c>
      <c r="G654" t="s">
        <v>2332</v>
      </c>
    </row>
    <row r="655" spans="1:10" ht="15" customHeight="1" x14ac:dyDescent="0.25">
      <c r="A655" t="s">
        <v>2333</v>
      </c>
      <c r="B655">
        <v>2026</v>
      </c>
      <c r="C655" t="s">
        <v>222</v>
      </c>
      <c r="D655" t="b">
        <f>TRUE()</f>
        <v>1</v>
      </c>
      <c r="E655" t="b">
        <f>COUNTIF(connections!A:A, A655) &gt; 0</f>
        <v>0</v>
      </c>
      <c r="G655" t="s">
        <v>2334</v>
      </c>
      <c r="J655" s="11" t="s">
        <v>2335</v>
      </c>
    </row>
    <row r="656" spans="1:10" ht="15" customHeight="1" x14ac:dyDescent="0.25">
      <c r="A656" t="s">
        <v>2336</v>
      </c>
      <c r="B656">
        <v>2020</v>
      </c>
      <c r="C656" t="s">
        <v>176</v>
      </c>
      <c r="D656" t="b">
        <f>TRUE()</f>
        <v>1</v>
      </c>
      <c r="E656" t="b">
        <f>COUNTIF(connections!A:A, A656) &gt; 0</f>
        <v>1</v>
      </c>
      <c r="G656" t="s">
        <v>2337</v>
      </c>
      <c r="H656" t="s">
        <v>187</v>
      </c>
      <c r="I656" t="s">
        <v>2338</v>
      </c>
      <c r="J656" s="1" t="s">
        <v>2339</v>
      </c>
    </row>
    <row r="657" spans="1:10" ht="15" customHeight="1" x14ac:dyDescent="0.25">
      <c r="A657" t="s">
        <v>2340</v>
      </c>
      <c r="B657">
        <v>2026</v>
      </c>
      <c r="C657" t="s">
        <v>176</v>
      </c>
      <c r="D657" t="b">
        <f>TRUE()</f>
        <v>1</v>
      </c>
      <c r="E657" t="b">
        <f>COUNTIF(connections!A:A, A657) &gt; 0</f>
        <v>0</v>
      </c>
      <c r="G657" t="s">
        <v>2341</v>
      </c>
    </row>
    <row r="658" spans="1:10" ht="15" customHeight="1" x14ac:dyDescent="0.25">
      <c r="A658" t="s">
        <v>2342</v>
      </c>
      <c r="B658">
        <v>2014</v>
      </c>
      <c r="C658" t="s">
        <v>176</v>
      </c>
      <c r="D658" t="b">
        <f>TRUE()</f>
        <v>1</v>
      </c>
      <c r="E658" t="b">
        <f>COUNTIF(connections!A:A, A658) &gt; 0</f>
        <v>0</v>
      </c>
      <c r="G658" t="s">
        <v>2343</v>
      </c>
      <c r="J658" s="11" t="s">
        <v>2344</v>
      </c>
    </row>
    <row r="659" spans="1:10" ht="15" customHeight="1" x14ac:dyDescent="0.25">
      <c r="A659" t="s">
        <v>2345</v>
      </c>
      <c r="B659">
        <v>2024</v>
      </c>
      <c r="C659" t="s">
        <v>182</v>
      </c>
      <c r="D659" t="b">
        <f>TRUE()</f>
        <v>1</v>
      </c>
      <c r="E659" t="b">
        <f>COUNTIF(connections!A:A, A659) &gt; 0</f>
        <v>0</v>
      </c>
      <c r="F659" t="s">
        <v>271</v>
      </c>
      <c r="G659" t="s">
        <v>2346</v>
      </c>
      <c r="H659" t="s">
        <v>187</v>
      </c>
      <c r="I659" t="s">
        <v>2347</v>
      </c>
      <c r="J659" s="1" t="s">
        <v>2348</v>
      </c>
    </row>
    <row r="660" spans="1:10" ht="15" customHeight="1" x14ac:dyDescent="0.25">
      <c r="A660" t="s">
        <v>2349</v>
      </c>
      <c r="B660">
        <v>2006</v>
      </c>
      <c r="C660" t="s">
        <v>179</v>
      </c>
      <c r="D660" t="b">
        <f>TRUE()</f>
        <v>1</v>
      </c>
      <c r="E660" t="b">
        <f>COUNTIF(connections!A:A, A660) &gt; 0</f>
        <v>1</v>
      </c>
      <c r="G660" t="s">
        <v>2350</v>
      </c>
      <c r="H660" t="s">
        <v>187</v>
      </c>
      <c r="I660" t="s">
        <v>2351</v>
      </c>
    </row>
    <row r="661" spans="1:10" ht="15" customHeight="1" x14ac:dyDescent="0.25">
      <c r="A661" t="s">
        <v>2352</v>
      </c>
      <c r="B661">
        <v>2018</v>
      </c>
      <c r="C661" t="s">
        <v>176</v>
      </c>
      <c r="D661" t="b">
        <f>FALSE()</f>
        <v>0</v>
      </c>
      <c r="E661" t="b">
        <f>COUNTIF(connections!A:A, A661) &gt; 0</f>
        <v>0</v>
      </c>
      <c r="G661" t="s">
        <v>2353</v>
      </c>
      <c r="H661" t="s">
        <v>187</v>
      </c>
      <c r="I661" t="s">
        <v>2354</v>
      </c>
      <c r="J661" s="1" t="s">
        <v>2355</v>
      </c>
    </row>
    <row r="662" spans="1:10" ht="15" customHeight="1" x14ac:dyDescent="0.25">
      <c r="A662" t="s">
        <v>90</v>
      </c>
      <c r="B662">
        <v>2017</v>
      </c>
      <c r="C662" t="s">
        <v>182</v>
      </c>
      <c r="D662" t="b">
        <f>TRUE()</f>
        <v>1</v>
      </c>
      <c r="E662" t="b">
        <f>COUNTIF(connections!A:A, A662) &gt; 0</f>
        <v>1</v>
      </c>
      <c r="G662" t="s">
        <v>2356</v>
      </c>
      <c r="H662" t="s">
        <v>187</v>
      </c>
      <c r="I662" t="s">
        <v>2357</v>
      </c>
      <c r="J662" s="1" t="s">
        <v>2358</v>
      </c>
    </row>
    <row r="663" spans="1:10" ht="15" customHeight="1" x14ac:dyDescent="0.25">
      <c r="A663" t="s">
        <v>38</v>
      </c>
      <c r="B663">
        <v>2026</v>
      </c>
      <c r="C663" t="s">
        <v>182</v>
      </c>
      <c r="D663" t="b">
        <f>TRUE()</f>
        <v>1</v>
      </c>
      <c r="E663" t="b">
        <f>COUNTIF(connections!A:A, A663) &gt; 0</f>
        <v>0</v>
      </c>
      <c r="G663" t="s">
        <v>2359</v>
      </c>
      <c r="H663" t="s">
        <v>187</v>
      </c>
      <c r="I663" t="s">
        <v>2360</v>
      </c>
      <c r="J663" s="1" t="s">
        <v>2361</v>
      </c>
    </row>
    <row r="664" spans="1:10" ht="15" customHeight="1" x14ac:dyDescent="0.25">
      <c r="A664" t="s">
        <v>2362</v>
      </c>
      <c r="B664">
        <v>2018</v>
      </c>
      <c r="C664" t="s">
        <v>222</v>
      </c>
      <c r="D664" t="b">
        <f>TRUE()</f>
        <v>1</v>
      </c>
      <c r="E664" t="b">
        <f>COUNTIF(connections!A:A, A664) &gt; 0</f>
        <v>1</v>
      </c>
      <c r="F664" t="s">
        <v>315</v>
      </c>
      <c r="G664" t="s">
        <v>2363</v>
      </c>
      <c r="H664" t="s">
        <v>187</v>
      </c>
      <c r="I664" t="s">
        <v>2364</v>
      </c>
      <c r="J664" s="1" t="s">
        <v>2365</v>
      </c>
    </row>
    <row r="665" spans="1:10" ht="15" customHeight="1" x14ac:dyDescent="0.25">
      <c r="A665" t="s">
        <v>2366</v>
      </c>
      <c r="B665">
        <v>2023</v>
      </c>
      <c r="C665" t="s">
        <v>176</v>
      </c>
      <c r="D665" t="b">
        <f>TRUE()</f>
        <v>1</v>
      </c>
      <c r="E665" t="b">
        <f>COUNTIF(connections!A:A, A665) &gt; 0</f>
        <v>1</v>
      </c>
      <c r="G665" t="s">
        <v>2367</v>
      </c>
      <c r="H665" t="s">
        <v>187</v>
      </c>
      <c r="I665" t="s">
        <v>2368</v>
      </c>
      <c r="J665" s="1" t="s">
        <v>2369</v>
      </c>
    </row>
    <row r="666" spans="1:10" ht="15" customHeight="1" x14ac:dyDescent="0.25">
      <c r="A666" t="s">
        <v>2370</v>
      </c>
      <c r="B666">
        <v>2025</v>
      </c>
      <c r="C666" t="s">
        <v>182</v>
      </c>
      <c r="D666" t="b">
        <f>TRUE()</f>
        <v>1</v>
      </c>
      <c r="E666" t="b">
        <f>COUNTIF(connections!A:A, A666) &gt; 0</f>
        <v>0</v>
      </c>
      <c r="F666" t="s">
        <v>354</v>
      </c>
      <c r="G666" t="s">
        <v>2371</v>
      </c>
    </row>
    <row r="667" spans="1:10" ht="15" customHeight="1" x14ac:dyDescent="0.25">
      <c r="A667" t="s">
        <v>2372</v>
      </c>
      <c r="B667">
        <v>2026</v>
      </c>
      <c r="C667" t="s">
        <v>182</v>
      </c>
      <c r="D667" t="b">
        <f>TRUE()</f>
        <v>1</v>
      </c>
      <c r="E667" t="b">
        <f>COUNTIF(connections!A:A, A667) &gt; 0</f>
        <v>0</v>
      </c>
      <c r="F667" t="s">
        <v>354</v>
      </c>
      <c r="G667" t="s">
        <v>2373</v>
      </c>
    </row>
    <row r="668" spans="1:10" ht="15" customHeight="1" x14ac:dyDescent="0.25">
      <c r="A668" t="s">
        <v>2374</v>
      </c>
      <c r="B668">
        <v>2025</v>
      </c>
      <c r="C668" t="s">
        <v>182</v>
      </c>
      <c r="D668" t="b">
        <f>FALSE()</f>
        <v>0</v>
      </c>
      <c r="E668" t="b">
        <f>COUNTIF(connections!A:A, A668) &gt; 0</f>
        <v>0</v>
      </c>
      <c r="F668" t="s">
        <v>354</v>
      </c>
      <c r="G668" t="s">
        <v>2375</v>
      </c>
      <c r="H668" t="s">
        <v>187</v>
      </c>
      <c r="I668" t="s">
        <v>2376</v>
      </c>
      <c r="J668" s="1" t="s">
        <v>2377</v>
      </c>
    </row>
    <row r="669" spans="1:10" ht="15" customHeight="1" x14ac:dyDescent="0.25">
      <c r="A669" t="s">
        <v>2378</v>
      </c>
      <c r="B669">
        <v>2021</v>
      </c>
      <c r="C669" t="s">
        <v>176</v>
      </c>
      <c r="D669" t="b">
        <f>TRUE()</f>
        <v>1</v>
      </c>
      <c r="E669" t="b">
        <f>COUNTIF(connections!A:A, A669) &gt; 0</f>
        <v>1</v>
      </c>
      <c r="G669" t="s">
        <v>2379</v>
      </c>
      <c r="H669" t="s">
        <v>187</v>
      </c>
      <c r="I669" t="s">
        <v>2380</v>
      </c>
      <c r="J669" s="1" t="s">
        <v>2381</v>
      </c>
    </row>
    <row r="670" spans="1:10" ht="15" customHeight="1" x14ac:dyDescent="0.25">
      <c r="A670" t="s">
        <v>2382</v>
      </c>
      <c r="B670">
        <v>2025</v>
      </c>
      <c r="C670" t="s">
        <v>176</v>
      </c>
      <c r="D670" t="b">
        <f>TRUE()</f>
        <v>1</v>
      </c>
      <c r="E670" t="b">
        <f>COUNTIF(connections!A:A, A670) &gt; 0</f>
        <v>0</v>
      </c>
      <c r="G670" t="s">
        <v>2383</v>
      </c>
      <c r="H670" t="s">
        <v>187</v>
      </c>
      <c r="I670" t="s">
        <v>2384</v>
      </c>
      <c r="J670" s="1" t="s">
        <v>2385</v>
      </c>
    </row>
    <row r="671" spans="1:10" ht="15" customHeight="1" x14ac:dyDescent="0.25">
      <c r="A671" t="s">
        <v>2386</v>
      </c>
      <c r="B671">
        <v>2025</v>
      </c>
      <c r="C671" t="s">
        <v>222</v>
      </c>
      <c r="D671" t="b">
        <v>1</v>
      </c>
      <c r="E671" t="b">
        <f>COUNTIF(connections!A:A, A671) &gt; 0</f>
        <v>0</v>
      </c>
      <c r="G671" t="s">
        <v>2387</v>
      </c>
      <c r="H671" t="s">
        <v>187</v>
      </c>
      <c r="I671" t="s">
        <v>2388</v>
      </c>
      <c r="J671" s="1" t="s">
        <v>2389</v>
      </c>
    </row>
    <row r="672" spans="1:10" ht="15" customHeight="1" x14ac:dyDescent="0.25">
      <c r="A672" t="s">
        <v>2390</v>
      </c>
      <c r="B672">
        <v>2016</v>
      </c>
      <c r="C672" t="s">
        <v>182</v>
      </c>
      <c r="D672" t="b">
        <f>FALSE()</f>
        <v>0</v>
      </c>
      <c r="E672" t="b">
        <f>COUNTIF(connections!A:A, A672) &gt; 0</f>
        <v>0</v>
      </c>
      <c r="G672" t="s">
        <v>2391</v>
      </c>
      <c r="H672" t="s">
        <v>187</v>
      </c>
      <c r="I672" t="s">
        <v>2392</v>
      </c>
      <c r="J672" s="1" t="s">
        <v>2393</v>
      </c>
    </row>
    <row r="673" spans="1:10" ht="15" customHeight="1" x14ac:dyDescent="0.25">
      <c r="A673" t="s">
        <v>2394</v>
      </c>
      <c r="B673">
        <v>2022</v>
      </c>
      <c r="C673" t="s">
        <v>179</v>
      </c>
      <c r="D673" t="b">
        <f>TRUE()</f>
        <v>1</v>
      </c>
      <c r="E673" t="b">
        <f>COUNTIF(connections!A:A, A673) &gt; 0</f>
        <v>1</v>
      </c>
      <c r="G673" t="s">
        <v>2395</v>
      </c>
    </row>
    <row r="674" spans="1:10" ht="15" customHeight="1" x14ac:dyDescent="0.25">
      <c r="A674" t="s">
        <v>2396</v>
      </c>
      <c r="B674">
        <v>2023</v>
      </c>
      <c r="C674" t="s">
        <v>179</v>
      </c>
      <c r="D674" t="b">
        <f>TRUE()</f>
        <v>1</v>
      </c>
      <c r="E674" t="b">
        <f>COUNTIF(connections!A:A, A674) &gt; 0</f>
        <v>0</v>
      </c>
      <c r="G674" t="s">
        <v>2397</v>
      </c>
    </row>
    <row r="675" spans="1:10" ht="15" customHeight="1" x14ac:dyDescent="0.25">
      <c r="A675" t="s">
        <v>2398</v>
      </c>
      <c r="B675">
        <v>2022</v>
      </c>
      <c r="C675" t="s">
        <v>176</v>
      </c>
      <c r="D675" t="b">
        <f>TRUE()</f>
        <v>1</v>
      </c>
      <c r="E675" t="b">
        <f>COUNTIF(connections!A:A, A675) &gt; 0</f>
        <v>0</v>
      </c>
      <c r="G675" t="s">
        <v>2399</v>
      </c>
      <c r="H675" t="s">
        <v>187</v>
      </c>
      <c r="I675" t="s">
        <v>2400</v>
      </c>
      <c r="J675" s="1" t="s">
        <v>2401</v>
      </c>
    </row>
    <row r="676" spans="1:10" ht="15" customHeight="1" x14ac:dyDescent="0.25">
      <c r="A676" t="s">
        <v>2402</v>
      </c>
      <c r="B676">
        <v>2015</v>
      </c>
      <c r="C676" t="s">
        <v>176</v>
      </c>
      <c r="D676" t="b">
        <f>FALSE()</f>
        <v>0</v>
      </c>
      <c r="E676" t="b">
        <f>COUNTIF(connections!A:A, A676) &gt; 0</f>
        <v>0</v>
      </c>
      <c r="F676" t="s">
        <v>274</v>
      </c>
      <c r="G676" t="s">
        <v>2403</v>
      </c>
    </row>
    <row r="677" spans="1:10" ht="15" customHeight="1" x14ac:dyDescent="0.25">
      <c r="A677" t="s">
        <v>2404</v>
      </c>
      <c r="B677">
        <v>2019</v>
      </c>
      <c r="C677" t="s">
        <v>176</v>
      </c>
      <c r="D677" t="b">
        <f>TRUE()</f>
        <v>1</v>
      </c>
      <c r="E677" t="b">
        <f>COUNTIF(connections!A:A, A677) &gt; 0</f>
        <v>1</v>
      </c>
      <c r="G677" t="s">
        <v>2405</v>
      </c>
      <c r="J677" s="1" t="s">
        <v>2406</v>
      </c>
    </row>
    <row r="678" spans="1:10" ht="15" customHeight="1" x14ac:dyDescent="0.25">
      <c r="A678" t="s">
        <v>2407</v>
      </c>
      <c r="B678">
        <v>2016</v>
      </c>
      <c r="C678" t="s">
        <v>179</v>
      </c>
      <c r="D678" t="b">
        <f>TRUE()</f>
        <v>1</v>
      </c>
      <c r="E678" t="b">
        <f>COUNTIF(connections!A:A, A678) &gt; 0</f>
        <v>0</v>
      </c>
      <c r="G678" t="s">
        <v>2408</v>
      </c>
      <c r="H678" t="s">
        <v>187</v>
      </c>
      <c r="I678" t="s">
        <v>2409</v>
      </c>
      <c r="J678" s="11" t="s">
        <v>2410</v>
      </c>
    </row>
    <row r="679" spans="1:10" ht="15" customHeight="1" x14ac:dyDescent="0.25">
      <c r="A679" t="s">
        <v>2411</v>
      </c>
      <c r="B679">
        <v>2022</v>
      </c>
      <c r="C679" t="s">
        <v>176</v>
      </c>
      <c r="D679" t="b">
        <f>TRUE()</f>
        <v>1</v>
      </c>
      <c r="E679" t="b">
        <f>COUNTIF(connections!A:A, A679) &gt; 0</f>
        <v>0</v>
      </c>
      <c r="G679" t="s">
        <v>2412</v>
      </c>
      <c r="H679" t="s">
        <v>187</v>
      </c>
      <c r="I679" t="s">
        <v>2413</v>
      </c>
      <c r="J679" s="1" t="s">
        <v>2414</v>
      </c>
    </row>
    <row r="680" spans="1:10" ht="15" customHeight="1" x14ac:dyDescent="0.25">
      <c r="A680" t="s">
        <v>2415</v>
      </c>
      <c r="B680">
        <v>2023</v>
      </c>
      <c r="C680" t="s">
        <v>222</v>
      </c>
      <c r="D680" t="b">
        <f>TRUE()</f>
        <v>1</v>
      </c>
      <c r="E680" t="b">
        <f>COUNTIF(connections!A:A, A680) &gt; 0</f>
        <v>0</v>
      </c>
      <c r="G680" t="s">
        <v>2416</v>
      </c>
    </row>
    <row r="681" spans="1:10" ht="15" customHeight="1" x14ac:dyDescent="0.25">
      <c r="A681" t="s">
        <v>2417</v>
      </c>
      <c r="B681">
        <v>2024</v>
      </c>
      <c r="C681" t="s">
        <v>182</v>
      </c>
      <c r="D681" t="b">
        <f>TRUE()</f>
        <v>1</v>
      </c>
      <c r="E681" t="b">
        <f>COUNTIF(connections!A:A, A681) &gt; 0</f>
        <v>0</v>
      </c>
      <c r="G681" t="s">
        <v>2418</v>
      </c>
      <c r="H681" t="s">
        <v>187</v>
      </c>
      <c r="I681" t="s">
        <v>2419</v>
      </c>
      <c r="J681" s="1" t="s">
        <v>2420</v>
      </c>
    </row>
    <row r="682" spans="1:10" ht="15" customHeight="1" x14ac:dyDescent="0.25">
      <c r="A682" t="s">
        <v>2421</v>
      </c>
      <c r="B682">
        <v>2012</v>
      </c>
      <c r="C682" t="s">
        <v>176</v>
      </c>
      <c r="D682" t="b">
        <f>TRUE()</f>
        <v>1</v>
      </c>
      <c r="E682" t="b">
        <f>COUNTIF(connections!A:A, A682) &gt; 0</f>
        <v>1</v>
      </c>
      <c r="G682" t="s">
        <v>2422</v>
      </c>
      <c r="H682" t="s">
        <v>187</v>
      </c>
      <c r="I682" t="s">
        <v>2423</v>
      </c>
      <c r="J682" s="1" t="s">
        <v>2424</v>
      </c>
    </row>
    <row r="683" spans="1:10" ht="15" customHeight="1" x14ac:dyDescent="0.25">
      <c r="A683" t="s">
        <v>2425</v>
      </c>
      <c r="B683">
        <v>2020</v>
      </c>
      <c r="C683" t="s">
        <v>176</v>
      </c>
      <c r="D683" t="b">
        <f>TRUE()</f>
        <v>1</v>
      </c>
      <c r="E683" t="b">
        <f>COUNTIF(connections!A:A, A683) &gt; 0</f>
        <v>0</v>
      </c>
      <c r="G683" t="s">
        <v>2426</v>
      </c>
      <c r="H683" t="s">
        <v>187</v>
      </c>
      <c r="I683" t="s">
        <v>2427</v>
      </c>
      <c r="J683" s="1" t="s">
        <v>2428</v>
      </c>
    </row>
    <row r="684" spans="1:10" ht="15" customHeight="1" x14ac:dyDescent="0.25">
      <c r="A684" t="s">
        <v>2429</v>
      </c>
      <c r="B684">
        <v>2008</v>
      </c>
      <c r="C684" t="s">
        <v>176</v>
      </c>
      <c r="D684" t="b">
        <f>TRUE()</f>
        <v>1</v>
      </c>
      <c r="E684" t="b">
        <f>COUNTIF(connections!A:A, A684) &gt; 0</f>
        <v>1</v>
      </c>
      <c r="G684" t="s">
        <v>2430</v>
      </c>
      <c r="H684" t="s">
        <v>187</v>
      </c>
      <c r="I684" t="s">
        <v>2431</v>
      </c>
    </row>
    <row r="685" spans="1:10" ht="15" customHeight="1" x14ac:dyDescent="0.25">
      <c r="A685" t="s">
        <v>2432</v>
      </c>
      <c r="B685">
        <v>2024</v>
      </c>
      <c r="C685" t="s">
        <v>182</v>
      </c>
      <c r="D685" t="b">
        <f>TRUE()</f>
        <v>1</v>
      </c>
      <c r="E685" t="b">
        <f>COUNTIF(connections!A:A, A685) &gt; 0</f>
        <v>0</v>
      </c>
      <c r="F685" t="s">
        <v>354</v>
      </c>
      <c r="G685" t="s">
        <v>2433</v>
      </c>
      <c r="H685" t="s">
        <v>187</v>
      </c>
      <c r="I685" t="s">
        <v>2434</v>
      </c>
      <c r="J685" s="1" t="s">
        <v>2435</v>
      </c>
    </row>
    <row r="686" spans="1:10" ht="15" customHeight="1" x14ac:dyDescent="0.25">
      <c r="A686" t="s">
        <v>2436</v>
      </c>
      <c r="B686">
        <v>2022</v>
      </c>
      <c r="C686" t="s">
        <v>176</v>
      </c>
      <c r="D686" t="b">
        <f>TRUE()</f>
        <v>1</v>
      </c>
      <c r="E686" t="b">
        <f>COUNTIF(connections!A:A, A686) &gt; 0</f>
        <v>0</v>
      </c>
      <c r="G686" t="s">
        <v>2437</v>
      </c>
      <c r="H686" t="s">
        <v>187</v>
      </c>
      <c r="I686" t="s">
        <v>2438</v>
      </c>
      <c r="J686" s="1" t="s">
        <v>2439</v>
      </c>
    </row>
    <row r="687" spans="1:10" ht="15" customHeight="1" x14ac:dyDescent="0.25">
      <c r="A687" t="s">
        <v>2440</v>
      </c>
      <c r="B687">
        <v>2023</v>
      </c>
      <c r="C687" t="s">
        <v>176</v>
      </c>
      <c r="D687" t="b">
        <f>TRUE()</f>
        <v>1</v>
      </c>
      <c r="E687" t="b">
        <f>COUNTIF(connections!A:A, A687) &gt; 0</f>
        <v>0</v>
      </c>
      <c r="G687" t="s">
        <v>2441</v>
      </c>
      <c r="H687" t="s">
        <v>187</v>
      </c>
      <c r="I687" t="s">
        <v>2442</v>
      </c>
      <c r="J687" s="1" t="s">
        <v>2443</v>
      </c>
    </row>
    <row r="688" spans="1:10" ht="15" customHeight="1" x14ac:dyDescent="0.25">
      <c r="A688" t="s">
        <v>2444</v>
      </c>
      <c r="B688">
        <v>2019</v>
      </c>
      <c r="C688" t="s">
        <v>176</v>
      </c>
      <c r="D688" t="b">
        <f>TRUE()</f>
        <v>1</v>
      </c>
      <c r="E688" t="b">
        <f>COUNTIF(connections!A:A, A688) &gt; 0</f>
        <v>1</v>
      </c>
      <c r="G688" t="s">
        <v>2445</v>
      </c>
      <c r="H688" t="s">
        <v>187</v>
      </c>
      <c r="I688" t="s">
        <v>2446</v>
      </c>
      <c r="J688" s="1" t="s">
        <v>2447</v>
      </c>
    </row>
    <row r="689" spans="1:10" ht="15" customHeight="1" x14ac:dyDescent="0.25">
      <c r="A689" t="s">
        <v>2448</v>
      </c>
      <c r="B689">
        <v>2014</v>
      </c>
      <c r="C689" t="s">
        <v>179</v>
      </c>
      <c r="D689" t="b">
        <f>TRUE()</f>
        <v>1</v>
      </c>
      <c r="E689" t="b">
        <f>COUNTIF(connections!A:A, A689) &gt; 0</f>
        <v>1</v>
      </c>
      <c r="G689" t="s">
        <v>2449</v>
      </c>
      <c r="H689" t="s">
        <v>187</v>
      </c>
      <c r="I689" t="s">
        <v>2450</v>
      </c>
      <c r="J689" s="1" t="s">
        <v>2451</v>
      </c>
    </row>
    <row r="690" spans="1:10" ht="15" customHeight="1" x14ac:dyDescent="0.25">
      <c r="A690" t="s">
        <v>2452</v>
      </c>
      <c r="B690">
        <v>2024</v>
      </c>
      <c r="C690" t="s">
        <v>176</v>
      </c>
      <c r="D690" t="b">
        <f>FALSE()</f>
        <v>0</v>
      </c>
      <c r="E690" t="b">
        <f>COUNTIF(connections!A:A, A690) &gt; 0</f>
        <v>0</v>
      </c>
      <c r="G690" t="s">
        <v>2453</v>
      </c>
      <c r="H690" t="s">
        <v>187</v>
      </c>
      <c r="I690" t="s">
        <v>2454</v>
      </c>
      <c r="J690" s="1" t="s">
        <v>2455</v>
      </c>
    </row>
    <row r="691" spans="1:10" ht="15" customHeight="1" x14ac:dyDescent="0.25">
      <c r="A691" t="s">
        <v>2456</v>
      </c>
      <c r="B691">
        <v>2025</v>
      </c>
      <c r="C691" t="s">
        <v>182</v>
      </c>
      <c r="D691" t="b">
        <f>TRUE()</f>
        <v>1</v>
      </c>
      <c r="E691" t="b">
        <f>COUNTIF(connections!A:A, A691) &gt; 0</f>
        <v>0</v>
      </c>
      <c r="G691" t="s">
        <v>2457</v>
      </c>
      <c r="H691" t="s">
        <v>187</v>
      </c>
      <c r="I691" t="s">
        <v>2458</v>
      </c>
      <c r="J691" s="1" t="s">
        <v>2459</v>
      </c>
    </row>
    <row r="692" spans="1:10" ht="15" customHeight="1" x14ac:dyDescent="0.25">
      <c r="A692" t="s">
        <v>2460</v>
      </c>
      <c r="B692">
        <v>2017</v>
      </c>
      <c r="C692" t="s">
        <v>176</v>
      </c>
      <c r="D692" t="b">
        <f>TRUE()</f>
        <v>1</v>
      </c>
      <c r="E692" t="b">
        <f>COUNTIF(connections!A:A, A692) &gt; 0</f>
        <v>1</v>
      </c>
      <c r="G692" t="s">
        <v>2461</v>
      </c>
      <c r="H692" t="s">
        <v>187</v>
      </c>
      <c r="I692" t="s">
        <v>2462</v>
      </c>
      <c r="J692" s="1" t="s">
        <v>2463</v>
      </c>
    </row>
    <row r="693" spans="1:10" ht="15" customHeight="1" x14ac:dyDescent="0.25">
      <c r="A693" t="s">
        <v>2464</v>
      </c>
      <c r="B693">
        <v>2023</v>
      </c>
      <c r="C693" t="s">
        <v>176</v>
      </c>
      <c r="D693" t="b">
        <f>TRUE()</f>
        <v>1</v>
      </c>
      <c r="E693" t="b">
        <f>COUNTIF(connections!A:A, A693) &gt; 0</f>
        <v>0</v>
      </c>
      <c r="F693" t="s">
        <v>274</v>
      </c>
      <c r="G693" t="s">
        <v>2465</v>
      </c>
      <c r="H693" t="s">
        <v>187</v>
      </c>
      <c r="I693" t="s">
        <v>2466</v>
      </c>
      <c r="J693" s="1" t="s">
        <v>2467</v>
      </c>
    </row>
    <row r="694" spans="1:10" ht="15" customHeight="1" x14ac:dyDescent="0.25">
      <c r="A694" t="s">
        <v>2468</v>
      </c>
      <c r="B694">
        <v>2025</v>
      </c>
      <c r="C694" t="s">
        <v>176</v>
      </c>
      <c r="D694" t="b">
        <f>TRUE()</f>
        <v>1</v>
      </c>
      <c r="E694" t="b">
        <f>COUNTIF(connections!A:A, A694) &gt; 0</f>
        <v>0</v>
      </c>
      <c r="G694" t="s">
        <v>2469</v>
      </c>
      <c r="H694" t="s">
        <v>187</v>
      </c>
      <c r="I694" t="s">
        <v>2470</v>
      </c>
      <c r="J694" s="1" t="s">
        <v>2471</v>
      </c>
    </row>
    <row r="695" spans="1:10" ht="15" customHeight="1" x14ac:dyDescent="0.25">
      <c r="A695" t="s">
        <v>2472</v>
      </c>
      <c r="B695">
        <v>2025</v>
      </c>
      <c r="C695" t="s">
        <v>182</v>
      </c>
      <c r="D695" t="b">
        <f>TRUE()</f>
        <v>1</v>
      </c>
      <c r="E695" t="b">
        <f>COUNTIF(connections!A:A, A695) &gt; 0</f>
        <v>0</v>
      </c>
      <c r="F695" t="s">
        <v>277</v>
      </c>
      <c r="G695" t="s">
        <v>2473</v>
      </c>
      <c r="H695" t="s">
        <v>187</v>
      </c>
      <c r="I695" t="s">
        <v>2474</v>
      </c>
      <c r="J695" s="1" t="s">
        <v>2475</v>
      </c>
    </row>
    <row r="696" spans="1:10" ht="15" customHeight="1" x14ac:dyDescent="0.25">
      <c r="A696" t="s">
        <v>2476</v>
      </c>
      <c r="B696">
        <v>2025</v>
      </c>
      <c r="C696" t="s">
        <v>182</v>
      </c>
      <c r="D696" t="b">
        <f>TRUE()</f>
        <v>1</v>
      </c>
      <c r="E696" t="b">
        <f>COUNTIF(connections!A:A, A696) &gt; 0</f>
        <v>0</v>
      </c>
      <c r="G696" t="s">
        <v>2477</v>
      </c>
    </row>
    <row r="697" spans="1:10" ht="15" customHeight="1" x14ac:dyDescent="0.25">
      <c r="A697" t="s">
        <v>2478</v>
      </c>
      <c r="B697">
        <v>2025</v>
      </c>
      <c r="C697" t="s">
        <v>176</v>
      </c>
      <c r="D697" t="b">
        <f>FALSE()</f>
        <v>0</v>
      </c>
      <c r="E697" t="b">
        <f>COUNTIF(connections!A:A, A697) &gt; 0</f>
        <v>0</v>
      </c>
      <c r="G697" t="s">
        <v>2479</v>
      </c>
      <c r="H697" t="s">
        <v>187</v>
      </c>
      <c r="I697" t="s">
        <v>2480</v>
      </c>
      <c r="J697" s="1" t="s">
        <v>2481</v>
      </c>
    </row>
    <row r="698" spans="1:10" ht="15" customHeight="1" x14ac:dyDescent="0.25">
      <c r="A698" t="s">
        <v>2482</v>
      </c>
      <c r="B698">
        <v>2020</v>
      </c>
      <c r="C698" t="s">
        <v>179</v>
      </c>
      <c r="D698" t="b">
        <f>TRUE()</f>
        <v>1</v>
      </c>
      <c r="E698" t="b">
        <f>COUNTIF(connections!A:A, A698) &gt; 0</f>
        <v>1</v>
      </c>
      <c r="G698" t="s">
        <v>2483</v>
      </c>
    </row>
    <row r="699" spans="1:10" ht="15" customHeight="1" x14ac:dyDescent="0.25">
      <c r="A699" t="s">
        <v>2484</v>
      </c>
      <c r="B699">
        <v>2023</v>
      </c>
      <c r="C699" t="s">
        <v>222</v>
      </c>
      <c r="D699" t="b">
        <f>FALSE()</f>
        <v>0</v>
      </c>
      <c r="E699" t="b">
        <f>COUNTIF(connections!A:A, A699) &gt; 0</f>
        <v>0</v>
      </c>
      <c r="F699" t="s">
        <v>458</v>
      </c>
      <c r="G699" t="s">
        <v>2485</v>
      </c>
    </row>
    <row r="700" spans="1:10" ht="15" customHeight="1" x14ac:dyDescent="0.25">
      <c r="A700" t="s">
        <v>2486</v>
      </c>
      <c r="B700">
        <v>2017</v>
      </c>
      <c r="C700" t="s">
        <v>176</v>
      </c>
      <c r="D700" t="b">
        <v>1</v>
      </c>
      <c r="E700" t="b">
        <f>COUNTIF(connections!A:A, A700) &gt; 0</f>
        <v>0</v>
      </c>
      <c r="G700" t="s">
        <v>2487</v>
      </c>
      <c r="H700" t="s">
        <v>187</v>
      </c>
      <c r="I700" t="s">
        <v>2488</v>
      </c>
      <c r="J700" s="11" t="s">
        <v>2489</v>
      </c>
    </row>
    <row r="701" spans="1:10" ht="15" customHeight="1" x14ac:dyDescent="0.25">
      <c r="A701" t="s">
        <v>2490</v>
      </c>
      <c r="B701">
        <v>2002</v>
      </c>
      <c r="C701" t="s">
        <v>222</v>
      </c>
      <c r="D701" t="b">
        <f>TRUE()</f>
        <v>1</v>
      </c>
      <c r="E701" t="b">
        <f>COUNTIF(connections!A:A, A701) &gt; 0</f>
        <v>1</v>
      </c>
      <c r="F701" t="s">
        <v>274</v>
      </c>
      <c r="G701" t="s">
        <v>2491</v>
      </c>
      <c r="H701" t="s">
        <v>187</v>
      </c>
      <c r="I701" t="s">
        <v>2492</v>
      </c>
    </row>
    <row r="702" spans="1:10" ht="15" customHeight="1" x14ac:dyDescent="0.25">
      <c r="A702" t="s">
        <v>2493</v>
      </c>
      <c r="B702">
        <v>2019</v>
      </c>
      <c r="C702" t="s">
        <v>176</v>
      </c>
      <c r="D702" t="b">
        <f>TRUE()</f>
        <v>1</v>
      </c>
      <c r="E702" t="b">
        <f>COUNTIF(connections!A:A, A702) &gt; 0</f>
        <v>0</v>
      </c>
      <c r="G702" t="s">
        <v>2494</v>
      </c>
      <c r="H702" t="s">
        <v>187</v>
      </c>
      <c r="I702" t="s">
        <v>2495</v>
      </c>
      <c r="J702" s="1" t="s">
        <v>2496</v>
      </c>
    </row>
    <row r="703" spans="1:10" ht="15" customHeight="1" x14ac:dyDescent="0.25">
      <c r="A703" t="s">
        <v>2497</v>
      </c>
      <c r="B703">
        <v>2024</v>
      </c>
      <c r="C703" t="s">
        <v>176</v>
      </c>
      <c r="D703" t="b">
        <f>TRUE()</f>
        <v>1</v>
      </c>
      <c r="E703" t="b">
        <f>COUNTIF(connections!A:A, A703) &gt; 0</f>
        <v>0</v>
      </c>
      <c r="G703" t="s">
        <v>2498</v>
      </c>
    </row>
    <row r="704" spans="1:10" ht="15" customHeight="1" x14ac:dyDescent="0.25">
      <c r="A704" t="s">
        <v>2499</v>
      </c>
      <c r="B704">
        <v>2017</v>
      </c>
      <c r="C704" t="s">
        <v>176</v>
      </c>
      <c r="D704" t="b">
        <f>TRUE()</f>
        <v>1</v>
      </c>
      <c r="E704" t="b">
        <f>COUNTIF(connections!A:A, A704) &gt; 0</f>
        <v>1</v>
      </c>
      <c r="G704" t="s">
        <v>2500</v>
      </c>
      <c r="H704" t="s">
        <v>187</v>
      </c>
      <c r="I704" t="s">
        <v>2501</v>
      </c>
      <c r="J704" s="1" t="s">
        <v>2502</v>
      </c>
    </row>
    <row r="705" spans="1:10" ht="15" customHeight="1" x14ac:dyDescent="0.25">
      <c r="A705" t="s">
        <v>2503</v>
      </c>
      <c r="B705">
        <v>2015</v>
      </c>
      <c r="C705" t="s">
        <v>222</v>
      </c>
      <c r="D705" t="b">
        <f>TRUE()</f>
        <v>1</v>
      </c>
      <c r="E705" t="b">
        <f>COUNTIF(connections!A:A, A705) &gt; 0</f>
        <v>1</v>
      </c>
      <c r="F705" t="s">
        <v>652</v>
      </c>
      <c r="G705" t="s">
        <v>2504</v>
      </c>
      <c r="H705" t="s">
        <v>187</v>
      </c>
      <c r="I705" t="s">
        <v>2505</v>
      </c>
      <c r="J705" s="1" t="s">
        <v>2506</v>
      </c>
    </row>
    <row r="706" spans="1:10" ht="15" customHeight="1" x14ac:dyDescent="0.25">
      <c r="A706" t="s">
        <v>2507</v>
      </c>
      <c r="B706">
        <v>2021</v>
      </c>
      <c r="C706" t="s">
        <v>222</v>
      </c>
      <c r="D706" t="b">
        <f>TRUE()</f>
        <v>1</v>
      </c>
      <c r="E706" t="b">
        <f>COUNTIF(connections!A:A, A706) &gt; 0</f>
        <v>1</v>
      </c>
      <c r="G706" t="s">
        <v>2508</v>
      </c>
      <c r="H706" t="s">
        <v>187</v>
      </c>
      <c r="I706" t="s">
        <v>2509</v>
      </c>
      <c r="J706" s="1" t="s">
        <v>2510</v>
      </c>
    </row>
    <row r="707" spans="1:10" ht="15" customHeight="1" x14ac:dyDescent="0.25">
      <c r="A707" t="s">
        <v>2511</v>
      </c>
      <c r="B707">
        <v>2022</v>
      </c>
      <c r="C707" t="s">
        <v>182</v>
      </c>
      <c r="D707" t="b">
        <f>FALSE()</f>
        <v>0</v>
      </c>
      <c r="E707" t="b">
        <f>COUNTIF(connections!A:A, A707) &gt; 0</f>
        <v>0</v>
      </c>
      <c r="G707" t="s">
        <v>2512</v>
      </c>
      <c r="H707" t="s">
        <v>187</v>
      </c>
      <c r="I707" t="s">
        <v>2513</v>
      </c>
      <c r="J707" s="1" t="s">
        <v>2514</v>
      </c>
    </row>
    <row r="708" spans="1:10" ht="15" customHeight="1" x14ac:dyDescent="0.25">
      <c r="A708" t="s">
        <v>2515</v>
      </c>
      <c r="B708">
        <v>2025</v>
      </c>
      <c r="C708" t="s">
        <v>222</v>
      </c>
      <c r="D708" t="b">
        <f>TRUE()</f>
        <v>1</v>
      </c>
      <c r="E708" t="b">
        <f>COUNTIF(connections!A:A, A708) &gt; 0</f>
        <v>0</v>
      </c>
      <c r="G708" t="s">
        <v>2516</v>
      </c>
      <c r="H708" t="s">
        <v>187</v>
      </c>
      <c r="I708" t="s">
        <v>2517</v>
      </c>
      <c r="J708" s="1" t="s">
        <v>2518</v>
      </c>
    </row>
    <row r="709" spans="1:10" ht="15" customHeight="1" x14ac:dyDescent="0.25">
      <c r="A709" t="s">
        <v>2519</v>
      </c>
      <c r="B709">
        <v>2013</v>
      </c>
      <c r="C709" t="s">
        <v>176</v>
      </c>
      <c r="D709" t="b">
        <f>TRUE()</f>
        <v>1</v>
      </c>
      <c r="E709" t="b">
        <f>COUNTIF(connections!A:A, A709) &gt; 0</f>
        <v>1</v>
      </c>
      <c r="G709" t="s">
        <v>2520</v>
      </c>
      <c r="H709" t="s">
        <v>187</v>
      </c>
      <c r="I709" t="s">
        <v>2521</v>
      </c>
      <c r="J709" s="1" t="s">
        <v>2522</v>
      </c>
    </row>
    <row r="710" spans="1:10" ht="15" customHeight="1" x14ac:dyDescent="0.25">
      <c r="A710" t="s">
        <v>2523</v>
      </c>
      <c r="B710">
        <v>2025</v>
      </c>
      <c r="C710" t="s">
        <v>182</v>
      </c>
      <c r="D710" t="b">
        <f>TRUE()</f>
        <v>1</v>
      </c>
      <c r="E710" t="b">
        <f>COUNTIF(connections!A:A, A710) &gt; 0</f>
        <v>1</v>
      </c>
      <c r="G710" t="s">
        <v>2524</v>
      </c>
    </row>
    <row r="711" spans="1:10" ht="15" customHeight="1" x14ac:dyDescent="0.25">
      <c r="A711" t="s">
        <v>2525</v>
      </c>
      <c r="B711">
        <v>2025</v>
      </c>
      <c r="C711" t="s">
        <v>176</v>
      </c>
      <c r="D711" t="b">
        <f>TRUE()</f>
        <v>1</v>
      </c>
      <c r="E711" t="b">
        <f>COUNTIF(connections!A:A, A711) &gt; 0</f>
        <v>0</v>
      </c>
      <c r="G711" t="s">
        <v>2526</v>
      </c>
    </row>
    <row r="712" spans="1:10" ht="15" customHeight="1" x14ac:dyDescent="0.25">
      <c r="A712" t="s">
        <v>2527</v>
      </c>
      <c r="B712">
        <v>2023</v>
      </c>
      <c r="C712" t="s">
        <v>176</v>
      </c>
      <c r="D712" t="b">
        <f>TRUE()</f>
        <v>1</v>
      </c>
      <c r="E712" t="b">
        <f>COUNTIF(connections!A:A, A712) &gt; 0</f>
        <v>0</v>
      </c>
      <c r="F712" t="s">
        <v>277</v>
      </c>
      <c r="G712" t="s">
        <v>2528</v>
      </c>
      <c r="H712" t="s">
        <v>187</v>
      </c>
      <c r="I712" t="s">
        <v>2529</v>
      </c>
      <c r="J712" s="1" t="s">
        <v>2530</v>
      </c>
    </row>
    <row r="713" spans="1:10" ht="15" customHeight="1" x14ac:dyDescent="0.25">
      <c r="A713" t="s">
        <v>2531</v>
      </c>
      <c r="B713">
        <v>2016</v>
      </c>
      <c r="C713" t="s">
        <v>176</v>
      </c>
      <c r="D713" t="b">
        <f>TRUE()</f>
        <v>1</v>
      </c>
      <c r="E713" t="b">
        <f>COUNTIF(connections!A:A, A713) &gt; 0</f>
        <v>0</v>
      </c>
      <c r="F713" t="s">
        <v>787</v>
      </c>
      <c r="G713" t="s">
        <v>2532</v>
      </c>
      <c r="H713" t="s">
        <v>187</v>
      </c>
      <c r="I713" t="s">
        <v>2533</v>
      </c>
      <c r="J713" s="1" t="s">
        <v>2534</v>
      </c>
    </row>
    <row r="714" spans="1:10" ht="15" customHeight="1" x14ac:dyDescent="0.25">
      <c r="A714" t="s">
        <v>2535</v>
      </c>
      <c r="B714">
        <v>1982</v>
      </c>
      <c r="C714" t="s">
        <v>179</v>
      </c>
      <c r="D714" t="b">
        <f>TRUE()</f>
        <v>1</v>
      </c>
      <c r="E714" t="b">
        <f>COUNTIF(connections!A:A, A714) &gt; 0</f>
        <v>1</v>
      </c>
      <c r="G714" t="s">
        <v>2536</v>
      </c>
      <c r="J714" s="11" t="s">
        <v>2537</v>
      </c>
    </row>
    <row r="715" spans="1:10" ht="15" customHeight="1" x14ac:dyDescent="0.25">
      <c r="A715" t="s">
        <v>2538</v>
      </c>
      <c r="B715">
        <v>2021</v>
      </c>
      <c r="C715" t="s">
        <v>176</v>
      </c>
      <c r="D715" t="b">
        <f>TRUE()</f>
        <v>1</v>
      </c>
      <c r="E715" t="b">
        <f>COUNTIF(connections!A:A, A715) &gt; 0</f>
        <v>1</v>
      </c>
      <c r="G715" t="s">
        <v>2539</v>
      </c>
      <c r="J715" s="11" t="s">
        <v>2540</v>
      </c>
    </row>
    <row r="716" spans="1:10" ht="15" customHeight="1" x14ac:dyDescent="0.25">
      <c r="A716" t="s">
        <v>2541</v>
      </c>
      <c r="B716">
        <v>2025</v>
      </c>
      <c r="C716" t="s">
        <v>176</v>
      </c>
      <c r="D716" t="b">
        <f>TRUE()</f>
        <v>1</v>
      </c>
      <c r="E716" t="b">
        <f>COUNTIF(connections!A:A, A716) &gt; 0</f>
        <v>0</v>
      </c>
      <c r="G716" t="s">
        <v>2542</v>
      </c>
      <c r="J716" s="11" t="s">
        <v>2543</v>
      </c>
    </row>
    <row r="717" spans="1:10" ht="15" customHeight="1" x14ac:dyDescent="0.25">
      <c r="A717" t="s">
        <v>2544</v>
      </c>
      <c r="B717">
        <v>2013</v>
      </c>
      <c r="C717" t="s">
        <v>179</v>
      </c>
      <c r="D717" t="b">
        <f>TRUE()</f>
        <v>1</v>
      </c>
      <c r="E717" t="b">
        <f>COUNTIF(connections!A:A, A717) &gt; 0</f>
        <v>0</v>
      </c>
      <c r="G717" t="s">
        <v>2545</v>
      </c>
      <c r="J717" s="1" t="s">
        <v>2546</v>
      </c>
    </row>
    <row r="718" spans="1:10" ht="15" customHeight="1" x14ac:dyDescent="0.25">
      <c r="A718" t="s">
        <v>2547</v>
      </c>
      <c r="B718">
        <v>2022</v>
      </c>
      <c r="C718" t="s">
        <v>176</v>
      </c>
      <c r="D718" t="b">
        <f>TRUE()</f>
        <v>1</v>
      </c>
      <c r="E718" t="b">
        <f>COUNTIF(connections!A:A, A718) &gt; 0</f>
        <v>0</v>
      </c>
      <c r="G718" t="s">
        <v>2548</v>
      </c>
      <c r="H718" t="s">
        <v>187</v>
      </c>
      <c r="I718" t="s">
        <v>2549</v>
      </c>
      <c r="J718" s="1" t="s">
        <v>2550</v>
      </c>
    </row>
    <row r="719" spans="1:10" ht="15" customHeight="1" x14ac:dyDescent="0.25">
      <c r="A719" t="s">
        <v>2551</v>
      </c>
      <c r="B719">
        <v>2025</v>
      </c>
      <c r="C719" t="s">
        <v>176</v>
      </c>
      <c r="D719" t="b">
        <f>TRUE()</f>
        <v>1</v>
      </c>
      <c r="E719" t="b">
        <f>COUNTIF(connections!A:A, A719) &gt; 0</f>
        <v>0</v>
      </c>
      <c r="G719" t="s">
        <v>2552</v>
      </c>
      <c r="H719" t="s">
        <v>187</v>
      </c>
      <c r="I719" t="s">
        <v>2553</v>
      </c>
      <c r="J719" s="1" t="s">
        <v>2554</v>
      </c>
    </row>
    <row r="720" spans="1:10" ht="15" customHeight="1" x14ac:dyDescent="0.25">
      <c r="A720" t="s">
        <v>2555</v>
      </c>
      <c r="B720">
        <v>2021</v>
      </c>
      <c r="C720" t="s">
        <v>176</v>
      </c>
      <c r="D720" t="b">
        <f>TRUE()</f>
        <v>1</v>
      </c>
      <c r="E720" t="b">
        <f>COUNTIF(connections!A:A, A720) &gt; 0</f>
        <v>0</v>
      </c>
      <c r="G720" t="s">
        <v>2556</v>
      </c>
    </row>
    <row r="721" spans="1:10" ht="15" customHeight="1" x14ac:dyDescent="0.25">
      <c r="A721" t="s">
        <v>2557</v>
      </c>
      <c r="B721">
        <v>2018</v>
      </c>
      <c r="C721" t="s">
        <v>176</v>
      </c>
      <c r="D721" t="b">
        <f>TRUE()</f>
        <v>1</v>
      </c>
      <c r="E721" t="b">
        <f>COUNTIF(connections!A:A, A721) &gt; 0</f>
        <v>1</v>
      </c>
      <c r="G721" t="s">
        <v>2558</v>
      </c>
      <c r="H721" t="s">
        <v>187</v>
      </c>
      <c r="I721" t="s">
        <v>2559</v>
      </c>
      <c r="J721" s="1" t="s">
        <v>2560</v>
      </c>
    </row>
    <row r="722" spans="1:10" ht="15" customHeight="1" x14ac:dyDescent="0.25">
      <c r="A722" t="s">
        <v>2561</v>
      </c>
      <c r="B722">
        <v>2026</v>
      </c>
      <c r="C722" t="s">
        <v>222</v>
      </c>
      <c r="D722" t="b">
        <f>TRUE()</f>
        <v>1</v>
      </c>
      <c r="E722" t="b">
        <f>COUNTIF(connections!A:A, A722) &gt; 0</f>
        <v>0</v>
      </c>
      <c r="G722" t="s">
        <v>2562</v>
      </c>
      <c r="J722" s="1" t="s">
        <v>2563</v>
      </c>
    </row>
    <row r="723" spans="1:10" ht="15" customHeight="1" x14ac:dyDescent="0.25">
      <c r="A723" t="s">
        <v>2564</v>
      </c>
      <c r="B723">
        <v>2020</v>
      </c>
      <c r="C723" t="s">
        <v>182</v>
      </c>
      <c r="D723" t="b">
        <f>TRUE()</f>
        <v>1</v>
      </c>
      <c r="E723" t="b">
        <f>COUNTIF(connections!A:A, A723) &gt; 0</f>
        <v>0</v>
      </c>
      <c r="G723" t="s">
        <v>2565</v>
      </c>
      <c r="H723" t="s">
        <v>187</v>
      </c>
      <c r="I723" t="s">
        <v>2566</v>
      </c>
      <c r="J723" s="1" t="s">
        <v>2567</v>
      </c>
    </row>
    <row r="724" spans="1:10" ht="15" customHeight="1" x14ac:dyDescent="0.25">
      <c r="A724" t="s">
        <v>2568</v>
      </c>
      <c r="B724">
        <v>2023</v>
      </c>
      <c r="C724" t="s">
        <v>176</v>
      </c>
      <c r="D724" t="b">
        <f>TRUE()</f>
        <v>1</v>
      </c>
      <c r="E724" t="b">
        <f>COUNTIF(connections!A:A, A724) &gt; 0</f>
        <v>0</v>
      </c>
      <c r="G724" t="s">
        <v>2569</v>
      </c>
      <c r="H724" t="s">
        <v>187</v>
      </c>
      <c r="I724" t="s">
        <v>2570</v>
      </c>
      <c r="J724" s="1" t="s">
        <v>2571</v>
      </c>
    </row>
    <row r="725" spans="1:10" ht="15" customHeight="1" x14ac:dyDescent="0.25">
      <c r="A725" t="s">
        <v>2572</v>
      </c>
      <c r="B725">
        <v>1998</v>
      </c>
      <c r="C725" t="s">
        <v>179</v>
      </c>
      <c r="D725" t="b">
        <f>TRUE()</f>
        <v>1</v>
      </c>
      <c r="E725" t="b">
        <f>COUNTIF(connections!A:A, A725) &gt; 0</f>
        <v>1</v>
      </c>
      <c r="G725" t="s">
        <v>2573</v>
      </c>
      <c r="H725" t="s">
        <v>187</v>
      </c>
      <c r="I725" t="s">
        <v>2574</v>
      </c>
      <c r="J725" s="1" t="s">
        <v>2575</v>
      </c>
    </row>
    <row r="726" spans="1:10" ht="15" customHeight="1" x14ac:dyDescent="0.25">
      <c r="A726" t="s">
        <v>2576</v>
      </c>
      <c r="B726">
        <v>2026</v>
      </c>
      <c r="C726" t="s">
        <v>182</v>
      </c>
      <c r="D726" t="b">
        <f>TRUE()</f>
        <v>1</v>
      </c>
      <c r="E726" t="b">
        <f>COUNTIF(connections!A:A, A726) &gt; 0</f>
        <v>0</v>
      </c>
      <c r="G726" t="s">
        <v>2577</v>
      </c>
      <c r="J726" s="11" t="s">
        <v>2578</v>
      </c>
    </row>
    <row r="727" spans="1:10" ht="15" customHeight="1" x14ac:dyDescent="0.25">
      <c r="A727" t="s">
        <v>2579</v>
      </c>
      <c r="B727">
        <v>2017</v>
      </c>
      <c r="C727" t="s">
        <v>179</v>
      </c>
      <c r="D727" t="b">
        <f>TRUE()</f>
        <v>1</v>
      </c>
      <c r="E727" t="b">
        <f>COUNTIF(connections!A:A, A727) &gt; 0</f>
        <v>1</v>
      </c>
      <c r="G727" t="s">
        <v>2580</v>
      </c>
      <c r="H727" t="s">
        <v>187</v>
      </c>
      <c r="I727" t="s">
        <v>2581</v>
      </c>
      <c r="J727" s="1" t="s">
        <v>2582</v>
      </c>
    </row>
    <row r="728" spans="1:10" ht="15" customHeight="1" x14ac:dyDescent="0.25">
      <c r="A728" t="s">
        <v>2583</v>
      </c>
      <c r="B728">
        <v>2026</v>
      </c>
      <c r="C728" t="s">
        <v>222</v>
      </c>
      <c r="D728" t="b">
        <f>FALSE()</f>
        <v>0</v>
      </c>
      <c r="E728" t="b">
        <f>COUNTIF(connections!A:A, A728) &gt; 0</f>
        <v>0</v>
      </c>
      <c r="F728" t="s">
        <v>2584</v>
      </c>
      <c r="G728" t="s">
        <v>2585</v>
      </c>
      <c r="H728" t="s">
        <v>187</v>
      </c>
      <c r="I728" t="s">
        <v>2586</v>
      </c>
      <c r="J728" s="1" t="s">
        <v>2587</v>
      </c>
    </row>
    <row r="729" spans="1:10" ht="15" customHeight="1" x14ac:dyDescent="0.25">
      <c r="A729" t="s">
        <v>2588</v>
      </c>
      <c r="B729">
        <v>2006</v>
      </c>
      <c r="C729" t="s">
        <v>179</v>
      </c>
      <c r="D729" t="b">
        <f>TRUE()</f>
        <v>1</v>
      </c>
      <c r="E729" t="b">
        <f>COUNTIF(connections!A:A, A729) &gt; 0</f>
        <v>0</v>
      </c>
      <c r="G729" t="s">
        <v>2589</v>
      </c>
      <c r="H729" t="s">
        <v>187</v>
      </c>
      <c r="I729" t="s">
        <v>2590</v>
      </c>
    </row>
    <row r="730" spans="1:10" ht="14.25" customHeight="1" x14ac:dyDescent="0.25">
      <c r="A730" t="s">
        <v>2591</v>
      </c>
      <c r="B730">
        <v>2023</v>
      </c>
      <c r="C730" t="s">
        <v>176</v>
      </c>
      <c r="D730" t="b">
        <f>TRUE()</f>
        <v>1</v>
      </c>
      <c r="E730" t="b">
        <f>COUNTIF(connections!A:A, A730) &gt; 0</f>
        <v>0</v>
      </c>
      <c r="F730" t="s">
        <v>614</v>
      </c>
      <c r="G730" t="s">
        <v>2592</v>
      </c>
      <c r="H730" t="s">
        <v>187</v>
      </c>
      <c r="I730" t="s">
        <v>2593</v>
      </c>
      <c r="J730" s="1" t="s">
        <v>2594</v>
      </c>
    </row>
    <row r="731" spans="1:10" ht="15" customHeight="1" x14ac:dyDescent="0.25">
      <c r="A731" t="s">
        <v>2595</v>
      </c>
      <c r="B731">
        <v>2019</v>
      </c>
      <c r="C731" t="s">
        <v>222</v>
      </c>
      <c r="D731" t="b">
        <f>TRUE()</f>
        <v>1</v>
      </c>
      <c r="E731" t="b">
        <f>COUNTIF(connections!A:A, A731) &gt; 0</f>
        <v>1</v>
      </c>
      <c r="G731" t="s">
        <v>2596</v>
      </c>
    </row>
    <row r="732" spans="1:10" x14ac:dyDescent="0.25">
      <c r="A732" t="s">
        <v>2597</v>
      </c>
      <c r="B732">
        <v>2026</v>
      </c>
      <c r="C732" t="s">
        <v>176</v>
      </c>
      <c r="D732" t="b">
        <v>1</v>
      </c>
      <c r="E732" t="b">
        <f>COUNTIF(connections!A:A, A732) &gt; 0</f>
        <v>0</v>
      </c>
      <c r="G732" t="s">
        <v>2598</v>
      </c>
      <c r="J732" s="11" t="s">
        <v>2599</v>
      </c>
    </row>
    <row r="733" spans="1:10" x14ac:dyDescent="0.25">
      <c r="A733" t="s">
        <v>2600</v>
      </c>
      <c r="B733">
        <v>2024</v>
      </c>
      <c r="C733" t="s">
        <v>176</v>
      </c>
      <c r="D733" t="b">
        <f>TRUE()</f>
        <v>1</v>
      </c>
      <c r="E733" t="b">
        <f>COUNTIF(connections!A:A, A733) &gt; 0</f>
        <v>0</v>
      </c>
      <c r="G733" t="s">
        <v>2601</v>
      </c>
      <c r="H733" t="s">
        <v>187</v>
      </c>
      <c r="I733" t="s">
        <v>2602</v>
      </c>
      <c r="J733" s="1" t="s">
        <v>2603</v>
      </c>
    </row>
    <row r="734" spans="1:10" x14ac:dyDescent="0.25">
      <c r="A734" t="s">
        <v>2604</v>
      </c>
      <c r="B734">
        <v>2024</v>
      </c>
      <c r="C734" t="s">
        <v>176</v>
      </c>
      <c r="D734" t="b">
        <f>TRUE()</f>
        <v>1</v>
      </c>
      <c r="E734" t="b">
        <f>COUNTIF(connections!A:A, A734) &gt; 0</f>
        <v>0</v>
      </c>
      <c r="G734" t="s">
        <v>2605</v>
      </c>
    </row>
    <row r="735" spans="1:10" x14ac:dyDescent="0.25">
      <c r="A735" t="s">
        <v>2606</v>
      </c>
      <c r="B735">
        <v>2022</v>
      </c>
      <c r="C735" t="s">
        <v>222</v>
      </c>
      <c r="D735" t="b">
        <f>TRUE()</f>
        <v>1</v>
      </c>
      <c r="E735" t="b">
        <f>COUNTIF(connections!A:A, A735) &gt; 0</f>
        <v>0</v>
      </c>
      <c r="G735" t="s">
        <v>2607</v>
      </c>
      <c r="H735" t="s">
        <v>187</v>
      </c>
      <c r="I735" t="s">
        <v>2608</v>
      </c>
      <c r="J735" s="1" t="s">
        <v>2609</v>
      </c>
    </row>
    <row r="736" spans="1:10" x14ac:dyDescent="0.25">
      <c r="A736" t="s">
        <v>2610</v>
      </c>
      <c r="B736">
        <v>2026</v>
      </c>
      <c r="C736" t="s">
        <v>176</v>
      </c>
      <c r="D736" t="b">
        <f>TRUE()</f>
        <v>1</v>
      </c>
      <c r="E736" t="b">
        <f>COUNTIF(connections!A:A, A736) &gt; 0</f>
        <v>0</v>
      </c>
      <c r="G736" t="s">
        <v>2611</v>
      </c>
      <c r="J736" s="11" t="s">
        <v>2612</v>
      </c>
    </row>
    <row r="737" spans="1:10" x14ac:dyDescent="0.25">
      <c r="A737" t="s">
        <v>2613</v>
      </c>
      <c r="B737">
        <v>2024</v>
      </c>
      <c r="C737" t="s">
        <v>176</v>
      </c>
      <c r="D737" t="b">
        <f>TRUE()</f>
        <v>1</v>
      </c>
      <c r="E737" t="b">
        <f>COUNTIF(connections!A:A, A737) &gt; 0</f>
        <v>0</v>
      </c>
      <c r="G737" t="s">
        <v>2614</v>
      </c>
    </row>
    <row r="738" spans="1:10" x14ac:dyDescent="0.25">
      <c r="A738" t="s">
        <v>2615</v>
      </c>
      <c r="B738">
        <v>2025</v>
      </c>
      <c r="C738" t="s">
        <v>222</v>
      </c>
      <c r="D738" t="b">
        <f>TRUE()</f>
        <v>1</v>
      </c>
      <c r="E738" t="b">
        <f>COUNTIF(connections!A:A, A738) &gt; 0</f>
        <v>1</v>
      </c>
      <c r="G738" t="s">
        <v>2616</v>
      </c>
    </row>
    <row r="739" spans="1:10" x14ac:dyDescent="0.25">
      <c r="A739" t="s">
        <v>160</v>
      </c>
      <c r="B739">
        <v>2011</v>
      </c>
      <c r="C739" t="s">
        <v>176</v>
      </c>
      <c r="D739" t="b">
        <f>TRUE()</f>
        <v>1</v>
      </c>
      <c r="E739" t="b">
        <f>COUNTIF(connections!A:A, A739) &gt; 0</f>
        <v>1</v>
      </c>
      <c r="G739" t="s">
        <v>2617</v>
      </c>
      <c r="H739" t="s">
        <v>187</v>
      </c>
      <c r="I739" t="s">
        <v>2618</v>
      </c>
      <c r="J739" s="1" t="s">
        <v>2619</v>
      </c>
    </row>
    <row r="740" spans="1:10" x14ac:dyDescent="0.25">
      <c r="A740" t="s">
        <v>2620</v>
      </c>
      <c r="B740">
        <v>2014</v>
      </c>
      <c r="C740" t="s">
        <v>176</v>
      </c>
      <c r="D740" t="b">
        <f>TRUE()</f>
        <v>1</v>
      </c>
      <c r="E740" t="b">
        <f>COUNTIF(connections!A:A, A740) &gt; 0</f>
        <v>0</v>
      </c>
      <c r="G740" t="s">
        <v>2621</v>
      </c>
      <c r="H740" t="s">
        <v>187</v>
      </c>
      <c r="I740" t="s">
        <v>2622</v>
      </c>
      <c r="J740" s="1" t="s">
        <v>2623</v>
      </c>
    </row>
    <row r="741" spans="1:10" x14ac:dyDescent="0.25">
      <c r="A741" t="s">
        <v>2624</v>
      </c>
      <c r="B741">
        <v>2021</v>
      </c>
      <c r="C741" t="s">
        <v>179</v>
      </c>
      <c r="D741" t="b">
        <f>TRUE()</f>
        <v>1</v>
      </c>
      <c r="E741" t="b">
        <f>COUNTIF(connections!A:A, A741) &gt; 0</f>
        <v>0</v>
      </c>
      <c r="G741" t="s">
        <v>2625</v>
      </c>
    </row>
    <row r="742" spans="1:10" x14ac:dyDescent="0.25">
      <c r="A742" t="s">
        <v>2626</v>
      </c>
      <c r="B742">
        <v>2000</v>
      </c>
      <c r="C742" t="s">
        <v>179</v>
      </c>
      <c r="D742" t="b">
        <f>TRUE()</f>
        <v>1</v>
      </c>
      <c r="E742" t="b">
        <f>COUNTIF(connections!A:A, A742) &gt; 0</f>
        <v>1</v>
      </c>
      <c r="G742" t="s">
        <v>2627</v>
      </c>
      <c r="H742" t="s">
        <v>187</v>
      </c>
      <c r="I742" t="s">
        <v>2628</v>
      </c>
    </row>
    <row r="743" spans="1:10" x14ac:dyDescent="0.25">
      <c r="A743" t="s">
        <v>2629</v>
      </c>
      <c r="B743">
        <v>2025</v>
      </c>
      <c r="C743" t="s">
        <v>182</v>
      </c>
      <c r="D743" t="b">
        <f>FALSE()</f>
        <v>0</v>
      </c>
      <c r="E743" t="b">
        <f>COUNTIF(connections!A:A, A743) &gt; 0</f>
        <v>0</v>
      </c>
      <c r="F743" t="s">
        <v>1077</v>
      </c>
      <c r="G743" t="s">
        <v>2630</v>
      </c>
    </row>
    <row r="744" spans="1:10" x14ac:dyDescent="0.25">
      <c r="A744" t="s">
        <v>2631</v>
      </c>
      <c r="B744">
        <v>2016</v>
      </c>
      <c r="C744" t="s">
        <v>176</v>
      </c>
      <c r="D744" t="b">
        <f>TRUE()</f>
        <v>1</v>
      </c>
      <c r="E744" t="b">
        <f>COUNTIF(connections!A:A, A744) &gt; 0</f>
        <v>0</v>
      </c>
      <c r="G744" t="s">
        <v>2632</v>
      </c>
      <c r="H744" t="s">
        <v>187</v>
      </c>
      <c r="I744" t="s">
        <v>2633</v>
      </c>
      <c r="J744" s="1" t="s">
        <v>2634</v>
      </c>
    </row>
    <row r="745" spans="1:10" x14ac:dyDescent="0.25">
      <c r="A745" t="s">
        <v>2635</v>
      </c>
      <c r="B745">
        <v>2014</v>
      </c>
      <c r="C745" t="s">
        <v>179</v>
      </c>
      <c r="D745" t="b">
        <f>TRUE()</f>
        <v>1</v>
      </c>
      <c r="E745" t="b">
        <f>COUNTIF(connections!A:A, A745) &gt; 0</f>
        <v>1</v>
      </c>
      <c r="G745" t="s">
        <v>2636</v>
      </c>
      <c r="H745" t="s">
        <v>187</v>
      </c>
      <c r="I745" t="s">
        <v>2637</v>
      </c>
    </row>
    <row r="746" spans="1:10" x14ac:dyDescent="0.25">
      <c r="A746" t="s">
        <v>2638</v>
      </c>
      <c r="B746">
        <v>2013</v>
      </c>
      <c r="C746" t="s">
        <v>179</v>
      </c>
      <c r="D746" t="b">
        <f>TRUE()</f>
        <v>1</v>
      </c>
      <c r="E746" t="b">
        <f>COUNTIF(connections!A:A, A746) &gt; 0</f>
        <v>0</v>
      </c>
      <c r="G746" t="s">
        <v>2639</v>
      </c>
    </row>
    <row r="747" spans="1:10" x14ac:dyDescent="0.25">
      <c r="A747" t="s">
        <v>2640</v>
      </c>
      <c r="B747">
        <v>2025</v>
      </c>
      <c r="C747" t="s">
        <v>222</v>
      </c>
      <c r="D747" t="b">
        <f>FALSE()</f>
        <v>0</v>
      </c>
      <c r="E747" t="b">
        <f>COUNTIF(connections!A:A, A747) &gt; 0</f>
        <v>0</v>
      </c>
      <c r="G747" t="s">
        <v>2641</v>
      </c>
      <c r="H747" t="s">
        <v>187</v>
      </c>
      <c r="I747" t="s">
        <v>2642</v>
      </c>
      <c r="J747" s="1" t="s">
        <v>2643</v>
      </c>
    </row>
    <row r="748" spans="1:10" x14ac:dyDescent="0.25">
      <c r="A748" t="s">
        <v>2644</v>
      </c>
      <c r="B748">
        <v>2024</v>
      </c>
      <c r="C748" t="s">
        <v>222</v>
      </c>
      <c r="D748" t="b">
        <f>TRUE()</f>
        <v>1</v>
      </c>
      <c r="E748" t="b">
        <f>COUNTIF(connections!A:A, A748) &gt; 0</f>
        <v>0</v>
      </c>
      <c r="G748" t="s">
        <v>2645</v>
      </c>
    </row>
    <row r="749" spans="1:10" x14ac:dyDescent="0.25">
      <c r="A749" t="s">
        <v>2646</v>
      </c>
      <c r="B749">
        <v>2023</v>
      </c>
      <c r="C749" t="s">
        <v>176</v>
      </c>
      <c r="D749" t="b">
        <f>TRUE()</f>
        <v>1</v>
      </c>
      <c r="E749" t="b">
        <f>COUNTIF(connections!A:A, A749) &gt; 0</f>
        <v>0</v>
      </c>
      <c r="G749" t="s">
        <v>2647</v>
      </c>
      <c r="J749" s="11" t="s">
        <v>2648</v>
      </c>
    </row>
    <row r="750" spans="1:10" x14ac:dyDescent="0.25">
      <c r="A750" t="s">
        <v>2649</v>
      </c>
      <c r="B750">
        <v>2021</v>
      </c>
      <c r="C750" t="s">
        <v>222</v>
      </c>
      <c r="D750" t="b">
        <f>TRUE()</f>
        <v>1</v>
      </c>
      <c r="E750" t="b">
        <f>COUNTIF(connections!A:A, A750) &gt; 0</f>
        <v>0</v>
      </c>
      <c r="G750" t="s">
        <v>2650</v>
      </c>
      <c r="H750" t="s">
        <v>187</v>
      </c>
      <c r="I750" t="s">
        <v>2651</v>
      </c>
      <c r="J750" s="1" t="s">
        <v>2652</v>
      </c>
    </row>
    <row r="751" spans="1:10" x14ac:dyDescent="0.25">
      <c r="A751" t="s">
        <v>2653</v>
      </c>
      <c r="B751">
        <v>2019</v>
      </c>
      <c r="C751" t="s">
        <v>222</v>
      </c>
      <c r="D751" t="b">
        <f>TRUE()</f>
        <v>1</v>
      </c>
      <c r="E751" t="b">
        <f>COUNTIF(connections!A:A, A751) &gt; 0</f>
        <v>1</v>
      </c>
      <c r="G751" t="s">
        <v>2654</v>
      </c>
      <c r="H751" t="s">
        <v>187</v>
      </c>
      <c r="I751" t="s">
        <v>2655</v>
      </c>
      <c r="J751" s="1" t="s">
        <v>2656</v>
      </c>
    </row>
    <row r="752" spans="1:10" x14ac:dyDescent="0.25">
      <c r="A752" t="s">
        <v>2657</v>
      </c>
      <c r="B752">
        <v>2004</v>
      </c>
      <c r="C752" t="s">
        <v>179</v>
      </c>
      <c r="D752" t="b">
        <f>TRUE()</f>
        <v>1</v>
      </c>
      <c r="E752" t="b">
        <f>COUNTIF(connections!A:A, A752) &gt; 0</f>
        <v>0</v>
      </c>
      <c r="G752" t="s">
        <v>2658</v>
      </c>
      <c r="H752" t="s">
        <v>187</v>
      </c>
      <c r="I752" t="s">
        <v>2659</v>
      </c>
    </row>
    <row r="753" spans="1:10" x14ac:dyDescent="0.25">
      <c r="A753" t="s">
        <v>2660</v>
      </c>
      <c r="B753">
        <v>2023</v>
      </c>
      <c r="C753" t="s">
        <v>222</v>
      </c>
      <c r="D753" t="b">
        <f>TRUE()</f>
        <v>1</v>
      </c>
      <c r="E753" t="b">
        <f>COUNTIF(connections!A:A, A753) &gt; 0</f>
        <v>0</v>
      </c>
      <c r="F753" t="s">
        <v>1165</v>
      </c>
      <c r="G753" t="s">
        <v>2661</v>
      </c>
      <c r="H753" t="s">
        <v>187</v>
      </c>
      <c r="I753" t="s">
        <v>2662</v>
      </c>
      <c r="J753" s="1" t="s">
        <v>2663</v>
      </c>
    </row>
    <row r="754" spans="1:10" x14ac:dyDescent="0.25">
      <c r="A754" t="s">
        <v>2664</v>
      </c>
      <c r="B754">
        <v>2024</v>
      </c>
      <c r="C754" t="s">
        <v>176</v>
      </c>
      <c r="D754" t="b">
        <f>TRUE()</f>
        <v>1</v>
      </c>
      <c r="E754" t="b">
        <f>COUNTIF(connections!A:A, A754) &gt; 0</f>
        <v>0</v>
      </c>
      <c r="G754" t="s">
        <v>2665</v>
      </c>
      <c r="H754" t="s">
        <v>187</v>
      </c>
      <c r="I754" t="s">
        <v>2666</v>
      </c>
      <c r="J754" s="1" t="s">
        <v>2667</v>
      </c>
    </row>
    <row r="755" spans="1:10" x14ac:dyDescent="0.25">
      <c r="A755" t="s">
        <v>2668</v>
      </c>
      <c r="B755">
        <v>2025</v>
      </c>
      <c r="C755" t="s">
        <v>182</v>
      </c>
      <c r="D755" t="b">
        <f>TRUE()</f>
        <v>1</v>
      </c>
      <c r="E755" t="b">
        <f>COUNTIF(connections!A:A, A755) &gt; 0</f>
        <v>0</v>
      </c>
      <c r="G755" t="s">
        <v>2669</v>
      </c>
    </row>
    <row r="756" spans="1:10" x14ac:dyDescent="0.25">
      <c r="A756" t="s">
        <v>2670</v>
      </c>
      <c r="B756">
        <v>2024</v>
      </c>
      <c r="C756" t="s">
        <v>176</v>
      </c>
      <c r="D756" t="b">
        <f>TRUE()</f>
        <v>1</v>
      </c>
      <c r="E756" t="b">
        <f>COUNTIF(connections!A:A, A756) &gt; 0</f>
        <v>0</v>
      </c>
      <c r="G756" t="s">
        <v>2671</v>
      </c>
    </row>
    <row r="757" spans="1:10" x14ac:dyDescent="0.25">
      <c r="A757" t="s">
        <v>2672</v>
      </c>
      <c r="B757">
        <v>2026</v>
      </c>
      <c r="C757" t="s">
        <v>182</v>
      </c>
      <c r="D757" t="b">
        <f>TRUE()</f>
        <v>1</v>
      </c>
      <c r="E757" t="b">
        <f>COUNTIF(connections!A:A, A757) &gt; 0</f>
        <v>0</v>
      </c>
      <c r="F757" t="s">
        <v>506</v>
      </c>
      <c r="G757" t="s">
        <v>2673</v>
      </c>
      <c r="H757" t="s">
        <v>187</v>
      </c>
      <c r="I757" t="s">
        <v>2674</v>
      </c>
      <c r="J757" s="1" t="s">
        <v>2675</v>
      </c>
    </row>
    <row r="758" spans="1:10" x14ac:dyDescent="0.25">
      <c r="A758" t="s">
        <v>2676</v>
      </c>
      <c r="B758">
        <v>2022</v>
      </c>
      <c r="C758" t="s">
        <v>176</v>
      </c>
      <c r="D758" t="b">
        <f>TRUE()</f>
        <v>1</v>
      </c>
      <c r="E758" t="b">
        <f>COUNTIF(connections!A:A, A758) &gt; 0</f>
        <v>1</v>
      </c>
      <c r="G758" t="s">
        <v>2677</v>
      </c>
      <c r="H758" t="s">
        <v>187</v>
      </c>
      <c r="I758" t="s">
        <v>2678</v>
      </c>
      <c r="J758" s="1" t="s">
        <v>2679</v>
      </c>
    </row>
    <row r="759" spans="1:10" x14ac:dyDescent="0.25">
      <c r="A759" t="s">
        <v>2680</v>
      </c>
      <c r="B759">
        <v>2018</v>
      </c>
      <c r="C759" t="s">
        <v>176</v>
      </c>
      <c r="D759" t="b">
        <f>TRUE()</f>
        <v>1</v>
      </c>
      <c r="E759" t="b">
        <f>COUNTIF(connections!A:A, A759) &gt; 0</f>
        <v>0</v>
      </c>
      <c r="G759" t="s">
        <v>2681</v>
      </c>
    </row>
    <row r="760" spans="1:10" x14ac:dyDescent="0.25">
      <c r="A760" t="s">
        <v>2682</v>
      </c>
      <c r="B760">
        <v>2014</v>
      </c>
      <c r="C760" t="s">
        <v>179</v>
      </c>
      <c r="D760" t="b">
        <f>TRUE()</f>
        <v>1</v>
      </c>
      <c r="E760" t="b">
        <f>COUNTIF(connections!A:A, A760) &gt; 0</f>
        <v>0</v>
      </c>
      <c r="G760" t="s">
        <v>2683</v>
      </c>
      <c r="J760" s="11" t="s">
        <v>2684</v>
      </c>
    </row>
    <row r="761" spans="1:10" x14ac:dyDescent="0.25">
      <c r="A761" t="s">
        <v>2685</v>
      </c>
      <c r="B761">
        <v>2025</v>
      </c>
      <c r="C761" t="s">
        <v>222</v>
      </c>
      <c r="D761" t="b">
        <f>FALSE()</f>
        <v>0</v>
      </c>
      <c r="E761" t="b">
        <f>COUNTIF(connections!A:A, A761) &gt; 0</f>
        <v>0</v>
      </c>
      <c r="F761" t="s">
        <v>404</v>
      </c>
      <c r="G761" t="s">
        <v>2686</v>
      </c>
    </row>
    <row r="762" spans="1:10" x14ac:dyDescent="0.25">
      <c r="A762" t="s">
        <v>2687</v>
      </c>
      <c r="B762">
        <v>2025</v>
      </c>
      <c r="C762" t="s">
        <v>182</v>
      </c>
      <c r="D762" t="b">
        <f>TRUE()</f>
        <v>1</v>
      </c>
      <c r="E762" t="b">
        <f>COUNTIF(connections!A:A, A762) &gt; 0</f>
        <v>0</v>
      </c>
      <c r="G762" t="s">
        <v>2688</v>
      </c>
    </row>
    <row r="763" spans="1:10" x14ac:dyDescent="0.25">
      <c r="A763" t="s">
        <v>2689</v>
      </c>
      <c r="B763">
        <v>2023</v>
      </c>
      <c r="C763" t="s">
        <v>176</v>
      </c>
      <c r="D763" t="b">
        <f>TRUE()</f>
        <v>1</v>
      </c>
      <c r="E763" t="b">
        <f>COUNTIF(connections!A:A, A763) &gt; 0</f>
        <v>0</v>
      </c>
      <c r="G763" t="s">
        <v>2690</v>
      </c>
      <c r="J763" s="11" t="s">
        <v>2691</v>
      </c>
    </row>
    <row r="764" spans="1:10" x14ac:dyDescent="0.25">
      <c r="A764" t="s">
        <v>2692</v>
      </c>
      <c r="B764">
        <v>2023</v>
      </c>
      <c r="C764" t="s">
        <v>176</v>
      </c>
      <c r="D764" t="b">
        <f>TRUE()</f>
        <v>1</v>
      </c>
      <c r="E764" t="b">
        <f>COUNTIF(connections!A:A, A764) &gt; 0</f>
        <v>0</v>
      </c>
      <c r="G764" t="s">
        <v>2693</v>
      </c>
      <c r="H764" t="s">
        <v>187</v>
      </c>
      <c r="I764" t="s">
        <v>2694</v>
      </c>
      <c r="J764" s="1" t="s">
        <v>2695</v>
      </c>
    </row>
    <row r="765" spans="1:10" x14ac:dyDescent="0.25">
      <c r="A765" t="s">
        <v>2696</v>
      </c>
      <c r="B765">
        <v>2025</v>
      </c>
      <c r="C765" t="s">
        <v>182</v>
      </c>
      <c r="D765" t="b">
        <f>TRUE()</f>
        <v>1</v>
      </c>
      <c r="E765" t="b">
        <f>COUNTIF(connections!A:A, A765) &gt; 0</f>
        <v>1</v>
      </c>
      <c r="F765" t="s">
        <v>1031</v>
      </c>
      <c r="G765" t="s">
        <v>2697</v>
      </c>
      <c r="J765" s="11" t="s">
        <v>2698</v>
      </c>
    </row>
    <row r="766" spans="1:10" x14ac:dyDescent="0.25">
      <c r="A766" t="s">
        <v>2699</v>
      </c>
      <c r="B766">
        <v>2022</v>
      </c>
      <c r="C766" t="s">
        <v>176</v>
      </c>
      <c r="D766" t="b">
        <f>TRUE()</f>
        <v>1</v>
      </c>
      <c r="E766" t="b">
        <f>COUNTIF(connections!A:A, A766) &gt; 0</f>
        <v>1</v>
      </c>
      <c r="G766" t="s">
        <v>2700</v>
      </c>
      <c r="H766" t="s">
        <v>187</v>
      </c>
      <c r="I766" t="s">
        <v>2701</v>
      </c>
      <c r="J766" s="1" t="s">
        <v>2702</v>
      </c>
    </row>
    <row r="767" spans="1:10" x14ac:dyDescent="0.25">
      <c r="A767" t="s">
        <v>2703</v>
      </c>
      <c r="B767">
        <v>2022</v>
      </c>
      <c r="C767" t="s">
        <v>222</v>
      </c>
      <c r="D767" t="b">
        <f>TRUE()</f>
        <v>1</v>
      </c>
      <c r="E767" t="b">
        <f>COUNTIF(connections!A:A, A767) &gt; 0</f>
        <v>0</v>
      </c>
      <c r="G767" t="s">
        <v>2704</v>
      </c>
      <c r="H767" t="s">
        <v>187</v>
      </c>
      <c r="I767" t="s">
        <v>2705</v>
      </c>
      <c r="J767" s="1" t="s">
        <v>2706</v>
      </c>
    </row>
    <row r="768" spans="1:10" x14ac:dyDescent="0.25">
      <c r="A768" t="s">
        <v>2707</v>
      </c>
      <c r="B768">
        <v>1991</v>
      </c>
      <c r="C768" t="s">
        <v>176</v>
      </c>
      <c r="D768" t="b">
        <f>TRUE()</f>
        <v>1</v>
      </c>
      <c r="E768" t="b">
        <f>COUNTIF(connections!A:A, A768) &gt; 0</f>
        <v>1</v>
      </c>
      <c r="G768" t="s">
        <v>2708</v>
      </c>
      <c r="H768" t="s">
        <v>187</v>
      </c>
      <c r="I768" t="s">
        <v>2709</v>
      </c>
    </row>
    <row r="769" spans="1:10" x14ac:dyDescent="0.25">
      <c r="A769" t="s">
        <v>2710</v>
      </c>
      <c r="B769">
        <v>2019</v>
      </c>
      <c r="C769" t="s">
        <v>176</v>
      </c>
      <c r="D769" t="b">
        <f>TRUE()</f>
        <v>1</v>
      </c>
      <c r="E769" t="b">
        <f>COUNTIF(connections!A:A, A769) &gt; 0</f>
        <v>0</v>
      </c>
      <c r="G769" t="s">
        <v>2711</v>
      </c>
    </row>
    <row r="770" spans="1:10" x14ac:dyDescent="0.25">
      <c r="A770" t="s">
        <v>2712</v>
      </c>
      <c r="B770">
        <v>2022</v>
      </c>
      <c r="C770" t="s">
        <v>176</v>
      </c>
      <c r="D770" t="b">
        <f>TRUE()</f>
        <v>1</v>
      </c>
      <c r="E770" t="b">
        <f>COUNTIF(connections!A:A, A770) &gt; 0</f>
        <v>0</v>
      </c>
      <c r="G770" t="s">
        <v>2713</v>
      </c>
      <c r="H770" t="s">
        <v>187</v>
      </c>
      <c r="I770" t="s">
        <v>2714</v>
      </c>
      <c r="J770" s="1" t="s">
        <v>2715</v>
      </c>
    </row>
    <row r="771" spans="1:10" x14ac:dyDescent="0.25">
      <c r="A771" t="s">
        <v>2716</v>
      </c>
      <c r="B771">
        <v>1999</v>
      </c>
      <c r="C771" t="s">
        <v>179</v>
      </c>
      <c r="D771" t="b">
        <f>TRUE()</f>
        <v>1</v>
      </c>
      <c r="E771" t="b">
        <f>COUNTIF(connections!A:A, A771) &gt; 0</f>
        <v>1</v>
      </c>
      <c r="G771" t="s">
        <v>2717</v>
      </c>
      <c r="H771" t="s">
        <v>187</v>
      </c>
      <c r="I771" t="s">
        <v>2718</v>
      </c>
    </row>
    <row r="772" spans="1:10" x14ac:dyDescent="0.25">
      <c r="A772" t="s">
        <v>2719</v>
      </c>
      <c r="B772">
        <v>2002</v>
      </c>
      <c r="C772" t="s">
        <v>179</v>
      </c>
      <c r="D772" t="b">
        <f>TRUE()</f>
        <v>1</v>
      </c>
      <c r="E772" t="b">
        <f>COUNTIF(connections!A:A, A772) &gt; 0</f>
        <v>0</v>
      </c>
      <c r="G772" t="s">
        <v>2720</v>
      </c>
      <c r="H772" t="s">
        <v>187</v>
      </c>
      <c r="I772" t="s">
        <v>2721</v>
      </c>
    </row>
    <row r="773" spans="1:10" x14ac:dyDescent="0.25">
      <c r="A773" t="s">
        <v>2722</v>
      </c>
      <c r="B773">
        <v>1993</v>
      </c>
      <c r="C773" t="s">
        <v>179</v>
      </c>
      <c r="D773" t="b">
        <f>TRUE()</f>
        <v>1</v>
      </c>
      <c r="E773" t="b">
        <f>COUNTIF(connections!A:A, A773) &gt; 0</f>
        <v>1</v>
      </c>
      <c r="G773" t="s">
        <v>2723</v>
      </c>
      <c r="H773" t="s">
        <v>187</v>
      </c>
      <c r="I773" t="s">
        <v>2724</v>
      </c>
    </row>
    <row r="774" spans="1:10" x14ac:dyDescent="0.25">
      <c r="A774" t="s">
        <v>2725</v>
      </c>
      <c r="B774">
        <v>2025</v>
      </c>
      <c r="C774" t="s">
        <v>179</v>
      </c>
      <c r="D774" t="b">
        <f>TRUE()</f>
        <v>1</v>
      </c>
      <c r="E774" t="b">
        <f>COUNTIF(connections!A:A, A774) &gt; 0</f>
        <v>0</v>
      </c>
      <c r="F774" t="s">
        <v>328</v>
      </c>
      <c r="G774" t="s">
        <v>2726</v>
      </c>
      <c r="H774" t="s">
        <v>187</v>
      </c>
      <c r="I774" t="s">
        <v>2727</v>
      </c>
      <c r="J774" s="1" t="s">
        <v>2728</v>
      </c>
    </row>
    <row r="775" spans="1:10" x14ac:dyDescent="0.25">
      <c r="A775" t="s">
        <v>2729</v>
      </c>
      <c r="B775">
        <v>2024</v>
      </c>
      <c r="C775" t="s">
        <v>179</v>
      </c>
      <c r="D775" t="b">
        <f>TRUE()</f>
        <v>1</v>
      </c>
      <c r="E775" t="b">
        <f>COUNTIF(connections!A:A, A775) &gt; 0</f>
        <v>0</v>
      </c>
      <c r="F775" t="s">
        <v>328</v>
      </c>
      <c r="G775" t="s">
        <v>2730</v>
      </c>
      <c r="J775" s="11" t="s">
        <v>2731</v>
      </c>
    </row>
    <row r="776" spans="1:10" x14ac:dyDescent="0.25">
      <c r="A776" t="s">
        <v>2732</v>
      </c>
      <c r="B776">
        <v>2021</v>
      </c>
      <c r="C776" t="s">
        <v>179</v>
      </c>
      <c r="D776" t="b">
        <f>TRUE()</f>
        <v>1</v>
      </c>
      <c r="E776" t="b">
        <f>COUNTIF(connections!A:A, A776) &gt; 0</f>
        <v>0</v>
      </c>
      <c r="F776" t="s">
        <v>328</v>
      </c>
      <c r="G776" t="s">
        <v>2733</v>
      </c>
      <c r="J776" s="11" t="s">
        <v>2734</v>
      </c>
    </row>
    <row r="777" spans="1:10" x14ac:dyDescent="0.25">
      <c r="A777" t="s">
        <v>2735</v>
      </c>
      <c r="B777">
        <v>2022</v>
      </c>
      <c r="C777" t="s">
        <v>182</v>
      </c>
      <c r="D777" t="b">
        <f>TRUE()</f>
        <v>1</v>
      </c>
      <c r="E777" t="b">
        <f>COUNTIF(connections!A:A, A777) &gt; 0</f>
        <v>0</v>
      </c>
      <c r="F777" t="s">
        <v>328</v>
      </c>
      <c r="G777" t="s">
        <v>2736</v>
      </c>
    </row>
    <row r="778" spans="1:10" x14ac:dyDescent="0.25">
      <c r="A778" t="s">
        <v>2737</v>
      </c>
      <c r="B778">
        <v>2025</v>
      </c>
      <c r="C778" t="s">
        <v>222</v>
      </c>
      <c r="D778" t="b">
        <f>TRUE()</f>
        <v>1</v>
      </c>
      <c r="E778" t="b">
        <f>COUNTIF(connections!A:A, A778) &gt; 0</f>
        <v>0</v>
      </c>
      <c r="G778" t="s">
        <v>2738</v>
      </c>
    </row>
    <row r="779" spans="1:10" x14ac:dyDescent="0.25">
      <c r="A779" t="s">
        <v>2739</v>
      </c>
      <c r="B779">
        <v>2023</v>
      </c>
      <c r="C779" t="s">
        <v>182</v>
      </c>
      <c r="D779" t="b">
        <f>TRUE()</f>
        <v>1</v>
      </c>
      <c r="E779" t="b">
        <f>COUNTIF(connections!A:A, A779) &gt; 0</f>
        <v>0</v>
      </c>
      <c r="F779" t="s">
        <v>404</v>
      </c>
      <c r="G779" t="s">
        <v>2740</v>
      </c>
      <c r="H779" t="s">
        <v>187</v>
      </c>
      <c r="I779" t="s">
        <v>2741</v>
      </c>
      <c r="J779" s="1" t="s">
        <v>2742</v>
      </c>
    </row>
    <row r="780" spans="1:10" x14ac:dyDescent="0.25">
      <c r="A780" t="s">
        <v>2743</v>
      </c>
      <c r="B780">
        <v>2024</v>
      </c>
      <c r="C780" t="s">
        <v>222</v>
      </c>
      <c r="D780" t="b">
        <f>TRUE()</f>
        <v>1</v>
      </c>
      <c r="E780" t="b">
        <f>COUNTIF(connections!A:A, A780) &gt; 0</f>
        <v>0</v>
      </c>
      <c r="F780" t="s">
        <v>404</v>
      </c>
      <c r="G780" t="s">
        <v>2744</v>
      </c>
    </row>
    <row r="781" spans="1:10" x14ac:dyDescent="0.25">
      <c r="A781" t="s">
        <v>2745</v>
      </c>
      <c r="B781">
        <v>2017</v>
      </c>
      <c r="C781" t="s">
        <v>176</v>
      </c>
      <c r="D781" t="b">
        <f>TRUE()</f>
        <v>1</v>
      </c>
      <c r="E781" t="b">
        <f>COUNTIF(connections!A:A, A781) &gt; 0</f>
        <v>0</v>
      </c>
      <c r="G781" t="s">
        <v>2746</v>
      </c>
      <c r="J781" s="11" t="s">
        <v>2747</v>
      </c>
    </row>
    <row r="782" spans="1:10" x14ac:dyDescent="0.25">
      <c r="A782" t="s">
        <v>2748</v>
      </c>
      <c r="B782">
        <v>2014</v>
      </c>
      <c r="C782" t="s">
        <v>176</v>
      </c>
      <c r="D782" t="b">
        <f>TRUE()</f>
        <v>1</v>
      </c>
      <c r="E782" t="b">
        <f>COUNTIF(connections!A:A, A782) &gt; 0</f>
        <v>1</v>
      </c>
      <c r="G782" t="s">
        <v>2749</v>
      </c>
      <c r="H782" t="s">
        <v>187</v>
      </c>
      <c r="I782" t="s">
        <v>2750</v>
      </c>
      <c r="J782" s="1" t="s">
        <v>2751</v>
      </c>
    </row>
    <row r="783" spans="1:10" x14ac:dyDescent="0.25">
      <c r="A783" t="s">
        <v>2752</v>
      </c>
      <c r="B783">
        <v>2021</v>
      </c>
      <c r="C783" t="s">
        <v>182</v>
      </c>
      <c r="D783" t="b">
        <f>TRUE()</f>
        <v>1</v>
      </c>
      <c r="E783" t="b">
        <f>COUNTIF(connections!A:A, A783) &gt; 0</f>
        <v>1</v>
      </c>
      <c r="F783" t="s">
        <v>404</v>
      </c>
      <c r="G783" t="s">
        <v>2753</v>
      </c>
      <c r="H783" t="s">
        <v>187</v>
      </c>
      <c r="I783" t="s">
        <v>2754</v>
      </c>
      <c r="J783" s="1" t="s">
        <v>2755</v>
      </c>
    </row>
    <row r="784" spans="1:10" x14ac:dyDescent="0.25">
      <c r="A784" t="s">
        <v>2756</v>
      </c>
      <c r="B784">
        <v>2025</v>
      </c>
      <c r="C784" t="s">
        <v>182</v>
      </c>
      <c r="D784" t="b">
        <f>TRUE()</f>
        <v>1</v>
      </c>
      <c r="E784" t="b">
        <f>COUNTIF(connections!A:A, A784) &gt; 0</f>
        <v>0</v>
      </c>
      <c r="G784" t="s">
        <v>2757</v>
      </c>
    </row>
    <row r="785" spans="1:10" x14ac:dyDescent="0.25">
      <c r="A785" t="s">
        <v>2758</v>
      </c>
      <c r="B785">
        <v>2019</v>
      </c>
      <c r="C785" t="s">
        <v>182</v>
      </c>
      <c r="D785" t="b">
        <f>TRUE()</f>
        <v>1</v>
      </c>
      <c r="E785" t="b">
        <f>COUNTIF(connections!A:A, A785) &gt; 0</f>
        <v>0</v>
      </c>
      <c r="G785" t="s">
        <v>2759</v>
      </c>
      <c r="J785" s="1" t="s">
        <v>2760</v>
      </c>
    </row>
    <row r="786" spans="1:10" x14ac:dyDescent="0.25">
      <c r="A786" t="s">
        <v>2761</v>
      </c>
      <c r="B786">
        <v>2017</v>
      </c>
      <c r="C786" t="s">
        <v>176</v>
      </c>
      <c r="D786" t="b">
        <f>TRUE()</f>
        <v>1</v>
      </c>
      <c r="E786" t="b">
        <f>COUNTIF(connections!A:A, A786) &gt; 0</f>
        <v>0</v>
      </c>
      <c r="G786" t="s">
        <v>2762</v>
      </c>
      <c r="J786" s="11" t="s">
        <v>2763</v>
      </c>
    </row>
    <row r="787" spans="1:10" x14ac:dyDescent="0.25">
      <c r="A787" t="s">
        <v>2764</v>
      </c>
      <c r="B787">
        <v>2026</v>
      </c>
      <c r="C787" t="s">
        <v>182</v>
      </c>
      <c r="D787" t="b">
        <f>TRUE()</f>
        <v>1</v>
      </c>
      <c r="E787" t="b">
        <f>COUNTIF(connections!A:A, A787) &gt; 0</f>
        <v>0</v>
      </c>
      <c r="G787" t="s">
        <v>2765</v>
      </c>
      <c r="J787" s="1" t="s">
        <v>2766</v>
      </c>
    </row>
    <row r="788" spans="1:10" x14ac:dyDescent="0.25">
      <c r="A788" t="s">
        <v>2767</v>
      </c>
      <c r="B788">
        <v>2025</v>
      </c>
      <c r="C788" t="s">
        <v>176</v>
      </c>
      <c r="D788" t="b">
        <f>TRUE()</f>
        <v>1</v>
      </c>
      <c r="E788" t="b">
        <f>COUNTIF(connections!A:A, A788) &gt; 0</f>
        <v>0</v>
      </c>
      <c r="G788" t="s">
        <v>2768</v>
      </c>
      <c r="J788" s="1" t="s">
        <v>2769</v>
      </c>
    </row>
    <row r="789" spans="1:10" x14ac:dyDescent="0.25">
      <c r="A789" t="s">
        <v>2770</v>
      </c>
      <c r="B789">
        <v>2012</v>
      </c>
      <c r="C789" t="s">
        <v>179</v>
      </c>
      <c r="D789" t="b">
        <f>TRUE()</f>
        <v>1</v>
      </c>
      <c r="E789" t="b">
        <f>COUNTIF(connections!A:A, A789) &gt; 0</f>
        <v>0</v>
      </c>
      <c r="G789" t="s">
        <v>2771</v>
      </c>
    </row>
    <row r="790" spans="1:10" x14ac:dyDescent="0.25">
      <c r="A790" t="s">
        <v>2772</v>
      </c>
      <c r="B790">
        <v>2021</v>
      </c>
      <c r="C790" t="s">
        <v>179</v>
      </c>
      <c r="D790" t="b">
        <f>TRUE()</f>
        <v>1</v>
      </c>
      <c r="E790" t="b">
        <f>COUNTIF(connections!A:A, A790) &gt; 0</f>
        <v>0</v>
      </c>
      <c r="G790" t="s">
        <v>2773</v>
      </c>
      <c r="H790" t="s">
        <v>187</v>
      </c>
      <c r="I790" t="s">
        <v>2774</v>
      </c>
      <c r="J790" s="1" t="s">
        <v>2775</v>
      </c>
    </row>
    <row r="791" spans="1:10" x14ac:dyDescent="0.25">
      <c r="A791" t="s">
        <v>2776</v>
      </c>
      <c r="B791">
        <v>2021</v>
      </c>
      <c r="C791" t="s">
        <v>222</v>
      </c>
      <c r="D791" t="b">
        <f>FALSE()</f>
        <v>0</v>
      </c>
      <c r="E791" t="b">
        <f>COUNTIF(connections!A:A, A791) &gt; 0</f>
        <v>0</v>
      </c>
      <c r="F791" t="s">
        <v>2777</v>
      </c>
      <c r="G791" t="s">
        <v>2778</v>
      </c>
      <c r="H791" t="s">
        <v>187</v>
      </c>
      <c r="I791" t="s">
        <v>2779</v>
      </c>
      <c r="J791" s="1" t="s">
        <v>2780</v>
      </c>
    </row>
    <row r="792" spans="1:10" x14ac:dyDescent="0.25">
      <c r="A792" t="s">
        <v>2781</v>
      </c>
      <c r="B792">
        <v>2024</v>
      </c>
      <c r="C792" t="s">
        <v>176</v>
      </c>
      <c r="D792" t="b">
        <f>FALSE()</f>
        <v>0</v>
      </c>
      <c r="E792" t="b">
        <f>COUNTIF(connections!A:A, A792) &gt; 0</f>
        <v>0</v>
      </c>
      <c r="F792" t="s">
        <v>277</v>
      </c>
      <c r="G792" t="s">
        <v>2782</v>
      </c>
    </row>
    <row r="793" spans="1:10" x14ac:dyDescent="0.25">
      <c r="A793" t="s">
        <v>2783</v>
      </c>
      <c r="B793">
        <v>2019</v>
      </c>
      <c r="C793" t="s">
        <v>176</v>
      </c>
      <c r="D793" t="b">
        <f>TRUE()</f>
        <v>1</v>
      </c>
      <c r="E793" t="b">
        <f>COUNTIF(connections!A:A, A793) &gt; 0</f>
        <v>1</v>
      </c>
      <c r="F793" t="s">
        <v>617</v>
      </c>
      <c r="G793" t="s">
        <v>2784</v>
      </c>
      <c r="H793" t="s">
        <v>187</v>
      </c>
      <c r="I793" t="s">
        <v>2785</v>
      </c>
      <c r="J793" s="1" t="s">
        <v>2786</v>
      </c>
    </row>
    <row r="794" spans="1:10" x14ac:dyDescent="0.25">
      <c r="A794" t="s">
        <v>2787</v>
      </c>
      <c r="B794">
        <v>2025</v>
      </c>
      <c r="C794" t="s">
        <v>176</v>
      </c>
      <c r="D794" t="b">
        <f>TRUE()</f>
        <v>1</v>
      </c>
      <c r="E794" t="b">
        <f>COUNTIF(connections!A:A, A794) &gt; 0</f>
        <v>0</v>
      </c>
      <c r="F794" t="s">
        <v>617</v>
      </c>
      <c r="G794" t="s">
        <v>2788</v>
      </c>
    </row>
    <row r="795" spans="1:10" x14ac:dyDescent="0.25">
      <c r="A795" t="s">
        <v>2789</v>
      </c>
      <c r="B795">
        <v>2017</v>
      </c>
      <c r="C795" t="s">
        <v>176</v>
      </c>
      <c r="D795" t="b">
        <f>TRUE()</f>
        <v>1</v>
      </c>
      <c r="E795" t="b">
        <f>COUNTIF(connections!A:A, A795) &gt; 0</f>
        <v>1</v>
      </c>
      <c r="G795" t="s">
        <v>2790</v>
      </c>
    </row>
    <row r="796" spans="1:10" x14ac:dyDescent="0.25">
      <c r="A796" t="s">
        <v>2791</v>
      </c>
      <c r="B796">
        <v>2022</v>
      </c>
      <c r="C796" t="s">
        <v>176</v>
      </c>
      <c r="D796" t="b">
        <f>TRUE()</f>
        <v>1</v>
      </c>
      <c r="E796" t="b">
        <f>COUNTIF(connections!A:A, A796) &gt; 0</f>
        <v>0</v>
      </c>
      <c r="G796" t="s">
        <v>2792</v>
      </c>
    </row>
    <row r="797" spans="1:10" x14ac:dyDescent="0.25">
      <c r="A797" t="s">
        <v>2793</v>
      </c>
      <c r="B797">
        <v>1992</v>
      </c>
      <c r="C797" t="s">
        <v>179</v>
      </c>
      <c r="D797" t="b">
        <f>TRUE()</f>
        <v>1</v>
      </c>
      <c r="E797" t="b">
        <f>COUNTIF(connections!A:A, A797) &gt; 0</f>
        <v>1</v>
      </c>
      <c r="G797" t="s">
        <v>2794</v>
      </c>
      <c r="H797" t="s">
        <v>187</v>
      </c>
      <c r="I797" t="s">
        <v>2795</v>
      </c>
      <c r="J797" s="1" t="s">
        <v>2796</v>
      </c>
    </row>
    <row r="798" spans="1:10" x14ac:dyDescent="0.25">
      <c r="A798" t="s">
        <v>2797</v>
      </c>
      <c r="B798">
        <v>2018</v>
      </c>
      <c r="C798" t="s">
        <v>176</v>
      </c>
      <c r="D798" t="b">
        <f>TRUE()</f>
        <v>1</v>
      </c>
      <c r="E798" t="b">
        <f>COUNTIF(connections!A:A, A798) &gt; 0</f>
        <v>0</v>
      </c>
      <c r="G798" t="s">
        <v>2798</v>
      </c>
    </row>
    <row r="799" spans="1:10" x14ac:dyDescent="0.25">
      <c r="A799" t="s">
        <v>2799</v>
      </c>
      <c r="B799">
        <v>2026</v>
      </c>
      <c r="C799" t="s">
        <v>182</v>
      </c>
      <c r="D799" t="b">
        <f>TRUE()</f>
        <v>1</v>
      </c>
      <c r="E799" t="b">
        <f>COUNTIF(connections!A:A, A799) &gt; 0</f>
        <v>0</v>
      </c>
      <c r="F799" t="s">
        <v>1806</v>
      </c>
      <c r="G799" t="s">
        <v>2800</v>
      </c>
    </row>
    <row r="800" spans="1:10" x14ac:dyDescent="0.25">
      <c r="A800" t="s">
        <v>2801</v>
      </c>
      <c r="B800">
        <v>2023</v>
      </c>
      <c r="C800" t="s">
        <v>176</v>
      </c>
      <c r="D800" t="b">
        <f>TRUE()</f>
        <v>1</v>
      </c>
      <c r="E800" t="b">
        <f>COUNTIF(connections!A:A, A800) &gt; 0</f>
        <v>0</v>
      </c>
      <c r="F800" t="s">
        <v>1806</v>
      </c>
      <c r="G800" t="s">
        <v>2802</v>
      </c>
      <c r="H800" t="s">
        <v>187</v>
      </c>
      <c r="I800" t="s">
        <v>2803</v>
      </c>
      <c r="J800" s="1" t="s">
        <v>2804</v>
      </c>
    </row>
    <row r="801" spans="1:10" x14ac:dyDescent="0.25">
      <c r="A801" t="s">
        <v>2805</v>
      </c>
      <c r="B801">
        <v>2021</v>
      </c>
      <c r="C801" t="s">
        <v>176</v>
      </c>
      <c r="D801" t="b">
        <f>TRUE()</f>
        <v>1</v>
      </c>
      <c r="E801" t="b">
        <f>COUNTIF(connections!A:A, A801) &gt; 0</f>
        <v>1</v>
      </c>
      <c r="F801" t="s">
        <v>1806</v>
      </c>
      <c r="G801" t="s">
        <v>2806</v>
      </c>
      <c r="H801" t="s">
        <v>187</v>
      </c>
      <c r="I801" t="s">
        <v>2807</v>
      </c>
      <c r="J801" s="1" t="s">
        <v>2808</v>
      </c>
    </row>
    <row r="802" spans="1:10" x14ac:dyDescent="0.25">
      <c r="A802" t="s">
        <v>2809</v>
      </c>
      <c r="B802">
        <v>2020</v>
      </c>
      <c r="C802" t="s">
        <v>182</v>
      </c>
      <c r="D802" t="b">
        <f>TRUE()</f>
        <v>1</v>
      </c>
      <c r="E802" t="b">
        <f>COUNTIF(connections!A:A, A802) &gt; 0</f>
        <v>0</v>
      </c>
      <c r="G802" t="s">
        <v>2810</v>
      </c>
      <c r="H802" t="s">
        <v>187</v>
      </c>
      <c r="I802" t="s">
        <v>2811</v>
      </c>
      <c r="J802" s="1" t="s">
        <v>2812</v>
      </c>
    </row>
    <row r="803" spans="1:10" x14ac:dyDescent="0.25">
      <c r="A803" t="s">
        <v>2813</v>
      </c>
      <c r="B803">
        <v>2024</v>
      </c>
      <c r="C803" t="s">
        <v>176</v>
      </c>
      <c r="D803" t="b">
        <f>TRUE()</f>
        <v>1</v>
      </c>
      <c r="E803" t="b">
        <f>COUNTIF(connections!A:A, A803) &gt; 0</f>
        <v>0</v>
      </c>
      <c r="G803" t="s">
        <v>2814</v>
      </c>
    </row>
    <row r="804" spans="1:10" x14ac:dyDescent="0.25">
      <c r="A804" t="s">
        <v>2815</v>
      </c>
      <c r="B804">
        <v>2026</v>
      </c>
      <c r="C804" t="s">
        <v>176</v>
      </c>
      <c r="D804" t="b">
        <f>TRUE()</f>
        <v>1</v>
      </c>
      <c r="E804" t="b">
        <f>COUNTIF(connections!A:A, A804) &gt; 0</f>
        <v>0</v>
      </c>
      <c r="F804" t="s">
        <v>277</v>
      </c>
      <c r="G804" t="s">
        <v>2816</v>
      </c>
      <c r="H804" t="s">
        <v>187</v>
      </c>
      <c r="I804" t="s">
        <v>2817</v>
      </c>
      <c r="J804" s="1" t="s">
        <v>2818</v>
      </c>
    </row>
    <row r="805" spans="1:10" x14ac:dyDescent="0.25">
      <c r="A805" t="s">
        <v>2819</v>
      </c>
      <c r="B805">
        <v>2021</v>
      </c>
      <c r="C805" t="s">
        <v>182</v>
      </c>
      <c r="D805" t="b">
        <f>TRUE()</f>
        <v>1</v>
      </c>
      <c r="E805" t="b">
        <f>COUNTIF(connections!A:A, A805) &gt; 0</f>
        <v>1</v>
      </c>
      <c r="F805" t="s">
        <v>1031</v>
      </c>
      <c r="G805" t="s">
        <v>2820</v>
      </c>
    </row>
    <row r="806" spans="1:10" x14ac:dyDescent="0.25">
      <c r="A806" t="s">
        <v>2821</v>
      </c>
      <c r="B806">
        <v>2025</v>
      </c>
      <c r="C806" t="s">
        <v>182</v>
      </c>
      <c r="D806" t="b">
        <f>TRUE()</f>
        <v>1</v>
      </c>
      <c r="E806" t="b">
        <f>COUNTIF(connections!A:A, A806) &gt; 0</f>
        <v>0</v>
      </c>
      <c r="G806" t="s">
        <v>2822</v>
      </c>
    </row>
    <row r="807" spans="1:10" x14ac:dyDescent="0.25">
      <c r="A807" t="s">
        <v>2823</v>
      </c>
      <c r="B807">
        <v>2026</v>
      </c>
      <c r="C807" t="s">
        <v>182</v>
      </c>
      <c r="D807" t="b">
        <f>TRUE()</f>
        <v>1</v>
      </c>
      <c r="E807" t="b">
        <f>COUNTIF(connections!A:A, A807) &gt; 0</f>
        <v>0</v>
      </c>
      <c r="G807" t="s">
        <v>2824</v>
      </c>
    </row>
    <row r="808" spans="1:10" x14ac:dyDescent="0.25">
      <c r="A808" t="s">
        <v>2825</v>
      </c>
      <c r="B808">
        <v>2019</v>
      </c>
      <c r="C808" t="s">
        <v>176</v>
      </c>
      <c r="D808" t="b">
        <f>TRUE()</f>
        <v>1</v>
      </c>
      <c r="E808" t="b">
        <f>COUNTIF(connections!A:A, A808) &gt; 0</f>
        <v>1</v>
      </c>
      <c r="F808" t="s">
        <v>274</v>
      </c>
      <c r="G808" t="s">
        <v>2826</v>
      </c>
      <c r="H808" t="s">
        <v>187</v>
      </c>
      <c r="I808" t="s">
        <v>2827</v>
      </c>
      <c r="J808" s="1" t="s">
        <v>2828</v>
      </c>
    </row>
    <row r="809" spans="1:10" x14ac:dyDescent="0.25">
      <c r="A809" t="s">
        <v>2829</v>
      </c>
      <c r="B809">
        <v>2022</v>
      </c>
      <c r="C809" t="s">
        <v>176</v>
      </c>
      <c r="D809" t="b">
        <f>TRUE()</f>
        <v>1</v>
      </c>
      <c r="E809" t="b">
        <f>COUNTIF(connections!A:A, A809) &gt; 0</f>
        <v>1</v>
      </c>
      <c r="G809" t="s">
        <v>2830</v>
      </c>
      <c r="H809" t="s">
        <v>187</v>
      </c>
      <c r="I809" t="s">
        <v>2831</v>
      </c>
      <c r="J809" s="11" t="s">
        <v>2832</v>
      </c>
    </row>
    <row r="810" spans="1:10" x14ac:dyDescent="0.25">
      <c r="A810" t="s">
        <v>2833</v>
      </c>
      <c r="B810">
        <v>2024</v>
      </c>
      <c r="C810" t="s">
        <v>222</v>
      </c>
      <c r="D810" t="b">
        <f>TRUE()</f>
        <v>1</v>
      </c>
      <c r="E810" t="b">
        <f>COUNTIF(connections!A:A, A810) &gt; 0</f>
        <v>0</v>
      </c>
      <c r="F810" t="s">
        <v>274</v>
      </c>
      <c r="G810" t="s">
        <v>2834</v>
      </c>
    </row>
    <row r="811" spans="1:10" x14ac:dyDescent="0.25">
      <c r="A811" t="s">
        <v>2835</v>
      </c>
      <c r="B811">
        <v>2023</v>
      </c>
      <c r="C811" t="s">
        <v>176</v>
      </c>
      <c r="D811" t="b">
        <f>TRUE()</f>
        <v>1</v>
      </c>
      <c r="E811" t="b">
        <f>COUNTIF(connections!A:A, A811) &gt; 0</f>
        <v>0</v>
      </c>
      <c r="G811" t="s">
        <v>2836</v>
      </c>
      <c r="H811" t="s">
        <v>187</v>
      </c>
      <c r="I811" t="s">
        <v>2837</v>
      </c>
      <c r="J811" s="1" t="s">
        <v>2838</v>
      </c>
    </row>
    <row r="812" spans="1:10" x14ac:dyDescent="0.25">
      <c r="A812" t="s">
        <v>2839</v>
      </c>
      <c r="B812">
        <v>2024</v>
      </c>
      <c r="C812" t="s">
        <v>176</v>
      </c>
      <c r="D812" t="b">
        <f>TRUE()</f>
        <v>1</v>
      </c>
      <c r="E812" t="b">
        <f>COUNTIF(connections!A:A, A812) &gt; 0</f>
        <v>0</v>
      </c>
      <c r="G812" t="s">
        <v>2840</v>
      </c>
    </row>
    <row r="813" spans="1:10" x14ac:dyDescent="0.25">
      <c r="A813" t="s">
        <v>2841</v>
      </c>
      <c r="B813">
        <v>2024</v>
      </c>
      <c r="C813" t="s">
        <v>176</v>
      </c>
      <c r="D813" t="b">
        <f>FALSE()</f>
        <v>0</v>
      </c>
      <c r="E813" t="b">
        <f>COUNTIF(connections!A:A, A813) &gt; 0</f>
        <v>0</v>
      </c>
      <c r="G813" t="s">
        <v>2842</v>
      </c>
      <c r="J813" s="1" t="s">
        <v>2843</v>
      </c>
    </row>
    <row r="814" spans="1:10" x14ac:dyDescent="0.25">
      <c r="A814" t="s">
        <v>2844</v>
      </c>
      <c r="B814">
        <v>1998</v>
      </c>
      <c r="C814" t="s">
        <v>179</v>
      </c>
      <c r="D814" t="b">
        <f>TRUE()</f>
        <v>1</v>
      </c>
      <c r="E814" t="b">
        <f>COUNTIF(connections!A:A, A814) &gt; 0</f>
        <v>0</v>
      </c>
      <c r="G814" t="s">
        <v>2845</v>
      </c>
      <c r="H814" t="s">
        <v>187</v>
      </c>
      <c r="I814" t="s">
        <v>2846</v>
      </c>
    </row>
    <row r="815" spans="1:10" x14ac:dyDescent="0.25">
      <c r="A815" t="s">
        <v>2847</v>
      </c>
      <c r="B815">
        <v>2023</v>
      </c>
      <c r="C815" t="s">
        <v>222</v>
      </c>
      <c r="D815" t="b">
        <f>TRUE()</f>
        <v>1</v>
      </c>
      <c r="E815" t="b">
        <f>COUNTIF(connections!A:A, A815) &gt; 0</f>
        <v>1</v>
      </c>
      <c r="F815" t="s">
        <v>617</v>
      </c>
      <c r="G815" t="s">
        <v>2848</v>
      </c>
      <c r="H815" t="s">
        <v>187</v>
      </c>
      <c r="I815" t="s">
        <v>2849</v>
      </c>
      <c r="J815" s="1" t="s">
        <v>2850</v>
      </c>
    </row>
    <row r="816" spans="1:10" x14ac:dyDescent="0.25">
      <c r="A816" t="s">
        <v>2851</v>
      </c>
      <c r="B816">
        <v>2025</v>
      </c>
      <c r="C816" t="s">
        <v>222</v>
      </c>
      <c r="D816" t="b">
        <f>TRUE()</f>
        <v>1</v>
      </c>
      <c r="E816" t="b">
        <f>COUNTIF(connections!A:A, A816) &gt; 0</f>
        <v>0</v>
      </c>
      <c r="F816" t="s">
        <v>617</v>
      </c>
      <c r="G816" t="s">
        <v>2852</v>
      </c>
    </row>
    <row r="817" spans="1:10" x14ac:dyDescent="0.25">
      <c r="A817" t="s">
        <v>2853</v>
      </c>
      <c r="B817">
        <v>2026</v>
      </c>
      <c r="C817" t="s">
        <v>176</v>
      </c>
      <c r="D817" t="b">
        <f>TRUE()</f>
        <v>1</v>
      </c>
      <c r="E817" t="b">
        <f>COUNTIF(connections!A:A, A817) &gt; 0</f>
        <v>0</v>
      </c>
      <c r="G817" t="s">
        <v>2854</v>
      </c>
    </row>
    <row r="818" spans="1:10" x14ac:dyDescent="0.25">
      <c r="A818" t="s">
        <v>2855</v>
      </c>
      <c r="B818">
        <v>2023</v>
      </c>
      <c r="C818" t="s">
        <v>179</v>
      </c>
      <c r="D818" t="b">
        <f>TRUE()</f>
        <v>1</v>
      </c>
      <c r="E818" t="b">
        <f>COUNTIF(connections!A:A, A818) &gt; 0</f>
        <v>0</v>
      </c>
      <c r="F818" t="s">
        <v>274</v>
      </c>
      <c r="G818" t="s">
        <v>2856</v>
      </c>
    </row>
    <row r="819" spans="1:10" x14ac:dyDescent="0.25">
      <c r="A819" t="s">
        <v>2857</v>
      </c>
      <c r="B819">
        <v>2025</v>
      </c>
      <c r="C819" t="s">
        <v>176</v>
      </c>
      <c r="D819" t="b">
        <f>TRUE()</f>
        <v>1</v>
      </c>
      <c r="E819" t="b">
        <f>COUNTIF(connections!A:A, A819) &gt; 0</f>
        <v>0</v>
      </c>
      <c r="G819" t="s">
        <v>2858</v>
      </c>
      <c r="H819" t="s">
        <v>187</v>
      </c>
      <c r="I819" t="s">
        <v>2859</v>
      </c>
      <c r="J819" s="1" t="s">
        <v>2860</v>
      </c>
    </row>
    <row r="820" spans="1:10" x14ac:dyDescent="0.25">
      <c r="A820" t="s">
        <v>2861</v>
      </c>
      <c r="B820">
        <v>2017</v>
      </c>
      <c r="C820" t="s">
        <v>222</v>
      </c>
      <c r="D820" t="b">
        <f>TRUE()</f>
        <v>1</v>
      </c>
      <c r="E820" t="b">
        <f>COUNTIF(connections!A:A, A820) &gt; 0</f>
        <v>0</v>
      </c>
      <c r="G820" t="s">
        <v>2862</v>
      </c>
      <c r="H820" t="s">
        <v>187</v>
      </c>
      <c r="I820" t="s">
        <v>2863</v>
      </c>
      <c r="J820" s="1" t="s">
        <v>2864</v>
      </c>
    </row>
    <row r="821" spans="1:10" x14ac:dyDescent="0.25">
      <c r="A821" t="s">
        <v>2865</v>
      </c>
      <c r="B821">
        <v>2011</v>
      </c>
      <c r="C821" t="s">
        <v>179</v>
      </c>
      <c r="D821" t="b">
        <f>TRUE()</f>
        <v>1</v>
      </c>
      <c r="E821" t="b">
        <f>COUNTIF(connections!A:A, A821) &gt; 0</f>
        <v>0</v>
      </c>
      <c r="G821" t="s">
        <v>2866</v>
      </c>
    </row>
    <row r="822" spans="1:10" x14ac:dyDescent="0.25">
      <c r="A822" t="s">
        <v>2867</v>
      </c>
      <c r="B822">
        <v>2012</v>
      </c>
      <c r="C822" t="s">
        <v>222</v>
      </c>
      <c r="D822" t="b">
        <f>TRUE()</f>
        <v>1</v>
      </c>
      <c r="E822" t="b">
        <f>COUNTIF(connections!A:A, A822) &gt; 0</f>
        <v>0</v>
      </c>
      <c r="G822" t="s">
        <v>2868</v>
      </c>
      <c r="H822" t="s">
        <v>187</v>
      </c>
      <c r="I822" t="s">
        <v>2869</v>
      </c>
      <c r="J822" s="1" t="s">
        <v>2870</v>
      </c>
    </row>
    <row r="823" spans="1:10" x14ac:dyDescent="0.25">
      <c r="A823" t="s">
        <v>2871</v>
      </c>
      <c r="B823">
        <v>2017</v>
      </c>
      <c r="C823" t="s">
        <v>176</v>
      </c>
      <c r="D823" t="b">
        <f>FALSE()</f>
        <v>0</v>
      </c>
      <c r="E823" t="b">
        <f>COUNTIF(connections!A:A, A823) &gt; 0</f>
        <v>0</v>
      </c>
      <c r="F823" t="s">
        <v>652</v>
      </c>
      <c r="G823" t="s">
        <v>2872</v>
      </c>
      <c r="H823" t="s">
        <v>187</v>
      </c>
      <c r="I823" t="s">
        <v>2873</v>
      </c>
      <c r="J823" s="1" t="s">
        <v>2874</v>
      </c>
    </row>
    <row r="824" spans="1:10" x14ac:dyDescent="0.25">
      <c r="A824" t="s">
        <v>2875</v>
      </c>
      <c r="B824">
        <v>2005</v>
      </c>
      <c r="C824" t="s">
        <v>222</v>
      </c>
      <c r="D824" t="b">
        <f>TRUE()</f>
        <v>1</v>
      </c>
      <c r="E824" t="b">
        <f>COUNTIF(connections!A:A, A824) &gt; 0</f>
        <v>1</v>
      </c>
      <c r="F824" t="s">
        <v>274</v>
      </c>
      <c r="G824" t="s">
        <v>2876</v>
      </c>
      <c r="H824" t="s">
        <v>187</v>
      </c>
      <c r="I824" t="s">
        <v>2877</v>
      </c>
      <c r="J824" s="1" t="s">
        <v>2878</v>
      </c>
    </row>
    <row r="825" spans="1:10" x14ac:dyDescent="0.25">
      <c r="A825" t="s">
        <v>2879</v>
      </c>
      <c r="B825">
        <v>2020</v>
      </c>
      <c r="C825" t="s">
        <v>176</v>
      </c>
      <c r="D825" t="b">
        <f>FALSE()</f>
        <v>0</v>
      </c>
      <c r="E825" t="b">
        <f>COUNTIF(connections!A:A, A825) &gt; 0</f>
        <v>1</v>
      </c>
      <c r="G825" t="s">
        <v>2880</v>
      </c>
      <c r="H825" t="s">
        <v>187</v>
      </c>
      <c r="I825" t="s">
        <v>2881</v>
      </c>
      <c r="J825" s="11" t="s">
        <v>2882</v>
      </c>
    </row>
    <row r="826" spans="1:10" x14ac:dyDescent="0.25">
      <c r="A826" t="s">
        <v>2883</v>
      </c>
      <c r="B826">
        <v>2025</v>
      </c>
      <c r="C826" t="s">
        <v>176</v>
      </c>
      <c r="D826" t="b">
        <f>TRUE()</f>
        <v>1</v>
      </c>
      <c r="E826" t="b">
        <f>COUNTIF(connections!A:A, A826) &gt; 0</f>
        <v>0</v>
      </c>
      <c r="G826" t="s">
        <v>2884</v>
      </c>
    </row>
    <row r="827" spans="1:10" x14ac:dyDescent="0.25">
      <c r="A827" t="s">
        <v>2885</v>
      </c>
      <c r="B827">
        <v>2025</v>
      </c>
      <c r="C827" t="s">
        <v>176</v>
      </c>
      <c r="D827" t="b">
        <f>FALSE()</f>
        <v>0</v>
      </c>
      <c r="E827" t="b">
        <f>COUNTIF(connections!A:A, A827) &gt; 0</f>
        <v>0</v>
      </c>
      <c r="G827" t="s">
        <v>2886</v>
      </c>
    </row>
    <row r="828" spans="1:10" x14ac:dyDescent="0.25">
      <c r="A828" t="s">
        <v>2887</v>
      </c>
      <c r="B828">
        <v>2024</v>
      </c>
      <c r="C828" t="s">
        <v>176</v>
      </c>
      <c r="D828" t="b">
        <f>TRUE()</f>
        <v>1</v>
      </c>
      <c r="E828" t="b">
        <f>COUNTIF(connections!A:A, A828) &gt; 0</f>
        <v>0</v>
      </c>
      <c r="G828" t="s">
        <v>2888</v>
      </c>
    </row>
    <row r="829" spans="1:10" x14ac:dyDescent="0.25">
      <c r="A829" t="s">
        <v>2889</v>
      </c>
      <c r="B829">
        <v>2019</v>
      </c>
      <c r="C829" t="s">
        <v>222</v>
      </c>
      <c r="D829" t="b">
        <f>FALSE()</f>
        <v>0</v>
      </c>
      <c r="E829" t="b">
        <f>COUNTIF(connections!A:A, A829) &gt; 0</f>
        <v>0</v>
      </c>
      <c r="G829" t="s">
        <v>2890</v>
      </c>
    </row>
    <row r="830" spans="1:10" x14ac:dyDescent="0.25">
      <c r="A830" t="s">
        <v>2891</v>
      </c>
      <c r="B830">
        <v>2023</v>
      </c>
      <c r="C830" t="s">
        <v>182</v>
      </c>
      <c r="D830" t="b">
        <f>TRUE()</f>
        <v>1</v>
      </c>
      <c r="E830" t="b">
        <f>COUNTIF(connections!A:A, A830) &gt; 0</f>
        <v>1</v>
      </c>
      <c r="G830" t="s">
        <v>2892</v>
      </c>
      <c r="H830" t="s">
        <v>187</v>
      </c>
      <c r="I830" t="s">
        <v>2893</v>
      </c>
      <c r="J830" s="1" t="s">
        <v>2894</v>
      </c>
    </row>
    <row r="831" spans="1:10" x14ac:dyDescent="0.25">
      <c r="A831" t="s">
        <v>2895</v>
      </c>
      <c r="B831">
        <v>2024</v>
      </c>
      <c r="C831" t="s">
        <v>176</v>
      </c>
      <c r="D831" t="b">
        <f>TRUE()</f>
        <v>1</v>
      </c>
      <c r="E831" t="b">
        <f>COUNTIF(connections!A:A, A831) &gt; 0</f>
        <v>0</v>
      </c>
      <c r="G831" t="s">
        <v>2896</v>
      </c>
    </row>
    <row r="832" spans="1:10" x14ac:dyDescent="0.25">
      <c r="A832" t="s">
        <v>2897</v>
      </c>
      <c r="B832">
        <v>2026</v>
      </c>
      <c r="C832" t="s">
        <v>182</v>
      </c>
      <c r="D832" t="b">
        <f>TRUE()</f>
        <v>1</v>
      </c>
      <c r="E832" t="b">
        <f>COUNTIF(connections!A:A, A832) &gt; 0</f>
        <v>0</v>
      </c>
      <c r="G832" t="s">
        <v>2898</v>
      </c>
    </row>
    <row r="833" spans="1:10" x14ac:dyDescent="0.25">
      <c r="A833" t="s">
        <v>2899</v>
      </c>
      <c r="B833">
        <v>2026</v>
      </c>
      <c r="C833" t="s">
        <v>222</v>
      </c>
      <c r="D833" t="b">
        <f>FALSE()</f>
        <v>0</v>
      </c>
      <c r="E833" t="b">
        <f>COUNTIF(connections!A:A, A833) &gt; 0</f>
        <v>0</v>
      </c>
      <c r="F833" t="s">
        <v>404</v>
      </c>
      <c r="G833" t="s">
        <v>2900</v>
      </c>
      <c r="J833" s="1" t="s">
        <v>2901</v>
      </c>
    </row>
    <row r="834" spans="1:10" x14ac:dyDescent="0.25">
      <c r="A834" t="s">
        <v>2902</v>
      </c>
      <c r="B834">
        <v>2024</v>
      </c>
      <c r="C834" t="s">
        <v>176</v>
      </c>
      <c r="D834" t="b">
        <f>FALSE()</f>
        <v>0</v>
      </c>
      <c r="E834" t="b">
        <f>COUNTIF(connections!A:A, A834) &gt; 0</f>
        <v>1</v>
      </c>
      <c r="G834" t="s">
        <v>2903</v>
      </c>
      <c r="J834" s="1" t="s">
        <v>2904</v>
      </c>
    </row>
    <row r="835" spans="1:10" x14ac:dyDescent="0.25">
      <c r="A835" t="s">
        <v>2905</v>
      </c>
      <c r="B835">
        <v>2026</v>
      </c>
      <c r="C835" t="s">
        <v>182</v>
      </c>
      <c r="D835" t="b">
        <f>TRUE()</f>
        <v>1</v>
      </c>
      <c r="E835" t="b">
        <f>COUNTIF(connections!A:A, A835) &gt; 0</f>
        <v>0</v>
      </c>
      <c r="G835" t="s">
        <v>2906</v>
      </c>
    </row>
    <row r="836" spans="1:10" x14ac:dyDescent="0.25">
      <c r="A836" t="s">
        <v>2907</v>
      </c>
      <c r="B836">
        <v>2018</v>
      </c>
      <c r="C836" t="s">
        <v>176</v>
      </c>
      <c r="D836" t="b">
        <f>TRUE()</f>
        <v>1</v>
      </c>
      <c r="E836" t="b">
        <f>COUNTIF(connections!A:A, A836) &gt; 0</f>
        <v>1</v>
      </c>
      <c r="G836" t="s">
        <v>2908</v>
      </c>
      <c r="H836" t="s">
        <v>187</v>
      </c>
      <c r="I836" t="s">
        <v>2909</v>
      </c>
      <c r="J836" s="1" t="s">
        <v>2910</v>
      </c>
    </row>
    <row r="837" spans="1:10" x14ac:dyDescent="0.25">
      <c r="A837" t="s">
        <v>2911</v>
      </c>
      <c r="B837">
        <v>2024</v>
      </c>
      <c r="C837" t="s">
        <v>176</v>
      </c>
      <c r="D837" t="b">
        <f>TRUE()</f>
        <v>1</v>
      </c>
      <c r="E837" t="b">
        <f>COUNTIF(connections!A:A, A837) &gt; 0</f>
        <v>0</v>
      </c>
      <c r="G837" t="s">
        <v>2912</v>
      </c>
      <c r="H837" t="s">
        <v>187</v>
      </c>
      <c r="I837" t="s">
        <v>2913</v>
      </c>
      <c r="J837" s="1" t="s">
        <v>2914</v>
      </c>
    </row>
    <row r="838" spans="1:10" x14ac:dyDescent="0.25">
      <c r="A838" t="s">
        <v>2915</v>
      </c>
      <c r="B838">
        <v>2021</v>
      </c>
      <c r="C838" t="s">
        <v>222</v>
      </c>
      <c r="D838" t="b">
        <f>TRUE()</f>
        <v>1</v>
      </c>
      <c r="E838" t="b">
        <f>COUNTIF(connections!A:A, A838) &gt; 0</f>
        <v>0</v>
      </c>
      <c r="F838" t="s">
        <v>1165</v>
      </c>
      <c r="G838" t="s">
        <v>2916</v>
      </c>
      <c r="H838" t="s">
        <v>187</v>
      </c>
      <c r="I838" t="s">
        <v>2917</v>
      </c>
      <c r="J838" s="1" t="s">
        <v>2918</v>
      </c>
    </row>
    <row r="839" spans="1:10" x14ac:dyDescent="0.25">
      <c r="A839" t="s">
        <v>2919</v>
      </c>
      <c r="B839">
        <v>2025</v>
      </c>
      <c r="C839" t="s">
        <v>182</v>
      </c>
      <c r="D839" t="b">
        <f>TRUE()</f>
        <v>1</v>
      </c>
      <c r="E839" t="b">
        <f>COUNTIF(connections!A:A, A839) &gt; 0</f>
        <v>0</v>
      </c>
      <c r="F839" t="s">
        <v>731</v>
      </c>
      <c r="G839" t="s">
        <v>2920</v>
      </c>
    </row>
    <row r="840" spans="1:10" x14ac:dyDescent="0.25">
      <c r="A840" t="s">
        <v>2921</v>
      </c>
      <c r="B840">
        <v>2025</v>
      </c>
      <c r="C840" t="s">
        <v>182</v>
      </c>
      <c r="D840" t="b">
        <f>TRUE()</f>
        <v>1</v>
      </c>
      <c r="E840" t="b">
        <f>COUNTIF(connections!A:A, A840) &gt; 0</f>
        <v>0</v>
      </c>
      <c r="F840" t="s">
        <v>731</v>
      </c>
      <c r="G840" t="s">
        <v>2922</v>
      </c>
      <c r="H840" t="s">
        <v>187</v>
      </c>
      <c r="I840" t="s">
        <v>2923</v>
      </c>
      <c r="J840" s="1" t="s">
        <v>2924</v>
      </c>
    </row>
    <row r="841" spans="1:10" x14ac:dyDescent="0.25">
      <c r="A841" t="s">
        <v>2925</v>
      </c>
      <c r="B841">
        <v>2022</v>
      </c>
      <c r="C841" t="s">
        <v>182</v>
      </c>
      <c r="D841" t="b">
        <f>TRUE()</f>
        <v>1</v>
      </c>
      <c r="E841" t="b">
        <f>COUNTIF(connections!A:A, A841) &gt; 0</f>
        <v>0</v>
      </c>
      <c r="F841" t="s">
        <v>731</v>
      </c>
      <c r="G841" t="s">
        <v>2926</v>
      </c>
      <c r="H841" t="s">
        <v>187</v>
      </c>
      <c r="I841" t="s">
        <v>2927</v>
      </c>
      <c r="J841" s="1" t="s">
        <v>2928</v>
      </c>
    </row>
    <row r="842" spans="1:10" x14ac:dyDescent="0.25">
      <c r="A842" t="s">
        <v>2929</v>
      </c>
      <c r="B842">
        <v>2026</v>
      </c>
      <c r="C842" t="s">
        <v>182</v>
      </c>
      <c r="D842" t="b">
        <f>TRUE()</f>
        <v>1</v>
      </c>
      <c r="E842" t="b">
        <f>COUNTIF(connections!A:A, A842) &gt; 0</f>
        <v>0</v>
      </c>
      <c r="G842" t="s">
        <v>2930</v>
      </c>
      <c r="J842" s="11" t="s">
        <v>2931</v>
      </c>
    </row>
    <row r="843" spans="1:10" x14ac:dyDescent="0.25">
      <c r="A843" t="s">
        <v>2932</v>
      </c>
      <c r="B843">
        <v>2025</v>
      </c>
      <c r="C843" t="s">
        <v>176</v>
      </c>
      <c r="D843" t="b">
        <f>TRUE()</f>
        <v>1</v>
      </c>
      <c r="E843" t="b">
        <f>COUNTIF(connections!A:A, A843) &gt; 0</f>
        <v>0</v>
      </c>
      <c r="G843" t="s">
        <v>2933</v>
      </c>
    </row>
    <row r="844" spans="1:10" x14ac:dyDescent="0.25">
      <c r="A844" t="s">
        <v>2934</v>
      </c>
      <c r="B844">
        <v>2023</v>
      </c>
      <c r="C844" t="s">
        <v>176</v>
      </c>
      <c r="D844" t="b">
        <f>TRUE()</f>
        <v>1</v>
      </c>
      <c r="E844" t="b">
        <f>COUNTIF(connections!A:A, A844) &gt; 0</f>
        <v>0</v>
      </c>
      <c r="F844" t="s">
        <v>458</v>
      </c>
      <c r="G844" t="s">
        <v>2935</v>
      </c>
      <c r="H844" t="s">
        <v>187</v>
      </c>
      <c r="I844" t="s">
        <v>2936</v>
      </c>
      <c r="J844" s="1" t="s">
        <v>2937</v>
      </c>
    </row>
    <row r="845" spans="1:10" x14ac:dyDescent="0.25">
      <c r="A845" t="s">
        <v>2938</v>
      </c>
      <c r="B845">
        <v>2024</v>
      </c>
      <c r="C845" t="s">
        <v>182</v>
      </c>
      <c r="D845" t="b">
        <f>TRUE()</f>
        <v>1</v>
      </c>
      <c r="E845" t="b">
        <f>COUNTIF(connections!A:A, A845) &gt; 0</f>
        <v>0</v>
      </c>
      <c r="F845" t="s">
        <v>1077</v>
      </c>
      <c r="G845" t="s">
        <v>2939</v>
      </c>
      <c r="H845" t="s">
        <v>187</v>
      </c>
      <c r="I845" t="s">
        <v>2940</v>
      </c>
      <c r="J845" s="1" t="s">
        <v>2941</v>
      </c>
    </row>
    <row r="846" spans="1:10" x14ac:dyDescent="0.25">
      <c r="A846" t="s">
        <v>2942</v>
      </c>
      <c r="B846">
        <v>2017</v>
      </c>
      <c r="C846" t="s">
        <v>179</v>
      </c>
      <c r="D846" t="b">
        <f>TRUE()</f>
        <v>1</v>
      </c>
      <c r="E846" t="b">
        <f>COUNTIF(connections!A:A, A846) &gt; 0</f>
        <v>0</v>
      </c>
      <c r="G846" t="s">
        <v>2943</v>
      </c>
    </row>
    <row r="847" spans="1:10" x14ac:dyDescent="0.25">
      <c r="A847" t="s">
        <v>2944</v>
      </c>
      <c r="B847">
        <v>2010</v>
      </c>
      <c r="C847" t="s">
        <v>179</v>
      </c>
      <c r="D847" t="b">
        <f>TRUE()</f>
        <v>1</v>
      </c>
      <c r="E847" t="b">
        <f>COUNTIF(connections!A:A, A847) &gt; 0</f>
        <v>1</v>
      </c>
      <c r="G847" t="s">
        <v>2945</v>
      </c>
      <c r="H847" t="s">
        <v>187</v>
      </c>
      <c r="I847" t="s">
        <v>2946</v>
      </c>
      <c r="J847" s="11" t="s">
        <v>2947</v>
      </c>
    </row>
    <row r="848" spans="1:10" x14ac:dyDescent="0.25">
      <c r="A848" t="s">
        <v>2948</v>
      </c>
      <c r="B848">
        <v>1994</v>
      </c>
      <c r="C848" t="s">
        <v>179</v>
      </c>
      <c r="D848" t="b">
        <f>TRUE()</f>
        <v>1</v>
      </c>
      <c r="E848" t="b">
        <f>COUNTIF(connections!A:A, A848) &gt; 0</f>
        <v>1</v>
      </c>
      <c r="G848" t="s">
        <v>2949</v>
      </c>
      <c r="H848" t="s">
        <v>187</v>
      </c>
      <c r="I848" t="s">
        <v>2950</v>
      </c>
    </row>
    <row r="849" spans="1:10" x14ac:dyDescent="0.25">
      <c r="A849" t="s">
        <v>2951</v>
      </c>
      <c r="B849">
        <v>2024</v>
      </c>
      <c r="C849" t="s">
        <v>182</v>
      </c>
      <c r="D849" t="b">
        <f>TRUE()</f>
        <v>1</v>
      </c>
      <c r="E849" t="b">
        <f>COUNTIF(connections!A:A, A849) &gt; 0</f>
        <v>0</v>
      </c>
      <c r="F849" t="s">
        <v>274</v>
      </c>
      <c r="G849" t="s">
        <v>2952</v>
      </c>
      <c r="H849" t="s">
        <v>187</v>
      </c>
      <c r="I849" t="s">
        <v>2953</v>
      </c>
      <c r="J849" s="1" t="s">
        <v>2954</v>
      </c>
    </row>
    <row r="850" spans="1:10" x14ac:dyDescent="0.25">
      <c r="A850" t="s">
        <v>2955</v>
      </c>
      <c r="B850">
        <v>2014</v>
      </c>
      <c r="C850" t="s">
        <v>176</v>
      </c>
      <c r="D850" t="b">
        <f>TRUE()</f>
        <v>1</v>
      </c>
      <c r="E850" t="b">
        <f>COUNTIF(connections!A:A, A850) &gt; 0</f>
        <v>1</v>
      </c>
      <c r="G850" t="s">
        <v>2956</v>
      </c>
      <c r="H850" t="s">
        <v>187</v>
      </c>
      <c r="I850" t="s">
        <v>2957</v>
      </c>
      <c r="J850" s="1" t="s">
        <v>2958</v>
      </c>
    </row>
    <row r="851" spans="1:10" x14ac:dyDescent="0.25">
      <c r="A851" t="s">
        <v>2959</v>
      </c>
      <c r="B851">
        <v>2020</v>
      </c>
      <c r="C851" t="s">
        <v>176</v>
      </c>
      <c r="D851" t="b">
        <f>TRUE()</f>
        <v>1</v>
      </c>
      <c r="E851" t="b">
        <f>COUNTIF(connections!A:A, A851) &gt; 0</f>
        <v>0</v>
      </c>
      <c r="G851" t="s">
        <v>2960</v>
      </c>
      <c r="H851" t="s">
        <v>187</v>
      </c>
      <c r="I851" t="s">
        <v>2961</v>
      </c>
      <c r="J851" s="1" t="s">
        <v>2962</v>
      </c>
    </row>
    <row r="852" spans="1:10" x14ac:dyDescent="0.25">
      <c r="A852" t="s">
        <v>2963</v>
      </c>
      <c r="B852">
        <v>2025</v>
      </c>
      <c r="C852" t="s">
        <v>179</v>
      </c>
      <c r="D852" t="b">
        <f>TRUE()</f>
        <v>1</v>
      </c>
      <c r="E852" t="b">
        <f>COUNTIF(connections!A:A, A852) &gt; 0</f>
        <v>0</v>
      </c>
      <c r="G852" t="s">
        <v>2964</v>
      </c>
      <c r="H852" t="s">
        <v>187</v>
      </c>
      <c r="I852" t="s">
        <v>2965</v>
      </c>
    </row>
    <row r="853" spans="1:10" x14ac:dyDescent="0.25">
      <c r="A853" t="s">
        <v>2966</v>
      </c>
      <c r="B853">
        <v>2023</v>
      </c>
      <c r="C853" t="s">
        <v>182</v>
      </c>
      <c r="D853" t="b">
        <f>TRUE()</f>
        <v>1</v>
      </c>
      <c r="E853" t="b">
        <f>COUNTIF(connections!A:A, A853) &gt; 0</f>
        <v>1</v>
      </c>
      <c r="G853" t="s">
        <v>2967</v>
      </c>
      <c r="H853" t="s">
        <v>187</v>
      </c>
      <c r="I853" t="s">
        <v>2968</v>
      </c>
      <c r="J853" s="1" t="s">
        <v>2969</v>
      </c>
    </row>
    <row r="854" spans="1:10" x14ac:dyDescent="0.25">
      <c r="A854" t="s">
        <v>2970</v>
      </c>
      <c r="B854">
        <v>2026</v>
      </c>
      <c r="C854" t="s">
        <v>182</v>
      </c>
      <c r="D854" t="b">
        <f>TRUE()</f>
        <v>1</v>
      </c>
      <c r="E854" t="b">
        <f>COUNTIF(connections!A:A, A854) &gt; 0</f>
        <v>0</v>
      </c>
      <c r="G854" t="s">
        <v>2971</v>
      </c>
      <c r="J854" s="11" t="s">
        <v>2972</v>
      </c>
    </row>
    <row r="855" spans="1:10" x14ac:dyDescent="0.25">
      <c r="A855" t="s">
        <v>2973</v>
      </c>
      <c r="B855">
        <v>2022</v>
      </c>
      <c r="C855" t="s">
        <v>179</v>
      </c>
      <c r="D855" t="b">
        <f>TRUE()</f>
        <v>1</v>
      </c>
      <c r="E855" t="b">
        <f>COUNTIF(connections!A:A, A855) &gt; 0</f>
        <v>0</v>
      </c>
      <c r="G855" t="s">
        <v>2974</v>
      </c>
      <c r="H855" t="s">
        <v>187</v>
      </c>
      <c r="I855" t="s">
        <v>2975</v>
      </c>
      <c r="J855" s="11"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8" r:id="rId85" xr:uid="{00000000-0004-0000-0000-000054000000}"/>
    <hyperlink ref="J139" r:id="rId86" xr:uid="{00000000-0004-0000-0000-000055000000}"/>
    <hyperlink ref="J140" r:id="rId87" xr:uid="{00000000-0004-0000-0000-000056000000}"/>
    <hyperlink ref="J141" r:id="rId88" xr:uid="{00000000-0004-0000-0000-000057000000}"/>
    <hyperlink ref="J142" r:id="rId89" xr:uid="{00000000-0004-0000-0000-000058000000}"/>
    <hyperlink ref="J144" r:id="rId90" xr:uid="{00000000-0004-0000-0000-000059000000}"/>
    <hyperlink ref="J145" r:id="rId91" xr:uid="{00000000-0004-0000-0000-00005A000000}"/>
    <hyperlink ref="J146" r:id="rId92" xr:uid="{00000000-0004-0000-0000-00005B000000}"/>
    <hyperlink ref="J148" r:id="rId93" xr:uid="{00000000-0004-0000-0000-00005C000000}"/>
    <hyperlink ref="J149" r:id="rId94" xr:uid="{00000000-0004-0000-0000-00005D000000}"/>
    <hyperlink ref="J150" r:id="rId95" xr:uid="{00000000-0004-0000-0000-00005E000000}"/>
    <hyperlink ref="J151" r:id="rId96" xr:uid="{00000000-0004-0000-0000-00005F000000}"/>
    <hyperlink ref="J152" r:id="rId97" xr:uid="{00000000-0004-0000-0000-000060000000}"/>
    <hyperlink ref="J153" r:id="rId98" xr:uid="{00000000-0004-0000-0000-000061000000}"/>
    <hyperlink ref="J156" r:id="rId99" xr:uid="{00000000-0004-0000-0000-000062000000}"/>
    <hyperlink ref="J157" r:id="rId100" xr:uid="{00000000-0004-0000-0000-000063000000}"/>
    <hyperlink ref="J158" r:id="rId101" xr:uid="{00000000-0004-0000-0000-000064000000}"/>
    <hyperlink ref="J159" r:id="rId102" xr:uid="{00000000-0004-0000-0000-000065000000}"/>
    <hyperlink ref="J160" r:id="rId103" xr:uid="{00000000-0004-0000-0000-000066000000}"/>
    <hyperlink ref="J161" r:id="rId104" xr:uid="{00000000-0004-0000-0000-000067000000}"/>
    <hyperlink ref="J163" r:id="rId105" xr:uid="{00000000-0004-0000-0000-000068000000}"/>
    <hyperlink ref="J165" r:id="rId106" xr:uid="{00000000-0004-0000-0000-000069000000}"/>
    <hyperlink ref="J166" r:id="rId107" xr:uid="{00000000-0004-0000-0000-00006A000000}"/>
    <hyperlink ref="J167" r:id="rId108" xr:uid="{00000000-0004-0000-0000-00006B000000}"/>
    <hyperlink ref="J169" r:id="rId109" xr:uid="{00000000-0004-0000-0000-00006C000000}"/>
    <hyperlink ref="J170" r:id="rId110" xr:uid="{00000000-0004-0000-0000-00006D000000}"/>
    <hyperlink ref="J171" r:id="rId111" xr:uid="{00000000-0004-0000-0000-00006E000000}"/>
    <hyperlink ref="J172" r:id="rId112" xr:uid="{00000000-0004-0000-0000-00006F000000}"/>
    <hyperlink ref="J173" r:id="rId113" xr:uid="{00000000-0004-0000-0000-000070000000}"/>
    <hyperlink ref="J174" r:id="rId114" xr:uid="{00000000-0004-0000-0000-000071000000}"/>
    <hyperlink ref="J175" r:id="rId115" xr:uid="{00000000-0004-0000-0000-000072000000}"/>
    <hyperlink ref="J178" r:id="rId116" xr:uid="{00000000-0004-0000-0000-000073000000}"/>
    <hyperlink ref="J179" r:id="rId117" xr:uid="{00000000-0004-0000-0000-000074000000}"/>
    <hyperlink ref="J180" r:id="rId118" xr:uid="{00000000-0004-0000-0000-000075000000}"/>
    <hyperlink ref="J181" r:id="rId119" xr:uid="{00000000-0004-0000-0000-000076000000}"/>
    <hyperlink ref="J182" r:id="rId120" xr:uid="{00000000-0004-0000-0000-000077000000}"/>
    <hyperlink ref="J183" r:id="rId121" xr:uid="{00000000-0004-0000-0000-000078000000}"/>
    <hyperlink ref="J184" r:id="rId122" xr:uid="{00000000-0004-0000-0000-000079000000}"/>
    <hyperlink ref="J185" r:id="rId123" xr:uid="{00000000-0004-0000-0000-00007A000000}"/>
    <hyperlink ref="J188" r:id="rId124" xr:uid="{00000000-0004-0000-0000-00007B000000}"/>
    <hyperlink ref="J190" r:id="rId125" xr:uid="{00000000-0004-0000-0000-00007C000000}"/>
    <hyperlink ref="J192" r:id="rId126" xr:uid="{00000000-0004-0000-0000-00007D000000}"/>
    <hyperlink ref="J193" r:id="rId127" xr:uid="{00000000-0004-0000-0000-00007E000000}"/>
    <hyperlink ref="J195" r:id="rId128" xr:uid="{00000000-0004-0000-0000-00007F000000}"/>
    <hyperlink ref="J196" r:id="rId129" xr:uid="{00000000-0004-0000-0000-000080000000}"/>
    <hyperlink ref="J199" r:id="rId130" xr:uid="{00000000-0004-0000-0000-000081000000}"/>
    <hyperlink ref="J201" r:id="rId131" xr:uid="{00000000-0004-0000-0000-000082000000}"/>
    <hyperlink ref="J202" r:id="rId132" xr:uid="{00000000-0004-0000-0000-000083000000}"/>
    <hyperlink ref="J204" r:id="rId133" xr:uid="{00000000-0004-0000-0000-000084000000}"/>
    <hyperlink ref="J205" r:id="rId134" xr:uid="{00000000-0004-0000-0000-000085000000}"/>
    <hyperlink ref="J206" r:id="rId135" xr:uid="{00000000-0004-0000-0000-000086000000}"/>
    <hyperlink ref="J208" r:id="rId136" xr:uid="{00000000-0004-0000-0000-000087000000}"/>
    <hyperlink ref="J209" r:id="rId137" xr:uid="{00000000-0004-0000-0000-000088000000}"/>
    <hyperlink ref="J211" r:id="rId138" xr:uid="{00000000-0004-0000-0000-000089000000}"/>
    <hyperlink ref="J212" r:id="rId139" xr:uid="{00000000-0004-0000-0000-00008A000000}"/>
    <hyperlink ref="J215" r:id="rId140" xr:uid="{00000000-0004-0000-0000-00008B000000}"/>
    <hyperlink ref="J216" r:id="rId141" xr:uid="{00000000-0004-0000-0000-00008C000000}"/>
    <hyperlink ref="J217" r:id="rId142" xr:uid="{00000000-0004-0000-0000-00008D000000}"/>
    <hyperlink ref="J219" r:id="rId143" xr:uid="{00000000-0004-0000-0000-00008E000000}"/>
    <hyperlink ref="J220" r:id="rId144" xr:uid="{00000000-0004-0000-0000-00008F000000}"/>
    <hyperlink ref="J223" r:id="rId145" xr:uid="{00000000-0004-0000-0000-000090000000}"/>
    <hyperlink ref="J224" r:id="rId146" xr:uid="{00000000-0004-0000-0000-000091000000}"/>
    <hyperlink ref="J228" r:id="rId147" xr:uid="{00000000-0004-0000-0000-000092000000}"/>
    <hyperlink ref="J230" r:id="rId148" xr:uid="{00000000-0004-0000-0000-000093000000}"/>
    <hyperlink ref="J232" r:id="rId149" xr:uid="{00000000-0004-0000-0000-000094000000}"/>
    <hyperlink ref="J234" r:id="rId150" xr:uid="{00000000-0004-0000-0000-000095000000}"/>
    <hyperlink ref="J236" r:id="rId151" xr:uid="{00000000-0004-0000-0000-000096000000}"/>
    <hyperlink ref="J237" r:id="rId152" xr:uid="{00000000-0004-0000-0000-000097000000}"/>
    <hyperlink ref="J240" r:id="rId153" xr:uid="{00000000-0004-0000-0000-000098000000}"/>
    <hyperlink ref="J241" r:id="rId154" xr:uid="{00000000-0004-0000-0000-000099000000}"/>
    <hyperlink ref="J242" r:id="rId155" xr:uid="{00000000-0004-0000-0000-00009A000000}"/>
    <hyperlink ref="J244" r:id="rId156" xr:uid="{00000000-0004-0000-0000-00009B000000}"/>
    <hyperlink ref="J245" r:id="rId157" xr:uid="{00000000-0004-0000-0000-00009C000000}"/>
    <hyperlink ref="J247" r:id="rId158" xr:uid="{00000000-0004-0000-0000-00009D000000}"/>
    <hyperlink ref="J249" r:id="rId159" xr:uid="{00000000-0004-0000-0000-00009E000000}"/>
    <hyperlink ref="J250" r:id="rId160" xr:uid="{00000000-0004-0000-0000-00009F000000}"/>
    <hyperlink ref="J251" r:id="rId161" xr:uid="{00000000-0004-0000-0000-0000A0000000}"/>
    <hyperlink ref="J252" r:id="rId162" xr:uid="{00000000-0004-0000-0000-0000A1000000}"/>
    <hyperlink ref="J255" r:id="rId163" xr:uid="{00000000-0004-0000-0000-0000A2000000}"/>
    <hyperlink ref="J256" r:id="rId164" xr:uid="{00000000-0004-0000-0000-0000A3000000}"/>
    <hyperlink ref="J257" r:id="rId165" xr:uid="{00000000-0004-0000-0000-0000A4000000}"/>
    <hyperlink ref="J258" r:id="rId166" xr:uid="{00000000-0004-0000-0000-0000A5000000}"/>
    <hyperlink ref="J259" r:id="rId167" xr:uid="{00000000-0004-0000-0000-0000A6000000}"/>
    <hyperlink ref="J264" r:id="rId168" xr:uid="{00000000-0004-0000-0000-0000A7000000}"/>
    <hyperlink ref="J265" r:id="rId169" xr:uid="{00000000-0004-0000-0000-0000A8000000}"/>
    <hyperlink ref="J266" r:id="rId170" xr:uid="{00000000-0004-0000-0000-0000A9000000}"/>
    <hyperlink ref="J267" r:id="rId171" xr:uid="{00000000-0004-0000-0000-0000AA000000}"/>
    <hyperlink ref="J268" r:id="rId172" xr:uid="{00000000-0004-0000-0000-0000AB000000}"/>
    <hyperlink ref="J271" r:id="rId173" xr:uid="{00000000-0004-0000-0000-0000AC000000}"/>
    <hyperlink ref="J272" r:id="rId174" xr:uid="{00000000-0004-0000-0000-0000AD000000}"/>
    <hyperlink ref="J274" r:id="rId175" xr:uid="{00000000-0004-0000-0000-0000AE000000}"/>
    <hyperlink ref="J277" r:id="rId176" xr:uid="{00000000-0004-0000-0000-0000AF000000}"/>
    <hyperlink ref="J278" r:id="rId177" xr:uid="{00000000-0004-0000-0000-0000B0000000}"/>
    <hyperlink ref="J279" r:id="rId178" xr:uid="{00000000-0004-0000-0000-0000B1000000}"/>
    <hyperlink ref="J280" r:id="rId179" xr:uid="{00000000-0004-0000-0000-0000B2000000}"/>
    <hyperlink ref="J281" r:id="rId180" xr:uid="{00000000-0004-0000-0000-0000B3000000}"/>
    <hyperlink ref="J282" r:id="rId181" xr:uid="{00000000-0004-0000-0000-0000B4000000}"/>
    <hyperlink ref="J284" r:id="rId182" xr:uid="{00000000-0004-0000-0000-0000B5000000}"/>
    <hyperlink ref="J285" r:id="rId183" xr:uid="{00000000-0004-0000-0000-0000B6000000}"/>
    <hyperlink ref="J286" r:id="rId184" xr:uid="{00000000-0004-0000-0000-0000B7000000}"/>
    <hyperlink ref="J288" r:id="rId185" xr:uid="{00000000-0004-0000-0000-0000B8000000}"/>
    <hyperlink ref="J289" r:id="rId186" xr:uid="{00000000-0004-0000-0000-0000B9000000}"/>
    <hyperlink ref="J290" r:id="rId187" xr:uid="{00000000-0004-0000-0000-0000BA000000}"/>
    <hyperlink ref="J293" r:id="rId188" xr:uid="{00000000-0004-0000-0000-0000BB000000}"/>
    <hyperlink ref="J299" r:id="rId189" xr:uid="{00000000-0004-0000-0000-0000BC000000}"/>
    <hyperlink ref="J300" r:id="rId190" xr:uid="{00000000-0004-0000-0000-0000BD000000}"/>
    <hyperlink ref="J301" r:id="rId191" xr:uid="{00000000-0004-0000-0000-0000BE000000}"/>
    <hyperlink ref="J302" r:id="rId192" xr:uid="{00000000-0004-0000-0000-0000BF000000}"/>
    <hyperlink ref="J303" r:id="rId193" xr:uid="{00000000-0004-0000-0000-0000C0000000}"/>
    <hyperlink ref="J305" r:id="rId194" xr:uid="{00000000-0004-0000-0000-0000C1000000}"/>
    <hyperlink ref="J306" r:id="rId195" xr:uid="{00000000-0004-0000-0000-0000C2000000}"/>
    <hyperlink ref="J307" r:id="rId196" xr:uid="{00000000-0004-0000-0000-0000C3000000}"/>
    <hyperlink ref="J309" r:id="rId197" xr:uid="{00000000-0004-0000-0000-0000C4000000}"/>
    <hyperlink ref="J310" r:id="rId198" xr:uid="{00000000-0004-0000-0000-0000C5000000}"/>
    <hyperlink ref="J311" r:id="rId199" xr:uid="{00000000-0004-0000-0000-0000C6000000}"/>
    <hyperlink ref="J312" r:id="rId200" xr:uid="{00000000-0004-0000-0000-0000C7000000}"/>
    <hyperlink ref="J313" r:id="rId201" xr:uid="{00000000-0004-0000-0000-0000C8000000}"/>
    <hyperlink ref="J314" r:id="rId202" xr:uid="{00000000-0004-0000-0000-0000C9000000}"/>
    <hyperlink ref="J315" r:id="rId203" xr:uid="{00000000-0004-0000-0000-0000CA000000}"/>
    <hyperlink ref="J316" r:id="rId204" xr:uid="{00000000-0004-0000-0000-0000CB000000}"/>
    <hyperlink ref="J318" r:id="rId205" xr:uid="{00000000-0004-0000-0000-0000CC000000}"/>
    <hyperlink ref="J320" r:id="rId206" xr:uid="{00000000-0004-0000-0000-0000CD000000}"/>
    <hyperlink ref="J321" r:id="rId207" xr:uid="{00000000-0004-0000-0000-0000CE000000}"/>
    <hyperlink ref="J323" r:id="rId208" xr:uid="{00000000-0004-0000-0000-0000CF000000}"/>
    <hyperlink ref="J324" r:id="rId209" xr:uid="{00000000-0004-0000-0000-0000D0000000}"/>
    <hyperlink ref="J325" r:id="rId210" xr:uid="{00000000-0004-0000-0000-0000D1000000}"/>
    <hyperlink ref="J326" r:id="rId211" xr:uid="{00000000-0004-0000-0000-0000D2000000}"/>
    <hyperlink ref="J327" r:id="rId212" xr:uid="{00000000-0004-0000-0000-0000D3000000}"/>
    <hyperlink ref="J328" r:id="rId213" xr:uid="{00000000-0004-0000-0000-0000D4000000}"/>
    <hyperlink ref="J331" r:id="rId214" xr:uid="{00000000-0004-0000-0000-0000D5000000}"/>
    <hyperlink ref="J332" r:id="rId215" xr:uid="{00000000-0004-0000-0000-0000D6000000}"/>
    <hyperlink ref="J333" r:id="rId216" xr:uid="{00000000-0004-0000-0000-0000D7000000}"/>
    <hyperlink ref="J334" r:id="rId217" xr:uid="{00000000-0004-0000-0000-0000D8000000}"/>
    <hyperlink ref="J335" r:id="rId218" xr:uid="{00000000-0004-0000-0000-0000D9000000}"/>
    <hyperlink ref="J337" r:id="rId219" xr:uid="{00000000-0004-0000-0000-0000DA000000}"/>
    <hyperlink ref="J339" r:id="rId220" xr:uid="{00000000-0004-0000-0000-0000DB000000}"/>
    <hyperlink ref="J341" r:id="rId221" xr:uid="{00000000-0004-0000-0000-0000DC000000}"/>
    <hyperlink ref="J342" r:id="rId222" xr:uid="{00000000-0004-0000-0000-0000DD000000}"/>
    <hyperlink ref="J343" r:id="rId223" xr:uid="{00000000-0004-0000-0000-0000DE000000}"/>
    <hyperlink ref="J345" r:id="rId224" xr:uid="{00000000-0004-0000-0000-0000DF000000}"/>
    <hyperlink ref="J346" r:id="rId225" xr:uid="{00000000-0004-0000-0000-0000E0000000}"/>
    <hyperlink ref="J347" r:id="rId226" xr:uid="{00000000-0004-0000-0000-0000E1000000}"/>
    <hyperlink ref="J348" r:id="rId227" xr:uid="{00000000-0004-0000-0000-0000E2000000}"/>
    <hyperlink ref="J350" r:id="rId228" xr:uid="{00000000-0004-0000-0000-0000E3000000}"/>
    <hyperlink ref="J351" r:id="rId229" xr:uid="{00000000-0004-0000-0000-0000E4000000}"/>
    <hyperlink ref="J352" r:id="rId230" xr:uid="{00000000-0004-0000-0000-0000E5000000}"/>
    <hyperlink ref="J353" r:id="rId231" xr:uid="{00000000-0004-0000-0000-0000E6000000}"/>
    <hyperlink ref="J354" r:id="rId232" xr:uid="{00000000-0004-0000-0000-0000E7000000}"/>
    <hyperlink ref="J355" r:id="rId233" xr:uid="{00000000-0004-0000-0000-0000E8000000}"/>
    <hyperlink ref="J357" r:id="rId234" xr:uid="{00000000-0004-0000-0000-0000E9000000}"/>
    <hyperlink ref="J358" r:id="rId235" xr:uid="{00000000-0004-0000-0000-0000EA000000}"/>
    <hyperlink ref="J361" r:id="rId236" xr:uid="{00000000-0004-0000-0000-0000EB000000}"/>
    <hyperlink ref="J364" r:id="rId237" xr:uid="{00000000-0004-0000-0000-0000EC000000}"/>
    <hyperlink ref="J365" r:id="rId238" xr:uid="{00000000-0004-0000-0000-0000ED000000}"/>
    <hyperlink ref="J367" r:id="rId239" xr:uid="{00000000-0004-0000-0000-0000EE000000}"/>
    <hyperlink ref="J368" r:id="rId240" xr:uid="{00000000-0004-0000-0000-0000EF000000}"/>
    <hyperlink ref="J369" r:id="rId241" xr:uid="{00000000-0004-0000-0000-0000F0000000}"/>
    <hyperlink ref="J373" r:id="rId242" xr:uid="{00000000-0004-0000-0000-0000F1000000}"/>
    <hyperlink ref="J374" r:id="rId243" xr:uid="{00000000-0004-0000-0000-0000F2000000}"/>
    <hyperlink ref="J375" r:id="rId244" xr:uid="{00000000-0004-0000-0000-0000F3000000}"/>
    <hyperlink ref="J376" r:id="rId245" xr:uid="{00000000-0004-0000-0000-0000F4000000}"/>
    <hyperlink ref="J377" r:id="rId246" xr:uid="{00000000-0004-0000-0000-0000F5000000}"/>
    <hyperlink ref="J378" r:id="rId247" xr:uid="{00000000-0004-0000-0000-0000F6000000}"/>
    <hyperlink ref="J379" r:id="rId248" xr:uid="{00000000-0004-0000-0000-0000F7000000}"/>
    <hyperlink ref="J385" r:id="rId249" xr:uid="{00000000-0004-0000-0000-0000F8000000}"/>
    <hyperlink ref="J386" r:id="rId250" xr:uid="{00000000-0004-0000-0000-0000F9000000}"/>
    <hyperlink ref="J387" r:id="rId251" xr:uid="{00000000-0004-0000-0000-0000FA000000}"/>
    <hyperlink ref="J388" r:id="rId252" xr:uid="{00000000-0004-0000-0000-0000FB000000}"/>
    <hyperlink ref="J389" r:id="rId253" xr:uid="{00000000-0004-0000-0000-0000FC000000}"/>
    <hyperlink ref="J390" r:id="rId254" xr:uid="{00000000-0004-0000-0000-0000FD000000}"/>
    <hyperlink ref="J392" r:id="rId255" xr:uid="{00000000-0004-0000-0000-0000FE000000}"/>
    <hyperlink ref="J393" r:id="rId256" xr:uid="{00000000-0004-0000-0000-0000FF000000}"/>
    <hyperlink ref="J394" r:id="rId257" xr:uid="{00000000-0004-0000-0000-000000010000}"/>
    <hyperlink ref="J395" r:id="rId258" xr:uid="{00000000-0004-0000-0000-000001010000}"/>
    <hyperlink ref="J396" r:id="rId259" xr:uid="{00000000-0004-0000-0000-000002010000}"/>
    <hyperlink ref="J399" r:id="rId260" xr:uid="{00000000-0004-0000-0000-000003010000}"/>
    <hyperlink ref="J402" r:id="rId261" xr:uid="{00000000-0004-0000-0000-000004010000}"/>
    <hyperlink ref="J405" r:id="rId262" xr:uid="{00000000-0004-0000-0000-000005010000}"/>
    <hyperlink ref="J407" r:id="rId263" xr:uid="{00000000-0004-0000-0000-000006010000}"/>
    <hyperlink ref="J408" r:id="rId264" xr:uid="{00000000-0004-0000-0000-000007010000}"/>
    <hyperlink ref="J409" r:id="rId265" xr:uid="{00000000-0004-0000-0000-000008010000}"/>
    <hyperlink ref="J411" r:id="rId266" xr:uid="{00000000-0004-0000-0000-000009010000}"/>
    <hyperlink ref="J415" r:id="rId267" xr:uid="{00000000-0004-0000-0000-00000A010000}"/>
    <hyperlink ref="J420" r:id="rId268" xr:uid="{00000000-0004-0000-0000-00000B010000}"/>
    <hyperlink ref="J421" r:id="rId269" xr:uid="{00000000-0004-0000-0000-00000C010000}"/>
    <hyperlink ref="J422" r:id="rId270" xr:uid="{00000000-0004-0000-0000-00000D010000}"/>
    <hyperlink ref="J424" r:id="rId271" xr:uid="{00000000-0004-0000-0000-00000E010000}"/>
    <hyperlink ref="J428" r:id="rId272" xr:uid="{00000000-0004-0000-0000-00000F010000}"/>
    <hyperlink ref="J429" r:id="rId273" xr:uid="{00000000-0004-0000-0000-000010010000}"/>
    <hyperlink ref="J430" r:id="rId274" xr:uid="{00000000-0004-0000-0000-000011010000}"/>
    <hyperlink ref="J431" r:id="rId275" xr:uid="{00000000-0004-0000-0000-000012010000}"/>
    <hyperlink ref="J432" r:id="rId276" xr:uid="{00000000-0004-0000-0000-000013010000}"/>
    <hyperlink ref="J433" r:id="rId277" xr:uid="{00000000-0004-0000-0000-000014010000}"/>
    <hyperlink ref="J434" r:id="rId278" xr:uid="{00000000-0004-0000-0000-000015010000}"/>
    <hyperlink ref="J436" r:id="rId279" xr:uid="{00000000-0004-0000-0000-000016010000}"/>
    <hyperlink ref="J438" r:id="rId280" xr:uid="{00000000-0004-0000-0000-000017010000}"/>
    <hyperlink ref="J439" r:id="rId281" xr:uid="{00000000-0004-0000-0000-000018010000}"/>
    <hyperlink ref="J440" r:id="rId282" xr:uid="{00000000-0004-0000-0000-000019010000}"/>
    <hyperlink ref="J441" r:id="rId283" xr:uid="{00000000-0004-0000-0000-00001A010000}"/>
    <hyperlink ref="J442" r:id="rId284" xr:uid="{00000000-0004-0000-0000-00001B010000}"/>
    <hyperlink ref="J444" r:id="rId285" xr:uid="{00000000-0004-0000-0000-00001C010000}"/>
    <hyperlink ref="J448" r:id="rId286" xr:uid="{00000000-0004-0000-0000-00001D010000}"/>
    <hyperlink ref="J450" r:id="rId287" xr:uid="{00000000-0004-0000-0000-00001E010000}"/>
    <hyperlink ref="J455" r:id="rId288" xr:uid="{00000000-0004-0000-0000-00001F010000}"/>
    <hyperlink ref="J456" r:id="rId289" xr:uid="{00000000-0004-0000-0000-000020010000}"/>
    <hyperlink ref="J458" r:id="rId290" xr:uid="{00000000-0004-0000-0000-000021010000}"/>
    <hyperlink ref="J459" r:id="rId291" xr:uid="{00000000-0004-0000-0000-000022010000}"/>
    <hyperlink ref="J460" r:id="rId292" xr:uid="{00000000-0004-0000-0000-000023010000}"/>
    <hyperlink ref="J461" r:id="rId293" xr:uid="{00000000-0004-0000-0000-000024010000}"/>
    <hyperlink ref="J463" r:id="rId294" xr:uid="{00000000-0004-0000-0000-000025010000}"/>
    <hyperlink ref="J465" r:id="rId295" xr:uid="{00000000-0004-0000-0000-000026010000}"/>
    <hyperlink ref="J468" r:id="rId296" xr:uid="{00000000-0004-0000-0000-000027010000}"/>
    <hyperlink ref="J470" r:id="rId297" xr:uid="{00000000-0004-0000-0000-000028010000}"/>
    <hyperlink ref="J471" r:id="rId298" xr:uid="{00000000-0004-0000-0000-000029010000}"/>
    <hyperlink ref="J472" r:id="rId299" xr:uid="{00000000-0004-0000-0000-00002A010000}"/>
    <hyperlink ref="J474" r:id="rId300" xr:uid="{00000000-0004-0000-0000-00002B010000}"/>
    <hyperlink ref="J475" r:id="rId301" xr:uid="{00000000-0004-0000-0000-00002C010000}"/>
    <hyperlink ref="J477" r:id="rId302" xr:uid="{00000000-0004-0000-0000-00002D010000}"/>
    <hyperlink ref="J479" r:id="rId303" xr:uid="{00000000-0004-0000-0000-00002E010000}"/>
    <hyperlink ref="J480" r:id="rId304" xr:uid="{00000000-0004-0000-0000-00002F010000}"/>
    <hyperlink ref="J481" r:id="rId305" xr:uid="{00000000-0004-0000-0000-000030010000}"/>
    <hyperlink ref="J482" r:id="rId306" xr:uid="{00000000-0004-0000-0000-000031010000}"/>
    <hyperlink ref="J483" r:id="rId307" xr:uid="{00000000-0004-0000-0000-000032010000}"/>
    <hyperlink ref="J484" r:id="rId308" xr:uid="{00000000-0004-0000-0000-000033010000}"/>
    <hyperlink ref="J485" r:id="rId309" xr:uid="{00000000-0004-0000-0000-000034010000}"/>
    <hyperlink ref="J489" r:id="rId310" xr:uid="{00000000-0004-0000-0000-000035010000}"/>
    <hyperlink ref="J490" r:id="rId311" xr:uid="{00000000-0004-0000-0000-000036010000}"/>
    <hyperlink ref="J491" r:id="rId312" xr:uid="{00000000-0004-0000-0000-000037010000}"/>
    <hyperlink ref="J494" r:id="rId313" xr:uid="{00000000-0004-0000-0000-000038010000}"/>
    <hyperlink ref="J495" r:id="rId314" xr:uid="{00000000-0004-0000-0000-000039010000}"/>
    <hyperlink ref="J496" r:id="rId315" xr:uid="{00000000-0004-0000-0000-00003A010000}"/>
    <hyperlink ref="J497" r:id="rId316" xr:uid="{00000000-0004-0000-0000-00003B010000}"/>
    <hyperlink ref="J498" r:id="rId317" xr:uid="{00000000-0004-0000-0000-00003C010000}"/>
    <hyperlink ref="J499" r:id="rId318" xr:uid="{00000000-0004-0000-0000-00003D010000}"/>
    <hyperlink ref="J500" r:id="rId319" xr:uid="{00000000-0004-0000-0000-00003E010000}"/>
    <hyperlink ref="J502" r:id="rId320" xr:uid="{00000000-0004-0000-0000-00003F010000}"/>
    <hyperlink ref="J503" r:id="rId321" xr:uid="{00000000-0004-0000-0000-000040010000}"/>
    <hyperlink ref="J504" r:id="rId322" xr:uid="{00000000-0004-0000-0000-000041010000}"/>
    <hyperlink ref="J505" r:id="rId323" xr:uid="{00000000-0004-0000-0000-000042010000}"/>
    <hyperlink ref="J506" r:id="rId324" xr:uid="{00000000-0004-0000-0000-000043010000}"/>
    <hyperlink ref="J509" r:id="rId325" xr:uid="{00000000-0004-0000-0000-000044010000}"/>
    <hyperlink ref="J510" r:id="rId326" xr:uid="{00000000-0004-0000-0000-000045010000}"/>
    <hyperlink ref="J513" r:id="rId327" xr:uid="{00000000-0004-0000-0000-000046010000}"/>
    <hyperlink ref="J516" r:id="rId328" xr:uid="{00000000-0004-0000-0000-000047010000}"/>
    <hyperlink ref="J519" r:id="rId329" xr:uid="{00000000-0004-0000-0000-000048010000}"/>
    <hyperlink ref="J520" r:id="rId330" xr:uid="{00000000-0004-0000-0000-000049010000}"/>
    <hyperlink ref="J521" r:id="rId331" xr:uid="{00000000-0004-0000-0000-00004A010000}"/>
    <hyperlink ref="J522" r:id="rId332" xr:uid="{00000000-0004-0000-0000-00004B010000}"/>
    <hyperlink ref="J523" r:id="rId333" xr:uid="{00000000-0004-0000-0000-00004C010000}"/>
    <hyperlink ref="J524" r:id="rId334" xr:uid="{00000000-0004-0000-0000-00004D010000}"/>
    <hyperlink ref="J526" r:id="rId335" xr:uid="{00000000-0004-0000-0000-00004E010000}"/>
    <hyperlink ref="J528" r:id="rId336" xr:uid="{00000000-0004-0000-0000-00004F010000}"/>
    <hyperlink ref="J530" r:id="rId337" xr:uid="{00000000-0004-0000-0000-000050010000}"/>
    <hyperlink ref="J531" r:id="rId338" xr:uid="{00000000-0004-0000-0000-000051010000}"/>
    <hyperlink ref="J532" r:id="rId339" xr:uid="{00000000-0004-0000-0000-000052010000}"/>
    <hyperlink ref="J534" r:id="rId340" xr:uid="{00000000-0004-0000-0000-000053010000}"/>
    <hyperlink ref="J535" r:id="rId341" xr:uid="{00000000-0004-0000-0000-000054010000}"/>
    <hyperlink ref="J536" r:id="rId342" xr:uid="{00000000-0004-0000-0000-000055010000}"/>
    <hyperlink ref="J537" r:id="rId343" xr:uid="{00000000-0004-0000-0000-000056010000}"/>
    <hyperlink ref="J538" r:id="rId344" xr:uid="{00000000-0004-0000-0000-000057010000}"/>
    <hyperlink ref="J539" r:id="rId345" xr:uid="{00000000-0004-0000-0000-000058010000}"/>
    <hyperlink ref="J540" r:id="rId346" xr:uid="{00000000-0004-0000-0000-000059010000}"/>
    <hyperlink ref="J541" r:id="rId347" xr:uid="{00000000-0004-0000-0000-00005A010000}"/>
    <hyperlink ref="J542" r:id="rId348" xr:uid="{00000000-0004-0000-0000-00005B010000}"/>
    <hyperlink ref="J546" r:id="rId349" xr:uid="{00000000-0004-0000-0000-00005C010000}"/>
    <hyperlink ref="J561" r:id="rId350" xr:uid="{00000000-0004-0000-0000-00005D010000}"/>
    <hyperlink ref="J562" r:id="rId351" xr:uid="{00000000-0004-0000-0000-00005E010000}"/>
    <hyperlink ref="J563" r:id="rId352" xr:uid="{00000000-0004-0000-0000-00005F010000}"/>
    <hyperlink ref="J564" r:id="rId353" xr:uid="{00000000-0004-0000-0000-000060010000}"/>
    <hyperlink ref="J566" r:id="rId354" xr:uid="{00000000-0004-0000-0000-000061010000}"/>
    <hyperlink ref="J567" r:id="rId355" xr:uid="{00000000-0004-0000-0000-000062010000}"/>
    <hyperlink ref="J570" r:id="rId356" xr:uid="{00000000-0004-0000-0000-000063010000}"/>
    <hyperlink ref="J571" r:id="rId357" xr:uid="{00000000-0004-0000-0000-000064010000}"/>
    <hyperlink ref="J572" r:id="rId358" xr:uid="{00000000-0004-0000-0000-000065010000}"/>
    <hyperlink ref="J575" r:id="rId359" xr:uid="{00000000-0004-0000-0000-000066010000}"/>
    <hyperlink ref="J577" r:id="rId360" xr:uid="{00000000-0004-0000-0000-000067010000}"/>
    <hyperlink ref="J578" r:id="rId361" xr:uid="{00000000-0004-0000-0000-000068010000}"/>
    <hyperlink ref="J579" r:id="rId362" xr:uid="{00000000-0004-0000-0000-000069010000}"/>
    <hyperlink ref="J580" r:id="rId363" xr:uid="{00000000-0004-0000-0000-00006A010000}"/>
    <hyperlink ref="J581" r:id="rId364" xr:uid="{00000000-0004-0000-0000-00006B010000}"/>
    <hyperlink ref="J582" r:id="rId365" xr:uid="{00000000-0004-0000-0000-00006C010000}"/>
    <hyperlink ref="J583" r:id="rId366" xr:uid="{00000000-0004-0000-0000-00006D010000}"/>
    <hyperlink ref="J584" r:id="rId367" xr:uid="{00000000-0004-0000-0000-00006E010000}"/>
    <hyperlink ref="J585" r:id="rId368" xr:uid="{00000000-0004-0000-0000-00006F010000}"/>
    <hyperlink ref="J586" r:id="rId369" xr:uid="{00000000-0004-0000-0000-000070010000}"/>
    <hyperlink ref="J587" r:id="rId370" xr:uid="{00000000-0004-0000-0000-000071010000}"/>
    <hyperlink ref="J588" r:id="rId371" xr:uid="{00000000-0004-0000-0000-000072010000}"/>
    <hyperlink ref="J589" r:id="rId372" xr:uid="{00000000-0004-0000-0000-000073010000}"/>
    <hyperlink ref="J591" r:id="rId373" xr:uid="{00000000-0004-0000-0000-000074010000}"/>
    <hyperlink ref="J592" r:id="rId374" xr:uid="{00000000-0004-0000-0000-000075010000}"/>
    <hyperlink ref="J593" r:id="rId375" xr:uid="{00000000-0004-0000-0000-000076010000}"/>
    <hyperlink ref="J595" r:id="rId376" xr:uid="{00000000-0004-0000-0000-000077010000}"/>
    <hyperlink ref="J596" r:id="rId377" xr:uid="{00000000-0004-0000-0000-000078010000}"/>
    <hyperlink ref="J597" r:id="rId378" xr:uid="{00000000-0004-0000-0000-000079010000}"/>
    <hyperlink ref="J603" r:id="rId379" xr:uid="{00000000-0004-0000-0000-00007A010000}"/>
    <hyperlink ref="J604" r:id="rId380" xr:uid="{00000000-0004-0000-0000-00007B010000}"/>
    <hyperlink ref="J605" r:id="rId381" xr:uid="{00000000-0004-0000-0000-00007C010000}"/>
    <hyperlink ref="J606" r:id="rId382" xr:uid="{00000000-0004-0000-0000-00007D010000}"/>
    <hyperlink ref="J608" r:id="rId383" xr:uid="{00000000-0004-0000-0000-00007E010000}"/>
    <hyperlink ref="J610" r:id="rId384" xr:uid="{00000000-0004-0000-0000-00007F010000}"/>
    <hyperlink ref="J611" r:id="rId385" xr:uid="{00000000-0004-0000-0000-000080010000}"/>
    <hyperlink ref="J614" r:id="rId386" xr:uid="{00000000-0004-0000-0000-000081010000}"/>
    <hyperlink ref="J615" r:id="rId387" xr:uid="{00000000-0004-0000-0000-000082010000}"/>
    <hyperlink ref="J616" r:id="rId388" xr:uid="{00000000-0004-0000-0000-000083010000}"/>
    <hyperlink ref="J617" r:id="rId389" xr:uid="{00000000-0004-0000-0000-000084010000}"/>
    <hyperlink ref="J618" r:id="rId390" xr:uid="{00000000-0004-0000-0000-000085010000}"/>
    <hyperlink ref="J620" r:id="rId391" xr:uid="{00000000-0004-0000-0000-000086010000}"/>
    <hyperlink ref="J621" r:id="rId392" xr:uid="{00000000-0004-0000-0000-000087010000}"/>
    <hyperlink ref="J622" r:id="rId393" xr:uid="{00000000-0004-0000-0000-000088010000}"/>
    <hyperlink ref="J623" r:id="rId394" xr:uid="{00000000-0004-0000-0000-000089010000}"/>
    <hyperlink ref="J624" r:id="rId395" xr:uid="{00000000-0004-0000-0000-00008A010000}"/>
    <hyperlink ref="J626" r:id="rId396" xr:uid="{00000000-0004-0000-0000-00008B010000}"/>
    <hyperlink ref="J627" r:id="rId397" xr:uid="{00000000-0004-0000-0000-00008C010000}"/>
    <hyperlink ref="J628" r:id="rId398" xr:uid="{00000000-0004-0000-0000-00008D010000}"/>
    <hyperlink ref="J629" r:id="rId399" xr:uid="{00000000-0004-0000-0000-00008E010000}"/>
    <hyperlink ref="J631" r:id="rId400" xr:uid="{00000000-0004-0000-0000-00008F010000}"/>
    <hyperlink ref="J632" r:id="rId401" xr:uid="{00000000-0004-0000-0000-000090010000}"/>
    <hyperlink ref="J634" r:id="rId402" xr:uid="{00000000-0004-0000-0000-000091010000}"/>
    <hyperlink ref="J635" r:id="rId403" xr:uid="{00000000-0004-0000-0000-000092010000}"/>
    <hyperlink ref="J639" r:id="rId404" xr:uid="{00000000-0004-0000-0000-000093010000}"/>
    <hyperlink ref="J641" r:id="rId405" xr:uid="{00000000-0004-0000-0000-000094010000}"/>
    <hyperlink ref="J648" r:id="rId406" xr:uid="{00000000-0004-0000-0000-000095010000}"/>
    <hyperlink ref="J649" r:id="rId407" xr:uid="{00000000-0004-0000-0000-000096010000}"/>
    <hyperlink ref="J650" r:id="rId408" xr:uid="{00000000-0004-0000-0000-000097010000}"/>
    <hyperlink ref="J652" r:id="rId409" xr:uid="{00000000-0004-0000-0000-000098010000}"/>
    <hyperlink ref="J655" r:id="rId410" xr:uid="{00000000-0004-0000-0000-000099010000}"/>
    <hyperlink ref="J656" r:id="rId411" xr:uid="{00000000-0004-0000-0000-00009A010000}"/>
    <hyperlink ref="J658" r:id="rId412" xr:uid="{00000000-0004-0000-0000-00009B010000}"/>
    <hyperlink ref="J659" r:id="rId413" xr:uid="{00000000-0004-0000-0000-00009C010000}"/>
    <hyperlink ref="J661" r:id="rId414" xr:uid="{00000000-0004-0000-0000-00009D010000}"/>
    <hyperlink ref="J662" r:id="rId415" xr:uid="{00000000-0004-0000-0000-00009E010000}"/>
    <hyperlink ref="J663" r:id="rId416" xr:uid="{00000000-0004-0000-0000-00009F010000}"/>
    <hyperlink ref="J664" r:id="rId417" xr:uid="{00000000-0004-0000-0000-0000A0010000}"/>
    <hyperlink ref="J665" r:id="rId418" xr:uid="{00000000-0004-0000-0000-0000A1010000}"/>
    <hyperlink ref="J668" r:id="rId419" xr:uid="{00000000-0004-0000-0000-0000A2010000}"/>
    <hyperlink ref="J669" r:id="rId420" xr:uid="{00000000-0004-0000-0000-0000A3010000}"/>
    <hyperlink ref="J670" r:id="rId421" xr:uid="{00000000-0004-0000-0000-0000A4010000}"/>
    <hyperlink ref="J671" r:id="rId422" xr:uid="{00000000-0004-0000-0000-0000A5010000}"/>
    <hyperlink ref="J672" r:id="rId423" xr:uid="{00000000-0004-0000-0000-0000A6010000}"/>
    <hyperlink ref="J675" r:id="rId424" xr:uid="{00000000-0004-0000-0000-0000A7010000}"/>
    <hyperlink ref="J677" r:id="rId425" xr:uid="{00000000-0004-0000-0000-0000A8010000}"/>
    <hyperlink ref="J678" r:id="rId426" xr:uid="{00000000-0004-0000-0000-0000A9010000}"/>
    <hyperlink ref="J679" r:id="rId427" xr:uid="{00000000-0004-0000-0000-0000AA010000}"/>
    <hyperlink ref="J681" r:id="rId428" xr:uid="{00000000-0004-0000-0000-0000AB010000}"/>
    <hyperlink ref="J682" r:id="rId429" xr:uid="{00000000-0004-0000-0000-0000AC010000}"/>
    <hyperlink ref="J683" r:id="rId430" xr:uid="{00000000-0004-0000-0000-0000AD010000}"/>
    <hyperlink ref="J685" r:id="rId431" xr:uid="{00000000-0004-0000-0000-0000AE010000}"/>
    <hyperlink ref="J686" r:id="rId432" xr:uid="{00000000-0004-0000-0000-0000AF010000}"/>
    <hyperlink ref="J687" r:id="rId433" xr:uid="{00000000-0004-0000-0000-0000B0010000}"/>
    <hyperlink ref="J688" r:id="rId434" xr:uid="{00000000-0004-0000-0000-0000B1010000}"/>
    <hyperlink ref="J689" r:id="rId435" xr:uid="{00000000-0004-0000-0000-0000B2010000}"/>
    <hyperlink ref="J690" r:id="rId436" xr:uid="{00000000-0004-0000-0000-0000B3010000}"/>
    <hyperlink ref="J691" r:id="rId437" xr:uid="{00000000-0004-0000-0000-0000B4010000}"/>
    <hyperlink ref="J692" r:id="rId438" xr:uid="{00000000-0004-0000-0000-0000B5010000}"/>
    <hyperlink ref="J693" r:id="rId439" xr:uid="{00000000-0004-0000-0000-0000B6010000}"/>
    <hyperlink ref="J694" r:id="rId440" xr:uid="{00000000-0004-0000-0000-0000B7010000}"/>
    <hyperlink ref="J695" r:id="rId441" xr:uid="{00000000-0004-0000-0000-0000B8010000}"/>
    <hyperlink ref="J697" r:id="rId442" xr:uid="{00000000-0004-0000-0000-0000B9010000}"/>
    <hyperlink ref="J700" r:id="rId443" xr:uid="{00000000-0004-0000-0000-0000BA010000}"/>
    <hyperlink ref="J702" r:id="rId444" xr:uid="{00000000-0004-0000-0000-0000BB010000}"/>
    <hyperlink ref="J704" r:id="rId445" xr:uid="{00000000-0004-0000-0000-0000BC010000}"/>
    <hyperlink ref="J705" r:id="rId446" xr:uid="{00000000-0004-0000-0000-0000BD010000}"/>
    <hyperlink ref="J706" r:id="rId447" xr:uid="{00000000-0004-0000-0000-0000BE010000}"/>
    <hyperlink ref="J707" r:id="rId448" xr:uid="{00000000-0004-0000-0000-0000BF010000}"/>
    <hyperlink ref="J708" r:id="rId449" xr:uid="{00000000-0004-0000-0000-0000C0010000}"/>
    <hyperlink ref="J709" r:id="rId450" xr:uid="{00000000-0004-0000-0000-0000C1010000}"/>
    <hyperlink ref="J712" r:id="rId451" xr:uid="{00000000-0004-0000-0000-0000C2010000}"/>
    <hyperlink ref="J713" r:id="rId452" xr:uid="{00000000-0004-0000-0000-0000C3010000}"/>
    <hyperlink ref="J714" r:id="rId453" xr:uid="{00000000-0004-0000-0000-0000C4010000}"/>
    <hyperlink ref="J715" r:id="rId454" xr:uid="{00000000-0004-0000-0000-0000C5010000}"/>
    <hyperlink ref="J716" r:id="rId455" xr:uid="{00000000-0004-0000-0000-0000C6010000}"/>
    <hyperlink ref="J717" r:id="rId456" xr:uid="{00000000-0004-0000-0000-0000C7010000}"/>
    <hyperlink ref="J718" r:id="rId457" xr:uid="{00000000-0004-0000-0000-0000C8010000}"/>
    <hyperlink ref="J719" r:id="rId458" xr:uid="{00000000-0004-0000-0000-0000C9010000}"/>
    <hyperlink ref="J721" r:id="rId459" xr:uid="{00000000-0004-0000-0000-0000CA010000}"/>
    <hyperlink ref="J722" r:id="rId460" xr:uid="{00000000-0004-0000-0000-0000CB010000}"/>
    <hyperlink ref="J723" r:id="rId461" xr:uid="{00000000-0004-0000-0000-0000CC010000}"/>
    <hyperlink ref="J724" r:id="rId462" xr:uid="{00000000-0004-0000-0000-0000CD010000}"/>
    <hyperlink ref="J725" r:id="rId463" xr:uid="{00000000-0004-0000-0000-0000CE010000}"/>
    <hyperlink ref="J726" r:id="rId464" xr:uid="{00000000-0004-0000-0000-0000CF010000}"/>
    <hyperlink ref="J727" r:id="rId465" xr:uid="{00000000-0004-0000-0000-0000D0010000}"/>
    <hyperlink ref="J728" r:id="rId466" xr:uid="{00000000-0004-0000-0000-0000D1010000}"/>
    <hyperlink ref="J730" r:id="rId467" xr:uid="{00000000-0004-0000-0000-0000D2010000}"/>
    <hyperlink ref="J732" r:id="rId468" xr:uid="{00000000-0004-0000-0000-0000D3010000}"/>
    <hyperlink ref="J733" r:id="rId469" xr:uid="{00000000-0004-0000-0000-0000D4010000}"/>
    <hyperlink ref="J735" r:id="rId470" xr:uid="{00000000-0004-0000-0000-0000D5010000}"/>
    <hyperlink ref="J736" r:id="rId471" xr:uid="{00000000-0004-0000-0000-0000D6010000}"/>
    <hyperlink ref="J739" r:id="rId472" xr:uid="{00000000-0004-0000-0000-0000D7010000}"/>
    <hyperlink ref="J740" r:id="rId473" xr:uid="{00000000-0004-0000-0000-0000D8010000}"/>
    <hyperlink ref="J744" r:id="rId474" xr:uid="{00000000-0004-0000-0000-0000D9010000}"/>
    <hyperlink ref="J747" r:id="rId475" xr:uid="{00000000-0004-0000-0000-0000DA010000}"/>
    <hyperlink ref="J749" r:id="rId476" xr:uid="{00000000-0004-0000-0000-0000DB010000}"/>
    <hyperlink ref="J750" r:id="rId477" xr:uid="{00000000-0004-0000-0000-0000DC010000}"/>
    <hyperlink ref="J751" r:id="rId478" xr:uid="{00000000-0004-0000-0000-0000DD010000}"/>
    <hyperlink ref="J753" r:id="rId479" xr:uid="{00000000-0004-0000-0000-0000DE010000}"/>
    <hyperlink ref="J754" r:id="rId480" xr:uid="{00000000-0004-0000-0000-0000DF010000}"/>
    <hyperlink ref="J757" r:id="rId481" xr:uid="{00000000-0004-0000-0000-0000E0010000}"/>
    <hyperlink ref="J758" r:id="rId482" xr:uid="{00000000-0004-0000-0000-0000E1010000}"/>
    <hyperlink ref="J760" r:id="rId483" xr:uid="{00000000-0004-0000-0000-0000E2010000}"/>
    <hyperlink ref="J763" r:id="rId484" xr:uid="{00000000-0004-0000-0000-0000E3010000}"/>
    <hyperlink ref="J764" r:id="rId485" xr:uid="{00000000-0004-0000-0000-0000E4010000}"/>
    <hyperlink ref="J765" r:id="rId486" xr:uid="{00000000-0004-0000-0000-0000E5010000}"/>
    <hyperlink ref="J766" r:id="rId487" xr:uid="{00000000-0004-0000-0000-0000E6010000}"/>
    <hyperlink ref="J767" r:id="rId488" xr:uid="{00000000-0004-0000-0000-0000E7010000}"/>
    <hyperlink ref="J770" r:id="rId489" xr:uid="{00000000-0004-0000-0000-0000E8010000}"/>
    <hyperlink ref="J774" r:id="rId490" xr:uid="{00000000-0004-0000-0000-0000E9010000}"/>
    <hyperlink ref="J775" r:id="rId491" xr:uid="{00000000-0004-0000-0000-0000EA010000}"/>
    <hyperlink ref="J776" r:id="rId492" xr:uid="{00000000-0004-0000-0000-0000EB010000}"/>
    <hyperlink ref="J779" r:id="rId493" xr:uid="{00000000-0004-0000-0000-0000EC010000}"/>
    <hyperlink ref="J781" r:id="rId494" xr:uid="{00000000-0004-0000-0000-0000ED010000}"/>
    <hyperlink ref="J782" r:id="rId495" xr:uid="{00000000-0004-0000-0000-0000EE010000}"/>
    <hyperlink ref="J783" r:id="rId496" xr:uid="{00000000-0004-0000-0000-0000EF010000}"/>
    <hyperlink ref="J785" r:id="rId497" xr:uid="{00000000-0004-0000-0000-0000F0010000}"/>
    <hyperlink ref="J786" r:id="rId498" xr:uid="{00000000-0004-0000-0000-0000F1010000}"/>
    <hyperlink ref="J787" r:id="rId499" xr:uid="{00000000-0004-0000-0000-0000F2010000}"/>
    <hyperlink ref="J788" r:id="rId500" xr:uid="{00000000-0004-0000-0000-0000F3010000}"/>
    <hyperlink ref="J790" r:id="rId501" xr:uid="{00000000-0004-0000-0000-0000F4010000}"/>
    <hyperlink ref="J791" r:id="rId502" xr:uid="{00000000-0004-0000-0000-0000F5010000}"/>
    <hyperlink ref="J793" r:id="rId503" xr:uid="{00000000-0004-0000-0000-0000F6010000}"/>
    <hyperlink ref="J797" r:id="rId504" xr:uid="{00000000-0004-0000-0000-0000F7010000}"/>
    <hyperlink ref="J800" r:id="rId505" xr:uid="{00000000-0004-0000-0000-0000F8010000}"/>
    <hyperlink ref="J801" r:id="rId506" xr:uid="{00000000-0004-0000-0000-0000F9010000}"/>
    <hyperlink ref="J802" r:id="rId507" xr:uid="{00000000-0004-0000-0000-0000FA010000}"/>
    <hyperlink ref="J804" r:id="rId508" xr:uid="{00000000-0004-0000-0000-0000FB010000}"/>
    <hyperlink ref="J808" r:id="rId509" xr:uid="{00000000-0004-0000-0000-0000FC010000}"/>
    <hyperlink ref="J809" r:id="rId510" xr:uid="{00000000-0004-0000-0000-0000FD010000}"/>
    <hyperlink ref="J811" r:id="rId511" xr:uid="{00000000-0004-0000-0000-0000FE010000}"/>
    <hyperlink ref="J813" r:id="rId512" xr:uid="{00000000-0004-0000-0000-0000FF010000}"/>
    <hyperlink ref="J815" r:id="rId513" xr:uid="{00000000-0004-0000-0000-000000020000}"/>
    <hyperlink ref="J819" r:id="rId514" xr:uid="{00000000-0004-0000-0000-000001020000}"/>
    <hyperlink ref="J820" r:id="rId515" xr:uid="{00000000-0004-0000-0000-000002020000}"/>
    <hyperlink ref="J822" r:id="rId516" xr:uid="{00000000-0004-0000-0000-000003020000}"/>
    <hyperlink ref="J823" r:id="rId517" xr:uid="{00000000-0004-0000-0000-000004020000}"/>
    <hyperlink ref="J824" r:id="rId518" xr:uid="{00000000-0004-0000-0000-000005020000}"/>
    <hyperlink ref="J825" r:id="rId519" xr:uid="{00000000-0004-0000-0000-000006020000}"/>
    <hyperlink ref="J830" r:id="rId520" xr:uid="{00000000-0004-0000-0000-000007020000}"/>
    <hyperlink ref="J833" r:id="rId521" xr:uid="{00000000-0004-0000-0000-000008020000}"/>
    <hyperlink ref="J834" r:id="rId522" xr:uid="{00000000-0004-0000-0000-000009020000}"/>
    <hyperlink ref="J836" r:id="rId523" xr:uid="{00000000-0004-0000-0000-00000A020000}"/>
    <hyperlink ref="J837" r:id="rId524" xr:uid="{00000000-0004-0000-0000-00000B020000}"/>
    <hyperlink ref="J838" r:id="rId525" xr:uid="{00000000-0004-0000-0000-00000C020000}"/>
    <hyperlink ref="J840" r:id="rId526" xr:uid="{00000000-0004-0000-0000-00000D020000}"/>
    <hyperlink ref="J841" r:id="rId527" xr:uid="{00000000-0004-0000-0000-00000E020000}"/>
    <hyperlink ref="J842" r:id="rId528" xr:uid="{00000000-0004-0000-0000-00000F020000}"/>
    <hyperlink ref="J844" r:id="rId529" xr:uid="{00000000-0004-0000-0000-000010020000}"/>
    <hyperlink ref="J845" r:id="rId530" xr:uid="{00000000-0004-0000-0000-000011020000}"/>
    <hyperlink ref="J847" r:id="rId531" xr:uid="{00000000-0004-0000-0000-000012020000}"/>
    <hyperlink ref="J849" r:id="rId532" xr:uid="{00000000-0004-0000-0000-000013020000}"/>
    <hyperlink ref="J850" r:id="rId533" xr:uid="{00000000-0004-0000-0000-000014020000}"/>
    <hyperlink ref="J851" r:id="rId534" xr:uid="{00000000-0004-0000-0000-000015020000}"/>
    <hyperlink ref="J853" r:id="rId535" xr:uid="{00000000-0004-0000-0000-000016020000}"/>
    <hyperlink ref="J854" r:id="rId536" xr:uid="{00000000-0004-0000-0000-000017020000}"/>
    <hyperlink ref="J855" r:id="rId537" xr:uid="{00000000-0004-0000-0000-000018020000}"/>
  </hyperlinks>
  <pageMargins left="0.7" right="0.7" top="0.75" bottom="0.75" header="0.511811023622047" footer="0.511811023622047"/>
  <pageSetup orientation="portrait" horizontalDpi="300" verticalDpi="300"/>
  <tableParts count="1">
    <tablePart r:id="rId5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28"/>
  <sheetViews>
    <sheetView topLeftCell="A1183" zoomScaleNormal="100" workbookViewId="0">
      <selection activeCell="A1236" sqref="A123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2159</v>
      </c>
      <c r="C5">
        <v>2022</v>
      </c>
      <c r="E5" s="1" t="s">
        <v>2984</v>
      </c>
    </row>
    <row r="6" spans="1:5" ht="15" customHeight="1" x14ac:dyDescent="0.25">
      <c r="A6" t="s">
        <v>190</v>
      </c>
      <c r="B6" t="s">
        <v>194</v>
      </c>
      <c r="C6">
        <v>2017</v>
      </c>
      <c r="D6" t="s">
        <v>187</v>
      </c>
      <c r="E6" s="1"/>
    </row>
    <row r="7" spans="1:5" ht="15" customHeight="1" x14ac:dyDescent="0.25">
      <c r="A7" t="s">
        <v>205</v>
      </c>
      <c r="B7" t="s">
        <v>202</v>
      </c>
      <c r="C7">
        <v>2015</v>
      </c>
      <c r="D7" t="s">
        <v>187</v>
      </c>
      <c r="E7" s="1"/>
    </row>
    <row r="8" spans="1:5" ht="15" customHeight="1" x14ac:dyDescent="0.25">
      <c r="A8" t="s">
        <v>209</v>
      </c>
      <c r="B8" t="s">
        <v>2696</v>
      </c>
      <c r="C8">
        <v>2024</v>
      </c>
      <c r="E8" s="11" t="s">
        <v>2985</v>
      </c>
    </row>
    <row r="9" spans="1:5" ht="15" customHeight="1" x14ac:dyDescent="0.25">
      <c r="A9" t="s">
        <v>237</v>
      </c>
      <c r="B9" t="s">
        <v>2668</v>
      </c>
      <c r="C9">
        <v>2021</v>
      </c>
      <c r="E9" s="1" t="s">
        <v>2986</v>
      </c>
    </row>
    <row r="10" spans="1:5" ht="15" customHeight="1" x14ac:dyDescent="0.25">
      <c r="A10" t="s">
        <v>241</v>
      </c>
      <c r="B10" t="s">
        <v>1705</v>
      </c>
      <c r="C10">
        <v>2025</v>
      </c>
      <c r="E10" s="11" t="s">
        <v>2987</v>
      </c>
    </row>
    <row r="11" spans="1:5" ht="15" customHeight="1" x14ac:dyDescent="0.25">
      <c r="A11" t="s">
        <v>256</v>
      </c>
      <c r="B11" t="s">
        <v>553</v>
      </c>
      <c r="C11">
        <v>1994</v>
      </c>
      <c r="E11" s="1"/>
    </row>
    <row r="12" spans="1:5" ht="15" customHeight="1" x14ac:dyDescent="0.25">
      <c r="A12" t="s">
        <v>256</v>
      </c>
      <c r="B12" t="s">
        <v>656</v>
      </c>
      <c r="C12">
        <v>1994</v>
      </c>
      <c r="E12" s="11" t="s">
        <v>2988</v>
      </c>
    </row>
    <row r="13" spans="1:5" ht="15" customHeight="1" x14ac:dyDescent="0.25">
      <c r="A13" t="s">
        <v>256</v>
      </c>
      <c r="B13" t="s">
        <v>985</v>
      </c>
      <c r="C13">
        <v>1994</v>
      </c>
      <c r="E13" s="11" t="s">
        <v>2989</v>
      </c>
    </row>
    <row r="14" spans="1:5" ht="15" customHeight="1" x14ac:dyDescent="0.25">
      <c r="A14" t="s">
        <v>256</v>
      </c>
      <c r="B14" t="s">
        <v>1028</v>
      </c>
      <c r="C14">
        <v>1994</v>
      </c>
      <c r="E14" s="1"/>
    </row>
    <row r="15" spans="1:5" ht="15" customHeight="1" x14ac:dyDescent="0.25">
      <c r="A15" t="s">
        <v>256</v>
      </c>
      <c r="B15" t="s">
        <v>1142</v>
      </c>
      <c r="C15">
        <v>1994</v>
      </c>
      <c r="E15" s="11" t="s">
        <v>2990</v>
      </c>
    </row>
    <row r="16" spans="1:5" ht="15" customHeight="1" x14ac:dyDescent="0.25">
      <c r="A16" t="s">
        <v>256</v>
      </c>
      <c r="B16" t="s">
        <v>1178</v>
      </c>
      <c r="C16">
        <v>1994</v>
      </c>
      <c r="E16" s="11" t="s">
        <v>2991</v>
      </c>
    </row>
    <row r="17" spans="1:5" ht="15" customHeight="1" x14ac:dyDescent="0.25">
      <c r="A17" t="s">
        <v>256</v>
      </c>
      <c r="B17" t="s">
        <v>1401</v>
      </c>
      <c r="C17">
        <v>1994</v>
      </c>
      <c r="E17" s="11" t="s">
        <v>2992</v>
      </c>
    </row>
    <row r="18" spans="1:5" ht="15" customHeight="1" x14ac:dyDescent="0.25">
      <c r="A18" t="s">
        <v>256</v>
      </c>
      <c r="B18" t="s">
        <v>1421</v>
      </c>
      <c r="C18">
        <v>1994</v>
      </c>
      <c r="E18" s="1" t="s">
        <v>2993</v>
      </c>
    </row>
    <row r="19" spans="1:5" ht="15" customHeight="1" x14ac:dyDescent="0.25">
      <c r="A19" t="s">
        <v>256</v>
      </c>
      <c r="B19" t="s">
        <v>1483</v>
      </c>
      <c r="C19">
        <v>1994</v>
      </c>
      <c r="E19" s="1" t="s">
        <v>2983</v>
      </c>
    </row>
    <row r="20" spans="1:5" ht="15" customHeight="1" x14ac:dyDescent="0.25">
      <c r="A20" t="s">
        <v>256</v>
      </c>
      <c r="B20" t="s">
        <v>1521</v>
      </c>
      <c r="C20">
        <v>1994</v>
      </c>
      <c r="E20" s="11" t="s">
        <v>2994</v>
      </c>
    </row>
    <row r="21" spans="1:5" ht="15" customHeight="1" x14ac:dyDescent="0.25">
      <c r="A21" t="s">
        <v>256</v>
      </c>
      <c r="B21" t="s">
        <v>1720</v>
      </c>
      <c r="C21">
        <v>1994</v>
      </c>
      <c r="E21" s="1" t="s">
        <v>2983</v>
      </c>
    </row>
    <row r="22" spans="1:5" ht="15" customHeight="1" x14ac:dyDescent="0.25">
      <c r="A22" t="s">
        <v>256</v>
      </c>
      <c r="B22" t="s">
        <v>2024</v>
      </c>
      <c r="C22">
        <v>1994</v>
      </c>
      <c r="E22" s="11" t="s">
        <v>2995</v>
      </c>
    </row>
    <row r="23" spans="1:5" ht="15" customHeight="1" x14ac:dyDescent="0.25">
      <c r="A23" t="s">
        <v>256</v>
      </c>
      <c r="B23" t="s">
        <v>2161</v>
      </c>
      <c r="C23">
        <v>1994</v>
      </c>
      <c r="E23" s="1" t="s">
        <v>2996</v>
      </c>
    </row>
    <row r="24" spans="1:5" ht="15" customHeight="1" x14ac:dyDescent="0.25">
      <c r="A24" t="s">
        <v>256</v>
      </c>
      <c r="B24" t="s">
        <v>2277</v>
      </c>
      <c r="C24">
        <v>1994</v>
      </c>
      <c r="E24" s="11" t="s">
        <v>2997</v>
      </c>
    </row>
    <row r="25" spans="1:5" ht="15" customHeight="1" x14ac:dyDescent="0.25">
      <c r="A25" t="s">
        <v>256</v>
      </c>
      <c r="B25" t="s">
        <v>2394</v>
      </c>
      <c r="C25">
        <v>1994</v>
      </c>
      <c r="E25" s="1" t="s">
        <v>2998</v>
      </c>
    </row>
    <row r="26" spans="1:5" ht="15" customHeight="1" x14ac:dyDescent="0.25">
      <c r="A26" t="s">
        <v>256</v>
      </c>
      <c r="B26" t="s">
        <v>2448</v>
      </c>
      <c r="C26">
        <v>1994</v>
      </c>
      <c r="E26" s="1" t="s">
        <v>2999</v>
      </c>
    </row>
    <row r="27" spans="1:5" ht="15" customHeight="1" x14ac:dyDescent="0.25">
      <c r="A27" t="s">
        <v>256</v>
      </c>
      <c r="B27" t="s">
        <v>2482</v>
      </c>
      <c r="C27">
        <v>1994</v>
      </c>
      <c r="E27" s="1" t="s">
        <v>3000</v>
      </c>
    </row>
    <row r="28" spans="1:5" ht="15" customHeight="1" x14ac:dyDescent="0.25">
      <c r="A28" t="s">
        <v>256</v>
      </c>
      <c r="B28" t="s">
        <v>2772</v>
      </c>
      <c r="C28">
        <v>1994</v>
      </c>
      <c r="E28" s="1"/>
    </row>
    <row r="29" spans="1:5" ht="15" customHeight="1" x14ac:dyDescent="0.25">
      <c r="A29" t="s">
        <v>260</v>
      </c>
      <c r="B29" t="s">
        <v>517</v>
      </c>
      <c r="C29">
        <v>1990</v>
      </c>
      <c r="E29" s="11" t="s">
        <v>3001</v>
      </c>
    </row>
    <row r="30" spans="1:5" ht="15" customHeight="1" x14ac:dyDescent="0.25">
      <c r="A30" t="s">
        <v>260</v>
      </c>
      <c r="B30" t="s">
        <v>656</v>
      </c>
      <c r="C30">
        <v>1990</v>
      </c>
      <c r="E30" s="11" t="s">
        <v>3002</v>
      </c>
    </row>
    <row r="31" spans="1:5" ht="15" customHeight="1" x14ac:dyDescent="0.25">
      <c r="A31" t="s">
        <v>260</v>
      </c>
      <c r="B31" t="s">
        <v>848</v>
      </c>
      <c r="C31">
        <v>1990</v>
      </c>
      <c r="E31" s="11" t="s">
        <v>3003</v>
      </c>
    </row>
    <row r="32" spans="1:5" ht="15" customHeight="1" x14ac:dyDescent="0.25">
      <c r="A32" t="s">
        <v>260</v>
      </c>
      <c r="B32" t="s">
        <v>985</v>
      </c>
      <c r="C32">
        <v>1990</v>
      </c>
      <c r="E32" s="11" t="s">
        <v>2989</v>
      </c>
    </row>
    <row r="33" spans="1:5" ht="15" customHeight="1" x14ac:dyDescent="0.25">
      <c r="A33" t="s">
        <v>260</v>
      </c>
      <c r="B33" t="s">
        <v>1028</v>
      </c>
      <c r="C33">
        <v>1990</v>
      </c>
      <c r="E33" s="1"/>
    </row>
    <row r="34" spans="1:5" ht="15" customHeight="1" x14ac:dyDescent="0.25">
      <c r="A34" t="s">
        <v>260</v>
      </c>
      <c r="B34" t="s">
        <v>1421</v>
      </c>
      <c r="C34">
        <v>1990</v>
      </c>
      <c r="E34" s="1" t="s">
        <v>2993</v>
      </c>
    </row>
    <row r="35" spans="1:5" ht="15" customHeight="1" x14ac:dyDescent="0.25">
      <c r="A35" t="s">
        <v>260</v>
      </c>
      <c r="B35" t="s">
        <v>1426</v>
      </c>
      <c r="C35">
        <v>1990</v>
      </c>
      <c r="E35" s="1" t="s">
        <v>2983</v>
      </c>
    </row>
    <row r="36" spans="1:5" ht="15" customHeight="1" x14ac:dyDescent="0.25">
      <c r="A36" t="s">
        <v>260</v>
      </c>
      <c r="B36" t="s">
        <v>1521</v>
      </c>
      <c r="C36">
        <v>1990</v>
      </c>
      <c r="E36" s="11" t="s">
        <v>2994</v>
      </c>
    </row>
    <row r="37" spans="1:5" ht="15" customHeight="1" x14ac:dyDescent="0.25">
      <c r="A37" t="s">
        <v>260</v>
      </c>
      <c r="B37" t="s">
        <v>2024</v>
      </c>
      <c r="C37">
        <v>1990</v>
      </c>
      <c r="E37" s="11" t="s">
        <v>2995</v>
      </c>
    </row>
    <row r="38" spans="1:5" ht="15" customHeight="1" x14ac:dyDescent="0.25">
      <c r="A38" t="s">
        <v>260</v>
      </c>
      <c r="B38" t="s">
        <v>2331</v>
      </c>
      <c r="C38">
        <v>1990</v>
      </c>
      <c r="E38" s="1" t="s">
        <v>3004</v>
      </c>
    </row>
    <row r="39" spans="1:5" ht="15" customHeight="1" x14ac:dyDescent="0.25">
      <c r="A39" t="s">
        <v>260</v>
      </c>
      <c r="B39" t="s">
        <v>2635</v>
      </c>
      <c r="C39">
        <v>1990</v>
      </c>
      <c r="E39" s="1" t="s">
        <v>3005</v>
      </c>
    </row>
    <row r="40" spans="1:5" ht="15" customHeight="1" x14ac:dyDescent="0.25">
      <c r="A40" t="s">
        <v>260</v>
      </c>
      <c r="B40" t="s">
        <v>2948</v>
      </c>
      <c r="C40">
        <v>1990</v>
      </c>
      <c r="E40" s="1" t="s">
        <v>3006</v>
      </c>
    </row>
    <row r="41" spans="1:5" ht="15" customHeight="1" x14ac:dyDescent="0.25">
      <c r="A41" t="s">
        <v>260</v>
      </c>
      <c r="B41" t="s">
        <v>2963</v>
      </c>
      <c r="C41">
        <v>1990</v>
      </c>
      <c r="E41" s="1" t="s">
        <v>3007</v>
      </c>
    </row>
    <row r="42" spans="1:5" ht="15" customHeight="1" x14ac:dyDescent="0.25">
      <c r="A42" t="s">
        <v>260</v>
      </c>
      <c r="B42" t="s">
        <v>2973</v>
      </c>
      <c r="C42">
        <v>1990</v>
      </c>
      <c r="E42" s="1" t="s">
        <v>2983</v>
      </c>
    </row>
    <row r="43" spans="1:5" ht="15" customHeight="1" x14ac:dyDescent="0.25">
      <c r="A43" t="s">
        <v>263</v>
      </c>
      <c r="B43" t="s">
        <v>268</v>
      </c>
      <c r="C43">
        <v>2022</v>
      </c>
      <c r="D43" t="s">
        <v>187</v>
      </c>
      <c r="E43" s="1"/>
    </row>
    <row r="44" spans="1:5" ht="15" customHeight="1" x14ac:dyDescent="0.25">
      <c r="A44" t="s">
        <v>323</v>
      </c>
      <c r="B44" t="s">
        <v>2644</v>
      </c>
      <c r="C44">
        <v>2020</v>
      </c>
      <c r="E44" s="1" t="s">
        <v>3008</v>
      </c>
    </row>
    <row r="45" spans="1:5" ht="15" customHeight="1" x14ac:dyDescent="0.25">
      <c r="A45" t="s">
        <v>333</v>
      </c>
      <c r="B45" t="s">
        <v>1959</v>
      </c>
      <c r="C45">
        <v>2020</v>
      </c>
      <c r="E45" s="1" t="s">
        <v>1962</v>
      </c>
    </row>
    <row r="46" spans="1:5" ht="15" customHeight="1" x14ac:dyDescent="0.25">
      <c r="A46" t="s">
        <v>337</v>
      </c>
      <c r="B46" t="s">
        <v>2050</v>
      </c>
      <c r="C46">
        <v>2014</v>
      </c>
      <c r="E46" s="1" t="s">
        <v>3009</v>
      </c>
    </row>
    <row r="47" spans="1:5" ht="15" customHeight="1" x14ac:dyDescent="0.25">
      <c r="A47" t="s">
        <v>341</v>
      </c>
      <c r="B47" t="s">
        <v>1318</v>
      </c>
      <c r="C47">
        <v>1997</v>
      </c>
      <c r="E47" s="1" t="s">
        <v>3010</v>
      </c>
    </row>
    <row r="48" spans="1:5" ht="15" customHeight="1" x14ac:dyDescent="0.25">
      <c r="A48" t="s">
        <v>341</v>
      </c>
      <c r="B48" t="s">
        <v>2538</v>
      </c>
      <c r="C48">
        <v>1997</v>
      </c>
      <c r="E48" s="11" t="s">
        <v>3011</v>
      </c>
    </row>
    <row r="49" spans="1:5" ht="15" customHeight="1" x14ac:dyDescent="0.25">
      <c r="A49" t="s">
        <v>341</v>
      </c>
      <c r="B49" t="s">
        <v>2588</v>
      </c>
      <c r="C49">
        <v>1997</v>
      </c>
      <c r="D49" t="s">
        <v>187</v>
      </c>
      <c r="E49" s="1"/>
    </row>
    <row r="50" spans="1:5" ht="15" customHeight="1" x14ac:dyDescent="0.25">
      <c r="A50" t="s">
        <v>344</v>
      </c>
      <c r="B50" t="s">
        <v>1331</v>
      </c>
      <c r="C50">
        <v>2023</v>
      </c>
      <c r="E50" s="1" t="s">
        <v>2983</v>
      </c>
    </row>
    <row r="51" spans="1:5" ht="15" customHeight="1" x14ac:dyDescent="0.25">
      <c r="A51" t="s">
        <v>344</v>
      </c>
      <c r="B51" t="s">
        <v>1504</v>
      </c>
      <c r="C51">
        <v>2023</v>
      </c>
      <c r="E51" s="1" t="s">
        <v>3012</v>
      </c>
    </row>
    <row r="52" spans="1:5" ht="15" customHeight="1" x14ac:dyDescent="0.25">
      <c r="A52" t="s">
        <v>344</v>
      </c>
      <c r="B52" t="s">
        <v>1560</v>
      </c>
      <c r="C52">
        <v>2023</v>
      </c>
      <c r="E52" s="1" t="s">
        <v>3013</v>
      </c>
    </row>
    <row r="53" spans="1:5" ht="15" customHeight="1" x14ac:dyDescent="0.25">
      <c r="A53" t="s">
        <v>344</v>
      </c>
      <c r="B53" t="s">
        <v>1864</v>
      </c>
      <c r="C53">
        <v>2023</v>
      </c>
      <c r="E53" s="1" t="s">
        <v>2983</v>
      </c>
    </row>
    <row r="54" spans="1:5" ht="15" customHeight="1" x14ac:dyDescent="0.25">
      <c r="A54" t="s">
        <v>344</v>
      </c>
      <c r="B54" t="s">
        <v>2696</v>
      </c>
      <c r="C54">
        <v>2023</v>
      </c>
      <c r="E54" s="11" t="s">
        <v>2985</v>
      </c>
    </row>
    <row r="55" spans="1:5" ht="15" customHeight="1" x14ac:dyDescent="0.25">
      <c r="A55" t="s">
        <v>344</v>
      </c>
      <c r="B55" t="s">
        <v>2756</v>
      </c>
      <c r="C55">
        <v>2023</v>
      </c>
      <c r="E55" s="1" t="s">
        <v>3014</v>
      </c>
    </row>
    <row r="56" spans="1:5" ht="15" customHeight="1" x14ac:dyDescent="0.25">
      <c r="A56" t="s">
        <v>344</v>
      </c>
      <c r="B56" t="s">
        <v>2764</v>
      </c>
      <c r="C56">
        <v>2023</v>
      </c>
      <c r="E56" s="1" t="s">
        <v>3015</v>
      </c>
    </row>
    <row r="57" spans="1:5" ht="15" customHeight="1" x14ac:dyDescent="0.25">
      <c r="A57" t="s">
        <v>346</v>
      </c>
      <c r="B57" t="s">
        <v>344</v>
      </c>
      <c r="C57">
        <v>2022</v>
      </c>
      <c r="E57" s="1" t="s">
        <v>3016</v>
      </c>
    </row>
    <row r="58" spans="1:5" ht="15" customHeight="1" x14ac:dyDescent="0.25">
      <c r="A58" t="s">
        <v>346</v>
      </c>
      <c r="B58" t="s">
        <v>372</v>
      </c>
      <c r="C58">
        <v>2022</v>
      </c>
      <c r="E58" s="11" t="s">
        <v>3017</v>
      </c>
    </row>
    <row r="59" spans="1:5" ht="15" customHeight="1" x14ac:dyDescent="0.25">
      <c r="A59" t="s">
        <v>346</v>
      </c>
      <c r="B59" t="s">
        <v>1712</v>
      </c>
      <c r="C59">
        <v>2022</v>
      </c>
      <c r="D59" t="s">
        <v>187</v>
      </c>
      <c r="E59" s="1"/>
    </row>
    <row r="60" spans="1:5" ht="15" customHeight="1" x14ac:dyDescent="0.25">
      <c r="A60" t="s">
        <v>346</v>
      </c>
      <c r="B60" t="s">
        <v>2188</v>
      </c>
      <c r="C60">
        <v>2022</v>
      </c>
      <c r="E60" s="11" t="s">
        <v>3018</v>
      </c>
    </row>
    <row r="61" spans="1:5" ht="15" customHeight="1" x14ac:dyDescent="0.25">
      <c r="A61" t="s">
        <v>346</v>
      </c>
      <c r="B61" t="s">
        <v>2432</v>
      </c>
      <c r="C61">
        <v>2022</v>
      </c>
      <c r="E61" s="1" t="s">
        <v>2983</v>
      </c>
    </row>
    <row r="62" spans="1:5" ht="15" customHeight="1" x14ac:dyDescent="0.25">
      <c r="A62" t="s">
        <v>350</v>
      </c>
      <c r="B62" t="s">
        <v>2561</v>
      </c>
      <c r="C62">
        <v>2018</v>
      </c>
      <c r="E62" s="1" t="s">
        <v>2983</v>
      </c>
    </row>
    <row r="63" spans="1:5" ht="15" customHeight="1" x14ac:dyDescent="0.25">
      <c r="A63" t="s">
        <v>353</v>
      </c>
      <c r="B63" t="s">
        <v>270</v>
      </c>
      <c r="C63">
        <v>2023</v>
      </c>
      <c r="E63" s="1" t="s">
        <v>3019</v>
      </c>
    </row>
    <row r="64" spans="1:5" ht="15" customHeight="1" x14ac:dyDescent="0.25">
      <c r="A64" t="s">
        <v>353</v>
      </c>
      <c r="B64" t="s">
        <v>391</v>
      </c>
      <c r="C64">
        <v>2023</v>
      </c>
      <c r="E64" s="1" t="s">
        <v>3020</v>
      </c>
    </row>
    <row r="65" spans="1:5" ht="15" customHeight="1" x14ac:dyDescent="0.25">
      <c r="A65" t="s">
        <v>353</v>
      </c>
      <c r="B65" t="s">
        <v>419</v>
      </c>
      <c r="C65">
        <v>2023</v>
      </c>
      <c r="E65" s="1" t="s">
        <v>3021</v>
      </c>
    </row>
    <row r="66" spans="1:5" ht="15" customHeight="1" x14ac:dyDescent="0.25">
      <c r="A66" t="s">
        <v>353</v>
      </c>
      <c r="B66" t="s">
        <v>421</v>
      </c>
      <c r="C66">
        <v>2023</v>
      </c>
      <c r="E66" s="1" t="s">
        <v>2983</v>
      </c>
    </row>
    <row r="67" spans="1:5" ht="15" customHeight="1" x14ac:dyDescent="0.25">
      <c r="A67" t="s">
        <v>353</v>
      </c>
      <c r="B67" t="s">
        <v>428</v>
      </c>
      <c r="C67">
        <v>2023</v>
      </c>
      <c r="E67" s="11" t="s">
        <v>3022</v>
      </c>
    </row>
    <row r="68" spans="1:5" ht="15" customHeight="1" x14ac:dyDescent="0.25">
      <c r="A68" t="s">
        <v>353</v>
      </c>
      <c r="B68" t="s">
        <v>543</v>
      </c>
      <c r="C68">
        <v>2023</v>
      </c>
      <c r="E68" s="1" t="s">
        <v>3023</v>
      </c>
    </row>
    <row r="69" spans="1:5" ht="15" customHeight="1" x14ac:dyDescent="0.25">
      <c r="A69" t="s">
        <v>353</v>
      </c>
      <c r="B69" t="s">
        <v>595</v>
      </c>
      <c r="C69">
        <v>2023</v>
      </c>
      <c r="E69" s="11" t="s">
        <v>3024</v>
      </c>
    </row>
    <row r="70" spans="1:5" ht="15" customHeight="1" x14ac:dyDescent="0.25">
      <c r="A70" t="s">
        <v>353</v>
      </c>
      <c r="B70" t="s">
        <v>606</v>
      </c>
      <c r="C70">
        <v>2023</v>
      </c>
      <c r="E70" s="1" t="s">
        <v>609</v>
      </c>
    </row>
    <row r="71" spans="1:5" ht="15" customHeight="1" x14ac:dyDescent="0.25">
      <c r="A71" t="s">
        <v>353</v>
      </c>
      <c r="B71" t="s">
        <v>613</v>
      </c>
      <c r="C71">
        <v>2023</v>
      </c>
      <c r="E71" s="1" t="s">
        <v>3025</v>
      </c>
    </row>
    <row r="72" spans="1:5" ht="15" customHeight="1" x14ac:dyDescent="0.25">
      <c r="A72" t="s">
        <v>353</v>
      </c>
      <c r="B72" t="s">
        <v>671</v>
      </c>
      <c r="C72">
        <v>2023</v>
      </c>
      <c r="E72" s="1" t="s">
        <v>2983</v>
      </c>
    </row>
    <row r="73" spans="1:5" ht="15" customHeight="1" x14ac:dyDescent="0.25">
      <c r="A73" t="s">
        <v>353</v>
      </c>
      <c r="B73" t="s">
        <v>706</v>
      </c>
      <c r="C73">
        <v>2023</v>
      </c>
      <c r="E73" s="11" t="s">
        <v>3026</v>
      </c>
    </row>
    <row r="74" spans="1:5" ht="15" customHeight="1" x14ac:dyDescent="0.25">
      <c r="A74" t="s">
        <v>353</v>
      </c>
      <c r="B74" t="s">
        <v>730</v>
      </c>
      <c r="C74">
        <v>2023</v>
      </c>
      <c r="E74" s="1" t="s">
        <v>3027</v>
      </c>
    </row>
    <row r="75" spans="1:5" ht="15" customHeight="1" x14ac:dyDescent="0.25">
      <c r="A75" t="s">
        <v>353</v>
      </c>
      <c r="B75" t="s">
        <v>767</v>
      </c>
      <c r="C75">
        <v>2023</v>
      </c>
      <c r="E75" s="1" t="s">
        <v>3028</v>
      </c>
    </row>
    <row r="76" spans="1:5" ht="15" customHeight="1" x14ac:dyDescent="0.25">
      <c r="A76" t="s">
        <v>353</v>
      </c>
      <c r="B76" t="s">
        <v>855</v>
      </c>
      <c r="C76">
        <v>2023</v>
      </c>
      <c r="E76" s="1" t="s">
        <v>3014</v>
      </c>
    </row>
    <row r="77" spans="1:5" ht="15" customHeight="1" x14ac:dyDescent="0.25">
      <c r="A77" t="s">
        <v>353</v>
      </c>
      <c r="B77" t="s">
        <v>864</v>
      </c>
      <c r="C77">
        <v>2023</v>
      </c>
      <c r="E77" s="1" t="s">
        <v>3029</v>
      </c>
    </row>
    <row r="78" spans="1:5" ht="15" customHeight="1" x14ac:dyDescent="0.25">
      <c r="A78" t="s">
        <v>353</v>
      </c>
      <c r="B78" t="s">
        <v>901</v>
      </c>
      <c r="C78">
        <v>2023</v>
      </c>
      <c r="E78" s="1" t="s">
        <v>3030</v>
      </c>
    </row>
    <row r="79" spans="1:5" ht="15" customHeight="1" x14ac:dyDescent="0.25">
      <c r="A79" t="s">
        <v>353</v>
      </c>
      <c r="B79" t="s">
        <v>955</v>
      </c>
      <c r="C79">
        <v>2023</v>
      </c>
      <c r="E79" s="1" t="s">
        <v>2983</v>
      </c>
    </row>
    <row r="80" spans="1:5" ht="15" customHeight="1" x14ac:dyDescent="0.25">
      <c r="A80" t="s">
        <v>353</v>
      </c>
      <c r="B80" t="s">
        <v>959</v>
      </c>
      <c r="C80">
        <v>2023</v>
      </c>
      <c r="E80" s="1" t="s">
        <v>3031</v>
      </c>
    </row>
    <row r="81" spans="1:5" ht="15" customHeight="1" x14ac:dyDescent="0.25">
      <c r="A81" t="s">
        <v>353</v>
      </c>
      <c r="B81" t="s">
        <v>1164</v>
      </c>
      <c r="C81">
        <v>2023</v>
      </c>
      <c r="E81" s="1" t="s">
        <v>3032</v>
      </c>
    </row>
    <row r="82" spans="1:5" ht="15" customHeight="1" x14ac:dyDescent="0.25">
      <c r="A82" t="s">
        <v>353</v>
      </c>
      <c r="B82" t="s">
        <v>1392</v>
      </c>
      <c r="C82">
        <v>2023</v>
      </c>
      <c r="E82" s="11" t="s">
        <v>3033</v>
      </c>
    </row>
    <row r="83" spans="1:5" ht="15" customHeight="1" x14ac:dyDescent="0.25">
      <c r="A83" t="s">
        <v>353</v>
      </c>
      <c r="B83" t="s">
        <v>1395</v>
      </c>
      <c r="C83">
        <v>2023</v>
      </c>
      <c r="E83" s="1" t="s">
        <v>3034</v>
      </c>
    </row>
    <row r="84" spans="1:5" ht="15" customHeight="1" x14ac:dyDescent="0.25">
      <c r="A84" t="s">
        <v>353</v>
      </c>
      <c r="B84" t="s">
        <v>1560</v>
      </c>
      <c r="C84">
        <v>2023</v>
      </c>
      <c r="E84" s="1" t="s">
        <v>3013</v>
      </c>
    </row>
    <row r="85" spans="1:5" ht="15" customHeight="1" x14ac:dyDescent="0.25">
      <c r="A85" t="s">
        <v>353</v>
      </c>
      <c r="B85" t="s">
        <v>1585</v>
      </c>
      <c r="C85">
        <v>2023</v>
      </c>
      <c r="E85" s="11" t="s">
        <v>3035</v>
      </c>
    </row>
    <row r="86" spans="1:5" ht="15" customHeight="1" x14ac:dyDescent="0.25">
      <c r="A86" t="s">
        <v>353</v>
      </c>
      <c r="B86" t="s">
        <v>1632</v>
      </c>
      <c r="C86">
        <v>2023</v>
      </c>
      <c r="E86" s="1" t="s">
        <v>3036</v>
      </c>
    </row>
    <row r="87" spans="1:5" ht="15" customHeight="1" x14ac:dyDescent="0.25">
      <c r="A87" t="s">
        <v>353</v>
      </c>
      <c r="B87" t="s">
        <v>1894</v>
      </c>
      <c r="C87">
        <v>2023</v>
      </c>
      <c r="E87" s="1" t="s">
        <v>3037</v>
      </c>
    </row>
    <row r="88" spans="1:5" ht="15" customHeight="1" x14ac:dyDescent="0.25">
      <c r="A88" t="s">
        <v>353</v>
      </c>
      <c r="B88" t="s">
        <v>1932</v>
      </c>
      <c r="C88">
        <v>2023</v>
      </c>
      <c r="E88" s="1" t="s">
        <v>3038</v>
      </c>
    </row>
    <row r="89" spans="1:5" ht="15" customHeight="1" x14ac:dyDescent="0.25">
      <c r="A89" t="s">
        <v>353</v>
      </c>
      <c r="B89" t="s">
        <v>1956</v>
      </c>
      <c r="C89">
        <v>2023</v>
      </c>
      <c r="E89" s="11" t="s">
        <v>3039</v>
      </c>
    </row>
    <row r="90" spans="1:5" ht="15" customHeight="1" x14ac:dyDescent="0.25">
      <c r="A90" t="s">
        <v>353</v>
      </c>
      <c r="B90" t="s">
        <v>1967</v>
      </c>
      <c r="C90">
        <v>2023</v>
      </c>
      <c r="E90" s="1" t="s">
        <v>1970</v>
      </c>
    </row>
    <row r="91" spans="1:5" ht="15" customHeight="1" x14ac:dyDescent="0.25">
      <c r="A91" t="s">
        <v>353</v>
      </c>
      <c r="B91" t="s">
        <v>1978</v>
      </c>
      <c r="C91">
        <v>2023</v>
      </c>
      <c r="E91" s="1" t="s">
        <v>3014</v>
      </c>
    </row>
    <row r="92" spans="1:5" ht="15" customHeight="1" x14ac:dyDescent="0.25">
      <c r="A92" t="s">
        <v>353</v>
      </c>
      <c r="B92" t="s">
        <v>2046</v>
      </c>
      <c r="C92">
        <v>2023</v>
      </c>
      <c r="E92" s="1" t="s">
        <v>3040</v>
      </c>
    </row>
    <row r="93" spans="1:5" ht="15" customHeight="1" x14ac:dyDescent="0.25">
      <c r="A93" t="s">
        <v>353</v>
      </c>
      <c r="B93" t="s">
        <v>2089</v>
      </c>
      <c r="C93">
        <v>2023</v>
      </c>
      <c r="E93" s="11" t="s">
        <v>3041</v>
      </c>
    </row>
    <row r="94" spans="1:5" ht="15" customHeight="1" x14ac:dyDescent="0.25">
      <c r="A94" t="s">
        <v>353</v>
      </c>
      <c r="B94" t="s">
        <v>2163</v>
      </c>
      <c r="C94">
        <v>2023</v>
      </c>
      <c r="E94" s="1" t="s">
        <v>2983</v>
      </c>
    </row>
    <row r="95" spans="1:5" ht="15" customHeight="1" x14ac:dyDescent="0.25">
      <c r="A95" t="s">
        <v>353</v>
      </c>
      <c r="B95" t="s">
        <v>2203</v>
      </c>
      <c r="C95">
        <v>2023</v>
      </c>
      <c r="E95" s="1" t="s">
        <v>3042</v>
      </c>
    </row>
    <row r="96" spans="1:5" ht="15" customHeight="1" x14ac:dyDescent="0.25">
      <c r="A96" t="s">
        <v>353</v>
      </c>
      <c r="B96" t="s">
        <v>2216</v>
      </c>
      <c r="C96">
        <v>2023</v>
      </c>
      <c r="E96" s="1" t="s">
        <v>3043</v>
      </c>
    </row>
    <row r="97" spans="1:5" ht="15" customHeight="1" x14ac:dyDescent="0.25">
      <c r="A97" t="s">
        <v>353</v>
      </c>
      <c r="B97" t="s">
        <v>2223</v>
      </c>
      <c r="C97">
        <v>2023</v>
      </c>
      <c r="E97" s="11" t="s">
        <v>3044</v>
      </c>
    </row>
    <row r="98" spans="1:5" ht="15" customHeight="1" x14ac:dyDescent="0.25">
      <c r="A98" t="s">
        <v>353</v>
      </c>
      <c r="B98" t="s">
        <v>2233</v>
      </c>
      <c r="C98">
        <v>2023</v>
      </c>
      <c r="E98" s="1" t="s">
        <v>3045</v>
      </c>
    </row>
    <row r="99" spans="1:5" ht="15" customHeight="1" x14ac:dyDescent="0.25">
      <c r="A99" t="s">
        <v>353</v>
      </c>
      <c r="B99" t="s">
        <v>2237</v>
      </c>
      <c r="C99">
        <v>2023</v>
      </c>
      <c r="E99" s="11" t="s">
        <v>3046</v>
      </c>
    </row>
    <row r="100" spans="1:5" ht="15" customHeight="1" x14ac:dyDescent="0.25">
      <c r="A100" t="s">
        <v>353</v>
      </c>
      <c r="B100" t="s">
        <v>2252</v>
      </c>
      <c r="C100">
        <v>2023</v>
      </c>
      <c r="E100" t="s">
        <v>2983</v>
      </c>
    </row>
    <row r="101" spans="1:5" ht="15" customHeight="1" x14ac:dyDescent="0.25">
      <c r="A101" t="s">
        <v>353</v>
      </c>
      <c r="B101" t="s">
        <v>2345</v>
      </c>
      <c r="C101">
        <v>2023</v>
      </c>
      <c r="E101" s="1" t="s">
        <v>3047</v>
      </c>
    </row>
    <row r="102" spans="1:5" ht="15" customHeight="1" x14ac:dyDescent="0.25">
      <c r="A102" t="s">
        <v>353</v>
      </c>
      <c r="B102" t="s">
        <v>2372</v>
      </c>
      <c r="C102">
        <v>2023</v>
      </c>
      <c r="E102" s="1" t="s">
        <v>3048</v>
      </c>
    </row>
    <row r="103" spans="1:5" ht="15" customHeight="1" x14ac:dyDescent="0.25">
      <c r="A103" t="s">
        <v>353</v>
      </c>
      <c r="B103" t="s">
        <v>2382</v>
      </c>
      <c r="C103">
        <v>2023</v>
      </c>
      <c r="E103" s="1" t="s">
        <v>3049</v>
      </c>
    </row>
    <row r="104" spans="1:5" ht="15" customHeight="1" x14ac:dyDescent="0.25">
      <c r="A104" t="s">
        <v>353</v>
      </c>
      <c r="B104" t="s">
        <v>2386</v>
      </c>
      <c r="C104">
        <v>2023</v>
      </c>
      <c r="E104" s="11" t="s">
        <v>3050</v>
      </c>
    </row>
    <row r="105" spans="1:5" ht="15" customHeight="1" x14ac:dyDescent="0.25">
      <c r="A105" t="s">
        <v>353</v>
      </c>
      <c r="B105" t="s">
        <v>2456</v>
      </c>
      <c r="C105">
        <v>2023</v>
      </c>
      <c r="E105" s="1" t="s">
        <v>3014</v>
      </c>
    </row>
    <row r="106" spans="1:5" ht="15" customHeight="1" x14ac:dyDescent="0.25">
      <c r="A106" t="s">
        <v>353</v>
      </c>
      <c r="B106" t="s">
        <v>2476</v>
      </c>
      <c r="C106">
        <v>2023</v>
      </c>
      <c r="E106" s="1" t="s">
        <v>3051</v>
      </c>
    </row>
    <row r="107" spans="1:5" ht="15" customHeight="1" x14ac:dyDescent="0.25">
      <c r="A107" t="s">
        <v>353</v>
      </c>
      <c r="B107" t="s">
        <v>2668</v>
      </c>
      <c r="C107">
        <v>2023</v>
      </c>
      <c r="E107" s="1" t="s">
        <v>2986</v>
      </c>
    </row>
    <row r="108" spans="1:5" ht="15" customHeight="1" x14ac:dyDescent="0.25">
      <c r="A108" t="s">
        <v>353</v>
      </c>
      <c r="B108" t="s">
        <v>2687</v>
      </c>
      <c r="C108">
        <v>2023</v>
      </c>
      <c r="E108" s="1" t="s">
        <v>3052</v>
      </c>
    </row>
    <row r="109" spans="1:5" ht="15" customHeight="1" x14ac:dyDescent="0.25">
      <c r="A109" t="s">
        <v>353</v>
      </c>
      <c r="B109" t="s">
        <v>2919</v>
      </c>
      <c r="C109">
        <v>2023</v>
      </c>
      <c r="E109" s="1" t="s">
        <v>3053</v>
      </c>
    </row>
    <row r="110" spans="1:5" ht="15" customHeight="1" x14ac:dyDescent="0.25">
      <c r="A110" t="s">
        <v>353</v>
      </c>
      <c r="B110" t="s">
        <v>2921</v>
      </c>
      <c r="C110">
        <v>2023</v>
      </c>
      <c r="E110" s="1" t="s">
        <v>3054</v>
      </c>
    </row>
    <row r="111" spans="1:5" ht="15" customHeight="1" x14ac:dyDescent="0.25">
      <c r="A111" t="s">
        <v>353</v>
      </c>
      <c r="B111" t="s">
        <v>2970</v>
      </c>
      <c r="C111">
        <v>2023</v>
      </c>
      <c r="E111" s="11" t="s">
        <v>3055</v>
      </c>
    </row>
    <row r="112" spans="1:5" ht="15" customHeight="1" x14ac:dyDescent="0.25">
      <c r="A112" t="s">
        <v>364</v>
      </c>
      <c r="B112" t="s">
        <v>1632</v>
      </c>
      <c r="C112">
        <v>2024</v>
      </c>
      <c r="E112" s="1" t="s">
        <v>3036</v>
      </c>
    </row>
    <row r="113" spans="1:5" ht="15" customHeight="1" x14ac:dyDescent="0.25">
      <c r="A113" t="s">
        <v>364</v>
      </c>
      <c r="B113" t="s">
        <v>1894</v>
      </c>
      <c r="C113">
        <v>2024</v>
      </c>
      <c r="E113" s="1" t="s">
        <v>3037</v>
      </c>
    </row>
    <row r="114" spans="1:5" ht="15" customHeight="1" x14ac:dyDescent="0.25">
      <c r="A114" t="s">
        <v>379</v>
      </c>
      <c r="B114" t="s">
        <v>381</v>
      </c>
      <c r="C114">
        <v>1998</v>
      </c>
      <c r="D114" t="s">
        <v>187</v>
      </c>
    </row>
    <row r="115" spans="1:5" ht="15" customHeight="1" x14ac:dyDescent="0.25">
      <c r="A115" t="s">
        <v>383</v>
      </c>
      <c r="B115" t="s">
        <v>1527</v>
      </c>
      <c r="C115">
        <v>2017</v>
      </c>
      <c r="E115" s="1" t="s">
        <v>3056</v>
      </c>
    </row>
    <row r="116" spans="1:5" ht="15" customHeight="1" x14ac:dyDescent="0.25">
      <c r="A116" t="s">
        <v>383</v>
      </c>
      <c r="B116" t="s">
        <v>2649</v>
      </c>
      <c r="C116">
        <v>2017</v>
      </c>
      <c r="E116" s="11" t="s">
        <v>3057</v>
      </c>
    </row>
    <row r="117" spans="1:5" ht="15" customHeight="1" x14ac:dyDescent="0.25">
      <c r="A117" t="s">
        <v>435</v>
      </c>
      <c r="B117" t="s">
        <v>2255</v>
      </c>
      <c r="C117">
        <v>2019</v>
      </c>
      <c r="E117" s="1" t="s">
        <v>2983</v>
      </c>
    </row>
    <row r="118" spans="1:5" ht="15" customHeight="1" x14ac:dyDescent="0.25">
      <c r="A118" t="s">
        <v>439</v>
      </c>
      <c r="B118" t="s">
        <v>443</v>
      </c>
      <c r="C118">
        <v>2023</v>
      </c>
      <c r="D118" t="s">
        <v>187</v>
      </c>
      <c r="E118" s="1"/>
    </row>
    <row r="119" spans="1:5" ht="15" customHeight="1" x14ac:dyDescent="0.25">
      <c r="A119" t="s">
        <v>457</v>
      </c>
      <c r="B119" t="s">
        <v>394</v>
      </c>
      <c r="C119">
        <v>2022</v>
      </c>
      <c r="E119" s="11" t="s">
        <v>3058</v>
      </c>
    </row>
    <row r="120" spans="1:5" ht="15" customHeight="1" x14ac:dyDescent="0.25">
      <c r="A120" t="s">
        <v>457</v>
      </c>
      <c r="B120" t="s">
        <v>2839</v>
      </c>
      <c r="C120">
        <v>2022</v>
      </c>
      <c r="D120" t="s">
        <v>187</v>
      </c>
    </row>
    <row r="121" spans="1:5" ht="15" customHeight="1" x14ac:dyDescent="0.25">
      <c r="A121" t="s">
        <v>462</v>
      </c>
      <c r="B121" t="s">
        <v>1354</v>
      </c>
      <c r="C121">
        <v>2018</v>
      </c>
      <c r="D121" t="s">
        <v>187</v>
      </c>
      <c r="E121" s="1" t="s">
        <v>3059</v>
      </c>
    </row>
    <row r="122" spans="1:5" ht="15" customHeight="1" x14ac:dyDescent="0.25">
      <c r="A122" t="s">
        <v>464</v>
      </c>
      <c r="B122" t="s">
        <v>1377</v>
      </c>
      <c r="C122">
        <v>2022</v>
      </c>
      <c r="D122" t="s">
        <v>187</v>
      </c>
      <c r="E122" s="1"/>
    </row>
    <row r="123" spans="1:5" ht="15" customHeight="1" x14ac:dyDescent="0.25">
      <c r="A123" t="s">
        <v>490</v>
      </c>
      <c r="B123" t="s">
        <v>1051</v>
      </c>
      <c r="C123">
        <v>2009</v>
      </c>
      <c r="E123" s="11" t="s">
        <v>3060</v>
      </c>
    </row>
    <row r="124" spans="1:5" ht="15" customHeight="1" x14ac:dyDescent="0.25">
      <c r="A124" t="s">
        <v>490</v>
      </c>
      <c r="B124" t="s">
        <v>1514</v>
      </c>
      <c r="C124">
        <v>2009</v>
      </c>
      <c r="E124" s="1" t="s">
        <v>3061</v>
      </c>
    </row>
    <row r="125" spans="1:5" ht="15" customHeight="1" x14ac:dyDescent="0.25">
      <c r="A125" t="s">
        <v>490</v>
      </c>
      <c r="B125" t="s">
        <v>1720</v>
      </c>
      <c r="C125">
        <v>2009</v>
      </c>
      <c r="E125" s="1" t="s">
        <v>2983</v>
      </c>
    </row>
    <row r="126" spans="1:5" ht="15" customHeight="1" x14ac:dyDescent="0.25">
      <c r="A126" t="s">
        <v>490</v>
      </c>
      <c r="B126" t="s">
        <v>1971</v>
      </c>
      <c r="C126">
        <v>2009</v>
      </c>
      <c r="E126" s="1" t="s">
        <v>3062</v>
      </c>
    </row>
    <row r="127" spans="1:5" ht="15" customHeight="1" x14ac:dyDescent="0.25">
      <c r="A127" t="s">
        <v>490</v>
      </c>
      <c r="B127" t="s">
        <v>2201</v>
      </c>
      <c r="C127">
        <v>2009</v>
      </c>
      <c r="E127" s="1" t="s">
        <v>3063</v>
      </c>
    </row>
    <row r="128" spans="1:5" ht="15" customHeight="1" x14ac:dyDescent="0.25">
      <c r="A128" t="s">
        <v>490</v>
      </c>
      <c r="B128" t="s">
        <v>2407</v>
      </c>
      <c r="C128">
        <v>2009</v>
      </c>
      <c r="E128" s="11" t="s">
        <v>3064</v>
      </c>
    </row>
    <row r="129" spans="1:5" ht="15" customHeight="1" x14ac:dyDescent="0.25">
      <c r="A129" t="s">
        <v>490</v>
      </c>
      <c r="B129" t="s">
        <v>2789</v>
      </c>
      <c r="C129">
        <v>2009</v>
      </c>
      <c r="E129" s="1" t="s">
        <v>3065</v>
      </c>
    </row>
    <row r="130" spans="1:5" ht="15" customHeight="1" x14ac:dyDescent="0.25">
      <c r="A130" t="s">
        <v>490</v>
      </c>
      <c r="B130" t="s">
        <v>2855</v>
      </c>
      <c r="C130">
        <v>2009</v>
      </c>
      <c r="E130" s="1" t="s">
        <v>3066</v>
      </c>
    </row>
    <row r="131" spans="1:5" ht="15" customHeight="1" x14ac:dyDescent="0.25">
      <c r="A131" t="s">
        <v>497</v>
      </c>
      <c r="B131" t="s">
        <v>294</v>
      </c>
      <c r="C131">
        <v>2022</v>
      </c>
      <c r="E131" s="11" t="s">
        <v>3067</v>
      </c>
    </row>
    <row r="132" spans="1:5" ht="15" customHeight="1" x14ac:dyDescent="0.25">
      <c r="A132" t="s">
        <v>497</v>
      </c>
      <c r="B132" t="s">
        <v>319</v>
      </c>
      <c r="C132">
        <v>2022</v>
      </c>
      <c r="E132" s="1" t="s">
        <v>2983</v>
      </c>
    </row>
    <row r="133" spans="1:5" ht="15" customHeight="1" x14ac:dyDescent="0.25">
      <c r="A133" t="s">
        <v>497</v>
      </c>
      <c r="B133" t="s">
        <v>610</v>
      </c>
      <c r="C133">
        <v>2022</v>
      </c>
      <c r="E133" s="11" t="s">
        <v>3068</v>
      </c>
    </row>
    <row r="134" spans="1:5" ht="15" customHeight="1" x14ac:dyDescent="0.25">
      <c r="A134" t="s">
        <v>497</v>
      </c>
      <c r="B134" t="s">
        <v>1362</v>
      </c>
      <c r="C134">
        <v>2022</v>
      </c>
      <c r="E134" s="11" t="s">
        <v>3069</v>
      </c>
    </row>
    <row r="135" spans="1:5" ht="15" customHeight="1" x14ac:dyDescent="0.25">
      <c r="A135" t="s">
        <v>497</v>
      </c>
      <c r="B135" t="s">
        <v>1392</v>
      </c>
      <c r="C135">
        <v>2022</v>
      </c>
      <c r="E135" t="s">
        <v>2983</v>
      </c>
    </row>
    <row r="136" spans="1:5" ht="15" customHeight="1" x14ac:dyDescent="0.25">
      <c r="A136" t="s">
        <v>497</v>
      </c>
      <c r="B136" t="s">
        <v>1493</v>
      </c>
      <c r="C136">
        <v>2022</v>
      </c>
      <c r="E136" s="1" t="s">
        <v>3070</v>
      </c>
    </row>
    <row r="137" spans="1:5" ht="15" customHeight="1" x14ac:dyDescent="0.25">
      <c r="A137" t="s">
        <v>497</v>
      </c>
      <c r="B137" t="s">
        <v>1597</v>
      </c>
      <c r="C137">
        <v>2022</v>
      </c>
      <c r="E137" s="1" t="s">
        <v>3071</v>
      </c>
    </row>
    <row r="138" spans="1:5" ht="15" customHeight="1" x14ac:dyDescent="0.25">
      <c r="A138" t="s">
        <v>497</v>
      </c>
      <c r="B138" t="s">
        <v>1826</v>
      </c>
      <c r="C138">
        <v>2022</v>
      </c>
      <c r="E138" s="1" t="s">
        <v>1829</v>
      </c>
    </row>
    <row r="139" spans="1:5" ht="15" customHeight="1" x14ac:dyDescent="0.25">
      <c r="A139" t="s">
        <v>497</v>
      </c>
      <c r="B139" t="s">
        <v>1959</v>
      </c>
      <c r="C139">
        <v>2022</v>
      </c>
      <c r="E139" s="1" t="s">
        <v>1962</v>
      </c>
    </row>
    <row r="140" spans="1:5" ht="15" customHeight="1" x14ac:dyDescent="0.25">
      <c r="A140" t="s">
        <v>497</v>
      </c>
      <c r="B140" t="s">
        <v>2050</v>
      </c>
      <c r="C140">
        <v>2022</v>
      </c>
      <c r="E140" s="1" t="s">
        <v>3009</v>
      </c>
    </row>
    <row r="141" spans="1:5" ht="15" customHeight="1" x14ac:dyDescent="0.25">
      <c r="A141" t="s">
        <v>497</v>
      </c>
      <c r="B141" t="s">
        <v>2284</v>
      </c>
      <c r="C141">
        <v>2022</v>
      </c>
      <c r="E141" s="11" t="s">
        <v>3072</v>
      </c>
    </row>
    <row r="142" spans="1:5" ht="15" customHeight="1" x14ac:dyDescent="0.25">
      <c r="A142" t="s">
        <v>497</v>
      </c>
      <c r="B142" t="s">
        <v>2839</v>
      </c>
      <c r="C142">
        <v>2022</v>
      </c>
      <c r="E142" s="1" t="s">
        <v>3073</v>
      </c>
    </row>
    <row r="143" spans="1:5" ht="15" customHeight="1" x14ac:dyDescent="0.25">
      <c r="A143" t="s">
        <v>505</v>
      </c>
      <c r="B143" t="s">
        <v>606</v>
      </c>
      <c r="C143">
        <v>2024</v>
      </c>
      <c r="E143" s="1" t="s">
        <v>609</v>
      </c>
    </row>
    <row r="144" spans="1:5" ht="15" customHeight="1" x14ac:dyDescent="0.25">
      <c r="A144" t="s">
        <v>510</v>
      </c>
      <c r="B144" t="s">
        <v>673</v>
      </c>
      <c r="C144">
        <v>2018</v>
      </c>
      <c r="D144" t="s">
        <v>187</v>
      </c>
      <c r="E144" s="1"/>
    </row>
    <row r="145" spans="1:5" ht="15" customHeight="1" x14ac:dyDescent="0.25">
      <c r="A145" t="s">
        <v>517</v>
      </c>
      <c r="B145" t="s">
        <v>519</v>
      </c>
      <c r="C145">
        <v>2010</v>
      </c>
      <c r="D145" t="s">
        <v>187</v>
      </c>
    </row>
    <row r="146" spans="1:5" ht="15" customHeight="1" x14ac:dyDescent="0.25">
      <c r="A146" t="s">
        <v>522</v>
      </c>
      <c r="B146" t="s">
        <v>985</v>
      </c>
      <c r="C146">
        <v>1989</v>
      </c>
      <c r="E146" s="1" t="s">
        <v>3074</v>
      </c>
    </row>
    <row r="147" spans="1:5" ht="15" customHeight="1" x14ac:dyDescent="0.25">
      <c r="A147" t="s">
        <v>525</v>
      </c>
      <c r="B147" t="s">
        <v>2963</v>
      </c>
      <c r="C147">
        <v>2005</v>
      </c>
      <c r="E147" s="1" t="s">
        <v>3007</v>
      </c>
    </row>
    <row r="148" spans="1:5" ht="15" customHeight="1" x14ac:dyDescent="0.25">
      <c r="A148" t="s">
        <v>531</v>
      </c>
      <c r="B148" t="s">
        <v>534</v>
      </c>
      <c r="C148">
        <v>2010</v>
      </c>
      <c r="E148" s="1" t="s">
        <v>3075</v>
      </c>
    </row>
    <row r="149" spans="1:5" ht="15" customHeight="1" x14ac:dyDescent="0.25">
      <c r="A149" t="s">
        <v>531</v>
      </c>
      <c r="B149" t="s">
        <v>536</v>
      </c>
      <c r="C149">
        <v>2010</v>
      </c>
      <c r="E149" s="1" t="s">
        <v>3076</v>
      </c>
    </row>
    <row r="150" spans="1:5" ht="15" customHeight="1" x14ac:dyDescent="0.25">
      <c r="A150" t="s">
        <v>536</v>
      </c>
      <c r="B150" t="s">
        <v>538</v>
      </c>
      <c r="C150">
        <v>2013</v>
      </c>
      <c r="D150" t="s">
        <v>187</v>
      </c>
      <c r="E150" s="1"/>
    </row>
    <row r="151" spans="1:5" ht="15" customHeight="1" x14ac:dyDescent="0.25">
      <c r="A151" t="s">
        <v>540</v>
      </c>
      <c r="B151" t="s">
        <v>2078</v>
      </c>
      <c r="C151">
        <v>2015</v>
      </c>
      <c r="E151" s="11" t="s">
        <v>3077</v>
      </c>
    </row>
    <row r="152" spans="1:5" ht="15" customHeight="1" x14ac:dyDescent="0.25">
      <c r="A152" t="s">
        <v>549</v>
      </c>
      <c r="B152" t="s">
        <v>2891</v>
      </c>
      <c r="C152">
        <v>2017</v>
      </c>
      <c r="E152" s="1" t="s">
        <v>3078</v>
      </c>
    </row>
    <row r="153" spans="1:5" ht="15" customHeight="1" x14ac:dyDescent="0.25">
      <c r="A153" t="s">
        <v>553</v>
      </c>
      <c r="B153" t="s">
        <v>273</v>
      </c>
      <c r="C153">
        <v>2010</v>
      </c>
      <c r="E153" s="1" t="s">
        <v>2983</v>
      </c>
    </row>
    <row r="154" spans="1:5" ht="15" customHeight="1" x14ac:dyDescent="0.25">
      <c r="A154" t="s">
        <v>553</v>
      </c>
      <c r="B154" t="s">
        <v>2448</v>
      </c>
      <c r="C154">
        <v>2010</v>
      </c>
      <c r="D154" t="s">
        <v>187</v>
      </c>
      <c r="E154" s="1"/>
    </row>
    <row r="155" spans="1:5" ht="15" customHeight="1" x14ac:dyDescent="0.25">
      <c r="A155" t="s">
        <v>571</v>
      </c>
      <c r="B155" t="s">
        <v>1374</v>
      </c>
      <c r="C155">
        <v>2022</v>
      </c>
      <c r="D155" t="s">
        <v>187</v>
      </c>
    </row>
    <row r="156" spans="1:5" ht="15" customHeight="1" x14ac:dyDescent="0.25">
      <c r="A156" t="s">
        <v>574</v>
      </c>
      <c r="B156" t="s">
        <v>310</v>
      </c>
      <c r="C156">
        <v>2019</v>
      </c>
      <c r="E156" s="1" t="s">
        <v>3079</v>
      </c>
    </row>
    <row r="157" spans="1:5" ht="15" customHeight="1" x14ac:dyDescent="0.25">
      <c r="A157" t="s">
        <v>574</v>
      </c>
      <c r="B157" t="s">
        <v>2600</v>
      </c>
      <c r="C157">
        <v>2019</v>
      </c>
      <c r="E157" s="11" t="s">
        <v>3080</v>
      </c>
    </row>
    <row r="158" spans="1:5" ht="15" customHeight="1" x14ac:dyDescent="0.25">
      <c r="A158" t="s">
        <v>578</v>
      </c>
      <c r="B158" t="s">
        <v>1094</v>
      </c>
      <c r="C158">
        <v>1998</v>
      </c>
      <c r="D158" t="s">
        <v>187</v>
      </c>
      <c r="E158" s="1"/>
    </row>
    <row r="159" spans="1:5" ht="15" customHeight="1" x14ac:dyDescent="0.25">
      <c r="A159" t="s">
        <v>581</v>
      </c>
      <c r="B159" t="s">
        <v>578</v>
      </c>
      <c r="C159">
        <v>1997</v>
      </c>
      <c r="D159" t="s">
        <v>187</v>
      </c>
      <c r="E159" s="1"/>
    </row>
    <row r="160" spans="1:5" ht="15" customHeight="1" x14ac:dyDescent="0.25">
      <c r="A160" t="s">
        <v>586</v>
      </c>
      <c r="B160" t="s">
        <v>591</v>
      </c>
      <c r="C160">
        <v>2023</v>
      </c>
      <c r="D160" t="s">
        <v>187</v>
      </c>
      <c r="E160" s="1"/>
    </row>
    <row r="161" spans="1:5" ht="15" customHeight="1" x14ac:dyDescent="0.25">
      <c r="A161" t="s">
        <v>606</v>
      </c>
      <c r="B161" t="s">
        <v>910</v>
      </c>
      <c r="C161">
        <v>2025</v>
      </c>
      <c r="E161" t="s">
        <v>2983</v>
      </c>
    </row>
    <row r="162" spans="1:5" ht="15" customHeight="1" x14ac:dyDescent="0.25">
      <c r="A162" t="s">
        <v>623</v>
      </c>
      <c r="B162" t="s">
        <v>1599</v>
      </c>
      <c r="C162">
        <v>2017</v>
      </c>
      <c r="E162" s="1" t="s">
        <v>3081</v>
      </c>
    </row>
    <row r="163" spans="1:5" ht="15" customHeight="1" x14ac:dyDescent="0.25">
      <c r="A163" t="s">
        <v>623</v>
      </c>
      <c r="B163" t="s">
        <v>2624</v>
      </c>
      <c r="C163">
        <v>2017</v>
      </c>
      <c r="E163" s="1" t="s">
        <v>3082</v>
      </c>
    </row>
    <row r="164" spans="1:5" ht="15" customHeight="1" x14ac:dyDescent="0.25">
      <c r="A164" t="s">
        <v>643</v>
      </c>
      <c r="B164" t="s">
        <v>403</v>
      </c>
      <c r="C164">
        <v>2020</v>
      </c>
      <c r="D164" t="s">
        <v>187</v>
      </c>
      <c r="E164" s="1"/>
    </row>
    <row r="165" spans="1:5" ht="15" customHeight="1" x14ac:dyDescent="0.25">
      <c r="A165" t="s">
        <v>651</v>
      </c>
      <c r="B165" t="s">
        <v>1876</v>
      </c>
      <c r="C165">
        <v>2023</v>
      </c>
      <c r="E165" s="1" t="s">
        <v>3083</v>
      </c>
    </row>
    <row r="166" spans="1:5" ht="15" customHeight="1" x14ac:dyDescent="0.25">
      <c r="A166" t="s">
        <v>651</v>
      </c>
      <c r="B166" t="s">
        <v>2813</v>
      </c>
      <c r="C166">
        <v>2023</v>
      </c>
      <c r="E166" s="1" t="s">
        <v>3084</v>
      </c>
    </row>
    <row r="167" spans="1:5" ht="15" customHeight="1" x14ac:dyDescent="0.25">
      <c r="A167" t="s">
        <v>689</v>
      </c>
      <c r="B167" t="s">
        <v>190</v>
      </c>
      <c r="C167">
        <v>2015</v>
      </c>
      <c r="E167" s="1" t="s">
        <v>3085</v>
      </c>
    </row>
    <row r="168" spans="1:5" ht="15" customHeight="1" x14ac:dyDescent="0.25">
      <c r="A168" t="s">
        <v>689</v>
      </c>
      <c r="B168" t="s">
        <v>473</v>
      </c>
      <c r="C168">
        <v>2015</v>
      </c>
      <c r="E168" s="1" t="s">
        <v>3086</v>
      </c>
    </row>
    <row r="169" spans="1:5" ht="15" customHeight="1" x14ac:dyDescent="0.25">
      <c r="A169" t="s">
        <v>689</v>
      </c>
      <c r="B169" t="s">
        <v>571</v>
      </c>
      <c r="C169">
        <v>2015</v>
      </c>
      <c r="E169" s="11" t="s">
        <v>3087</v>
      </c>
    </row>
    <row r="170" spans="1:5" ht="15" customHeight="1" x14ac:dyDescent="0.25">
      <c r="A170" t="s">
        <v>689</v>
      </c>
      <c r="B170" t="s">
        <v>821</v>
      </c>
      <c r="C170">
        <v>2015</v>
      </c>
      <c r="E170" s="1" t="s">
        <v>3088</v>
      </c>
    </row>
    <row r="171" spans="1:5" ht="15" customHeight="1" x14ac:dyDescent="0.25">
      <c r="A171" t="s">
        <v>689</v>
      </c>
      <c r="B171" t="s">
        <v>1260</v>
      </c>
      <c r="C171">
        <v>2015</v>
      </c>
      <c r="E171" t="s">
        <v>2983</v>
      </c>
    </row>
    <row r="172" spans="1:5" ht="15" customHeight="1" x14ac:dyDescent="0.25">
      <c r="A172" t="s">
        <v>689</v>
      </c>
      <c r="B172" t="s">
        <v>1401</v>
      </c>
      <c r="C172">
        <v>2015</v>
      </c>
      <c r="E172" s="11" t="s">
        <v>2992</v>
      </c>
    </row>
    <row r="173" spans="1:5" ht="15" customHeight="1" x14ac:dyDescent="0.25">
      <c r="A173" t="s">
        <v>689</v>
      </c>
      <c r="B173" t="s">
        <v>1493</v>
      </c>
      <c r="C173">
        <v>2015</v>
      </c>
      <c r="E173" s="1" t="s">
        <v>3089</v>
      </c>
    </row>
    <row r="174" spans="1:5" ht="15" customHeight="1" x14ac:dyDescent="0.25">
      <c r="A174" t="s">
        <v>689</v>
      </c>
      <c r="B174" t="s">
        <v>2319</v>
      </c>
      <c r="C174">
        <v>2015</v>
      </c>
      <c r="E174" s="1" t="s">
        <v>3090</v>
      </c>
    </row>
    <row r="175" spans="1:5" ht="15" customHeight="1" x14ac:dyDescent="0.25">
      <c r="A175" t="s">
        <v>709</v>
      </c>
      <c r="B175" t="s">
        <v>602</v>
      </c>
      <c r="C175">
        <v>2022</v>
      </c>
      <c r="E175" s="1" t="s">
        <v>2983</v>
      </c>
    </row>
    <row r="176" spans="1:5" ht="15" customHeight="1" x14ac:dyDescent="0.25">
      <c r="A176" t="s">
        <v>709</v>
      </c>
      <c r="B176" t="s">
        <v>1167</v>
      </c>
      <c r="C176">
        <v>2022</v>
      </c>
      <c r="E176" s="1" t="s">
        <v>3091</v>
      </c>
    </row>
    <row r="177" spans="1:5" ht="15" customHeight="1" x14ac:dyDescent="0.25">
      <c r="A177" t="s">
        <v>717</v>
      </c>
      <c r="B177" t="s">
        <v>2046</v>
      </c>
      <c r="C177">
        <v>2024</v>
      </c>
      <c r="E177" s="11" t="s">
        <v>3068</v>
      </c>
    </row>
    <row r="178" spans="1:5" ht="15" customHeight="1" x14ac:dyDescent="0.25">
      <c r="A178" t="s">
        <v>720</v>
      </c>
      <c r="B178" t="s">
        <v>724</v>
      </c>
      <c r="C178">
        <v>2016</v>
      </c>
      <c r="D178" t="s">
        <v>187</v>
      </c>
      <c r="E178" s="1" t="s">
        <v>3078</v>
      </c>
    </row>
    <row r="179" spans="1:5" ht="15" customHeight="1" x14ac:dyDescent="0.25">
      <c r="A179" t="s">
        <v>720</v>
      </c>
      <c r="B179" t="s">
        <v>1440</v>
      </c>
      <c r="C179">
        <v>2016</v>
      </c>
      <c r="E179" s="1" t="s">
        <v>3092</v>
      </c>
    </row>
    <row r="180" spans="1:5" ht="15" customHeight="1" x14ac:dyDescent="0.25">
      <c r="A180" t="s">
        <v>720</v>
      </c>
      <c r="B180" t="s">
        <v>2245</v>
      </c>
      <c r="C180">
        <v>2016</v>
      </c>
      <c r="E180" s="11" t="s">
        <v>3093</v>
      </c>
    </row>
    <row r="181" spans="1:5" ht="15" customHeight="1" x14ac:dyDescent="0.25">
      <c r="A181" t="s">
        <v>726</v>
      </c>
      <c r="B181" t="s">
        <v>1799</v>
      </c>
      <c r="C181">
        <v>2020</v>
      </c>
      <c r="E181" s="11" t="s">
        <v>3094</v>
      </c>
    </row>
    <row r="182" spans="1:5" ht="15" customHeight="1" x14ac:dyDescent="0.25">
      <c r="A182" t="s">
        <v>726</v>
      </c>
      <c r="B182" t="s">
        <v>2066</v>
      </c>
      <c r="C182">
        <v>2020</v>
      </c>
      <c r="D182" t="s">
        <v>187</v>
      </c>
      <c r="E182" s="1"/>
    </row>
    <row r="183" spans="1:5" ht="15" customHeight="1" x14ac:dyDescent="0.25">
      <c r="A183" t="s">
        <v>737</v>
      </c>
      <c r="B183" t="s">
        <v>310</v>
      </c>
      <c r="C183">
        <v>2019</v>
      </c>
      <c r="D183" t="s">
        <v>187</v>
      </c>
      <c r="E183" s="1" t="s">
        <v>3079</v>
      </c>
    </row>
    <row r="184" spans="1:5" ht="15" customHeight="1" x14ac:dyDescent="0.25">
      <c r="A184" t="s">
        <v>746</v>
      </c>
      <c r="B184" t="s">
        <v>237</v>
      </c>
      <c r="C184">
        <v>2015</v>
      </c>
      <c r="E184" s="1" t="s">
        <v>3095</v>
      </c>
    </row>
    <row r="185" spans="1:5" ht="15" customHeight="1" x14ac:dyDescent="0.25">
      <c r="A185" t="s">
        <v>746</v>
      </c>
      <c r="B185" t="s">
        <v>301</v>
      </c>
      <c r="C185">
        <v>2015</v>
      </c>
      <c r="D185" t="s">
        <v>3096</v>
      </c>
      <c r="E185" s="1" t="s">
        <v>3097</v>
      </c>
    </row>
    <row r="186" spans="1:5" ht="15" customHeight="1" x14ac:dyDescent="0.25">
      <c r="A186" t="s">
        <v>746</v>
      </c>
      <c r="B186" t="s">
        <v>598</v>
      </c>
      <c r="C186">
        <v>2015</v>
      </c>
      <c r="E186" s="1" t="s">
        <v>2983</v>
      </c>
    </row>
    <row r="187" spans="1:5" ht="15" customHeight="1" x14ac:dyDescent="0.25">
      <c r="A187" t="s">
        <v>746</v>
      </c>
      <c r="B187" t="s">
        <v>647</v>
      </c>
      <c r="C187">
        <v>2015</v>
      </c>
      <c r="E187" s="1" t="s">
        <v>3098</v>
      </c>
    </row>
    <row r="188" spans="1:5" ht="15" customHeight="1" x14ac:dyDescent="0.25">
      <c r="A188" t="s">
        <v>746</v>
      </c>
      <c r="B188" t="s">
        <v>726</v>
      </c>
      <c r="C188">
        <v>2015</v>
      </c>
      <c r="E188" s="1" t="s">
        <v>3099</v>
      </c>
    </row>
    <row r="189" spans="1:5" ht="15" customHeight="1" x14ac:dyDescent="0.25">
      <c r="A189" t="s">
        <v>746</v>
      </c>
      <c r="B189" t="s">
        <v>737</v>
      </c>
      <c r="C189">
        <v>2015</v>
      </c>
      <c r="E189" s="1" t="s">
        <v>3100</v>
      </c>
    </row>
    <row r="190" spans="1:5" ht="15" customHeight="1" x14ac:dyDescent="0.25">
      <c r="A190" t="s">
        <v>746</v>
      </c>
      <c r="B190" t="s">
        <v>750</v>
      </c>
      <c r="C190">
        <v>2015</v>
      </c>
      <c r="E190" s="1"/>
    </row>
    <row r="191" spans="1:5" ht="15" customHeight="1" x14ac:dyDescent="0.25">
      <c r="A191" t="s">
        <v>746</v>
      </c>
      <c r="B191" t="s">
        <v>795</v>
      </c>
      <c r="C191">
        <v>2015</v>
      </c>
      <c r="E191" s="1" t="s">
        <v>3101</v>
      </c>
    </row>
    <row r="192" spans="1:5" ht="15" customHeight="1" x14ac:dyDescent="0.25">
      <c r="A192" t="s">
        <v>746</v>
      </c>
      <c r="B192" t="s">
        <v>813</v>
      </c>
      <c r="C192">
        <v>2015</v>
      </c>
      <c r="E192" s="1" t="s">
        <v>3102</v>
      </c>
    </row>
    <row r="193" spans="1:5" ht="15" customHeight="1" x14ac:dyDescent="0.25">
      <c r="A193" t="s">
        <v>746</v>
      </c>
      <c r="B193" t="s">
        <v>878</v>
      </c>
      <c r="C193">
        <v>2015</v>
      </c>
      <c r="E193" s="1" t="s">
        <v>3103</v>
      </c>
    </row>
    <row r="194" spans="1:5" ht="15" customHeight="1" x14ac:dyDescent="0.25">
      <c r="A194" t="s">
        <v>746</v>
      </c>
      <c r="B194" t="s">
        <v>981</v>
      </c>
      <c r="C194">
        <v>2015</v>
      </c>
      <c r="E194" s="11" t="s">
        <v>3104</v>
      </c>
    </row>
    <row r="195" spans="1:5" ht="15" customHeight="1" x14ac:dyDescent="0.25">
      <c r="A195" t="s">
        <v>746</v>
      </c>
      <c r="B195" t="s">
        <v>1051</v>
      </c>
      <c r="C195">
        <v>2015</v>
      </c>
      <c r="E195" s="1" t="s">
        <v>3105</v>
      </c>
    </row>
    <row r="196" spans="1:5" ht="15" customHeight="1" x14ac:dyDescent="0.25">
      <c r="A196" t="s">
        <v>746</v>
      </c>
      <c r="B196" t="s">
        <v>1345</v>
      </c>
      <c r="C196">
        <v>2015</v>
      </c>
      <c r="E196" s="1" t="s">
        <v>3106</v>
      </c>
    </row>
    <row r="197" spans="1:5" ht="15" customHeight="1" x14ac:dyDescent="0.25">
      <c r="A197" t="s">
        <v>746</v>
      </c>
      <c r="B197" t="s">
        <v>1451</v>
      </c>
      <c r="C197">
        <v>2015</v>
      </c>
      <c r="E197" s="1" t="s">
        <v>3107</v>
      </c>
    </row>
    <row r="198" spans="1:5" ht="15" customHeight="1" x14ac:dyDescent="0.25">
      <c r="A198" t="s">
        <v>746</v>
      </c>
      <c r="B198" t="s">
        <v>1527</v>
      </c>
      <c r="C198">
        <v>2015</v>
      </c>
      <c r="E198" s="1" t="s">
        <v>3056</v>
      </c>
    </row>
    <row r="199" spans="1:5" ht="15" customHeight="1" x14ac:dyDescent="0.25">
      <c r="A199" t="s">
        <v>746</v>
      </c>
      <c r="B199" t="s">
        <v>1575</v>
      </c>
      <c r="C199">
        <v>2015</v>
      </c>
      <c r="E199" s="1" t="s">
        <v>2983</v>
      </c>
    </row>
    <row r="200" spans="1:5" ht="15" customHeight="1" x14ac:dyDescent="0.25">
      <c r="A200" t="s">
        <v>746</v>
      </c>
      <c r="B200" t="s">
        <v>1769</v>
      </c>
      <c r="C200">
        <v>2015</v>
      </c>
      <c r="E200" s="11" t="s">
        <v>3108</v>
      </c>
    </row>
    <row r="201" spans="1:5" ht="15" customHeight="1" x14ac:dyDescent="0.25">
      <c r="A201" t="s">
        <v>746</v>
      </c>
      <c r="B201" t="s">
        <v>2245</v>
      </c>
      <c r="C201">
        <v>2015</v>
      </c>
      <c r="E201" s="11" t="s">
        <v>3093</v>
      </c>
    </row>
    <row r="202" spans="1:5" ht="15" customHeight="1" x14ac:dyDescent="0.25">
      <c r="A202" t="s">
        <v>746</v>
      </c>
      <c r="B202" t="s">
        <v>2280</v>
      </c>
      <c r="C202">
        <v>2015</v>
      </c>
      <c r="E202" s="1" t="s">
        <v>3109</v>
      </c>
    </row>
    <row r="203" spans="1:5" ht="15" customHeight="1" x14ac:dyDescent="0.25">
      <c r="A203" t="s">
        <v>746</v>
      </c>
      <c r="B203" t="s">
        <v>2319</v>
      </c>
      <c r="C203">
        <v>2015</v>
      </c>
      <c r="E203" s="1" t="s">
        <v>3090</v>
      </c>
    </row>
    <row r="204" spans="1:5" ht="15" customHeight="1" x14ac:dyDescent="0.25">
      <c r="A204" t="s">
        <v>746</v>
      </c>
      <c r="B204" t="s">
        <v>90</v>
      </c>
      <c r="C204">
        <v>2015</v>
      </c>
      <c r="E204" s="1" t="s">
        <v>3110</v>
      </c>
    </row>
    <row r="205" spans="1:5" ht="15" customHeight="1" x14ac:dyDescent="0.25">
      <c r="A205" t="s">
        <v>746</v>
      </c>
      <c r="B205" t="s">
        <v>2482</v>
      </c>
      <c r="C205">
        <v>2015</v>
      </c>
      <c r="E205" s="1" t="s">
        <v>3000</v>
      </c>
    </row>
    <row r="206" spans="1:5" ht="15" customHeight="1" x14ac:dyDescent="0.25">
      <c r="A206" t="s">
        <v>746</v>
      </c>
      <c r="B206" t="s">
        <v>2703</v>
      </c>
      <c r="C206">
        <v>2015</v>
      </c>
      <c r="E206" s="1" t="s">
        <v>2983</v>
      </c>
    </row>
    <row r="207" spans="1:5" ht="15" customHeight="1" x14ac:dyDescent="0.25">
      <c r="A207" t="s">
        <v>746</v>
      </c>
      <c r="B207" t="s">
        <v>2823</v>
      </c>
      <c r="C207">
        <v>2015</v>
      </c>
      <c r="E207" s="1" t="s">
        <v>3111</v>
      </c>
    </row>
    <row r="208" spans="1:5" ht="15" customHeight="1" x14ac:dyDescent="0.25">
      <c r="A208" t="s">
        <v>754</v>
      </c>
      <c r="B208" t="s">
        <v>894</v>
      </c>
      <c r="C208">
        <v>2022</v>
      </c>
      <c r="E208" s="11" t="s">
        <v>3112</v>
      </c>
    </row>
    <row r="209" spans="1:5" ht="15" customHeight="1" x14ac:dyDescent="0.25">
      <c r="A209" t="s">
        <v>759</v>
      </c>
      <c r="B209" t="s">
        <v>228</v>
      </c>
      <c r="C209">
        <v>2018</v>
      </c>
      <c r="E209" s="1" t="s">
        <v>3113</v>
      </c>
    </row>
    <row r="210" spans="1:5" ht="15" customHeight="1" x14ac:dyDescent="0.25">
      <c r="A210" t="s">
        <v>759</v>
      </c>
      <c r="B210" t="s">
        <v>241</v>
      </c>
      <c r="C210">
        <v>2018</v>
      </c>
      <c r="E210" s="1" t="s">
        <v>2983</v>
      </c>
    </row>
    <row r="211" spans="1:5" ht="15" customHeight="1" x14ac:dyDescent="0.25">
      <c r="A211" t="s">
        <v>759</v>
      </c>
      <c r="B211" t="s">
        <v>253</v>
      </c>
      <c r="C211">
        <v>2018</v>
      </c>
      <c r="E211" s="11" t="s">
        <v>3114</v>
      </c>
    </row>
    <row r="212" spans="1:5" ht="15" customHeight="1" x14ac:dyDescent="0.25">
      <c r="A212" t="s">
        <v>759</v>
      </c>
      <c r="B212" t="s">
        <v>310</v>
      </c>
      <c r="C212">
        <v>2018</v>
      </c>
      <c r="E212" s="1" t="s">
        <v>3079</v>
      </c>
    </row>
    <row r="213" spans="1:5" ht="15" customHeight="1" x14ac:dyDescent="0.25">
      <c r="A213" t="s">
        <v>759</v>
      </c>
      <c r="B213" t="s">
        <v>330</v>
      </c>
      <c r="C213">
        <v>2018</v>
      </c>
      <c r="E213" s="11" t="s">
        <v>3115</v>
      </c>
    </row>
    <row r="214" spans="1:5" ht="15" customHeight="1" x14ac:dyDescent="0.25">
      <c r="A214" t="s">
        <v>759</v>
      </c>
      <c r="B214" t="s">
        <v>387</v>
      </c>
      <c r="C214">
        <v>2018</v>
      </c>
      <c r="E214" s="1" t="s">
        <v>3116</v>
      </c>
    </row>
    <row r="215" spans="1:5" ht="15" customHeight="1" x14ac:dyDescent="0.25">
      <c r="A215" t="s">
        <v>759</v>
      </c>
      <c r="B215" t="s">
        <v>709</v>
      </c>
      <c r="C215">
        <v>2018</v>
      </c>
      <c r="E215" s="1" t="s">
        <v>3117</v>
      </c>
    </row>
    <row r="216" spans="1:5" ht="15" customHeight="1" x14ac:dyDescent="0.25">
      <c r="A216" t="s">
        <v>759</v>
      </c>
      <c r="B216" t="s">
        <v>846</v>
      </c>
      <c r="C216">
        <v>2018</v>
      </c>
      <c r="E216" s="1" t="s">
        <v>3118</v>
      </c>
    </row>
    <row r="217" spans="1:5" ht="15" customHeight="1" x14ac:dyDescent="0.25">
      <c r="A217" t="s">
        <v>759</v>
      </c>
      <c r="B217" t="s">
        <v>949</v>
      </c>
      <c r="C217">
        <v>2018</v>
      </c>
      <c r="E217" s="1" t="s">
        <v>3119</v>
      </c>
    </row>
    <row r="218" spans="1:5" ht="15" customHeight="1" x14ac:dyDescent="0.25">
      <c r="A218" t="s">
        <v>759</v>
      </c>
      <c r="B218" t="s">
        <v>1003</v>
      </c>
      <c r="C218">
        <v>2018</v>
      </c>
      <c r="E218" s="1" t="s">
        <v>3120</v>
      </c>
    </row>
    <row r="219" spans="1:5" ht="15" customHeight="1" x14ac:dyDescent="0.25">
      <c r="A219" t="s">
        <v>759</v>
      </c>
      <c r="B219" t="s">
        <v>1030</v>
      </c>
      <c r="C219">
        <v>2018</v>
      </c>
      <c r="E219" s="1" t="s">
        <v>2983</v>
      </c>
    </row>
    <row r="220" spans="1:5" ht="15" customHeight="1" x14ac:dyDescent="0.25">
      <c r="A220" t="s">
        <v>759</v>
      </c>
      <c r="B220" t="s">
        <v>1152</v>
      </c>
      <c r="C220">
        <v>2018</v>
      </c>
      <c r="E220" s="1" t="s">
        <v>3121</v>
      </c>
    </row>
    <row r="221" spans="1:5" ht="15" customHeight="1" x14ac:dyDescent="0.25">
      <c r="A221" t="s">
        <v>759</v>
      </c>
      <c r="B221" t="s">
        <v>1160</v>
      </c>
      <c r="C221">
        <v>2018</v>
      </c>
      <c r="E221" s="1" t="s">
        <v>3122</v>
      </c>
    </row>
    <row r="222" spans="1:5" ht="15" customHeight="1" x14ac:dyDescent="0.25">
      <c r="A222" t="s">
        <v>759</v>
      </c>
      <c r="B222" t="s">
        <v>1480</v>
      </c>
      <c r="C222">
        <v>2018</v>
      </c>
      <c r="E222" s="11" t="s">
        <v>3123</v>
      </c>
    </row>
    <row r="223" spans="1:5" ht="15" customHeight="1" x14ac:dyDescent="0.25">
      <c r="A223" t="s">
        <v>759</v>
      </c>
      <c r="B223" t="s">
        <v>1642</v>
      </c>
      <c r="C223">
        <v>2018</v>
      </c>
      <c r="E223" s="1" t="s">
        <v>3124</v>
      </c>
    </row>
    <row r="224" spans="1:5" ht="15" customHeight="1" x14ac:dyDescent="0.25">
      <c r="A224" t="s">
        <v>759</v>
      </c>
      <c r="B224" t="s">
        <v>1866</v>
      </c>
      <c r="C224">
        <v>2018</v>
      </c>
      <c r="E224" s="1" t="s">
        <v>3014</v>
      </c>
    </row>
    <row r="225" spans="1:5" ht="15" customHeight="1" x14ac:dyDescent="0.25">
      <c r="A225" t="s">
        <v>759</v>
      </c>
      <c r="B225" t="s">
        <v>2070</v>
      </c>
      <c r="C225">
        <v>2018</v>
      </c>
      <c r="E225" s="1" t="s">
        <v>2983</v>
      </c>
    </row>
    <row r="226" spans="1:5" ht="15" customHeight="1" x14ac:dyDescent="0.25">
      <c r="A226" t="s">
        <v>759</v>
      </c>
      <c r="B226" t="s">
        <v>2147</v>
      </c>
      <c r="C226">
        <v>2018</v>
      </c>
      <c r="E226" s="1" t="s">
        <v>3125</v>
      </c>
    </row>
    <row r="227" spans="1:5" ht="15" customHeight="1" x14ac:dyDescent="0.25">
      <c r="A227" t="s">
        <v>759</v>
      </c>
      <c r="B227" t="s">
        <v>2255</v>
      </c>
      <c r="C227">
        <v>2018</v>
      </c>
      <c r="E227" s="1" t="s">
        <v>2983</v>
      </c>
    </row>
    <row r="228" spans="1:5" ht="15" customHeight="1" x14ac:dyDescent="0.25">
      <c r="A228" t="s">
        <v>759</v>
      </c>
      <c r="B228" t="s">
        <v>2404</v>
      </c>
      <c r="C228">
        <v>2018</v>
      </c>
      <c r="E228" s="1" t="s">
        <v>3126</v>
      </c>
    </row>
    <row r="229" spans="1:5" ht="15" customHeight="1" x14ac:dyDescent="0.25">
      <c r="A229" t="s">
        <v>759</v>
      </c>
      <c r="B229" t="s">
        <v>2600</v>
      </c>
      <c r="C229">
        <v>2018</v>
      </c>
      <c r="E229" s="11" t="s">
        <v>3080</v>
      </c>
    </row>
    <row r="230" spans="1:5" ht="15" customHeight="1" x14ac:dyDescent="0.25">
      <c r="A230" t="s">
        <v>759</v>
      </c>
      <c r="B230" t="s">
        <v>2664</v>
      </c>
      <c r="C230">
        <v>2018</v>
      </c>
      <c r="D230" t="s">
        <v>187</v>
      </c>
      <c r="E230" s="1" t="s">
        <v>3127</v>
      </c>
    </row>
    <row r="231" spans="1:5" ht="15" customHeight="1" x14ac:dyDescent="0.25">
      <c r="A231" t="s">
        <v>759</v>
      </c>
      <c r="B231" t="s">
        <v>2767</v>
      </c>
      <c r="C231">
        <v>2018</v>
      </c>
      <c r="E231" s="1" t="s">
        <v>2983</v>
      </c>
    </row>
    <row r="232" spans="1:5" ht="15" customHeight="1" x14ac:dyDescent="0.25">
      <c r="A232" t="s">
        <v>759</v>
      </c>
      <c r="B232" t="s">
        <v>2783</v>
      </c>
      <c r="C232">
        <v>2018</v>
      </c>
      <c r="E232" s="1" t="s">
        <v>3128</v>
      </c>
    </row>
    <row r="233" spans="1:5" ht="15" customHeight="1" x14ac:dyDescent="0.25">
      <c r="A233" t="s">
        <v>759</v>
      </c>
      <c r="B233" t="s">
        <v>2895</v>
      </c>
      <c r="C233">
        <v>2018</v>
      </c>
      <c r="D233" t="s">
        <v>187</v>
      </c>
      <c r="E233" s="1" t="s">
        <v>3129</v>
      </c>
    </row>
    <row r="234" spans="1:5" ht="15" customHeight="1" x14ac:dyDescent="0.25">
      <c r="A234" t="s">
        <v>778</v>
      </c>
      <c r="B234" t="s">
        <v>394</v>
      </c>
      <c r="C234">
        <v>2023</v>
      </c>
      <c r="E234" s="11" t="s">
        <v>3058</v>
      </c>
    </row>
    <row r="235" spans="1:5" ht="15" customHeight="1" x14ac:dyDescent="0.25">
      <c r="A235" t="s">
        <v>778</v>
      </c>
      <c r="B235" t="s">
        <v>1060</v>
      </c>
      <c r="C235">
        <v>2023</v>
      </c>
      <c r="E235" s="1" t="s">
        <v>2983</v>
      </c>
    </row>
    <row r="236" spans="1:5" ht="15" customHeight="1" x14ac:dyDescent="0.25">
      <c r="A236" t="s">
        <v>778</v>
      </c>
      <c r="B236" t="s">
        <v>1464</v>
      </c>
      <c r="C236">
        <v>2023</v>
      </c>
      <c r="E236" s="1" t="s">
        <v>3130</v>
      </c>
    </row>
    <row r="237" spans="1:5" ht="15" customHeight="1" x14ac:dyDescent="0.25">
      <c r="A237" t="s">
        <v>778</v>
      </c>
      <c r="B237" t="s">
        <v>2382</v>
      </c>
      <c r="C237">
        <v>2023</v>
      </c>
      <c r="E237" s="1" t="s">
        <v>3049</v>
      </c>
    </row>
    <row r="238" spans="1:5" ht="15" customHeight="1" x14ac:dyDescent="0.25">
      <c r="A238" t="s">
        <v>778</v>
      </c>
      <c r="B238" t="s">
        <v>2670</v>
      </c>
      <c r="C238">
        <v>2023</v>
      </c>
      <c r="E238" s="1" t="s">
        <v>3131</v>
      </c>
    </row>
    <row r="239" spans="1:5" ht="15" customHeight="1" x14ac:dyDescent="0.25">
      <c r="A239" t="s">
        <v>786</v>
      </c>
      <c r="B239" t="s">
        <v>1109</v>
      </c>
      <c r="C239">
        <v>2023</v>
      </c>
      <c r="E239" t="s">
        <v>2983</v>
      </c>
    </row>
    <row r="240" spans="1:5" ht="15" customHeight="1" x14ac:dyDescent="0.25">
      <c r="A240" t="s">
        <v>811</v>
      </c>
      <c r="B240" t="s">
        <v>1313</v>
      </c>
      <c r="C240">
        <v>2024</v>
      </c>
      <c r="E240" t="s">
        <v>2983</v>
      </c>
    </row>
    <row r="241" spans="1:5" ht="15" customHeight="1" x14ac:dyDescent="0.25">
      <c r="A241" t="s">
        <v>811</v>
      </c>
      <c r="B241" t="s">
        <v>2670</v>
      </c>
      <c r="C241">
        <v>2024</v>
      </c>
      <c r="E241" s="1" t="s">
        <v>3131</v>
      </c>
    </row>
    <row r="242" spans="1:5" ht="15" customHeight="1" x14ac:dyDescent="0.25">
      <c r="A242" t="s">
        <v>813</v>
      </c>
      <c r="B242" t="s">
        <v>786</v>
      </c>
      <c r="C242">
        <v>2018</v>
      </c>
      <c r="E242" s="1" t="s">
        <v>2983</v>
      </c>
    </row>
    <row r="243" spans="1:5" ht="15" customHeight="1" x14ac:dyDescent="0.25">
      <c r="A243" t="s">
        <v>826</v>
      </c>
      <c r="B243" t="s">
        <v>493</v>
      </c>
      <c r="C243">
        <v>2019</v>
      </c>
      <c r="E243" s="1" t="s">
        <v>2983</v>
      </c>
    </row>
    <row r="244" spans="1:5" ht="15" customHeight="1" x14ac:dyDescent="0.25">
      <c r="A244" t="s">
        <v>836</v>
      </c>
      <c r="B244" t="s">
        <v>1566</v>
      </c>
      <c r="C244">
        <v>2010</v>
      </c>
      <c r="E244" s="11" t="s">
        <v>3132</v>
      </c>
    </row>
    <row r="245" spans="1:5" ht="15" customHeight="1" x14ac:dyDescent="0.25">
      <c r="A245" t="s">
        <v>836</v>
      </c>
      <c r="B245" t="s">
        <v>160</v>
      </c>
      <c r="C245">
        <v>2010</v>
      </c>
      <c r="E245" s="1" t="s">
        <v>3133</v>
      </c>
    </row>
    <row r="246" spans="1:5" ht="15" customHeight="1" x14ac:dyDescent="0.25">
      <c r="A246" t="s">
        <v>842</v>
      </c>
      <c r="B246" t="s">
        <v>2340</v>
      </c>
      <c r="C246">
        <v>2021</v>
      </c>
      <c r="E246" s="1" t="s">
        <v>2983</v>
      </c>
    </row>
    <row r="247" spans="1:5" ht="15" customHeight="1" x14ac:dyDescent="0.25">
      <c r="A247" t="s">
        <v>842</v>
      </c>
      <c r="B247" t="s">
        <v>2366</v>
      </c>
      <c r="C247">
        <v>2021</v>
      </c>
      <c r="D247" t="s">
        <v>187</v>
      </c>
      <c r="E247" s="1"/>
    </row>
    <row r="248" spans="1:5" ht="15" customHeight="1" x14ac:dyDescent="0.25">
      <c r="A248" t="s">
        <v>848</v>
      </c>
      <c r="B248" t="s">
        <v>294</v>
      </c>
      <c r="C248">
        <v>1996</v>
      </c>
      <c r="E248" s="11" t="s">
        <v>3134</v>
      </c>
    </row>
    <row r="249" spans="1:5" ht="15" customHeight="1" x14ac:dyDescent="0.25">
      <c r="A249" t="s">
        <v>848</v>
      </c>
      <c r="B249" t="s">
        <v>462</v>
      </c>
      <c r="C249">
        <v>1996</v>
      </c>
      <c r="E249" s="11" t="s">
        <v>3135</v>
      </c>
    </row>
    <row r="250" spans="1:5" ht="15" customHeight="1" x14ac:dyDescent="0.25">
      <c r="A250" t="s">
        <v>848</v>
      </c>
      <c r="B250" t="s">
        <v>517</v>
      </c>
      <c r="C250">
        <v>1996</v>
      </c>
      <c r="E250" s="11" t="s">
        <v>3001</v>
      </c>
    </row>
    <row r="251" spans="1:5" ht="15" customHeight="1" x14ac:dyDescent="0.25">
      <c r="A251" t="s">
        <v>848</v>
      </c>
      <c r="B251" t="s">
        <v>741</v>
      </c>
      <c r="C251">
        <v>1996</v>
      </c>
      <c r="E251" s="11" t="s">
        <v>3136</v>
      </c>
    </row>
    <row r="252" spans="1:5" ht="15" customHeight="1" x14ac:dyDescent="0.25">
      <c r="A252" t="s">
        <v>848</v>
      </c>
      <c r="B252" t="s">
        <v>778</v>
      </c>
      <c r="C252">
        <v>1996</v>
      </c>
      <c r="E252" s="11" t="s">
        <v>3137</v>
      </c>
    </row>
    <row r="253" spans="1:5" ht="15" customHeight="1" x14ac:dyDescent="0.25">
      <c r="A253" t="s">
        <v>848</v>
      </c>
      <c r="B253" t="s">
        <v>985</v>
      </c>
      <c r="C253">
        <v>1996</v>
      </c>
      <c r="E253" s="11" t="s">
        <v>3074</v>
      </c>
    </row>
    <row r="254" spans="1:5" ht="15" customHeight="1" x14ac:dyDescent="0.25">
      <c r="A254" t="s">
        <v>848</v>
      </c>
      <c r="B254" t="s">
        <v>1051</v>
      </c>
      <c r="C254">
        <v>1996</v>
      </c>
      <c r="E254" s="11" t="s">
        <v>3060</v>
      </c>
    </row>
    <row r="255" spans="1:5" ht="15" customHeight="1" x14ac:dyDescent="0.25">
      <c r="A255" t="s">
        <v>848</v>
      </c>
      <c r="B255" t="s">
        <v>1303</v>
      </c>
      <c r="C255">
        <v>1996</v>
      </c>
      <c r="E255" s="11" t="s">
        <v>3138</v>
      </c>
    </row>
    <row r="256" spans="1:5" ht="15" customHeight="1" x14ac:dyDescent="0.25">
      <c r="A256" t="s">
        <v>848</v>
      </c>
      <c r="B256" t="s">
        <v>1345</v>
      </c>
      <c r="C256">
        <v>1996</v>
      </c>
      <c r="E256" s="11" t="s">
        <v>3139</v>
      </c>
    </row>
    <row r="257" spans="1:5" ht="15" customHeight="1" x14ac:dyDescent="0.25">
      <c r="A257" t="s">
        <v>848</v>
      </c>
      <c r="B257" t="s">
        <v>1464</v>
      </c>
      <c r="C257">
        <v>1996</v>
      </c>
      <c r="E257" s="11" t="s">
        <v>3130</v>
      </c>
    </row>
    <row r="258" spans="1:5" ht="15" customHeight="1" x14ac:dyDescent="0.25">
      <c r="A258" t="s">
        <v>848</v>
      </c>
      <c r="B258" t="s">
        <v>1521</v>
      </c>
      <c r="C258">
        <v>1996</v>
      </c>
      <c r="E258" s="11" t="s">
        <v>3140</v>
      </c>
    </row>
    <row r="259" spans="1:5" ht="15" customHeight="1" x14ac:dyDescent="0.25">
      <c r="A259" t="s">
        <v>848</v>
      </c>
      <c r="B259" t="s">
        <v>1650</v>
      </c>
      <c r="C259">
        <v>1996</v>
      </c>
      <c r="E259" s="11" t="s">
        <v>3141</v>
      </c>
    </row>
    <row r="260" spans="1:5" ht="15" customHeight="1" x14ac:dyDescent="0.25">
      <c r="A260" t="s">
        <v>848</v>
      </c>
      <c r="B260" t="s">
        <v>2024</v>
      </c>
      <c r="C260">
        <v>1996</v>
      </c>
      <c r="E260" s="11" t="s">
        <v>2995</v>
      </c>
    </row>
    <row r="261" spans="1:5" ht="15" customHeight="1" x14ac:dyDescent="0.25">
      <c r="A261" t="s">
        <v>848</v>
      </c>
      <c r="B261" t="s">
        <v>2108</v>
      </c>
      <c r="C261">
        <v>1996</v>
      </c>
      <c r="E261" s="11" t="s">
        <v>3142</v>
      </c>
    </row>
    <row r="262" spans="1:5" ht="15" customHeight="1" x14ac:dyDescent="0.25">
      <c r="A262" t="s">
        <v>848</v>
      </c>
      <c r="B262" t="s">
        <v>2544</v>
      </c>
      <c r="C262">
        <v>1996</v>
      </c>
      <c r="E262" s="11" t="s">
        <v>3143</v>
      </c>
    </row>
    <row r="263" spans="1:5" ht="15" customHeight="1" x14ac:dyDescent="0.25">
      <c r="A263" t="s">
        <v>874</v>
      </c>
      <c r="B263" t="s">
        <v>287</v>
      </c>
      <c r="C263">
        <v>2019</v>
      </c>
      <c r="E263" s="11" t="s">
        <v>3144</v>
      </c>
    </row>
    <row r="264" spans="1:5" ht="15" customHeight="1" x14ac:dyDescent="0.25">
      <c r="A264" t="s">
        <v>874</v>
      </c>
      <c r="B264" t="s">
        <v>346</v>
      </c>
      <c r="C264">
        <v>2019</v>
      </c>
      <c r="E264" s="1" t="s">
        <v>2983</v>
      </c>
    </row>
    <row r="265" spans="1:5" ht="15" customHeight="1" x14ac:dyDescent="0.25">
      <c r="A265" t="s">
        <v>874</v>
      </c>
      <c r="B265" t="s">
        <v>851</v>
      </c>
      <c r="C265">
        <v>2019</v>
      </c>
      <c r="E265" s="1" t="s">
        <v>3145</v>
      </c>
    </row>
    <row r="266" spans="1:5" ht="15" customHeight="1" x14ac:dyDescent="0.25">
      <c r="A266" t="s">
        <v>874</v>
      </c>
      <c r="B266" t="s">
        <v>864</v>
      </c>
      <c r="C266">
        <v>2019</v>
      </c>
      <c r="E266" s="1" t="s">
        <v>3029</v>
      </c>
    </row>
    <row r="267" spans="1:5" ht="15" customHeight="1" x14ac:dyDescent="0.25">
      <c r="A267" t="s">
        <v>874</v>
      </c>
      <c r="B267" t="s">
        <v>878</v>
      </c>
      <c r="C267">
        <v>2019</v>
      </c>
      <c r="E267" s="1" t="s">
        <v>3103</v>
      </c>
    </row>
    <row r="268" spans="1:5" ht="15" customHeight="1" x14ac:dyDescent="0.25">
      <c r="A268" t="s">
        <v>874</v>
      </c>
      <c r="B268" t="s">
        <v>899</v>
      </c>
      <c r="C268">
        <v>2019</v>
      </c>
      <c r="E268" s="1" t="s">
        <v>3146</v>
      </c>
    </row>
    <row r="269" spans="1:5" ht="15" customHeight="1" x14ac:dyDescent="0.25">
      <c r="A269" t="s">
        <v>874</v>
      </c>
      <c r="B269" t="s">
        <v>961</v>
      </c>
      <c r="C269">
        <v>2019</v>
      </c>
      <c r="E269" s="1" t="s">
        <v>3147</v>
      </c>
    </row>
    <row r="270" spans="1:5" ht="15" customHeight="1" x14ac:dyDescent="0.25">
      <c r="A270" t="s">
        <v>874</v>
      </c>
      <c r="B270" t="s">
        <v>2417</v>
      </c>
      <c r="C270">
        <v>2019</v>
      </c>
      <c r="E270" s="1" t="s">
        <v>2983</v>
      </c>
    </row>
    <row r="271" spans="1:5" ht="15" customHeight="1" x14ac:dyDescent="0.25">
      <c r="A271" t="s">
        <v>905</v>
      </c>
      <c r="B271" t="s">
        <v>604</v>
      </c>
      <c r="C271">
        <v>2022</v>
      </c>
      <c r="E271" s="11" t="s">
        <v>3148</v>
      </c>
    </row>
    <row r="272" spans="1:5" ht="15" customHeight="1" x14ac:dyDescent="0.25">
      <c r="A272" t="s">
        <v>905</v>
      </c>
      <c r="B272" t="s">
        <v>1086</v>
      </c>
      <c r="C272">
        <v>2022</v>
      </c>
      <c r="E272" s="1" t="s">
        <v>1089</v>
      </c>
    </row>
    <row r="273" spans="1:5" ht="15" customHeight="1" x14ac:dyDescent="0.25">
      <c r="A273" t="s">
        <v>905</v>
      </c>
      <c r="B273" t="s">
        <v>1697</v>
      </c>
      <c r="C273">
        <v>2022</v>
      </c>
      <c r="E273" s="1" t="s">
        <v>3149</v>
      </c>
    </row>
    <row r="274" spans="1:5" ht="15" customHeight="1" x14ac:dyDescent="0.25">
      <c r="A274" t="s">
        <v>905</v>
      </c>
      <c r="B274" t="s">
        <v>2847</v>
      </c>
      <c r="C274">
        <v>2022</v>
      </c>
      <c r="E274" s="1" t="s">
        <v>3150</v>
      </c>
    </row>
    <row r="275" spans="1:5" ht="15" customHeight="1" x14ac:dyDescent="0.25">
      <c r="A275" t="s">
        <v>915</v>
      </c>
      <c r="B275" t="s">
        <v>709</v>
      </c>
      <c r="C275">
        <v>2013</v>
      </c>
      <c r="E275" s="1" t="s">
        <v>3117</v>
      </c>
    </row>
    <row r="276" spans="1:5" ht="15" customHeight="1" x14ac:dyDescent="0.25">
      <c r="A276" t="s">
        <v>915</v>
      </c>
      <c r="B276" t="s">
        <v>919</v>
      </c>
      <c r="C276">
        <v>2013</v>
      </c>
      <c r="D276" t="s">
        <v>187</v>
      </c>
      <c r="E276" s="1"/>
    </row>
    <row r="277" spans="1:5" ht="15" customHeight="1" x14ac:dyDescent="0.25">
      <c r="A277" t="s">
        <v>915</v>
      </c>
      <c r="B277" t="s">
        <v>1395</v>
      </c>
      <c r="C277">
        <v>2013</v>
      </c>
      <c r="E277" s="1" t="s">
        <v>3034</v>
      </c>
    </row>
    <row r="278" spans="1:5" ht="15" customHeight="1" x14ac:dyDescent="0.25">
      <c r="A278" t="s">
        <v>915</v>
      </c>
      <c r="B278" t="s">
        <v>2145</v>
      </c>
      <c r="C278">
        <v>2013</v>
      </c>
      <c r="E278" s="1" t="s">
        <v>3151</v>
      </c>
    </row>
    <row r="279" spans="1:5" ht="15" customHeight="1" x14ac:dyDescent="0.25">
      <c r="A279" t="s">
        <v>915</v>
      </c>
      <c r="B279" t="s">
        <v>2631</v>
      </c>
      <c r="C279">
        <v>2013</v>
      </c>
      <c r="E279" s="1" t="s">
        <v>3152</v>
      </c>
    </row>
    <row r="280" spans="1:5" ht="15" customHeight="1" x14ac:dyDescent="0.25">
      <c r="A280" t="s">
        <v>923</v>
      </c>
      <c r="B280" t="s">
        <v>517</v>
      </c>
      <c r="C280">
        <v>2002</v>
      </c>
      <c r="E280" s="11" t="s">
        <v>3153</v>
      </c>
    </row>
    <row r="281" spans="1:5" ht="15" customHeight="1" x14ac:dyDescent="0.25">
      <c r="A281" t="s">
        <v>923</v>
      </c>
      <c r="B281" t="s">
        <v>531</v>
      </c>
      <c r="C281">
        <v>2002</v>
      </c>
      <c r="E281" s="1" t="s">
        <v>3154</v>
      </c>
    </row>
    <row r="282" spans="1:5" ht="15" customHeight="1" x14ac:dyDescent="0.25">
      <c r="A282" t="s">
        <v>923</v>
      </c>
      <c r="B282" t="s">
        <v>985</v>
      </c>
      <c r="C282">
        <v>2002</v>
      </c>
      <c r="E282" s="11" t="s">
        <v>2989</v>
      </c>
    </row>
    <row r="283" spans="1:5" ht="15" customHeight="1" x14ac:dyDescent="0.25">
      <c r="A283" t="s">
        <v>923</v>
      </c>
      <c r="B283" t="s">
        <v>1142</v>
      </c>
      <c r="C283">
        <v>2002</v>
      </c>
      <c r="E283" s="11" t="s">
        <v>2990</v>
      </c>
    </row>
    <row r="284" spans="1:5" ht="15" customHeight="1" x14ac:dyDescent="0.25">
      <c r="A284" t="s">
        <v>923</v>
      </c>
      <c r="B284" t="s">
        <v>1426</v>
      </c>
      <c r="C284">
        <v>2002</v>
      </c>
      <c r="E284" s="1" t="s">
        <v>2983</v>
      </c>
    </row>
    <row r="285" spans="1:5" ht="15" customHeight="1" x14ac:dyDescent="0.25">
      <c r="A285" t="s">
        <v>923</v>
      </c>
      <c r="B285" t="s">
        <v>1468</v>
      </c>
      <c r="C285">
        <v>2002</v>
      </c>
      <c r="D285" t="s">
        <v>187</v>
      </c>
      <c r="E285" s="1"/>
    </row>
    <row r="286" spans="1:5" ht="15" customHeight="1" x14ac:dyDescent="0.25">
      <c r="A286" t="s">
        <v>923</v>
      </c>
      <c r="B286" t="s">
        <v>2036</v>
      </c>
      <c r="C286">
        <v>2002</v>
      </c>
      <c r="E286" s="1" t="s">
        <v>3155</v>
      </c>
    </row>
    <row r="287" spans="1:5" ht="15" customHeight="1" x14ac:dyDescent="0.25">
      <c r="A287" t="s">
        <v>923</v>
      </c>
      <c r="B287" t="s">
        <v>2407</v>
      </c>
      <c r="C287">
        <v>2002</v>
      </c>
      <c r="E287" s="11" t="s">
        <v>3064</v>
      </c>
    </row>
    <row r="288" spans="1:5" ht="15" customHeight="1" x14ac:dyDescent="0.25">
      <c r="A288" t="s">
        <v>925</v>
      </c>
      <c r="B288" t="s">
        <v>1996</v>
      </c>
      <c r="C288">
        <v>2019</v>
      </c>
      <c r="E288" s="1"/>
    </row>
    <row r="289" spans="1:5" ht="15" customHeight="1" x14ac:dyDescent="0.25">
      <c r="A289" t="s">
        <v>925</v>
      </c>
      <c r="B289" t="s">
        <v>2507</v>
      </c>
      <c r="C289">
        <v>2019</v>
      </c>
      <c r="E289" s="11" t="s">
        <v>3156</v>
      </c>
    </row>
    <row r="290" spans="1:5" ht="15" customHeight="1" x14ac:dyDescent="0.25">
      <c r="A290" t="s">
        <v>925</v>
      </c>
      <c r="B290" t="s">
        <v>2595</v>
      </c>
      <c r="C290">
        <v>2019</v>
      </c>
      <c r="E290" s="1" t="s">
        <v>3157</v>
      </c>
    </row>
    <row r="291" spans="1:5" ht="15" customHeight="1" x14ac:dyDescent="0.25">
      <c r="A291" t="s">
        <v>925</v>
      </c>
      <c r="B291" t="s">
        <v>2615</v>
      </c>
      <c r="C291">
        <v>2019</v>
      </c>
      <c r="E291" s="1" t="s">
        <v>3158</v>
      </c>
    </row>
    <row r="292" spans="1:5" ht="15" customHeight="1" x14ac:dyDescent="0.25">
      <c r="A292" t="s">
        <v>925</v>
      </c>
      <c r="B292" t="s">
        <v>2819</v>
      </c>
      <c r="C292">
        <v>2019</v>
      </c>
      <c r="E292" s="1" t="s">
        <v>3159</v>
      </c>
    </row>
    <row r="293" spans="1:5" ht="15" customHeight="1" x14ac:dyDescent="0.25">
      <c r="A293" t="s">
        <v>931</v>
      </c>
      <c r="B293" t="s">
        <v>1236</v>
      </c>
      <c r="C293">
        <v>2015</v>
      </c>
      <c r="E293" s="1" t="s">
        <v>3160</v>
      </c>
    </row>
    <row r="294" spans="1:5" ht="15" customHeight="1" x14ac:dyDescent="0.25">
      <c r="A294" t="s">
        <v>931</v>
      </c>
      <c r="B294" t="s">
        <v>1542</v>
      </c>
      <c r="C294">
        <v>2015</v>
      </c>
      <c r="E294" s="1" t="s">
        <v>3161</v>
      </c>
    </row>
    <row r="295" spans="1:5" ht="15" customHeight="1" x14ac:dyDescent="0.25">
      <c r="A295" t="s">
        <v>931</v>
      </c>
      <c r="B295" t="s">
        <v>1554</v>
      </c>
      <c r="C295">
        <v>2015</v>
      </c>
      <c r="E295" s="1" t="s">
        <v>3162</v>
      </c>
    </row>
    <row r="296" spans="1:5" ht="15" customHeight="1" x14ac:dyDescent="0.25">
      <c r="A296" t="s">
        <v>931</v>
      </c>
      <c r="B296" t="s">
        <v>2131</v>
      </c>
      <c r="C296">
        <v>2015</v>
      </c>
      <c r="E296" s="1" t="s">
        <v>3163</v>
      </c>
    </row>
    <row r="297" spans="1:5" ht="15" customHeight="1" x14ac:dyDescent="0.25">
      <c r="A297" t="s">
        <v>931</v>
      </c>
      <c r="B297" t="s">
        <v>2255</v>
      </c>
      <c r="C297">
        <v>2015</v>
      </c>
      <c r="E297" s="1" t="s">
        <v>2983</v>
      </c>
    </row>
    <row r="298" spans="1:5" ht="15" customHeight="1" x14ac:dyDescent="0.25">
      <c r="A298" t="s">
        <v>931</v>
      </c>
      <c r="B298" t="s">
        <v>2329</v>
      </c>
      <c r="C298">
        <v>2015</v>
      </c>
      <c r="E298" s="1" t="s">
        <v>3164</v>
      </c>
    </row>
    <row r="299" spans="1:5" ht="15" customHeight="1" x14ac:dyDescent="0.25">
      <c r="A299" t="s">
        <v>931</v>
      </c>
      <c r="B299" t="s">
        <v>2745</v>
      </c>
      <c r="C299">
        <v>2015</v>
      </c>
      <c r="E299" s="11" t="s">
        <v>3165</v>
      </c>
    </row>
    <row r="300" spans="1:5" ht="15" customHeight="1" x14ac:dyDescent="0.25">
      <c r="A300" t="s">
        <v>931</v>
      </c>
      <c r="B300" t="s">
        <v>2761</v>
      </c>
      <c r="C300">
        <v>2015</v>
      </c>
      <c r="E300" s="11" t="s">
        <v>3166</v>
      </c>
    </row>
    <row r="301" spans="1:5" ht="15" customHeight="1" x14ac:dyDescent="0.25">
      <c r="A301" t="s">
        <v>947</v>
      </c>
      <c r="B301" t="s">
        <v>874</v>
      </c>
      <c r="C301">
        <v>2014</v>
      </c>
      <c r="E301" s="1" t="s">
        <v>3167</v>
      </c>
    </row>
    <row r="302" spans="1:5" ht="15" customHeight="1" x14ac:dyDescent="0.25">
      <c r="A302" t="s">
        <v>947</v>
      </c>
      <c r="B302" t="s">
        <v>1687</v>
      </c>
      <c r="C302">
        <v>2014</v>
      </c>
      <c r="E302" s="1" t="s">
        <v>1690</v>
      </c>
    </row>
    <row r="303" spans="1:5" ht="15" customHeight="1" x14ac:dyDescent="0.25">
      <c r="A303" t="s">
        <v>947</v>
      </c>
      <c r="B303" t="s">
        <v>1848</v>
      </c>
      <c r="C303">
        <v>2014</v>
      </c>
      <c r="E303" s="1" t="s">
        <v>3168</v>
      </c>
    </row>
    <row r="304" spans="1:5" ht="15" customHeight="1" x14ac:dyDescent="0.25">
      <c r="A304" t="s">
        <v>947</v>
      </c>
      <c r="B304" t="s">
        <v>90</v>
      </c>
      <c r="C304">
        <v>2014</v>
      </c>
      <c r="E304" s="1" t="s">
        <v>3169</v>
      </c>
    </row>
    <row r="305" spans="1:5" ht="15" customHeight="1" x14ac:dyDescent="0.25">
      <c r="A305" t="s">
        <v>961</v>
      </c>
      <c r="B305" t="s">
        <v>2220</v>
      </c>
      <c r="C305">
        <v>2024</v>
      </c>
      <c r="E305" t="s">
        <v>2983</v>
      </c>
    </row>
    <row r="306" spans="1:5" ht="15" customHeight="1" x14ac:dyDescent="0.25">
      <c r="A306" t="s">
        <v>965</v>
      </c>
      <c r="B306" t="s">
        <v>531</v>
      </c>
      <c r="C306">
        <v>2006</v>
      </c>
      <c r="E306" s="1" t="s">
        <v>3154</v>
      </c>
    </row>
    <row r="307" spans="1:5" ht="15" customHeight="1" x14ac:dyDescent="0.25">
      <c r="A307" t="s">
        <v>965</v>
      </c>
      <c r="B307" t="s">
        <v>623</v>
      </c>
      <c r="C307">
        <v>2006</v>
      </c>
      <c r="E307" s="1" t="s">
        <v>3170</v>
      </c>
    </row>
    <row r="308" spans="1:5" ht="15" customHeight="1" x14ac:dyDescent="0.25">
      <c r="A308" t="s">
        <v>965</v>
      </c>
      <c r="B308" t="s">
        <v>836</v>
      </c>
      <c r="C308">
        <v>2006</v>
      </c>
      <c r="E308" s="1" t="s">
        <v>3171</v>
      </c>
    </row>
    <row r="309" spans="1:5" ht="15" customHeight="1" x14ac:dyDescent="0.25">
      <c r="A309" t="s">
        <v>965</v>
      </c>
      <c r="B309" t="s">
        <v>985</v>
      </c>
      <c r="C309">
        <v>2006</v>
      </c>
      <c r="E309" s="1" t="s">
        <v>3074</v>
      </c>
    </row>
    <row r="310" spans="1:5" ht="15" customHeight="1" x14ac:dyDescent="0.25">
      <c r="A310" t="s">
        <v>965</v>
      </c>
      <c r="B310" t="s">
        <v>1224</v>
      </c>
      <c r="C310">
        <v>2006</v>
      </c>
      <c r="E310" s="1" t="s">
        <v>2983</v>
      </c>
    </row>
    <row r="311" spans="1:5" ht="15" customHeight="1" x14ac:dyDescent="0.25">
      <c r="A311" t="s">
        <v>965</v>
      </c>
      <c r="B311" t="s">
        <v>1938</v>
      </c>
      <c r="C311">
        <v>2006</v>
      </c>
      <c r="E311" s="1" t="s">
        <v>1941</v>
      </c>
    </row>
    <row r="312" spans="1:5" ht="15" customHeight="1" x14ac:dyDescent="0.25">
      <c r="A312" t="s">
        <v>965</v>
      </c>
      <c r="B312" t="s">
        <v>2108</v>
      </c>
      <c r="C312">
        <v>2006</v>
      </c>
      <c r="E312" s="11" t="s">
        <v>3142</v>
      </c>
    </row>
    <row r="313" spans="1:5" ht="15" customHeight="1" x14ac:dyDescent="0.25">
      <c r="A313" t="s">
        <v>965</v>
      </c>
      <c r="B313" t="s">
        <v>2725</v>
      </c>
      <c r="C313">
        <v>2006</v>
      </c>
      <c r="E313" s="1" t="s">
        <v>2728</v>
      </c>
    </row>
    <row r="314" spans="1:5" ht="15" customHeight="1" x14ac:dyDescent="0.25">
      <c r="A314" t="s">
        <v>965</v>
      </c>
      <c r="B314" t="s">
        <v>2797</v>
      </c>
      <c r="C314">
        <v>2018</v>
      </c>
      <c r="E314" s="1" t="s">
        <v>3172</v>
      </c>
    </row>
    <row r="315" spans="1:5" ht="15" customHeight="1" x14ac:dyDescent="0.25">
      <c r="A315" t="s">
        <v>965</v>
      </c>
      <c r="B315" t="s">
        <v>2963</v>
      </c>
      <c r="C315">
        <v>2006</v>
      </c>
      <c r="E315" s="1" t="s">
        <v>3007</v>
      </c>
    </row>
    <row r="316" spans="1:5" ht="15" customHeight="1" x14ac:dyDescent="0.25">
      <c r="A316" t="s">
        <v>985</v>
      </c>
      <c r="B316" t="s">
        <v>2579</v>
      </c>
      <c r="C316">
        <v>2010</v>
      </c>
      <c r="E316" s="1" t="s">
        <v>3173</v>
      </c>
    </row>
    <row r="317" spans="1:5" ht="15" customHeight="1" x14ac:dyDescent="0.25">
      <c r="A317" t="s">
        <v>995</v>
      </c>
      <c r="B317" t="s">
        <v>1408</v>
      </c>
      <c r="C317">
        <v>2011</v>
      </c>
      <c r="E317" s="1" t="s">
        <v>3174</v>
      </c>
    </row>
    <row r="318" spans="1:5" ht="15" customHeight="1" x14ac:dyDescent="0.25">
      <c r="A318" t="s">
        <v>995</v>
      </c>
      <c r="B318" t="s">
        <v>2040</v>
      </c>
      <c r="C318">
        <v>2011</v>
      </c>
      <c r="E318" s="1" t="s">
        <v>2982</v>
      </c>
    </row>
    <row r="319" spans="1:5" ht="15" customHeight="1" x14ac:dyDescent="0.25">
      <c r="A319" t="s">
        <v>995</v>
      </c>
      <c r="B319" t="s">
        <v>2191</v>
      </c>
      <c r="C319">
        <v>2011</v>
      </c>
      <c r="E319" s="11" t="s">
        <v>3175</v>
      </c>
    </row>
    <row r="320" spans="1:5" ht="15" customHeight="1" x14ac:dyDescent="0.25">
      <c r="A320" t="s">
        <v>995</v>
      </c>
      <c r="B320" t="s">
        <v>2624</v>
      </c>
      <c r="C320">
        <v>2011</v>
      </c>
      <c r="E320" s="1" t="s">
        <v>3082</v>
      </c>
    </row>
    <row r="321" spans="1:5" ht="15" customHeight="1" x14ac:dyDescent="0.25">
      <c r="A321" t="s">
        <v>999</v>
      </c>
      <c r="B321" t="s">
        <v>2268</v>
      </c>
      <c r="C321">
        <v>2018</v>
      </c>
      <c r="D321" t="s">
        <v>187</v>
      </c>
      <c r="E321" s="1"/>
    </row>
    <row r="322" spans="1:5" ht="15" customHeight="1" x14ac:dyDescent="0.25">
      <c r="A322" t="s">
        <v>1005</v>
      </c>
      <c r="B322" t="s">
        <v>985</v>
      </c>
      <c r="C322">
        <v>2006</v>
      </c>
      <c r="E322" s="11" t="s">
        <v>2989</v>
      </c>
    </row>
    <row r="323" spans="1:5" ht="15" customHeight="1" x14ac:dyDescent="0.25">
      <c r="A323" t="s">
        <v>1005</v>
      </c>
      <c r="B323" t="s">
        <v>1483</v>
      </c>
      <c r="C323">
        <v>2006</v>
      </c>
      <c r="E323" s="1" t="s">
        <v>3176</v>
      </c>
    </row>
    <row r="324" spans="1:5" ht="15" customHeight="1" x14ac:dyDescent="0.25">
      <c r="A324" t="s">
        <v>1005</v>
      </c>
      <c r="B324" t="s">
        <v>2396</v>
      </c>
      <c r="C324">
        <v>2006</v>
      </c>
      <c r="E324" s="1" t="s">
        <v>3177</v>
      </c>
    </row>
    <row r="325" spans="1:5" ht="15" customHeight="1" x14ac:dyDescent="0.25">
      <c r="A325" t="s">
        <v>1005</v>
      </c>
      <c r="B325" t="s">
        <v>2515</v>
      </c>
      <c r="C325">
        <v>2006</v>
      </c>
      <c r="E325" s="1" t="s">
        <v>3178</v>
      </c>
    </row>
    <row r="326" spans="1:5" ht="15" customHeight="1" x14ac:dyDescent="0.25">
      <c r="A326" t="s">
        <v>1005</v>
      </c>
      <c r="B326" t="s">
        <v>2624</v>
      </c>
      <c r="C326">
        <v>2006</v>
      </c>
      <c r="E326" s="1" t="s">
        <v>3179</v>
      </c>
    </row>
    <row r="327" spans="1:5" ht="15" customHeight="1" x14ac:dyDescent="0.25">
      <c r="A327" t="s">
        <v>1005</v>
      </c>
      <c r="B327" t="s">
        <v>2770</v>
      </c>
      <c r="C327">
        <v>2006</v>
      </c>
      <c r="E327" s="1" t="s">
        <v>3180</v>
      </c>
    </row>
    <row r="328" spans="1:5" ht="15" customHeight="1" x14ac:dyDescent="0.25">
      <c r="A328" t="s">
        <v>1005</v>
      </c>
      <c r="B328" t="s">
        <v>2833</v>
      </c>
      <c r="C328">
        <v>2006</v>
      </c>
      <c r="E328" s="1" t="s">
        <v>3181</v>
      </c>
    </row>
    <row r="329" spans="1:5" ht="15" customHeight="1" x14ac:dyDescent="0.25">
      <c r="A329" t="s">
        <v>1005</v>
      </c>
      <c r="B329" t="s">
        <v>2861</v>
      </c>
      <c r="C329">
        <v>2006</v>
      </c>
      <c r="E329" s="1" t="s">
        <v>3182</v>
      </c>
    </row>
    <row r="330" spans="1:5" ht="15" customHeight="1" x14ac:dyDescent="0.25">
      <c r="A330" t="s">
        <v>1005</v>
      </c>
      <c r="B330" t="s">
        <v>2865</v>
      </c>
      <c r="C330">
        <v>2006</v>
      </c>
      <c r="E330" s="1" t="s">
        <v>3183</v>
      </c>
    </row>
    <row r="331" spans="1:5" ht="15" customHeight="1" x14ac:dyDescent="0.25">
      <c r="A331" t="s">
        <v>1011</v>
      </c>
      <c r="B331" t="s">
        <v>2274</v>
      </c>
      <c r="C331">
        <v>2025</v>
      </c>
      <c r="E331" s="11" t="s">
        <v>3184</v>
      </c>
    </row>
    <row r="332" spans="1:5" ht="15" customHeight="1" x14ac:dyDescent="0.25">
      <c r="A332" t="s">
        <v>1028</v>
      </c>
      <c r="B332" t="s">
        <v>985</v>
      </c>
      <c r="C332">
        <v>2008</v>
      </c>
      <c r="E332" s="11" t="s">
        <v>2989</v>
      </c>
    </row>
    <row r="333" spans="1:5" ht="15" customHeight="1" x14ac:dyDescent="0.25">
      <c r="A333" t="s">
        <v>1028</v>
      </c>
      <c r="B333" t="s">
        <v>1026</v>
      </c>
      <c r="C333">
        <v>2008</v>
      </c>
      <c r="D333" t="s">
        <v>187</v>
      </c>
      <c r="E333" s="1"/>
    </row>
    <row r="334" spans="1:5" ht="15" customHeight="1" x14ac:dyDescent="0.25">
      <c r="A334" t="s">
        <v>1030</v>
      </c>
      <c r="B334" t="s">
        <v>2813</v>
      </c>
      <c r="C334">
        <v>2022</v>
      </c>
      <c r="E334" s="1" t="s">
        <v>3084</v>
      </c>
    </row>
    <row r="335" spans="1:5" ht="15" customHeight="1" x14ac:dyDescent="0.25">
      <c r="A335" t="s">
        <v>1047</v>
      </c>
      <c r="B335" t="s">
        <v>226</v>
      </c>
      <c r="C335">
        <v>2016</v>
      </c>
      <c r="E335" s="1" t="s">
        <v>3185</v>
      </c>
    </row>
    <row r="336" spans="1:5" ht="15" customHeight="1" x14ac:dyDescent="0.25">
      <c r="A336" t="s">
        <v>1047</v>
      </c>
      <c r="B336" t="s">
        <v>245</v>
      </c>
      <c r="C336">
        <v>2016</v>
      </c>
      <c r="E336" s="1" t="s">
        <v>3186</v>
      </c>
    </row>
    <row r="337" spans="1:5" ht="15" customHeight="1" x14ac:dyDescent="0.25">
      <c r="A337" t="s">
        <v>1047</v>
      </c>
      <c r="B337" t="s">
        <v>308</v>
      </c>
      <c r="C337">
        <v>2016</v>
      </c>
      <c r="E337" s="1" t="s">
        <v>3187</v>
      </c>
    </row>
    <row r="338" spans="1:5" ht="15" customHeight="1" x14ac:dyDescent="0.25">
      <c r="A338" t="s">
        <v>1047</v>
      </c>
      <c r="B338" t="s">
        <v>319</v>
      </c>
      <c r="C338">
        <v>2016</v>
      </c>
      <c r="E338" s="1" t="s">
        <v>2983</v>
      </c>
    </row>
    <row r="339" spans="1:5" ht="15" customHeight="1" x14ac:dyDescent="0.25">
      <c r="A339" t="s">
        <v>1047</v>
      </c>
      <c r="B339" t="s">
        <v>333</v>
      </c>
      <c r="C339">
        <v>2016</v>
      </c>
      <c r="E339" s="1" t="s">
        <v>3188</v>
      </c>
    </row>
    <row r="340" spans="1:5" ht="15" customHeight="1" x14ac:dyDescent="0.25">
      <c r="A340" t="s">
        <v>1047</v>
      </c>
      <c r="B340" t="s">
        <v>415</v>
      </c>
      <c r="C340">
        <v>2016</v>
      </c>
      <c r="E340" s="1" t="s">
        <v>3189</v>
      </c>
    </row>
    <row r="341" spans="1:5" ht="15" customHeight="1" x14ac:dyDescent="0.25">
      <c r="A341" t="s">
        <v>1047</v>
      </c>
      <c r="B341" t="s">
        <v>501</v>
      </c>
      <c r="C341">
        <v>2016</v>
      </c>
      <c r="E341" s="1" t="s">
        <v>3190</v>
      </c>
    </row>
    <row r="342" spans="1:5" ht="15" customHeight="1" x14ac:dyDescent="0.25">
      <c r="A342" t="s">
        <v>1047</v>
      </c>
      <c r="B342" t="s">
        <v>709</v>
      </c>
      <c r="C342">
        <v>2016</v>
      </c>
      <c r="E342" s="1" t="s">
        <v>3117</v>
      </c>
    </row>
    <row r="343" spans="1:5" ht="15" customHeight="1" x14ac:dyDescent="0.25">
      <c r="A343" t="s">
        <v>1047</v>
      </c>
      <c r="B343" t="s">
        <v>1051</v>
      </c>
      <c r="C343">
        <v>2016</v>
      </c>
      <c r="E343" s="1" t="s">
        <v>3105</v>
      </c>
    </row>
    <row r="344" spans="1:5" ht="15" customHeight="1" x14ac:dyDescent="0.25">
      <c r="A344" t="s">
        <v>1047</v>
      </c>
      <c r="B344" t="s">
        <v>1068</v>
      </c>
      <c r="C344">
        <v>2016</v>
      </c>
      <c r="D344" t="s">
        <v>187</v>
      </c>
      <c r="E344" s="1"/>
    </row>
    <row r="345" spans="1:5" ht="15" customHeight="1" x14ac:dyDescent="0.25">
      <c r="A345" t="s">
        <v>1047</v>
      </c>
      <c r="B345" t="s">
        <v>1160</v>
      </c>
      <c r="C345">
        <v>2016</v>
      </c>
      <c r="E345" s="1" t="s">
        <v>3122</v>
      </c>
    </row>
    <row r="346" spans="1:5" ht="15" customHeight="1" x14ac:dyDescent="0.25">
      <c r="A346" t="s">
        <v>1047</v>
      </c>
      <c r="B346" t="s">
        <v>1220</v>
      </c>
      <c r="C346">
        <v>2016</v>
      </c>
      <c r="E346" s="1" t="s">
        <v>2983</v>
      </c>
    </row>
    <row r="347" spans="1:5" ht="15" customHeight="1" x14ac:dyDescent="0.25">
      <c r="A347" t="s">
        <v>1047</v>
      </c>
      <c r="B347" t="s">
        <v>1273</v>
      </c>
      <c r="C347">
        <v>2016</v>
      </c>
      <c r="E347" s="1" t="s">
        <v>3191</v>
      </c>
    </row>
    <row r="348" spans="1:5" ht="15" customHeight="1" x14ac:dyDescent="0.25">
      <c r="A348" t="s">
        <v>1047</v>
      </c>
      <c r="B348" t="s">
        <v>1517</v>
      </c>
      <c r="C348">
        <v>2016</v>
      </c>
      <c r="E348" s="1" t="s">
        <v>2983</v>
      </c>
    </row>
    <row r="349" spans="1:5" ht="15" customHeight="1" x14ac:dyDescent="0.25">
      <c r="A349" t="s">
        <v>1047</v>
      </c>
      <c r="B349" t="s">
        <v>1772</v>
      </c>
      <c r="C349">
        <v>2016</v>
      </c>
      <c r="E349" s="1" t="s">
        <v>3192</v>
      </c>
    </row>
    <row r="350" spans="1:5" ht="15" customHeight="1" x14ac:dyDescent="0.25">
      <c r="A350" t="s">
        <v>1047</v>
      </c>
      <c r="B350" t="s">
        <v>1878</v>
      </c>
      <c r="C350">
        <v>2016</v>
      </c>
      <c r="E350" s="1" t="s">
        <v>3193</v>
      </c>
    </row>
    <row r="351" spans="1:5" ht="15" customHeight="1" x14ac:dyDescent="0.25">
      <c r="A351" t="s">
        <v>1047</v>
      </c>
      <c r="B351" t="s">
        <v>1942</v>
      </c>
      <c r="C351">
        <v>2016</v>
      </c>
      <c r="E351" s="11" t="s">
        <v>3194</v>
      </c>
    </row>
    <row r="352" spans="1:5" ht="15" customHeight="1" x14ac:dyDescent="0.25">
      <c r="A352" t="s">
        <v>1047</v>
      </c>
      <c r="B352" t="s">
        <v>2057</v>
      </c>
      <c r="C352">
        <v>2016</v>
      </c>
      <c r="E352" s="1" t="s">
        <v>3195</v>
      </c>
    </row>
    <row r="353" spans="1:5" ht="15" customHeight="1" x14ac:dyDescent="0.25">
      <c r="A353" t="s">
        <v>1047</v>
      </c>
      <c r="B353" t="s">
        <v>2268</v>
      </c>
      <c r="C353">
        <v>2016</v>
      </c>
      <c r="E353" s="1" t="s">
        <v>2983</v>
      </c>
    </row>
    <row r="354" spans="1:5" ht="15" customHeight="1" x14ac:dyDescent="0.25">
      <c r="A354" t="s">
        <v>1047</v>
      </c>
      <c r="B354" t="s">
        <v>2538</v>
      </c>
      <c r="C354">
        <v>2016</v>
      </c>
      <c r="E354" s="11" t="s">
        <v>3011</v>
      </c>
    </row>
    <row r="355" spans="1:5" ht="15" customHeight="1" x14ac:dyDescent="0.25">
      <c r="A355" t="s">
        <v>1047</v>
      </c>
      <c r="B355" t="s">
        <v>2676</v>
      </c>
      <c r="C355">
        <v>2016</v>
      </c>
      <c r="E355" s="1" t="s">
        <v>3196</v>
      </c>
    </row>
    <row r="356" spans="1:5" ht="15" customHeight="1" x14ac:dyDescent="0.25">
      <c r="A356" t="s">
        <v>1047</v>
      </c>
      <c r="B356" t="s">
        <v>2699</v>
      </c>
      <c r="C356">
        <v>2016</v>
      </c>
      <c r="E356" s="1" t="s">
        <v>3197</v>
      </c>
    </row>
    <row r="357" spans="1:5" ht="15" customHeight="1" x14ac:dyDescent="0.25">
      <c r="A357" t="s">
        <v>1047</v>
      </c>
      <c r="B357" t="s">
        <v>2712</v>
      </c>
      <c r="C357">
        <v>2016</v>
      </c>
      <c r="E357" s="1" t="s">
        <v>3198</v>
      </c>
    </row>
    <row r="358" spans="1:5" ht="15" customHeight="1" x14ac:dyDescent="0.25">
      <c r="A358" t="s">
        <v>1056</v>
      </c>
      <c r="B358" t="s">
        <v>1058</v>
      </c>
      <c r="C358">
        <v>2015</v>
      </c>
      <c r="D358" t="s">
        <v>187</v>
      </c>
      <c r="E358" s="1"/>
    </row>
    <row r="359" spans="1:5" ht="15" customHeight="1" x14ac:dyDescent="0.25">
      <c r="A359" t="s">
        <v>1081</v>
      </c>
      <c r="B359" t="s">
        <v>935</v>
      </c>
      <c r="C359">
        <v>1990</v>
      </c>
      <c r="D359" t="s">
        <v>187</v>
      </c>
      <c r="E359" s="11" t="s">
        <v>3199</v>
      </c>
    </row>
    <row r="360" spans="1:5" ht="15" customHeight="1" x14ac:dyDescent="0.25">
      <c r="A360" t="s">
        <v>1090</v>
      </c>
      <c r="B360" t="s">
        <v>181</v>
      </c>
      <c r="C360">
        <v>2021</v>
      </c>
      <c r="D360" t="s">
        <v>187</v>
      </c>
      <c r="E360" s="1"/>
    </row>
    <row r="361" spans="1:5" ht="15" customHeight="1" x14ac:dyDescent="0.25">
      <c r="A361" t="s">
        <v>1090</v>
      </c>
      <c r="B361" t="s">
        <v>1109</v>
      </c>
      <c r="C361">
        <v>2021</v>
      </c>
      <c r="E361" t="s">
        <v>2983</v>
      </c>
    </row>
    <row r="362" spans="1:5" ht="15" customHeight="1" x14ac:dyDescent="0.25">
      <c r="A362" t="s">
        <v>1090</v>
      </c>
      <c r="B362" t="s">
        <v>1508</v>
      </c>
      <c r="C362">
        <v>2021</v>
      </c>
      <c r="D362" t="s">
        <v>187</v>
      </c>
      <c r="E362" s="1"/>
    </row>
    <row r="363" spans="1:5" ht="15" customHeight="1" x14ac:dyDescent="0.25">
      <c r="A363" t="s">
        <v>1094</v>
      </c>
      <c r="B363" t="s">
        <v>584</v>
      </c>
      <c r="C363">
        <v>2007</v>
      </c>
      <c r="D363" t="s">
        <v>187</v>
      </c>
      <c r="E363" s="1"/>
    </row>
    <row r="364" spans="1:5" ht="15" customHeight="1" x14ac:dyDescent="0.25">
      <c r="A364" t="s">
        <v>1101</v>
      </c>
      <c r="B364" t="s">
        <v>563</v>
      </c>
      <c r="C364">
        <v>2022</v>
      </c>
      <c r="E364" s="1" t="s">
        <v>566</v>
      </c>
    </row>
    <row r="365" spans="1:5" ht="15" customHeight="1" x14ac:dyDescent="0.25">
      <c r="A365" t="s">
        <v>1116</v>
      </c>
      <c r="B365" t="s">
        <v>1120</v>
      </c>
      <c r="C365">
        <v>2018</v>
      </c>
      <c r="D365" t="s">
        <v>187</v>
      </c>
      <c r="E365" s="1"/>
    </row>
    <row r="366" spans="1:5" ht="15" customHeight="1" x14ac:dyDescent="0.25">
      <c r="A366" t="s">
        <v>1116</v>
      </c>
      <c r="B366" t="s">
        <v>1527</v>
      </c>
      <c r="C366">
        <v>2018</v>
      </c>
      <c r="E366" s="1" t="s">
        <v>3056</v>
      </c>
    </row>
    <row r="367" spans="1:5" ht="15" customHeight="1" x14ac:dyDescent="0.25">
      <c r="A367" t="s">
        <v>1116</v>
      </c>
      <c r="B367" t="s">
        <v>2245</v>
      </c>
      <c r="C367">
        <v>2018</v>
      </c>
      <c r="E367" s="11" t="s">
        <v>3093</v>
      </c>
    </row>
    <row r="368" spans="1:5" ht="15" customHeight="1" x14ac:dyDescent="0.25">
      <c r="A368" t="s">
        <v>1124</v>
      </c>
      <c r="B368" t="s">
        <v>276</v>
      </c>
      <c r="C368">
        <v>2020</v>
      </c>
      <c r="D368" t="s">
        <v>187</v>
      </c>
    </row>
    <row r="369" spans="1:5" ht="15" customHeight="1" x14ac:dyDescent="0.25">
      <c r="A369" t="s">
        <v>1130</v>
      </c>
      <c r="B369" t="s">
        <v>851</v>
      </c>
      <c r="C369">
        <v>2022</v>
      </c>
      <c r="E369" t="s">
        <v>2983</v>
      </c>
    </row>
    <row r="370" spans="1:5" ht="15" customHeight="1" x14ac:dyDescent="0.25">
      <c r="A370" t="s">
        <v>1145</v>
      </c>
      <c r="B370" t="s">
        <v>221</v>
      </c>
      <c r="C370">
        <v>2012</v>
      </c>
      <c r="E370" s="11" t="s">
        <v>3200</v>
      </c>
    </row>
    <row r="371" spans="1:5" ht="15" customHeight="1" x14ac:dyDescent="0.25">
      <c r="A371" t="s">
        <v>1145</v>
      </c>
      <c r="B371" t="s">
        <v>283</v>
      </c>
      <c r="C371">
        <v>2018</v>
      </c>
      <c r="E371" s="1" t="s">
        <v>3201</v>
      </c>
    </row>
    <row r="372" spans="1:5" ht="15" customHeight="1" x14ac:dyDescent="0.25">
      <c r="A372" t="s">
        <v>1145</v>
      </c>
      <c r="B372" t="s">
        <v>484</v>
      </c>
      <c r="C372">
        <v>2012</v>
      </c>
      <c r="E372" s="1" t="s">
        <v>3202</v>
      </c>
    </row>
    <row r="373" spans="1:5" ht="15" customHeight="1" x14ac:dyDescent="0.25">
      <c r="A373" t="s">
        <v>1145</v>
      </c>
      <c r="B373" t="s">
        <v>493</v>
      </c>
      <c r="C373">
        <v>2012</v>
      </c>
      <c r="E373" s="1" t="s">
        <v>2983</v>
      </c>
    </row>
    <row r="374" spans="1:5" ht="15" customHeight="1" x14ac:dyDescent="0.25">
      <c r="A374" t="s">
        <v>1145</v>
      </c>
      <c r="B374" t="s">
        <v>639</v>
      </c>
      <c r="C374">
        <v>2012</v>
      </c>
      <c r="E374" s="1" t="s">
        <v>642</v>
      </c>
    </row>
    <row r="375" spans="1:5" ht="15" customHeight="1" x14ac:dyDescent="0.25">
      <c r="A375" t="s">
        <v>1145</v>
      </c>
      <c r="B375" t="s">
        <v>685</v>
      </c>
      <c r="C375">
        <v>2012</v>
      </c>
      <c r="E375" s="1" t="s">
        <v>3203</v>
      </c>
    </row>
    <row r="376" spans="1:5" ht="15" customHeight="1" x14ac:dyDescent="0.25">
      <c r="A376" t="s">
        <v>1145</v>
      </c>
      <c r="B376" t="s">
        <v>713</v>
      </c>
      <c r="C376">
        <v>2012</v>
      </c>
      <c r="E376" s="1" t="s">
        <v>3204</v>
      </c>
    </row>
    <row r="377" spans="1:5" ht="15" customHeight="1" x14ac:dyDescent="0.25">
      <c r="A377" t="s">
        <v>1145</v>
      </c>
      <c r="B377" t="s">
        <v>786</v>
      </c>
      <c r="C377">
        <v>2012</v>
      </c>
      <c r="E377" s="1" t="s">
        <v>2983</v>
      </c>
    </row>
    <row r="378" spans="1:5" ht="15" customHeight="1" x14ac:dyDescent="0.25">
      <c r="A378" t="s">
        <v>1145</v>
      </c>
      <c r="B378" t="s">
        <v>791</v>
      </c>
      <c r="C378">
        <v>2012</v>
      </c>
      <c r="E378" s="11" t="s">
        <v>3205</v>
      </c>
    </row>
    <row r="379" spans="1:5" ht="15" customHeight="1" x14ac:dyDescent="0.25">
      <c r="A379" t="s">
        <v>1145</v>
      </c>
      <c r="B379" t="s">
        <v>813</v>
      </c>
      <c r="C379">
        <v>2012</v>
      </c>
      <c r="E379" s="1" t="s">
        <v>3102</v>
      </c>
    </row>
    <row r="380" spans="1:5" ht="15" customHeight="1" x14ac:dyDescent="0.25">
      <c r="A380" t="s">
        <v>1145</v>
      </c>
      <c r="B380" t="s">
        <v>866</v>
      </c>
      <c r="C380">
        <v>2012</v>
      </c>
      <c r="E380" s="1" t="s">
        <v>3206</v>
      </c>
    </row>
    <row r="381" spans="1:5" ht="15" customHeight="1" x14ac:dyDescent="0.25">
      <c r="A381" t="s">
        <v>1145</v>
      </c>
      <c r="B381" t="s">
        <v>1124</v>
      </c>
      <c r="C381">
        <v>2012</v>
      </c>
      <c r="E381" s="11" t="s">
        <v>3207</v>
      </c>
    </row>
    <row r="382" spans="1:5" ht="15" customHeight="1" x14ac:dyDescent="0.25">
      <c r="A382" t="s">
        <v>1145</v>
      </c>
      <c r="B382" t="s">
        <v>1307</v>
      </c>
      <c r="C382">
        <v>2012</v>
      </c>
      <c r="E382" s="1" t="s">
        <v>3208</v>
      </c>
    </row>
    <row r="383" spans="1:5" ht="15" customHeight="1" x14ac:dyDescent="0.25">
      <c r="A383" t="s">
        <v>1145</v>
      </c>
      <c r="B383" t="s">
        <v>1321</v>
      </c>
      <c r="C383">
        <v>2012</v>
      </c>
      <c r="E383" s="1" t="s">
        <v>3209</v>
      </c>
    </row>
    <row r="384" spans="1:5" ht="15" customHeight="1" x14ac:dyDescent="0.25">
      <c r="A384" t="s">
        <v>1145</v>
      </c>
      <c r="B384" t="s">
        <v>1440</v>
      </c>
      <c r="C384">
        <v>2012</v>
      </c>
      <c r="E384" s="1" t="s">
        <v>3092</v>
      </c>
    </row>
    <row r="385" spans="1:5" ht="15" customHeight="1" x14ac:dyDescent="0.25">
      <c r="A385" t="s">
        <v>1145</v>
      </c>
      <c r="B385" t="s">
        <v>1444</v>
      </c>
      <c r="C385">
        <v>2012</v>
      </c>
      <c r="D385" t="s">
        <v>187</v>
      </c>
      <c r="E385" s="1" t="s">
        <v>3210</v>
      </c>
    </row>
    <row r="386" spans="1:5" ht="15" customHeight="1" x14ac:dyDescent="0.25">
      <c r="A386" t="s">
        <v>1145</v>
      </c>
      <c r="B386" t="s">
        <v>1546</v>
      </c>
      <c r="C386">
        <v>2012</v>
      </c>
      <c r="E386" s="1" t="s">
        <v>3014</v>
      </c>
    </row>
    <row r="387" spans="1:5" ht="15" customHeight="1" x14ac:dyDescent="0.25">
      <c r="A387" t="s">
        <v>1145</v>
      </c>
      <c r="B387" t="s">
        <v>1701</v>
      </c>
      <c r="C387">
        <v>2012</v>
      </c>
      <c r="E387" s="1" t="s">
        <v>3211</v>
      </c>
    </row>
    <row r="388" spans="1:5" ht="15" customHeight="1" x14ac:dyDescent="0.25">
      <c r="A388" t="s">
        <v>1145</v>
      </c>
      <c r="B388" t="s">
        <v>1848</v>
      </c>
      <c r="C388">
        <v>2012</v>
      </c>
      <c r="E388" s="1" t="s">
        <v>3212</v>
      </c>
    </row>
    <row r="389" spans="1:5" ht="15" customHeight="1" x14ac:dyDescent="0.25">
      <c r="A389" t="s">
        <v>1145</v>
      </c>
      <c r="B389" t="s">
        <v>1896</v>
      </c>
      <c r="C389">
        <v>2012</v>
      </c>
      <c r="E389" s="1" t="s">
        <v>3213</v>
      </c>
    </row>
    <row r="390" spans="1:5" ht="15" customHeight="1" x14ac:dyDescent="0.25">
      <c r="A390" t="s">
        <v>1145</v>
      </c>
      <c r="B390" t="s">
        <v>1912</v>
      </c>
      <c r="C390">
        <v>2012</v>
      </c>
      <c r="E390" s="11" t="s">
        <v>3214</v>
      </c>
    </row>
    <row r="391" spans="1:5" ht="15" customHeight="1" x14ac:dyDescent="0.25">
      <c r="A391" t="s">
        <v>1145</v>
      </c>
      <c r="B391" t="s">
        <v>2081</v>
      </c>
      <c r="C391">
        <v>2012</v>
      </c>
      <c r="E391" s="11" t="s">
        <v>3215</v>
      </c>
    </row>
    <row r="392" spans="1:5" ht="15" customHeight="1" x14ac:dyDescent="0.25">
      <c r="A392" t="s">
        <v>1145</v>
      </c>
      <c r="B392" t="s">
        <v>2145</v>
      </c>
      <c r="C392">
        <v>2012</v>
      </c>
      <c r="E392" s="1" t="s">
        <v>3151</v>
      </c>
    </row>
    <row r="393" spans="1:5" ht="15" customHeight="1" x14ac:dyDescent="0.25">
      <c r="A393" t="s">
        <v>1145</v>
      </c>
      <c r="B393" t="s">
        <v>2188</v>
      </c>
      <c r="C393">
        <v>2012</v>
      </c>
      <c r="E393" s="11" t="s">
        <v>3018</v>
      </c>
    </row>
    <row r="394" spans="1:5" ht="15" customHeight="1" x14ac:dyDescent="0.25">
      <c r="A394" t="s">
        <v>1145</v>
      </c>
      <c r="B394" t="s">
        <v>2282</v>
      </c>
      <c r="C394">
        <v>2012</v>
      </c>
      <c r="E394" s="1" t="s">
        <v>3216</v>
      </c>
    </row>
    <row r="395" spans="1:5" ht="15" customHeight="1" x14ac:dyDescent="0.25">
      <c r="A395" t="s">
        <v>1145</v>
      </c>
      <c r="B395" t="s">
        <v>90</v>
      </c>
      <c r="C395">
        <v>2012</v>
      </c>
      <c r="E395" s="1" t="s">
        <v>3217</v>
      </c>
    </row>
    <row r="396" spans="1:5" ht="15" customHeight="1" x14ac:dyDescent="0.25">
      <c r="A396" t="s">
        <v>1145</v>
      </c>
      <c r="B396" t="s">
        <v>2362</v>
      </c>
      <c r="C396">
        <v>2012</v>
      </c>
      <c r="E396" s="1" t="s">
        <v>2983</v>
      </c>
    </row>
    <row r="397" spans="1:5" ht="15" customHeight="1" x14ac:dyDescent="0.25">
      <c r="A397" t="s">
        <v>1145</v>
      </c>
      <c r="B397" t="s">
        <v>2390</v>
      </c>
      <c r="C397">
        <v>2012</v>
      </c>
      <c r="E397" s="11" t="s">
        <v>3218</v>
      </c>
    </row>
    <row r="398" spans="1:5" ht="15" customHeight="1" x14ac:dyDescent="0.25">
      <c r="A398" t="s">
        <v>1145</v>
      </c>
      <c r="B398" t="s">
        <v>2503</v>
      </c>
      <c r="C398">
        <v>2012</v>
      </c>
      <c r="E398" s="1" t="s">
        <v>3204</v>
      </c>
    </row>
    <row r="399" spans="1:5" ht="15" customHeight="1" x14ac:dyDescent="0.25">
      <c r="A399" t="s">
        <v>1145</v>
      </c>
      <c r="B399" t="s">
        <v>2531</v>
      </c>
      <c r="C399">
        <v>2012</v>
      </c>
      <c r="E399" s="1" t="s">
        <v>3219</v>
      </c>
    </row>
    <row r="400" spans="1:5" ht="15" customHeight="1" x14ac:dyDescent="0.25">
      <c r="A400" t="s">
        <v>1145</v>
      </c>
      <c r="B400" t="s">
        <v>2606</v>
      </c>
      <c r="C400">
        <v>2012</v>
      </c>
      <c r="E400" s="1" t="s">
        <v>2983</v>
      </c>
    </row>
    <row r="401" spans="1:5" ht="15" customHeight="1" x14ac:dyDescent="0.25">
      <c r="A401" t="s">
        <v>1145</v>
      </c>
      <c r="B401" t="s">
        <v>2752</v>
      </c>
      <c r="C401">
        <v>2012</v>
      </c>
      <c r="E401" s="1" t="s">
        <v>2983</v>
      </c>
    </row>
    <row r="402" spans="1:5" ht="15" customHeight="1" x14ac:dyDescent="0.25">
      <c r="A402" t="s">
        <v>1145</v>
      </c>
      <c r="B402" t="s">
        <v>2758</v>
      </c>
      <c r="C402">
        <v>2012</v>
      </c>
      <c r="E402" s="1" t="s">
        <v>2983</v>
      </c>
    </row>
    <row r="403" spans="1:5" ht="15" customHeight="1" x14ac:dyDescent="0.25">
      <c r="A403" t="s">
        <v>1145</v>
      </c>
      <c r="B403" t="s">
        <v>2825</v>
      </c>
      <c r="C403">
        <v>2012</v>
      </c>
      <c r="E403" s="1" t="s">
        <v>3220</v>
      </c>
    </row>
    <row r="404" spans="1:5" ht="15" customHeight="1" x14ac:dyDescent="0.25">
      <c r="A404" t="s">
        <v>1145</v>
      </c>
      <c r="B404" t="s">
        <v>2833</v>
      </c>
      <c r="C404">
        <v>2012</v>
      </c>
      <c r="E404" s="1" t="s">
        <v>3181</v>
      </c>
    </row>
    <row r="405" spans="1:5" ht="15" customHeight="1" x14ac:dyDescent="0.25">
      <c r="A405" t="s">
        <v>1145</v>
      </c>
      <c r="B405" t="s">
        <v>2855</v>
      </c>
      <c r="C405">
        <v>2012</v>
      </c>
      <c r="E405" s="1" t="s">
        <v>3066</v>
      </c>
    </row>
    <row r="406" spans="1:5" ht="15" customHeight="1" x14ac:dyDescent="0.25">
      <c r="A406" t="s">
        <v>1156</v>
      </c>
      <c r="B406" t="s">
        <v>327</v>
      </c>
      <c r="C406">
        <v>2010</v>
      </c>
      <c r="D406" t="s">
        <v>187</v>
      </c>
    </row>
    <row r="407" spans="1:5" ht="15" customHeight="1" x14ac:dyDescent="0.25">
      <c r="A407" t="s">
        <v>1156</v>
      </c>
      <c r="B407" t="s">
        <v>1662</v>
      </c>
      <c r="C407">
        <v>2010</v>
      </c>
      <c r="D407" t="s">
        <v>187</v>
      </c>
    </row>
    <row r="408" spans="1:5" ht="15" customHeight="1" x14ac:dyDescent="0.25">
      <c r="A408" t="s">
        <v>1156</v>
      </c>
      <c r="B408" t="s">
        <v>1747</v>
      </c>
      <c r="C408">
        <v>2010</v>
      </c>
      <c r="D408" t="s">
        <v>187</v>
      </c>
    </row>
    <row r="409" spans="1:5" ht="15" customHeight="1" x14ac:dyDescent="0.25">
      <c r="A409" t="s">
        <v>1156</v>
      </c>
      <c r="B409" t="s">
        <v>2243</v>
      </c>
      <c r="C409">
        <v>2010</v>
      </c>
      <c r="D409" t="s">
        <v>187</v>
      </c>
    </row>
    <row r="410" spans="1:5" ht="15" customHeight="1" x14ac:dyDescent="0.25">
      <c r="A410" t="s">
        <v>1158</v>
      </c>
      <c r="B410" t="s">
        <v>2729</v>
      </c>
      <c r="C410">
        <v>2014</v>
      </c>
      <c r="D410" t="s">
        <v>187</v>
      </c>
    </row>
    <row r="411" spans="1:5" ht="15" customHeight="1" x14ac:dyDescent="0.25">
      <c r="A411" t="s">
        <v>1172</v>
      </c>
      <c r="B411" t="s">
        <v>1175</v>
      </c>
      <c r="C411">
        <v>2002</v>
      </c>
      <c r="D411" t="s">
        <v>187</v>
      </c>
    </row>
    <row r="412" spans="1:5" ht="15" customHeight="1" x14ac:dyDescent="0.25">
      <c r="A412" t="s">
        <v>1175</v>
      </c>
      <c r="B412" t="s">
        <v>1178</v>
      </c>
      <c r="C412">
        <v>2007</v>
      </c>
      <c r="D412" t="s">
        <v>187</v>
      </c>
    </row>
    <row r="413" spans="1:5" ht="15" customHeight="1" x14ac:dyDescent="0.25">
      <c r="A413" t="s">
        <v>1181</v>
      </c>
      <c r="B413" t="s">
        <v>561</v>
      </c>
      <c r="C413">
        <v>2024</v>
      </c>
      <c r="D413" t="s">
        <v>187</v>
      </c>
      <c r="E413" s="1"/>
    </row>
    <row r="414" spans="1:5" ht="15" customHeight="1" x14ac:dyDescent="0.25">
      <c r="A414" t="s">
        <v>1181</v>
      </c>
      <c r="B414" t="s">
        <v>1185</v>
      </c>
      <c r="C414">
        <v>2024</v>
      </c>
      <c r="D414" t="s">
        <v>187</v>
      </c>
    </row>
    <row r="415" spans="1:5" ht="15" customHeight="1" x14ac:dyDescent="0.25">
      <c r="A415" t="s">
        <v>1188</v>
      </c>
      <c r="B415" t="s">
        <v>1192</v>
      </c>
      <c r="C415">
        <v>2020</v>
      </c>
      <c r="D415" t="s">
        <v>187</v>
      </c>
      <c r="E415" s="1"/>
    </row>
    <row r="416" spans="1:5" ht="15" customHeight="1" x14ac:dyDescent="0.25">
      <c r="A416" t="s">
        <v>1236</v>
      </c>
      <c r="B416" t="s">
        <v>1240</v>
      </c>
      <c r="C416">
        <v>2026</v>
      </c>
      <c r="D416" t="s">
        <v>187</v>
      </c>
      <c r="E416" s="1"/>
    </row>
    <row r="417" spans="1:5" ht="15" customHeight="1" x14ac:dyDescent="0.25">
      <c r="A417" t="s">
        <v>1256</v>
      </c>
      <c r="B417" t="s">
        <v>2966</v>
      </c>
      <c r="C417">
        <v>2020</v>
      </c>
      <c r="E417" s="1" t="s">
        <v>3221</v>
      </c>
    </row>
    <row r="418" spans="1:5" ht="15" customHeight="1" x14ac:dyDescent="0.25">
      <c r="A418" t="s">
        <v>1260</v>
      </c>
      <c r="B418" t="s">
        <v>1263</v>
      </c>
      <c r="C418">
        <v>2021</v>
      </c>
      <c r="D418" t="s">
        <v>187</v>
      </c>
    </row>
    <row r="419" spans="1:5" ht="15" customHeight="1" x14ac:dyDescent="0.25">
      <c r="A419" t="s">
        <v>1266</v>
      </c>
      <c r="B419" t="s">
        <v>795</v>
      </c>
      <c r="C419">
        <v>2015</v>
      </c>
      <c r="E419" s="1" t="s">
        <v>3101</v>
      </c>
    </row>
    <row r="420" spans="1:5" ht="15" customHeight="1" x14ac:dyDescent="0.25">
      <c r="A420" t="s">
        <v>1273</v>
      </c>
      <c r="B420" t="s">
        <v>488</v>
      </c>
      <c r="C420">
        <v>2020</v>
      </c>
      <c r="E420" s="1" t="s">
        <v>3222</v>
      </c>
    </row>
    <row r="421" spans="1:5" ht="15" customHeight="1" x14ac:dyDescent="0.25">
      <c r="A421" t="s">
        <v>1273</v>
      </c>
      <c r="B421" t="s">
        <v>744</v>
      </c>
      <c r="C421">
        <v>2020</v>
      </c>
      <c r="E421" s="1" t="s">
        <v>3223</v>
      </c>
    </row>
    <row r="422" spans="1:5" ht="15" customHeight="1" x14ac:dyDescent="0.25">
      <c r="A422" t="s">
        <v>1273</v>
      </c>
      <c r="B422" t="s">
        <v>2147</v>
      </c>
      <c r="C422">
        <v>2020</v>
      </c>
      <c r="E422" s="1" t="s">
        <v>3125</v>
      </c>
    </row>
    <row r="423" spans="1:5" ht="15" customHeight="1" x14ac:dyDescent="0.25">
      <c r="A423" t="s">
        <v>1273</v>
      </c>
      <c r="B423" t="s">
        <v>2813</v>
      </c>
      <c r="C423">
        <v>2020</v>
      </c>
      <c r="E423" s="1" t="s">
        <v>3084</v>
      </c>
    </row>
    <row r="424" spans="1:5" ht="15" customHeight="1" x14ac:dyDescent="0.25">
      <c r="A424" t="s">
        <v>1277</v>
      </c>
      <c r="B424" t="s">
        <v>1281</v>
      </c>
      <c r="C424">
        <v>2022</v>
      </c>
      <c r="D424" t="s">
        <v>187</v>
      </c>
      <c r="E424" s="1"/>
    </row>
    <row r="425" spans="1:5" ht="15" customHeight="1" x14ac:dyDescent="0.25">
      <c r="A425" t="s">
        <v>1285</v>
      </c>
      <c r="B425" t="s">
        <v>256</v>
      </c>
      <c r="C425">
        <v>1984</v>
      </c>
      <c r="E425" s="1" t="s">
        <v>3224</v>
      </c>
    </row>
    <row r="426" spans="1:5" ht="15" customHeight="1" x14ac:dyDescent="0.25">
      <c r="A426" t="s">
        <v>1285</v>
      </c>
      <c r="B426" t="s">
        <v>1005</v>
      </c>
      <c r="C426">
        <v>1984</v>
      </c>
      <c r="E426" s="1" t="s">
        <v>3225</v>
      </c>
    </row>
    <row r="427" spans="1:5" ht="15" customHeight="1" x14ac:dyDescent="0.25">
      <c r="A427" t="s">
        <v>1285</v>
      </c>
      <c r="B427" t="s">
        <v>1172</v>
      </c>
      <c r="C427">
        <v>1984</v>
      </c>
      <c r="E427" s="11" t="s">
        <v>3226</v>
      </c>
    </row>
    <row r="428" spans="1:5" ht="15" customHeight="1" x14ac:dyDescent="0.25">
      <c r="A428" t="s">
        <v>1285</v>
      </c>
      <c r="B428" t="s">
        <v>1178</v>
      </c>
      <c r="C428">
        <v>1984</v>
      </c>
      <c r="E428" s="11" t="s">
        <v>2991</v>
      </c>
    </row>
    <row r="429" spans="1:5" ht="15" customHeight="1" x14ac:dyDescent="0.25">
      <c r="A429" t="s">
        <v>1285</v>
      </c>
      <c r="B429" t="s">
        <v>1573</v>
      </c>
      <c r="C429">
        <v>1984</v>
      </c>
      <c r="E429" s="1" t="s">
        <v>3227</v>
      </c>
    </row>
    <row r="430" spans="1:5" ht="15" customHeight="1" x14ac:dyDescent="0.25">
      <c r="A430" t="s">
        <v>1285</v>
      </c>
      <c r="B430" t="s">
        <v>1796</v>
      </c>
      <c r="C430">
        <v>1984</v>
      </c>
      <c r="E430" s="1" t="s">
        <v>3228</v>
      </c>
    </row>
    <row r="431" spans="1:5" ht="15" customHeight="1" x14ac:dyDescent="0.25">
      <c r="A431" t="s">
        <v>1288</v>
      </c>
      <c r="B431" t="s">
        <v>2963</v>
      </c>
      <c r="C431">
        <v>2022</v>
      </c>
      <c r="E431" s="1" t="s">
        <v>3007</v>
      </c>
    </row>
    <row r="432" spans="1:5" ht="15" customHeight="1" x14ac:dyDescent="0.25">
      <c r="A432" t="s">
        <v>1295</v>
      </c>
      <c r="B432" t="s">
        <v>175</v>
      </c>
      <c r="C432">
        <v>2019</v>
      </c>
      <c r="E432" s="1" t="s">
        <v>3014</v>
      </c>
    </row>
    <row r="433" spans="1:5" ht="15" customHeight="1" x14ac:dyDescent="0.25">
      <c r="A433" t="s">
        <v>1295</v>
      </c>
      <c r="B433" t="s">
        <v>253</v>
      </c>
      <c r="C433">
        <v>2019</v>
      </c>
      <c r="E433" s="11" t="s">
        <v>3114</v>
      </c>
    </row>
    <row r="434" spans="1:5" ht="15" customHeight="1" x14ac:dyDescent="0.25">
      <c r="A434" t="s">
        <v>1295</v>
      </c>
      <c r="B434" t="s">
        <v>303</v>
      </c>
      <c r="C434">
        <v>2019</v>
      </c>
      <c r="E434" s="1" t="s">
        <v>3229</v>
      </c>
    </row>
    <row r="435" spans="1:5" ht="15" customHeight="1" x14ac:dyDescent="0.25">
      <c r="A435" t="s">
        <v>1295</v>
      </c>
      <c r="B435" t="s">
        <v>310</v>
      </c>
      <c r="C435">
        <v>2019</v>
      </c>
      <c r="E435" s="1" t="s">
        <v>3079</v>
      </c>
    </row>
    <row r="436" spans="1:5" ht="15" customHeight="1" x14ac:dyDescent="0.25">
      <c r="A436" t="s">
        <v>1295</v>
      </c>
      <c r="B436" t="s">
        <v>387</v>
      </c>
      <c r="C436">
        <v>2019</v>
      </c>
      <c r="E436" s="1" t="s">
        <v>3116</v>
      </c>
    </row>
    <row r="437" spans="1:5" ht="15" customHeight="1" x14ac:dyDescent="0.25">
      <c r="A437" t="s">
        <v>1295</v>
      </c>
      <c r="B437" t="s">
        <v>428</v>
      </c>
      <c r="C437">
        <v>2019</v>
      </c>
      <c r="E437" s="11" t="s">
        <v>3022</v>
      </c>
    </row>
    <row r="438" spans="1:5" ht="15" customHeight="1" x14ac:dyDescent="0.25">
      <c r="A438" t="s">
        <v>1295</v>
      </c>
      <c r="B438" t="s">
        <v>447</v>
      </c>
      <c r="C438">
        <v>2019</v>
      </c>
      <c r="E438" s="1" t="s">
        <v>2983</v>
      </c>
    </row>
    <row r="439" spans="1:5" ht="15" customHeight="1" x14ac:dyDescent="0.25">
      <c r="A439" t="s">
        <v>1295</v>
      </c>
      <c r="B439" t="s">
        <v>488</v>
      </c>
      <c r="C439">
        <v>2019</v>
      </c>
      <c r="E439" s="1" t="s">
        <v>3222</v>
      </c>
    </row>
    <row r="440" spans="1:5" ht="15" customHeight="1" x14ac:dyDescent="0.25">
      <c r="A440" t="s">
        <v>1295</v>
      </c>
      <c r="B440" t="s">
        <v>602</v>
      </c>
      <c r="C440">
        <v>2019</v>
      </c>
      <c r="E440" s="1" t="s">
        <v>2983</v>
      </c>
    </row>
    <row r="441" spans="1:5" ht="15" customHeight="1" x14ac:dyDescent="0.25">
      <c r="A441" t="s">
        <v>1295</v>
      </c>
      <c r="B441" t="s">
        <v>709</v>
      </c>
      <c r="C441">
        <v>2019</v>
      </c>
      <c r="E441" s="1" t="s">
        <v>3117</v>
      </c>
    </row>
    <row r="442" spans="1:5" ht="15" customHeight="1" x14ac:dyDescent="0.25">
      <c r="A442" t="s">
        <v>1295</v>
      </c>
      <c r="B442" t="s">
        <v>744</v>
      </c>
      <c r="C442">
        <v>2019</v>
      </c>
      <c r="E442" s="1" t="s">
        <v>3223</v>
      </c>
    </row>
    <row r="443" spans="1:5" ht="15" customHeight="1" x14ac:dyDescent="0.25">
      <c r="A443" t="s">
        <v>1295</v>
      </c>
      <c r="B443" t="s">
        <v>778</v>
      </c>
      <c r="C443">
        <v>2019</v>
      </c>
      <c r="E443" s="1" t="s">
        <v>3230</v>
      </c>
    </row>
    <row r="444" spans="1:5" ht="15" customHeight="1" x14ac:dyDescent="0.25">
      <c r="A444" t="s">
        <v>1295</v>
      </c>
      <c r="B444" t="s">
        <v>821</v>
      </c>
      <c r="C444">
        <v>2019</v>
      </c>
      <c r="E444" s="1" t="s">
        <v>3088</v>
      </c>
    </row>
    <row r="445" spans="1:5" ht="15" customHeight="1" x14ac:dyDescent="0.25">
      <c r="A445" t="s">
        <v>1295</v>
      </c>
      <c r="B445" t="s">
        <v>949</v>
      </c>
      <c r="C445">
        <v>2019</v>
      </c>
      <c r="E445" s="1" t="s">
        <v>3119</v>
      </c>
    </row>
    <row r="446" spans="1:5" ht="15" customHeight="1" x14ac:dyDescent="0.25">
      <c r="A446" t="s">
        <v>1295</v>
      </c>
      <c r="B446" t="s">
        <v>1003</v>
      </c>
      <c r="C446">
        <v>2019</v>
      </c>
      <c r="E446" s="1" t="s">
        <v>3120</v>
      </c>
    </row>
    <row r="447" spans="1:5" ht="15" customHeight="1" x14ac:dyDescent="0.25">
      <c r="A447" t="s">
        <v>1295</v>
      </c>
      <c r="B447" t="s">
        <v>1030</v>
      </c>
      <c r="C447">
        <v>2019</v>
      </c>
      <c r="E447" s="1" t="s">
        <v>2983</v>
      </c>
    </row>
    <row r="448" spans="1:5" ht="15" customHeight="1" x14ac:dyDescent="0.25">
      <c r="A448" t="s">
        <v>1295</v>
      </c>
      <c r="B448" t="s">
        <v>1130</v>
      </c>
      <c r="C448">
        <v>2019</v>
      </c>
      <c r="E448" s="1" t="s">
        <v>3231</v>
      </c>
    </row>
    <row r="449" spans="1:5" ht="15" customHeight="1" x14ac:dyDescent="0.25">
      <c r="A449" t="s">
        <v>1295</v>
      </c>
      <c r="B449" t="s">
        <v>1167</v>
      </c>
      <c r="C449">
        <v>2019</v>
      </c>
      <c r="E449" s="1" t="s">
        <v>3091</v>
      </c>
    </row>
    <row r="450" spans="1:5" ht="15" customHeight="1" x14ac:dyDescent="0.25">
      <c r="A450" t="s">
        <v>1295</v>
      </c>
      <c r="B450" t="s">
        <v>1220</v>
      </c>
      <c r="C450">
        <v>2019</v>
      </c>
      <c r="E450" s="1" t="s">
        <v>2983</v>
      </c>
    </row>
    <row r="451" spans="1:5" ht="15" customHeight="1" x14ac:dyDescent="0.25">
      <c r="A451" t="s">
        <v>1295</v>
      </c>
      <c r="B451" t="s">
        <v>1299</v>
      </c>
      <c r="C451">
        <v>2019</v>
      </c>
      <c r="D451" t="s">
        <v>187</v>
      </c>
      <c r="E451" s="1"/>
    </row>
    <row r="452" spans="1:5" ht="15" customHeight="1" x14ac:dyDescent="0.25">
      <c r="A452" t="s">
        <v>1295</v>
      </c>
      <c r="B452" t="s">
        <v>1327</v>
      </c>
      <c r="C452">
        <v>2019</v>
      </c>
      <c r="E452" s="1" t="s">
        <v>3232</v>
      </c>
    </row>
    <row r="453" spans="1:5" ht="15" customHeight="1" x14ac:dyDescent="0.25">
      <c r="A453" t="s">
        <v>1295</v>
      </c>
      <c r="B453" t="s">
        <v>1345</v>
      </c>
      <c r="C453">
        <v>2019</v>
      </c>
      <c r="E453" s="1" t="s">
        <v>3106</v>
      </c>
    </row>
    <row r="454" spans="1:5" ht="15" customHeight="1" x14ac:dyDescent="0.25">
      <c r="A454" t="s">
        <v>1295</v>
      </c>
      <c r="B454" t="s">
        <v>1349</v>
      </c>
      <c r="C454">
        <v>2019</v>
      </c>
      <c r="E454" s="11" t="s">
        <v>3233</v>
      </c>
    </row>
    <row r="455" spans="1:5" ht="15" customHeight="1" x14ac:dyDescent="0.25">
      <c r="A455" t="s">
        <v>1295</v>
      </c>
      <c r="B455" t="s">
        <v>1358</v>
      </c>
      <c r="C455">
        <v>2019</v>
      </c>
      <c r="E455" s="1" t="s">
        <v>3234</v>
      </c>
    </row>
    <row r="456" spans="1:5" ht="15" customHeight="1" x14ac:dyDescent="0.25">
      <c r="A456" t="s">
        <v>1295</v>
      </c>
      <c r="B456" t="s">
        <v>1493</v>
      </c>
      <c r="C456">
        <v>2019</v>
      </c>
      <c r="E456" s="1" t="s">
        <v>3089</v>
      </c>
    </row>
    <row r="457" spans="1:5" ht="15" customHeight="1" x14ac:dyDescent="0.25">
      <c r="A457" t="s">
        <v>1295</v>
      </c>
      <c r="B457" t="s">
        <v>1571</v>
      </c>
      <c r="C457">
        <v>2019</v>
      </c>
      <c r="E457" s="1" t="s">
        <v>3235</v>
      </c>
    </row>
    <row r="458" spans="1:5" ht="15" customHeight="1" x14ac:dyDescent="0.25">
      <c r="A458" t="s">
        <v>1295</v>
      </c>
      <c r="B458" t="s">
        <v>1607</v>
      </c>
      <c r="C458">
        <v>2019</v>
      </c>
      <c r="E458" s="11" t="s">
        <v>3236</v>
      </c>
    </row>
    <row r="459" spans="1:5" ht="15" customHeight="1" x14ac:dyDescent="0.25">
      <c r="A459" t="s">
        <v>1295</v>
      </c>
      <c r="B459" t="s">
        <v>1799</v>
      </c>
      <c r="C459">
        <v>2019</v>
      </c>
      <c r="E459" s="11" t="s">
        <v>3094</v>
      </c>
    </row>
    <row r="460" spans="1:5" ht="15" customHeight="1" x14ac:dyDescent="0.25">
      <c r="A460" t="s">
        <v>1295</v>
      </c>
      <c r="B460" t="s">
        <v>1802</v>
      </c>
      <c r="C460">
        <v>2019</v>
      </c>
      <c r="E460" t="s">
        <v>3014</v>
      </c>
    </row>
    <row r="461" spans="1:5" ht="15" customHeight="1" x14ac:dyDescent="0.25">
      <c r="A461" t="s">
        <v>1295</v>
      </c>
      <c r="B461" t="s">
        <v>1860</v>
      </c>
      <c r="C461">
        <v>2019</v>
      </c>
      <c r="E461" s="1" t="s">
        <v>3014</v>
      </c>
    </row>
    <row r="462" spans="1:5" ht="15" customHeight="1" x14ac:dyDescent="0.25">
      <c r="A462" t="s">
        <v>1295</v>
      </c>
      <c r="B462" t="s">
        <v>2032</v>
      </c>
      <c r="C462">
        <v>2019</v>
      </c>
      <c r="E462" s="1" t="s">
        <v>3237</v>
      </c>
    </row>
    <row r="463" spans="1:5" ht="15" customHeight="1" x14ac:dyDescent="0.25">
      <c r="A463" t="s">
        <v>1295</v>
      </c>
      <c r="B463" t="s">
        <v>2070</v>
      </c>
      <c r="C463">
        <v>2019</v>
      </c>
      <c r="E463" s="1" t="s">
        <v>2983</v>
      </c>
    </row>
    <row r="464" spans="1:5" ht="15" customHeight="1" x14ac:dyDescent="0.25">
      <c r="A464" t="s">
        <v>1295</v>
      </c>
      <c r="B464" t="s">
        <v>2072</v>
      </c>
      <c r="C464">
        <v>2019</v>
      </c>
      <c r="E464" s="1" t="s">
        <v>3238</v>
      </c>
    </row>
    <row r="465" spans="1:5" ht="15" customHeight="1" x14ac:dyDescent="0.25">
      <c r="A465" t="s">
        <v>1295</v>
      </c>
      <c r="B465" t="s">
        <v>2274</v>
      </c>
      <c r="C465">
        <v>2019</v>
      </c>
      <c r="E465" s="13" t="s">
        <v>2983</v>
      </c>
    </row>
    <row r="466" spans="1:5" ht="15" customHeight="1" x14ac:dyDescent="0.25">
      <c r="A466" t="s">
        <v>1295</v>
      </c>
      <c r="B466" t="s">
        <v>2289</v>
      </c>
      <c r="C466">
        <v>2019</v>
      </c>
      <c r="E466" s="1" t="s">
        <v>2983</v>
      </c>
    </row>
    <row r="467" spans="1:5" ht="15" customHeight="1" x14ac:dyDescent="0.25">
      <c r="A467" t="s">
        <v>1295</v>
      </c>
      <c r="B467" t="s">
        <v>2398</v>
      </c>
      <c r="C467">
        <v>2019</v>
      </c>
      <c r="E467" s="1" t="s">
        <v>3239</v>
      </c>
    </row>
    <row r="468" spans="1:5" ht="15" customHeight="1" x14ac:dyDescent="0.25">
      <c r="A468" t="s">
        <v>1295</v>
      </c>
      <c r="B468" t="s">
        <v>2440</v>
      </c>
      <c r="C468">
        <v>2019</v>
      </c>
      <c r="E468" s="1" t="s">
        <v>2983</v>
      </c>
    </row>
    <row r="469" spans="1:5" ht="15" customHeight="1" x14ac:dyDescent="0.25">
      <c r="A469" t="s">
        <v>1295</v>
      </c>
      <c r="B469" t="s">
        <v>2468</v>
      </c>
      <c r="C469">
        <v>2019</v>
      </c>
      <c r="E469" s="1" t="s">
        <v>3240</v>
      </c>
    </row>
    <row r="470" spans="1:5" ht="15" customHeight="1" x14ac:dyDescent="0.25">
      <c r="A470" t="s">
        <v>1295</v>
      </c>
      <c r="B470" t="s">
        <v>2515</v>
      </c>
      <c r="C470">
        <v>2019</v>
      </c>
      <c r="E470" s="1" t="s">
        <v>3178</v>
      </c>
    </row>
    <row r="471" spans="1:5" ht="15" customHeight="1" x14ac:dyDescent="0.25">
      <c r="A471" t="s">
        <v>1295</v>
      </c>
      <c r="B471" t="s">
        <v>2551</v>
      </c>
      <c r="C471">
        <v>2019</v>
      </c>
      <c r="E471" s="1" t="s">
        <v>3241</v>
      </c>
    </row>
    <row r="472" spans="1:5" ht="15" customHeight="1" x14ac:dyDescent="0.25">
      <c r="A472" t="s">
        <v>1295</v>
      </c>
      <c r="B472" t="s">
        <v>2591</v>
      </c>
      <c r="C472">
        <v>2019</v>
      </c>
      <c r="E472" s="1" t="s">
        <v>3242</v>
      </c>
    </row>
    <row r="473" spans="1:5" ht="15" customHeight="1" x14ac:dyDescent="0.25">
      <c r="A473" t="s">
        <v>1295</v>
      </c>
      <c r="B473" t="s">
        <v>2600</v>
      </c>
      <c r="C473">
        <v>2019</v>
      </c>
      <c r="E473" s="1" t="s">
        <v>3243</v>
      </c>
    </row>
    <row r="474" spans="1:5" ht="15" customHeight="1" x14ac:dyDescent="0.25">
      <c r="A474" t="s">
        <v>1295</v>
      </c>
      <c r="B474" t="s">
        <v>2676</v>
      </c>
      <c r="C474">
        <v>2019</v>
      </c>
      <c r="E474" s="1" t="s">
        <v>3196</v>
      </c>
    </row>
    <row r="475" spans="1:5" ht="15" customHeight="1" x14ac:dyDescent="0.25">
      <c r="A475" t="s">
        <v>1295</v>
      </c>
      <c r="B475" t="s">
        <v>2699</v>
      </c>
      <c r="C475">
        <v>2019</v>
      </c>
      <c r="E475" s="1" t="s">
        <v>3197</v>
      </c>
    </row>
    <row r="476" spans="1:5" ht="15" customHeight="1" x14ac:dyDescent="0.25">
      <c r="A476" t="s">
        <v>1295</v>
      </c>
      <c r="B476" t="s">
        <v>2813</v>
      </c>
      <c r="C476">
        <v>2019</v>
      </c>
      <c r="E476" s="1" t="s">
        <v>3084</v>
      </c>
    </row>
    <row r="477" spans="1:5" ht="15" customHeight="1" x14ac:dyDescent="0.25">
      <c r="A477" t="s">
        <v>1295</v>
      </c>
      <c r="B477" t="s">
        <v>2932</v>
      </c>
      <c r="C477">
        <v>2019</v>
      </c>
      <c r="E477" s="1" t="s">
        <v>3014</v>
      </c>
    </row>
    <row r="478" spans="1:5" ht="15" customHeight="1" x14ac:dyDescent="0.25">
      <c r="A478" t="s">
        <v>1295</v>
      </c>
      <c r="B478" t="s">
        <v>2951</v>
      </c>
      <c r="C478">
        <v>2019</v>
      </c>
      <c r="E478" s="1" t="s">
        <v>2983</v>
      </c>
    </row>
    <row r="479" spans="1:5" ht="15" customHeight="1" x14ac:dyDescent="0.25">
      <c r="A479" t="s">
        <v>1303</v>
      </c>
      <c r="B479" t="s">
        <v>394</v>
      </c>
      <c r="C479">
        <v>2023</v>
      </c>
      <c r="E479" s="11" t="s">
        <v>3058</v>
      </c>
    </row>
    <row r="480" spans="1:5" ht="15" customHeight="1" x14ac:dyDescent="0.25">
      <c r="A480" t="s">
        <v>1303</v>
      </c>
      <c r="B480" t="s">
        <v>1349</v>
      </c>
      <c r="C480">
        <v>2023</v>
      </c>
      <c r="E480" s="11" t="s">
        <v>3244</v>
      </c>
    </row>
    <row r="481" spans="1:5" ht="15" customHeight="1" x14ac:dyDescent="0.25">
      <c r="A481" t="s">
        <v>1303</v>
      </c>
      <c r="B481" t="s">
        <v>1464</v>
      </c>
      <c r="C481">
        <v>2023</v>
      </c>
      <c r="E481" s="1" t="s">
        <v>3130</v>
      </c>
    </row>
    <row r="482" spans="1:5" ht="15" customHeight="1" x14ac:dyDescent="0.25">
      <c r="A482" t="s">
        <v>1307</v>
      </c>
      <c r="B482" t="s">
        <v>1311</v>
      </c>
      <c r="C482">
        <v>2014</v>
      </c>
      <c r="E482" s="1"/>
    </row>
    <row r="483" spans="1:5" ht="15" customHeight="1" x14ac:dyDescent="0.25">
      <c r="A483" t="s">
        <v>1307</v>
      </c>
      <c r="B483" t="s">
        <v>1313</v>
      </c>
      <c r="C483">
        <v>2014</v>
      </c>
      <c r="D483" t="s">
        <v>187</v>
      </c>
    </row>
    <row r="484" spans="1:5" ht="15" customHeight="1" x14ac:dyDescent="0.25">
      <c r="A484" t="s">
        <v>1307</v>
      </c>
      <c r="B484" t="s">
        <v>1433</v>
      </c>
      <c r="C484">
        <v>2014</v>
      </c>
      <c r="E484" t="s">
        <v>2983</v>
      </c>
    </row>
    <row r="485" spans="1:5" ht="15" customHeight="1" x14ac:dyDescent="0.25">
      <c r="A485" t="s">
        <v>1366</v>
      </c>
      <c r="B485" t="s">
        <v>1051</v>
      </c>
      <c r="C485">
        <v>2018</v>
      </c>
      <c r="E485" s="1" t="s">
        <v>3105</v>
      </c>
    </row>
    <row r="486" spans="1:5" ht="15" customHeight="1" x14ac:dyDescent="0.25">
      <c r="A486" t="s">
        <v>1366</v>
      </c>
      <c r="B486" t="s">
        <v>1370</v>
      </c>
      <c r="C486">
        <v>2018</v>
      </c>
      <c r="D486" t="s">
        <v>187</v>
      </c>
      <c r="E486" s="1"/>
    </row>
    <row r="487" spans="1:5" ht="15" customHeight="1" x14ac:dyDescent="0.25">
      <c r="A487" t="s">
        <v>1366</v>
      </c>
      <c r="B487" t="s">
        <v>2743</v>
      </c>
      <c r="C487">
        <v>2018</v>
      </c>
      <c r="E487" s="1" t="s">
        <v>2983</v>
      </c>
    </row>
    <row r="488" spans="1:5" ht="15" customHeight="1" x14ac:dyDescent="0.25">
      <c r="A488" t="s">
        <v>1386</v>
      </c>
      <c r="B488" t="s">
        <v>1401</v>
      </c>
      <c r="C488">
        <v>2013</v>
      </c>
      <c r="E488" s="11" t="s">
        <v>2992</v>
      </c>
    </row>
    <row r="489" spans="1:5" ht="15" customHeight="1" x14ac:dyDescent="0.25">
      <c r="A489" t="s">
        <v>1386</v>
      </c>
      <c r="B489" t="s">
        <v>1444</v>
      </c>
      <c r="C489">
        <v>2013</v>
      </c>
      <c r="E489" s="1" t="s">
        <v>3245</v>
      </c>
    </row>
    <row r="490" spans="1:5" ht="15" customHeight="1" x14ac:dyDescent="0.25">
      <c r="A490" t="s">
        <v>1421</v>
      </c>
      <c r="B490" t="s">
        <v>2635</v>
      </c>
      <c r="C490">
        <v>2007</v>
      </c>
      <c r="E490" s="1" t="s">
        <v>3005</v>
      </c>
    </row>
    <row r="491" spans="1:5" ht="15" customHeight="1" x14ac:dyDescent="0.25">
      <c r="A491" t="s">
        <v>1436</v>
      </c>
      <c r="B491" t="s">
        <v>346</v>
      </c>
      <c r="C491">
        <v>2021</v>
      </c>
      <c r="E491" s="1" t="s">
        <v>2983</v>
      </c>
    </row>
    <row r="492" spans="1:5" ht="15" customHeight="1" x14ac:dyDescent="0.25">
      <c r="A492" t="s">
        <v>1436</v>
      </c>
      <c r="B492" t="s">
        <v>428</v>
      </c>
      <c r="C492">
        <v>2021</v>
      </c>
      <c r="E492" s="11" t="s">
        <v>3022</v>
      </c>
    </row>
    <row r="493" spans="1:5" ht="15" customHeight="1" x14ac:dyDescent="0.25">
      <c r="A493" t="s">
        <v>1436</v>
      </c>
      <c r="B493" t="s">
        <v>619</v>
      </c>
      <c r="C493">
        <v>2021</v>
      </c>
      <c r="E493" s="1" t="s">
        <v>3246</v>
      </c>
    </row>
    <row r="494" spans="1:5" ht="15" customHeight="1" x14ac:dyDescent="0.25">
      <c r="A494" t="s">
        <v>1436</v>
      </c>
      <c r="B494" t="s">
        <v>730</v>
      </c>
      <c r="C494">
        <v>2021</v>
      </c>
      <c r="E494" s="1" t="s">
        <v>3027</v>
      </c>
    </row>
    <row r="495" spans="1:5" ht="15" customHeight="1" x14ac:dyDescent="0.25">
      <c r="A495" t="s">
        <v>1436</v>
      </c>
      <c r="B495" t="s">
        <v>864</v>
      </c>
      <c r="C495">
        <v>2021</v>
      </c>
      <c r="E495" s="1" t="s">
        <v>3029</v>
      </c>
    </row>
    <row r="496" spans="1:5" ht="15" customHeight="1" x14ac:dyDescent="0.25">
      <c r="A496" t="s">
        <v>1436</v>
      </c>
      <c r="B496" t="s">
        <v>1138</v>
      </c>
      <c r="C496">
        <v>2021</v>
      </c>
      <c r="E496" s="1" t="s">
        <v>3247</v>
      </c>
    </row>
    <row r="497" spans="1:5" ht="15" customHeight="1" x14ac:dyDescent="0.25">
      <c r="A497" t="s">
        <v>1436</v>
      </c>
      <c r="B497" t="s">
        <v>1433</v>
      </c>
      <c r="C497">
        <v>2021</v>
      </c>
      <c r="E497" t="s">
        <v>2983</v>
      </c>
    </row>
    <row r="498" spans="1:5" ht="15" customHeight="1" x14ac:dyDescent="0.25">
      <c r="A498" t="s">
        <v>1436</v>
      </c>
      <c r="B498" t="s">
        <v>1611</v>
      </c>
      <c r="C498">
        <v>2021</v>
      </c>
      <c r="E498" s="11" t="s">
        <v>3248</v>
      </c>
    </row>
    <row r="499" spans="1:5" ht="15" customHeight="1" x14ac:dyDescent="0.25">
      <c r="A499" t="s">
        <v>1436</v>
      </c>
      <c r="B499" t="s">
        <v>1757</v>
      </c>
      <c r="C499">
        <v>2021</v>
      </c>
      <c r="E499" s="1" t="s">
        <v>2983</v>
      </c>
    </row>
    <row r="500" spans="1:5" ht="15" customHeight="1" x14ac:dyDescent="0.25">
      <c r="A500" t="s">
        <v>1436</v>
      </c>
      <c r="B500" t="s">
        <v>1985</v>
      </c>
      <c r="C500">
        <v>2021</v>
      </c>
      <c r="E500" s="1" t="s">
        <v>3249</v>
      </c>
    </row>
    <row r="501" spans="1:5" ht="15" customHeight="1" x14ac:dyDescent="0.25">
      <c r="A501" t="s">
        <v>1436</v>
      </c>
      <c r="B501" t="s">
        <v>2019</v>
      </c>
      <c r="C501">
        <v>2021</v>
      </c>
      <c r="E501" s="1" t="s">
        <v>3250</v>
      </c>
    </row>
    <row r="502" spans="1:5" ht="15" customHeight="1" x14ac:dyDescent="0.25">
      <c r="A502" t="s">
        <v>1436</v>
      </c>
      <c r="B502" t="s">
        <v>2668</v>
      </c>
      <c r="C502">
        <v>2021</v>
      </c>
      <c r="E502" s="1" t="s">
        <v>2986</v>
      </c>
    </row>
    <row r="503" spans="1:5" ht="15" customHeight="1" x14ac:dyDescent="0.25">
      <c r="A503" t="s">
        <v>1444</v>
      </c>
      <c r="B503" t="s">
        <v>249</v>
      </c>
      <c r="C503">
        <v>2018</v>
      </c>
      <c r="E503" s="1" t="s">
        <v>3251</v>
      </c>
    </row>
    <row r="504" spans="1:5" ht="15" customHeight="1" x14ac:dyDescent="0.25">
      <c r="A504" t="s">
        <v>1444</v>
      </c>
      <c r="B504" t="s">
        <v>276</v>
      </c>
      <c r="C504">
        <v>2018</v>
      </c>
      <c r="E504" t="s">
        <v>3014</v>
      </c>
    </row>
    <row r="505" spans="1:5" ht="15" customHeight="1" x14ac:dyDescent="0.25">
      <c r="A505" t="s">
        <v>1444</v>
      </c>
      <c r="B505" t="s">
        <v>346</v>
      </c>
      <c r="C505">
        <v>2018</v>
      </c>
      <c r="E505" s="1" t="s">
        <v>3252</v>
      </c>
    </row>
    <row r="506" spans="1:5" ht="15" customHeight="1" x14ac:dyDescent="0.25">
      <c r="A506" t="s">
        <v>1444</v>
      </c>
      <c r="B506" t="s">
        <v>561</v>
      </c>
      <c r="C506">
        <v>2018</v>
      </c>
      <c r="E506" t="s">
        <v>2983</v>
      </c>
    </row>
    <row r="507" spans="1:5" ht="15" customHeight="1" x14ac:dyDescent="0.25">
      <c r="A507" t="s">
        <v>1444</v>
      </c>
      <c r="B507" t="s">
        <v>671</v>
      </c>
      <c r="C507">
        <v>2018</v>
      </c>
      <c r="E507" s="1" t="s">
        <v>2983</v>
      </c>
    </row>
    <row r="508" spans="1:5" ht="15" customHeight="1" x14ac:dyDescent="0.25">
      <c r="A508" t="s">
        <v>1444</v>
      </c>
      <c r="B508" t="s">
        <v>771</v>
      </c>
      <c r="C508">
        <v>2018</v>
      </c>
      <c r="E508" s="11" t="s">
        <v>3253</v>
      </c>
    </row>
    <row r="509" spans="1:5" ht="15" customHeight="1" x14ac:dyDescent="0.25">
      <c r="A509" t="s">
        <v>1444</v>
      </c>
      <c r="B509" t="s">
        <v>786</v>
      </c>
      <c r="C509">
        <v>2018</v>
      </c>
      <c r="E509" s="1" t="s">
        <v>2983</v>
      </c>
    </row>
    <row r="510" spans="1:5" ht="15" customHeight="1" x14ac:dyDescent="0.25">
      <c r="A510" t="s">
        <v>1444</v>
      </c>
      <c r="B510" t="s">
        <v>866</v>
      </c>
      <c r="C510">
        <v>2018</v>
      </c>
      <c r="E510" s="1" t="s">
        <v>3206</v>
      </c>
    </row>
    <row r="511" spans="1:5" ht="15" customHeight="1" x14ac:dyDescent="0.25">
      <c r="A511" t="s">
        <v>1444</v>
      </c>
      <c r="B511" t="s">
        <v>972</v>
      </c>
      <c r="C511">
        <v>2018</v>
      </c>
      <c r="E511" t="s">
        <v>2983</v>
      </c>
    </row>
    <row r="512" spans="1:5" ht="15" customHeight="1" x14ac:dyDescent="0.25">
      <c r="A512" t="s">
        <v>1444</v>
      </c>
      <c r="B512" t="s">
        <v>1090</v>
      </c>
      <c r="C512">
        <v>2018</v>
      </c>
      <c r="E512" s="1" t="s">
        <v>3254</v>
      </c>
    </row>
    <row r="513" spans="1:5" ht="15" customHeight="1" x14ac:dyDescent="0.25">
      <c r="A513" t="s">
        <v>1444</v>
      </c>
      <c r="B513" t="s">
        <v>1109</v>
      </c>
      <c r="C513">
        <v>2018</v>
      </c>
      <c r="E513" s="11" t="s">
        <v>3255</v>
      </c>
    </row>
    <row r="514" spans="1:5" ht="15" customHeight="1" x14ac:dyDescent="0.25">
      <c r="A514" t="s">
        <v>1444</v>
      </c>
      <c r="B514" t="s">
        <v>1611</v>
      </c>
      <c r="C514">
        <v>2018</v>
      </c>
      <c r="E514" s="11" t="s">
        <v>3248</v>
      </c>
    </row>
    <row r="515" spans="1:5" ht="15" customHeight="1" x14ac:dyDescent="0.25">
      <c r="A515" t="s">
        <v>1444</v>
      </c>
      <c r="B515" t="s">
        <v>1638</v>
      </c>
      <c r="C515">
        <v>2018</v>
      </c>
      <c r="E515" s="1" t="s">
        <v>3256</v>
      </c>
    </row>
    <row r="516" spans="1:5" ht="15" customHeight="1" x14ac:dyDescent="0.25">
      <c r="A516" t="s">
        <v>1444</v>
      </c>
      <c r="B516" t="s">
        <v>1948</v>
      </c>
      <c r="C516">
        <v>2018</v>
      </c>
      <c r="E516" s="1" t="s">
        <v>3257</v>
      </c>
    </row>
    <row r="517" spans="1:5" ht="15" customHeight="1" x14ac:dyDescent="0.25">
      <c r="A517" t="s">
        <v>1444</v>
      </c>
      <c r="B517" t="s">
        <v>2188</v>
      </c>
      <c r="C517">
        <v>2018</v>
      </c>
      <c r="E517" s="11" t="s">
        <v>3018</v>
      </c>
    </row>
    <row r="518" spans="1:5" ht="15" customHeight="1" x14ac:dyDescent="0.25">
      <c r="A518" t="s">
        <v>1444</v>
      </c>
      <c r="B518" t="s">
        <v>2319</v>
      </c>
      <c r="C518">
        <v>2018</v>
      </c>
      <c r="E518" s="1" t="s">
        <v>3090</v>
      </c>
    </row>
    <row r="519" spans="1:5" ht="15" customHeight="1" x14ac:dyDescent="0.25">
      <c r="A519" t="s">
        <v>1444</v>
      </c>
      <c r="B519" t="s">
        <v>2415</v>
      </c>
      <c r="C519">
        <v>2018</v>
      </c>
      <c r="E519" s="1" t="s">
        <v>3258</v>
      </c>
    </row>
    <row r="520" spans="1:5" ht="15" customHeight="1" x14ac:dyDescent="0.25">
      <c r="A520" t="s">
        <v>1444</v>
      </c>
      <c r="B520" t="s">
        <v>2547</v>
      </c>
      <c r="C520">
        <v>2018</v>
      </c>
      <c r="E520" s="1" t="s">
        <v>2983</v>
      </c>
    </row>
    <row r="521" spans="1:5" ht="15" customHeight="1" x14ac:dyDescent="0.25">
      <c r="A521" t="s">
        <v>1444</v>
      </c>
      <c r="B521" t="s">
        <v>2649</v>
      </c>
      <c r="C521">
        <v>2018</v>
      </c>
      <c r="E521" s="1" t="s">
        <v>3057</v>
      </c>
    </row>
    <row r="522" spans="1:5" ht="15" customHeight="1" x14ac:dyDescent="0.25">
      <c r="A522" t="s">
        <v>1444</v>
      </c>
      <c r="B522" t="s">
        <v>2660</v>
      </c>
      <c r="C522">
        <v>2018</v>
      </c>
      <c r="E522" s="1" t="s">
        <v>3259</v>
      </c>
    </row>
    <row r="523" spans="1:5" ht="15" customHeight="1" x14ac:dyDescent="0.25">
      <c r="A523" t="s">
        <v>1455</v>
      </c>
      <c r="B523" t="s">
        <v>540</v>
      </c>
      <c r="C523">
        <v>2001</v>
      </c>
      <c r="E523" s="11" t="s">
        <v>3260</v>
      </c>
    </row>
    <row r="524" spans="1:5" ht="15" customHeight="1" x14ac:dyDescent="0.25">
      <c r="A524" t="s">
        <v>1461</v>
      </c>
      <c r="B524" t="s">
        <v>1458</v>
      </c>
      <c r="C524">
        <v>2006</v>
      </c>
      <c r="D524" t="s">
        <v>187</v>
      </c>
      <c r="E524" s="1"/>
    </row>
    <row r="525" spans="1:5" ht="15" customHeight="1" x14ac:dyDescent="0.25">
      <c r="A525" t="s">
        <v>1497</v>
      </c>
      <c r="B525" t="s">
        <v>905</v>
      </c>
      <c r="C525">
        <v>2016</v>
      </c>
      <c r="E525" s="1" t="s">
        <v>2983</v>
      </c>
    </row>
    <row r="526" spans="1:5" ht="15" customHeight="1" x14ac:dyDescent="0.25">
      <c r="A526" t="s">
        <v>1497</v>
      </c>
      <c r="B526" t="s">
        <v>953</v>
      </c>
      <c r="C526">
        <v>2016</v>
      </c>
      <c r="E526" s="1" t="s">
        <v>3261</v>
      </c>
    </row>
    <row r="527" spans="1:5" ht="15" customHeight="1" x14ac:dyDescent="0.25">
      <c r="A527" t="s">
        <v>1497</v>
      </c>
      <c r="B527" t="s">
        <v>2062</v>
      </c>
      <c r="C527">
        <v>2016</v>
      </c>
      <c r="E527" s="1" t="s">
        <v>3014</v>
      </c>
    </row>
    <row r="528" spans="1:5" ht="15" customHeight="1" x14ac:dyDescent="0.25">
      <c r="A528" t="s">
        <v>1517</v>
      </c>
      <c r="B528" t="s">
        <v>1880</v>
      </c>
      <c r="C528">
        <v>2024</v>
      </c>
      <c r="D528" t="s">
        <v>187</v>
      </c>
    </row>
    <row r="529" spans="1:5" ht="15" customHeight="1" x14ac:dyDescent="0.25">
      <c r="A529" t="s">
        <v>1539</v>
      </c>
      <c r="B529" t="s">
        <v>965</v>
      </c>
      <c r="C529">
        <v>1995</v>
      </c>
      <c r="E529" s="1" t="s">
        <v>3262</v>
      </c>
    </row>
    <row r="530" spans="1:5" ht="15" customHeight="1" x14ac:dyDescent="0.25">
      <c r="A530" t="s">
        <v>1539</v>
      </c>
      <c r="B530" t="s">
        <v>1142</v>
      </c>
      <c r="C530">
        <v>1995</v>
      </c>
      <c r="E530" s="11" t="s">
        <v>2990</v>
      </c>
    </row>
    <row r="531" spans="1:5" ht="15" customHeight="1" x14ac:dyDescent="0.25">
      <c r="A531" t="s">
        <v>1539</v>
      </c>
      <c r="B531" t="s">
        <v>2024</v>
      </c>
      <c r="C531">
        <v>1995</v>
      </c>
      <c r="E531" s="11" t="s">
        <v>2995</v>
      </c>
    </row>
    <row r="532" spans="1:5" ht="15" customHeight="1" x14ac:dyDescent="0.25">
      <c r="A532" t="s">
        <v>1539</v>
      </c>
      <c r="B532" t="s">
        <v>2490</v>
      </c>
      <c r="C532">
        <v>1995</v>
      </c>
      <c r="E532" s="1" t="s">
        <v>3263</v>
      </c>
    </row>
    <row r="533" spans="1:5" ht="15" customHeight="1" x14ac:dyDescent="0.25">
      <c r="A533" t="s">
        <v>1550</v>
      </c>
      <c r="B533" t="s">
        <v>2240</v>
      </c>
      <c r="C533">
        <v>2021</v>
      </c>
      <c r="E533" s="11" t="s">
        <v>2242</v>
      </c>
    </row>
    <row r="534" spans="1:5" ht="15" customHeight="1" x14ac:dyDescent="0.25">
      <c r="A534" t="s">
        <v>1550</v>
      </c>
      <c r="B534" t="s">
        <v>2515</v>
      </c>
      <c r="C534">
        <v>2021</v>
      </c>
      <c r="E534" s="1" t="s">
        <v>3178</v>
      </c>
    </row>
    <row r="535" spans="1:5" ht="15" customHeight="1" x14ac:dyDescent="0.25">
      <c r="A535" t="s">
        <v>1550</v>
      </c>
      <c r="B535" t="s">
        <v>2897</v>
      </c>
      <c r="C535">
        <v>2021</v>
      </c>
      <c r="E535" s="1" t="s">
        <v>3264</v>
      </c>
    </row>
    <row r="536" spans="1:5" ht="15" customHeight="1" x14ac:dyDescent="0.25">
      <c r="A536" t="s">
        <v>1566</v>
      </c>
      <c r="B536" t="s">
        <v>2370</v>
      </c>
      <c r="C536">
        <v>2023</v>
      </c>
      <c r="E536" s="11" t="s">
        <v>3265</v>
      </c>
    </row>
    <row r="537" spans="1:5" ht="15" customHeight="1" x14ac:dyDescent="0.25">
      <c r="A537" t="s">
        <v>1573</v>
      </c>
      <c r="B537" t="s">
        <v>1408</v>
      </c>
      <c r="C537">
        <v>2001</v>
      </c>
      <c r="E537" s="1" t="s">
        <v>3174</v>
      </c>
    </row>
    <row r="538" spans="1:5" ht="15" customHeight="1" x14ac:dyDescent="0.25">
      <c r="A538" t="s">
        <v>1577</v>
      </c>
      <c r="B538" t="s">
        <v>346</v>
      </c>
      <c r="C538">
        <v>2021</v>
      </c>
      <c r="E538" s="1" t="s">
        <v>2983</v>
      </c>
    </row>
    <row r="539" spans="1:5" ht="15" customHeight="1" x14ac:dyDescent="0.25">
      <c r="A539" t="s">
        <v>1577</v>
      </c>
      <c r="B539" t="s">
        <v>353</v>
      </c>
      <c r="C539">
        <v>2021</v>
      </c>
      <c r="E539" s="1" t="s">
        <v>3266</v>
      </c>
    </row>
    <row r="540" spans="1:5" ht="15" customHeight="1" x14ac:dyDescent="0.25">
      <c r="A540" t="s">
        <v>1577</v>
      </c>
      <c r="B540" t="s">
        <v>364</v>
      </c>
      <c r="C540">
        <v>2021</v>
      </c>
      <c r="E540" s="1" t="s">
        <v>2983</v>
      </c>
    </row>
    <row r="541" spans="1:5" ht="15" customHeight="1" x14ac:dyDescent="0.25">
      <c r="A541" t="s">
        <v>1577</v>
      </c>
      <c r="B541" t="s">
        <v>421</v>
      </c>
      <c r="C541">
        <v>2021</v>
      </c>
      <c r="E541" s="1" t="s">
        <v>2983</v>
      </c>
    </row>
    <row r="542" spans="1:5" ht="15" customHeight="1" x14ac:dyDescent="0.25">
      <c r="A542" t="s">
        <v>1577</v>
      </c>
      <c r="B542" t="s">
        <v>493</v>
      </c>
      <c r="C542">
        <v>2021</v>
      </c>
      <c r="E542" s="1" t="s">
        <v>2983</v>
      </c>
    </row>
    <row r="543" spans="1:5" ht="15" customHeight="1" x14ac:dyDescent="0.25">
      <c r="A543" t="s">
        <v>1577</v>
      </c>
      <c r="B543" t="s">
        <v>528</v>
      </c>
      <c r="C543">
        <v>2021</v>
      </c>
      <c r="E543" s="1" t="s">
        <v>3267</v>
      </c>
    </row>
    <row r="544" spans="1:5" ht="15" customHeight="1" x14ac:dyDescent="0.25">
      <c r="A544" t="s">
        <v>1577</v>
      </c>
      <c r="B544" t="s">
        <v>667</v>
      </c>
      <c r="C544">
        <v>2021</v>
      </c>
      <c r="E544" s="1" t="s">
        <v>2983</v>
      </c>
    </row>
    <row r="545" spans="1:5" ht="15" customHeight="1" x14ac:dyDescent="0.25">
      <c r="A545" t="s">
        <v>1577</v>
      </c>
      <c r="B545" t="s">
        <v>717</v>
      </c>
      <c r="C545">
        <v>2021</v>
      </c>
      <c r="E545" s="11" t="s">
        <v>3268</v>
      </c>
    </row>
    <row r="546" spans="1:5" ht="15" customHeight="1" x14ac:dyDescent="0.25">
      <c r="A546" t="s">
        <v>1577</v>
      </c>
      <c r="B546" t="s">
        <v>897</v>
      </c>
      <c r="C546">
        <v>2021</v>
      </c>
      <c r="E546" s="1" t="s">
        <v>3269</v>
      </c>
    </row>
    <row r="547" spans="1:5" ht="15" customHeight="1" x14ac:dyDescent="0.25">
      <c r="A547" t="s">
        <v>1577</v>
      </c>
      <c r="B547" t="s">
        <v>989</v>
      </c>
      <c r="C547">
        <v>2021</v>
      </c>
      <c r="E547" s="1" t="s">
        <v>2983</v>
      </c>
    </row>
    <row r="548" spans="1:5" ht="15" customHeight="1" x14ac:dyDescent="0.25">
      <c r="A548" t="s">
        <v>1577</v>
      </c>
      <c r="B548" t="s">
        <v>1039</v>
      </c>
      <c r="C548">
        <v>2021</v>
      </c>
      <c r="E548" s="1" t="s">
        <v>3014</v>
      </c>
    </row>
    <row r="549" spans="1:5" ht="15" customHeight="1" x14ac:dyDescent="0.25">
      <c r="A549" t="s">
        <v>1577</v>
      </c>
      <c r="B549" t="s">
        <v>1581</v>
      </c>
      <c r="C549">
        <v>2021</v>
      </c>
      <c r="E549" s="1" t="s">
        <v>3014</v>
      </c>
    </row>
    <row r="550" spans="1:5" ht="15" customHeight="1" x14ac:dyDescent="0.25">
      <c r="A550" t="s">
        <v>1577</v>
      </c>
      <c r="B550" t="s">
        <v>1812</v>
      </c>
      <c r="C550">
        <v>2021</v>
      </c>
      <c r="E550" s="1" t="s">
        <v>2983</v>
      </c>
    </row>
    <row r="551" spans="1:5" ht="15" customHeight="1" x14ac:dyDescent="0.25">
      <c r="A551" t="s">
        <v>1577</v>
      </c>
      <c r="B551" t="s">
        <v>1894</v>
      </c>
      <c r="C551">
        <v>2021</v>
      </c>
      <c r="E551" s="1" t="s">
        <v>3037</v>
      </c>
    </row>
    <row r="552" spans="1:5" ht="15" customHeight="1" x14ac:dyDescent="0.25">
      <c r="A552" t="s">
        <v>1577</v>
      </c>
      <c r="B552" t="s">
        <v>1981</v>
      </c>
      <c r="C552">
        <v>2021</v>
      </c>
      <c r="E552" s="1" t="s">
        <v>3270</v>
      </c>
    </row>
    <row r="553" spans="1:5" ht="15" customHeight="1" x14ac:dyDescent="0.25">
      <c r="A553" t="s">
        <v>1577</v>
      </c>
      <c r="B553" t="s">
        <v>2223</v>
      </c>
      <c r="C553">
        <v>2021</v>
      </c>
      <c r="E553" s="11" t="s">
        <v>3044</v>
      </c>
    </row>
    <row r="554" spans="1:5" ht="15" customHeight="1" x14ac:dyDescent="0.25">
      <c r="A554" t="s">
        <v>1577</v>
      </c>
      <c r="B554" t="s">
        <v>2233</v>
      </c>
      <c r="C554">
        <v>2021</v>
      </c>
      <c r="E554" s="1" t="s">
        <v>3271</v>
      </c>
    </row>
    <row r="555" spans="1:5" ht="15" customHeight="1" x14ac:dyDescent="0.25">
      <c r="A555" t="s">
        <v>1577</v>
      </c>
      <c r="B555" t="s">
        <v>2370</v>
      </c>
      <c r="C555">
        <v>2021</v>
      </c>
      <c r="E555" s="11" t="s">
        <v>3265</v>
      </c>
    </row>
    <row r="556" spans="1:5" ht="15" customHeight="1" x14ac:dyDescent="0.25">
      <c r="A556" t="s">
        <v>1577</v>
      </c>
      <c r="B556" t="s">
        <v>2432</v>
      </c>
      <c r="C556">
        <v>2021</v>
      </c>
      <c r="E556" s="1" t="s">
        <v>2983</v>
      </c>
    </row>
    <row r="557" spans="1:5" ht="15" customHeight="1" x14ac:dyDescent="0.25">
      <c r="A557" t="s">
        <v>1577</v>
      </c>
      <c r="B557" t="s">
        <v>2476</v>
      </c>
      <c r="C557">
        <v>2021</v>
      </c>
      <c r="E557" s="1" t="s">
        <v>3051</v>
      </c>
    </row>
    <row r="558" spans="1:5" ht="15" customHeight="1" x14ac:dyDescent="0.25">
      <c r="A558" t="s">
        <v>1577</v>
      </c>
      <c r="B558" t="s">
        <v>2523</v>
      </c>
      <c r="C558">
        <v>2021</v>
      </c>
      <c r="E558" s="1" t="s">
        <v>3272</v>
      </c>
    </row>
    <row r="559" spans="1:5" ht="15" customHeight="1" x14ac:dyDescent="0.25">
      <c r="A559" t="s">
        <v>1593</v>
      </c>
      <c r="B559" t="s">
        <v>2805</v>
      </c>
      <c r="C559">
        <v>2019</v>
      </c>
      <c r="E559" s="1" t="s">
        <v>3273</v>
      </c>
    </row>
    <row r="560" spans="1:5" ht="15" customHeight="1" x14ac:dyDescent="0.25">
      <c r="A560" t="s">
        <v>1595</v>
      </c>
      <c r="B560" t="s">
        <v>319</v>
      </c>
      <c r="C560">
        <v>2023</v>
      </c>
      <c r="E560" s="1" t="s">
        <v>2983</v>
      </c>
    </row>
    <row r="561" spans="1:5" ht="15" customHeight="1" x14ac:dyDescent="0.25">
      <c r="A561" t="s">
        <v>1656</v>
      </c>
      <c r="B561" t="s">
        <v>1533</v>
      </c>
      <c r="C561">
        <v>2024</v>
      </c>
      <c r="D561" t="s">
        <v>187</v>
      </c>
      <c r="E561" s="1"/>
    </row>
    <row r="562" spans="1:5" ht="15" customHeight="1" x14ac:dyDescent="0.25">
      <c r="A562" t="s">
        <v>1660</v>
      </c>
      <c r="B562" t="s">
        <v>2732</v>
      </c>
      <c r="C562">
        <v>2012</v>
      </c>
      <c r="D562" t="s">
        <v>187</v>
      </c>
    </row>
    <row r="563" spans="1:5" ht="15" customHeight="1" x14ac:dyDescent="0.25">
      <c r="A563" t="s">
        <v>1662</v>
      </c>
      <c r="B563" t="s">
        <v>1158</v>
      </c>
      <c r="C563">
        <v>2011</v>
      </c>
      <c r="D563" t="s">
        <v>187</v>
      </c>
    </row>
    <row r="564" spans="1:5" ht="15" customHeight="1" x14ac:dyDescent="0.25">
      <c r="A564" t="s">
        <v>1662</v>
      </c>
      <c r="B564" t="s">
        <v>1660</v>
      </c>
      <c r="C564">
        <v>2011</v>
      </c>
      <c r="D564" t="s">
        <v>187</v>
      </c>
    </row>
    <row r="565" spans="1:5" ht="15" customHeight="1" x14ac:dyDescent="0.25">
      <c r="A565" t="s">
        <v>1677</v>
      </c>
      <c r="B565" t="s">
        <v>972</v>
      </c>
      <c r="C565">
        <v>2002</v>
      </c>
      <c r="E565" t="s">
        <v>2983</v>
      </c>
    </row>
    <row r="566" spans="1:5" ht="15" customHeight="1" x14ac:dyDescent="0.25">
      <c r="A566" t="s">
        <v>1677</v>
      </c>
      <c r="B566" t="s">
        <v>1680</v>
      </c>
      <c r="C566">
        <v>2002</v>
      </c>
      <c r="D566" t="s">
        <v>187</v>
      </c>
    </row>
    <row r="567" spans="1:5" ht="15" customHeight="1" x14ac:dyDescent="0.25">
      <c r="A567" t="s">
        <v>1683</v>
      </c>
      <c r="B567" t="s">
        <v>1685</v>
      </c>
      <c r="C567">
        <v>2022</v>
      </c>
      <c r="D567" t="s">
        <v>187</v>
      </c>
      <c r="E567" s="1"/>
    </row>
    <row r="568" spans="1:5" ht="15" customHeight="1" x14ac:dyDescent="0.25">
      <c r="A568" t="s">
        <v>1687</v>
      </c>
      <c r="B568" t="s">
        <v>795</v>
      </c>
      <c r="C568">
        <v>2017</v>
      </c>
      <c r="E568" s="1" t="s">
        <v>3101</v>
      </c>
    </row>
    <row r="569" spans="1:5" ht="15" customHeight="1" x14ac:dyDescent="0.25">
      <c r="A569" t="s">
        <v>1691</v>
      </c>
      <c r="B569" t="s">
        <v>673</v>
      </c>
      <c r="C569">
        <v>2020</v>
      </c>
      <c r="E569" s="1" t="s">
        <v>2983</v>
      </c>
    </row>
    <row r="570" spans="1:5" ht="15" customHeight="1" x14ac:dyDescent="0.25">
      <c r="A570" t="s">
        <v>1691</v>
      </c>
      <c r="B570" t="s">
        <v>864</v>
      </c>
      <c r="C570">
        <v>2020</v>
      </c>
      <c r="E570" s="1" t="s">
        <v>3029</v>
      </c>
    </row>
    <row r="571" spans="1:5" ht="15" customHeight="1" x14ac:dyDescent="0.25">
      <c r="A571" t="s">
        <v>1691</v>
      </c>
      <c r="B571" t="s">
        <v>866</v>
      </c>
      <c r="C571">
        <v>2020</v>
      </c>
      <c r="E571" s="1" t="s">
        <v>3206</v>
      </c>
    </row>
    <row r="572" spans="1:5" ht="15" customHeight="1" x14ac:dyDescent="0.25">
      <c r="A572" t="s">
        <v>1691</v>
      </c>
      <c r="B572" t="s">
        <v>1429</v>
      </c>
      <c r="C572">
        <v>2020</v>
      </c>
      <c r="D572" t="s">
        <v>187</v>
      </c>
    </row>
    <row r="573" spans="1:5" ht="15" customHeight="1" x14ac:dyDescent="0.25">
      <c r="A573" t="s">
        <v>1691</v>
      </c>
      <c r="B573" t="s">
        <v>1436</v>
      </c>
      <c r="C573">
        <v>2020</v>
      </c>
      <c r="E573" s="11" t="s">
        <v>3274</v>
      </c>
    </row>
    <row r="574" spans="1:5" ht="15" customHeight="1" x14ac:dyDescent="0.25">
      <c r="A574" t="s">
        <v>1691</v>
      </c>
      <c r="B574" t="s">
        <v>1611</v>
      </c>
      <c r="C574">
        <v>2020</v>
      </c>
      <c r="E574" s="11" t="s">
        <v>3248</v>
      </c>
    </row>
    <row r="575" spans="1:5" ht="15" customHeight="1" x14ac:dyDescent="0.25">
      <c r="A575" t="s">
        <v>1691</v>
      </c>
      <c r="B575" t="s">
        <v>1695</v>
      </c>
      <c r="C575">
        <v>2020</v>
      </c>
      <c r="D575" t="s">
        <v>187</v>
      </c>
      <c r="E575" s="1"/>
    </row>
    <row r="576" spans="1:5" ht="15" customHeight="1" x14ac:dyDescent="0.25">
      <c r="A576" t="s">
        <v>1691</v>
      </c>
      <c r="B576" t="s">
        <v>2159</v>
      </c>
      <c r="C576">
        <v>2020</v>
      </c>
      <c r="E576" s="1" t="s">
        <v>2984</v>
      </c>
    </row>
    <row r="577" spans="1:5" ht="15" customHeight="1" x14ac:dyDescent="0.25">
      <c r="A577" t="s">
        <v>1691</v>
      </c>
      <c r="B577" t="s">
        <v>2289</v>
      </c>
      <c r="C577">
        <v>2020</v>
      </c>
      <c r="E577" s="1" t="s">
        <v>2983</v>
      </c>
    </row>
    <row r="578" spans="1:5" ht="15" customHeight="1" x14ac:dyDescent="0.25">
      <c r="A578" t="s">
        <v>1691</v>
      </c>
      <c r="B578" t="s">
        <v>2668</v>
      </c>
      <c r="C578">
        <v>2020</v>
      </c>
      <c r="E578" s="1" t="s">
        <v>2986</v>
      </c>
    </row>
    <row r="579" spans="1:5" ht="15" customHeight="1" x14ac:dyDescent="0.25">
      <c r="A579" t="s">
        <v>1691</v>
      </c>
      <c r="B579" t="s">
        <v>2739</v>
      </c>
      <c r="C579">
        <v>2020</v>
      </c>
      <c r="E579" s="1" t="s">
        <v>2983</v>
      </c>
    </row>
    <row r="580" spans="1:5" ht="15" customHeight="1" x14ac:dyDescent="0.25">
      <c r="A580" t="s">
        <v>1691</v>
      </c>
      <c r="B580" t="s">
        <v>2891</v>
      </c>
      <c r="C580">
        <v>2020</v>
      </c>
      <c r="E580" s="1" t="s">
        <v>3078</v>
      </c>
    </row>
    <row r="581" spans="1:5" ht="15" customHeight="1" x14ac:dyDescent="0.25">
      <c r="A581" t="s">
        <v>1708</v>
      </c>
      <c r="B581" t="s">
        <v>469</v>
      </c>
      <c r="C581">
        <v>2016</v>
      </c>
      <c r="D581" t="s">
        <v>187</v>
      </c>
      <c r="E581" s="1"/>
    </row>
    <row r="582" spans="1:5" ht="15" customHeight="1" x14ac:dyDescent="0.25">
      <c r="A582" t="s">
        <v>1714</v>
      </c>
      <c r="B582" t="s">
        <v>1607</v>
      </c>
      <c r="C582">
        <v>2018</v>
      </c>
      <c r="E582" s="11" t="s">
        <v>3236</v>
      </c>
    </row>
    <row r="583" spans="1:5" ht="15" customHeight="1" x14ac:dyDescent="0.25">
      <c r="A583" t="s">
        <v>1714</v>
      </c>
      <c r="B583" t="s">
        <v>1718</v>
      </c>
      <c r="C583">
        <v>2018</v>
      </c>
      <c r="D583" t="s">
        <v>187</v>
      </c>
      <c r="E583" s="1"/>
    </row>
    <row r="584" spans="1:5" ht="15" customHeight="1" x14ac:dyDescent="0.25">
      <c r="A584" t="s">
        <v>1726</v>
      </c>
      <c r="B584" t="s">
        <v>260</v>
      </c>
      <c r="C584">
        <v>1983</v>
      </c>
      <c r="E584" s="1" t="s">
        <v>3275</v>
      </c>
    </row>
    <row r="585" spans="1:5" ht="15" customHeight="1" x14ac:dyDescent="0.25">
      <c r="A585" t="s">
        <v>1726</v>
      </c>
      <c r="B585" t="s">
        <v>848</v>
      </c>
      <c r="C585">
        <v>1983</v>
      </c>
      <c r="E585" s="11" t="s">
        <v>3003</v>
      </c>
    </row>
    <row r="586" spans="1:5" ht="15" customHeight="1" x14ac:dyDescent="0.25">
      <c r="A586" t="s">
        <v>1726</v>
      </c>
      <c r="B586" t="s">
        <v>2024</v>
      </c>
      <c r="C586">
        <v>1983</v>
      </c>
      <c r="E586" s="11" t="s">
        <v>2995</v>
      </c>
    </row>
    <row r="587" spans="1:5" ht="15" customHeight="1" x14ac:dyDescent="0.25">
      <c r="A587" t="s">
        <v>1739</v>
      </c>
      <c r="B587" t="s">
        <v>1743</v>
      </c>
      <c r="C587">
        <v>2018</v>
      </c>
      <c r="D587" t="s">
        <v>187</v>
      </c>
      <c r="E587" s="1"/>
    </row>
    <row r="588" spans="1:5" ht="15" customHeight="1" x14ac:dyDescent="0.25">
      <c r="A588" t="s">
        <v>1747</v>
      </c>
      <c r="B588" t="s">
        <v>1158</v>
      </c>
      <c r="C588">
        <v>2011</v>
      </c>
      <c r="D588" t="s">
        <v>187</v>
      </c>
    </row>
    <row r="589" spans="1:5" ht="15" customHeight="1" x14ac:dyDescent="0.25">
      <c r="A589" t="s">
        <v>1753</v>
      </c>
      <c r="B589" t="s">
        <v>1562</v>
      </c>
      <c r="C589">
        <v>2021</v>
      </c>
      <c r="E589" s="1" t="s">
        <v>3276</v>
      </c>
    </row>
    <row r="590" spans="1:5" ht="15" customHeight="1" x14ac:dyDescent="0.25">
      <c r="A590" t="s">
        <v>1762</v>
      </c>
      <c r="B590" t="s">
        <v>178</v>
      </c>
      <c r="C590">
        <v>1995</v>
      </c>
      <c r="E590" s="1" t="s">
        <v>3277</v>
      </c>
    </row>
    <row r="591" spans="1:5" ht="15" customHeight="1" x14ac:dyDescent="0.25">
      <c r="A591" t="s">
        <v>1762</v>
      </c>
      <c r="B591" t="s">
        <v>972</v>
      </c>
      <c r="C591">
        <v>1995</v>
      </c>
      <c r="E591" t="s">
        <v>2983</v>
      </c>
    </row>
    <row r="592" spans="1:5" ht="15" customHeight="1" x14ac:dyDescent="0.25">
      <c r="A592" t="s">
        <v>1762</v>
      </c>
      <c r="B592" t="s">
        <v>1389</v>
      </c>
      <c r="C592">
        <v>1995</v>
      </c>
      <c r="E592" s="1" t="s">
        <v>3278</v>
      </c>
    </row>
    <row r="593" spans="1:5" ht="15" customHeight="1" x14ac:dyDescent="0.25">
      <c r="A593" t="s">
        <v>1762</v>
      </c>
      <c r="B593" t="s">
        <v>1900</v>
      </c>
      <c r="C593">
        <v>1995</v>
      </c>
      <c r="E593" s="11" t="s">
        <v>3279</v>
      </c>
    </row>
    <row r="594" spans="1:5" ht="15" customHeight="1" x14ac:dyDescent="0.25">
      <c r="A594" t="s">
        <v>1762</v>
      </c>
      <c r="B594" t="s">
        <v>2296</v>
      </c>
      <c r="C594">
        <v>1995</v>
      </c>
      <c r="D594" t="s">
        <v>187</v>
      </c>
      <c r="E594" s="1"/>
    </row>
    <row r="595" spans="1:5" ht="15" customHeight="1" x14ac:dyDescent="0.25">
      <c r="A595" t="s">
        <v>1762</v>
      </c>
      <c r="B595" t="s">
        <v>2305</v>
      </c>
      <c r="C595">
        <v>1995</v>
      </c>
      <c r="D595" t="s">
        <v>187</v>
      </c>
      <c r="E595" s="1"/>
    </row>
    <row r="596" spans="1:5" ht="15" customHeight="1" x14ac:dyDescent="0.25">
      <c r="A596" t="s">
        <v>1762</v>
      </c>
      <c r="B596" t="s">
        <v>2370</v>
      </c>
      <c r="C596">
        <v>1995</v>
      </c>
      <c r="E596" s="11" t="s">
        <v>3265</v>
      </c>
    </row>
    <row r="597" spans="1:5" ht="15" customHeight="1" x14ac:dyDescent="0.25">
      <c r="A597" t="s">
        <v>1762</v>
      </c>
      <c r="B597" t="s">
        <v>2579</v>
      </c>
      <c r="C597">
        <v>1995</v>
      </c>
      <c r="E597" s="1" t="s">
        <v>3280</v>
      </c>
    </row>
    <row r="598" spans="1:5" ht="15" customHeight="1" x14ac:dyDescent="0.25">
      <c r="A598" t="s">
        <v>1780</v>
      </c>
      <c r="B598" t="s">
        <v>394</v>
      </c>
      <c r="C598">
        <v>2022</v>
      </c>
      <c r="E598" s="11" t="s">
        <v>3058</v>
      </c>
    </row>
    <row r="599" spans="1:5" ht="15" customHeight="1" x14ac:dyDescent="0.25">
      <c r="A599" t="s">
        <v>1780</v>
      </c>
      <c r="B599" t="s">
        <v>1784</v>
      </c>
      <c r="C599">
        <v>2022</v>
      </c>
      <c r="D599" t="s">
        <v>187</v>
      </c>
      <c r="E599" s="1"/>
    </row>
    <row r="600" spans="1:5" ht="15" customHeight="1" x14ac:dyDescent="0.25">
      <c r="A600" t="s">
        <v>1788</v>
      </c>
      <c r="B600" t="s">
        <v>1792</v>
      </c>
      <c r="C600">
        <v>2019</v>
      </c>
      <c r="D600" t="s">
        <v>187</v>
      </c>
      <c r="E600" s="1"/>
    </row>
    <row r="601" spans="1:5" ht="15" customHeight="1" x14ac:dyDescent="0.25">
      <c r="A601" t="s">
        <v>1796</v>
      </c>
      <c r="B601" t="s">
        <v>375</v>
      </c>
      <c r="C601">
        <v>1987</v>
      </c>
      <c r="E601" s="1" t="s">
        <v>3281</v>
      </c>
    </row>
    <row r="602" spans="1:5" ht="15" customHeight="1" x14ac:dyDescent="0.25">
      <c r="A602" t="s">
        <v>1796</v>
      </c>
      <c r="B602" t="s">
        <v>807</v>
      </c>
      <c r="C602">
        <v>1987</v>
      </c>
      <c r="E602" s="1" t="s">
        <v>3282</v>
      </c>
    </row>
    <row r="603" spans="1:5" ht="15" customHeight="1" x14ac:dyDescent="0.25">
      <c r="A603" t="s">
        <v>1796</v>
      </c>
      <c r="B603" t="s">
        <v>848</v>
      </c>
      <c r="C603">
        <v>1987</v>
      </c>
      <c r="E603" s="11" t="s">
        <v>3003</v>
      </c>
    </row>
    <row r="604" spans="1:5" ht="15" customHeight="1" x14ac:dyDescent="0.25">
      <c r="A604" t="s">
        <v>1796</v>
      </c>
      <c r="B604" t="s">
        <v>941</v>
      </c>
      <c r="C604">
        <v>1987</v>
      </c>
      <c r="E604" s="1" t="s">
        <v>3283</v>
      </c>
    </row>
    <row r="605" spans="1:5" ht="15" customHeight="1" x14ac:dyDescent="0.25">
      <c r="A605" t="s">
        <v>1796</v>
      </c>
      <c r="B605" t="s">
        <v>995</v>
      </c>
      <c r="C605">
        <v>1987</v>
      </c>
      <c r="E605" s="1" t="s">
        <v>3284</v>
      </c>
    </row>
    <row r="606" spans="1:5" ht="15" customHeight="1" x14ac:dyDescent="0.25">
      <c r="A606" t="s">
        <v>1796</v>
      </c>
      <c r="B606" t="s">
        <v>1028</v>
      </c>
      <c r="C606">
        <v>1987</v>
      </c>
      <c r="E606" s="1"/>
    </row>
    <row r="607" spans="1:5" ht="15" customHeight="1" x14ac:dyDescent="0.25">
      <c r="A607" t="s">
        <v>1796</v>
      </c>
      <c r="B607" t="s">
        <v>1084</v>
      </c>
      <c r="C607">
        <v>1987</v>
      </c>
      <c r="E607" s="1" t="s">
        <v>3285</v>
      </c>
    </row>
    <row r="608" spans="1:5" ht="15" customHeight="1" x14ac:dyDescent="0.25">
      <c r="A608" t="s">
        <v>1796</v>
      </c>
      <c r="B608" t="s">
        <v>1142</v>
      </c>
      <c r="C608">
        <v>1987</v>
      </c>
      <c r="E608" s="11" t="s">
        <v>2990</v>
      </c>
    </row>
    <row r="609" spans="1:5" ht="15" customHeight="1" x14ac:dyDescent="0.25">
      <c r="A609" t="s">
        <v>1796</v>
      </c>
      <c r="B609" t="s">
        <v>1198</v>
      </c>
      <c r="C609">
        <v>1987</v>
      </c>
      <c r="E609" s="1" t="s">
        <v>3286</v>
      </c>
    </row>
    <row r="610" spans="1:5" ht="15" customHeight="1" x14ac:dyDescent="0.25">
      <c r="A610" t="s">
        <v>1796</v>
      </c>
      <c r="B610" t="s">
        <v>1318</v>
      </c>
      <c r="C610">
        <v>1987</v>
      </c>
      <c r="E610" s="1" t="s">
        <v>3287</v>
      </c>
    </row>
    <row r="611" spans="1:5" ht="15" customHeight="1" x14ac:dyDescent="0.25">
      <c r="A611" t="s">
        <v>1796</v>
      </c>
      <c r="B611" t="s">
        <v>1401</v>
      </c>
      <c r="C611">
        <v>1987</v>
      </c>
      <c r="E611" s="11" t="s">
        <v>2992</v>
      </c>
    </row>
    <row r="612" spans="1:5" ht="15" customHeight="1" x14ac:dyDescent="0.25">
      <c r="A612" t="s">
        <v>1796</v>
      </c>
      <c r="B612" t="s">
        <v>1421</v>
      </c>
      <c r="C612">
        <v>1987</v>
      </c>
      <c r="E612" s="1" t="s">
        <v>2993</v>
      </c>
    </row>
    <row r="613" spans="1:5" ht="15" customHeight="1" x14ac:dyDescent="0.25">
      <c r="A613" t="s">
        <v>1796</v>
      </c>
      <c r="B613" t="s">
        <v>1455</v>
      </c>
      <c r="C613">
        <v>1987</v>
      </c>
      <c r="E613" s="1" t="s">
        <v>3288</v>
      </c>
    </row>
    <row r="614" spans="1:5" ht="15" customHeight="1" x14ac:dyDescent="0.25">
      <c r="A614" t="s">
        <v>1796</v>
      </c>
      <c r="B614" t="s">
        <v>1483</v>
      </c>
      <c r="C614">
        <v>1987</v>
      </c>
      <c r="E614" s="1" t="s">
        <v>2983</v>
      </c>
    </row>
    <row r="615" spans="1:5" ht="15" customHeight="1" x14ac:dyDescent="0.25">
      <c r="A615" t="s">
        <v>1796</v>
      </c>
      <c r="B615" t="s">
        <v>1521</v>
      </c>
      <c r="C615">
        <v>1987</v>
      </c>
      <c r="E615" s="11" t="s">
        <v>2994</v>
      </c>
    </row>
    <row r="616" spans="1:5" ht="15" customHeight="1" x14ac:dyDescent="0.25">
      <c r="A616" t="s">
        <v>1796</v>
      </c>
      <c r="B616" t="s">
        <v>1539</v>
      </c>
      <c r="C616">
        <v>1987</v>
      </c>
      <c r="E616" s="1" t="s">
        <v>3289</v>
      </c>
    </row>
    <row r="617" spans="1:5" ht="15" customHeight="1" x14ac:dyDescent="0.25">
      <c r="A617" t="s">
        <v>1796</v>
      </c>
      <c r="B617" t="s">
        <v>1564</v>
      </c>
      <c r="C617">
        <v>1987</v>
      </c>
      <c r="E617" s="1" t="s">
        <v>2983</v>
      </c>
    </row>
    <row r="618" spans="1:5" ht="15" customHeight="1" x14ac:dyDescent="0.25">
      <c r="A618" t="s">
        <v>1796</v>
      </c>
      <c r="B618" t="s">
        <v>1720</v>
      </c>
      <c r="C618">
        <v>1987</v>
      </c>
      <c r="E618" s="1" t="s">
        <v>2983</v>
      </c>
    </row>
    <row r="619" spans="1:5" ht="15" customHeight="1" x14ac:dyDescent="0.25">
      <c r="A619" t="s">
        <v>3290</v>
      </c>
      <c r="B619" t="s">
        <v>1919</v>
      </c>
      <c r="C619">
        <v>1987</v>
      </c>
      <c r="E619" t="s">
        <v>2983</v>
      </c>
    </row>
    <row r="620" spans="1:5" ht="15" customHeight="1" x14ac:dyDescent="0.25">
      <c r="A620" t="s">
        <v>1796</v>
      </c>
      <c r="B620" t="s">
        <v>1945</v>
      </c>
      <c r="C620">
        <v>1987</v>
      </c>
      <c r="E620" s="1" t="s">
        <v>3291</v>
      </c>
    </row>
    <row r="621" spans="1:5" ht="15" customHeight="1" x14ac:dyDescent="0.25">
      <c r="A621" t="s">
        <v>1796</v>
      </c>
      <c r="B621" t="s">
        <v>2024</v>
      </c>
      <c r="C621">
        <v>1987</v>
      </c>
      <c r="E621" s="1" t="s">
        <v>3292</v>
      </c>
    </row>
    <row r="622" spans="1:5" ht="15" customHeight="1" x14ac:dyDescent="0.25">
      <c r="A622" t="s">
        <v>1796</v>
      </c>
      <c r="B622" t="s">
        <v>2054</v>
      </c>
      <c r="C622">
        <v>1987</v>
      </c>
      <c r="E622" s="1" t="s">
        <v>3293</v>
      </c>
    </row>
    <row r="623" spans="1:5" ht="15" customHeight="1" x14ac:dyDescent="0.25">
      <c r="A623" t="s">
        <v>1796</v>
      </c>
      <c r="B623" t="s">
        <v>2108</v>
      </c>
      <c r="C623">
        <v>1987</v>
      </c>
      <c r="E623" s="11" t="s">
        <v>3142</v>
      </c>
    </row>
    <row r="624" spans="1:5" ht="15" customHeight="1" x14ac:dyDescent="0.25">
      <c r="A624" t="s">
        <v>1796</v>
      </c>
      <c r="B624" t="s">
        <v>2349</v>
      </c>
      <c r="C624">
        <v>1987</v>
      </c>
      <c r="E624" s="1" t="s">
        <v>3294</v>
      </c>
    </row>
    <row r="625" spans="1:5" ht="15" customHeight="1" x14ac:dyDescent="0.25">
      <c r="A625" t="s">
        <v>1796</v>
      </c>
      <c r="B625" t="s">
        <v>2429</v>
      </c>
      <c r="C625">
        <v>1987</v>
      </c>
      <c r="E625" s="1" t="s">
        <v>3295</v>
      </c>
    </row>
    <row r="626" spans="1:5" ht="15" customHeight="1" x14ac:dyDescent="0.25">
      <c r="A626" t="s">
        <v>1796</v>
      </c>
      <c r="B626" t="s">
        <v>2490</v>
      </c>
      <c r="C626">
        <v>1987</v>
      </c>
      <c r="E626" s="1" t="s">
        <v>3263</v>
      </c>
    </row>
    <row r="627" spans="1:5" ht="15" customHeight="1" x14ac:dyDescent="0.25">
      <c r="A627" t="s">
        <v>1796</v>
      </c>
      <c r="B627" t="s">
        <v>2544</v>
      </c>
      <c r="C627">
        <v>1987</v>
      </c>
      <c r="E627" s="1" t="s">
        <v>3296</v>
      </c>
    </row>
    <row r="628" spans="1:5" ht="15" customHeight="1" x14ac:dyDescent="0.25">
      <c r="A628" t="s">
        <v>1796</v>
      </c>
      <c r="B628" t="s">
        <v>2793</v>
      </c>
      <c r="C628">
        <v>1987</v>
      </c>
      <c r="E628" s="1" t="s">
        <v>3297</v>
      </c>
    </row>
    <row r="629" spans="1:5" ht="15" customHeight="1" x14ac:dyDescent="0.25">
      <c r="A629" t="s">
        <v>1796</v>
      </c>
      <c r="B629" t="s">
        <v>2867</v>
      </c>
      <c r="C629">
        <v>1987</v>
      </c>
      <c r="E629" s="1" t="s">
        <v>3298</v>
      </c>
    </row>
    <row r="630" spans="1:5" ht="15" customHeight="1" x14ac:dyDescent="0.25">
      <c r="A630" t="s">
        <v>1814</v>
      </c>
      <c r="B630" t="s">
        <v>1812</v>
      </c>
      <c r="C630">
        <v>2024</v>
      </c>
      <c r="D630" t="s">
        <v>187</v>
      </c>
      <c r="E630" s="1"/>
    </row>
    <row r="631" spans="1:5" ht="15" customHeight="1" x14ac:dyDescent="0.25">
      <c r="A631" t="s">
        <v>1818</v>
      </c>
      <c r="B631" t="s">
        <v>604</v>
      </c>
      <c r="C631">
        <v>2019</v>
      </c>
      <c r="E631" s="1" t="s">
        <v>3299</v>
      </c>
    </row>
    <row r="632" spans="1:5" ht="15" customHeight="1" x14ac:dyDescent="0.25">
      <c r="A632" t="s">
        <v>1818</v>
      </c>
      <c r="B632" t="s">
        <v>1595</v>
      </c>
      <c r="C632">
        <v>2019</v>
      </c>
      <c r="E632" s="1" t="s">
        <v>3300</v>
      </c>
    </row>
    <row r="633" spans="1:5" ht="15" customHeight="1" x14ac:dyDescent="0.25">
      <c r="A633" t="s">
        <v>1818</v>
      </c>
      <c r="B633" t="s">
        <v>1942</v>
      </c>
      <c r="C633">
        <v>2019</v>
      </c>
      <c r="E633" s="11" t="s">
        <v>3301</v>
      </c>
    </row>
    <row r="634" spans="1:5" ht="15" customHeight="1" x14ac:dyDescent="0.25">
      <c r="A634" t="s">
        <v>1818</v>
      </c>
      <c r="B634" t="s">
        <v>2027</v>
      </c>
      <c r="C634">
        <v>2019</v>
      </c>
      <c r="E634" s="1" t="s">
        <v>3302</v>
      </c>
    </row>
    <row r="635" spans="1:5" ht="15" customHeight="1" x14ac:dyDescent="0.25">
      <c r="A635" t="s">
        <v>1818</v>
      </c>
      <c r="B635" t="s">
        <v>2497</v>
      </c>
      <c r="C635">
        <v>2019</v>
      </c>
      <c r="E635" s="1" t="s">
        <v>3303</v>
      </c>
    </row>
    <row r="636" spans="1:5" ht="15" customHeight="1" x14ac:dyDescent="0.25">
      <c r="A636" t="s">
        <v>1852</v>
      </c>
      <c r="B636" t="s">
        <v>730</v>
      </c>
      <c r="C636">
        <v>2024</v>
      </c>
      <c r="E636" s="1" t="s">
        <v>3027</v>
      </c>
    </row>
    <row r="637" spans="1:5" ht="15" customHeight="1" x14ac:dyDescent="0.25">
      <c r="A637" t="s">
        <v>1852</v>
      </c>
      <c r="B637" t="s">
        <v>1956</v>
      </c>
      <c r="C637">
        <v>2024</v>
      </c>
      <c r="E637" s="11" t="s">
        <v>3039</v>
      </c>
    </row>
    <row r="638" spans="1:5" ht="15" customHeight="1" x14ac:dyDescent="0.25">
      <c r="A638" t="s">
        <v>1856</v>
      </c>
      <c r="B638" t="s">
        <v>245</v>
      </c>
      <c r="C638">
        <v>2015</v>
      </c>
      <c r="E638" s="1" t="s">
        <v>3186</v>
      </c>
    </row>
    <row r="639" spans="1:5" ht="15" customHeight="1" x14ac:dyDescent="0.25">
      <c r="A639" t="s">
        <v>1856</v>
      </c>
      <c r="B639" t="s">
        <v>319</v>
      </c>
      <c r="C639">
        <v>2015</v>
      </c>
      <c r="E639" s="1" t="s">
        <v>2983</v>
      </c>
    </row>
    <row r="640" spans="1:5" ht="15" customHeight="1" x14ac:dyDescent="0.25">
      <c r="A640" t="s">
        <v>1856</v>
      </c>
      <c r="B640" t="s">
        <v>333</v>
      </c>
      <c r="C640">
        <v>2015</v>
      </c>
      <c r="E640" s="1" t="s">
        <v>3188</v>
      </c>
    </row>
    <row r="641" spans="1:5" ht="15" customHeight="1" x14ac:dyDescent="0.25">
      <c r="A641" t="s">
        <v>1856</v>
      </c>
      <c r="B641" t="s">
        <v>431</v>
      </c>
      <c r="C641">
        <v>2015</v>
      </c>
      <c r="E641" s="1" t="s">
        <v>2983</v>
      </c>
    </row>
    <row r="642" spans="1:5" ht="15" customHeight="1" x14ac:dyDescent="0.25">
      <c r="A642" t="s">
        <v>1856</v>
      </c>
      <c r="B642" t="s">
        <v>629</v>
      </c>
      <c r="C642">
        <v>2015</v>
      </c>
      <c r="E642" s="1" t="s">
        <v>3304</v>
      </c>
    </row>
    <row r="643" spans="1:5" ht="15" customHeight="1" x14ac:dyDescent="0.25">
      <c r="A643" t="s">
        <v>1856</v>
      </c>
      <c r="B643" t="s">
        <v>763</v>
      </c>
      <c r="C643">
        <v>2015</v>
      </c>
      <c r="E643" s="1" t="s">
        <v>3305</v>
      </c>
    </row>
    <row r="644" spans="1:5" ht="15" customHeight="1" x14ac:dyDescent="0.25">
      <c r="A644" t="s">
        <v>1856</v>
      </c>
      <c r="B644" t="s">
        <v>1047</v>
      </c>
      <c r="C644">
        <v>2015</v>
      </c>
      <c r="E644" s="1" t="s">
        <v>3306</v>
      </c>
    </row>
    <row r="645" spans="1:5" ht="15" customHeight="1" x14ac:dyDescent="0.25">
      <c r="A645" t="s">
        <v>1856</v>
      </c>
      <c r="B645" t="s">
        <v>1236</v>
      </c>
      <c r="C645">
        <v>2015</v>
      </c>
      <c r="E645" s="1" t="s">
        <v>3307</v>
      </c>
    </row>
    <row r="646" spans="1:5" ht="15" customHeight="1" x14ac:dyDescent="0.25">
      <c r="A646" t="s">
        <v>1856</v>
      </c>
      <c r="B646" t="s">
        <v>1318</v>
      </c>
      <c r="C646">
        <v>2015</v>
      </c>
      <c r="E646" s="1" t="s">
        <v>3010</v>
      </c>
    </row>
    <row r="647" spans="1:5" ht="15" customHeight="1" x14ac:dyDescent="0.25">
      <c r="A647" t="s">
        <v>1856</v>
      </c>
      <c r="B647" t="s">
        <v>1542</v>
      </c>
      <c r="C647">
        <v>2015</v>
      </c>
      <c r="E647" s="1" t="s">
        <v>3161</v>
      </c>
    </row>
    <row r="648" spans="1:5" ht="15" customHeight="1" x14ac:dyDescent="0.25">
      <c r="A648" t="s">
        <v>1856</v>
      </c>
      <c r="B648" t="s">
        <v>1772</v>
      </c>
      <c r="C648">
        <v>2015</v>
      </c>
      <c r="E648" s="1" t="s">
        <v>3192</v>
      </c>
    </row>
    <row r="649" spans="1:5" ht="15" customHeight="1" x14ac:dyDescent="0.25">
      <c r="A649" t="s">
        <v>1856</v>
      </c>
      <c r="B649" t="s">
        <v>1878</v>
      </c>
      <c r="C649">
        <v>2015</v>
      </c>
      <c r="E649" s="1" t="s">
        <v>3193</v>
      </c>
    </row>
    <row r="650" spans="1:5" ht="15" customHeight="1" x14ac:dyDescent="0.25">
      <c r="A650" t="s">
        <v>1856</v>
      </c>
      <c r="B650" t="s">
        <v>1880</v>
      </c>
      <c r="C650">
        <v>2015</v>
      </c>
      <c r="E650" s="11" t="s">
        <v>3308</v>
      </c>
    </row>
    <row r="651" spans="1:5" ht="15" customHeight="1" x14ac:dyDescent="0.25">
      <c r="A651" t="s">
        <v>1856</v>
      </c>
      <c r="B651" t="s">
        <v>1896</v>
      </c>
      <c r="C651">
        <v>2015</v>
      </c>
      <c r="E651" s="1" t="s">
        <v>3213</v>
      </c>
    </row>
    <row r="652" spans="1:5" ht="15" customHeight="1" x14ac:dyDescent="0.25">
      <c r="A652" t="s">
        <v>1856</v>
      </c>
      <c r="B652" t="s">
        <v>2057</v>
      </c>
      <c r="C652">
        <v>2015</v>
      </c>
      <c r="E652" s="1" t="s">
        <v>3195</v>
      </c>
    </row>
    <row r="653" spans="1:5" ht="15" customHeight="1" x14ac:dyDescent="0.25">
      <c r="A653" t="s">
        <v>1856</v>
      </c>
      <c r="B653" t="s">
        <v>2085</v>
      </c>
      <c r="C653">
        <v>2015</v>
      </c>
      <c r="E653" s="1" t="s">
        <v>2983</v>
      </c>
    </row>
    <row r="654" spans="1:5" ht="15" customHeight="1" x14ac:dyDescent="0.25">
      <c r="A654" t="s">
        <v>1856</v>
      </c>
      <c r="B654" t="s">
        <v>2147</v>
      </c>
      <c r="C654">
        <v>2015</v>
      </c>
      <c r="E654" s="1" t="s">
        <v>3125</v>
      </c>
    </row>
    <row r="655" spans="1:5" ht="15" customHeight="1" x14ac:dyDescent="0.25">
      <c r="A655" t="s">
        <v>1856</v>
      </c>
      <c r="B655" t="s">
        <v>2151</v>
      </c>
      <c r="C655">
        <v>2015</v>
      </c>
      <c r="E655" s="1" t="s">
        <v>2983</v>
      </c>
    </row>
    <row r="656" spans="1:5" ht="15" customHeight="1" x14ac:dyDescent="0.25">
      <c r="A656" t="s">
        <v>1856</v>
      </c>
      <c r="B656" t="s">
        <v>2493</v>
      </c>
      <c r="C656">
        <v>2015</v>
      </c>
      <c r="E656" s="1" t="s">
        <v>2496</v>
      </c>
    </row>
    <row r="657" spans="1:5" ht="15" customHeight="1" x14ac:dyDescent="0.25">
      <c r="A657" t="s">
        <v>1856</v>
      </c>
      <c r="B657" t="s">
        <v>2699</v>
      </c>
      <c r="C657">
        <v>2015</v>
      </c>
      <c r="E657" s="1" t="s">
        <v>3197</v>
      </c>
    </row>
    <row r="658" spans="1:5" ht="15" customHeight="1" x14ac:dyDescent="0.25">
      <c r="A658" t="s">
        <v>1856</v>
      </c>
      <c r="B658" t="s">
        <v>2835</v>
      </c>
      <c r="C658">
        <v>2015</v>
      </c>
      <c r="E658" s="1" t="s">
        <v>3309</v>
      </c>
    </row>
    <row r="659" spans="1:5" ht="15" customHeight="1" x14ac:dyDescent="0.25">
      <c r="A659" t="s">
        <v>1883</v>
      </c>
      <c r="B659" t="s">
        <v>1421</v>
      </c>
      <c r="C659">
        <v>1987</v>
      </c>
      <c r="E659" s="1" t="s">
        <v>2993</v>
      </c>
    </row>
    <row r="660" spans="1:5" ht="15" customHeight="1" x14ac:dyDescent="0.25">
      <c r="A660" t="s">
        <v>1883</v>
      </c>
      <c r="B660" t="s">
        <v>2277</v>
      </c>
      <c r="C660">
        <v>1987</v>
      </c>
      <c r="E660" s="11" t="s">
        <v>2997</v>
      </c>
    </row>
    <row r="661" spans="1:5" ht="15" customHeight="1" x14ac:dyDescent="0.25">
      <c r="A661" t="s">
        <v>1883</v>
      </c>
      <c r="B661" t="s">
        <v>2793</v>
      </c>
      <c r="C661">
        <v>1987</v>
      </c>
      <c r="E661" s="1" t="s">
        <v>3297</v>
      </c>
    </row>
    <row r="662" spans="1:5" ht="15" customHeight="1" x14ac:dyDescent="0.25">
      <c r="A662" t="s">
        <v>1886</v>
      </c>
      <c r="B662" t="s">
        <v>1892</v>
      </c>
      <c r="C662">
        <v>2015</v>
      </c>
      <c r="D662" t="s">
        <v>187</v>
      </c>
    </row>
    <row r="663" spans="1:5" ht="15" customHeight="1" x14ac:dyDescent="0.25">
      <c r="A663" t="s">
        <v>1892</v>
      </c>
      <c r="B663" t="s">
        <v>1888</v>
      </c>
      <c r="C663">
        <v>2017</v>
      </c>
      <c r="D663" t="s">
        <v>187</v>
      </c>
    </row>
    <row r="664" spans="1:5" ht="15" customHeight="1" x14ac:dyDescent="0.25">
      <c r="A664" t="s">
        <v>1900</v>
      </c>
      <c r="B664" t="s">
        <v>1759</v>
      </c>
      <c r="C664">
        <v>2014</v>
      </c>
      <c r="D664" t="s">
        <v>187</v>
      </c>
      <c r="E664" s="11"/>
    </row>
    <row r="665" spans="1:5" ht="15" customHeight="1" x14ac:dyDescent="0.25">
      <c r="A665" t="s">
        <v>1934</v>
      </c>
      <c r="B665" t="s">
        <v>1476</v>
      </c>
      <c r="C665">
        <v>2021</v>
      </c>
      <c r="E665" s="1" t="s">
        <v>2983</v>
      </c>
    </row>
    <row r="666" spans="1:5" ht="15" customHeight="1" x14ac:dyDescent="0.25">
      <c r="A666" t="s">
        <v>1948</v>
      </c>
      <c r="B666" t="s">
        <v>2660</v>
      </c>
      <c r="C666">
        <v>2021</v>
      </c>
      <c r="E666" s="1" t="s">
        <v>3259</v>
      </c>
    </row>
    <row r="667" spans="1:5" ht="15" customHeight="1" x14ac:dyDescent="0.25">
      <c r="A667" t="s">
        <v>1952</v>
      </c>
      <c r="B667" t="s">
        <v>299</v>
      </c>
      <c r="C667">
        <v>2022</v>
      </c>
      <c r="E667" s="1" t="s">
        <v>3310</v>
      </c>
    </row>
    <row r="668" spans="1:5" ht="15" customHeight="1" x14ac:dyDescent="0.25">
      <c r="A668" t="s">
        <v>1952</v>
      </c>
      <c r="B668" t="s">
        <v>706</v>
      </c>
      <c r="C668">
        <v>2022</v>
      </c>
      <c r="E668" s="11" t="s">
        <v>3026</v>
      </c>
    </row>
    <row r="669" spans="1:5" ht="15" customHeight="1" x14ac:dyDescent="0.25">
      <c r="A669" t="s">
        <v>1952</v>
      </c>
      <c r="B669" t="s">
        <v>961</v>
      </c>
      <c r="C669">
        <v>2022</v>
      </c>
      <c r="E669" s="1" t="s">
        <v>3147</v>
      </c>
    </row>
    <row r="670" spans="1:5" ht="15" customHeight="1" x14ac:dyDescent="0.25">
      <c r="A670" t="s">
        <v>1952</v>
      </c>
      <c r="B670" t="s">
        <v>1956</v>
      </c>
      <c r="C670">
        <v>2022</v>
      </c>
      <c r="E670" s="11" t="s">
        <v>3039</v>
      </c>
    </row>
    <row r="671" spans="1:5" ht="15" customHeight="1" x14ac:dyDescent="0.25">
      <c r="A671" t="s">
        <v>1952</v>
      </c>
      <c r="B671" t="s">
        <v>2230</v>
      </c>
      <c r="C671">
        <v>2022</v>
      </c>
      <c r="E671" s="11" t="s">
        <v>3311</v>
      </c>
    </row>
    <row r="672" spans="1:5" ht="15" customHeight="1" x14ac:dyDescent="0.25">
      <c r="A672" t="s">
        <v>1952</v>
      </c>
      <c r="B672" t="s">
        <v>2476</v>
      </c>
      <c r="C672">
        <v>2022</v>
      </c>
      <c r="E672" s="1" t="s">
        <v>3051</v>
      </c>
    </row>
    <row r="673" spans="1:5" ht="15" customHeight="1" x14ac:dyDescent="0.25">
      <c r="A673" t="s">
        <v>1971</v>
      </c>
      <c r="B673" t="s">
        <v>1904</v>
      </c>
      <c r="C673">
        <v>2012</v>
      </c>
      <c r="E673" s="1" t="s">
        <v>3312</v>
      </c>
    </row>
    <row r="674" spans="1:5" ht="15" customHeight="1" x14ac:dyDescent="0.25">
      <c r="A674" t="s">
        <v>1971</v>
      </c>
      <c r="B674" t="s">
        <v>2287</v>
      </c>
      <c r="C674">
        <v>2012</v>
      </c>
      <c r="D674" t="s">
        <v>187</v>
      </c>
      <c r="E674" s="1"/>
    </row>
    <row r="675" spans="1:5" ht="15" customHeight="1" x14ac:dyDescent="0.25">
      <c r="A675" t="s">
        <v>1996</v>
      </c>
      <c r="B675" t="s">
        <v>1999</v>
      </c>
      <c r="C675">
        <v>2021</v>
      </c>
      <c r="E675" s="1"/>
    </row>
    <row r="676" spans="1:5" ht="15" customHeight="1" x14ac:dyDescent="0.25">
      <c r="A676" t="s">
        <v>2005</v>
      </c>
      <c r="B676" t="s">
        <v>2002</v>
      </c>
      <c r="C676">
        <v>2007</v>
      </c>
      <c r="D676" t="s">
        <v>187</v>
      </c>
      <c r="E676" s="1"/>
    </row>
    <row r="677" spans="1:5" ht="15" customHeight="1" x14ac:dyDescent="0.25">
      <c r="A677" t="s">
        <v>2010</v>
      </c>
      <c r="B677" t="s">
        <v>1926</v>
      </c>
      <c r="C677">
        <v>2005</v>
      </c>
      <c r="E677" s="1" t="s">
        <v>3313</v>
      </c>
    </row>
    <row r="678" spans="1:5" ht="15" customHeight="1" x14ac:dyDescent="0.25">
      <c r="A678" t="s">
        <v>2010</v>
      </c>
      <c r="B678" t="s">
        <v>2005</v>
      </c>
      <c r="C678">
        <v>2005</v>
      </c>
      <c r="D678" t="s">
        <v>187</v>
      </c>
      <c r="E678" s="1"/>
    </row>
    <row r="679" spans="1:5" ht="15" customHeight="1" x14ac:dyDescent="0.25">
      <c r="A679" t="s">
        <v>2010</v>
      </c>
      <c r="B679" t="s">
        <v>2008</v>
      </c>
      <c r="C679">
        <v>2005</v>
      </c>
      <c r="D679" t="s">
        <v>187</v>
      </c>
      <c r="E679" s="1"/>
    </row>
    <row r="680" spans="1:5" ht="15" customHeight="1" x14ac:dyDescent="0.25">
      <c r="A680" t="s">
        <v>2010</v>
      </c>
      <c r="B680" t="s">
        <v>2013</v>
      </c>
      <c r="C680">
        <v>2005</v>
      </c>
      <c r="D680" t="s">
        <v>187</v>
      </c>
      <c r="E680" s="1"/>
    </row>
    <row r="681" spans="1:5" ht="15" customHeight="1" x14ac:dyDescent="0.25">
      <c r="A681" t="s">
        <v>2010</v>
      </c>
      <c r="B681" t="s">
        <v>2015</v>
      </c>
      <c r="C681">
        <v>2005</v>
      </c>
      <c r="D681" t="s">
        <v>187</v>
      </c>
      <c r="E681" s="1"/>
    </row>
    <row r="682" spans="1:5" ht="15" customHeight="1" x14ac:dyDescent="0.25">
      <c r="A682" t="s">
        <v>2017</v>
      </c>
      <c r="B682" t="s">
        <v>1705</v>
      </c>
      <c r="C682">
        <v>2024</v>
      </c>
      <c r="E682" s="11" t="s">
        <v>2987</v>
      </c>
    </row>
    <row r="683" spans="1:5" ht="15" customHeight="1" x14ac:dyDescent="0.25">
      <c r="A683" t="s">
        <v>2017</v>
      </c>
      <c r="B683" t="s">
        <v>2019</v>
      </c>
      <c r="C683">
        <v>2024</v>
      </c>
      <c r="E683" s="1" t="s">
        <v>3250</v>
      </c>
    </row>
    <row r="684" spans="1:5" ht="15" customHeight="1" x14ac:dyDescent="0.25">
      <c r="A684" t="s">
        <v>2022</v>
      </c>
      <c r="B684" t="s">
        <v>233</v>
      </c>
      <c r="C684">
        <v>2020</v>
      </c>
      <c r="E684" s="1" t="s">
        <v>3314</v>
      </c>
    </row>
    <row r="685" spans="1:5" ht="15" customHeight="1" x14ac:dyDescent="0.25">
      <c r="A685" t="s">
        <v>2024</v>
      </c>
      <c r="B685" t="s">
        <v>178</v>
      </c>
      <c r="C685">
        <v>2003</v>
      </c>
      <c r="E685" s="1" t="s">
        <v>3277</v>
      </c>
    </row>
    <row r="686" spans="1:5" ht="15" customHeight="1" x14ac:dyDescent="0.25">
      <c r="A686" t="s">
        <v>2024</v>
      </c>
      <c r="B686" t="s">
        <v>540</v>
      </c>
      <c r="C686">
        <v>2003</v>
      </c>
      <c r="E686" s="11" t="s">
        <v>3260</v>
      </c>
    </row>
    <row r="687" spans="1:5" ht="15" customHeight="1" x14ac:dyDescent="0.25">
      <c r="A687" t="s">
        <v>2024</v>
      </c>
      <c r="B687" t="s">
        <v>1318</v>
      </c>
      <c r="C687">
        <v>2003</v>
      </c>
      <c r="E687" s="1" t="s">
        <v>3315</v>
      </c>
    </row>
    <row r="688" spans="1:5" ht="15" customHeight="1" x14ac:dyDescent="0.25">
      <c r="A688" t="s">
        <v>2024</v>
      </c>
      <c r="B688" t="s">
        <v>2635</v>
      </c>
      <c r="C688">
        <v>2003</v>
      </c>
      <c r="E688" s="1" t="s">
        <v>3005</v>
      </c>
    </row>
    <row r="689" spans="1:5" ht="15" customHeight="1" x14ac:dyDescent="0.25">
      <c r="A689" t="s">
        <v>2024</v>
      </c>
      <c r="B689" t="s">
        <v>2865</v>
      </c>
      <c r="C689">
        <v>2003</v>
      </c>
      <c r="E689" s="11" t="s">
        <v>3316</v>
      </c>
    </row>
    <row r="690" spans="1:5" ht="15" customHeight="1" x14ac:dyDescent="0.25">
      <c r="A690" t="s">
        <v>2054</v>
      </c>
      <c r="B690" t="s">
        <v>1401</v>
      </c>
      <c r="C690">
        <v>1992</v>
      </c>
      <c r="E690" s="11" t="s">
        <v>2992</v>
      </c>
    </row>
    <row r="691" spans="1:5" ht="15" customHeight="1" x14ac:dyDescent="0.25">
      <c r="A691" t="s">
        <v>2066</v>
      </c>
      <c r="B691" t="s">
        <v>2282</v>
      </c>
      <c r="C691">
        <v>2023</v>
      </c>
      <c r="E691" s="1" t="s">
        <v>3216</v>
      </c>
    </row>
    <row r="692" spans="1:5" ht="15" customHeight="1" x14ac:dyDescent="0.25">
      <c r="A692" t="s">
        <v>2074</v>
      </c>
      <c r="B692" t="s">
        <v>198</v>
      </c>
      <c r="C692">
        <v>2010</v>
      </c>
      <c r="E692" s="1" t="s">
        <v>2983</v>
      </c>
    </row>
    <row r="693" spans="1:5" ht="15" customHeight="1" x14ac:dyDescent="0.25">
      <c r="A693" t="s">
        <v>2074</v>
      </c>
      <c r="B693" t="s">
        <v>2568</v>
      </c>
      <c r="C693">
        <v>2010</v>
      </c>
      <c r="E693" s="1" t="s">
        <v>2983</v>
      </c>
    </row>
    <row r="694" spans="1:5" ht="15" customHeight="1" x14ac:dyDescent="0.25">
      <c r="A694" t="s">
        <v>2081</v>
      </c>
      <c r="B694" t="s">
        <v>2929</v>
      </c>
      <c r="C694">
        <v>2015</v>
      </c>
      <c r="E694" t="s">
        <v>2983</v>
      </c>
    </row>
    <row r="695" spans="1:5" ht="15" customHeight="1" x14ac:dyDescent="0.25">
      <c r="A695" t="s">
        <v>2096</v>
      </c>
      <c r="B695" t="s">
        <v>741</v>
      </c>
      <c r="C695">
        <v>2023</v>
      </c>
      <c r="E695" s="11" t="s">
        <v>3317</v>
      </c>
    </row>
    <row r="696" spans="1:5" ht="15" customHeight="1" x14ac:dyDescent="0.25">
      <c r="A696" t="s">
        <v>2096</v>
      </c>
      <c r="B696" t="s">
        <v>2525</v>
      </c>
      <c r="C696">
        <v>2023</v>
      </c>
      <c r="E696" s="1" t="s">
        <v>3318</v>
      </c>
    </row>
    <row r="697" spans="1:5" ht="15" customHeight="1" x14ac:dyDescent="0.25">
      <c r="A697" t="s">
        <v>2108</v>
      </c>
      <c r="B697" t="s">
        <v>1938</v>
      </c>
      <c r="C697">
        <v>2020</v>
      </c>
      <c r="E697" s="1" t="s">
        <v>1941</v>
      </c>
    </row>
    <row r="698" spans="1:5" ht="15" customHeight="1" x14ac:dyDescent="0.25">
      <c r="A698" t="s">
        <v>2108</v>
      </c>
      <c r="B698" t="s">
        <v>2112</v>
      </c>
      <c r="C698">
        <v>2020</v>
      </c>
      <c r="D698" t="s">
        <v>187</v>
      </c>
      <c r="E698" s="1"/>
    </row>
    <row r="699" spans="1:5" ht="15" customHeight="1" x14ac:dyDescent="0.25">
      <c r="A699" t="s">
        <v>2112</v>
      </c>
      <c r="B699" t="s">
        <v>2116</v>
      </c>
      <c r="C699">
        <v>2024</v>
      </c>
      <c r="D699" t="s">
        <v>187</v>
      </c>
      <c r="E699" s="1"/>
    </row>
    <row r="700" spans="1:5" ht="15" customHeight="1" x14ac:dyDescent="0.25">
      <c r="A700" t="s">
        <v>2123</v>
      </c>
      <c r="B700" t="s">
        <v>2897</v>
      </c>
      <c r="C700">
        <v>2020</v>
      </c>
      <c r="D700" t="s">
        <v>187</v>
      </c>
      <c r="E700" s="1"/>
    </row>
    <row r="701" spans="1:5" ht="15" customHeight="1" x14ac:dyDescent="0.25">
      <c r="A701" t="s">
        <v>2131</v>
      </c>
      <c r="B701" t="s">
        <v>2255</v>
      </c>
      <c r="C701">
        <v>2017</v>
      </c>
      <c r="E701" s="1" t="s">
        <v>2983</v>
      </c>
    </row>
    <row r="702" spans="1:5" ht="15" customHeight="1" x14ac:dyDescent="0.25">
      <c r="A702" t="s">
        <v>2133</v>
      </c>
      <c r="B702" t="s">
        <v>759</v>
      </c>
      <c r="C702">
        <v>2013</v>
      </c>
      <c r="E702" s="1" t="s">
        <v>3319</v>
      </c>
    </row>
    <row r="703" spans="1:5" ht="15" customHeight="1" x14ac:dyDescent="0.25">
      <c r="A703" t="s">
        <v>2133</v>
      </c>
      <c r="B703" t="s">
        <v>1418</v>
      </c>
      <c r="C703">
        <v>2013</v>
      </c>
      <c r="E703" s="11" t="s">
        <v>3320</v>
      </c>
    </row>
    <row r="704" spans="1:5" ht="15" customHeight="1" x14ac:dyDescent="0.25">
      <c r="A704" t="s">
        <v>2133</v>
      </c>
      <c r="B704" t="s">
        <v>2032</v>
      </c>
      <c r="C704">
        <v>2013</v>
      </c>
      <c r="E704" s="1" t="s">
        <v>3237</v>
      </c>
    </row>
    <row r="705" spans="1:5" ht="15" customHeight="1" x14ac:dyDescent="0.25">
      <c r="A705" t="s">
        <v>2133</v>
      </c>
      <c r="B705" t="s">
        <v>2137</v>
      </c>
      <c r="C705">
        <v>2013</v>
      </c>
      <c r="D705" t="s">
        <v>187</v>
      </c>
      <c r="E705" s="1"/>
    </row>
    <row r="706" spans="1:5" ht="15" customHeight="1" x14ac:dyDescent="0.25">
      <c r="A706" t="s">
        <v>2133</v>
      </c>
      <c r="B706" t="s">
        <v>2141</v>
      </c>
      <c r="C706">
        <v>2013</v>
      </c>
      <c r="D706" t="s">
        <v>187</v>
      </c>
      <c r="E706" s="1"/>
    </row>
    <row r="707" spans="1:5" ht="15" customHeight="1" x14ac:dyDescent="0.25">
      <c r="A707" t="s">
        <v>2133</v>
      </c>
      <c r="B707" t="s">
        <v>2282</v>
      </c>
      <c r="C707">
        <v>2013</v>
      </c>
      <c r="E707" s="1" t="s">
        <v>3216</v>
      </c>
    </row>
    <row r="708" spans="1:5" ht="15" customHeight="1" x14ac:dyDescent="0.25">
      <c r="A708" t="s">
        <v>2133</v>
      </c>
      <c r="B708" t="s">
        <v>2557</v>
      </c>
      <c r="C708">
        <v>2013</v>
      </c>
      <c r="E708" s="1" t="s">
        <v>3321</v>
      </c>
    </row>
    <row r="709" spans="1:5" ht="15" customHeight="1" x14ac:dyDescent="0.25">
      <c r="A709" t="s">
        <v>2133</v>
      </c>
      <c r="B709" t="s">
        <v>2891</v>
      </c>
      <c r="C709">
        <v>2013</v>
      </c>
      <c r="E709" s="1" t="s">
        <v>3078</v>
      </c>
    </row>
    <row r="710" spans="1:5" ht="15" customHeight="1" x14ac:dyDescent="0.25">
      <c r="A710" t="s">
        <v>2137</v>
      </c>
      <c r="B710" t="s">
        <v>741</v>
      </c>
      <c r="C710">
        <v>2020</v>
      </c>
      <c r="E710" s="11" t="s">
        <v>3136</v>
      </c>
    </row>
    <row r="711" spans="1:5" ht="15" customHeight="1" x14ac:dyDescent="0.25">
      <c r="A711" t="s">
        <v>2137</v>
      </c>
      <c r="B711" t="s">
        <v>1043</v>
      </c>
      <c r="C711">
        <v>2020</v>
      </c>
      <c r="E711" s="1" t="s">
        <v>3322</v>
      </c>
    </row>
    <row r="712" spans="1:5" ht="15" customHeight="1" x14ac:dyDescent="0.25">
      <c r="A712" t="s">
        <v>2137</v>
      </c>
      <c r="B712" t="s">
        <v>1060</v>
      </c>
      <c r="C712">
        <v>2020</v>
      </c>
      <c r="E712" s="1" t="s">
        <v>2983</v>
      </c>
    </row>
    <row r="713" spans="1:5" ht="15" customHeight="1" x14ac:dyDescent="0.25">
      <c r="A713" t="s">
        <v>2137</v>
      </c>
      <c r="B713" t="s">
        <v>1169</v>
      </c>
      <c r="C713">
        <v>2020</v>
      </c>
      <c r="E713" s="1" t="s">
        <v>3014</v>
      </c>
    </row>
    <row r="714" spans="1:5" ht="15" customHeight="1" x14ac:dyDescent="0.25">
      <c r="A714" t="s">
        <v>2137</v>
      </c>
      <c r="B714" t="s">
        <v>1562</v>
      </c>
      <c r="C714">
        <v>2020</v>
      </c>
      <c r="E714" s="1" t="s">
        <v>3276</v>
      </c>
    </row>
    <row r="715" spans="1:5" ht="15" customHeight="1" x14ac:dyDescent="0.25">
      <c r="A715" t="s">
        <v>2137</v>
      </c>
      <c r="B715" t="s">
        <v>1622</v>
      </c>
      <c r="C715">
        <v>2020</v>
      </c>
      <c r="E715" s="1" t="s">
        <v>2983</v>
      </c>
    </row>
    <row r="716" spans="1:5" ht="15" customHeight="1" x14ac:dyDescent="0.25">
      <c r="A716" t="s">
        <v>2137</v>
      </c>
      <c r="B716" t="s">
        <v>1724</v>
      </c>
      <c r="C716">
        <v>2020</v>
      </c>
      <c r="E716" s="1" t="s">
        <v>2983</v>
      </c>
    </row>
    <row r="717" spans="1:5" ht="15" customHeight="1" x14ac:dyDescent="0.25">
      <c r="A717" t="s">
        <v>2137</v>
      </c>
      <c r="B717" t="s">
        <v>1753</v>
      </c>
      <c r="C717">
        <v>2020</v>
      </c>
      <c r="E717" s="1" t="s">
        <v>3323</v>
      </c>
    </row>
    <row r="718" spans="1:5" ht="15" customHeight="1" x14ac:dyDescent="0.25">
      <c r="A718" t="s">
        <v>2137</v>
      </c>
      <c r="B718" t="s">
        <v>2017</v>
      </c>
      <c r="C718">
        <v>2020</v>
      </c>
      <c r="E718" s="1" t="s">
        <v>2983</v>
      </c>
    </row>
    <row r="719" spans="1:5" ht="15" customHeight="1" x14ac:dyDescent="0.25">
      <c r="A719" t="s">
        <v>2137</v>
      </c>
      <c r="B719" t="s">
        <v>2274</v>
      </c>
      <c r="C719">
        <v>2020</v>
      </c>
      <c r="E719" t="s">
        <v>2983</v>
      </c>
    </row>
    <row r="720" spans="1:5" ht="15" customHeight="1" x14ac:dyDescent="0.25">
      <c r="A720" t="s">
        <v>2137</v>
      </c>
      <c r="B720" t="s">
        <v>2284</v>
      </c>
      <c r="C720">
        <v>2020</v>
      </c>
      <c r="E720" s="11" t="s">
        <v>3072</v>
      </c>
    </row>
    <row r="721" spans="1:5" ht="15" customHeight="1" x14ac:dyDescent="0.25">
      <c r="A721" t="s">
        <v>2137</v>
      </c>
      <c r="B721" t="s">
        <v>2525</v>
      </c>
      <c r="C721">
        <v>2020</v>
      </c>
      <c r="E721" s="1" t="s">
        <v>3318</v>
      </c>
    </row>
    <row r="722" spans="1:5" ht="15" customHeight="1" x14ac:dyDescent="0.25">
      <c r="A722" t="s">
        <v>2137</v>
      </c>
      <c r="B722" t="s">
        <v>2597</v>
      </c>
      <c r="C722">
        <v>2020</v>
      </c>
      <c r="E722" s="11" t="s">
        <v>3324</v>
      </c>
    </row>
    <row r="723" spans="1:5" ht="15" customHeight="1" x14ac:dyDescent="0.25">
      <c r="A723" t="s">
        <v>2137</v>
      </c>
      <c r="B723" t="s">
        <v>2613</v>
      </c>
      <c r="C723">
        <v>2020</v>
      </c>
      <c r="E723" s="1" t="s">
        <v>3325</v>
      </c>
    </row>
    <row r="724" spans="1:5" ht="15" customHeight="1" x14ac:dyDescent="0.25">
      <c r="A724" t="s">
        <v>2137</v>
      </c>
      <c r="B724" t="s">
        <v>2813</v>
      </c>
      <c r="C724">
        <v>2020</v>
      </c>
      <c r="E724" s="1" t="s">
        <v>3084</v>
      </c>
    </row>
    <row r="725" spans="1:5" ht="15" customHeight="1" x14ac:dyDescent="0.25">
      <c r="A725" t="s">
        <v>2147</v>
      </c>
      <c r="B725" t="s">
        <v>488</v>
      </c>
      <c r="C725">
        <v>2020</v>
      </c>
      <c r="E725" s="1" t="s">
        <v>3222</v>
      </c>
    </row>
    <row r="726" spans="1:5" ht="15" customHeight="1" x14ac:dyDescent="0.25">
      <c r="A726" t="s">
        <v>2147</v>
      </c>
      <c r="B726" t="s">
        <v>2525</v>
      </c>
      <c r="C726">
        <v>2020</v>
      </c>
      <c r="E726" s="1" t="s">
        <v>3318</v>
      </c>
    </row>
    <row r="727" spans="1:5" ht="15" customHeight="1" x14ac:dyDescent="0.25">
      <c r="A727" t="s">
        <v>2155</v>
      </c>
      <c r="B727" t="s">
        <v>205</v>
      </c>
      <c r="C727">
        <v>1980</v>
      </c>
      <c r="E727" s="1" t="s">
        <v>3326</v>
      </c>
    </row>
    <row r="728" spans="1:5" ht="15" customHeight="1" x14ac:dyDescent="0.25">
      <c r="A728" t="s">
        <v>2155</v>
      </c>
      <c r="B728" t="s">
        <v>490</v>
      </c>
      <c r="C728">
        <v>1980</v>
      </c>
      <c r="E728" s="1" t="s">
        <v>3327</v>
      </c>
    </row>
    <row r="729" spans="1:5" ht="15" customHeight="1" x14ac:dyDescent="0.25">
      <c r="A729" t="s">
        <v>2155</v>
      </c>
      <c r="B729" t="s">
        <v>522</v>
      </c>
      <c r="C729">
        <v>1980</v>
      </c>
      <c r="E729" s="1"/>
    </row>
    <row r="730" spans="1:5" ht="15" customHeight="1" x14ac:dyDescent="0.25">
      <c r="A730" t="s">
        <v>2155</v>
      </c>
      <c r="B730" t="s">
        <v>546</v>
      </c>
      <c r="C730">
        <v>1980</v>
      </c>
      <c r="E730" s="1" t="s">
        <v>3328</v>
      </c>
    </row>
    <row r="731" spans="1:5" ht="15" customHeight="1" x14ac:dyDescent="0.25">
      <c r="A731" t="s">
        <v>2155</v>
      </c>
      <c r="B731" t="s">
        <v>689</v>
      </c>
      <c r="C731">
        <v>1980</v>
      </c>
      <c r="E731" s="1" t="s">
        <v>3329</v>
      </c>
    </row>
    <row r="732" spans="1:5" ht="15" customHeight="1" x14ac:dyDescent="0.25">
      <c r="A732" t="s">
        <v>2155</v>
      </c>
      <c r="B732" t="s">
        <v>1081</v>
      </c>
      <c r="C732">
        <v>1980</v>
      </c>
      <c r="E732" s="1" t="s">
        <v>3330</v>
      </c>
    </row>
    <row r="733" spans="1:5" ht="15" customHeight="1" x14ac:dyDescent="0.25">
      <c r="A733" t="s">
        <v>2155</v>
      </c>
      <c r="B733" t="s">
        <v>1228</v>
      </c>
      <c r="C733">
        <v>1980</v>
      </c>
      <c r="E733" s="1" t="s">
        <v>3331</v>
      </c>
    </row>
    <row r="734" spans="1:5" ht="15" customHeight="1" x14ac:dyDescent="0.25">
      <c r="A734" t="s">
        <v>2155</v>
      </c>
      <c r="B734" t="s">
        <v>1285</v>
      </c>
      <c r="C734">
        <v>1980</v>
      </c>
      <c r="E734" s="1"/>
    </row>
    <row r="735" spans="1:5" ht="15" customHeight="1" x14ac:dyDescent="0.25">
      <c r="A735" t="s">
        <v>2155</v>
      </c>
      <c r="B735" t="s">
        <v>1401</v>
      </c>
      <c r="C735">
        <v>1980</v>
      </c>
      <c r="E735" s="11" t="s">
        <v>2992</v>
      </c>
    </row>
    <row r="736" spans="1:5" ht="15" customHeight="1" x14ac:dyDescent="0.25">
      <c r="A736" t="s">
        <v>2155</v>
      </c>
      <c r="B736" t="s">
        <v>1426</v>
      </c>
      <c r="C736">
        <v>1980</v>
      </c>
      <c r="E736" s="1" t="s">
        <v>2983</v>
      </c>
    </row>
    <row r="737" spans="1:5" ht="15" customHeight="1" x14ac:dyDescent="0.25">
      <c r="A737" t="s">
        <v>2155</v>
      </c>
      <c r="B737" t="s">
        <v>1524</v>
      </c>
      <c r="C737">
        <v>1980</v>
      </c>
      <c r="E737" s="1" t="s">
        <v>3332</v>
      </c>
    </row>
    <row r="738" spans="1:5" ht="15" customHeight="1" x14ac:dyDescent="0.25">
      <c r="A738" t="s">
        <v>2155</v>
      </c>
      <c r="B738" t="s">
        <v>1664</v>
      </c>
      <c r="C738">
        <v>1980</v>
      </c>
      <c r="E738" t="s">
        <v>3014</v>
      </c>
    </row>
    <row r="739" spans="1:5" ht="15" customHeight="1" x14ac:dyDescent="0.25">
      <c r="A739" t="s">
        <v>2155</v>
      </c>
      <c r="B739" t="s">
        <v>1726</v>
      </c>
      <c r="C739">
        <v>1980</v>
      </c>
      <c r="E739" s="1" t="s">
        <v>3333</v>
      </c>
    </row>
    <row r="740" spans="1:5" ht="15" customHeight="1" x14ac:dyDescent="0.25">
      <c r="A740" t="s">
        <v>2155</v>
      </c>
      <c r="B740" t="s">
        <v>2036</v>
      </c>
      <c r="C740">
        <v>1980</v>
      </c>
      <c r="E740" s="1" t="s">
        <v>3155</v>
      </c>
    </row>
    <row r="741" spans="1:5" ht="15" customHeight="1" x14ac:dyDescent="0.25">
      <c r="A741" t="s">
        <v>2155</v>
      </c>
      <c r="B741" t="s">
        <v>2054</v>
      </c>
      <c r="C741">
        <v>1980</v>
      </c>
      <c r="E741" s="1" t="s">
        <v>3293</v>
      </c>
    </row>
    <row r="742" spans="1:5" ht="15" customHeight="1" x14ac:dyDescent="0.25">
      <c r="A742" t="s">
        <v>2155</v>
      </c>
      <c r="B742" t="s">
        <v>2078</v>
      </c>
      <c r="C742">
        <v>1980</v>
      </c>
      <c r="E742" s="11" t="s">
        <v>3334</v>
      </c>
    </row>
    <row r="743" spans="1:5" ht="15" customHeight="1" x14ac:dyDescent="0.25">
      <c r="A743" t="s">
        <v>2155</v>
      </c>
      <c r="B743" t="s">
        <v>2167</v>
      </c>
      <c r="C743">
        <v>1980</v>
      </c>
      <c r="E743" s="11" t="s">
        <v>3335</v>
      </c>
    </row>
    <row r="744" spans="1:5" ht="15" customHeight="1" x14ac:dyDescent="0.25">
      <c r="A744" t="s">
        <v>2155</v>
      </c>
      <c r="B744" t="s">
        <v>2201</v>
      </c>
      <c r="C744">
        <v>1980</v>
      </c>
      <c r="E744" s="1" t="s">
        <v>3063</v>
      </c>
    </row>
    <row r="745" spans="1:5" ht="15" customHeight="1" x14ac:dyDescent="0.25">
      <c r="A745" t="s">
        <v>2155</v>
      </c>
      <c r="B745" t="s">
        <v>2205</v>
      </c>
      <c r="C745">
        <v>1980</v>
      </c>
      <c r="E745" s="1" t="s">
        <v>3336</v>
      </c>
    </row>
    <row r="746" spans="1:5" ht="15" customHeight="1" x14ac:dyDescent="0.25">
      <c r="A746" t="s">
        <v>2155</v>
      </c>
      <c r="B746" t="s">
        <v>2544</v>
      </c>
      <c r="C746">
        <v>1980</v>
      </c>
      <c r="E746" s="1" t="s">
        <v>3296</v>
      </c>
    </row>
    <row r="747" spans="1:5" ht="15" customHeight="1" x14ac:dyDescent="0.25">
      <c r="A747" t="s">
        <v>2155</v>
      </c>
      <c r="B747" t="s">
        <v>2626</v>
      </c>
      <c r="C747">
        <v>1980</v>
      </c>
      <c r="E747" s="11" t="s">
        <v>3335</v>
      </c>
    </row>
    <row r="748" spans="1:5" ht="15" customHeight="1" x14ac:dyDescent="0.25">
      <c r="A748" t="s">
        <v>2155</v>
      </c>
      <c r="B748" t="s">
        <v>2707</v>
      </c>
      <c r="C748">
        <v>1980</v>
      </c>
      <c r="E748" s="1" t="s">
        <v>3337</v>
      </c>
    </row>
    <row r="749" spans="1:5" ht="15" customHeight="1" x14ac:dyDescent="0.25">
      <c r="A749" t="s">
        <v>2155</v>
      </c>
      <c r="B749" t="s">
        <v>2722</v>
      </c>
      <c r="C749">
        <v>1980</v>
      </c>
      <c r="E749" s="1" t="s">
        <v>3338</v>
      </c>
    </row>
    <row r="750" spans="1:5" ht="15" customHeight="1" x14ac:dyDescent="0.25">
      <c r="A750" t="s">
        <v>2174</v>
      </c>
      <c r="B750" t="s">
        <v>689</v>
      </c>
      <c r="C750">
        <v>2013</v>
      </c>
      <c r="E750" s="1" t="s">
        <v>3329</v>
      </c>
    </row>
    <row r="751" spans="1:5" ht="15" customHeight="1" x14ac:dyDescent="0.25">
      <c r="A751" t="s">
        <v>2174</v>
      </c>
      <c r="B751" t="s">
        <v>759</v>
      </c>
      <c r="C751">
        <v>2013</v>
      </c>
      <c r="E751" s="1" t="s">
        <v>3339</v>
      </c>
    </row>
    <row r="752" spans="1:5" ht="15" customHeight="1" x14ac:dyDescent="0.25">
      <c r="A752" t="s">
        <v>2174</v>
      </c>
      <c r="B752" t="s">
        <v>1003</v>
      </c>
      <c r="C752">
        <v>2013</v>
      </c>
      <c r="E752" s="1" t="s">
        <v>3120</v>
      </c>
    </row>
    <row r="753" spans="1:5" ht="15" customHeight="1" x14ac:dyDescent="0.25">
      <c r="A753" t="s">
        <v>2174</v>
      </c>
      <c r="B753" t="s">
        <v>1105</v>
      </c>
      <c r="C753">
        <v>2013</v>
      </c>
      <c r="E753" s="1" t="s">
        <v>3340</v>
      </c>
    </row>
    <row r="754" spans="1:5" ht="15" customHeight="1" x14ac:dyDescent="0.25">
      <c r="A754" t="s">
        <v>2174</v>
      </c>
      <c r="B754" t="s">
        <v>1152</v>
      </c>
      <c r="C754">
        <v>2013</v>
      </c>
      <c r="E754" s="1" t="s">
        <v>3121</v>
      </c>
    </row>
    <row r="755" spans="1:5" ht="15" customHeight="1" x14ac:dyDescent="0.25">
      <c r="A755" t="s">
        <v>2174</v>
      </c>
      <c r="B755" t="s">
        <v>1414</v>
      </c>
      <c r="C755">
        <v>2013</v>
      </c>
      <c r="E755" s="1" t="s">
        <v>3341</v>
      </c>
    </row>
    <row r="756" spans="1:5" ht="15" customHeight="1" x14ac:dyDescent="0.25">
      <c r="A756" t="s">
        <v>2174</v>
      </c>
      <c r="B756" t="s">
        <v>1714</v>
      </c>
      <c r="C756">
        <v>2013</v>
      </c>
      <c r="E756" s="1" t="s">
        <v>3342</v>
      </c>
    </row>
    <row r="757" spans="1:5" ht="15" customHeight="1" x14ac:dyDescent="0.25">
      <c r="A757" t="s">
        <v>2174</v>
      </c>
      <c r="B757" t="s">
        <v>2170</v>
      </c>
      <c r="C757">
        <v>2013</v>
      </c>
      <c r="E757" s="1" t="s">
        <v>3343</v>
      </c>
    </row>
    <row r="758" spans="1:5" ht="15" customHeight="1" x14ac:dyDescent="0.25">
      <c r="A758" t="s">
        <v>2174</v>
      </c>
      <c r="B758" t="s">
        <v>2178</v>
      </c>
      <c r="C758">
        <v>2013</v>
      </c>
      <c r="D758" t="s">
        <v>187</v>
      </c>
      <c r="E758" s="1"/>
    </row>
    <row r="759" spans="1:5" ht="15" customHeight="1" x14ac:dyDescent="0.25">
      <c r="A759" t="s">
        <v>2174</v>
      </c>
      <c r="B759" t="s">
        <v>2404</v>
      </c>
      <c r="C759">
        <v>2013</v>
      </c>
      <c r="E759" s="1" t="s">
        <v>3126</v>
      </c>
    </row>
    <row r="760" spans="1:5" ht="15" customHeight="1" x14ac:dyDescent="0.25">
      <c r="A760" t="s">
        <v>2174</v>
      </c>
      <c r="B760" t="s">
        <v>2499</v>
      </c>
      <c r="C760">
        <v>2013</v>
      </c>
      <c r="E760" s="1" t="s">
        <v>3344</v>
      </c>
    </row>
    <row r="761" spans="1:5" ht="15" customHeight="1" x14ac:dyDescent="0.25">
      <c r="A761" t="s">
        <v>2174</v>
      </c>
      <c r="B761" t="s">
        <v>2783</v>
      </c>
      <c r="C761">
        <v>2013</v>
      </c>
      <c r="E761" s="1" t="s">
        <v>3128</v>
      </c>
    </row>
    <row r="762" spans="1:5" ht="15" customHeight="1" x14ac:dyDescent="0.25">
      <c r="A762" t="s">
        <v>2186</v>
      </c>
      <c r="B762" t="s">
        <v>1834</v>
      </c>
      <c r="C762">
        <v>2022</v>
      </c>
      <c r="E762" s="1" t="s">
        <v>2983</v>
      </c>
    </row>
    <row r="763" spans="1:5" ht="15" customHeight="1" x14ac:dyDescent="0.25">
      <c r="A763" t="s">
        <v>2186</v>
      </c>
      <c r="B763" t="s">
        <v>2737</v>
      </c>
      <c r="C763">
        <v>2022</v>
      </c>
      <c r="E763" s="1" t="s">
        <v>3345</v>
      </c>
    </row>
    <row r="764" spans="1:5" ht="15" customHeight="1" x14ac:dyDescent="0.25">
      <c r="A764" t="s">
        <v>2197</v>
      </c>
      <c r="B764" t="s">
        <v>866</v>
      </c>
      <c r="C764">
        <v>2021</v>
      </c>
      <c r="E764" s="1" t="s">
        <v>3206</v>
      </c>
    </row>
    <row r="765" spans="1:5" ht="15" customHeight="1" x14ac:dyDescent="0.25">
      <c r="A765" t="s">
        <v>2197</v>
      </c>
      <c r="B765" t="s">
        <v>2672</v>
      </c>
      <c r="C765">
        <v>2021</v>
      </c>
      <c r="E765" s="1" t="s">
        <v>3346</v>
      </c>
    </row>
    <row r="766" spans="1:5" ht="15" customHeight="1" x14ac:dyDescent="0.25">
      <c r="A766" t="s">
        <v>2212</v>
      </c>
      <c r="B766" t="s">
        <v>2216</v>
      </c>
      <c r="C766">
        <v>2021</v>
      </c>
      <c r="E766" s="1" t="s">
        <v>3043</v>
      </c>
    </row>
    <row r="767" spans="1:5" ht="15" customHeight="1" x14ac:dyDescent="0.25">
      <c r="A767" t="s">
        <v>2255</v>
      </c>
      <c r="B767" t="s">
        <v>1160</v>
      </c>
      <c r="C767">
        <v>2020</v>
      </c>
      <c r="E767" s="1" t="s">
        <v>2983</v>
      </c>
    </row>
    <row r="768" spans="1:5" ht="15" customHeight="1" x14ac:dyDescent="0.25">
      <c r="A768" t="s">
        <v>2255</v>
      </c>
      <c r="B768" t="s">
        <v>1880</v>
      </c>
      <c r="C768">
        <v>2020</v>
      </c>
      <c r="E768" s="11" t="s">
        <v>3308</v>
      </c>
    </row>
    <row r="769" spans="1:5" ht="15" customHeight="1" x14ac:dyDescent="0.25">
      <c r="A769" t="s">
        <v>2270</v>
      </c>
      <c r="B769" t="s">
        <v>209</v>
      </c>
      <c r="C769">
        <v>2022</v>
      </c>
      <c r="D769" t="s">
        <v>187</v>
      </c>
      <c r="E769" s="1"/>
    </row>
    <row r="770" spans="1:5" ht="15" customHeight="1" x14ac:dyDescent="0.25">
      <c r="A770" t="s">
        <v>2287</v>
      </c>
      <c r="B770" t="s">
        <v>1566</v>
      </c>
      <c r="C770">
        <v>2014</v>
      </c>
      <c r="E770" s="11" t="s">
        <v>3132</v>
      </c>
    </row>
    <row r="771" spans="1:5" ht="15" customHeight="1" x14ac:dyDescent="0.25">
      <c r="A771" t="s">
        <v>2293</v>
      </c>
      <c r="B771" t="s">
        <v>2299</v>
      </c>
      <c r="C771">
        <v>2008</v>
      </c>
      <c r="D771" t="s">
        <v>187</v>
      </c>
      <c r="E771" s="1"/>
    </row>
    <row r="772" spans="1:5" ht="15" customHeight="1" x14ac:dyDescent="0.25">
      <c r="A772" t="s">
        <v>2296</v>
      </c>
      <c r="B772" t="s">
        <v>2293</v>
      </c>
      <c r="C772">
        <v>2000</v>
      </c>
      <c r="D772" t="s">
        <v>187</v>
      </c>
      <c r="E772" s="1"/>
    </row>
    <row r="773" spans="1:5" ht="15" customHeight="1" x14ac:dyDescent="0.25">
      <c r="A773" t="s">
        <v>2296</v>
      </c>
      <c r="B773" t="s">
        <v>2302</v>
      </c>
      <c r="C773">
        <v>2000</v>
      </c>
      <c r="D773" t="s">
        <v>187</v>
      </c>
      <c r="E773" s="1"/>
    </row>
    <row r="774" spans="1:5" ht="15" customHeight="1" x14ac:dyDescent="0.25">
      <c r="A774" t="s">
        <v>2299</v>
      </c>
      <c r="B774" t="s">
        <v>2315</v>
      </c>
      <c r="C774">
        <v>2010</v>
      </c>
      <c r="D774" t="s">
        <v>187</v>
      </c>
      <c r="E774" s="1"/>
    </row>
    <row r="775" spans="1:5" ht="15" customHeight="1" x14ac:dyDescent="0.25">
      <c r="A775" t="s">
        <v>2305</v>
      </c>
      <c r="B775" t="s">
        <v>2308</v>
      </c>
      <c r="C775">
        <v>1996</v>
      </c>
      <c r="D775" t="s">
        <v>187</v>
      </c>
      <c r="E775" s="1"/>
    </row>
    <row r="776" spans="1:5" ht="15" customHeight="1" x14ac:dyDescent="0.25">
      <c r="A776" t="s">
        <v>2315</v>
      </c>
      <c r="B776" t="s">
        <v>2311</v>
      </c>
      <c r="C776">
        <v>2010</v>
      </c>
      <c r="D776" t="s">
        <v>187</v>
      </c>
      <c r="E776" s="1"/>
    </row>
    <row r="777" spans="1:5" ht="15" customHeight="1" x14ac:dyDescent="0.25">
      <c r="A777" t="s">
        <v>2319</v>
      </c>
      <c r="B777" t="s">
        <v>2687</v>
      </c>
      <c r="C777">
        <v>2023</v>
      </c>
      <c r="E777" s="1" t="s">
        <v>2983</v>
      </c>
    </row>
    <row r="778" spans="1:5" ht="15" customHeight="1" x14ac:dyDescent="0.25">
      <c r="A778" t="s">
        <v>2323</v>
      </c>
      <c r="B778" t="s">
        <v>1856</v>
      </c>
      <c r="C778">
        <v>2010</v>
      </c>
      <c r="E778" s="1" t="s">
        <v>3347</v>
      </c>
    </row>
    <row r="779" spans="1:5" ht="15" customHeight="1" x14ac:dyDescent="0.25">
      <c r="A779" t="s">
        <v>2325</v>
      </c>
      <c r="B779" t="s">
        <v>421</v>
      </c>
      <c r="C779">
        <v>2022</v>
      </c>
      <c r="E779" s="1" t="s">
        <v>2983</v>
      </c>
    </row>
    <row r="780" spans="1:5" ht="15" customHeight="1" x14ac:dyDescent="0.25">
      <c r="A780" t="s">
        <v>2325</v>
      </c>
      <c r="B780" t="s">
        <v>571</v>
      </c>
      <c r="C780">
        <v>2022</v>
      </c>
      <c r="E780" s="11" t="s">
        <v>3087</v>
      </c>
    </row>
    <row r="781" spans="1:5" ht="15" customHeight="1" x14ac:dyDescent="0.25">
      <c r="A781" t="s">
        <v>2325</v>
      </c>
      <c r="B781" t="s">
        <v>2660</v>
      </c>
      <c r="C781">
        <v>2022</v>
      </c>
      <c r="E781" s="1" t="s">
        <v>3259</v>
      </c>
    </row>
    <row r="782" spans="1:5" ht="15" customHeight="1" x14ac:dyDescent="0.25">
      <c r="A782" t="s">
        <v>2336</v>
      </c>
      <c r="B782" t="s">
        <v>2072</v>
      </c>
      <c r="C782">
        <v>2020</v>
      </c>
      <c r="E782" s="1" t="s">
        <v>3238</v>
      </c>
    </row>
    <row r="783" spans="1:5" ht="15" customHeight="1" x14ac:dyDescent="0.25">
      <c r="A783" t="s">
        <v>2349</v>
      </c>
      <c r="B783" t="s">
        <v>1288</v>
      </c>
      <c r="C783">
        <v>2006</v>
      </c>
      <c r="E783" s="1" t="s">
        <v>3348</v>
      </c>
    </row>
    <row r="784" spans="1:5" ht="15" customHeight="1" x14ac:dyDescent="0.25">
      <c r="A784" t="s">
        <v>90</v>
      </c>
      <c r="B784" t="s">
        <v>209</v>
      </c>
      <c r="C784">
        <v>2017</v>
      </c>
      <c r="E784" s="1" t="s">
        <v>3349</v>
      </c>
    </row>
    <row r="785" spans="1:5" ht="15" customHeight="1" x14ac:dyDescent="0.25">
      <c r="A785" t="s">
        <v>90</v>
      </c>
      <c r="B785" t="s">
        <v>215</v>
      </c>
      <c r="C785">
        <v>2017</v>
      </c>
      <c r="E785" s="1" t="s">
        <v>2983</v>
      </c>
    </row>
    <row r="786" spans="1:5" ht="15" customHeight="1" x14ac:dyDescent="0.25">
      <c r="A786" t="s">
        <v>90</v>
      </c>
      <c r="B786" t="s">
        <v>233</v>
      </c>
      <c r="C786">
        <v>2017</v>
      </c>
      <c r="E786" s="1" t="s">
        <v>3314</v>
      </c>
    </row>
    <row r="787" spans="1:5" ht="15" customHeight="1" x14ac:dyDescent="0.25">
      <c r="A787" t="s">
        <v>90</v>
      </c>
      <c r="B787" t="s">
        <v>237</v>
      </c>
      <c r="C787">
        <v>2017</v>
      </c>
      <c r="E787" s="1" t="s">
        <v>3350</v>
      </c>
    </row>
    <row r="788" spans="1:5" ht="15" customHeight="1" x14ac:dyDescent="0.25">
      <c r="A788" t="s">
        <v>90</v>
      </c>
      <c r="B788" t="s">
        <v>249</v>
      </c>
      <c r="C788">
        <v>2017</v>
      </c>
      <c r="E788" s="1" t="s">
        <v>3251</v>
      </c>
    </row>
    <row r="789" spans="1:5" ht="15" customHeight="1" x14ac:dyDescent="0.25">
      <c r="A789" t="s">
        <v>90</v>
      </c>
      <c r="B789" t="s">
        <v>283</v>
      </c>
      <c r="C789">
        <v>2017</v>
      </c>
      <c r="E789" s="1" t="s">
        <v>3201</v>
      </c>
    </row>
    <row r="790" spans="1:5" ht="15" customHeight="1" x14ac:dyDescent="0.25">
      <c r="A790" t="s">
        <v>90</v>
      </c>
      <c r="B790" t="s">
        <v>287</v>
      </c>
      <c r="C790">
        <v>2017</v>
      </c>
      <c r="E790" s="11" t="s">
        <v>3144</v>
      </c>
    </row>
    <row r="791" spans="1:5" ht="15" customHeight="1" x14ac:dyDescent="0.25">
      <c r="A791" t="s">
        <v>90</v>
      </c>
      <c r="B791" t="s">
        <v>299</v>
      </c>
      <c r="C791">
        <v>2017</v>
      </c>
      <c r="E791" s="1" t="s">
        <v>3310</v>
      </c>
    </row>
    <row r="792" spans="1:5" ht="15" customHeight="1" x14ac:dyDescent="0.25">
      <c r="A792" t="s">
        <v>90</v>
      </c>
      <c r="B792" t="s">
        <v>301</v>
      </c>
      <c r="C792">
        <v>2017</v>
      </c>
      <c r="E792" s="1" t="s">
        <v>2983</v>
      </c>
    </row>
    <row r="793" spans="1:5" ht="15" customHeight="1" x14ac:dyDescent="0.25">
      <c r="A793" t="s">
        <v>90</v>
      </c>
      <c r="B793" t="s">
        <v>310</v>
      </c>
      <c r="C793">
        <v>2017</v>
      </c>
      <c r="E793" s="1" t="s">
        <v>3351</v>
      </c>
    </row>
    <row r="794" spans="1:5" ht="15" customHeight="1" x14ac:dyDescent="0.25">
      <c r="A794" t="s">
        <v>90</v>
      </c>
      <c r="B794" t="s">
        <v>314</v>
      </c>
      <c r="C794">
        <v>2017</v>
      </c>
      <c r="E794" s="1" t="s">
        <v>3352</v>
      </c>
    </row>
    <row r="795" spans="1:5" ht="15" customHeight="1" x14ac:dyDescent="0.25">
      <c r="A795" t="s">
        <v>90</v>
      </c>
      <c r="B795" t="s">
        <v>333</v>
      </c>
      <c r="C795">
        <v>2017</v>
      </c>
      <c r="E795" s="1" t="s">
        <v>3188</v>
      </c>
    </row>
    <row r="796" spans="1:5" ht="15" customHeight="1" x14ac:dyDescent="0.25">
      <c r="A796" t="s">
        <v>90</v>
      </c>
      <c r="B796" t="s">
        <v>346</v>
      </c>
      <c r="C796">
        <v>2017</v>
      </c>
      <c r="E796" s="1" t="s">
        <v>3252</v>
      </c>
    </row>
    <row r="797" spans="1:5" ht="15" customHeight="1" x14ac:dyDescent="0.25">
      <c r="A797" t="s">
        <v>90</v>
      </c>
      <c r="B797" t="s">
        <v>368</v>
      </c>
      <c r="C797">
        <v>2017</v>
      </c>
      <c r="E797" s="1" t="s">
        <v>3014</v>
      </c>
    </row>
    <row r="798" spans="1:5" ht="15" customHeight="1" x14ac:dyDescent="0.25">
      <c r="A798" t="s">
        <v>90</v>
      </c>
      <c r="B798" t="s">
        <v>372</v>
      </c>
      <c r="C798">
        <v>2017</v>
      </c>
      <c r="E798" s="11" t="s">
        <v>3017</v>
      </c>
    </row>
    <row r="799" spans="1:5" ht="15" customHeight="1" x14ac:dyDescent="0.25">
      <c r="A799" t="s">
        <v>90</v>
      </c>
      <c r="B799" t="s">
        <v>403</v>
      </c>
      <c r="C799">
        <v>2017</v>
      </c>
      <c r="E799" s="1" t="s">
        <v>3353</v>
      </c>
    </row>
    <row r="800" spans="1:5" ht="15" customHeight="1" x14ac:dyDescent="0.25">
      <c r="A800" t="s">
        <v>90</v>
      </c>
      <c r="B800" t="s">
        <v>411</v>
      </c>
      <c r="C800">
        <v>2017</v>
      </c>
      <c r="E800" s="1" t="s">
        <v>3354</v>
      </c>
    </row>
    <row r="801" spans="1:5" ht="15" customHeight="1" x14ac:dyDescent="0.25">
      <c r="A801" t="s">
        <v>90</v>
      </c>
      <c r="B801" t="s">
        <v>428</v>
      </c>
      <c r="C801">
        <v>2017</v>
      </c>
      <c r="E801" s="11" t="s">
        <v>3022</v>
      </c>
    </row>
    <row r="802" spans="1:5" ht="15" customHeight="1" x14ac:dyDescent="0.25">
      <c r="A802" t="s">
        <v>90</v>
      </c>
      <c r="B802" t="s">
        <v>464</v>
      </c>
      <c r="C802">
        <v>2017</v>
      </c>
      <c r="E802" s="1" t="s">
        <v>2983</v>
      </c>
    </row>
    <row r="803" spans="1:5" ht="15" customHeight="1" x14ac:dyDescent="0.25">
      <c r="A803" t="s">
        <v>90</v>
      </c>
      <c r="B803" t="s">
        <v>477</v>
      </c>
      <c r="C803">
        <v>2017</v>
      </c>
      <c r="E803" s="1" t="s">
        <v>2983</v>
      </c>
    </row>
    <row r="804" spans="1:5" ht="15" customHeight="1" x14ac:dyDescent="0.25">
      <c r="A804" t="s">
        <v>90</v>
      </c>
      <c r="B804" t="s">
        <v>480</v>
      </c>
      <c r="C804">
        <v>2017</v>
      </c>
      <c r="E804" s="1" t="s">
        <v>3355</v>
      </c>
    </row>
    <row r="805" spans="1:5" ht="15" customHeight="1" x14ac:dyDescent="0.25">
      <c r="A805" t="s">
        <v>90</v>
      </c>
      <c r="B805" t="s">
        <v>484</v>
      </c>
      <c r="C805">
        <v>2017</v>
      </c>
      <c r="E805" s="1" t="s">
        <v>3202</v>
      </c>
    </row>
    <row r="806" spans="1:5" ht="15" customHeight="1" x14ac:dyDescent="0.25">
      <c r="A806" t="s">
        <v>90</v>
      </c>
      <c r="B806" t="s">
        <v>493</v>
      </c>
      <c r="C806">
        <v>2017</v>
      </c>
      <c r="E806" s="1" t="s">
        <v>2983</v>
      </c>
    </row>
    <row r="807" spans="1:5" ht="15" customHeight="1" x14ac:dyDescent="0.25">
      <c r="A807" t="s">
        <v>90</v>
      </c>
      <c r="B807" t="s">
        <v>567</v>
      </c>
      <c r="C807">
        <v>2017</v>
      </c>
      <c r="E807" s="1" t="s">
        <v>3356</v>
      </c>
    </row>
    <row r="808" spans="1:5" ht="15" customHeight="1" x14ac:dyDescent="0.25">
      <c r="A808" t="s">
        <v>90</v>
      </c>
      <c r="B808" t="s">
        <v>571</v>
      </c>
      <c r="C808">
        <v>2017</v>
      </c>
      <c r="E808" s="11" t="s">
        <v>3357</v>
      </c>
    </row>
    <row r="809" spans="1:5" ht="15" customHeight="1" x14ac:dyDescent="0.25">
      <c r="A809" t="s">
        <v>90</v>
      </c>
      <c r="B809" t="s">
        <v>598</v>
      </c>
      <c r="C809">
        <v>2017</v>
      </c>
      <c r="E809" s="1" t="s">
        <v>2983</v>
      </c>
    </row>
    <row r="810" spans="1:5" ht="15" customHeight="1" x14ac:dyDescent="0.25">
      <c r="A810" t="s">
        <v>90</v>
      </c>
      <c r="B810" t="s">
        <v>610</v>
      </c>
      <c r="C810">
        <v>2017</v>
      </c>
      <c r="E810" s="11" t="s">
        <v>3068</v>
      </c>
    </row>
    <row r="811" spans="1:5" ht="15" customHeight="1" x14ac:dyDescent="0.25">
      <c r="A811" t="s">
        <v>90</v>
      </c>
      <c r="B811" t="s">
        <v>619</v>
      </c>
      <c r="C811">
        <v>2017</v>
      </c>
      <c r="E811" s="1" t="s">
        <v>3246</v>
      </c>
    </row>
    <row r="812" spans="1:5" ht="15" customHeight="1" x14ac:dyDescent="0.25">
      <c r="A812" t="s">
        <v>90</v>
      </c>
      <c r="B812" t="s">
        <v>633</v>
      </c>
      <c r="C812">
        <v>2017</v>
      </c>
      <c r="E812" s="1" t="s">
        <v>3358</v>
      </c>
    </row>
    <row r="813" spans="1:5" ht="15" customHeight="1" x14ac:dyDescent="0.25">
      <c r="A813" t="s">
        <v>90</v>
      </c>
      <c r="B813" t="s">
        <v>643</v>
      </c>
      <c r="C813">
        <v>2017</v>
      </c>
      <c r="E813" s="1" t="s">
        <v>3359</v>
      </c>
    </row>
    <row r="814" spans="1:5" ht="15" customHeight="1" x14ac:dyDescent="0.25">
      <c r="A814" t="s">
        <v>90</v>
      </c>
      <c r="B814" t="s">
        <v>671</v>
      </c>
      <c r="C814">
        <v>2017</v>
      </c>
      <c r="E814" s="1" t="s">
        <v>2983</v>
      </c>
    </row>
    <row r="815" spans="1:5" ht="15" customHeight="1" x14ac:dyDescent="0.25">
      <c r="A815" t="s">
        <v>90</v>
      </c>
      <c r="B815" t="s">
        <v>681</v>
      </c>
      <c r="C815">
        <v>2017</v>
      </c>
      <c r="E815" s="1" t="s">
        <v>3360</v>
      </c>
    </row>
    <row r="816" spans="1:5" ht="15" customHeight="1" x14ac:dyDescent="0.25">
      <c r="A816" t="s">
        <v>90</v>
      </c>
      <c r="B816" t="s">
        <v>730</v>
      </c>
      <c r="C816">
        <v>2017</v>
      </c>
      <c r="E816" s="1" t="s">
        <v>3027</v>
      </c>
    </row>
    <row r="817" spans="1:5" ht="15" customHeight="1" x14ac:dyDescent="0.25">
      <c r="A817" t="s">
        <v>90</v>
      </c>
      <c r="B817" t="s">
        <v>795</v>
      </c>
      <c r="C817">
        <v>2017</v>
      </c>
      <c r="E817" s="1" t="s">
        <v>3101</v>
      </c>
    </row>
    <row r="818" spans="1:5" ht="15" customHeight="1" x14ac:dyDescent="0.25">
      <c r="A818" t="s">
        <v>90</v>
      </c>
      <c r="B818" t="s">
        <v>799</v>
      </c>
      <c r="C818">
        <v>2017</v>
      </c>
      <c r="E818" s="1" t="s">
        <v>3361</v>
      </c>
    </row>
    <row r="819" spans="1:5" ht="15" customHeight="1" x14ac:dyDescent="0.25">
      <c r="A819" t="s">
        <v>90</v>
      </c>
      <c r="B819" t="s">
        <v>803</v>
      </c>
      <c r="C819">
        <v>2017</v>
      </c>
      <c r="E819" s="1" t="s">
        <v>2983</v>
      </c>
    </row>
    <row r="820" spans="1:5" ht="15" customHeight="1" x14ac:dyDescent="0.25">
      <c r="A820" t="s">
        <v>90</v>
      </c>
      <c r="B820" t="s">
        <v>815</v>
      </c>
      <c r="C820">
        <v>2017</v>
      </c>
      <c r="E820" s="1" t="s">
        <v>3362</v>
      </c>
    </row>
    <row r="821" spans="1:5" ht="15" customHeight="1" x14ac:dyDescent="0.25">
      <c r="A821" t="s">
        <v>90</v>
      </c>
      <c r="B821" t="s">
        <v>828</v>
      </c>
      <c r="C821">
        <v>2017</v>
      </c>
      <c r="E821" s="1" t="s">
        <v>2983</v>
      </c>
    </row>
    <row r="822" spans="1:5" ht="15" customHeight="1" x14ac:dyDescent="0.25">
      <c r="A822" t="s">
        <v>90</v>
      </c>
      <c r="B822" t="s">
        <v>851</v>
      </c>
      <c r="C822">
        <v>2017</v>
      </c>
      <c r="E822" s="11" t="s">
        <v>3363</v>
      </c>
    </row>
    <row r="823" spans="1:5" ht="15" customHeight="1" x14ac:dyDescent="0.25">
      <c r="A823" t="s">
        <v>90</v>
      </c>
      <c r="B823" t="s">
        <v>857</v>
      </c>
      <c r="C823">
        <v>2017</v>
      </c>
      <c r="E823" s="11" t="s">
        <v>3364</v>
      </c>
    </row>
    <row r="824" spans="1:5" ht="15" customHeight="1" x14ac:dyDescent="0.25">
      <c r="A824" t="s">
        <v>90</v>
      </c>
      <c r="B824" t="s">
        <v>864</v>
      </c>
      <c r="C824">
        <v>2017</v>
      </c>
      <c r="E824" s="1" t="s">
        <v>3029</v>
      </c>
    </row>
    <row r="825" spans="1:5" ht="15" customHeight="1" x14ac:dyDescent="0.25">
      <c r="A825" t="s">
        <v>90</v>
      </c>
      <c r="B825" t="s">
        <v>866</v>
      </c>
      <c r="C825">
        <v>2017</v>
      </c>
      <c r="E825" s="1" t="s">
        <v>3206</v>
      </c>
    </row>
    <row r="826" spans="1:5" ht="15" customHeight="1" x14ac:dyDescent="0.25">
      <c r="A826" t="s">
        <v>90</v>
      </c>
      <c r="B826" t="s">
        <v>870</v>
      </c>
      <c r="C826">
        <v>2017</v>
      </c>
      <c r="E826" t="s">
        <v>2983</v>
      </c>
    </row>
    <row r="827" spans="1:5" ht="15" customHeight="1" x14ac:dyDescent="0.25">
      <c r="A827" t="s">
        <v>90</v>
      </c>
      <c r="B827" t="s">
        <v>878</v>
      </c>
      <c r="C827">
        <v>2017</v>
      </c>
      <c r="E827" s="1" t="s">
        <v>3103</v>
      </c>
    </row>
    <row r="828" spans="1:5" ht="15" customHeight="1" x14ac:dyDescent="0.25">
      <c r="A828" t="s">
        <v>90</v>
      </c>
      <c r="B828" t="s">
        <v>880</v>
      </c>
      <c r="C828">
        <v>2017</v>
      </c>
      <c r="E828" s="1" t="s">
        <v>3365</v>
      </c>
    </row>
    <row r="829" spans="1:5" ht="15" customHeight="1" x14ac:dyDescent="0.25">
      <c r="A829" t="s">
        <v>90</v>
      </c>
      <c r="B829" t="s">
        <v>888</v>
      </c>
      <c r="C829">
        <v>2017</v>
      </c>
      <c r="E829" s="1" t="s">
        <v>2983</v>
      </c>
    </row>
    <row r="830" spans="1:5" ht="15" customHeight="1" x14ac:dyDescent="0.25">
      <c r="A830" t="s">
        <v>90</v>
      </c>
      <c r="B830" t="s">
        <v>899</v>
      </c>
      <c r="C830">
        <v>2017</v>
      </c>
      <c r="E830" s="1" t="s">
        <v>3146</v>
      </c>
    </row>
    <row r="831" spans="1:5" ht="15" customHeight="1" x14ac:dyDescent="0.25">
      <c r="A831" t="s">
        <v>90</v>
      </c>
      <c r="B831" t="s">
        <v>961</v>
      </c>
      <c r="C831">
        <v>2017</v>
      </c>
      <c r="E831" s="1" t="s">
        <v>3147</v>
      </c>
    </row>
    <row r="832" spans="1:5" ht="15" customHeight="1" x14ac:dyDescent="0.25">
      <c r="A832" t="s">
        <v>90</v>
      </c>
      <c r="B832" t="s">
        <v>1030</v>
      </c>
      <c r="C832">
        <v>2017</v>
      </c>
      <c r="E832" s="1" t="s">
        <v>2983</v>
      </c>
    </row>
    <row r="833" spans="1:5" ht="15" customHeight="1" x14ac:dyDescent="0.25">
      <c r="A833" t="s">
        <v>90</v>
      </c>
      <c r="B833" t="s">
        <v>1035</v>
      </c>
      <c r="C833">
        <v>2017</v>
      </c>
      <c r="E833" s="1" t="s">
        <v>3366</v>
      </c>
    </row>
    <row r="834" spans="1:5" ht="15" customHeight="1" x14ac:dyDescent="0.25">
      <c r="A834" t="s">
        <v>90</v>
      </c>
      <c r="B834" t="s">
        <v>1060</v>
      </c>
      <c r="C834">
        <v>2017</v>
      </c>
      <c r="E834" s="1" t="s">
        <v>2983</v>
      </c>
    </row>
    <row r="835" spans="1:5" ht="15" customHeight="1" x14ac:dyDescent="0.25">
      <c r="A835" t="s">
        <v>90</v>
      </c>
      <c r="B835" t="s">
        <v>1090</v>
      </c>
      <c r="C835">
        <v>2017</v>
      </c>
      <c r="E835" s="1" t="s">
        <v>3254</v>
      </c>
    </row>
    <row r="836" spans="1:5" ht="15" customHeight="1" x14ac:dyDescent="0.25">
      <c r="A836" t="s">
        <v>90</v>
      </c>
      <c r="B836" t="s">
        <v>1109</v>
      </c>
      <c r="C836">
        <v>2017</v>
      </c>
      <c r="E836" s="11" t="s">
        <v>3255</v>
      </c>
    </row>
    <row r="837" spans="1:5" ht="15" customHeight="1" x14ac:dyDescent="0.25">
      <c r="A837" t="s">
        <v>90</v>
      </c>
      <c r="B837" t="s">
        <v>1124</v>
      </c>
      <c r="C837">
        <v>2017</v>
      </c>
      <c r="E837" s="11" t="s">
        <v>3207</v>
      </c>
    </row>
    <row r="838" spans="1:5" ht="15" customHeight="1" x14ac:dyDescent="0.25">
      <c r="A838" t="s">
        <v>90</v>
      </c>
      <c r="B838" t="s">
        <v>1130</v>
      </c>
      <c r="C838">
        <v>2017</v>
      </c>
      <c r="E838" s="1" t="s">
        <v>3231</v>
      </c>
    </row>
    <row r="839" spans="1:5" ht="15" customHeight="1" x14ac:dyDescent="0.25">
      <c r="A839" t="s">
        <v>90</v>
      </c>
      <c r="B839" t="s">
        <v>1232</v>
      </c>
      <c r="C839">
        <v>2022</v>
      </c>
      <c r="E839" s="1" t="s">
        <v>3367</v>
      </c>
    </row>
    <row r="840" spans="1:5" ht="15" customHeight="1" x14ac:dyDescent="0.25">
      <c r="A840" t="s">
        <v>90</v>
      </c>
      <c r="B840" t="s">
        <v>1246</v>
      </c>
      <c r="C840">
        <v>2017</v>
      </c>
      <c r="E840" s="11" t="s">
        <v>3368</v>
      </c>
    </row>
    <row r="841" spans="1:5" ht="15" customHeight="1" x14ac:dyDescent="0.25">
      <c r="A841" t="s">
        <v>90</v>
      </c>
      <c r="B841" t="s">
        <v>1256</v>
      </c>
      <c r="C841">
        <v>2017</v>
      </c>
      <c r="E841" s="1" t="s">
        <v>3369</v>
      </c>
    </row>
    <row r="842" spans="1:5" ht="15" customHeight="1" x14ac:dyDescent="0.25">
      <c r="A842" t="s">
        <v>90</v>
      </c>
      <c r="B842" t="s">
        <v>1291</v>
      </c>
      <c r="C842">
        <v>2017</v>
      </c>
      <c r="E842" s="1"/>
    </row>
    <row r="843" spans="1:5" ht="15" customHeight="1" x14ac:dyDescent="0.25">
      <c r="A843" t="s">
        <v>90</v>
      </c>
      <c r="B843" t="s">
        <v>1349</v>
      </c>
      <c r="C843">
        <v>2017</v>
      </c>
      <c r="E843" s="11" t="s">
        <v>3370</v>
      </c>
    </row>
    <row r="844" spans="1:5" ht="15" customHeight="1" x14ac:dyDescent="0.25">
      <c r="A844" t="s">
        <v>90</v>
      </c>
      <c r="B844" t="s">
        <v>1354</v>
      </c>
      <c r="C844">
        <v>2017</v>
      </c>
      <c r="E844" s="1" t="s">
        <v>3059</v>
      </c>
    </row>
    <row r="845" spans="1:5" ht="15" customHeight="1" x14ac:dyDescent="0.25">
      <c r="A845" t="s">
        <v>90</v>
      </c>
      <c r="B845" t="s">
        <v>1377</v>
      </c>
      <c r="C845">
        <v>2017</v>
      </c>
      <c r="E845" s="1" t="s">
        <v>2983</v>
      </c>
    </row>
    <row r="846" spans="1:5" ht="15" customHeight="1" x14ac:dyDescent="0.25">
      <c r="A846" t="s">
        <v>90</v>
      </c>
      <c r="B846" t="s">
        <v>1395</v>
      </c>
      <c r="C846">
        <v>2017</v>
      </c>
      <c r="E846" s="1" t="s">
        <v>3034</v>
      </c>
    </row>
    <row r="847" spans="1:5" ht="15" customHeight="1" x14ac:dyDescent="0.25">
      <c r="A847" t="s">
        <v>90</v>
      </c>
      <c r="B847" t="s">
        <v>1436</v>
      </c>
      <c r="C847">
        <v>2017</v>
      </c>
      <c r="E847" s="11" t="s">
        <v>3274</v>
      </c>
    </row>
    <row r="848" spans="1:5" ht="15" customHeight="1" x14ac:dyDescent="0.25">
      <c r="A848" t="s">
        <v>90</v>
      </c>
      <c r="B848" t="s">
        <v>1448</v>
      </c>
      <c r="C848">
        <v>2017</v>
      </c>
      <c r="E848" t="s">
        <v>2983</v>
      </c>
    </row>
    <row r="849" spans="1:5" ht="15" customHeight="1" x14ac:dyDescent="0.25">
      <c r="A849" t="s">
        <v>90</v>
      </c>
      <c r="B849" t="s">
        <v>1451</v>
      </c>
      <c r="C849">
        <v>2017</v>
      </c>
      <c r="E849" s="1" t="s">
        <v>3107</v>
      </c>
    </row>
    <row r="850" spans="1:5" ht="15" customHeight="1" x14ac:dyDescent="0.25">
      <c r="A850" t="s">
        <v>90</v>
      </c>
      <c r="B850" t="s">
        <v>1476</v>
      </c>
      <c r="C850">
        <v>2017</v>
      </c>
      <c r="E850" s="1" t="s">
        <v>3371</v>
      </c>
    </row>
    <row r="851" spans="1:5" ht="15" customHeight="1" x14ac:dyDescent="0.25">
      <c r="A851" t="s">
        <v>90</v>
      </c>
      <c r="B851" t="s">
        <v>1512</v>
      </c>
      <c r="C851">
        <v>2017</v>
      </c>
      <c r="E851" s="1" t="s">
        <v>2983</v>
      </c>
    </row>
    <row r="852" spans="1:5" ht="15" customHeight="1" x14ac:dyDescent="0.25">
      <c r="A852" t="s">
        <v>90</v>
      </c>
      <c r="B852" t="s">
        <v>1527</v>
      </c>
      <c r="C852">
        <v>2017</v>
      </c>
      <c r="E852" s="1" t="s">
        <v>3056</v>
      </c>
    </row>
    <row r="853" spans="1:5" ht="15" customHeight="1" x14ac:dyDescent="0.25">
      <c r="A853" t="s">
        <v>90</v>
      </c>
      <c r="B853" t="s">
        <v>1566</v>
      </c>
      <c r="C853">
        <v>2017</v>
      </c>
      <c r="E853" s="11" t="s">
        <v>3132</v>
      </c>
    </row>
    <row r="854" spans="1:5" ht="15" customHeight="1" x14ac:dyDescent="0.25">
      <c r="A854" t="s">
        <v>90</v>
      </c>
      <c r="B854" t="s">
        <v>1569</v>
      </c>
      <c r="C854">
        <v>2017</v>
      </c>
      <c r="E854" s="1" t="s">
        <v>3372</v>
      </c>
    </row>
    <row r="855" spans="1:5" ht="15" customHeight="1" x14ac:dyDescent="0.25">
      <c r="A855" t="s">
        <v>90</v>
      </c>
      <c r="B855" t="s">
        <v>1575</v>
      </c>
      <c r="C855">
        <v>2017</v>
      </c>
      <c r="E855" s="1" t="s">
        <v>2983</v>
      </c>
    </row>
    <row r="856" spans="1:5" ht="15" customHeight="1" x14ac:dyDescent="0.25">
      <c r="A856" t="s">
        <v>90</v>
      </c>
      <c r="B856" t="s">
        <v>1577</v>
      </c>
      <c r="C856">
        <v>2017</v>
      </c>
      <c r="E856" s="1" t="s">
        <v>3373</v>
      </c>
    </row>
    <row r="857" spans="1:5" ht="15" customHeight="1" x14ac:dyDescent="0.25">
      <c r="A857" t="s">
        <v>90</v>
      </c>
      <c r="B857" t="s">
        <v>1595</v>
      </c>
      <c r="C857">
        <v>2017</v>
      </c>
      <c r="E857" s="1" t="s">
        <v>3300</v>
      </c>
    </row>
    <row r="858" spans="1:5" ht="15" customHeight="1" x14ac:dyDescent="0.25">
      <c r="A858" t="s">
        <v>90</v>
      </c>
      <c r="B858" t="s">
        <v>1611</v>
      </c>
      <c r="C858">
        <v>2017</v>
      </c>
      <c r="E858" s="11" t="s">
        <v>3248</v>
      </c>
    </row>
    <row r="859" spans="1:5" ht="15" customHeight="1" x14ac:dyDescent="0.25">
      <c r="A859" t="s">
        <v>90</v>
      </c>
      <c r="B859" t="s">
        <v>1626</v>
      </c>
      <c r="C859">
        <v>2017</v>
      </c>
      <c r="E859" s="1" t="s">
        <v>3374</v>
      </c>
    </row>
    <row r="860" spans="1:5" ht="15" customHeight="1" x14ac:dyDescent="0.25">
      <c r="A860" t="s">
        <v>90</v>
      </c>
      <c r="B860" t="s">
        <v>1628</v>
      </c>
      <c r="C860">
        <v>2017</v>
      </c>
      <c r="E860" s="1" t="s">
        <v>3375</v>
      </c>
    </row>
    <row r="861" spans="1:5" ht="15" customHeight="1" x14ac:dyDescent="0.25">
      <c r="A861" s="2" t="s">
        <v>90</v>
      </c>
      <c r="B861" s="3" t="s">
        <v>1673</v>
      </c>
      <c r="C861" s="3">
        <v>2017</v>
      </c>
      <c r="D861" s="3"/>
      <c r="E861" s="1" t="s">
        <v>3376</v>
      </c>
    </row>
    <row r="862" spans="1:5" ht="15" customHeight="1" x14ac:dyDescent="0.25">
      <c r="A862" t="s">
        <v>90</v>
      </c>
      <c r="B862" t="s">
        <v>1691</v>
      </c>
      <c r="C862">
        <v>2017</v>
      </c>
      <c r="E862" s="1" t="s">
        <v>3014</v>
      </c>
    </row>
    <row r="863" spans="1:5" ht="15" customHeight="1" x14ac:dyDescent="0.25">
      <c r="A863" s="2" t="s">
        <v>90</v>
      </c>
      <c r="B863" s="3" t="s">
        <v>1705</v>
      </c>
      <c r="C863" s="3">
        <v>2017</v>
      </c>
      <c r="D863" s="3"/>
      <c r="E863" s="11" t="s">
        <v>3377</v>
      </c>
    </row>
    <row r="864" spans="1:5" ht="15" customHeight="1" x14ac:dyDescent="0.25">
      <c r="A864" t="s">
        <v>90</v>
      </c>
      <c r="B864" t="s">
        <v>1729</v>
      </c>
      <c r="C864">
        <v>2017</v>
      </c>
      <c r="E864" s="1" t="s">
        <v>3378</v>
      </c>
    </row>
    <row r="865" spans="1:5" ht="15" customHeight="1" x14ac:dyDescent="0.25">
      <c r="A865" t="s">
        <v>90</v>
      </c>
      <c r="B865" t="s">
        <v>1735</v>
      </c>
      <c r="C865">
        <v>2017</v>
      </c>
      <c r="E865" s="1" t="s">
        <v>2983</v>
      </c>
    </row>
    <row r="866" spans="1:5" ht="15" customHeight="1" x14ac:dyDescent="0.25">
      <c r="A866" t="s">
        <v>90</v>
      </c>
      <c r="B866" t="s">
        <v>1769</v>
      </c>
      <c r="C866">
        <v>2017</v>
      </c>
      <c r="E866" s="11" t="s">
        <v>3108</v>
      </c>
    </row>
    <row r="867" spans="1:5" ht="15" customHeight="1" x14ac:dyDescent="0.25">
      <c r="A867" t="s">
        <v>90</v>
      </c>
      <c r="B867" t="s">
        <v>1812</v>
      </c>
      <c r="C867">
        <v>2017</v>
      </c>
      <c r="E867" s="1" t="s">
        <v>2983</v>
      </c>
    </row>
    <row r="868" spans="1:5" ht="15" customHeight="1" x14ac:dyDescent="0.25">
      <c r="A868" t="s">
        <v>90</v>
      </c>
      <c r="B868" t="s">
        <v>1834</v>
      </c>
      <c r="C868">
        <v>2017</v>
      </c>
      <c r="E868" s="1" t="s">
        <v>2983</v>
      </c>
    </row>
    <row r="869" spans="1:5" ht="15" customHeight="1" x14ac:dyDescent="0.25">
      <c r="A869" t="s">
        <v>90</v>
      </c>
      <c r="B869" t="s">
        <v>1868</v>
      </c>
      <c r="C869">
        <v>2017</v>
      </c>
      <c r="E869" s="11" t="s">
        <v>3379</v>
      </c>
    </row>
    <row r="870" spans="1:5" ht="15" customHeight="1" x14ac:dyDescent="0.25">
      <c r="A870" t="s">
        <v>90</v>
      </c>
      <c r="B870" t="s">
        <v>1896</v>
      </c>
      <c r="C870">
        <v>2017</v>
      </c>
      <c r="E870" s="1" t="s">
        <v>3213</v>
      </c>
    </row>
    <row r="871" spans="1:5" ht="15" customHeight="1" x14ac:dyDescent="0.25">
      <c r="A871" t="s">
        <v>90</v>
      </c>
      <c r="B871" t="s">
        <v>1922</v>
      </c>
      <c r="C871">
        <v>2017</v>
      </c>
      <c r="E871" s="1" t="s">
        <v>3014</v>
      </c>
    </row>
    <row r="872" spans="1:5" ht="15" customHeight="1" x14ac:dyDescent="0.25">
      <c r="A872" t="s">
        <v>90</v>
      </c>
      <c r="B872" t="s">
        <v>1948</v>
      </c>
      <c r="C872">
        <v>2017</v>
      </c>
      <c r="E872" s="1" t="s">
        <v>3257</v>
      </c>
    </row>
    <row r="873" spans="1:5" ht="15" customHeight="1" x14ac:dyDescent="0.25">
      <c r="A873" t="s">
        <v>90</v>
      </c>
      <c r="B873" t="s">
        <v>1952</v>
      </c>
      <c r="C873">
        <v>2017</v>
      </c>
      <c r="E873" s="1" t="s">
        <v>3380</v>
      </c>
    </row>
    <row r="874" spans="1:5" ht="15" customHeight="1" x14ac:dyDescent="0.25">
      <c r="A874" t="s">
        <v>90</v>
      </c>
      <c r="B874" t="s">
        <v>1983</v>
      </c>
      <c r="C874">
        <v>2017</v>
      </c>
      <c r="E874" s="1" t="s">
        <v>2983</v>
      </c>
    </row>
    <row r="875" spans="1:5" ht="15" customHeight="1" x14ac:dyDescent="0.25">
      <c r="A875" t="s">
        <v>90</v>
      </c>
      <c r="B875" t="s">
        <v>1993</v>
      </c>
      <c r="C875">
        <v>2017</v>
      </c>
      <c r="E875" s="1" t="s">
        <v>3381</v>
      </c>
    </row>
    <row r="876" spans="1:5" ht="15" customHeight="1" x14ac:dyDescent="0.25">
      <c r="A876" t="s">
        <v>90</v>
      </c>
      <c r="B876" t="s">
        <v>1999</v>
      </c>
      <c r="C876">
        <v>2017</v>
      </c>
      <c r="E876" s="1"/>
    </row>
    <row r="877" spans="1:5" ht="15" customHeight="1" x14ac:dyDescent="0.25">
      <c r="A877" t="s">
        <v>90</v>
      </c>
      <c r="B877" t="s">
        <v>2019</v>
      </c>
      <c r="C877">
        <v>2017</v>
      </c>
      <c r="E877" s="1" t="s">
        <v>3250</v>
      </c>
    </row>
    <row r="878" spans="1:5" ht="15" customHeight="1" x14ac:dyDescent="0.25">
      <c r="A878" t="s">
        <v>90</v>
      </c>
      <c r="B878" t="s">
        <v>2062</v>
      </c>
      <c r="C878">
        <v>2017</v>
      </c>
      <c r="E878" s="1" t="s">
        <v>3014</v>
      </c>
    </row>
    <row r="879" spans="1:5" ht="15" customHeight="1" x14ac:dyDescent="0.25">
      <c r="A879" t="s">
        <v>90</v>
      </c>
      <c r="B879" t="s">
        <v>2089</v>
      </c>
      <c r="C879">
        <v>2017</v>
      </c>
      <c r="E879" s="11" t="s">
        <v>3041</v>
      </c>
    </row>
    <row r="880" spans="1:5" ht="15" customHeight="1" x14ac:dyDescent="0.25">
      <c r="A880" t="s">
        <v>90</v>
      </c>
      <c r="B880" t="s">
        <v>2119</v>
      </c>
      <c r="C880">
        <v>2017</v>
      </c>
      <c r="E880" s="1" t="s">
        <v>3382</v>
      </c>
    </row>
    <row r="881" spans="1:5" ht="15" customHeight="1" x14ac:dyDescent="0.25">
      <c r="A881" t="s">
        <v>90</v>
      </c>
      <c r="B881" t="s">
        <v>2123</v>
      </c>
      <c r="C881">
        <v>2017</v>
      </c>
      <c r="E881" s="1" t="s">
        <v>3383</v>
      </c>
    </row>
    <row r="882" spans="1:5" ht="15" customHeight="1" x14ac:dyDescent="0.25">
      <c r="A882" t="s">
        <v>90</v>
      </c>
      <c r="B882" t="s">
        <v>2159</v>
      </c>
      <c r="C882">
        <v>2017</v>
      </c>
      <c r="E882" s="1" t="s">
        <v>2984</v>
      </c>
    </row>
    <row r="883" spans="1:5" ht="15" customHeight="1" x14ac:dyDescent="0.25">
      <c r="A883" t="s">
        <v>90</v>
      </c>
      <c r="B883" t="s">
        <v>2182</v>
      </c>
      <c r="C883">
        <v>2017</v>
      </c>
      <c r="E883" s="1"/>
    </row>
    <row r="884" spans="1:5" ht="15" customHeight="1" x14ac:dyDescent="0.25">
      <c r="A884" t="s">
        <v>90</v>
      </c>
      <c r="B884" t="s">
        <v>2188</v>
      </c>
      <c r="C884">
        <v>2017</v>
      </c>
      <c r="E884" s="11" t="s">
        <v>3018</v>
      </c>
    </row>
    <row r="885" spans="1:5" ht="15" customHeight="1" x14ac:dyDescent="0.25">
      <c r="A885" t="s">
        <v>90</v>
      </c>
      <c r="B885" t="s">
        <v>2197</v>
      </c>
      <c r="C885">
        <v>2017</v>
      </c>
      <c r="E885" s="1" t="s">
        <v>3384</v>
      </c>
    </row>
    <row r="886" spans="1:5" ht="15" customHeight="1" x14ac:dyDescent="0.25">
      <c r="A886" t="s">
        <v>90</v>
      </c>
      <c r="B886" t="s">
        <v>2203</v>
      </c>
      <c r="C886">
        <v>2017</v>
      </c>
      <c r="E886" s="1" t="s">
        <v>3042</v>
      </c>
    </row>
    <row r="887" spans="1:5" ht="15" customHeight="1" x14ac:dyDescent="0.25">
      <c r="A887" t="s">
        <v>90</v>
      </c>
      <c r="B887" t="s">
        <v>2223</v>
      </c>
      <c r="C887">
        <v>2017</v>
      </c>
      <c r="E887" s="11" t="s">
        <v>3044</v>
      </c>
    </row>
    <row r="888" spans="1:5" ht="15" customHeight="1" x14ac:dyDescent="0.25">
      <c r="A888" t="s">
        <v>90</v>
      </c>
      <c r="B888" t="s">
        <v>2237</v>
      </c>
      <c r="C888">
        <v>2017</v>
      </c>
      <c r="E888" s="11" t="s">
        <v>3046</v>
      </c>
    </row>
    <row r="889" spans="1:5" ht="15" customHeight="1" x14ac:dyDescent="0.25">
      <c r="A889" t="s">
        <v>90</v>
      </c>
      <c r="B889" t="s">
        <v>2240</v>
      </c>
      <c r="C889">
        <v>2017</v>
      </c>
      <c r="E889" s="11" t="s">
        <v>2242</v>
      </c>
    </row>
    <row r="890" spans="1:5" ht="15" customHeight="1" x14ac:dyDescent="0.25">
      <c r="A890" t="s">
        <v>90</v>
      </c>
      <c r="B890" t="s">
        <v>2265</v>
      </c>
      <c r="C890">
        <v>2017</v>
      </c>
      <c r="E890" s="1" t="s">
        <v>3385</v>
      </c>
    </row>
    <row r="891" spans="1:5" ht="15" customHeight="1" x14ac:dyDescent="0.25">
      <c r="A891" t="s">
        <v>90</v>
      </c>
      <c r="B891" t="s">
        <v>2280</v>
      </c>
      <c r="C891">
        <v>2017</v>
      </c>
      <c r="E891" s="1" t="s">
        <v>3109</v>
      </c>
    </row>
    <row r="892" spans="1:5" ht="15" customHeight="1" x14ac:dyDescent="0.25">
      <c r="A892" t="s">
        <v>90</v>
      </c>
      <c r="B892" t="s">
        <v>2319</v>
      </c>
      <c r="C892">
        <v>2017</v>
      </c>
      <c r="E892" s="1" t="s">
        <v>3090</v>
      </c>
    </row>
    <row r="893" spans="1:5" ht="15" customHeight="1" x14ac:dyDescent="0.25">
      <c r="A893" t="s">
        <v>90</v>
      </c>
      <c r="B893" t="s">
        <v>38</v>
      </c>
      <c r="C893">
        <v>2017</v>
      </c>
      <c r="D893" t="s">
        <v>187</v>
      </c>
      <c r="E893" s="1"/>
    </row>
    <row r="894" spans="1:5" ht="15" customHeight="1" x14ac:dyDescent="0.25">
      <c r="A894" t="s">
        <v>90</v>
      </c>
      <c r="B894" t="s">
        <v>2362</v>
      </c>
      <c r="C894">
        <v>2017</v>
      </c>
      <c r="E894" s="1" t="s">
        <v>2983</v>
      </c>
    </row>
    <row r="895" spans="1:5" ht="15" customHeight="1" x14ac:dyDescent="0.25">
      <c r="A895" t="s">
        <v>90</v>
      </c>
      <c r="B895" t="s">
        <v>2370</v>
      </c>
      <c r="C895">
        <v>2017</v>
      </c>
      <c r="E895" s="11" t="s">
        <v>3265</v>
      </c>
    </row>
    <row r="896" spans="1:5" ht="15" customHeight="1" x14ac:dyDescent="0.25">
      <c r="A896" t="s">
        <v>90</v>
      </c>
      <c r="B896" t="s">
        <v>2372</v>
      </c>
      <c r="C896">
        <v>2017</v>
      </c>
      <c r="E896" s="1" t="s">
        <v>3048</v>
      </c>
    </row>
    <row r="897" spans="1:5" ht="15" customHeight="1" x14ac:dyDescent="0.25">
      <c r="A897" t="s">
        <v>90</v>
      </c>
      <c r="B897" t="s">
        <v>2417</v>
      </c>
      <c r="C897">
        <v>2017</v>
      </c>
      <c r="E897" s="1" t="s">
        <v>2983</v>
      </c>
    </row>
    <row r="898" spans="1:5" ht="15" customHeight="1" x14ac:dyDescent="0.25">
      <c r="A898" t="s">
        <v>90</v>
      </c>
      <c r="B898" t="s">
        <v>2432</v>
      </c>
      <c r="C898">
        <v>2017</v>
      </c>
      <c r="E898" s="1" t="s">
        <v>2983</v>
      </c>
    </row>
    <row r="899" spans="1:5" ht="15" customHeight="1" x14ac:dyDescent="0.25">
      <c r="A899" t="s">
        <v>90</v>
      </c>
      <c r="B899" t="s">
        <v>2440</v>
      </c>
      <c r="C899">
        <v>2017</v>
      </c>
      <c r="E899" s="1" t="s">
        <v>2983</v>
      </c>
    </row>
    <row r="900" spans="1:5" ht="15" customHeight="1" x14ac:dyDescent="0.25">
      <c r="A900" t="s">
        <v>90</v>
      </c>
      <c r="B900" t="s">
        <v>2472</v>
      </c>
      <c r="C900">
        <v>2017</v>
      </c>
      <c r="E900" s="1" t="s">
        <v>3386</v>
      </c>
    </row>
    <row r="901" spans="1:5" ht="15" customHeight="1" x14ac:dyDescent="0.25">
      <c r="A901" t="s">
        <v>90</v>
      </c>
      <c r="B901" t="s">
        <v>2561</v>
      </c>
      <c r="C901">
        <v>2017</v>
      </c>
      <c r="E901" s="1" t="s">
        <v>3387</v>
      </c>
    </row>
    <row r="902" spans="1:5" ht="15" customHeight="1" x14ac:dyDescent="0.25">
      <c r="A902" t="s">
        <v>90</v>
      </c>
      <c r="B902" t="s">
        <v>2564</v>
      </c>
      <c r="C902">
        <v>2017</v>
      </c>
      <c r="E902" s="1" t="s">
        <v>3388</v>
      </c>
    </row>
    <row r="903" spans="1:5" ht="15" customHeight="1" x14ac:dyDescent="0.25">
      <c r="A903" t="s">
        <v>90</v>
      </c>
      <c r="B903" t="s">
        <v>2576</v>
      </c>
      <c r="C903">
        <v>2017</v>
      </c>
      <c r="E903" s="11" t="s">
        <v>3389</v>
      </c>
    </row>
    <row r="904" spans="1:5" ht="15" customHeight="1" x14ac:dyDescent="0.25">
      <c r="A904" t="s">
        <v>90</v>
      </c>
      <c r="B904" t="s">
        <v>2591</v>
      </c>
      <c r="C904">
        <v>2017</v>
      </c>
      <c r="E904" s="1" t="s">
        <v>3242</v>
      </c>
    </row>
    <row r="905" spans="1:5" ht="15" customHeight="1" x14ac:dyDescent="0.25">
      <c r="A905" t="s">
        <v>90</v>
      </c>
      <c r="B905" t="s">
        <v>2644</v>
      </c>
      <c r="C905">
        <v>2017</v>
      </c>
      <c r="E905" s="1" t="s">
        <v>3390</v>
      </c>
    </row>
    <row r="906" spans="1:5" ht="15" customHeight="1" x14ac:dyDescent="0.25">
      <c r="A906" t="s">
        <v>90</v>
      </c>
      <c r="B906" t="s">
        <v>2649</v>
      </c>
      <c r="C906">
        <v>2017</v>
      </c>
      <c r="E906" s="1" t="s">
        <v>3057</v>
      </c>
    </row>
    <row r="907" spans="1:5" ht="15" customHeight="1" x14ac:dyDescent="0.25">
      <c r="A907" t="s">
        <v>90</v>
      </c>
      <c r="B907" t="s">
        <v>2660</v>
      </c>
      <c r="C907">
        <v>2017</v>
      </c>
      <c r="E907" s="1" t="s">
        <v>3259</v>
      </c>
    </row>
    <row r="908" spans="1:5" ht="15" customHeight="1" x14ac:dyDescent="0.25">
      <c r="A908" t="s">
        <v>90</v>
      </c>
      <c r="B908" t="s">
        <v>2668</v>
      </c>
      <c r="C908">
        <v>2017</v>
      </c>
      <c r="E908" s="1" t="s">
        <v>2986</v>
      </c>
    </row>
    <row r="909" spans="1:5" ht="15" customHeight="1" x14ac:dyDescent="0.25">
      <c r="A909" t="s">
        <v>90</v>
      </c>
      <c r="B909" t="s">
        <v>2672</v>
      </c>
      <c r="C909">
        <v>2017</v>
      </c>
      <c r="E909" s="1" t="s">
        <v>2983</v>
      </c>
    </row>
    <row r="910" spans="1:5" ht="15" customHeight="1" x14ac:dyDescent="0.25">
      <c r="A910" t="s">
        <v>90</v>
      </c>
      <c r="B910" t="s">
        <v>2687</v>
      </c>
      <c r="C910">
        <v>2017</v>
      </c>
      <c r="E910" s="1" t="s">
        <v>2983</v>
      </c>
    </row>
    <row r="911" spans="1:5" ht="15" customHeight="1" x14ac:dyDescent="0.25">
      <c r="A911" t="s">
        <v>90</v>
      </c>
      <c r="B911" t="s">
        <v>2735</v>
      </c>
      <c r="C911">
        <v>2017</v>
      </c>
      <c r="E911" s="1" t="s">
        <v>3391</v>
      </c>
    </row>
    <row r="912" spans="1:5" ht="15" customHeight="1" x14ac:dyDescent="0.25">
      <c r="A912" t="s">
        <v>90</v>
      </c>
      <c r="B912" t="s">
        <v>2739</v>
      </c>
      <c r="C912">
        <v>2017</v>
      </c>
      <c r="E912" s="1" t="s">
        <v>2983</v>
      </c>
    </row>
    <row r="913" spans="1:5" ht="15" customHeight="1" x14ac:dyDescent="0.25">
      <c r="A913" t="s">
        <v>90</v>
      </c>
      <c r="B913" t="s">
        <v>2752</v>
      </c>
      <c r="C913">
        <v>2017</v>
      </c>
      <c r="E913" s="1" t="s">
        <v>2983</v>
      </c>
    </row>
    <row r="914" spans="1:5" ht="15" customHeight="1" x14ac:dyDescent="0.25">
      <c r="A914" t="s">
        <v>90</v>
      </c>
      <c r="B914" t="s">
        <v>2783</v>
      </c>
      <c r="C914">
        <v>2017</v>
      </c>
      <c r="E914" s="1" t="s">
        <v>3128</v>
      </c>
    </row>
    <row r="915" spans="1:5" ht="15" customHeight="1" x14ac:dyDescent="0.25">
      <c r="A915" t="s">
        <v>90</v>
      </c>
      <c r="B915" t="s">
        <v>2809</v>
      </c>
      <c r="C915">
        <v>2017</v>
      </c>
      <c r="E915" s="1" t="s">
        <v>3392</v>
      </c>
    </row>
    <row r="916" spans="1:5" ht="15" customHeight="1" x14ac:dyDescent="0.25">
      <c r="A916" t="s">
        <v>90</v>
      </c>
      <c r="B916" t="s">
        <v>2819</v>
      </c>
      <c r="C916">
        <v>2017</v>
      </c>
      <c r="E916" s="1" t="s">
        <v>3159</v>
      </c>
    </row>
    <row r="917" spans="1:5" ht="15" customHeight="1" x14ac:dyDescent="0.25">
      <c r="A917" t="s">
        <v>90</v>
      </c>
      <c r="B917" t="s">
        <v>2823</v>
      </c>
      <c r="C917">
        <v>2017</v>
      </c>
      <c r="E917" s="1" t="s">
        <v>2983</v>
      </c>
    </row>
    <row r="918" spans="1:5" ht="15" customHeight="1" x14ac:dyDescent="0.25">
      <c r="A918" t="s">
        <v>90</v>
      </c>
      <c r="B918" t="s">
        <v>2857</v>
      </c>
      <c r="C918">
        <v>2017</v>
      </c>
      <c r="E918" s="1" t="s">
        <v>3393</v>
      </c>
    </row>
    <row r="919" spans="1:5" ht="15" customHeight="1" x14ac:dyDescent="0.25">
      <c r="A919" t="s">
        <v>90</v>
      </c>
      <c r="B919" t="s">
        <v>2891</v>
      </c>
      <c r="C919">
        <v>2017</v>
      </c>
      <c r="E919" s="1" t="s">
        <v>3078</v>
      </c>
    </row>
    <row r="920" spans="1:5" ht="15" customHeight="1" x14ac:dyDescent="0.25">
      <c r="A920" t="s">
        <v>90</v>
      </c>
      <c r="B920" t="s">
        <v>2897</v>
      </c>
      <c r="C920">
        <v>2017</v>
      </c>
      <c r="E920" s="1" t="s">
        <v>3394</v>
      </c>
    </row>
    <row r="921" spans="1:5" ht="15" customHeight="1" x14ac:dyDescent="0.25">
      <c r="A921" t="s">
        <v>90</v>
      </c>
      <c r="B921" t="s">
        <v>2905</v>
      </c>
      <c r="C921">
        <v>2017</v>
      </c>
      <c r="E921" s="1" t="s">
        <v>3395</v>
      </c>
    </row>
    <row r="922" spans="1:5" ht="15" customHeight="1" x14ac:dyDescent="0.25">
      <c r="A922" t="s">
        <v>90</v>
      </c>
      <c r="B922" t="s">
        <v>2925</v>
      </c>
      <c r="C922">
        <v>2017</v>
      </c>
      <c r="E922" s="1" t="s">
        <v>3396</v>
      </c>
    </row>
    <row r="923" spans="1:5" ht="15" customHeight="1" x14ac:dyDescent="0.25">
      <c r="A923" t="s">
        <v>90</v>
      </c>
      <c r="B923" t="s">
        <v>2938</v>
      </c>
      <c r="C923">
        <v>2017</v>
      </c>
      <c r="E923" s="1" t="s">
        <v>3014</v>
      </c>
    </row>
    <row r="924" spans="1:5" ht="15" customHeight="1" x14ac:dyDescent="0.25">
      <c r="A924" t="s">
        <v>90</v>
      </c>
      <c r="B924" t="s">
        <v>2951</v>
      </c>
      <c r="C924">
        <v>2017</v>
      </c>
      <c r="E924" s="1" t="s">
        <v>2983</v>
      </c>
    </row>
    <row r="925" spans="1:5" ht="15" customHeight="1" x14ac:dyDescent="0.25">
      <c r="A925" t="s">
        <v>90</v>
      </c>
      <c r="B925" t="s">
        <v>2966</v>
      </c>
      <c r="C925">
        <v>2017</v>
      </c>
      <c r="E925" s="1" t="s">
        <v>3221</v>
      </c>
    </row>
    <row r="926" spans="1:5" ht="15" customHeight="1" x14ac:dyDescent="0.25">
      <c r="A926" t="s">
        <v>2362</v>
      </c>
      <c r="B926" t="s">
        <v>543</v>
      </c>
      <c r="C926">
        <v>2018</v>
      </c>
      <c r="E926" s="1" t="s">
        <v>3023</v>
      </c>
    </row>
    <row r="927" spans="1:5" ht="15" customHeight="1" x14ac:dyDescent="0.25">
      <c r="A927" t="s">
        <v>2362</v>
      </c>
      <c r="B927" t="s">
        <v>1575</v>
      </c>
      <c r="C927">
        <v>2018</v>
      </c>
      <c r="E927" s="1" t="s">
        <v>2983</v>
      </c>
    </row>
    <row r="928" spans="1:5" ht="15" customHeight="1" x14ac:dyDescent="0.25">
      <c r="A928" t="s">
        <v>2366</v>
      </c>
      <c r="B928" t="s">
        <v>2340</v>
      </c>
      <c r="C928">
        <v>2023</v>
      </c>
      <c r="E928" s="1" t="s">
        <v>2983</v>
      </c>
    </row>
    <row r="929" spans="1:5" ht="15" customHeight="1" x14ac:dyDescent="0.25">
      <c r="A929" t="s">
        <v>2378</v>
      </c>
      <c r="B929" t="s">
        <v>563</v>
      </c>
      <c r="C929">
        <v>2021</v>
      </c>
      <c r="E929" s="1" t="s">
        <v>566</v>
      </c>
    </row>
    <row r="930" spans="1:5" ht="15" customHeight="1" x14ac:dyDescent="0.25">
      <c r="A930" t="s">
        <v>2378</v>
      </c>
      <c r="B930" t="s">
        <v>1101</v>
      </c>
      <c r="C930">
        <v>2021</v>
      </c>
      <c r="E930" s="1" t="s">
        <v>3014</v>
      </c>
    </row>
    <row r="931" spans="1:5" ht="15" customHeight="1" x14ac:dyDescent="0.25">
      <c r="A931" t="s">
        <v>2378</v>
      </c>
      <c r="B931" t="s">
        <v>1472</v>
      </c>
      <c r="C931">
        <v>2021</v>
      </c>
      <c r="E931" s="1" t="s">
        <v>3014</v>
      </c>
    </row>
    <row r="932" spans="1:5" ht="15" customHeight="1" x14ac:dyDescent="0.25">
      <c r="A932" t="s">
        <v>2378</v>
      </c>
      <c r="B932" t="s">
        <v>1542</v>
      </c>
      <c r="C932">
        <v>2021</v>
      </c>
      <c r="E932" s="1" t="s">
        <v>3161</v>
      </c>
    </row>
    <row r="933" spans="1:5" ht="15" customHeight="1" x14ac:dyDescent="0.25">
      <c r="A933" t="s">
        <v>2378</v>
      </c>
      <c r="B933" t="s">
        <v>1812</v>
      </c>
      <c r="C933">
        <v>2021</v>
      </c>
      <c r="E933" s="1" t="s">
        <v>2983</v>
      </c>
    </row>
    <row r="934" spans="1:5" ht="15" customHeight="1" x14ac:dyDescent="0.25">
      <c r="A934" t="s">
        <v>2378</v>
      </c>
      <c r="B934" t="s">
        <v>2456</v>
      </c>
      <c r="C934">
        <v>2021</v>
      </c>
      <c r="E934" s="1" t="s">
        <v>2983</v>
      </c>
    </row>
    <row r="935" spans="1:5" ht="15" customHeight="1" x14ac:dyDescent="0.25">
      <c r="A935" t="s">
        <v>2394</v>
      </c>
      <c r="B935" t="s">
        <v>2396</v>
      </c>
      <c r="C935">
        <v>2022</v>
      </c>
      <c r="D935" t="s">
        <v>187</v>
      </c>
      <c r="E935" s="1"/>
    </row>
    <row r="936" spans="1:5" ht="15" customHeight="1" x14ac:dyDescent="0.25">
      <c r="A936" t="s">
        <v>2404</v>
      </c>
      <c r="B936" t="s">
        <v>497</v>
      </c>
      <c r="C936">
        <v>2019</v>
      </c>
      <c r="D936" t="s">
        <v>187</v>
      </c>
      <c r="E936" s="1"/>
    </row>
    <row r="937" spans="1:5" ht="15" customHeight="1" x14ac:dyDescent="0.25">
      <c r="A937" t="s">
        <v>2421</v>
      </c>
      <c r="B937" t="s">
        <v>2425</v>
      </c>
      <c r="C937">
        <v>2012</v>
      </c>
      <c r="D937" t="s">
        <v>187</v>
      </c>
      <c r="E937" s="1"/>
    </row>
    <row r="938" spans="1:5" ht="15" customHeight="1" x14ac:dyDescent="0.25">
      <c r="A938" t="s">
        <v>2429</v>
      </c>
      <c r="B938" t="s">
        <v>213</v>
      </c>
      <c r="C938">
        <v>2008</v>
      </c>
      <c r="E938" s="1" t="s">
        <v>3397</v>
      </c>
    </row>
    <row r="939" spans="1:5" ht="15" customHeight="1" x14ac:dyDescent="0.25">
      <c r="A939" t="s">
        <v>2429</v>
      </c>
      <c r="B939" t="s">
        <v>375</v>
      </c>
      <c r="C939">
        <v>2008</v>
      </c>
      <c r="E939" s="1" t="s">
        <v>3281</v>
      </c>
    </row>
    <row r="940" spans="1:5" ht="15" customHeight="1" x14ac:dyDescent="0.25">
      <c r="A940" t="s">
        <v>2429</v>
      </c>
      <c r="B940" t="s">
        <v>431</v>
      </c>
      <c r="C940">
        <v>2008</v>
      </c>
      <c r="E940" s="1" t="s">
        <v>2983</v>
      </c>
    </row>
    <row r="941" spans="1:5" ht="15" customHeight="1" x14ac:dyDescent="0.25">
      <c r="A941" t="s">
        <v>2429</v>
      </c>
      <c r="B941" t="s">
        <v>540</v>
      </c>
      <c r="C941">
        <v>2008</v>
      </c>
      <c r="E941" s="11" t="s">
        <v>3260</v>
      </c>
    </row>
    <row r="942" spans="1:5" ht="15" customHeight="1" x14ac:dyDescent="0.25">
      <c r="A942" t="s">
        <v>2429</v>
      </c>
      <c r="B942" t="s">
        <v>549</v>
      </c>
      <c r="C942">
        <v>2008</v>
      </c>
      <c r="E942" s="1" t="s">
        <v>3398</v>
      </c>
    </row>
    <row r="943" spans="1:5" ht="15" customHeight="1" x14ac:dyDescent="0.25">
      <c r="A943" t="s">
        <v>2429</v>
      </c>
      <c r="B943" t="s">
        <v>604</v>
      </c>
      <c r="C943">
        <v>2008</v>
      </c>
      <c r="E943" s="11" t="s">
        <v>3148</v>
      </c>
    </row>
    <row r="944" spans="1:5" ht="15" customHeight="1" x14ac:dyDescent="0.25">
      <c r="A944" t="s">
        <v>2429</v>
      </c>
      <c r="B944" t="s">
        <v>625</v>
      </c>
      <c r="C944">
        <v>2008</v>
      </c>
      <c r="E944" s="1" t="s">
        <v>3399</v>
      </c>
    </row>
    <row r="945" spans="1:5" ht="15" customHeight="1" x14ac:dyDescent="0.25">
      <c r="A945" t="s">
        <v>2429</v>
      </c>
      <c r="B945" t="s">
        <v>689</v>
      </c>
      <c r="C945">
        <v>2008</v>
      </c>
      <c r="E945" s="1" t="s">
        <v>3329</v>
      </c>
    </row>
    <row r="946" spans="1:5" ht="15" customHeight="1" x14ac:dyDescent="0.25">
      <c r="A946" t="s">
        <v>2429</v>
      </c>
      <c r="B946" t="s">
        <v>866</v>
      </c>
      <c r="C946">
        <v>2008</v>
      </c>
      <c r="E946" s="1" t="s">
        <v>3206</v>
      </c>
    </row>
    <row r="947" spans="1:5" ht="15" customHeight="1" x14ac:dyDescent="0.25">
      <c r="A947" t="s">
        <v>2429</v>
      </c>
      <c r="B947" t="s">
        <v>931</v>
      </c>
      <c r="C947">
        <v>2008</v>
      </c>
      <c r="E947" s="1" t="s">
        <v>3400</v>
      </c>
    </row>
    <row r="948" spans="1:5" ht="15" customHeight="1" x14ac:dyDescent="0.25">
      <c r="A948" t="s">
        <v>2429</v>
      </c>
      <c r="B948" t="s">
        <v>1003</v>
      </c>
      <c r="C948">
        <v>2008</v>
      </c>
      <c r="E948" s="1" t="s">
        <v>3120</v>
      </c>
    </row>
    <row r="949" spans="1:5" ht="15" customHeight="1" x14ac:dyDescent="0.25">
      <c r="A949" t="s">
        <v>2429</v>
      </c>
      <c r="B949" t="s">
        <v>1015</v>
      </c>
      <c r="C949">
        <v>2008</v>
      </c>
      <c r="E949" s="11" t="s">
        <v>3401</v>
      </c>
    </row>
    <row r="950" spans="1:5" ht="15" customHeight="1" x14ac:dyDescent="0.25">
      <c r="A950" t="s">
        <v>2429</v>
      </c>
      <c r="B950" t="s">
        <v>1047</v>
      </c>
      <c r="C950">
        <v>2008</v>
      </c>
      <c r="E950" s="1" t="s">
        <v>3306</v>
      </c>
    </row>
    <row r="951" spans="1:5" x14ac:dyDescent="0.25">
      <c r="A951" t="s">
        <v>2429</v>
      </c>
      <c r="B951" t="s">
        <v>1086</v>
      </c>
      <c r="C951">
        <v>2008</v>
      </c>
      <c r="E951" s="1" t="s">
        <v>1089</v>
      </c>
    </row>
    <row r="952" spans="1:5" x14ac:dyDescent="0.25">
      <c r="A952" t="s">
        <v>2429</v>
      </c>
      <c r="B952" t="s">
        <v>1105</v>
      </c>
      <c r="C952">
        <v>2008</v>
      </c>
      <c r="E952" s="1" t="s">
        <v>3340</v>
      </c>
    </row>
    <row r="953" spans="1:5" x14ac:dyDescent="0.25">
      <c r="A953" t="s">
        <v>2429</v>
      </c>
      <c r="B953" t="s">
        <v>1145</v>
      </c>
      <c r="C953">
        <v>2008</v>
      </c>
      <c r="E953" s="1" t="s">
        <v>3402</v>
      </c>
    </row>
    <row r="954" spans="1:5" x14ac:dyDescent="0.25">
      <c r="A954" t="s">
        <v>2429</v>
      </c>
      <c r="B954" t="s">
        <v>1220</v>
      </c>
      <c r="C954">
        <v>2008</v>
      </c>
      <c r="E954" s="1" t="s">
        <v>2983</v>
      </c>
    </row>
    <row r="955" spans="1:5" x14ac:dyDescent="0.25">
      <c r="A955" t="s">
        <v>2429</v>
      </c>
      <c r="B955" t="s">
        <v>1236</v>
      </c>
      <c r="C955">
        <v>2008</v>
      </c>
      <c r="E955" s="1" t="s">
        <v>3307</v>
      </c>
    </row>
    <row r="956" spans="1:5" x14ac:dyDescent="0.25">
      <c r="A956" t="s">
        <v>2429</v>
      </c>
      <c r="B956" t="s">
        <v>1554</v>
      </c>
      <c r="C956">
        <v>2008</v>
      </c>
      <c r="E956" s="1" t="s">
        <v>3162</v>
      </c>
    </row>
    <row r="957" spans="1:5" x14ac:dyDescent="0.25">
      <c r="A957" t="s">
        <v>2429</v>
      </c>
      <c r="B957" t="s">
        <v>1603</v>
      </c>
      <c r="C957">
        <v>2008</v>
      </c>
      <c r="E957" s="1" t="s">
        <v>3403</v>
      </c>
    </row>
    <row r="958" spans="1:5" x14ac:dyDescent="0.25">
      <c r="A958" t="s">
        <v>2429</v>
      </c>
      <c r="B958" t="s">
        <v>1701</v>
      </c>
      <c r="C958">
        <v>2008</v>
      </c>
      <c r="E958" s="1" t="s">
        <v>3211</v>
      </c>
    </row>
    <row r="959" spans="1:5" x14ac:dyDescent="0.25">
      <c r="A959" t="s">
        <v>2429</v>
      </c>
      <c r="B959" t="s">
        <v>1749</v>
      </c>
      <c r="C959">
        <v>2008</v>
      </c>
      <c r="E959" s="1" t="s">
        <v>3404</v>
      </c>
    </row>
    <row r="960" spans="1:5" x14ac:dyDescent="0.25">
      <c r="A960" t="s">
        <v>2429</v>
      </c>
      <c r="B960" t="s">
        <v>1818</v>
      </c>
      <c r="C960">
        <v>2008</v>
      </c>
      <c r="E960" s="1" t="s">
        <v>2983</v>
      </c>
    </row>
    <row r="961" spans="1:5" x14ac:dyDescent="0.25">
      <c r="A961" t="s">
        <v>2429</v>
      </c>
      <c r="B961" t="s">
        <v>2078</v>
      </c>
      <c r="C961">
        <v>2008</v>
      </c>
      <c r="E961" s="11" t="s">
        <v>3334</v>
      </c>
    </row>
    <row r="962" spans="1:5" x14ac:dyDescent="0.25">
      <c r="A962" t="s">
        <v>2429</v>
      </c>
      <c r="B962" t="s">
        <v>2174</v>
      </c>
      <c r="C962">
        <v>2008</v>
      </c>
      <c r="E962" s="1" t="s">
        <v>3405</v>
      </c>
    </row>
    <row r="963" spans="1:5" x14ac:dyDescent="0.25">
      <c r="A963" t="s">
        <v>2429</v>
      </c>
      <c r="B963" t="s">
        <v>2329</v>
      </c>
      <c r="C963">
        <v>2008</v>
      </c>
      <c r="E963" s="1" t="s">
        <v>3164</v>
      </c>
    </row>
    <row r="964" spans="1:5" x14ac:dyDescent="0.25">
      <c r="A964" t="s">
        <v>2429</v>
      </c>
      <c r="B964" t="s">
        <v>2342</v>
      </c>
      <c r="C964">
        <v>2008</v>
      </c>
      <c r="E964" t="s">
        <v>2983</v>
      </c>
    </row>
    <row r="965" spans="1:5" x14ac:dyDescent="0.25">
      <c r="A965" t="s">
        <v>2429</v>
      </c>
      <c r="B965" t="s">
        <v>2421</v>
      </c>
      <c r="C965">
        <v>2008</v>
      </c>
      <c r="D965" t="s">
        <v>187</v>
      </c>
      <c r="E965" s="1"/>
    </row>
    <row r="966" spans="1:5" x14ac:dyDescent="0.25">
      <c r="A966" t="s">
        <v>2429</v>
      </c>
      <c r="B966" t="s">
        <v>2444</v>
      </c>
      <c r="C966">
        <v>2008</v>
      </c>
      <c r="E966" s="1" t="s">
        <v>2447</v>
      </c>
    </row>
    <row r="967" spans="1:5" x14ac:dyDescent="0.25">
      <c r="A967" t="s">
        <v>2429</v>
      </c>
      <c r="B967" t="s">
        <v>2486</v>
      </c>
      <c r="C967">
        <v>2008</v>
      </c>
      <c r="E967" s="11" t="s">
        <v>3406</v>
      </c>
    </row>
    <row r="968" spans="1:5" x14ac:dyDescent="0.25">
      <c r="A968" t="s">
        <v>2429</v>
      </c>
      <c r="B968" t="s">
        <v>2493</v>
      </c>
      <c r="C968">
        <v>2008</v>
      </c>
      <c r="E968" s="1" t="s">
        <v>3407</v>
      </c>
    </row>
    <row r="969" spans="1:5" x14ac:dyDescent="0.25">
      <c r="A969" t="s">
        <v>2429</v>
      </c>
      <c r="B969" t="s">
        <v>2531</v>
      </c>
      <c r="C969">
        <v>2008</v>
      </c>
      <c r="E969" s="1" t="s">
        <v>3219</v>
      </c>
    </row>
    <row r="970" spans="1:5" x14ac:dyDescent="0.25">
      <c r="A970" t="s">
        <v>2429</v>
      </c>
      <c r="B970" t="s">
        <v>160</v>
      </c>
      <c r="C970">
        <v>2008</v>
      </c>
      <c r="E970" s="1" t="s">
        <v>3133</v>
      </c>
    </row>
    <row r="971" spans="1:5" x14ac:dyDescent="0.25">
      <c r="A971" t="s">
        <v>2429</v>
      </c>
      <c r="B971" t="s">
        <v>2761</v>
      </c>
      <c r="C971">
        <v>2008</v>
      </c>
      <c r="E971" s="11" t="s">
        <v>3166</v>
      </c>
    </row>
    <row r="972" spans="1:5" x14ac:dyDescent="0.25">
      <c r="A972" t="s">
        <v>2429</v>
      </c>
      <c r="B972" t="s">
        <v>2797</v>
      </c>
      <c r="C972">
        <v>2018</v>
      </c>
      <c r="E972" s="1" t="s">
        <v>3172</v>
      </c>
    </row>
    <row r="973" spans="1:5" x14ac:dyDescent="0.25">
      <c r="A973" t="s">
        <v>2429</v>
      </c>
      <c r="B973" t="s">
        <v>2891</v>
      </c>
      <c r="C973">
        <v>2008</v>
      </c>
      <c r="E973" s="1" t="s">
        <v>3078</v>
      </c>
    </row>
    <row r="974" spans="1:5" x14ac:dyDescent="0.25">
      <c r="A974" t="s">
        <v>2444</v>
      </c>
      <c r="B974" t="s">
        <v>457</v>
      </c>
      <c r="C974">
        <v>2019</v>
      </c>
      <c r="D974" t="s">
        <v>187</v>
      </c>
    </row>
    <row r="975" spans="1:5" x14ac:dyDescent="0.25">
      <c r="A975" t="s">
        <v>2448</v>
      </c>
      <c r="B975" t="s">
        <v>2942</v>
      </c>
      <c r="C975">
        <v>2014</v>
      </c>
      <c r="E975" s="1" t="s">
        <v>3408</v>
      </c>
    </row>
    <row r="976" spans="1:5" x14ac:dyDescent="0.25">
      <c r="A976" t="s">
        <v>2460</v>
      </c>
      <c r="B976" t="s">
        <v>2255</v>
      </c>
      <c r="C976">
        <v>2017</v>
      </c>
      <c r="E976" s="1" t="s">
        <v>2983</v>
      </c>
    </row>
    <row r="977" spans="1:5" x14ac:dyDescent="0.25">
      <c r="A977" t="s">
        <v>2482</v>
      </c>
      <c r="B977" t="s">
        <v>1051</v>
      </c>
      <c r="C977">
        <v>2020</v>
      </c>
      <c r="E977" s="11" t="s">
        <v>3060</v>
      </c>
    </row>
    <row r="978" spans="1:5" x14ac:dyDescent="0.25">
      <c r="A978" t="s">
        <v>2490</v>
      </c>
      <c r="B978" t="s">
        <v>2875</v>
      </c>
      <c r="C978">
        <v>2002</v>
      </c>
      <c r="D978" t="s">
        <v>187</v>
      </c>
      <c r="E978" s="1"/>
    </row>
    <row r="979" spans="1:5" x14ac:dyDescent="0.25">
      <c r="A979" t="s">
        <v>2499</v>
      </c>
      <c r="B979" t="s">
        <v>198</v>
      </c>
      <c r="C979">
        <v>2017</v>
      </c>
      <c r="D979" t="s">
        <v>187</v>
      </c>
      <c r="E979" s="1"/>
    </row>
    <row r="980" spans="1:5" x14ac:dyDescent="0.25">
      <c r="A980" t="s">
        <v>2503</v>
      </c>
      <c r="B980" t="s">
        <v>713</v>
      </c>
      <c r="C980">
        <v>2015</v>
      </c>
      <c r="D980" t="s">
        <v>187</v>
      </c>
      <c r="E980" s="1"/>
    </row>
    <row r="981" spans="1:5" x14ac:dyDescent="0.25">
      <c r="A981" t="s">
        <v>2507</v>
      </c>
      <c r="B981" t="s">
        <v>344</v>
      </c>
      <c r="C981">
        <v>2021</v>
      </c>
      <c r="E981" s="1" t="s">
        <v>2983</v>
      </c>
    </row>
    <row r="982" spans="1:5" x14ac:dyDescent="0.25">
      <c r="A982" t="s">
        <v>2507</v>
      </c>
      <c r="B982" t="s">
        <v>730</v>
      </c>
      <c r="C982">
        <v>2021</v>
      </c>
      <c r="E982" s="1" t="s">
        <v>3027</v>
      </c>
    </row>
    <row r="983" spans="1:5" x14ac:dyDescent="0.25">
      <c r="A983" t="s">
        <v>2507</v>
      </c>
      <c r="B983" t="s">
        <v>1072</v>
      </c>
      <c r="C983">
        <v>2021</v>
      </c>
      <c r="E983" s="1" t="s">
        <v>3014</v>
      </c>
    </row>
    <row r="984" spans="1:5" x14ac:dyDescent="0.25">
      <c r="A984" t="s">
        <v>2507</v>
      </c>
      <c r="B984" t="s">
        <v>1476</v>
      </c>
      <c r="C984">
        <v>2021</v>
      </c>
      <c r="E984" s="1" t="s">
        <v>2983</v>
      </c>
    </row>
    <row r="985" spans="1:5" x14ac:dyDescent="0.25">
      <c r="A985" t="s">
        <v>2507</v>
      </c>
      <c r="B985" t="s">
        <v>1504</v>
      </c>
      <c r="C985">
        <v>2021</v>
      </c>
      <c r="E985" s="1" t="s">
        <v>3012</v>
      </c>
    </row>
    <row r="986" spans="1:5" x14ac:dyDescent="0.25">
      <c r="A986" t="s">
        <v>2507</v>
      </c>
      <c r="B986" t="s">
        <v>1588</v>
      </c>
      <c r="C986">
        <v>2021</v>
      </c>
      <c r="E986" s="1" t="s">
        <v>2983</v>
      </c>
    </row>
    <row r="987" spans="1:5" x14ac:dyDescent="0.25">
      <c r="A987" t="s">
        <v>2507</v>
      </c>
      <c r="B987" t="s">
        <v>1634</v>
      </c>
      <c r="C987">
        <v>2021</v>
      </c>
      <c r="E987" s="1" t="s">
        <v>2983</v>
      </c>
    </row>
    <row r="988" spans="1:5" x14ac:dyDescent="0.25">
      <c r="A988" t="s">
        <v>2507</v>
      </c>
      <c r="B988" t="s">
        <v>1852</v>
      </c>
      <c r="C988">
        <v>2021</v>
      </c>
      <c r="E988" s="1" t="s">
        <v>2983</v>
      </c>
    </row>
    <row r="989" spans="1:5" x14ac:dyDescent="0.25">
      <c r="A989" t="s">
        <v>2507</v>
      </c>
      <c r="B989" t="s">
        <v>1864</v>
      </c>
      <c r="C989">
        <v>2021</v>
      </c>
      <c r="E989" s="1" t="s">
        <v>2983</v>
      </c>
    </row>
    <row r="990" spans="1:5" x14ac:dyDescent="0.25">
      <c r="A990" t="s">
        <v>2507</v>
      </c>
      <c r="B990" t="s">
        <v>2223</v>
      </c>
      <c r="C990">
        <v>2021</v>
      </c>
      <c r="E990" s="11" t="s">
        <v>3044</v>
      </c>
    </row>
    <row r="991" spans="1:5" x14ac:dyDescent="0.25">
      <c r="A991" t="s">
        <v>2507</v>
      </c>
      <c r="B991" t="s">
        <v>2696</v>
      </c>
      <c r="C991">
        <v>2021</v>
      </c>
      <c r="E991" s="11" t="s">
        <v>2985</v>
      </c>
    </row>
    <row r="992" spans="1:5" x14ac:dyDescent="0.25">
      <c r="A992" t="s">
        <v>2519</v>
      </c>
      <c r="B992" t="s">
        <v>1236</v>
      </c>
      <c r="C992">
        <v>2013</v>
      </c>
      <c r="E992" s="1" t="s">
        <v>3307</v>
      </c>
    </row>
    <row r="993" spans="1:5" x14ac:dyDescent="0.25">
      <c r="A993" t="s">
        <v>2523</v>
      </c>
      <c r="B993" t="s">
        <v>1812</v>
      </c>
      <c r="C993">
        <v>2025</v>
      </c>
      <c r="E993" s="1" t="s">
        <v>2983</v>
      </c>
    </row>
    <row r="994" spans="1:5" x14ac:dyDescent="0.25">
      <c r="A994" t="s">
        <v>2535</v>
      </c>
      <c r="B994" t="s">
        <v>2191</v>
      </c>
      <c r="C994">
        <v>1982</v>
      </c>
      <c r="E994" s="11" t="s">
        <v>3175</v>
      </c>
    </row>
    <row r="995" spans="1:5" x14ac:dyDescent="0.25">
      <c r="A995" t="s">
        <v>2538</v>
      </c>
      <c r="B995" t="s">
        <v>2541</v>
      </c>
      <c r="C995">
        <v>2021</v>
      </c>
      <c r="D995" t="s">
        <v>187</v>
      </c>
    </row>
    <row r="996" spans="1:5" x14ac:dyDescent="0.25">
      <c r="A996" t="s">
        <v>2557</v>
      </c>
      <c r="B996" t="s">
        <v>2555</v>
      </c>
      <c r="C996">
        <v>2018</v>
      </c>
      <c r="D996" t="s">
        <v>187</v>
      </c>
      <c r="E996" s="1"/>
    </row>
    <row r="997" spans="1:5" x14ac:dyDescent="0.25">
      <c r="A997" t="s">
        <v>2572</v>
      </c>
      <c r="B997" t="s">
        <v>517</v>
      </c>
      <c r="C997">
        <v>1998</v>
      </c>
      <c r="E997" s="11" t="s">
        <v>3153</v>
      </c>
    </row>
    <row r="998" spans="1:5" x14ac:dyDescent="0.25">
      <c r="A998" t="s">
        <v>2572</v>
      </c>
      <c r="B998" t="s">
        <v>985</v>
      </c>
      <c r="C998">
        <v>1998</v>
      </c>
      <c r="E998" s="11" t="s">
        <v>2989</v>
      </c>
    </row>
    <row r="999" spans="1:5" x14ac:dyDescent="0.25">
      <c r="A999" t="s">
        <v>2572</v>
      </c>
      <c r="B999" t="s">
        <v>1421</v>
      </c>
      <c r="C999">
        <v>1998</v>
      </c>
      <c r="E999" s="1" t="s">
        <v>2993</v>
      </c>
    </row>
    <row r="1000" spans="1:5" x14ac:dyDescent="0.25">
      <c r="A1000" t="s">
        <v>2572</v>
      </c>
      <c r="B1000" t="s">
        <v>1514</v>
      </c>
      <c r="C1000">
        <v>1998</v>
      </c>
      <c r="E1000" s="1" t="s">
        <v>3061</v>
      </c>
    </row>
    <row r="1001" spans="1:5" x14ac:dyDescent="0.25">
      <c r="A1001" t="s">
        <v>2572</v>
      </c>
      <c r="B1001" t="s">
        <v>1938</v>
      </c>
      <c r="C1001">
        <v>1998</v>
      </c>
      <c r="E1001" s="1" t="s">
        <v>1941</v>
      </c>
    </row>
    <row r="1002" spans="1:5" x14ac:dyDescent="0.25">
      <c r="A1002" t="s">
        <v>2572</v>
      </c>
      <c r="B1002" t="s">
        <v>2108</v>
      </c>
      <c r="C1002">
        <v>1998</v>
      </c>
      <c r="E1002" s="11" t="s">
        <v>3142</v>
      </c>
    </row>
    <row r="1003" spans="1:5" x14ac:dyDescent="0.25">
      <c r="A1003" t="s">
        <v>2572</v>
      </c>
      <c r="B1003" t="s">
        <v>2161</v>
      </c>
      <c r="C1003">
        <v>1998</v>
      </c>
      <c r="E1003" s="1" t="s">
        <v>2996</v>
      </c>
    </row>
    <row r="1004" spans="1:5" x14ac:dyDescent="0.25">
      <c r="A1004" t="s">
        <v>2572</v>
      </c>
      <c r="B1004" t="s">
        <v>2579</v>
      </c>
      <c r="C1004">
        <v>1998</v>
      </c>
      <c r="E1004" s="1" t="s">
        <v>3173</v>
      </c>
    </row>
    <row r="1005" spans="1:5" x14ac:dyDescent="0.25">
      <c r="A1005" t="s">
        <v>2579</v>
      </c>
      <c r="B1005" t="s">
        <v>1514</v>
      </c>
      <c r="C1005">
        <v>2017</v>
      </c>
      <c r="E1005" s="1" t="s">
        <v>3061</v>
      </c>
    </row>
    <row r="1006" spans="1:5" x14ac:dyDescent="0.25">
      <c r="A1006" t="s">
        <v>2595</v>
      </c>
      <c r="B1006" t="s">
        <v>1009</v>
      </c>
      <c r="C1006">
        <v>2019</v>
      </c>
      <c r="E1006" s="1" t="s">
        <v>2983</v>
      </c>
    </row>
    <row r="1007" spans="1:5" x14ac:dyDescent="0.25">
      <c r="A1007" t="s">
        <v>2595</v>
      </c>
      <c r="B1007" t="s">
        <v>1504</v>
      </c>
      <c r="C1007">
        <v>2019</v>
      </c>
      <c r="E1007" s="1" t="s">
        <v>3012</v>
      </c>
    </row>
    <row r="1008" spans="1:5" x14ac:dyDescent="0.25">
      <c r="A1008" t="s">
        <v>2595</v>
      </c>
      <c r="B1008" t="s">
        <v>2265</v>
      </c>
      <c r="C1008">
        <v>2019</v>
      </c>
      <c r="E1008" s="1" t="s">
        <v>3385</v>
      </c>
    </row>
    <row r="1009" spans="1:5" x14ac:dyDescent="0.25">
      <c r="A1009" t="s">
        <v>2595</v>
      </c>
      <c r="B1009" t="s">
        <v>2615</v>
      </c>
      <c r="C1009">
        <v>2019</v>
      </c>
      <c r="E1009" s="1" t="s">
        <v>3158</v>
      </c>
    </row>
    <row r="1010" spans="1:5" x14ac:dyDescent="0.25">
      <c r="A1010" t="s">
        <v>2595</v>
      </c>
      <c r="B1010" t="s">
        <v>2696</v>
      </c>
      <c r="C1010">
        <v>2019</v>
      </c>
      <c r="E1010" s="11" t="s">
        <v>2985</v>
      </c>
    </row>
    <row r="1011" spans="1:5" x14ac:dyDescent="0.25">
      <c r="A1011" t="s">
        <v>2615</v>
      </c>
      <c r="B1011" t="s">
        <v>1864</v>
      </c>
      <c r="C1011">
        <v>2025</v>
      </c>
      <c r="E1011" s="1" t="s">
        <v>2983</v>
      </c>
    </row>
    <row r="1012" spans="1:5" x14ac:dyDescent="0.25">
      <c r="A1012" t="s">
        <v>2615</v>
      </c>
      <c r="B1012" t="s">
        <v>2764</v>
      </c>
      <c r="C1012">
        <v>2025</v>
      </c>
      <c r="E1012" s="1" t="s">
        <v>3015</v>
      </c>
    </row>
    <row r="1013" spans="1:5" x14ac:dyDescent="0.25">
      <c r="A1013" t="s">
        <v>160</v>
      </c>
      <c r="B1013" t="s">
        <v>190</v>
      </c>
      <c r="C1013">
        <v>2011</v>
      </c>
      <c r="E1013" s="1" t="s">
        <v>3085</v>
      </c>
    </row>
    <row r="1014" spans="1:5" x14ac:dyDescent="0.25">
      <c r="A1014" t="s">
        <v>160</v>
      </c>
      <c r="B1014" t="s">
        <v>213</v>
      </c>
      <c r="C1014">
        <v>2011</v>
      </c>
      <c r="E1014" s="1" t="s">
        <v>3397</v>
      </c>
    </row>
    <row r="1015" spans="1:5" x14ac:dyDescent="0.25">
      <c r="A1015" t="s">
        <v>160</v>
      </c>
      <c r="B1015" t="s">
        <v>217</v>
      </c>
      <c r="C1015">
        <v>2011</v>
      </c>
      <c r="E1015" s="1" t="s">
        <v>3409</v>
      </c>
    </row>
    <row r="1016" spans="1:5" x14ac:dyDescent="0.25">
      <c r="A1016" t="s">
        <v>160</v>
      </c>
      <c r="B1016" t="s">
        <v>253</v>
      </c>
      <c r="C1016">
        <v>2011</v>
      </c>
      <c r="E1016" s="11" t="s">
        <v>3114</v>
      </c>
    </row>
    <row r="1017" spans="1:5" x14ac:dyDescent="0.25">
      <c r="A1017" t="s">
        <v>160</v>
      </c>
      <c r="B1017" t="s">
        <v>308</v>
      </c>
      <c r="C1017">
        <v>2011</v>
      </c>
      <c r="E1017" s="1" t="s">
        <v>3187</v>
      </c>
    </row>
    <row r="1018" spans="1:5" x14ac:dyDescent="0.25">
      <c r="A1018" t="s">
        <v>160</v>
      </c>
      <c r="B1018" t="s">
        <v>415</v>
      </c>
      <c r="C1018">
        <v>2011</v>
      </c>
      <c r="E1018" s="1" t="s">
        <v>3189</v>
      </c>
    </row>
    <row r="1019" spans="1:5" x14ac:dyDescent="0.25">
      <c r="A1019" t="s">
        <v>160</v>
      </c>
      <c r="B1019" t="s">
        <v>431</v>
      </c>
      <c r="C1019">
        <v>2011</v>
      </c>
      <c r="E1019" s="1" t="s">
        <v>2983</v>
      </c>
    </row>
    <row r="1020" spans="1:5" x14ac:dyDescent="0.25">
      <c r="A1020" t="s">
        <v>160</v>
      </c>
      <c r="B1020" t="s">
        <v>501</v>
      </c>
      <c r="C1020">
        <v>2011</v>
      </c>
      <c r="E1020" s="1" t="s">
        <v>3190</v>
      </c>
    </row>
    <row r="1021" spans="1:5" x14ac:dyDescent="0.25">
      <c r="A1021" t="s">
        <v>160</v>
      </c>
      <c r="B1021" t="s">
        <v>557</v>
      </c>
      <c r="C1021">
        <v>2011</v>
      </c>
      <c r="E1021" s="1" t="s">
        <v>3410</v>
      </c>
    </row>
    <row r="1022" spans="1:5" x14ac:dyDescent="0.25">
      <c r="A1022" t="s">
        <v>160</v>
      </c>
      <c r="B1022" t="s">
        <v>610</v>
      </c>
      <c r="C1022">
        <v>2011</v>
      </c>
      <c r="E1022" s="11" t="s">
        <v>3068</v>
      </c>
    </row>
    <row r="1023" spans="1:5" x14ac:dyDescent="0.25">
      <c r="A1023" t="s">
        <v>160</v>
      </c>
      <c r="B1023" t="s">
        <v>635</v>
      </c>
      <c r="C1023">
        <v>2011</v>
      </c>
      <c r="E1023" s="1" t="s">
        <v>3411</v>
      </c>
    </row>
    <row r="1024" spans="1:5" x14ac:dyDescent="0.25">
      <c r="A1024" t="s">
        <v>160</v>
      </c>
      <c r="B1024" t="s">
        <v>689</v>
      </c>
      <c r="C1024">
        <v>2011</v>
      </c>
      <c r="E1024" s="1" t="s">
        <v>3329</v>
      </c>
    </row>
    <row r="1025" spans="1:5" x14ac:dyDescent="0.25">
      <c r="A1025" t="s">
        <v>160</v>
      </c>
      <c r="B1025" t="s">
        <v>709</v>
      </c>
      <c r="C1025">
        <v>2011</v>
      </c>
      <c r="E1025" s="1" t="s">
        <v>3117</v>
      </c>
    </row>
    <row r="1026" spans="1:5" x14ac:dyDescent="0.25">
      <c r="A1026" t="s">
        <v>160</v>
      </c>
      <c r="B1026" t="s">
        <v>759</v>
      </c>
      <c r="C1026">
        <v>2011</v>
      </c>
      <c r="E1026" s="1" t="s">
        <v>3319</v>
      </c>
    </row>
    <row r="1027" spans="1:5" x14ac:dyDescent="0.25">
      <c r="A1027" t="s">
        <v>160</v>
      </c>
      <c r="B1027" t="s">
        <v>763</v>
      </c>
      <c r="C1027">
        <v>2011</v>
      </c>
      <c r="E1027" s="1" t="s">
        <v>3412</v>
      </c>
    </row>
    <row r="1028" spans="1:5" x14ac:dyDescent="0.25">
      <c r="A1028" t="s">
        <v>160</v>
      </c>
      <c r="B1028" t="s">
        <v>846</v>
      </c>
      <c r="C1028">
        <v>2011</v>
      </c>
      <c r="E1028" s="1" t="s">
        <v>3118</v>
      </c>
    </row>
    <row r="1029" spans="1:5" x14ac:dyDescent="0.25">
      <c r="A1029" t="s">
        <v>160</v>
      </c>
      <c r="B1029" t="s">
        <v>855</v>
      </c>
      <c r="C1029">
        <v>2011</v>
      </c>
      <c r="E1029" s="1" t="s">
        <v>3413</v>
      </c>
    </row>
    <row r="1030" spans="1:5" x14ac:dyDescent="0.25">
      <c r="A1030" t="s">
        <v>160</v>
      </c>
      <c r="B1030" t="s">
        <v>949</v>
      </c>
      <c r="C1030">
        <v>2011</v>
      </c>
      <c r="E1030" s="1" t="s">
        <v>3119</v>
      </c>
    </row>
    <row r="1031" spans="1:5" x14ac:dyDescent="0.25">
      <c r="A1031" t="s">
        <v>160</v>
      </c>
      <c r="B1031" t="s">
        <v>993</v>
      </c>
      <c r="C1031">
        <v>2011</v>
      </c>
      <c r="E1031" s="1" t="s">
        <v>2983</v>
      </c>
    </row>
    <row r="1032" spans="1:5" x14ac:dyDescent="0.25">
      <c r="A1032" t="s">
        <v>160</v>
      </c>
      <c r="B1032" t="s">
        <v>1030</v>
      </c>
      <c r="C1032">
        <v>2011</v>
      </c>
      <c r="E1032" s="1" t="s">
        <v>2983</v>
      </c>
    </row>
    <row r="1033" spans="1:5" x14ac:dyDescent="0.25">
      <c r="A1033" t="s">
        <v>160</v>
      </c>
      <c r="B1033" t="s">
        <v>1047</v>
      </c>
      <c r="C1033">
        <v>2011</v>
      </c>
      <c r="E1033" s="1" t="s">
        <v>3306</v>
      </c>
    </row>
    <row r="1034" spans="1:5" x14ac:dyDescent="0.25">
      <c r="A1034" t="s">
        <v>160</v>
      </c>
      <c r="B1034" t="s">
        <v>1134</v>
      </c>
      <c r="C1034">
        <v>2011</v>
      </c>
      <c r="E1034" s="1" t="s">
        <v>3014</v>
      </c>
    </row>
    <row r="1035" spans="1:5" x14ac:dyDescent="0.25">
      <c r="A1035" t="s">
        <v>160</v>
      </c>
      <c r="B1035" t="s">
        <v>1149</v>
      </c>
      <c r="C1035">
        <v>2011</v>
      </c>
      <c r="E1035" s="11" t="s">
        <v>3414</v>
      </c>
    </row>
    <row r="1036" spans="1:5" x14ac:dyDescent="0.25">
      <c r="A1036" t="s">
        <v>160</v>
      </c>
      <c r="B1036" t="s">
        <v>1220</v>
      </c>
      <c r="C1036">
        <v>2011</v>
      </c>
      <c r="E1036" s="1" t="s">
        <v>2983</v>
      </c>
    </row>
    <row r="1037" spans="1:5" x14ac:dyDescent="0.25">
      <c r="A1037" t="s">
        <v>160</v>
      </c>
      <c r="B1037" t="s">
        <v>1228</v>
      </c>
      <c r="C1037">
        <v>2011</v>
      </c>
      <c r="E1037" s="1" t="s">
        <v>3331</v>
      </c>
    </row>
    <row r="1038" spans="1:5" x14ac:dyDescent="0.25">
      <c r="A1038" t="s">
        <v>160</v>
      </c>
      <c r="B1038" t="s">
        <v>1321</v>
      </c>
      <c r="C1038">
        <v>2011</v>
      </c>
      <c r="E1038" s="1" t="s">
        <v>3209</v>
      </c>
    </row>
    <row r="1039" spans="1:5" x14ac:dyDescent="0.25">
      <c r="A1039" t="s">
        <v>160</v>
      </c>
      <c r="B1039" t="s">
        <v>1517</v>
      </c>
      <c r="C1039">
        <v>2011</v>
      </c>
      <c r="E1039" s="1" t="s">
        <v>2983</v>
      </c>
    </row>
    <row r="1040" spans="1:5" x14ac:dyDescent="0.25">
      <c r="A1040" t="s">
        <v>160</v>
      </c>
      <c r="B1040" t="s">
        <v>1564</v>
      </c>
      <c r="C1040">
        <v>2011</v>
      </c>
      <c r="E1040" s="1" t="s">
        <v>2983</v>
      </c>
    </row>
    <row r="1041" spans="1:5" x14ac:dyDescent="0.25">
      <c r="A1041" t="s">
        <v>160</v>
      </c>
      <c r="B1041" t="s">
        <v>1595</v>
      </c>
      <c r="C1041">
        <v>2011</v>
      </c>
      <c r="E1041" s="1" t="s">
        <v>3300</v>
      </c>
    </row>
    <row r="1042" spans="1:5" x14ac:dyDescent="0.25">
      <c r="A1042" t="s">
        <v>160</v>
      </c>
      <c r="B1042" t="s">
        <v>1603</v>
      </c>
      <c r="C1042">
        <v>2011</v>
      </c>
      <c r="E1042" s="1" t="s">
        <v>3403</v>
      </c>
    </row>
    <row r="1043" spans="1:5" x14ac:dyDescent="0.25">
      <c r="A1043" t="s">
        <v>160</v>
      </c>
      <c r="B1043" t="s">
        <v>1607</v>
      </c>
      <c r="C1043">
        <v>2011</v>
      </c>
      <c r="E1043" s="11" t="s">
        <v>3236</v>
      </c>
    </row>
    <row r="1044" spans="1:5" x14ac:dyDescent="0.25">
      <c r="A1044" t="s">
        <v>160</v>
      </c>
      <c r="B1044" t="s">
        <v>1650</v>
      </c>
      <c r="C1044">
        <v>2011</v>
      </c>
      <c r="D1044" t="s">
        <v>187</v>
      </c>
      <c r="E1044" s="1"/>
    </row>
    <row r="1045" spans="1:5" x14ac:dyDescent="0.25">
      <c r="A1045" t="s">
        <v>160</v>
      </c>
      <c r="B1045" t="s">
        <v>1701</v>
      </c>
      <c r="C1045">
        <v>2011</v>
      </c>
      <c r="E1045" s="1" t="s">
        <v>3211</v>
      </c>
    </row>
    <row r="1046" spans="1:5" x14ac:dyDescent="0.25">
      <c r="A1046" t="s">
        <v>160</v>
      </c>
      <c r="B1046" t="s">
        <v>1714</v>
      </c>
      <c r="C1046">
        <v>2011</v>
      </c>
      <c r="E1046" s="1" t="s">
        <v>3342</v>
      </c>
    </row>
    <row r="1047" spans="1:5" x14ac:dyDescent="0.25">
      <c r="A1047" t="s">
        <v>160</v>
      </c>
      <c r="B1047" t="s">
        <v>1788</v>
      </c>
      <c r="C1047">
        <v>2011</v>
      </c>
      <c r="E1047" s="1" t="s">
        <v>2983</v>
      </c>
    </row>
    <row r="1048" spans="1:5" x14ac:dyDescent="0.25">
      <c r="A1048" t="s">
        <v>160</v>
      </c>
      <c r="B1048" t="s">
        <v>1826</v>
      </c>
      <c r="C1048">
        <v>2011</v>
      </c>
      <c r="E1048" s="1" t="s">
        <v>1829</v>
      </c>
    </row>
    <row r="1049" spans="1:5" x14ac:dyDescent="0.25">
      <c r="A1049" t="s">
        <v>160</v>
      </c>
      <c r="B1049" t="s">
        <v>1844</v>
      </c>
      <c r="C1049">
        <v>2011</v>
      </c>
      <c r="E1049" s="1" t="s">
        <v>3415</v>
      </c>
    </row>
    <row r="1050" spans="1:5" x14ac:dyDescent="0.25">
      <c r="A1050" t="s">
        <v>160</v>
      </c>
      <c r="B1050" t="s">
        <v>1852</v>
      </c>
      <c r="C1050">
        <v>2011</v>
      </c>
      <c r="E1050" s="1" t="s">
        <v>2983</v>
      </c>
    </row>
    <row r="1051" spans="1:5" x14ac:dyDescent="0.25">
      <c r="A1051" t="s">
        <v>160</v>
      </c>
      <c r="B1051" t="s">
        <v>1868</v>
      </c>
      <c r="C1051">
        <v>2011</v>
      </c>
      <c r="E1051" s="11" t="s">
        <v>3379</v>
      </c>
    </row>
    <row r="1052" spans="1:5" x14ac:dyDescent="0.25">
      <c r="A1052" t="s">
        <v>160</v>
      </c>
      <c r="B1052" t="s">
        <v>1912</v>
      </c>
      <c r="C1052">
        <v>2011</v>
      </c>
      <c r="E1052" s="11" t="s">
        <v>3214</v>
      </c>
    </row>
    <row r="1053" spans="1:5" x14ac:dyDescent="0.25">
      <c r="A1053" t="s">
        <v>160</v>
      </c>
      <c r="B1053" t="s">
        <v>1928</v>
      </c>
      <c r="C1053">
        <v>2011</v>
      </c>
      <c r="E1053" s="1" t="s">
        <v>2983</v>
      </c>
    </row>
    <row r="1054" spans="1:5" x14ac:dyDescent="0.25">
      <c r="A1054" t="s">
        <v>160</v>
      </c>
      <c r="B1054" t="s">
        <v>1934</v>
      </c>
      <c r="C1054">
        <v>2011</v>
      </c>
      <c r="E1054" s="1" t="s">
        <v>3416</v>
      </c>
    </row>
    <row r="1055" spans="1:5" x14ac:dyDescent="0.25">
      <c r="A1055" t="s">
        <v>160</v>
      </c>
      <c r="B1055" t="s">
        <v>1942</v>
      </c>
      <c r="C1055">
        <v>2011</v>
      </c>
      <c r="E1055" s="11" t="s">
        <v>3417</v>
      </c>
    </row>
    <row r="1056" spans="1:5" x14ac:dyDescent="0.25">
      <c r="A1056" t="s">
        <v>160</v>
      </c>
      <c r="B1056" t="s">
        <v>2029</v>
      </c>
      <c r="C1056">
        <v>2011</v>
      </c>
      <c r="E1056" s="1" t="s">
        <v>3418</v>
      </c>
    </row>
    <row r="1057" spans="1:5" x14ac:dyDescent="0.25">
      <c r="A1057" t="s">
        <v>160</v>
      </c>
      <c r="B1057" t="s">
        <v>2059</v>
      </c>
      <c r="C1057">
        <v>2011</v>
      </c>
      <c r="E1057" s="11" t="s">
        <v>3419</v>
      </c>
    </row>
    <row r="1058" spans="1:5" x14ac:dyDescent="0.25">
      <c r="A1058" t="s">
        <v>160</v>
      </c>
      <c r="B1058" t="s">
        <v>2100</v>
      </c>
      <c r="C1058">
        <v>2011</v>
      </c>
      <c r="E1058" s="1" t="s">
        <v>3420</v>
      </c>
    </row>
    <row r="1059" spans="1:5" x14ac:dyDescent="0.25">
      <c r="A1059" t="s">
        <v>160</v>
      </c>
      <c r="B1059" t="s">
        <v>2174</v>
      </c>
      <c r="C1059">
        <v>2011</v>
      </c>
      <c r="E1059" s="1" t="s">
        <v>3405</v>
      </c>
    </row>
    <row r="1060" spans="1:5" x14ac:dyDescent="0.25">
      <c r="A1060" t="s">
        <v>160</v>
      </c>
      <c r="B1060" t="s">
        <v>2252</v>
      </c>
      <c r="C1060">
        <v>2011</v>
      </c>
      <c r="E1060" t="s">
        <v>2983</v>
      </c>
    </row>
    <row r="1061" spans="1:5" x14ac:dyDescent="0.25">
      <c r="A1061" t="s">
        <v>160</v>
      </c>
      <c r="B1061" t="s">
        <v>2289</v>
      </c>
      <c r="C1061">
        <v>2011</v>
      </c>
      <c r="E1061" s="1" t="s">
        <v>2983</v>
      </c>
    </row>
    <row r="1062" spans="1:5" x14ac:dyDescent="0.25">
      <c r="A1062" t="s">
        <v>160</v>
      </c>
      <c r="B1062" t="s">
        <v>90</v>
      </c>
      <c r="C1062">
        <v>2011</v>
      </c>
      <c r="E1062" s="1" t="s">
        <v>3169</v>
      </c>
    </row>
    <row r="1063" spans="1:5" x14ac:dyDescent="0.25">
      <c r="A1063" t="s">
        <v>160</v>
      </c>
      <c r="B1063" t="s">
        <v>2404</v>
      </c>
      <c r="C1063">
        <v>2011</v>
      </c>
      <c r="E1063" s="1" t="s">
        <v>3126</v>
      </c>
    </row>
    <row r="1064" spans="1:5" x14ac:dyDescent="0.25">
      <c r="A1064" t="s">
        <v>160</v>
      </c>
      <c r="B1064" t="s">
        <v>2460</v>
      </c>
      <c r="C1064">
        <v>2011</v>
      </c>
      <c r="E1064" s="1" t="s">
        <v>3421</v>
      </c>
    </row>
    <row r="1065" spans="1:5" x14ac:dyDescent="0.25">
      <c r="A1065" t="s">
        <v>160</v>
      </c>
      <c r="B1065" t="s">
        <v>2493</v>
      </c>
      <c r="C1065">
        <v>2011</v>
      </c>
      <c r="E1065" s="1" t="s">
        <v>3407</v>
      </c>
    </row>
    <row r="1066" spans="1:5" x14ac:dyDescent="0.25">
      <c r="A1066" t="s">
        <v>160</v>
      </c>
      <c r="B1066" t="s">
        <v>2531</v>
      </c>
      <c r="C1066">
        <v>2011</v>
      </c>
      <c r="E1066" s="1" t="s">
        <v>3219</v>
      </c>
    </row>
    <row r="1067" spans="1:5" x14ac:dyDescent="0.25">
      <c r="A1067" t="s">
        <v>160</v>
      </c>
      <c r="B1067" t="s">
        <v>2568</v>
      </c>
      <c r="C1067">
        <v>2011</v>
      </c>
      <c r="E1067" s="1" t="s">
        <v>2983</v>
      </c>
    </row>
    <row r="1068" spans="1:5" x14ac:dyDescent="0.25">
      <c r="A1068" t="s">
        <v>160</v>
      </c>
      <c r="B1068" t="s">
        <v>2620</v>
      </c>
      <c r="C1068">
        <v>2011</v>
      </c>
      <c r="D1068" t="s">
        <v>187</v>
      </c>
      <c r="E1068" s="1"/>
    </row>
    <row r="1069" spans="1:5" x14ac:dyDescent="0.25">
      <c r="A1069" t="s">
        <v>160</v>
      </c>
      <c r="B1069" t="s">
        <v>2646</v>
      </c>
      <c r="C1069">
        <v>2011</v>
      </c>
      <c r="E1069" s="11" t="s">
        <v>3422</v>
      </c>
    </row>
    <row r="1070" spans="1:5" x14ac:dyDescent="0.25">
      <c r="A1070" t="s">
        <v>160</v>
      </c>
      <c r="B1070" t="s">
        <v>2653</v>
      </c>
      <c r="C1070">
        <v>2011</v>
      </c>
      <c r="D1070" t="s">
        <v>187</v>
      </c>
      <c r="E1070" s="1"/>
    </row>
    <row r="1071" spans="1:5" x14ac:dyDescent="0.25">
      <c r="A1071" t="s">
        <v>160</v>
      </c>
      <c r="B1071" t="s">
        <v>2680</v>
      </c>
      <c r="C1071">
        <v>2011</v>
      </c>
      <c r="E1071" s="1" t="s">
        <v>3423</v>
      </c>
    </row>
    <row r="1072" spans="1:5" x14ac:dyDescent="0.25">
      <c r="A1072" t="s">
        <v>160</v>
      </c>
      <c r="B1072" t="s">
        <v>2699</v>
      </c>
      <c r="C1072">
        <v>2011</v>
      </c>
      <c r="E1072" s="1" t="s">
        <v>3197</v>
      </c>
    </row>
    <row r="1073" spans="1:5" x14ac:dyDescent="0.25">
      <c r="A1073" t="s">
        <v>160</v>
      </c>
      <c r="B1073" t="s">
        <v>2712</v>
      </c>
      <c r="C1073">
        <v>2011</v>
      </c>
      <c r="E1073" s="1" t="s">
        <v>3198</v>
      </c>
    </row>
    <row r="1074" spans="1:5" x14ac:dyDescent="0.25">
      <c r="A1074" t="s">
        <v>160</v>
      </c>
      <c r="B1074" t="s">
        <v>2748</v>
      </c>
      <c r="C1074">
        <v>2011</v>
      </c>
      <c r="E1074" s="1" t="s">
        <v>3424</v>
      </c>
    </row>
    <row r="1075" spans="1:5" x14ac:dyDescent="0.25">
      <c r="A1075" t="s">
        <v>160</v>
      </c>
      <c r="B1075" t="s">
        <v>2761</v>
      </c>
      <c r="C1075">
        <v>2011</v>
      </c>
      <c r="E1075" s="11" t="s">
        <v>3166</v>
      </c>
    </row>
    <row r="1076" spans="1:5" x14ac:dyDescent="0.25">
      <c r="A1076" t="s">
        <v>160</v>
      </c>
      <c r="B1076" t="s">
        <v>2770</v>
      </c>
      <c r="C1076">
        <v>2011</v>
      </c>
      <c r="E1076" s="1" t="s">
        <v>3180</v>
      </c>
    </row>
    <row r="1077" spans="1:5" x14ac:dyDescent="0.25">
      <c r="A1077" t="s">
        <v>160</v>
      </c>
      <c r="B1077" t="s">
        <v>2783</v>
      </c>
      <c r="C1077">
        <v>2011</v>
      </c>
      <c r="E1077" s="1" t="s">
        <v>3128</v>
      </c>
    </row>
    <row r="1078" spans="1:5" x14ac:dyDescent="0.25">
      <c r="A1078" t="s">
        <v>160</v>
      </c>
      <c r="B1078" t="s">
        <v>2891</v>
      </c>
      <c r="C1078">
        <v>2011</v>
      </c>
      <c r="E1078" s="1" t="s">
        <v>3078</v>
      </c>
    </row>
    <row r="1079" spans="1:5" x14ac:dyDescent="0.25">
      <c r="A1079" t="s">
        <v>160</v>
      </c>
      <c r="B1079" t="s">
        <v>2915</v>
      </c>
      <c r="C1079">
        <v>2011</v>
      </c>
      <c r="E1079" s="1" t="s">
        <v>2983</v>
      </c>
    </row>
    <row r="1080" spans="1:5" x14ac:dyDescent="0.25">
      <c r="A1080" t="s">
        <v>2626</v>
      </c>
      <c r="B1080" t="s">
        <v>1053</v>
      </c>
      <c r="C1080">
        <v>2000</v>
      </c>
      <c r="D1080" t="s">
        <v>187</v>
      </c>
      <c r="E1080" s="11" t="s">
        <v>3335</v>
      </c>
    </row>
    <row r="1081" spans="1:5" x14ac:dyDescent="0.25">
      <c r="A1081" t="s">
        <v>2626</v>
      </c>
      <c r="B1081" t="s">
        <v>2167</v>
      </c>
      <c r="C1081">
        <v>2000</v>
      </c>
      <c r="D1081" t="s">
        <v>187</v>
      </c>
    </row>
    <row r="1082" spans="1:5" x14ac:dyDescent="0.25">
      <c r="A1082" t="s">
        <v>2635</v>
      </c>
      <c r="B1082" t="s">
        <v>2963</v>
      </c>
      <c r="C1082">
        <v>2014</v>
      </c>
      <c r="E1082" s="1" t="s">
        <v>3007</v>
      </c>
    </row>
    <row r="1083" spans="1:5" x14ac:dyDescent="0.25">
      <c r="A1083" t="s">
        <v>2653</v>
      </c>
      <c r="B1083" t="s">
        <v>501</v>
      </c>
      <c r="C1083">
        <v>2019</v>
      </c>
      <c r="E1083" s="1" t="s">
        <v>3190</v>
      </c>
    </row>
    <row r="1084" spans="1:5" x14ac:dyDescent="0.25">
      <c r="A1084" t="s">
        <v>2653</v>
      </c>
      <c r="B1084" t="s">
        <v>2029</v>
      </c>
      <c r="C1084">
        <v>2019</v>
      </c>
      <c r="E1084" s="1" t="s">
        <v>3425</v>
      </c>
    </row>
    <row r="1085" spans="1:5" x14ac:dyDescent="0.25">
      <c r="A1085" t="s">
        <v>2676</v>
      </c>
      <c r="B1085" t="s">
        <v>394</v>
      </c>
      <c r="C1085">
        <v>2022</v>
      </c>
      <c r="E1085" s="11" t="s">
        <v>3058</v>
      </c>
    </row>
    <row r="1086" spans="1:5" x14ac:dyDescent="0.25">
      <c r="A1086" t="s">
        <v>2696</v>
      </c>
      <c r="B1086" t="s">
        <v>2333</v>
      </c>
      <c r="C1086">
        <v>2025</v>
      </c>
      <c r="D1086" t="s">
        <v>187</v>
      </c>
    </row>
    <row r="1087" spans="1:5" x14ac:dyDescent="0.25">
      <c r="A1087" t="s">
        <v>2699</v>
      </c>
      <c r="B1087" t="s">
        <v>2646</v>
      </c>
      <c r="C1087">
        <v>2022</v>
      </c>
      <c r="E1087" s="11" t="s">
        <v>3422</v>
      </c>
    </row>
    <row r="1088" spans="1:5" x14ac:dyDescent="0.25">
      <c r="A1088" t="s">
        <v>2707</v>
      </c>
      <c r="B1088" t="s">
        <v>358</v>
      </c>
      <c r="C1088">
        <v>1991</v>
      </c>
      <c r="E1088" s="1" t="s">
        <v>3426</v>
      </c>
    </row>
    <row r="1089" spans="1:5" x14ac:dyDescent="0.25">
      <c r="A1089" t="s">
        <v>2707</v>
      </c>
      <c r="B1089" t="s">
        <v>2710</v>
      </c>
      <c r="C1089">
        <v>1991</v>
      </c>
      <c r="D1089" t="s">
        <v>187</v>
      </c>
      <c r="E1089" s="1"/>
    </row>
    <row r="1090" spans="1:5" x14ac:dyDescent="0.25">
      <c r="A1090" t="s">
        <v>2716</v>
      </c>
      <c r="B1090" t="s">
        <v>1156</v>
      </c>
      <c r="C1090">
        <v>1999</v>
      </c>
      <c r="E1090" s="11" t="s">
        <v>3427</v>
      </c>
    </row>
    <row r="1091" spans="1:5" x14ac:dyDescent="0.25">
      <c r="A1091" t="s">
        <v>2716</v>
      </c>
      <c r="B1091" t="s">
        <v>2719</v>
      </c>
      <c r="C1091">
        <v>1999</v>
      </c>
      <c r="D1091" t="s">
        <v>187</v>
      </c>
      <c r="E1091" s="1"/>
    </row>
    <row r="1092" spans="1:5" x14ac:dyDescent="0.25">
      <c r="A1092" t="s">
        <v>2722</v>
      </c>
      <c r="B1092" t="s">
        <v>341</v>
      </c>
      <c r="C1092">
        <v>1993</v>
      </c>
      <c r="E1092" s="1" t="s">
        <v>3014</v>
      </c>
    </row>
    <row r="1093" spans="1:5" x14ac:dyDescent="0.25">
      <c r="A1093" t="s">
        <v>2722</v>
      </c>
      <c r="B1093" t="s">
        <v>379</v>
      </c>
      <c r="C1093">
        <v>1993</v>
      </c>
      <c r="E1093" s="1" t="s">
        <v>3428</v>
      </c>
    </row>
    <row r="1094" spans="1:5" x14ac:dyDescent="0.25">
      <c r="A1094" t="s">
        <v>2722</v>
      </c>
      <c r="B1094" t="s">
        <v>581</v>
      </c>
      <c r="C1094">
        <v>1993</v>
      </c>
      <c r="D1094" t="s">
        <v>187</v>
      </c>
      <c r="E1094" s="1" t="s">
        <v>3034</v>
      </c>
    </row>
    <row r="1095" spans="1:5" x14ac:dyDescent="0.25">
      <c r="A1095" t="s">
        <v>2722</v>
      </c>
      <c r="B1095" t="s">
        <v>754</v>
      </c>
      <c r="C1095">
        <v>1993</v>
      </c>
      <c r="E1095" s="1" t="s">
        <v>3429</v>
      </c>
    </row>
    <row r="1096" spans="1:5" x14ac:dyDescent="0.25">
      <c r="A1096" t="s">
        <v>2722</v>
      </c>
      <c r="B1096" t="s">
        <v>938</v>
      </c>
      <c r="C1096">
        <v>1993</v>
      </c>
      <c r="D1096" t="s">
        <v>187</v>
      </c>
      <c r="E1096" s="1"/>
    </row>
    <row r="1097" spans="1:5" x14ac:dyDescent="0.25">
      <c r="A1097" t="s">
        <v>2722</v>
      </c>
      <c r="B1097" t="s">
        <v>972</v>
      </c>
      <c r="C1097">
        <v>1993</v>
      </c>
      <c r="E1097" t="s">
        <v>2983</v>
      </c>
    </row>
    <row r="1098" spans="1:5" x14ac:dyDescent="0.25">
      <c r="A1098" t="s">
        <v>2722</v>
      </c>
      <c r="B1098" t="s">
        <v>978</v>
      </c>
      <c r="C1098">
        <v>1993</v>
      </c>
      <c r="E1098" s="1" t="s">
        <v>3014</v>
      </c>
    </row>
    <row r="1099" spans="1:5" x14ac:dyDescent="0.25">
      <c r="A1099" t="s">
        <v>2722</v>
      </c>
      <c r="B1099" t="s">
        <v>1056</v>
      </c>
      <c r="C1099">
        <v>1993</v>
      </c>
      <c r="D1099" t="s">
        <v>187</v>
      </c>
      <c r="E1099" s="1"/>
    </row>
    <row r="1100" spans="1:5" x14ac:dyDescent="0.25">
      <c r="A1100" t="s">
        <v>2722</v>
      </c>
      <c r="B1100" t="s">
        <v>1383</v>
      </c>
      <c r="C1100">
        <v>1993</v>
      </c>
      <c r="E1100" t="s">
        <v>3014</v>
      </c>
    </row>
    <row r="1101" spans="1:5" x14ac:dyDescent="0.25">
      <c r="A1101" t="s">
        <v>2722</v>
      </c>
      <c r="B1101" t="s">
        <v>1389</v>
      </c>
      <c r="C1101">
        <v>1993</v>
      </c>
      <c r="E1101" s="1" t="s">
        <v>3278</v>
      </c>
    </row>
    <row r="1102" spans="1:5" x14ac:dyDescent="0.25">
      <c r="A1102" t="s">
        <v>2722</v>
      </c>
      <c r="B1102" t="s">
        <v>1461</v>
      </c>
      <c r="C1102">
        <v>1993</v>
      </c>
      <c r="E1102" s="1" t="s">
        <v>3014</v>
      </c>
    </row>
    <row r="1103" spans="1:5" x14ac:dyDescent="0.25">
      <c r="A1103" t="s">
        <v>2722</v>
      </c>
      <c r="B1103" t="s">
        <v>1667</v>
      </c>
      <c r="C1103">
        <v>1993</v>
      </c>
      <c r="E1103" s="1" t="s">
        <v>1670</v>
      </c>
    </row>
    <row r="1104" spans="1:5" x14ac:dyDescent="0.25">
      <c r="A1104" t="s">
        <v>2722</v>
      </c>
      <c r="B1104" t="s">
        <v>1677</v>
      </c>
      <c r="C1104">
        <v>1993</v>
      </c>
      <c r="E1104" t="s">
        <v>3014</v>
      </c>
    </row>
    <row r="1105" spans="1:5" x14ac:dyDescent="0.25">
      <c r="A1105" t="s">
        <v>2722</v>
      </c>
      <c r="B1105" t="s">
        <v>1683</v>
      </c>
      <c r="C1105">
        <v>1993</v>
      </c>
      <c r="E1105" s="1" t="s">
        <v>3430</v>
      </c>
    </row>
    <row r="1106" spans="1:5" x14ac:dyDescent="0.25">
      <c r="A1106" t="s">
        <v>2722</v>
      </c>
      <c r="B1106" t="s">
        <v>1762</v>
      </c>
      <c r="C1106">
        <v>1993</v>
      </c>
      <c r="D1106" t="s">
        <v>187</v>
      </c>
      <c r="E1106" s="1" t="s">
        <v>3034</v>
      </c>
    </row>
    <row r="1107" spans="1:5" x14ac:dyDescent="0.25">
      <c r="A1107" t="s">
        <v>2722</v>
      </c>
      <c r="B1107" t="s">
        <v>1886</v>
      </c>
      <c r="C1107">
        <v>1993</v>
      </c>
      <c r="D1107" t="s">
        <v>187</v>
      </c>
    </row>
    <row r="1108" spans="1:5" x14ac:dyDescent="0.25">
      <c r="A1108" t="s">
        <v>2722</v>
      </c>
      <c r="B1108" t="s">
        <v>1900</v>
      </c>
      <c r="C1108">
        <v>1993</v>
      </c>
      <c r="E1108" s="11" t="s">
        <v>3279</v>
      </c>
    </row>
    <row r="1109" spans="1:5" x14ac:dyDescent="0.25">
      <c r="A1109" t="s">
        <v>2722</v>
      </c>
      <c r="B1109" t="s">
        <v>2010</v>
      </c>
      <c r="C1109">
        <v>1993</v>
      </c>
      <c r="D1109" t="s">
        <v>187</v>
      </c>
      <c r="E1109" s="1"/>
    </row>
    <row r="1110" spans="1:5" x14ac:dyDescent="0.25">
      <c r="A1110" t="s">
        <v>2722</v>
      </c>
      <c r="B1110" t="s">
        <v>2626</v>
      </c>
      <c r="C1110">
        <v>1993</v>
      </c>
      <c r="E1110" s="11" t="s">
        <v>3431</v>
      </c>
    </row>
    <row r="1111" spans="1:5" x14ac:dyDescent="0.25">
      <c r="A1111" t="s">
        <v>2722</v>
      </c>
      <c r="B1111" t="s">
        <v>2657</v>
      </c>
      <c r="C1111">
        <v>1993</v>
      </c>
      <c r="D1111" t="s">
        <v>187</v>
      </c>
      <c r="E1111" s="1"/>
    </row>
    <row r="1112" spans="1:5" x14ac:dyDescent="0.25">
      <c r="A1112" t="s">
        <v>2722</v>
      </c>
      <c r="B1112" t="s">
        <v>2682</v>
      </c>
      <c r="C1112">
        <v>1993</v>
      </c>
      <c r="E1112" s="11" t="s">
        <v>3432</v>
      </c>
    </row>
    <row r="1113" spans="1:5" x14ac:dyDescent="0.25">
      <c r="A1113" t="s">
        <v>2722</v>
      </c>
      <c r="B1113" t="s">
        <v>2716</v>
      </c>
      <c r="C1113">
        <v>1993</v>
      </c>
      <c r="D1113" t="s">
        <v>187</v>
      </c>
      <c r="E1113" s="1"/>
    </row>
    <row r="1114" spans="1:5" x14ac:dyDescent="0.25">
      <c r="A1114" t="s">
        <v>2722</v>
      </c>
      <c r="B1114" t="s">
        <v>2819</v>
      </c>
      <c r="C1114">
        <v>1993</v>
      </c>
      <c r="E1114" s="1" t="s">
        <v>3159</v>
      </c>
    </row>
    <row r="1115" spans="1:5" x14ac:dyDescent="0.25">
      <c r="A1115" t="s">
        <v>2722</v>
      </c>
      <c r="B1115" t="s">
        <v>2844</v>
      </c>
      <c r="C1115">
        <v>1993</v>
      </c>
      <c r="E1115" t="s">
        <v>3014</v>
      </c>
    </row>
    <row r="1116" spans="1:5" x14ac:dyDescent="0.25">
      <c r="A1116" t="s">
        <v>2722</v>
      </c>
      <c r="B1116" t="s">
        <v>2944</v>
      </c>
      <c r="C1116">
        <v>1993</v>
      </c>
      <c r="E1116" s="1" t="s">
        <v>3433</v>
      </c>
    </row>
    <row r="1117" spans="1:5" x14ac:dyDescent="0.25">
      <c r="A1117" t="s">
        <v>2748</v>
      </c>
      <c r="B1117" t="s">
        <v>1739</v>
      </c>
      <c r="C1117">
        <v>2014</v>
      </c>
      <c r="D1117" t="s">
        <v>187</v>
      </c>
      <c r="E1117" s="1"/>
    </row>
    <row r="1118" spans="1:5" x14ac:dyDescent="0.25">
      <c r="A1118" t="s">
        <v>2752</v>
      </c>
      <c r="B1118" t="s">
        <v>477</v>
      </c>
      <c r="C1118">
        <v>2021</v>
      </c>
      <c r="D1118" t="s">
        <v>187</v>
      </c>
      <c r="E1118" s="1"/>
    </row>
    <row r="1119" spans="1:5" x14ac:dyDescent="0.25">
      <c r="A1119" t="s">
        <v>2783</v>
      </c>
      <c r="B1119" t="s">
        <v>2787</v>
      </c>
      <c r="C1119">
        <v>2019</v>
      </c>
      <c r="D1119" t="s">
        <v>187</v>
      </c>
      <c r="E1119" s="1"/>
    </row>
    <row r="1120" spans="1:5" x14ac:dyDescent="0.25">
      <c r="A1120" t="s">
        <v>2789</v>
      </c>
      <c r="B1120" t="s">
        <v>1720</v>
      </c>
      <c r="C1120">
        <v>2017</v>
      </c>
      <c r="E1120" s="1" t="s">
        <v>2983</v>
      </c>
    </row>
    <row r="1121" spans="1:5" x14ac:dyDescent="0.25">
      <c r="A1121" t="s">
        <v>2789</v>
      </c>
      <c r="B1121" t="s">
        <v>2791</v>
      </c>
      <c r="C1121">
        <v>2017</v>
      </c>
      <c r="D1121" t="s">
        <v>187</v>
      </c>
      <c r="E1121" s="1"/>
    </row>
    <row r="1122" spans="1:5" x14ac:dyDescent="0.25">
      <c r="A1122" t="s">
        <v>2793</v>
      </c>
      <c r="B1122" t="s">
        <v>2394</v>
      </c>
      <c r="C1122">
        <v>1992</v>
      </c>
      <c r="E1122" s="1" t="s">
        <v>2998</v>
      </c>
    </row>
    <row r="1123" spans="1:5" x14ac:dyDescent="0.25">
      <c r="A1123" t="s">
        <v>2805</v>
      </c>
      <c r="B1123" t="s">
        <v>185</v>
      </c>
      <c r="C1123">
        <v>2021</v>
      </c>
      <c r="E1123" s="1" t="s">
        <v>3014</v>
      </c>
    </row>
    <row r="1124" spans="1:5" x14ac:dyDescent="0.25">
      <c r="A1124" t="s">
        <v>2805</v>
      </c>
      <c r="B1124" t="s">
        <v>290</v>
      </c>
      <c r="C1124">
        <v>2021</v>
      </c>
      <c r="E1124" s="1" t="s">
        <v>3014</v>
      </c>
    </row>
    <row r="1125" spans="1:5" x14ac:dyDescent="0.25">
      <c r="A1125" t="s">
        <v>2805</v>
      </c>
      <c r="B1125" t="s">
        <v>294</v>
      </c>
      <c r="C1125">
        <v>2021</v>
      </c>
      <c r="E1125" s="11" t="s">
        <v>3067</v>
      </c>
    </row>
    <row r="1126" spans="1:5" x14ac:dyDescent="0.25">
      <c r="A1126" t="s">
        <v>2805</v>
      </c>
      <c r="B1126" t="s">
        <v>297</v>
      </c>
      <c r="C1126">
        <v>2021</v>
      </c>
      <c r="E1126" s="1" t="s">
        <v>2983</v>
      </c>
    </row>
    <row r="1127" spans="1:5" x14ac:dyDescent="0.25">
      <c r="A1127" t="s">
        <v>2805</v>
      </c>
      <c r="B1127" t="s">
        <v>303</v>
      </c>
      <c r="C1127">
        <v>2021</v>
      </c>
      <c r="E1127" s="1" t="s">
        <v>3014</v>
      </c>
    </row>
    <row r="1128" spans="1:5" x14ac:dyDescent="0.25">
      <c r="A1128" t="s">
        <v>2805</v>
      </c>
      <c r="B1128" t="s">
        <v>319</v>
      </c>
      <c r="C1128">
        <v>2021</v>
      </c>
      <c r="E1128" s="1" t="s">
        <v>2983</v>
      </c>
    </row>
    <row r="1129" spans="1:5" x14ac:dyDescent="0.25">
      <c r="A1129" t="s">
        <v>2805</v>
      </c>
      <c r="B1129" t="s">
        <v>360</v>
      </c>
      <c r="C1129">
        <v>2021</v>
      </c>
      <c r="E1129" s="1" t="s">
        <v>3434</v>
      </c>
    </row>
    <row r="1130" spans="1:5" x14ac:dyDescent="0.25">
      <c r="A1130" t="s">
        <v>2805</v>
      </c>
      <c r="B1130" t="s">
        <v>394</v>
      </c>
      <c r="C1130">
        <v>2021</v>
      </c>
      <c r="E1130" s="11" t="s">
        <v>3058</v>
      </c>
    </row>
    <row r="1131" spans="1:5" x14ac:dyDescent="0.25">
      <c r="A1131" t="s">
        <v>2805</v>
      </c>
      <c r="B1131" t="s">
        <v>425</v>
      </c>
      <c r="C1131">
        <v>2021</v>
      </c>
      <c r="E1131" s="11" t="s">
        <v>3014</v>
      </c>
    </row>
    <row r="1132" spans="1:5" x14ac:dyDescent="0.25">
      <c r="A1132" t="s">
        <v>2805</v>
      </c>
      <c r="B1132" t="s">
        <v>428</v>
      </c>
      <c r="C1132">
        <v>2021</v>
      </c>
      <c r="E1132" s="11" t="s">
        <v>3022</v>
      </c>
    </row>
    <row r="1133" spans="1:5" x14ac:dyDescent="0.25">
      <c r="A1133" t="s">
        <v>2805</v>
      </c>
      <c r="B1133" t="s">
        <v>447</v>
      </c>
      <c r="C1133">
        <v>2021</v>
      </c>
      <c r="E1133" s="1" t="s">
        <v>3014</v>
      </c>
    </row>
    <row r="1134" spans="1:5" x14ac:dyDescent="0.25">
      <c r="A1134" t="s">
        <v>2805</v>
      </c>
      <c r="B1134" t="s">
        <v>449</v>
      </c>
      <c r="C1134">
        <v>2021</v>
      </c>
      <c r="E1134" s="1" t="s">
        <v>3014</v>
      </c>
    </row>
    <row r="1135" spans="1:5" x14ac:dyDescent="0.25">
      <c r="A1135" t="s">
        <v>2805</v>
      </c>
      <c r="B1135" t="s">
        <v>457</v>
      </c>
      <c r="C1135">
        <v>2021</v>
      </c>
      <c r="E1135" s="1" t="s">
        <v>3014</v>
      </c>
    </row>
    <row r="1136" spans="1:5" x14ac:dyDescent="0.25">
      <c r="A1136" t="s">
        <v>2805</v>
      </c>
      <c r="B1136" t="s">
        <v>464</v>
      </c>
      <c r="C1136">
        <v>2021</v>
      </c>
      <c r="E1136" s="1" t="s">
        <v>3014</v>
      </c>
    </row>
    <row r="1137" spans="1:5" x14ac:dyDescent="0.25">
      <c r="A1137" t="s">
        <v>2805</v>
      </c>
      <c r="B1137" t="s">
        <v>497</v>
      </c>
      <c r="C1137">
        <v>2021</v>
      </c>
      <c r="E1137" s="1" t="s">
        <v>3014</v>
      </c>
    </row>
    <row r="1138" spans="1:5" x14ac:dyDescent="0.25">
      <c r="A1138" t="s">
        <v>2805</v>
      </c>
      <c r="B1138" t="s">
        <v>571</v>
      </c>
      <c r="C1138">
        <v>2021</v>
      </c>
      <c r="E1138" s="11" t="s">
        <v>3087</v>
      </c>
    </row>
    <row r="1139" spans="1:5" x14ac:dyDescent="0.25">
      <c r="A1139" t="s">
        <v>2805</v>
      </c>
      <c r="B1139" t="s">
        <v>586</v>
      </c>
      <c r="C1139">
        <v>2021</v>
      </c>
      <c r="E1139" s="1" t="s">
        <v>3014</v>
      </c>
    </row>
    <row r="1140" spans="1:5" x14ac:dyDescent="0.25">
      <c r="A1140" t="s">
        <v>2805</v>
      </c>
      <c r="B1140" t="s">
        <v>659</v>
      </c>
      <c r="C1140">
        <v>2021</v>
      </c>
      <c r="E1140" s="1" t="s">
        <v>3014</v>
      </c>
    </row>
    <row r="1141" spans="1:5" x14ac:dyDescent="0.25">
      <c r="A1141" t="s">
        <v>2805</v>
      </c>
      <c r="B1141" t="s">
        <v>741</v>
      </c>
      <c r="C1141">
        <v>2021</v>
      </c>
      <c r="E1141" s="11" t="s">
        <v>3435</v>
      </c>
    </row>
    <row r="1142" spans="1:5" x14ac:dyDescent="0.25">
      <c r="A1142" t="s">
        <v>2805</v>
      </c>
      <c r="B1142" t="s">
        <v>778</v>
      </c>
      <c r="C1142">
        <v>2021</v>
      </c>
      <c r="E1142" s="11" t="s">
        <v>3137</v>
      </c>
    </row>
    <row r="1143" spans="1:5" x14ac:dyDescent="0.25">
      <c r="A1143" t="s">
        <v>2805</v>
      </c>
      <c r="B1143" t="s">
        <v>811</v>
      </c>
      <c r="C1143">
        <v>2021</v>
      </c>
      <c r="E1143" s="1" t="s">
        <v>3014</v>
      </c>
    </row>
    <row r="1144" spans="1:5" x14ac:dyDescent="0.25">
      <c r="A1144" t="s">
        <v>2805</v>
      </c>
      <c r="B1144" t="s">
        <v>838</v>
      </c>
      <c r="C1144">
        <v>2021</v>
      </c>
      <c r="E1144" s="1" t="s">
        <v>3436</v>
      </c>
    </row>
    <row r="1145" spans="1:5" x14ac:dyDescent="0.25">
      <c r="A1145" t="s">
        <v>2805</v>
      </c>
      <c r="B1145" t="s">
        <v>890</v>
      </c>
      <c r="C1145">
        <v>2021</v>
      </c>
      <c r="E1145" s="1" t="s">
        <v>2983</v>
      </c>
    </row>
    <row r="1146" spans="1:5" x14ac:dyDescent="0.25">
      <c r="A1146" t="s">
        <v>2805</v>
      </c>
      <c r="B1146" t="s">
        <v>1018</v>
      </c>
      <c r="C1146">
        <v>2021</v>
      </c>
      <c r="E1146" s="1" t="s">
        <v>3014</v>
      </c>
    </row>
    <row r="1147" spans="1:5" x14ac:dyDescent="0.25">
      <c r="A1147" t="s">
        <v>2805</v>
      </c>
      <c r="B1147" t="s">
        <v>1022</v>
      </c>
      <c r="C1147">
        <v>2021</v>
      </c>
      <c r="E1147" t="s">
        <v>3014</v>
      </c>
    </row>
    <row r="1148" spans="1:5" x14ac:dyDescent="0.25">
      <c r="A1148" t="s">
        <v>2805</v>
      </c>
      <c r="B1148" t="s">
        <v>1097</v>
      </c>
      <c r="C1148">
        <v>2021</v>
      </c>
      <c r="E1148" s="1" t="s">
        <v>1100</v>
      </c>
    </row>
    <row r="1149" spans="1:5" x14ac:dyDescent="0.25">
      <c r="A1149" t="s">
        <v>2805</v>
      </c>
      <c r="B1149" t="s">
        <v>1181</v>
      </c>
      <c r="C1149">
        <v>2021</v>
      </c>
      <c r="E1149" t="s">
        <v>2983</v>
      </c>
    </row>
    <row r="1150" spans="1:5" x14ac:dyDescent="0.25">
      <c r="A1150" t="s">
        <v>2805</v>
      </c>
      <c r="B1150" t="s">
        <v>1196</v>
      </c>
      <c r="C1150">
        <v>2021</v>
      </c>
      <c r="E1150" s="1" t="s">
        <v>3437</v>
      </c>
    </row>
    <row r="1151" spans="1:5" x14ac:dyDescent="0.25">
      <c r="A1151" t="s">
        <v>2805</v>
      </c>
      <c r="B1151" t="s">
        <v>1212</v>
      </c>
      <c r="C1151">
        <v>2021</v>
      </c>
      <c r="E1151" s="1" t="s">
        <v>3014</v>
      </c>
    </row>
    <row r="1152" spans="1:5" x14ac:dyDescent="0.25">
      <c r="A1152" t="s">
        <v>2805</v>
      </c>
      <c r="B1152" t="s">
        <v>1244</v>
      </c>
      <c r="C1152">
        <v>2021</v>
      </c>
      <c r="E1152" s="1" t="s">
        <v>3014</v>
      </c>
    </row>
    <row r="1153" spans="1:5" x14ac:dyDescent="0.25">
      <c r="A1153" t="s">
        <v>2805</v>
      </c>
      <c r="B1153" t="s">
        <v>1252</v>
      </c>
      <c r="C1153">
        <v>2021</v>
      </c>
      <c r="E1153" s="1" t="s">
        <v>1255</v>
      </c>
    </row>
    <row r="1154" spans="1:5" x14ac:dyDescent="0.25">
      <c r="A1154" t="s">
        <v>2805</v>
      </c>
      <c r="B1154" t="s">
        <v>1277</v>
      </c>
      <c r="C1154">
        <v>2021</v>
      </c>
      <c r="E1154" s="1" t="s">
        <v>2983</v>
      </c>
    </row>
    <row r="1155" spans="1:5" x14ac:dyDescent="0.25">
      <c r="A1155" t="s">
        <v>2805</v>
      </c>
      <c r="B1155" t="s">
        <v>1303</v>
      </c>
      <c r="C1155">
        <v>2021</v>
      </c>
      <c r="E1155" s="1" t="s">
        <v>3014</v>
      </c>
    </row>
    <row r="1156" spans="1:5" x14ac:dyDescent="0.25">
      <c r="A1156" t="s">
        <v>2805</v>
      </c>
      <c r="B1156" t="s">
        <v>1349</v>
      </c>
      <c r="C1156">
        <v>2021</v>
      </c>
      <c r="E1156" s="11" t="s">
        <v>3244</v>
      </c>
    </row>
    <row r="1157" spans="1:5" x14ac:dyDescent="0.25">
      <c r="A1157" t="s">
        <v>2805</v>
      </c>
      <c r="B1157" t="s">
        <v>1362</v>
      </c>
      <c r="C1157">
        <v>2021</v>
      </c>
      <c r="E1157" s="1" t="s">
        <v>3014</v>
      </c>
    </row>
    <row r="1158" spans="1:5" x14ac:dyDescent="0.25">
      <c r="A1158" t="s">
        <v>2805</v>
      </c>
      <c r="B1158" t="s">
        <v>1379</v>
      </c>
      <c r="C1158">
        <v>2021</v>
      </c>
      <c r="E1158" s="1" t="s">
        <v>3014</v>
      </c>
    </row>
    <row r="1159" spans="1:5" x14ac:dyDescent="0.25">
      <c r="A1159" t="s">
        <v>2805</v>
      </c>
      <c r="B1159" t="s">
        <v>1397</v>
      </c>
      <c r="C1159">
        <v>2021</v>
      </c>
      <c r="E1159" s="1" t="s">
        <v>3014</v>
      </c>
    </row>
    <row r="1160" spans="1:5" x14ac:dyDescent="0.25">
      <c r="A1160" t="s">
        <v>2805</v>
      </c>
      <c r="B1160" t="s">
        <v>1404</v>
      </c>
      <c r="C1160">
        <v>2021</v>
      </c>
      <c r="E1160" s="1" t="s">
        <v>3014</v>
      </c>
    </row>
    <row r="1161" spans="1:5" x14ac:dyDescent="0.25">
      <c r="A1161" t="s">
        <v>2805</v>
      </c>
      <c r="B1161" t="s">
        <v>1410</v>
      </c>
      <c r="C1161">
        <v>2021</v>
      </c>
      <c r="E1161" s="1" t="s">
        <v>3438</v>
      </c>
    </row>
    <row r="1162" spans="1:5" x14ac:dyDescent="0.25">
      <c r="A1162" t="s">
        <v>2805</v>
      </c>
      <c r="B1162" t="s">
        <v>1464</v>
      </c>
      <c r="C1162">
        <v>2021</v>
      </c>
      <c r="E1162" s="1" t="s">
        <v>3130</v>
      </c>
    </row>
    <row r="1163" spans="1:5" x14ac:dyDescent="0.25">
      <c r="A1163" t="s">
        <v>2805</v>
      </c>
      <c r="B1163" t="s">
        <v>1487</v>
      </c>
      <c r="C1163">
        <v>2021</v>
      </c>
      <c r="E1163" s="1" t="s">
        <v>3014</v>
      </c>
    </row>
    <row r="1164" spans="1:5" x14ac:dyDescent="0.25">
      <c r="A1164" t="s">
        <v>2805</v>
      </c>
      <c r="B1164" t="s">
        <v>1493</v>
      </c>
      <c r="C1164">
        <v>2021</v>
      </c>
      <c r="E1164" s="1" t="s">
        <v>3089</v>
      </c>
    </row>
    <row r="1165" spans="1:5" x14ac:dyDescent="0.25">
      <c r="A1165" t="s">
        <v>2805</v>
      </c>
      <c r="B1165" t="s">
        <v>1501</v>
      </c>
      <c r="C1165">
        <v>2021</v>
      </c>
      <c r="E1165" s="1" t="s">
        <v>3014</v>
      </c>
    </row>
    <row r="1166" spans="1:5" x14ac:dyDescent="0.25">
      <c r="A1166" t="s">
        <v>2805</v>
      </c>
      <c r="B1166" t="s">
        <v>1531</v>
      </c>
      <c r="C1166">
        <v>2021</v>
      </c>
      <c r="E1166" s="1" t="s">
        <v>3014</v>
      </c>
    </row>
    <row r="1167" spans="1:5" x14ac:dyDescent="0.25">
      <c r="A1167" t="s">
        <v>2805</v>
      </c>
      <c r="B1167" t="s">
        <v>1614</v>
      </c>
      <c r="C1167">
        <v>2021</v>
      </c>
      <c r="E1167" s="1" t="s">
        <v>3439</v>
      </c>
    </row>
    <row r="1168" spans="1:5" x14ac:dyDescent="0.25">
      <c r="A1168" t="s">
        <v>2805</v>
      </c>
      <c r="B1168" t="s">
        <v>1622</v>
      </c>
      <c r="C1168">
        <v>2021</v>
      </c>
      <c r="E1168" s="1" t="s">
        <v>2983</v>
      </c>
    </row>
    <row r="1169" spans="1:5" x14ac:dyDescent="0.25">
      <c r="A1169" t="s">
        <v>2805</v>
      </c>
      <c r="B1169" t="s">
        <v>1671</v>
      </c>
      <c r="C1169">
        <v>2021</v>
      </c>
      <c r="E1169" s="1" t="s">
        <v>3014</v>
      </c>
    </row>
    <row r="1170" spans="1:5" x14ac:dyDescent="0.25">
      <c r="A1170" t="s">
        <v>2805</v>
      </c>
      <c r="B1170" t="s">
        <v>1697</v>
      </c>
      <c r="C1170">
        <v>2021</v>
      </c>
      <c r="E1170" s="1" t="s">
        <v>3149</v>
      </c>
    </row>
    <row r="1171" spans="1:5" x14ac:dyDescent="0.25">
      <c r="A1171" t="s">
        <v>2805</v>
      </c>
      <c r="B1171" t="s">
        <v>1735</v>
      </c>
      <c r="C1171">
        <v>2021</v>
      </c>
      <c r="E1171" s="1" t="s">
        <v>2983</v>
      </c>
    </row>
    <row r="1172" spans="1:5" x14ac:dyDescent="0.25">
      <c r="A1172" t="s">
        <v>2805</v>
      </c>
      <c r="B1172" t="s">
        <v>1765</v>
      </c>
      <c r="C1172">
        <v>2021</v>
      </c>
      <c r="E1172" s="1" t="s">
        <v>3014</v>
      </c>
    </row>
    <row r="1173" spans="1:5" x14ac:dyDescent="0.25">
      <c r="A1173" t="s">
        <v>2805</v>
      </c>
      <c r="B1173" t="s">
        <v>1794</v>
      </c>
      <c r="C1173">
        <v>2021</v>
      </c>
      <c r="E1173" s="1" t="s">
        <v>3014</v>
      </c>
    </row>
    <row r="1174" spans="1:5" x14ac:dyDescent="0.25">
      <c r="A1174" t="s">
        <v>2805</v>
      </c>
      <c r="B1174" t="s">
        <v>1805</v>
      </c>
      <c r="C1174">
        <v>2021</v>
      </c>
      <c r="E1174" s="1" t="s">
        <v>3014</v>
      </c>
    </row>
    <row r="1175" spans="1:5" x14ac:dyDescent="0.25">
      <c r="A1175" t="s">
        <v>2805</v>
      </c>
      <c r="B1175" t="s">
        <v>1810</v>
      </c>
      <c r="C1175">
        <v>2021</v>
      </c>
      <c r="E1175" s="1" t="s">
        <v>2983</v>
      </c>
    </row>
    <row r="1176" spans="1:5" x14ac:dyDescent="0.25">
      <c r="A1176" t="s">
        <v>2805</v>
      </c>
      <c r="B1176" t="s">
        <v>1822</v>
      </c>
      <c r="C1176">
        <v>2021</v>
      </c>
      <c r="E1176" s="1" t="s">
        <v>3014</v>
      </c>
    </row>
    <row r="1177" spans="1:5" x14ac:dyDescent="0.25">
      <c r="A1177" t="s">
        <v>2805</v>
      </c>
      <c r="B1177" t="s">
        <v>1830</v>
      </c>
      <c r="C1177">
        <v>2021</v>
      </c>
      <c r="E1177" s="1" t="s">
        <v>3014</v>
      </c>
    </row>
    <row r="1178" spans="1:5" x14ac:dyDescent="0.25">
      <c r="A1178" t="s">
        <v>2805</v>
      </c>
      <c r="B1178" t="s">
        <v>1838</v>
      </c>
      <c r="C1178">
        <v>2021</v>
      </c>
      <c r="E1178" s="1" t="s">
        <v>3014</v>
      </c>
    </row>
    <row r="1179" spans="1:5" x14ac:dyDescent="0.25">
      <c r="A1179" t="s">
        <v>2805</v>
      </c>
      <c r="B1179" t="s">
        <v>1852</v>
      </c>
      <c r="C1179">
        <v>2021</v>
      </c>
      <c r="E1179" s="1" t="s">
        <v>2983</v>
      </c>
    </row>
    <row r="1180" spans="1:5" x14ac:dyDescent="0.25">
      <c r="A1180" t="s">
        <v>2805</v>
      </c>
      <c r="B1180" t="s">
        <v>1959</v>
      </c>
      <c r="C1180">
        <v>2021</v>
      </c>
      <c r="E1180" s="1" t="s">
        <v>1962</v>
      </c>
    </row>
    <row r="1181" spans="1:5" x14ac:dyDescent="0.25">
      <c r="A1181" t="s">
        <v>2805</v>
      </c>
      <c r="B1181" t="s">
        <v>1963</v>
      </c>
      <c r="C1181">
        <v>2021</v>
      </c>
      <c r="E1181" s="1" t="s">
        <v>3014</v>
      </c>
    </row>
    <row r="1182" spans="1:5" x14ac:dyDescent="0.25">
      <c r="A1182" t="s">
        <v>2805</v>
      </c>
      <c r="B1182" t="s">
        <v>2092</v>
      </c>
      <c r="C1182">
        <v>2021</v>
      </c>
      <c r="E1182" s="1" t="s">
        <v>3014</v>
      </c>
    </row>
    <row r="1183" spans="1:5" x14ac:dyDescent="0.25">
      <c r="A1183" t="s">
        <v>2805</v>
      </c>
      <c r="B1183" t="s">
        <v>2104</v>
      </c>
      <c r="C1183">
        <v>2021</v>
      </c>
      <c r="E1183" s="1" t="s">
        <v>3014</v>
      </c>
    </row>
    <row r="1184" spans="1:5" x14ac:dyDescent="0.25">
      <c r="A1184" t="s">
        <v>2805</v>
      </c>
      <c r="B1184" t="s">
        <v>2163</v>
      </c>
      <c r="C1184">
        <v>2021</v>
      </c>
      <c r="E1184" s="1" t="s">
        <v>2983</v>
      </c>
    </row>
    <row r="1185" spans="1:5" x14ac:dyDescent="0.25">
      <c r="A1185" t="s">
        <v>2805</v>
      </c>
      <c r="B1185" t="s">
        <v>2193</v>
      </c>
      <c r="C1185">
        <v>2021</v>
      </c>
      <c r="E1185" s="1" t="s">
        <v>3014</v>
      </c>
    </row>
    <row r="1186" spans="1:5" x14ac:dyDescent="0.25">
      <c r="A1186" t="s">
        <v>2805</v>
      </c>
      <c r="B1186" t="s">
        <v>2248</v>
      </c>
      <c r="C1186">
        <v>2021</v>
      </c>
      <c r="E1186" s="1" t="s">
        <v>3014</v>
      </c>
    </row>
    <row r="1187" spans="1:5" x14ac:dyDescent="0.25">
      <c r="A1187" t="s">
        <v>2805</v>
      </c>
      <c r="B1187" t="s">
        <v>2259</v>
      </c>
      <c r="C1187">
        <v>2021</v>
      </c>
      <c r="E1187" s="1" t="s">
        <v>3014</v>
      </c>
    </row>
    <row r="1188" spans="1:5" x14ac:dyDescent="0.25">
      <c r="A1188" t="s">
        <v>2805</v>
      </c>
      <c r="B1188" t="s">
        <v>2366</v>
      </c>
      <c r="C1188">
        <v>2021</v>
      </c>
      <c r="E1188" s="1" t="s">
        <v>3014</v>
      </c>
    </row>
    <row r="1189" spans="1:5" x14ac:dyDescent="0.25">
      <c r="A1189" t="s">
        <v>2805</v>
      </c>
      <c r="B1189" t="s">
        <v>2382</v>
      </c>
      <c r="C1189">
        <v>2021</v>
      </c>
      <c r="E1189" s="1" t="s">
        <v>2983</v>
      </c>
    </row>
    <row r="1190" spans="1:5" x14ac:dyDescent="0.25">
      <c r="A1190" t="s">
        <v>2805</v>
      </c>
      <c r="B1190" t="s">
        <v>2398</v>
      </c>
      <c r="C1190">
        <v>2021</v>
      </c>
      <c r="E1190" s="1" t="s">
        <v>3239</v>
      </c>
    </row>
    <row r="1191" spans="1:5" x14ac:dyDescent="0.25">
      <c r="A1191" t="s">
        <v>2805</v>
      </c>
      <c r="B1191" t="s">
        <v>2411</v>
      </c>
      <c r="C1191">
        <v>2021</v>
      </c>
      <c r="E1191" s="1" t="s">
        <v>3014</v>
      </c>
    </row>
    <row r="1192" spans="1:5" x14ac:dyDescent="0.25">
      <c r="A1192" t="s">
        <v>2805</v>
      </c>
      <c r="B1192" t="s">
        <v>2436</v>
      </c>
      <c r="C1192">
        <v>2021</v>
      </c>
      <c r="E1192" s="1" t="s">
        <v>3014</v>
      </c>
    </row>
    <row r="1193" spans="1:5" x14ac:dyDescent="0.25">
      <c r="A1193" t="s">
        <v>2805</v>
      </c>
      <c r="B1193" t="s">
        <v>2464</v>
      </c>
      <c r="C1193">
        <v>2021</v>
      </c>
      <c r="E1193" s="1" t="s">
        <v>3440</v>
      </c>
    </row>
    <row r="1194" spans="1:5" x14ac:dyDescent="0.25">
      <c r="A1194" t="s">
        <v>2805</v>
      </c>
      <c r="B1194" t="s">
        <v>2527</v>
      </c>
      <c r="C1194">
        <v>2021</v>
      </c>
      <c r="E1194" s="1" t="s">
        <v>3441</v>
      </c>
    </row>
    <row r="1195" spans="1:5" x14ac:dyDescent="0.25">
      <c r="A1195" t="s">
        <v>2805</v>
      </c>
      <c r="B1195" t="s">
        <v>2604</v>
      </c>
      <c r="C1195">
        <v>2021</v>
      </c>
      <c r="E1195" s="1" t="s">
        <v>3014</v>
      </c>
    </row>
    <row r="1196" spans="1:5" x14ac:dyDescent="0.25">
      <c r="A1196" t="s">
        <v>2805</v>
      </c>
      <c r="B1196" t="s">
        <v>2610</v>
      </c>
      <c r="C1196">
        <v>2021</v>
      </c>
      <c r="E1196" s="11" t="s">
        <v>3442</v>
      </c>
    </row>
    <row r="1197" spans="1:5" x14ac:dyDescent="0.25">
      <c r="A1197" t="s">
        <v>2805</v>
      </c>
      <c r="B1197" t="s">
        <v>2670</v>
      </c>
      <c r="C1197">
        <v>2021</v>
      </c>
      <c r="E1197" s="1" t="s">
        <v>3014</v>
      </c>
    </row>
    <row r="1198" spans="1:5" x14ac:dyDescent="0.25">
      <c r="A1198" t="s">
        <v>2805</v>
      </c>
      <c r="B1198" t="s">
        <v>2689</v>
      </c>
      <c r="C1198">
        <v>2021</v>
      </c>
      <c r="E1198" s="11" t="s">
        <v>3443</v>
      </c>
    </row>
    <row r="1199" spans="1:5" x14ac:dyDescent="0.25">
      <c r="A1199" t="s">
        <v>2805</v>
      </c>
      <c r="B1199" t="s">
        <v>2692</v>
      </c>
      <c r="C1199">
        <v>2021</v>
      </c>
      <c r="E1199" s="1" t="s">
        <v>3014</v>
      </c>
    </row>
    <row r="1200" spans="1:5" x14ac:dyDescent="0.25">
      <c r="A1200" t="s">
        <v>2805</v>
      </c>
      <c r="B1200" t="s">
        <v>2699</v>
      </c>
      <c r="C1200">
        <v>2021</v>
      </c>
      <c r="E1200" s="1" t="s">
        <v>3197</v>
      </c>
    </row>
    <row r="1201" spans="1:5" x14ac:dyDescent="0.25">
      <c r="A1201" t="s">
        <v>2805</v>
      </c>
      <c r="B1201" t="s">
        <v>2743</v>
      </c>
      <c r="C1201">
        <v>2021</v>
      </c>
      <c r="E1201" s="1" t="s">
        <v>2983</v>
      </c>
    </row>
    <row r="1202" spans="1:5" x14ac:dyDescent="0.25">
      <c r="A1202" t="s">
        <v>2805</v>
      </c>
      <c r="B1202" t="s">
        <v>2799</v>
      </c>
      <c r="C1202">
        <v>2021</v>
      </c>
      <c r="D1202" t="s">
        <v>187</v>
      </c>
      <c r="E1202" s="1"/>
    </row>
    <row r="1203" spans="1:5" x14ac:dyDescent="0.25">
      <c r="A1203" t="s">
        <v>2805</v>
      </c>
      <c r="B1203" t="s">
        <v>2801</v>
      </c>
      <c r="C1203">
        <v>2021</v>
      </c>
      <c r="E1203" s="1" t="s">
        <v>2983</v>
      </c>
    </row>
    <row r="1204" spans="1:5" x14ac:dyDescent="0.25">
      <c r="A1204" t="s">
        <v>2805</v>
      </c>
      <c r="B1204" t="s">
        <v>2815</v>
      </c>
      <c r="C1204">
        <v>2021</v>
      </c>
      <c r="E1204" s="1" t="s">
        <v>2983</v>
      </c>
    </row>
    <row r="1205" spans="1:5" x14ac:dyDescent="0.25">
      <c r="A1205" t="s">
        <v>2805</v>
      </c>
      <c r="B1205" t="s">
        <v>2829</v>
      </c>
      <c r="C1205">
        <v>2021</v>
      </c>
      <c r="E1205" s="1" t="s">
        <v>2983</v>
      </c>
    </row>
    <row r="1206" spans="1:5" x14ac:dyDescent="0.25">
      <c r="A1206" t="s">
        <v>2805</v>
      </c>
      <c r="B1206" t="s">
        <v>2853</v>
      </c>
      <c r="C1206">
        <v>2021</v>
      </c>
      <c r="D1206" t="s">
        <v>187</v>
      </c>
      <c r="E1206" s="1" t="s">
        <v>3444</v>
      </c>
    </row>
    <row r="1207" spans="1:5" x14ac:dyDescent="0.25">
      <c r="A1207" t="s">
        <v>2805</v>
      </c>
      <c r="B1207" t="s">
        <v>2883</v>
      </c>
      <c r="C1207">
        <v>2021</v>
      </c>
      <c r="E1207" s="1" t="s">
        <v>3445</v>
      </c>
    </row>
    <row r="1208" spans="1:5" x14ac:dyDescent="0.25">
      <c r="A1208" t="s">
        <v>2805</v>
      </c>
      <c r="B1208" t="s">
        <v>2934</v>
      </c>
      <c r="C1208">
        <v>2021</v>
      </c>
      <c r="E1208" s="1" t="s">
        <v>3014</v>
      </c>
    </row>
    <row r="1209" spans="1:5" x14ac:dyDescent="0.25">
      <c r="A1209" t="s">
        <v>2819</v>
      </c>
      <c r="B1209" t="s">
        <v>2821</v>
      </c>
      <c r="C1209">
        <v>2021</v>
      </c>
      <c r="D1209" t="s">
        <v>187</v>
      </c>
      <c r="E1209" s="1"/>
    </row>
    <row r="1210" spans="1:5" x14ac:dyDescent="0.25">
      <c r="A1210" t="s">
        <v>2825</v>
      </c>
      <c r="B1210" t="s">
        <v>2887</v>
      </c>
      <c r="C1210">
        <v>2019</v>
      </c>
      <c r="D1210" t="s">
        <v>187</v>
      </c>
      <c r="E1210" s="1"/>
    </row>
    <row r="1211" spans="1:5" x14ac:dyDescent="0.25">
      <c r="A1211" t="s">
        <v>2829</v>
      </c>
      <c r="B1211" t="s">
        <v>2340</v>
      </c>
      <c r="C1211">
        <v>2022</v>
      </c>
      <c r="D1211" t="s">
        <v>187</v>
      </c>
      <c r="E1211" s="1"/>
    </row>
    <row r="1212" spans="1:5" x14ac:dyDescent="0.25">
      <c r="A1212" t="s">
        <v>2847</v>
      </c>
      <c r="B1212" t="s">
        <v>2851</v>
      </c>
      <c r="C1212">
        <v>2023</v>
      </c>
      <c r="D1212" t="s">
        <v>187</v>
      </c>
      <c r="E1212" s="1"/>
    </row>
    <row r="1213" spans="1:5" x14ac:dyDescent="0.25">
      <c r="A1213" t="s">
        <v>2875</v>
      </c>
      <c r="B1213" t="s">
        <v>1424</v>
      </c>
      <c r="C1213">
        <v>2005</v>
      </c>
      <c r="D1213" t="s">
        <v>187</v>
      </c>
      <c r="E1213" s="1"/>
    </row>
    <row r="1214" spans="1:5" x14ac:dyDescent="0.25">
      <c r="A1214" t="s">
        <v>2879</v>
      </c>
      <c r="B1214" t="s">
        <v>1352</v>
      </c>
      <c r="C1214">
        <v>2020</v>
      </c>
      <c r="D1214" t="s">
        <v>187</v>
      </c>
    </row>
    <row r="1215" spans="1:5" x14ac:dyDescent="0.25">
      <c r="A1215" t="s">
        <v>2891</v>
      </c>
      <c r="B1215" t="s">
        <v>803</v>
      </c>
      <c r="C1215">
        <v>2023</v>
      </c>
      <c r="E1215" s="1" t="s">
        <v>2983</v>
      </c>
    </row>
    <row r="1216" spans="1:5" x14ac:dyDescent="0.25">
      <c r="A1216" t="s">
        <v>2891</v>
      </c>
      <c r="B1216" t="s">
        <v>1395</v>
      </c>
      <c r="C1216">
        <v>2023</v>
      </c>
      <c r="E1216" s="1" t="s">
        <v>3034</v>
      </c>
    </row>
    <row r="1217" spans="1:5" x14ac:dyDescent="0.25">
      <c r="A1217" t="s">
        <v>2902</v>
      </c>
      <c r="B1217" t="s">
        <v>2841</v>
      </c>
      <c r="C1217">
        <v>2024</v>
      </c>
      <c r="E1217" s="1" t="s">
        <v>3446</v>
      </c>
    </row>
    <row r="1218" spans="1:5" x14ac:dyDescent="0.25">
      <c r="A1218" t="s">
        <v>2907</v>
      </c>
      <c r="B1218" t="s">
        <v>226</v>
      </c>
      <c r="C1218">
        <v>2018</v>
      </c>
      <c r="E1218" s="1" t="s">
        <v>3185</v>
      </c>
    </row>
    <row r="1219" spans="1:5" x14ac:dyDescent="0.25">
      <c r="A1219" t="s">
        <v>2907</v>
      </c>
      <c r="B1219" t="s">
        <v>310</v>
      </c>
      <c r="C1219">
        <v>2018</v>
      </c>
      <c r="E1219" s="1" t="s">
        <v>3079</v>
      </c>
    </row>
    <row r="1220" spans="1:5" x14ac:dyDescent="0.25">
      <c r="A1220" t="s">
        <v>2907</v>
      </c>
      <c r="B1220" t="s">
        <v>2032</v>
      </c>
      <c r="C1220">
        <v>2018</v>
      </c>
      <c r="E1220" s="1" t="s">
        <v>3237</v>
      </c>
    </row>
    <row r="1221" spans="1:5" x14ac:dyDescent="0.25">
      <c r="A1221" t="s">
        <v>2907</v>
      </c>
      <c r="B1221" t="s">
        <v>2911</v>
      </c>
      <c r="C1221">
        <v>2018</v>
      </c>
      <c r="D1221" t="s">
        <v>187</v>
      </c>
      <c r="E1221" s="1"/>
    </row>
    <row r="1222" spans="1:5" x14ac:dyDescent="0.25">
      <c r="A1222" t="s">
        <v>2944</v>
      </c>
      <c r="B1222" t="s">
        <v>2638</v>
      </c>
      <c r="C1222">
        <v>2010</v>
      </c>
      <c r="D1222" t="s">
        <v>187</v>
      </c>
      <c r="E1222" s="1" t="s">
        <v>3447</v>
      </c>
    </row>
    <row r="1223" spans="1:5" x14ac:dyDescent="0.25">
      <c r="A1223" t="s">
        <v>2948</v>
      </c>
      <c r="B1223" t="s">
        <v>698</v>
      </c>
      <c r="C1223">
        <v>1994</v>
      </c>
      <c r="E1223" s="11" t="s">
        <v>3448</v>
      </c>
    </row>
    <row r="1224" spans="1:5" x14ac:dyDescent="0.25">
      <c r="A1224" t="s">
        <v>2948</v>
      </c>
      <c r="B1224" t="s">
        <v>2572</v>
      </c>
      <c r="C1224">
        <v>1994</v>
      </c>
      <c r="E1224" s="1" t="s">
        <v>3449</v>
      </c>
    </row>
    <row r="1225" spans="1:5" x14ac:dyDescent="0.25">
      <c r="A1225" t="s">
        <v>2948</v>
      </c>
      <c r="B1225" t="s">
        <v>2963</v>
      </c>
      <c r="C1225">
        <v>1994</v>
      </c>
      <c r="E1225" s="1" t="s">
        <v>3007</v>
      </c>
    </row>
    <row r="1226" spans="1:5" x14ac:dyDescent="0.25">
      <c r="A1226" t="s">
        <v>2955</v>
      </c>
      <c r="B1226" t="s">
        <v>2813</v>
      </c>
      <c r="C1226">
        <v>2014</v>
      </c>
      <c r="E1226" s="1" t="s">
        <v>3084</v>
      </c>
    </row>
    <row r="1227" spans="1:5" x14ac:dyDescent="0.25">
      <c r="A1227" t="s">
        <v>2955</v>
      </c>
      <c r="B1227" t="s">
        <v>2959</v>
      </c>
      <c r="C1227">
        <v>2014</v>
      </c>
      <c r="D1227" t="s">
        <v>187</v>
      </c>
      <c r="E1227" s="1"/>
    </row>
    <row r="1228" spans="1:5" x14ac:dyDescent="0.25">
      <c r="A1228" t="s">
        <v>2966</v>
      </c>
      <c r="B1228" t="s">
        <v>2104</v>
      </c>
      <c r="C1228">
        <v>2023</v>
      </c>
      <c r="D1228" t="s">
        <v>187</v>
      </c>
      <c r="E1228" s="1"/>
    </row>
  </sheetData>
  <hyperlinks>
    <hyperlink ref="E5" r:id="rId1" xr:uid="{00000000-0004-0000-0100-000000000000}"/>
    <hyperlink ref="E8" r:id="rId2" xr:uid="{00000000-0004-0000-0100-000001000000}"/>
    <hyperlink ref="E9" r:id="rId3" xr:uid="{00000000-0004-0000-0100-000002000000}"/>
    <hyperlink ref="E10" r:id="rId4" xr:uid="{00000000-0004-0000-0100-000003000000}"/>
    <hyperlink ref="E12" r:id="rId5" xr:uid="{00000000-0004-0000-0100-000004000000}"/>
    <hyperlink ref="E13" r:id="rId6" xr:uid="{00000000-0004-0000-0100-000005000000}"/>
    <hyperlink ref="E15" r:id="rId7" xr:uid="{00000000-0004-0000-0100-000006000000}"/>
    <hyperlink ref="E16" r:id="rId8" xr:uid="{00000000-0004-0000-0100-000007000000}"/>
    <hyperlink ref="E17" r:id="rId9" xr:uid="{00000000-0004-0000-0100-000008000000}"/>
    <hyperlink ref="E20" r:id="rId10" xr:uid="{00000000-0004-0000-0100-000009000000}"/>
    <hyperlink ref="E22" r:id="rId11" xr:uid="{00000000-0004-0000-0100-00000A000000}"/>
    <hyperlink ref="E23" r:id="rId12" xr:uid="{00000000-0004-0000-0100-00000B000000}"/>
    <hyperlink ref="E24" r:id="rId13" xr:uid="{00000000-0004-0000-0100-00000C000000}"/>
    <hyperlink ref="E25" r:id="rId14" xr:uid="{00000000-0004-0000-0100-00000D000000}"/>
    <hyperlink ref="E26" r:id="rId15" xr:uid="{00000000-0004-0000-0100-00000E000000}"/>
    <hyperlink ref="E27" r:id="rId16" xr:uid="{00000000-0004-0000-0100-00000F000000}"/>
    <hyperlink ref="E29" r:id="rId17" xr:uid="{00000000-0004-0000-0100-000010000000}"/>
    <hyperlink ref="E30" r:id="rId18" xr:uid="{00000000-0004-0000-0100-000011000000}"/>
    <hyperlink ref="E31" r:id="rId19" xr:uid="{00000000-0004-0000-0100-000012000000}"/>
    <hyperlink ref="E32" r:id="rId20" xr:uid="{00000000-0004-0000-0100-000013000000}"/>
    <hyperlink ref="E36" r:id="rId21" xr:uid="{00000000-0004-0000-0100-000014000000}"/>
    <hyperlink ref="E37" r:id="rId22" xr:uid="{00000000-0004-0000-0100-000015000000}"/>
    <hyperlink ref="E38" r:id="rId23" xr:uid="{00000000-0004-0000-0100-000016000000}"/>
    <hyperlink ref="E39" r:id="rId24" xr:uid="{00000000-0004-0000-0100-000017000000}"/>
    <hyperlink ref="E40" r:id="rId25" xr:uid="{00000000-0004-0000-0100-000018000000}"/>
    <hyperlink ref="E41" r:id="rId26" xr:uid="{00000000-0004-0000-0100-000019000000}"/>
    <hyperlink ref="E44" r:id="rId27" xr:uid="{00000000-0004-0000-0100-00001A000000}"/>
    <hyperlink ref="E45" r:id="rId28" xr:uid="{00000000-0004-0000-0100-00001B000000}"/>
    <hyperlink ref="E46" r:id="rId29" xr:uid="{00000000-0004-0000-0100-00001C000000}"/>
    <hyperlink ref="E47" r:id="rId30" xr:uid="{00000000-0004-0000-0100-00001D000000}"/>
    <hyperlink ref="E48" r:id="rId31" xr:uid="{00000000-0004-0000-0100-00001E000000}"/>
    <hyperlink ref="E51" r:id="rId32" xr:uid="{00000000-0004-0000-0100-00001F000000}"/>
    <hyperlink ref="E52" r:id="rId33" location=":~:text=A%20downloadable%20game%20for%20Windows,it%20to%20the%20next%20round." xr:uid="{00000000-0004-0000-0100-000020000000}"/>
    <hyperlink ref="E54" r:id="rId34" xr:uid="{00000000-0004-0000-0100-000021000000}"/>
    <hyperlink ref="E56" r:id="rId35" xr:uid="{00000000-0004-0000-0100-000022000000}"/>
    <hyperlink ref="E57" r:id="rId36" xr:uid="{00000000-0004-0000-0100-000023000000}"/>
    <hyperlink ref="E58" r:id="rId37" xr:uid="{00000000-0004-0000-0100-000024000000}"/>
    <hyperlink ref="E60" r:id="rId38" location="c4335355681661031211" xr:uid="{00000000-0004-0000-0100-000025000000}"/>
    <hyperlink ref="E65" r:id="rId39" xr:uid="{00000000-0004-0000-0100-000026000000}"/>
    <hyperlink ref="E67" r:id="rId40" xr:uid="{00000000-0004-0000-0100-000027000000}"/>
    <hyperlink ref="E68" r:id="rId41" xr:uid="{00000000-0004-0000-0100-000028000000}"/>
    <hyperlink ref="E69" r:id="rId42" xr:uid="{00000000-0004-0000-0100-000029000000}"/>
    <hyperlink ref="E70" r:id="rId43" xr:uid="{00000000-0004-0000-0100-00002A000000}"/>
    <hyperlink ref="E71" r:id="rId44" location=":~:text=With%20inspirations%20from%20hometown%20superstars%20Nikola%20Jokić%2C,passion%20project%20using%20basketball%20as%20the%20medium." xr:uid="{00000000-0004-0000-0100-00002B000000}"/>
    <hyperlink ref="E73" r:id="rId45" xr:uid="{00000000-0004-0000-0100-00002C000000}"/>
    <hyperlink ref="E74" r:id="rId46" xr:uid="{00000000-0004-0000-0100-00002D000000}"/>
    <hyperlink ref="E75" r:id="rId47" xr:uid="{00000000-0004-0000-0100-00002E000000}"/>
    <hyperlink ref="E78" r:id="rId48" xr:uid="{00000000-0004-0000-0100-00002F000000}"/>
    <hyperlink ref="E81" r:id="rId49" xr:uid="{00000000-0004-0000-0100-000030000000}"/>
    <hyperlink ref="E82" r:id="rId50" xr:uid="{00000000-0004-0000-0100-000031000000}"/>
    <hyperlink ref="E84" r:id="rId51" location=":~:text=A%20downloadable%20game%20for%20Windows,it%20to%20the%20next%20round." xr:uid="{00000000-0004-0000-0100-000032000000}"/>
    <hyperlink ref="E85" r:id="rId52" xr:uid="{00000000-0004-0000-0100-000033000000}"/>
    <hyperlink ref="E86" r:id="rId53" xr:uid="{00000000-0004-0000-0100-000034000000}"/>
    <hyperlink ref="E87" r:id="rId54" xr:uid="{00000000-0004-0000-0100-000035000000}"/>
    <hyperlink ref="E88" r:id="rId55" xr:uid="{00000000-0004-0000-0100-000036000000}"/>
    <hyperlink ref="E89" r:id="rId56" xr:uid="{00000000-0004-0000-0100-000037000000}"/>
    <hyperlink ref="E90" r:id="rId57" xr:uid="{00000000-0004-0000-0100-000038000000}"/>
    <hyperlink ref="E92" r:id="rId58" xr:uid="{00000000-0004-0000-0100-000039000000}"/>
    <hyperlink ref="E93" r:id="rId59" xr:uid="{00000000-0004-0000-0100-00003A000000}"/>
    <hyperlink ref="E96" r:id="rId60" location=":~:text=RollScape%20is%20a%20game%20inspired,I%20played%20throughout%20the%20years." xr:uid="{00000000-0004-0000-0100-00003B000000}"/>
    <hyperlink ref="E97" r:id="rId61" xr:uid="{00000000-0004-0000-0100-00003C000000}"/>
    <hyperlink ref="E98" r:id="rId62" location=":~:text=%2C%20say%2C%20Arco?-,RunebornGame,make%20it%20even%20more%20unique." xr:uid="{00000000-0004-0000-0100-00003D000000}"/>
    <hyperlink ref="E99" r:id="rId63" xr:uid="{00000000-0004-0000-0100-00003E000000}"/>
    <hyperlink ref="E102" r:id="rId64" xr:uid="{00000000-0004-0000-0100-00003F000000}"/>
    <hyperlink ref="E103" r:id="rId65" xr:uid="{00000000-0004-0000-0100-000040000000}"/>
    <hyperlink ref="E104" r:id="rId66" xr:uid="{00000000-0004-0000-0100-000041000000}"/>
    <hyperlink ref="E106" r:id="rId67" xr:uid="{00000000-0004-0000-0100-000042000000}"/>
    <hyperlink ref="E107" r:id="rId68" xr:uid="{00000000-0004-0000-0100-000043000000}"/>
    <hyperlink ref="E109" r:id="rId69" xr:uid="{00000000-0004-0000-0100-000044000000}"/>
    <hyperlink ref="E111" r:id="rId70" xr:uid="{00000000-0004-0000-0100-000045000000}"/>
    <hyperlink ref="E112" r:id="rId71" xr:uid="{00000000-0004-0000-0100-000046000000}"/>
    <hyperlink ref="E113" r:id="rId72" xr:uid="{00000000-0004-0000-0100-000047000000}"/>
    <hyperlink ref="E116" r:id="rId73" location=":~:text=The%20Last%20Spell's%20unique%20blend,build%20characters%20however%20they%20want." xr:uid="{00000000-0004-0000-0100-000048000000}"/>
    <hyperlink ref="E119" r:id="rId74" xr:uid="{00000000-0004-0000-0100-000049000000}"/>
    <hyperlink ref="E121" r:id="rId75" xr:uid="{00000000-0004-0000-0100-00004A000000}"/>
    <hyperlink ref="E123" r:id="rId76" xr:uid="{00000000-0004-0000-0100-00004B000000}"/>
    <hyperlink ref="E124" r:id="rId77" xr:uid="{00000000-0004-0000-0100-00004C000000}"/>
    <hyperlink ref="E126" r:id="rId78" xr:uid="{00000000-0004-0000-0100-00004D000000}"/>
    <hyperlink ref="E127" r:id="rId79" xr:uid="{00000000-0004-0000-0100-00004E000000}"/>
    <hyperlink ref="E128" r:id="rId80" location="c494631967651765393" xr:uid="{00000000-0004-0000-0100-00004F000000}"/>
    <hyperlink ref="E129" r:id="rId81" xr:uid="{00000000-0004-0000-0100-000050000000}"/>
    <hyperlink ref="E130" r:id="rId82" xr:uid="{00000000-0004-0000-0100-000051000000}"/>
    <hyperlink ref="E131" r:id="rId83" location="c735910198043297427" xr:uid="{00000000-0004-0000-0100-000052000000}"/>
    <hyperlink ref="E133" r:id="rId84" xr:uid="{00000000-0004-0000-0100-000053000000}"/>
    <hyperlink ref="E134" r:id="rId85" xr:uid="{00000000-0004-0000-0100-000054000000}"/>
    <hyperlink ref="E136" r:id="rId86" xr:uid="{00000000-0004-0000-0100-000055000000}"/>
    <hyperlink ref="E137" r:id="rId87" xr:uid="{00000000-0004-0000-0100-000056000000}"/>
    <hyperlink ref="E138" r:id="rId88" xr:uid="{00000000-0004-0000-0100-000057000000}"/>
    <hyperlink ref="E139" r:id="rId89" xr:uid="{00000000-0004-0000-0100-000058000000}"/>
    <hyperlink ref="E140" r:id="rId90" xr:uid="{00000000-0004-0000-0100-000059000000}"/>
    <hyperlink ref="E141" r:id="rId91" xr:uid="{00000000-0004-0000-0100-00005A000000}"/>
    <hyperlink ref="E142" r:id="rId92" xr:uid="{00000000-0004-0000-0100-00005B000000}"/>
    <hyperlink ref="E143" r:id="rId93" xr:uid="{00000000-0004-0000-0100-00005C000000}"/>
    <hyperlink ref="E146" r:id="rId94" xr:uid="{00000000-0004-0000-0100-00005D000000}"/>
    <hyperlink ref="E147" r:id="rId95" xr:uid="{00000000-0004-0000-0100-00005E000000}"/>
    <hyperlink ref="E148" r:id="rId96" xr:uid="{00000000-0004-0000-0100-00005F000000}"/>
    <hyperlink ref="E149" r:id="rId97" xr:uid="{00000000-0004-0000-0100-000060000000}"/>
    <hyperlink ref="E151" r:id="rId98" xr:uid="{00000000-0004-0000-0100-000061000000}"/>
    <hyperlink ref="E157" r:id="rId99" xr:uid="{00000000-0004-0000-0100-000062000000}"/>
    <hyperlink ref="E162" r:id="rId100" location=":~:text=*Mainframe%20Defenders*%20is%20a%20roguelite%20game%20available,**Earning%20Matter%20and%20drops**%20*%20**Upgrading%20mechs**" xr:uid="{00000000-0004-0000-0100-000063000000}"/>
    <hyperlink ref="E163" r:id="rId101" location="c5456682769558786398" xr:uid="{00000000-0004-0000-0100-000064000000}"/>
    <hyperlink ref="E165" r:id="rId102" xr:uid="{00000000-0004-0000-0100-000065000000}"/>
    <hyperlink ref="E166" r:id="rId103" location=":~:text=Vellum's%20Inspirations,chapter%20of%20the%20original%20series." xr:uid="{00000000-0004-0000-0100-000066000000}"/>
    <hyperlink ref="E167" r:id="rId104" xr:uid="{00000000-0004-0000-0100-000067000000}"/>
    <hyperlink ref="E168" r:id="rId105" location=":~:text=The%20game%20was%20inspired%20by,of%20the%20NecroDancer%20and%20Cuphead." xr:uid="{00000000-0004-0000-0100-000068000000}"/>
    <hyperlink ref="E169" r:id="rId106" xr:uid="{00000000-0004-0000-0100-000069000000}"/>
    <hyperlink ref="E170" r:id="rId107" xr:uid="{00000000-0004-0000-0100-00006A000000}"/>
    <hyperlink ref="E172" r:id="rId108" xr:uid="{00000000-0004-0000-0100-00006B000000}"/>
    <hyperlink ref="E175" r:id="rId109" xr:uid="{00000000-0004-0000-0100-00006C000000}"/>
    <hyperlink ref="E176" r:id="rId110" xr:uid="{00000000-0004-0000-0100-00006D000000}"/>
    <hyperlink ref="E177" r:id="rId111" xr:uid="{00000000-0004-0000-0100-00006E000000}"/>
    <hyperlink ref="E178" r:id="rId112" xr:uid="{00000000-0004-0000-0100-00006F000000}"/>
    <hyperlink ref="E179" r:id="rId113" xr:uid="{00000000-0004-0000-0100-000070000000}"/>
    <hyperlink ref="E180" r:id="rId114" xr:uid="{00000000-0004-0000-0100-000071000000}"/>
    <hyperlink ref="E181" r:id="rId115" xr:uid="{00000000-0004-0000-0100-000072000000}"/>
    <hyperlink ref="E183" r:id="rId116" xr:uid="{00000000-0004-0000-0100-000073000000}"/>
    <hyperlink ref="E185" r:id="rId117" xr:uid="{00000000-0004-0000-0100-000074000000}"/>
    <hyperlink ref="E187" r:id="rId118" xr:uid="{00000000-0004-0000-0100-000075000000}"/>
    <hyperlink ref="E189" r:id="rId119" xr:uid="{00000000-0004-0000-0100-000076000000}"/>
    <hyperlink ref="E191" r:id="rId120" xr:uid="{00000000-0004-0000-0100-000077000000}"/>
    <hyperlink ref="E192" r:id="rId121" xr:uid="{00000000-0004-0000-0100-000078000000}"/>
    <hyperlink ref="E193" r:id="rId122" xr:uid="{00000000-0004-0000-0100-000079000000}"/>
    <hyperlink ref="E194" r:id="rId123" location="c352788917764129482" xr:uid="{00000000-0004-0000-0100-00007A000000}"/>
    <hyperlink ref="E195" r:id="rId124" xr:uid="{00000000-0004-0000-0100-00007B000000}"/>
    <hyperlink ref="E196" r:id="rId125" xr:uid="{00000000-0004-0000-0100-00007C000000}"/>
    <hyperlink ref="E197" r:id="rId126" xr:uid="{00000000-0004-0000-0100-00007D000000}"/>
    <hyperlink ref="E200" r:id="rId127" xr:uid="{00000000-0004-0000-0100-00007E000000}"/>
    <hyperlink ref="E201" r:id="rId128" xr:uid="{00000000-0004-0000-0100-00007F000000}"/>
    <hyperlink ref="E203" r:id="rId129" xr:uid="{00000000-0004-0000-0100-000080000000}"/>
    <hyperlink ref="E204" r:id="rId130" xr:uid="{00000000-0004-0000-0100-000081000000}"/>
    <hyperlink ref="E205" r:id="rId131" xr:uid="{00000000-0004-0000-0100-000082000000}"/>
    <hyperlink ref="E207" r:id="rId132" xr:uid="{00000000-0004-0000-0100-000083000000}"/>
    <hyperlink ref="E208" r:id="rId133" xr:uid="{00000000-0004-0000-0100-000084000000}"/>
    <hyperlink ref="E209" r:id="rId134" xr:uid="{00000000-0004-0000-0100-000085000000}"/>
    <hyperlink ref="E211" r:id="rId135" xr:uid="{00000000-0004-0000-0100-000086000000}"/>
    <hyperlink ref="E213" r:id="rId136" xr:uid="{00000000-0004-0000-0100-000087000000}"/>
    <hyperlink ref="E214" r:id="rId137" xr:uid="{00000000-0004-0000-0100-000088000000}"/>
    <hyperlink ref="E218" r:id="rId138" location=":~:text=A%20big%20of%20Rogue%20Legacy%2C%20Spelunky%2C%20Hades.,kinda%20got%20inspiration%20from%20all%20of%20them." xr:uid="{00000000-0004-0000-0100-000089000000}"/>
    <hyperlink ref="E220" r:id="rId139" location=":~:text=Fury%20Unleashed%20was%20created%20by,like%20Contra%20and%20Metal%20Slug." xr:uid="{00000000-0004-0000-0100-00008A000000}"/>
    <hyperlink ref="E221" r:id="rId140" xr:uid="{00000000-0004-0000-0100-00008B000000}"/>
    <hyperlink ref="E222" r:id="rId141" xr:uid="{00000000-0004-0000-0100-00008C000000}"/>
    <hyperlink ref="E223" r:id="rId142" location=":~:text=Felix%20Soumpholphakdy:%20Dead%20Cells%20is%20a%20big,we%20wanted%20to%20craft%20a%20big%20world." xr:uid="{00000000-0004-0000-0100-00008D000000}"/>
    <hyperlink ref="E226" r:id="rId143" xr:uid="{00000000-0004-0000-0100-00008E000000}"/>
    <hyperlink ref="E228" r:id="rId144" xr:uid="{00000000-0004-0000-0100-00008F000000}"/>
    <hyperlink ref="E229" r:id="rId145" xr:uid="{00000000-0004-0000-0100-000090000000}"/>
    <hyperlink ref="E230" r:id="rId146" xr:uid="{00000000-0004-0000-0100-000091000000}"/>
    <hyperlink ref="E233" r:id="rId147" xr:uid="{00000000-0004-0000-0100-000092000000}"/>
    <hyperlink ref="E234" r:id="rId148" xr:uid="{00000000-0004-0000-0100-000093000000}"/>
    <hyperlink ref="E237" r:id="rId149" xr:uid="{00000000-0004-0000-0100-000094000000}"/>
    <hyperlink ref="E244" r:id="rId150" xr:uid="{00000000-0004-0000-0100-000095000000}"/>
    <hyperlink ref="E248" r:id="rId151" location="c758430178052462886" xr:uid="{00000000-0004-0000-0100-000096000000}"/>
    <hyperlink ref="E249" r:id="rId152" location="c353915309337431749" xr:uid="{00000000-0004-0000-0100-000097000000}"/>
    <hyperlink ref="E250" r:id="rId153" xr:uid="{00000000-0004-0000-0100-000098000000}"/>
    <hyperlink ref="E251" r:id="rId154" xr:uid="{00000000-0004-0000-0100-000099000000}"/>
    <hyperlink ref="E252" r:id="rId155" xr:uid="{00000000-0004-0000-0100-00009A000000}"/>
    <hyperlink ref="E253" r:id="rId156" xr:uid="{00000000-0004-0000-0100-00009B000000}"/>
    <hyperlink ref="E254" r:id="rId157" xr:uid="{00000000-0004-0000-0100-00009C000000}"/>
    <hyperlink ref="E255" r:id="rId158" xr:uid="{00000000-0004-0000-0100-00009D000000}"/>
    <hyperlink ref="E256" r:id="rId159" xr:uid="{00000000-0004-0000-0100-00009E000000}"/>
    <hyperlink ref="E257" r:id="rId160" xr:uid="{00000000-0004-0000-0100-00009F000000}"/>
    <hyperlink ref="E258" r:id="rId161" xr:uid="{00000000-0004-0000-0100-0000A0000000}"/>
    <hyperlink ref="E259" r:id="rId162" xr:uid="{00000000-0004-0000-0100-0000A1000000}"/>
    <hyperlink ref="E260" r:id="rId163" xr:uid="{00000000-0004-0000-0100-0000A2000000}"/>
    <hyperlink ref="E261" r:id="rId164" xr:uid="{00000000-0004-0000-0100-0000A3000000}"/>
    <hyperlink ref="E262" r:id="rId165" xr:uid="{00000000-0004-0000-0100-0000A4000000}"/>
    <hyperlink ref="E263" r:id="rId166" xr:uid="{00000000-0004-0000-0100-0000A5000000}"/>
    <hyperlink ref="E265" r:id="rId167" xr:uid="{00000000-0004-0000-0100-0000A6000000}"/>
    <hyperlink ref="E267" r:id="rId168" xr:uid="{00000000-0004-0000-0100-0000A7000000}"/>
    <hyperlink ref="E268" r:id="rId169" xr:uid="{00000000-0004-0000-0100-0000A8000000}"/>
    <hyperlink ref="E271" r:id="rId170" xr:uid="{00000000-0004-0000-0100-0000A9000000}"/>
    <hyperlink ref="E273" r:id="rId171" xr:uid="{00000000-0004-0000-0100-0000AA000000}"/>
    <hyperlink ref="E274" r:id="rId172" xr:uid="{00000000-0004-0000-0100-0000AB000000}"/>
    <hyperlink ref="E277" r:id="rId173" xr:uid="{00000000-0004-0000-0100-0000AC000000}"/>
    <hyperlink ref="E278" r:id="rId174" xr:uid="{00000000-0004-0000-0100-0000AD000000}"/>
    <hyperlink ref="E279" r:id="rId175" xr:uid="{00000000-0004-0000-0100-0000AE000000}"/>
    <hyperlink ref="E280" r:id="rId176" xr:uid="{00000000-0004-0000-0100-0000AF000000}"/>
    <hyperlink ref="E281" r:id="rId177" xr:uid="{00000000-0004-0000-0100-0000B0000000}"/>
    <hyperlink ref="E282" r:id="rId178" xr:uid="{00000000-0004-0000-0100-0000B1000000}"/>
    <hyperlink ref="E283" r:id="rId179" xr:uid="{00000000-0004-0000-0100-0000B2000000}"/>
    <hyperlink ref="E287" r:id="rId180" location="c494631967651765393" xr:uid="{00000000-0004-0000-0100-0000B3000000}"/>
    <hyperlink ref="E289" r:id="rId181" xr:uid="{00000000-0004-0000-0100-0000B4000000}"/>
    <hyperlink ref="E290" r:id="rId182" xr:uid="{00000000-0004-0000-0100-0000B5000000}"/>
    <hyperlink ref="E291" r:id="rId183" xr:uid="{00000000-0004-0000-0100-0000B6000000}"/>
    <hyperlink ref="E292" r:id="rId184" xr:uid="{00000000-0004-0000-0100-0000B7000000}"/>
    <hyperlink ref="E293" r:id="rId185" xr:uid="{00000000-0004-0000-0100-0000B8000000}"/>
    <hyperlink ref="E294" r:id="rId186" location=":~:text=As%20inspiration%20from%20different%20games,dangerous%20to%20go%20alone%22%20line." xr:uid="{00000000-0004-0000-0100-0000B9000000}"/>
    <hyperlink ref="E295" r:id="rId187" xr:uid="{00000000-0004-0000-0100-0000BA000000}"/>
    <hyperlink ref="E296" r:id="rId188" location="c1319962683447326488" xr:uid="{00000000-0004-0000-0100-0000BB000000}"/>
    <hyperlink ref="E298" r:id="rId189" xr:uid="{00000000-0004-0000-0100-0000BC000000}"/>
    <hyperlink ref="E299" r:id="rId190" xr:uid="{00000000-0004-0000-0100-0000BD000000}"/>
    <hyperlink ref="E300" r:id="rId191" xr:uid="{00000000-0004-0000-0100-0000BE000000}"/>
    <hyperlink ref="E301" r:id="rId192" xr:uid="{00000000-0004-0000-0100-0000BF000000}"/>
    <hyperlink ref="E302" r:id="rId193" xr:uid="{00000000-0004-0000-0100-0000C0000000}"/>
    <hyperlink ref="E303" r:id="rId194" xr:uid="{00000000-0004-0000-0100-0000C1000000}"/>
    <hyperlink ref="E304" r:id="rId195" xr:uid="{00000000-0004-0000-0100-0000C2000000}"/>
    <hyperlink ref="E306" r:id="rId196" xr:uid="{00000000-0004-0000-0100-0000C3000000}"/>
    <hyperlink ref="E307" r:id="rId197" location="msg5316" xr:uid="{00000000-0004-0000-0100-0000C4000000}"/>
    <hyperlink ref="E308" r:id="rId198" xr:uid="{00000000-0004-0000-0100-0000C5000000}"/>
    <hyperlink ref="E309" r:id="rId199" xr:uid="{00000000-0004-0000-0100-0000C6000000}"/>
    <hyperlink ref="E312" r:id="rId200" xr:uid="{00000000-0004-0000-0100-0000C7000000}"/>
    <hyperlink ref="E313" r:id="rId201" xr:uid="{00000000-0004-0000-0100-0000C8000000}"/>
    <hyperlink ref="E314" r:id="rId202" xr:uid="{00000000-0004-0000-0100-0000C9000000}"/>
    <hyperlink ref="E315" r:id="rId203" xr:uid="{00000000-0004-0000-0100-0000CA000000}"/>
    <hyperlink ref="E316" r:id="rId204" xr:uid="{00000000-0004-0000-0100-0000CB000000}"/>
    <hyperlink ref="E317" r:id="rId205" xr:uid="{00000000-0004-0000-0100-0000CC000000}"/>
    <hyperlink ref="E319" r:id="rId206" xr:uid="{00000000-0004-0000-0100-0000CD000000}"/>
    <hyperlink ref="E320" r:id="rId207" location="c5456682769558786398" xr:uid="{00000000-0004-0000-0100-0000CE000000}"/>
    <hyperlink ref="E322" r:id="rId208" xr:uid="{00000000-0004-0000-0100-0000CF000000}"/>
    <hyperlink ref="E323" r:id="rId209" location="c606068060818832019" xr:uid="{00000000-0004-0000-0100-0000D0000000}"/>
    <hyperlink ref="E324" r:id="rId210" location=":~:text=Escaped%20Lunatic-,Soulash%202%20%2D%20Adventures%20and%20Conquest%20in%20Procedural%20Fantasy%20Worlds,to%20the%20Roguelike%20design%20formula." xr:uid="{00000000-0004-0000-0100-0000D1000000}"/>
    <hyperlink ref="E325" r:id="rId211" xr:uid="{00000000-0004-0000-0100-0000D2000000}"/>
    <hyperlink ref="E327" r:id="rId212" xr:uid="{00000000-0004-0000-0100-0000D3000000}"/>
    <hyperlink ref="E328" r:id="rId213" xr:uid="{00000000-0004-0000-0100-0000D4000000}"/>
    <hyperlink ref="E329" r:id="rId214" xr:uid="{00000000-0004-0000-0100-0000D5000000}"/>
    <hyperlink ref="E330" r:id="rId215" xr:uid="{00000000-0004-0000-0100-0000D6000000}"/>
    <hyperlink ref="E331" r:id="rId216" xr:uid="{00000000-0004-0000-0100-0000D7000000}"/>
    <hyperlink ref="E332" r:id="rId217" xr:uid="{00000000-0004-0000-0100-0000D8000000}"/>
    <hyperlink ref="E334" r:id="rId218" location=":~:text=Vellum's%20Inspirations,chapter%20of%20the%20original%20series." xr:uid="{00000000-0004-0000-0100-0000D9000000}"/>
    <hyperlink ref="E335" r:id="rId219" xr:uid="{00000000-0004-0000-0100-0000DA000000}"/>
    <hyperlink ref="E336" r:id="rId220" xr:uid="{00000000-0004-0000-0100-0000DB000000}"/>
    <hyperlink ref="E339" r:id="rId221" location=":~:text=I%20got%20addicted%20to%20Stardew,simply%20stat%20upgrades%20or%20something)." xr:uid="{00000000-0004-0000-0100-0000DC000000}"/>
    <hyperlink ref="E340" r:id="rId222" xr:uid="{00000000-0004-0000-0100-0000DD000000}"/>
    <hyperlink ref="E343" r:id="rId223" xr:uid="{00000000-0004-0000-0100-0000DE000000}"/>
    <hyperlink ref="E345" r:id="rId224" xr:uid="{00000000-0004-0000-0100-0000DF000000}"/>
    <hyperlink ref="E347" r:id="rId225" location=":~:text=Gunfire%20Reborn%20is%20developed%20by,would%20be%20most%20beneficial%20design." xr:uid="{00000000-0004-0000-0100-0000E0000000}"/>
    <hyperlink ref="E349" r:id="rId226" xr:uid="{00000000-0004-0000-0100-0000E1000000}"/>
    <hyperlink ref="E350" r:id="rId227" location=":~:text=Odinfall%20Early%20Access%20on%20Steam&amp;text=According%20to%20Oscar%20Axelsson%20from,Throne%20and%20Enter%20the%20Gungeon." xr:uid="{00000000-0004-0000-0100-0000E2000000}"/>
    <hyperlink ref="E351" r:id="rId228" xr:uid="{00000000-0004-0000-0100-0000E3000000}"/>
    <hyperlink ref="E352" r:id="rId229" xr:uid="{00000000-0004-0000-0100-0000E4000000}"/>
    <hyperlink ref="E354" r:id="rId230" xr:uid="{00000000-0004-0000-0100-0000E5000000}"/>
    <hyperlink ref="E357" r:id="rId231" xr:uid="{00000000-0004-0000-0100-0000E6000000}"/>
    <hyperlink ref="E359" r:id="rId232" xr:uid="{00000000-0004-0000-0100-0000E7000000}"/>
    <hyperlink ref="E364" r:id="rId233" xr:uid="{00000000-0004-0000-0100-0000E8000000}"/>
    <hyperlink ref="E367" r:id="rId234" xr:uid="{00000000-0004-0000-0100-0000E9000000}"/>
    <hyperlink ref="E370" r:id="rId235" xr:uid="{00000000-0004-0000-0100-0000EA000000}"/>
    <hyperlink ref="E371" r:id="rId236" xr:uid="{00000000-0004-0000-0100-0000EB000000}"/>
    <hyperlink ref="E372" r:id="rId237" location="c6027566653452797874" xr:uid="{00000000-0004-0000-0100-0000EC000000}"/>
    <hyperlink ref="E374" r:id="rId238" xr:uid="{00000000-0004-0000-0100-0000ED000000}"/>
    <hyperlink ref="E375" r:id="rId239" xr:uid="{00000000-0004-0000-0100-0000EE000000}"/>
    <hyperlink ref="E376" r:id="rId240" xr:uid="{00000000-0004-0000-0100-0000EF000000}"/>
    <hyperlink ref="E378" r:id="rId241" location="c617320168065346307" xr:uid="{00000000-0004-0000-0100-0000F0000000}"/>
    <hyperlink ref="E379" r:id="rId242" xr:uid="{00000000-0004-0000-0100-0000F1000000}"/>
    <hyperlink ref="E381" r:id="rId243" xr:uid="{00000000-0004-0000-0100-0000F2000000}"/>
    <hyperlink ref="E382" r:id="rId244" xr:uid="{00000000-0004-0000-0100-0000F3000000}"/>
    <hyperlink ref="E383" r:id="rId245" xr:uid="{00000000-0004-0000-0100-0000F4000000}"/>
    <hyperlink ref="E384" r:id="rId246" xr:uid="{00000000-0004-0000-0100-0000F5000000}"/>
    <hyperlink ref="E387" r:id="rId247" xr:uid="{00000000-0004-0000-0100-0000F6000000}"/>
    <hyperlink ref="E388" r:id="rId248" location="c1675812484339955409" xr:uid="{00000000-0004-0000-0100-0000F7000000}"/>
    <hyperlink ref="E390" r:id="rId249" xr:uid="{00000000-0004-0000-0100-0000F8000000}"/>
    <hyperlink ref="E391" r:id="rId250" location="c483368526581048948" xr:uid="{00000000-0004-0000-0100-0000F9000000}"/>
    <hyperlink ref="E392" r:id="rId251" xr:uid="{00000000-0004-0000-0100-0000FA000000}"/>
    <hyperlink ref="E393" r:id="rId252" location="c4335355681661031211" xr:uid="{00000000-0004-0000-0100-0000FB000000}"/>
    <hyperlink ref="E394" r:id="rId253" location=":~:text=MOBAs%20were%20a%20key%20inspiration,like%20action%20roguelites%20in%20general." xr:uid="{00000000-0004-0000-0100-0000FC000000}"/>
    <hyperlink ref="E395" r:id="rId254" location=":~:text=Their%20initial%20goal%20was%20to,built%20on%20the%20libGDX%20framework." xr:uid="{00000000-0004-0000-0100-0000FD000000}"/>
    <hyperlink ref="E397" r:id="rId255" xr:uid="{00000000-0004-0000-0100-0000FE000000}"/>
    <hyperlink ref="E398" r:id="rId256" xr:uid="{00000000-0004-0000-0100-0000FF000000}"/>
    <hyperlink ref="E399" r:id="rId257" xr:uid="{00000000-0004-0000-0100-000000010000}"/>
    <hyperlink ref="E403" r:id="rId258" xr:uid="{00000000-0004-0000-0100-000001010000}"/>
    <hyperlink ref="E404" r:id="rId259" xr:uid="{00000000-0004-0000-0100-000002010000}"/>
    <hyperlink ref="E405" r:id="rId260" xr:uid="{00000000-0004-0000-0100-000003010000}"/>
    <hyperlink ref="E417" r:id="rId261" xr:uid="{00000000-0004-0000-0100-000004010000}"/>
    <hyperlink ref="E419" r:id="rId262" xr:uid="{00000000-0004-0000-0100-000005010000}"/>
    <hyperlink ref="E420" r:id="rId263" location=":~:text=JW%2C%20GF:%20What%20are%20some,us%20a%20lot%20of%20motivation." xr:uid="{00000000-0004-0000-0100-000006010000}"/>
    <hyperlink ref="E421" r:id="rId264" xr:uid="{00000000-0004-0000-0100-000007010000}"/>
    <hyperlink ref="E423" r:id="rId265" location=":~:text=Vellum's%20Inspirations,chapter%20of%20the%20original%20series." xr:uid="{00000000-0004-0000-0100-000008010000}"/>
    <hyperlink ref="E425" r:id="rId266" xr:uid="{00000000-0004-0000-0100-000009010000}"/>
    <hyperlink ref="E426" r:id="rId267" xr:uid="{00000000-0004-0000-0100-00000A010000}"/>
    <hyperlink ref="E427" r:id="rId268" xr:uid="{00000000-0004-0000-0100-00000B010000}"/>
    <hyperlink ref="E428" r:id="rId269" xr:uid="{00000000-0004-0000-0100-00000C010000}"/>
    <hyperlink ref="E430" r:id="rId270" xr:uid="{00000000-0004-0000-0100-00000D010000}"/>
    <hyperlink ref="E431" r:id="rId271" xr:uid="{00000000-0004-0000-0100-00000E010000}"/>
    <hyperlink ref="E433" r:id="rId272" xr:uid="{00000000-0004-0000-0100-00000F010000}"/>
    <hyperlink ref="E434" r:id="rId273" xr:uid="{00000000-0004-0000-0100-000010010000}"/>
    <hyperlink ref="E436" r:id="rId274" xr:uid="{00000000-0004-0000-0100-000011010000}"/>
    <hyperlink ref="E437" r:id="rId275" xr:uid="{00000000-0004-0000-0100-000012010000}"/>
    <hyperlink ref="E439" r:id="rId276" location=":~:text=JW%2C%20GF:%20What%20are%20some,us%20a%20lot%20of%20motivation." xr:uid="{00000000-0004-0000-0100-000013010000}"/>
    <hyperlink ref="E442" r:id="rId277" xr:uid="{00000000-0004-0000-0100-000014010000}"/>
    <hyperlink ref="E443" r:id="rId278" location=":~:text=Death%20Must%20Die%20opens%20up,appropriation%2C%20even%20a%20love%20letter." xr:uid="{00000000-0004-0000-0100-000015010000}"/>
    <hyperlink ref="E444" r:id="rId279" xr:uid="{00000000-0004-0000-0100-000016010000}"/>
    <hyperlink ref="E446" r:id="rId280" location=":~:text=A%20big%20of%20Rogue%20Legacy%2C%20Spelunky%2C%20Hades.,kinda%20got%20inspiration%20from%20all%20of%20them." xr:uid="{00000000-0004-0000-0100-000017010000}"/>
    <hyperlink ref="E448" r:id="rId281" xr:uid="{00000000-0004-0000-0100-000018010000}"/>
    <hyperlink ref="E449" r:id="rId282" xr:uid="{00000000-0004-0000-0100-000019010000}"/>
    <hyperlink ref="E452" r:id="rId283" location=":~:text=Have%20a%20Nice%20Death%20also,movies%2C%20shorts%2C%20and%20ads." xr:uid="{00000000-0004-0000-0100-00001A010000}"/>
    <hyperlink ref="E453" r:id="rId284" xr:uid="{00000000-0004-0000-0100-00001B010000}"/>
    <hyperlink ref="E454" r:id="rId285" xr:uid="{00000000-0004-0000-0100-00001C010000}"/>
    <hyperlink ref="E455" r:id="rId286" xr:uid="{00000000-0004-0000-0100-00001D010000}"/>
    <hyperlink ref="E457" r:id="rId287" xr:uid="{00000000-0004-0000-0100-00001E010000}"/>
    <hyperlink ref="E458" r:id="rId288" xr:uid="{00000000-0004-0000-0100-00001F010000}"/>
    <hyperlink ref="E459" r:id="rId289" xr:uid="{00000000-0004-0000-0100-000020010000}"/>
    <hyperlink ref="E464" r:id="rId290" xr:uid="{00000000-0004-0000-0100-000021010000}"/>
    <hyperlink ref="E467" r:id="rId291" xr:uid="{00000000-0004-0000-0100-000022010000}"/>
    <hyperlink ref="E469" r:id="rId292" xr:uid="{00000000-0004-0000-0100-000023010000}"/>
    <hyperlink ref="E470" r:id="rId293" xr:uid="{00000000-0004-0000-0100-000024010000}"/>
    <hyperlink ref="E471" r:id="rId294" xr:uid="{00000000-0004-0000-0100-000025010000}"/>
    <hyperlink ref="E472" r:id="rId295" location=":~:text=Tape%20to%20Tape%20is%20a,the%20Spire%20and%20NHL%2094!" xr:uid="{00000000-0004-0000-0100-000026010000}"/>
    <hyperlink ref="E473" r:id="rId296" xr:uid="{00000000-0004-0000-0100-000027010000}"/>
    <hyperlink ref="E476" r:id="rId297" location=":~:text=Vellum's%20Inspirations,chapter%20of%20the%20original%20series." xr:uid="{00000000-0004-0000-0100-000028010000}"/>
    <hyperlink ref="E479" r:id="rId298" xr:uid="{00000000-0004-0000-0100-000029010000}"/>
    <hyperlink ref="E480" r:id="rId299" xr:uid="{00000000-0004-0000-0100-00002A010000}"/>
    <hyperlink ref="E485" r:id="rId300" xr:uid="{00000000-0004-0000-0100-00002B010000}"/>
    <hyperlink ref="E488" r:id="rId301" xr:uid="{00000000-0004-0000-0100-00002C010000}"/>
    <hyperlink ref="E489" r:id="rId302" xr:uid="{00000000-0004-0000-0100-00002D010000}"/>
    <hyperlink ref="E490" r:id="rId303" xr:uid="{00000000-0004-0000-0100-00002E010000}"/>
    <hyperlink ref="E492" r:id="rId304" xr:uid="{00000000-0004-0000-0100-00002F010000}"/>
    <hyperlink ref="E493" r:id="rId305" xr:uid="{00000000-0004-0000-0100-000030010000}"/>
    <hyperlink ref="E494" r:id="rId306" xr:uid="{00000000-0004-0000-0100-000031010000}"/>
    <hyperlink ref="E496" r:id="rId307" location="c695373095208229623" xr:uid="{00000000-0004-0000-0100-000032010000}"/>
    <hyperlink ref="E498" r:id="rId308" xr:uid="{00000000-0004-0000-0100-000033010000}"/>
    <hyperlink ref="E500" r:id="rId309" xr:uid="{00000000-0004-0000-0100-000034010000}"/>
    <hyperlink ref="E501" r:id="rId310" xr:uid="{00000000-0004-0000-0100-000035010000}"/>
    <hyperlink ref="E502" r:id="rId311" xr:uid="{00000000-0004-0000-0100-000036010000}"/>
    <hyperlink ref="E503" r:id="rId312" location=":~:text=About%20This%20Game-,ABOUT,and%20'Into%20the%20Breach'." xr:uid="{00000000-0004-0000-0100-000037010000}"/>
    <hyperlink ref="E505" r:id="rId313" location=":~:text=Main%20developer%20Jasper%20Cole%20stated,inventory%20as%20an%20additional%20inspiration." xr:uid="{00000000-0004-0000-0100-000038010000}"/>
    <hyperlink ref="E508" r:id="rId314" xr:uid="{00000000-0004-0000-0100-000039010000}"/>
    <hyperlink ref="E512" r:id="rId315" xr:uid="{00000000-0004-0000-0100-00003A010000}"/>
    <hyperlink ref="E513" r:id="rId316" xr:uid="{00000000-0004-0000-0100-00003B010000}"/>
    <hyperlink ref="E514" r:id="rId317" xr:uid="{00000000-0004-0000-0100-00003C010000}"/>
    <hyperlink ref="E515" r:id="rId318" xr:uid="{00000000-0004-0000-0100-00003D010000}"/>
    <hyperlink ref="E516" r:id="rId319" xr:uid="{00000000-0004-0000-0100-00003E010000}"/>
    <hyperlink ref="E517" r:id="rId320" location="c4335355681661031211" xr:uid="{00000000-0004-0000-0100-00003F010000}"/>
    <hyperlink ref="E519" r:id="rId321" location=":~:text=is%20blowing%20up!-,830%20concurrent%20players%2C%20I%20can't%20believe%20it!,has%20been%20a%20wild%20ride." xr:uid="{00000000-0004-0000-0100-000040010000}"/>
    <hyperlink ref="E521" r:id="rId322" location=":~:text=The%20Last%20Spell's%20unique%20blend,build%20characters%20however%20they%20want." xr:uid="{00000000-0004-0000-0100-000041010000}"/>
    <hyperlink ref="E522" r:id="rId323" xr:uid="{00000000-0004-0000-0100-000042010000}"/>
    <hyperlink ref="E523" r:id="rId324" xr:uid="{00000000-0004-0000-0100-000043010000}"/>
    <hyperlink ref="E526" r:id="rId325" location="c4346617656897843847" xr:uid="{00000000-0004-0000-0100-000044010000}"/>
    <hyperlink ref="E529" r:id="rId326" xr:uid="{00000000-0004-0000-0100-000045010000}"/>
    <hyperlink ref="E530" r:id="rId327" xr:uid="{00000000-0004-0000-0100-000046010000}"/>
    <hyperlink ref="E531" r:id="rId328" xr:uid="{00000000-0004-0000-0100-000047010000}"/>
    <hyperlink ref="E532" r:id="rId329" xr:uid="{00000000-0004-0000-0100-000048010000}"/>
    <hyperlink ref="E533" r:id="rId330" xr:uid="{00000000-0004-0000-0100-000049010000}"/>
    <hyperlink ref="E534" r:id="rId331" xr:uid="{00000000-0004-0000-0100-00004A010000}"/>
    <hyperlink ref="E535" r:id="rId332" xr:uid="{00000000-0004-0000-0100-00004B010000}"/>
    <hyperlink ref="E536" r:id="rId333" xr:uid="{00000000-0004-0000-0100-00004C010000}"/>
    <hyperlink ref="E537" r:id="rId334" xr:uid="{00000000-0004-0000-0100-00004D010000}"/>
    <hyperlink ref="E539" r:id="rId335" xr:uid="{00000000-0004-0000-0100-00004E010000}"/>
    <hyperlink ref="E543" r:id="rId336" xr:uid="{00000000-0004-0000-0100-00004F010000}"/>
    <hyperlink ref="E545" r:id="rId337" xr:uid="{00000000-0004-0000-0100-000050010000}"/>
    <hyperlink ref="E546" r:id="rId338" xr:uid="{00000000-0004-0000-0100-000051010000}"/>
    <hyperlink ref="E551" r:id="rId339" xr:uid="{00000000-0004-0000-0100-000052010000}"/>
    <hyperlink ref="E552" r:id="rId340" xr:uid="{00000000-0004-0000-0100-000053010000}"/>
    <hyperlink ref="E553" r:id="rId341" xr:uid="{00000000-0004-0000-0100-000054010000}"/>
    <hyperlink ref="E554"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55" r:id="rId343" xr:uid="{00000000-0004-0000-0100-000056010000}"/>
    <hyperlink ref="E557" r:id="rId344" xr:uid="{00000000-0004-0000-0100-000057010000}"/>
    <hyperlink ref="E558" r:id="rId345" xr:uid="{00000000-0004-0000-0100-000058010000}"/>
    <hyperlink ref="E559" r:id="rId346" location=":~:text=The%20game%20was%20inspired%20by,assets%2C%20art%2C%20and%20music." xr:uid="{00000000-0004-0000-0100-000059010000}"/>
    <hyperlink ref="E568" r:id="rId347" xr:uid="{00000000-0004-0000-0100-00005A010000}"/>
    <hyperlink ref="E570" r:id="rId348" xr:uid="{00000000-0004-0000-0100-00005B010000}"/>
    <hyperlink ref="E573" r:id="rId349" xr:uid="{00000000-0004-0000-0100-00005C010000}"/>
    <hyperlink ref="E574" r:id="rId350" xr:uid="{00000000-0004-0000-0100-00005D010000}"/>
    <hyperlink ref="E576" r:id="rId351" xr:uid="{00000000-0004-0000-0100-00005E010000}"/>
    <hyperlink ref="E578" r:id="rId352" xr:uid="{00000000-0004-0000-0100-00005F010000}"/>
    <hyperlink ref="E582" r:id="rId353" xr:uid="{00000000-0004-0000-0100-000060010000}"/>
    <hyperlink ref="E584" r:id="rId354" xr:uid="{00000000-0004-0000-0100-000061010000}"/>
    <hyperlink ref="E585" r:id="rId355" xr:uid="{00000000-0004-0000-0100-000062010000}"/>
    <hyperlink ref="E586" r:id="rId356" xr:uid="{00000000-0004-0000-0100-000063010000}"/>
    <hyperlink ref="E589" r:id="rId357" xr:uid="{00000000-0004-0000-0100-000064010000}"/>
    <hyperlink ref="E590" r:id="rId358" xr:uid="{00000000-0004-0000-0100-000065010000}"/>
    <hyperlink ref="E592" r:id="rId359" location=":~:text=House%20of%20Necrosis%20is%20a,Linux)%20and%20the%20Steam%20Deck" xr:uid="{00000000-0004-0000-0100-000066010000}"/>
    <hyperlink ref="E593" r:id="rId360" xr:uid="{00000000-0004-0000-0100-000067010000}"/>
    <hyperlink ref="E596" r:id="rId361" xr:uid="{00000000-0004-0000-0100-000068010000}"/>
    <hyperlink ref="E597" r:id="rId362" xr:uid="{00000000-0004-0000-0100-000069010000}"/>
    <hyperlink ref="E598" r:id="rId363" xr:uid="{00000000-0004-0000-0100-00006A010000}"/>
    <hyperlink ref="E601" r:id="rId364" xr:uid="{00000000-0004-0000-0100-00006B010000}"/>
    <hyperlink ref="E602" r:id="rId365" xr:uid="{00000000-0004-0000-0100-00006C010000}"/>
    <hyperlink ref="E603" r:id="rId366" xr:uid="{00000000-0004-0000-0100-00006D010000}"/>
    <hyperlink ref="E604" r:id="rId367" xr:uid="{00000000-0004-0000-0100-00006E010000}"/>
    <hyperlink ref="E605" r:id="rId368" xr:uid="{00000000-0004-0000-0100-00006F010000}"/>
    <hyperlink ref="E607" r:id="rId369" xr:uid="{00000000-0004-0000-0100-000070010000}"/>
    <hyperlink ref="E608" r:id="rId370" xr:uid="{00000000-0004-0000-0100-000071010000}"/>
    <hyperlink ref="E611" r:id="rId371" xr:uid="{00000000-0004-0000-0100-000072010000}"/>
    <hyperlink ref="E613" r:id="rId372" xr:uid="{00000000-0004-0000-0100-000073010000}"/>
    <hyperlink ref="E615" r:id="rId373" xr:uid="{00000000-0004-0000-0100-000074010000}"/>
    <hyperlink ref="E616" r:id="rId374" xr:uid="{00000000-0004-0000-0100-000075010000}"/>
    <hyperlink ref="E620" r:id="rId375" xr:uid="{00000000-0004-0000-0100-000076010000}"/>
    <hyperlink ref="E621" r:id="rId376" xr:uid="{00000000-0004-0000-0100-000077010000}"/>
    <hyperlink ref="E622" r:id="rId377" xr:uid="{00000000-0004-0000-0100-000078010000}"/>
    <hyperlink ref="E623" r:id="rId378" xr:uid="{00000000-0004-0000-0100-000079010000}"/>
    <hyperlink ref="E626" r:id="rId379" xr:uid="{00000000-0004-0000-0100-00007A010000}"/>
    <hyperlink ref="E627" r:id="rId380" xr:uid="{00000000-0004-0000-0100-00007B010000}"/>
    <hyperlink ref="E628" r:id="rId381" xr:uid="{00000000-0004-0000-0100-00007C010000}"/>
    <hyperlink ref="E629" r:id="rId382" xr:uid="{00000000-0004-0000-0100-00007D010000}"/>
    <hyperlink ref="E632" r:id="rId383" xr:uid="{00000000-0004-0000-0100-00007E010000}"/>
    <hyperlink ref="E633" r:id="rId384" location="c574921459914427191" xr:uid="{00000000-0004-0000-0100-00007F010000}"/>
    <hyperlink ref="E634" r:id="rId385" xr:uid="{00000000-0004-0000-0100-000080010000}"/>
    <hyperlink ref="E636" r:id="rId386" xr:uid="{00000000-0004-0000-0100-000081010000}"/>
    <hyperlink ref="E637" r:id="rId387" xr:uid="{00000000-0004-0000-0100-000082010000}"/>
    <hyperlink ref="E638" r:id="rId388" xr:uid="{00000000-0004-0000-0100-000083010000}"/>
    <hyperlink ref="E640" r:id="rId389" location=":~:text=I%20got%20addicted%20to%20Stardew,simply%20stat%20upgrades%20or%20something)." xr:uid="{00000000-0004-0000-0100-000084010000}"/>
    <hyperlink ref="E643" r:id="rId390" xr:uid="{00000000-0004-0000-0100-000085010000}"/>
    <hyperlink ref="E644" r:id="rId391" location=":~:text=Though%20Crooks%20stated%20that%20The,Souls%2C%20and%20Metal%20Gear%20Solid." xr:uid="{00000000-0004-0000-0100-000086010000}"/>
    <hyperlink ref="E645" r:id="rId392" xr:uid="{00000000-0004-0000-0100-000087010000}"/>
    <hyperlink ref="E646" r:id="rId393" xr:uid="{00000000-0004-0000-0100-000088010000}"/>
    <hyperlink ref="E647" r:id="rId394" location=":~:text=As%20inspiration%20from%20different%20games,dangerous%20to%20go%20alone%22%20line." xr:uid="{00000000-0004-0000-0100-000089010000}"/>
    <hyperlink ref="E648" r:id="rId395" xr:uid="{00000000-0004-0000-0100-00008A010000}"/>
    <hyperlink ref="E649" r:id="rId396" location=":~:text=Odinfall%20Early%20Access%20on%20Steam&amp;text=According%20to%20Oscar%20Axelsson%20from,Throne%20and%20Enter%20the%20Gungeon." xr:uid="{00000000-0004-0000-0100-00008B010000}"/>
    <hyperlink ref="E650" r:id="rId397" xr:uid="{00000000-0004-0000-0100-00008C010000}"/>
    <hyperlink ref="E652" r:id="rId398" xr:uid="{00000000-0004-0000-0100-00008D010000}"/>
    <hyperlink ref="E654" r:id="rId399" xr:uid="{00000000-0004-0000-0100-00008E010000}"/>
    <hyperlink ref="E656" r:id="rId400" xr:uid="{00000000-0004-0000-0100-00008F010000}"/>
    <hyperlink ref="E660" r:id="rId401" xr:uid="{00000000-0004-0000-0100-000090010000}"/>
    <hyperlink ref="E661" r:id="rId402" xr:uid="{00000000-0004-0000-0100-000091010000}"/>
    <hyperlink ref="E666" r:id="rId403" xr:uid="{00000000-0004-0000-0100-000092010000}"/>
    <hyperlink ref="E667" r:id="rId404" xr:uid="{00000000-0004-0000-0100-000093010000}"/>
    <hyperlink ref="E668" r:id="rId405" xr:uid="{00000000-0004-0000-0100-000094010000}"/>
    <hyperlink ref="E669" r:id="rId406" xr:uid="{00000000-0004-0000-0100-000095010000}"/>
    <hyperlink ref="E670" r:id="rId407" xr:uid="{00000000-0004-0000-0100-000096010000}"/>
    <hyperlink ref="E671" r:id="rId408" xr:uid="{00000000-0004-0000-0100-000097010000}"/>
    <hyperlink ref="E672" r:id="rId409" xr:uid="{00000000-0004-0000-0100-000098010000}"/>
    <hyperlink ref="E673" r:id="rId410" xr:uid="{00000000-0004-0000-0100-000099010000}"/>
    <hyperlink ref="E677" r:id="rId411" xr:uid="{00000000-0004-0000-0100-00009A010000}"/>
    <hyperlink ref="E682" r:id="rId412" xr:uid="{00000000-0004-0000-0100-00009B010000}"/>
    <hyperlink ref="E683" r:id="rId413" xr:uid="{00000000-0004-0000-0100-00009C010000}"/>
    <hyperlink ref="E684" r:id="rId414" xr:uid="{00000000-0004-0000-0100-00009D010000}"/>
    <hyperlink ref="E685" r:id="rId415" xr:uid="{00000000-0004-0000-0100-00009E010000}"/>
    <hyperlink ref="E686" r:id="rId416" xr:uid="{00000000-0004-0000-0100-00009F010000}"/>
    <hyperlink ref="E687" r:id="rId417" xr:uid="{00000000-0004-0000-0100-0000A0010000}"/>
    <hyperlink ref="E688" r:id="rId418" xr:uid="{00000000-0004-0000-0100-0000A1010000}"/>
    <hyperlink ref="E689" r:id="rId419" xr:uid="{00000000-0004-0000-0100-0000A2010000}"/>
    <hyperlink ref="E690" r:id="rId420" xr:uid="{00000000-0004-0000-0100-0000A3010000}"/>
    <hyperlink ref="E691" r:id="rId421" location=":~:text=MOBAs%20were%20a%20key%20inspiration,like%20action%20roguelites%20in%20general." xr:uid="{00000000-0004-0000-0100-0000A4010000}"/>
    <hyperlink ref="E695" r:id="rId422" xr:uid="{00000000-0004-0000-0100-0000A5010000}"/>
    <hyperlink ref="E696" r:id="rId423" xr:uid="{00000000-0004-0000-0100-0000A6010000}"/>
    <hyperlink ref="E703" r:id="rId424" xr:uid="{00000000-0004-0000-0100-0000A7010000}"/>
    <hyperlink ref="E707" r:id="rId425" location=":~:text=MOBAs%20were%20a%20key%20inspiration,like%20action%20roguelites%20in%20general." xr:uid="{00000000-0004-0000-0100-0000A8010000}"/>
    <hyperlink ref="E708" r:id="rId426" xr:uid="{00000000-0004-0000-0100-0000A9010000}"/>
    <hyperlink ref="E710" r:id="rId427" xr:uid="{00000000-0004-0000-0100-0000AA010000}"/>
    <hyperlink ref="E711" r:id="rId428" location="c595137684887857500" xr:uid="{00000000-0004-0000-0100-0000AB010000}"/>
    <hyperlink ref="E714" r:id="rId429" xr:uid="{00000000-0004-0000-0100-0000AC010000}"/>
    <hyperlink ref="E717" r:id="rId430" xr:uid="{00000000-0004-0000-0100-0000AD010000}"/>
    <hyperlink ref="E720" r:id="rId431" xr:uid="{00000000-0004-0000-0100-0000AE010000}"/>
    <hyperlink ref="E721" r:id="rId432" xr:uid="{00000000-0004-0000-0100-0000AF010000}"/>
    <hyperlink ref="E722" r:id="rId433" xr:uid="{00000000-0004-0000-0100-0000B0010000}"/>
    <hyperlink ref="E724" r:id="rId434" location=":~:text=Vellum's%20Inspirations,chapter%20of%20the%20original%20series." xr:uid="{00000000-0004-0000-0100-0000B1010000}"/>
    <hyperlink ref="E725" r:id="rId435" location=":~:text=JW%2C%20GF:%20What%20are%20some,us%20a%20lot%20of%20motivation." xr:uid="{00000000-0004-0000-0100-0000B2010000}"/>
    <hyperlink ref="E726" r:id="rId436" xr:uid="{00000000-0004-0000-0100-0000B3010000}"/>
    <hyperlink ref="E727" r:id="rId437" xr:uid="{00000000-0004-0000-0100-0000B4010000}"/>
    <hyperlink ref="E728" r:id="rId438" xr:uid="{00000000-0004-0000-0100-0000B5010000}"/>
    <hyperlink ref="E730" r:id="rId439" xr:uid="{00000000-0004-0000-0100-0000B6010000}"/>
    <hyperlink ref="E731" r:id="rId440" xr:uid="{00000000-0004-0000-0100-0000B7010000}"/>
    <hyperlink ref="E732" r:id="rId441" location=":~:text=Fatal%20Labyrinth%20is%20Sega's%20first,is%20a%20game%2Dbreaking%20affair.%20Also%20it%20shares%20a%20lot%20of%20similarities" xr:uid="{00000000-0004-0000-0100-0000B8010000}"/>
    <hyperlink ref="E733" r:id="rId442" xr:uid="{00000000-0004-0000-0100-0000B9010000}"/>
    <hyperlink ref="E735" r:id="rId443" xr:uid="{00000000-0004-0000-0100-0000BA010000}"/>
    <hyperlink ref="E737" r:id="rId444" xr:uid="{00000000-0004-0000-0100-0000BB010000}"/>
    <hyperlink ref="E739" r:id="rId445" xr:uid="{00000000-0004-0000-0100-0000BC010000}"/>
    <hyperlink ref="E742" r:id="rId446" xr:uid="{00000000-0004-0000-0100-0000BD010000}"/>
    <hyperlink ref="E743" r:id="rId447" location=":~:text=Apparently%2C%20Ota%20was%20a%20well%20known%20figure,to%20connect%20Tokyo's%20three%20main%20universities%20that" xr:uid="{00000000-0004-0000-0100-0000BE010000}"/>
    <hyperlink ref="E744" r:id="rId448" xr:uid="{00000000-0004-0000-0100-0000BF010000}"/>
    <hyperlink ref="E745" r:id="rId449" xr:uid="{00000000-0004-0000-0100-0000C0010000}"/>
    <hyperlink ref="E746" r:id="rId450" xr:uid="{00000000-0004-0000-0100-0000C1010000}"/>
    <hyperlink ref="E747" r:id="rId451" location=":~:text=Apparently%2C%20Ota%20was%20a%20well%20known%20figure,to%20connect%20Tokyo's%20three%20main%20universities%20that" xr:uid="{00000000-0004-0000-0100-0000C2010000}"/>
    <hyperlink ref="E748" r:id="rId452" xr:uid="{00000000-0004-0000-0100-0000C3010000}"/>
    <hyperlink ref="E749" r:id="rId453" xr:uid="{00000000-0004-0000-0100-0000C4010000}"/>
    <hyperlink ref="E750" r:id="rId454" xr:uid="{00000000-0004-0000-0100-0000C5010000}"/>
    <hyperlink ref="E751" r:id="rId455" xr:uid="{00000000-0004-0000-0100-0000C6010000}"/>
    <hyperlink ref="E752" r:id="rId456" location=":~:text=A%20big%20of%20Rogue%20Legacy%2C%20Spelunky%2C%20Hades.,kinda%20got%20inspiration%20from%20all%20of%20them." xr:uid="{00000000-0004-0000-0100-0000C7010000}"/>
    <hyperlink ref="E754" r:id="rId457" location=":~:text=Fury%20Unleashed%20was%20created%20by,like%20Contra%20and%20Metal%20Slug." xr:uid="{00000000-0004-0000-0100-0000C8010000}"/>
    <hyperlink ref="E755" r:id="rId458" xr:uid="{00000000-0004-0000-0100-0000C9010000}"/>
    <hyperlink ref="E756" r:id="rId459" xr:uid="{00000000-0004-0000-0100-0000CA010000}"/>
    <hyperlink ref="E757" r:id="rId460" xr:uid="{00000000-0004-0000-0100-0000CB010000}"/>
    <hyperlink ref="E759" r:id="rId461" xr:uid="{00000000-0004-0000-0100-0000CC010000}"/>
    <hyperlink ref="E760" r:id="rId462" location="c1693785035807819716" xr:uid="{00000000-0004-0000-0100-0000CD010000}"/>
    <hyperlink ref="E763" r:id="rId463" xr:uid="{00000000-0004-0000-0100-0000CE010000}"/>
    <hyperlink ref="E765" r:id="rId464" xr:uid="{00000000-0004-0000-0100-0000CF010000}"/>
    <hyperlink ref="E766" r:id="rId465" location=":~:text=RollScape%20is%20a%20game%20inspired,I%20played%20throughout%20the%20years." xr:uid="{00000000-0004-0000-0100-0000D0010000}"/>
    <hyperlink ref="E768" r:id="rId466" xr:uid="{00000000-0004-0000-0100-0000D1010000}"/>
    <hyperlink ref="E770" r:id="rId467" xr:uid="{00000000-0004-0000-0100-0000D2010000}"/>
    <hyperlink ref="E778" r:id="rId468" xr:uid="{00000000-0004-0000-0100-0000D3010000}"/>
    <hyperlink ref="E780" r:id="rId469" xr:uid="{00000000-0004-0000-0100-0000D4010000}"/>
    <hyperlink ref="E781" r:id="rId470" xr:uid="{00000000-0004-0000-0100-0000D5010000}"/>
    <hyperlink ref="E782" r:id="rId471" xr:uid="{00000000-0004-0000-0100-0000D6010000}"/>
    <hyperlink ref="E784" r:id="rId472" xr:uid="{00000000-0004-0000-0100-0000D7010000}"/>
    <hyperlink ref="E785" r:id="rId473" xr:uid="{00000000-0004-0000-0100-0000D8010000}"/>
    <hyperlink ref="E786" r:id="rId474" xr:uid="{00000000-0004-0000-0100-0000D9010000}"/>
    <hyperlink ref="E788" r:id="rId475" location=":~:text=About%20This%20Game-,ABOUT,and%20'Into%20the%20Breach'." xr:uid="{00000000-0004-0000-0100-0000DA010000}"/>
    <hyperlink ref="E789" r:id="rId476" xr:uid="{00000000-0004-0000-0100-0000DB010000}"/>
    <hyperlink ref="E790" r:id="rId477" xr:uid="{00000000-0004-0000-0100-0000DC010000}"/>
    <hyperlink ref="E791" r:id="rId478" xr:uid="{00000000-0004-0000-0100-0000DD010000}"/>
    <hyperlink ref="E793" r:id="rId479" location=":~:text=Inspired%20by%20rogue%2Dlite%20games,set%20of%20attacks%20and%20spells." xr:uid="{00000000-0004-0000-0100-0000DE010000}"/>
    <hyperlink ref="E794" r:id="rId480" xr:uid="{00000000-0004-0000-0100-0000DF010000}"/>
    <hyperlink ref="E795" r:id="rId481" location=":~:text=I%20got%20addicted%20to%20Stardew,simply%20stat%20upgrades%20or%20something)." xr:uid="{00000000-0004-0000-0100-0000E0010000}"/>
    <hyperlink ref="E798" r:id="rId482" xr:uid="{00000000-0004-0000-0100-0000E1010000}"/>
    <hyperlink ref="E799" r:id="rId483" location=":~:text=What%20they%20said%20about%20it,rewards%20that%20come%20with%20them." xr:uid="{00000000-0004-0000-0100-0000E2010000}"/>
    <hyperlink ref="E800" r:id="rId484" xr:uid="{00000000-0004-0000-0100-0000E3010000}"/>
    <hyperlink ref="E801" r:id="rId485" xr:uid="{00000000-0004-0000-0100-0000E4010000}"/>
    <hyperlink ref="E804" r:id="rId486" xr:uid="{00000000-0004-0000-0100-0000E5010000}"/>
    <hyperlink ref="E805" r:id="rId487" location="c6027566653452797874" xr:uid="{00000000-0004-0000-0100-0000E6010000}"/>
    <hyperlink ref="E807" r:id="rId488" xr:uid="{00000000-0004-0000-0100-0000E7010000}"/>
    <hyperlink ref="E808" r:id="rId489" xr:uid="{00000000-0004-0000-0100-0000E8010000}"/>
    <hyperlink ref="E810" r:id="rId490" xr:uid="{00000000-0004-0000-0100-0000E9010000}"/>
    <hyperlink ref="E812" r:id="rId491" xr:uid="{00000000-0004-0000-0100-0000EA010000}"/>
    <hyperlink ref="E813" r:id="rId492" location=":~:text=Oh%20and%20did%20I%20mention,insanely%20replayable%20for%20similar%20reasons." xr:uid="{00000000-0004-0000-0100-0000EB010000}"/>
    <hyperlink ref="E815" r:id="rId493" xr:uid="{00000000-0004-0000-0100-0000EC010000}"/>
    <hyperlink ref="E816" r:id="rId494" xr:uid="{00000000-0004-0000-0100-0000ED010000}"/>
    <hyperlink ref="E817" r:id="rId495" xr:uid="{00000000-0004-0000-0100-0000EE010000}"/>
    <hyperlink ref="E818" r:id="rId496" xr:uid="{00000000-0004-0000-0100-0000EF010000}"/>
    <hyperlink ref="E820" r:id="rId497" xr:uid="{00000000-0004-0000-0100-0000F0010000}"/>
    <hyperlink ref="E822" r:id="rId498" xr:uid="{00000000-0004-0000-0100-0000F1010000}"/>
    <hyperlink ref="E823" r:id="rId499" xr:uid="{00000000-0004-0000-0100-0000F2010000}"/>
    <hyperlink ref="E825" r:id="rId500" xr:uid="{00000000-0004-0000-0100-0000F3010000}"/>
    <hyperlink ref="E827" r:id="rId501" xr:uid="{00000000-0004-0000-0100-0000F4010000}"/>
    <hyperlink ref="E828" r:id="rId502" xr:uid="{00000000-0004-0000-0100-0000F5010000}"/>
    <hyperlink ref="E830" r:id="rId503" xr:uid="{00000000-0004-0000-0100-0000F6010000}"/>
    <hyperlink ref="E835" r:id="rId504" xr:uid="{00000000-0004-0000-0100-0000F7010000}"/>
    <hyperlink ref="E836" r:id="rId505" xr:uid="{00000000-0004-0000-0100-0000F8010000}"/>
    <hyperlink ref="E837" r:id="rId506" xr:uid="{00000000-0004-0000-0100-0000F9010000}"/>
    <hyperlink ref="E838" r:id="rId507" xr:uid="{00000000-0004-0000-0100-0000FA010000}"/>
    <hyperlink ref="E840" r:id="rId508" xr:uid="{00000000-0004-0000-0100-0000FB010000}"/>
    <hyperlink ref="E843" r:id="rId509" xr:uid="{00000000-0004-0000-0100-0000FC010000}"/>
    <hyperlink ref="E844" r:id="rId510" xr:uid="{00000000-0004-0000-0100-0000FD010000}"/>
    <hyperlink ref="E847" r:id="rId511" xr:uid="{00000000-0004-0000-0100-0000FE010000}"/>
    <hyperlink ref="E849" r:id="rId512" xr:uid="{00000000-0004-0000-0100-0000FF010000}"/>
    <hyperlink ref="E853" r:id="rId513" xr:uid="{00000000-0004-0000-0100-000000020000}"/>
    <hyperlink ref="E854" r:id="rId514" location="c3194745319530070972" xr:uid="{00000000-0004-0000-0100-000001020000}"/>
    <hyperlink ref="E856" r:id="rId515" location=":~:text=Dan%20DiIorio%20developed%20Luck%20Be,pondering%20why%20rent%20was%20necessary." xr:uid="{00000000-0004-0000-0100-000002020000}"/>
    <hyperlink ref="E857" r:id="rId516" xr:uid="{00000000-0004-0000-0100-000003020000}"/>
    <hyperlink ref="E858" r:id="rId517" xr:uid="{00000000-0004-0000-0100-000004020000}"/>
    <hyperlink ref="E860" r:id="rId518" xr:uid="{00000000-0004-0000-0100-000005020000}"/>
    <hyperlink ref="E861" r:id="rId519" xr:uid="{00000000-0004-0000-0100-000006020000}"/>
    <hyperlink ref="E863" r:id="rId520" xr:uid="{00000000-0004-0000-0100-000007020000}"/>
    <hyperlink ref="E864" r:id="rId521" xr:uid="{00000000-0004-0000-0100-000008020000}"/>
    <hyperlink ref="E866" r:id="rId522" xr:uid="{00000000-0004-0000-0100-000009020000}"/>
    <hyperlink ref="E869" r:id="rId523" xr:uid="{00000000-0004-0000-0100-00000A020000}"/>
    <hyperlink ref="E872" r:id="rId524" xr:uid="{00000000-0004-0000-0100-00000B020000}"/>
    <hyperlink ref="E873" r:id="rId525" location=":~:text=As%20design%20of%20the%20game,Bandicoot%20and%20Donkey%20Kong%20Country." xr:uid="{00000000-0004-0000-0100-00000C020000}"/>
    <hyperlink ref="E875" r:id="rId526" xr:uid="{00000000-0004-0000-0100-00000D020000}"/>
    <hyperlink ref="E877" r:id="rId527" xr:uid="{00000000-0004-0000-0100-00000E020000}"/>
    <hyperlink ref="E879" r:id="rId528" xr:uid="{00000000-0004-0000-0100-00000F020000}"/>
    <hyperlink ref="E880" r:id="rId529" xr:uid="{00000000-0004-0000-0100-000010020000}"/>
    <hyperlink ref="E882" r:id="rId530" xr:uid="{00000000-0004-0000-0100-000011020000}"/>
    <hyperlink ref="E884" r:id="rId531" location="c4335355681661031211" xr:uid="{00000000-0004-0000-0100-000012020000}"/>
    <hyperlink ref="E88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87" r:id="rId533" xr:uid="{00000000-0004-0000-0100-000014020000}"/>
    <hyperlink ref="E888" r:id="rId534" xr:uid="{00000000-0004-0000-0100-000015020000}"/>
    <hyperlink ref="E889" r:id="rId535" xr:uid="{00000000-0004-0000-0100-000016020000}"/>
    <hyperlink ref="E890" r:id="rId536" xr:uid="{00000000-0004-0000-0100-000017020000}"/>
    <hyperlink ref="E895" r:id="rId537" xr:uid="{00000000-0004-0000-0100-000018020000}"/>
    <hyperlink ref="E896" r:id="rId538" xr:uid="{00000000-0004-0000-0100-000019020000}"/>
    <hyperlink ref="E900" r:id="rId539" xr:uid="{00000000-0004-0000-0100-00001A020000}"/>
    <hyperlink ref="E901" r:id="rId540" xr:uid="{00000000-0004-0000-0100-00001B020000}"/>
    <hyperlink ref="E902" r:id="rId541" location="c3005556719742617866" xr:uid="{00000000-0004-0000-0100-00001C020000}"/>
    <hyperlink ref="E903" r:id="rId542" xr:uid="{00000000-0004-0000-0100-00001D020000}"/>
    <hyperlink ref="E905" r:id="rId543" location=":~:text=hotloopgames-,I%20am%20a%20solo%20developer%20working%20on%20The%20Last%20Flame,plays%20as%20an%20auto%2Dbattler." xr:uid="{00000000-0004-0000-0100-00001E020000}"/>
    <hyperlink ref="E907" r:id="rId544" xr:uid="{00000000-0004-0000-0100-00001F020000}"/>
    <hyperlink ref="E908" r:id="rId545" xr:uid="{00000000-0004-0000-0100-000020020000}"/>
    <hyperlink ref="E911" r:id="rId546" xr:uid="{00000000-0004-0000-0100-000021020000}"/>
    <hyperlink ref="E914" r:id="rId547" xr:uid="{00000000-0004-0000-0100-000022020000}"/>
    <hyperlink ref="E915" r:id="rId548" xr:uid="{00000000-0004-0000-0100-000023020000}"/>
    <hyperlink ref="E916" r:id="rId549" xr:uid="{00000000-0004-0000-0100-000024020000}"/>
    <hyperlink ref="E918" r:id="rId550" xr:uid="{00000000-0004-0000-0100-000025020000}"/>
    <hyperlink ref="E919" r:id="rId551" xr:uid="{00000000-0004-0000-0100-000026020000}"/>
    <hyperlink ref="E920" r:id="rId552" xr:uid="{00000000-0004-0000-0100-000027020000}"/>
    <hyperlink ref="E921" r:id="rId553" xr:uid="{00000000-0004-0000-0100-000028020000}"/>
    <hyperlink ref="E922" r:id="rId554" xr:uid="{00000000-0004-0000-0100-000029020000}"/>
    <hyperlink ref="E925" r:id="rId555" xr:uid="{00000000-0004-0000-0100-00002A020000}"/>
    <hyperlink ref="E926" r:id="rId556" xr:uid="{00000000-0004-0000-0100-00002B020000}"/>
    <hyperlink ref="E929" r:id="rId557" xr:uid="{00000000-0004-0000-0100-00002C020000}"/>
    <hyperlink ref="E932" r:id="rId558" location=":~:text=As%20inspiration%20from%20different%20games,dangerous%20to%20go%20alone%22%20line." xr:uid="{00000000-0004-0000-0100-00002D020000}"/>
    <hyperlink ref="E939" r:id="rId559" xr:uid="{00000000-0004-0000-0100-00002E020000}"/>
    <hyperlink ref="E941" r:id="rId560" xr:uid="{00000000-0004-0000-0100-00002F020000}"/>
    <hyperlink ref="E942" r:id="rId561" xr:uid="{00000000-0004-0000-0100-000030020000}"/>
    <hyperlink ref="E943" r:id="rId562" xr:uid="{00000000-0004-0000-0100-000031020000}"/>
    <hyperlink ref="E944" r:id="rId563" xr:uid="{00000000-0004-0000-0100-000032020000}"/>
    <hyperlink ref="E945" r:id="rId564" xr:uid="{00000000-0004-0000-0100-000033020000}"/>
    <hyperlink ref="E947" r:id="rId565" location=":~:text=Much%20of%20the%20game%20was,similar%20gameplay%20would%20be%20like." xr:uid="{00000000-0004-0000-0100-000034020000}"/>
    <hyperlink ref="E948" r:id="rId566" location=":~:text=A%20big%20of%20Rogue%20Legacy%2C%20Spelunky%2C%20Hades.,kinda%20got%20inspiration%20from%20all%20of%20them." xr:uid="{00000000-0004-0000-0100-000035020000}"/>
    <hyperlink ref="E949" r:id="rId567" xr:uid="{00000000-0004-0000-0100-000036020000}"/>
    <hyperlink ref="E955" r:id="rId568" xr:uid="{00000000-0004-0000-0100-000037020000}"/>
    <hyperlink ref="E956" r:id="rId569" xr:uid="{00000000-0004-0000-0100-000038020000}"/>
    <hyperlink ref="E957" r:id="rId570" xr:uid="{00000000-0004-0000-0100-000039020000}"/>
    <hyperlink ref="E958" r:id="rId571" xr:uid="{00000000-0004-0000-0100-00003A020000}"/>
    <hyperlink ref="E959" r:id="rId572" xr:uid="{00000000-0004-0000-0100-00003B020000}"/>
    <hyperlink ref="E961" r:id="rId573" xr:uid="{00000000-0004-0000-0100-00003C020000}"/>
    <hyperlink ref="E962" r:id="rId574" location=":~:text=The%20game%20was%20developed%20by,development%2C%20including%20an%20experience%20system." xr:uid="{00000000-0004-0000-0100-00003D020000}"/>
    <hyperlink ref="E963" r:id="rId575" xr:uid="{00000000-0004-0000-0100-00003E020000}"/>
    <hyperlink ref="E966" r:id="rId576" xr:uid="{00000000-0004-0000-0100-00003F020000}"/>
    <hyperlink ref="E967" r:id="rId577" xr:uid="{00000000-0004-0000-0100-000040020000}"/>
    <hyperlink ref="E968" r:id="rId578" location=":~:text=Lead%20designer%20Matt%20Dabrowski%20credited,inspirations%20for%20Streets%20of%20Rogue." xr:uid="{00000000-0004-0000-0100-000041020000}"/>
    <hyperlink ref="E969" r:id="rId579" xr:uid="{00000000-0004-0000-0100-000042020000}"/>
    <hyperlink ref="E971" r:id="rId580" xr:uid="{00000000-0004-0000-0100-000043020000}"/>
    <hyperlink ref="E972" r:id="rId581" xr:uid="{00000000-0004-0000-0100-000044020000}"/>
    <hyperlink ref="E975" r:id="rId582" xr:uid="{00000000-0004-0000-0100-000045020000}"/>
    <hyperlink ref="E977" r:id="rId583" xr:uid="{00000000-0004-0000-0100-000046020000}"/>
    <hyperlink ref="E982" r:id="rId584" xr:uid="{00000000-0004-0000-0100-000047020000}"/>
    <hyperlink ref="E985" r:id="rId585" xr:uid="{00000000-0004-0000-0100-000048020000}"/>
    <hyperlink ref="E990" r:id="rId586" xr:uid="{00000000-0004-0000-0100-000049020000}"/>
    <hyperlink ref="E991" r:id="rId587" xr:uid="{00000000-0004-0000-0100-00004A020000}"/>
    <hyperlink ref="E992" r:id="rId588" xr:uid="{00000000-0004-0000-0100-00004B020000}"/>
    <hyperlink ref="E994" r:id="rId589" xr:uid="{00000000-0004-0000-0100-00004C020000}"/>
    <hyperlink ref="E997" r:id="rId590" xr:uid="{00000000-0004-0000-0100-00004D020000}"/>
    <hyperlink ref="E998" r:id="rId591" xr:uid="{00000000-0004-0000-0100-00004E020000}"/>
    <hyperlink ref="E1000" r:id="rId592" xr:uid="{00000000-0004-0000-0100-00004F020000}"/>
    <hyperlink ref="E1002" r:id="rId593" xr:uid="{00000000-0004-0000-0100-000050020000}"/>
    <hyperlink ref="E1003" r:id="rId594" xr:uid="{00000000-0004-0000-0100-000051020000}"/>
    <hyperlink ref="E1004" r:id="rId595" xr:uid="{00000000-0004-0000-0100-000052020000}"/>
    <hyperlink ref="E1005" r:id="rId596" xr:uid="{00000000-0004-0000-0100-000053020000}"/>
    <hyperlink ref="E1007" r:id="rId597" xr:uid="{00000000-0004-0000-0100-000054020000}"/>
    <hyperlink ref="E1008" r:id="rId598" xr:uid="{00000000-0004-0000-0100-000055020000}"/>
    <hyperlink ref="E1009" r:id="rId599" xr:uid="{00000000-0004-0000-0100-000056020000}"/>
    <hyperlink ref="E1010" r:id="rId600" xr:uid="{00000000-0004-0000-0100-000057020000}"/>
    <hyperlink ref="E1012" r:id="rId601" xr:uid="{00000000-0004-0000-0100-000058020000}"/>
    <hyperlink ref="E1013" r:id="rId602" xr:uid="{00000000-0004-0000-0100-000059020000}"/>
    <hyperlink ref="E1014" r:id="rId603" xr:uid="{00000000-0004-0000-0100-00005A020000}"/>
    <hyperlink ref="E1015" r:id="rId604" location=":~:text=I%20left%20my%20old%20job,as%20The%20Binding%20of%20Isaac." xr:uid="{00000000-0004-0000-0100-00005B020000}"/>
    <hyperlink ref="E1016" r:id="rId605" xr:uid="{00000000-0004-0000-0100-00005C020000}"/>
    <hyperlink ref="E1018" r:id="rId606" xr:uid="{00000000-0004-0000-0100-00005D020000}"/>
    <hyperlink ref="E1020" r:id="rId607" xr:uid="{00000000-0004-0000-0100-00005E020000}"/>
    <hyperlink ref="E1021" r:id="rId608" xr:uid="{00000000-0004-0000-0100-00005F020000}"/>
    <hyperlink ref="E1022" r:id="rId609" xr:uid="{00000000-0004-0000-0100-000060020000}"/>
    <hyperlink ref="E1023" r:id="rId610" xr:uid="{00000000-0004-0000-0100-000061020000}"/>
    <hyperlink ref="E1024" r:id="rId611" xr:uid="{00000000-0004-0000-0100-000062020000}"/>
    <hyperlink ref="E1027" r:id="rId612" xr:uid="{00000000-0004-0000-0100-000063020000}"/>
    <hyperlink ref="E1035" r:id="rId613" location="c846961716375428005" xr:uid="{00000000-0004-0000-0100-000064020000}"/>
    <hyperlink ref="E1037" r:id="rId614" xr:uid="{00000000-0004-0000-0100-000065020000}"/>
    <hyperlink ref="E1038" r:id="rId615" xr:uid="{00000000-0004-0000-0100-000066020000}"/>
    <hyperlink ref="E1041" r:id="rId616" xr:uid="{00000000-0004-0000-0100-000067020000}"/>
    <hyperlink ref="E1042" r:id="rId617" xr:uid="{00000000-0004-0000-0100-000068020000}"/>
    <hyperlink ref="E1043" r:id="rId618" xr:uid="{00000000-0004-0000-0100-000069020000}"/>
    <hyperlink ref="E1045" r:id="rId619" xr:uid="{00000000-0004-0000-0100-00006A020000}"/>
    <hyperlink ref="E1046" r:id="rId620" xr:uid="{00000000-0004-0000-0100-00006B020000}"/>
    <hyperlink ref="E1048" r:id="rId621" xr:uid="{00000000-0004-0000-0100-00006C020000}"/>
    <hyperlink ref="E1049" r:id="rId622" xr:uid="{00000000-0004-0000-0100-00006D020000}"/>
    <hyperlink ref="E1051" r:id="rId623" xr:uid="{00000000-0004-0000-0100-00006E020000}"/>
    <hyperlink ref="E1052" r:id="rId624" xr:uid="{00000000-0004-0000-0100-00006F020000}"/>
    <hyperlink ref="E1054" r:id="rId625" xr:uid="{00000000-0004-0000-0100-000070020000}"/>
    <hyperlink ref="E1055" r:id="rId626" xr:uid="{00000000-0004-0000-0100-000071020000}"/>
    <hyperlink ref="E1056" r:id="rId627" xr:uid="{00000000-0004-0000-0100-000072020000}"/>
    <hyperlink ref="E1057" r:id="rId628" xr:uid="{00000000-0004-0000-0100-000073020000}"/>
    <hyperlink ref="E1059" r:id="rId629" location=":~:text=The%20game%20was%20developed%20by,development%2C%20including%20an%20experience%20system." xr:uid="{00000000-0004-0000-0100-000074020000}"/>
    <hyperlink ref="E1062" r:id="rId630" xr:uid="{00000000-0004-0000-0100-000075020000}"/>
    <hyperlink ref="E1063" r:id="rId631" xr:uid="{00000000-0004-0000-0100-000076020000}"/>
    <hyperlink ref="E1064" r:id="rId632" xr:uid="{00000000-0004-0000-0100-000077020000}"/>
    <hyperlink ref="E1066" r:id="rId633" xr:uid="{00000000-0004-0000-0100-000078020000}"/>
    <hyperlink ref="E1069" r:id="rId634" location="c592882772895432824" xr:uid="{00000000-0004-0000-0100-000079020000}"/>
    <hyperlink ref="E1073" r:id="rId635" xr:uid="{00000000-0004-0000-0100-00007A020000}"/>
    <hyperlink ref="E1074" r:id="rId636" xr:uid="{00000000-0004-0000-0100-00007B020000}"/>
    <hyperlink ref="E1075" r:id="rId637" xr:uid="{00000000-0004-0000-0100-00007C020000}"/>
    <hyperlink ref="E1076" r:id="rId638" xr:uid="{00000000-0004-0000-0100-00007D020000}"/>
    <hyperlink ref="E1077" r:id="rId639" xr:uid="{00000000-0004-0000-0100-00007E020000}"/>
    <hyperlink ref="E1080" r:id="rId640" location=":~:text=Apparently%2C%20Ota%20was%20a%20well%20known%20figure,to%20connect%20Tokyo's%20three%20main%20universities%20that" xr:uid="{00000000-0004-0000-0100-00007F020000}"/>
    <hyperlink ref="E1082" r:id="rId641" xr:uid="{00000000-0004-0000-0100-000080020000}"/>
    <hyperlink ref="E1083" r:id="rId642" xr:uid="{00000000-0004-0000-0100-000081020000}"/>
    <hyperlink ref="E1084" r:id="rId643" xr:uid="{00000000-0004-0000-0100-000082020000}"/>
    <hyperlink ref="E1085" r:id="rId644" xr:uid="{00000000-0004-0000-0100-000083020000}"/>
    <hyperlink ref="E1087" r:id="rId645" location="c592882772895432824" xr:uid="{00000000-0004-0000-0100-000084020000}"/>
    <hyperlink ref="E1088" r:id="rId646" xr:uid="{00000000-0004-0000-0100-000085020000}"/>
    <hyperlink ref="E1090" r:id="rId647" xr:uid="{00000000-0004-0000-0100-000086020000}"/>
    <hyperlink ref="E1093" r:id="rId648" location="cite_note-GuideInterview-40" xr:uid="{00000000-0004-0000-0100-000087020000}"/>
    <hyperlink ref="E1094" r:id="rId649" xr:uid="{00000000-0004-0000-0100-000088020000}"/>
    <hyperlink ref="E1095" r:id="rId650" xr:uid="{00000000-0004-0000-0100-000089020000}"/>
    <hyperlink ref="E1101" r:id="rId651" location=":~:text=House%20of%20Necrosis%20is%20a,Linux)%20and%20the%20Steam%20Deck" xr:uid="{00000000-0004-0000-0100-00008A020000}"/>
    <hyperlink ref="E1103" r:id="rId652" xr:uid="{00000000-0004-0000-0100-00008B020000}"/>
    <hyperlink ref="E1105" r:id="rId653" xr:uid="{00000000-0004-0000-0100-00008C020000}"/>
    <hyperlink ref="E1106" r:id="rId654" xr:uid="{00000000-0004-0000-0100-00008D020000}"/>
    <hyperlink ref="E1108" r:id="rId655" xr:uid="{00000000-0004-0000-0100-00008E020000}"/>
    <hyperlink ref="E1110" r:id="rId656" xr:uid="{00000000-0004-0000-0100-00008F020000}"/>
    <hyperlink ref="E1112" r:id="rId657" xr:uid="{00000000-0004-0000-0100-000090020000}"/>
    <hyperlink ref="E1114" r:id="rId658" xr:uid="{00000000-0004-0000-0100-000091020000}"/>
    <hyperlink ref="E1122" r:id="rId659" xr:uid="{00000000-0004-0000-0100-000092020000}"/>
    <hyperlink ref="E1125" r:id="rId660" location="c735910198043297427" xr:uid="{00000000-0004-0000-0100-000093020000}"/>
    <hyperlink ref="E1129" r:id="rId661" location=":~:text=I%20was%20right%20because%20Ball,search%20of%20treasure%20and%20resources.&amp;text=If%20playback%20doesn't%20begin%20shortly%2C%20try%20restarting%20your%20device." xr:uid="{00000000-0004-0000-0100-000094020000}"/>
    <hyperlink ref="E1130" r:id="rId662" xr:uid="{00000000-0004-0000-0100-000095020000}"/>
    <hyperlink ref="E1132" r:id="rId663" xr:uid="{00000000-0004-0000-0100-000096020000}"/>
    <hyperlink ref="E1138" r:id="rId664" xr:uid="{00000000-0004-0000-0100-000097020000}"/>
    <hyperlink ref="E1141" r:id="rId665" location="c562532756309107833" xr:uid="{00000000-0004-0000-0100-000098020000}"/>
    <hyperlink ref="E1142" r:id="rId666" xr:uid="{00000000-0004-0000-0100-000099020000}"/>
    <hyperlink ref="E1144" r:id="rId667" xr:uid="{00000000-0004-0000-0100-00009A020000}"/>
    <hyperlink ref="E1150" r:id="rId668" xr:uid="{00000000-0004-0000-0100-00009B020000}"/>
    <hyperlink ref="E1153" r:id="rId669" xr:uid="{00000000-0004-0000-0100-00009C020000}"/>
    <hyperlink ref="E1156" r:id="rId670" xr:uid="{00000000-0004-0000-0100-00009D020000}"/>
    <hyperlink ref="E1161" r:id="rId671" xr:uid="{00000000-0004-0000-0100-00009E020000}"/>
    <hyperlink ref="E1170" r:id="rId672" xr:uid="{00000000-0004-0000-0100-00009F020000}"/>
    <hyperlink ref="E1180" r:id="rId673" xr:uid="{00000000-0004-0000-0100-0000A0020000}"/>
    <hyperlink ref="E1193" r:id="rId674" xr:uid="{00000000-0004-0000-0100-0000A1020000}"/>
    <hyperlink ref="E1194" r:id="rId675" xr:uid="{00000000-0004-0000-0100-0000A2020000}"/>
    <hyperlink ref="E1196" r:id="rId676" xr:uid="{00000000-0004-0000-0100-0000A3020000}"/>
    <hyperlink ref="E1198" r:id="rId677" xr:uid="{00000000-0004-0000-0100-0000A4020000}"/>
    <hyperlink ref="E1207" r:id="rId678" location=":~:text=Runs%20in%20Whisker%20Squadron:%20Survivor,to%20engage%20the%20boost%20thrusters." xr:uid="{00000000-0004-0000-0100-0000A5020000}"/>
    <hyperlink ref="E1217" r:id="rId679" xr:uid="{00000000-0004-0000-0100-0000A6020000}"/>
    <hyperlink ref="E1218" r:id="rId680" xr:uid="{00000000-0004-0000-0100-0000A7020000}"/>
    <hyperlink ref="E1219" r:id="rId681" xr:uid="{00000000-0004-0000-0100-0000A8020000}"/>
    <hyperlink ref="E1223" r:id="rId682" xr:uid="{00000000-0004-0000-0100-0000A9020000}"/>
    <hyperlink ref="E1224" r:id="rId683" xr:uid="{00000000-0004-0000-0100-0000AA020000}"/>
    <hyperlink ref="E1225" r:id="rId684" xr:uid="{00000000-0004-0000-0100-0000AB020000}"/>
    <hyperlink ref="E1226" r:id="rId685" location=":~:text=Vellum's%20Inspirations,chapter%20of%20the%20original%20series." xr:uid="{00000000-0004-0000-0100-0000AC020000}"/>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A8" sqref="A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3450</v>
      </c>
      <c r="D1" t="s">
        <v>3451</v>
      </c>
      <c r="E1" t="s">
        <v>3452</v>
      </c>
      <c r="F1" t="s">
        <v>3453</v>
      </c>
      <c r="G1" t="s">
        <v>3454</v>
      </c>
      <c r="H1" t="s">
        <v>3455</v>
      </c>
      <c r="I1" t="s">
        <v>3456</v>
      </c>
      <c r="J1" t="s">
        <v>3457</v>
      </c>
      <c r="K1" t="s">
        <v>3458</v>
      </c>
      <c r="L1" t="s">
        <v>3459</v>
      </c>
      <c r="M1" t="s">
        <v>3460</v>
      </c>
      <c r="N1" t="s">
        <v>3461</v>
      </c>
      <c r="O1" t="s">
        <v>3462</v>
      </c>
      <c r="P1" t="s">
        <v>3463</v>
      </c>
      <c r="Q1" t="s">
        <v>171</v>
      </c>
    </row>
    <row r="2" spans="1:17" x14ac:dyDescent="0.25">
      <c r="A2" t="s">
        <v>3464</v>
      </c>
      <c r="B2" t="s">
        <v>2805</v>
      </c>
      <c r="C2">
        <v>8</v>
      </c>
      <c r="D2">
        <v>3</v>
      </c>
      <c r="E2">
        <v>1</v>
      </c>
      <c r="F2">
        <v>0</v>
      </c>
      <c r="G2">
        <v>1</v>
      </c>
      <c r="H2">
        <v>0</v>
      </c>
      <c r="I2">
        <v>0</v>
      </c>
      <c r="J2">
        <v>0</v>
      </c>
      <c r="K2">
        <v>0</v>
      </c>
      <c r="L2">
        <v>0</v>
      </c>
      <c r="M2" t="s">
        <v>3465</v>
      </c>
      <c r="N2" t="s">
        <v>3466</v>
      </c>
      <c r="O2" t="s">
        <v>3467</v>
      </c>
      <c r="P2" t="s">
        <v>3468</v>
      </c>
      <c r="Q2" t="s">
        <v>3469</v>
      </c>
    </row>
    <row r="3" spans="1:17" x14ac:dyDescent="0.25">
      <c r="A3" t="s">
        <v>3470</v>
      </c>
      <c r="B3" t="s">
        <v>353</v>
      </c>
      <c r="C3">
        <v>8</v>
      </c>
      <c r="D3">
        <v>3</v>
      </c>
      <c r="E3">
        <v>0</v>
      </c>
      <c r="F3">
        <v>0</v>
      </c>
      <c r="G3">
        <v>0</v>
      </c>
      <c r="H3">
        <v>0</v>
      </c>
      <c r="I3">
        <v>0</v>
      </c>
      <c r="J3">
        <v>0</v>
      </c>
      <c r="K3">
        <v>0</v>
      </c>
      <c r="L3">
        <v>2</v>
      </c>
      <c r="M3" t="s">
        <v>3471</v>
      </c>
      <c r="N3" t="s">
        <v>3472</v>
      </c>
      <c r="O3" t="s">
        <v>3473</v>
      </c>
      <c r="P3" t="s">
        <v>3468</v>
      </c>
      <c r="Q3" t="s">
        <v>3474</v>
      </c>
    </row>
    <row r="4" spans="1:17" x14ac:dyDescent="0.25">
      <c r="A4" t="s">
        <v>3475</v>
      </c>
      <c r="B4" t="s">
        <v>90</v>
      </c>
      <c r="C4">
        <v>10</v>
      </c>
      <c r="D4">
        <v>3</v>
      </c>
      <c r="E4">
        <v>2</v>
      </c>
      <c r="F4">
        <v>0</v>
      </c>
      <c r="G4">
        <v>0</v>
      </c>
      <c r="H4">
        <v>0</v>
      </c>
      <c r="I4">
        <v>0</v>
      </c>
      <c r="J4">
        <v>0</v>
      </c>
      <c r="K4">
        <v>0</v>
      </c>
      <c r="L4">
        <v>0</v>
      </c>
      <c r="M4" t="s">
        <v>3476</v>
      </c>
      <c r="N4" t="s">
        <v>3477</v>
      </c>
      <c r="O4" t="s">
        <v>3478</v>
      </c>
      <c r="P4" t="s">
        <v>3479</v>
      </c>
      <c r="Q4" t="s">
        <v>3475</v>
      </c>
    </row>
    <row r="5" spans="1:17" x14ac:dyDescent="0.25">
      <c r="A5" t="s">
        <v>3480</v>
      </c>
      <c r="B5" t="s">
        <v>160</v>
      </c>
      <c r="C5">
        <v>6</v>
      </c>
      <c r="D5">
        <v>3</v>
      </c>
      <c r="E5">
        <v>0</v>
      </c>
      <c r="F5">
        <v>0</v>
      </c>
      <c r="G5">
        <v>0</v>
      </c>
      <c r="H5">
        <v>0</v>
      </c>
      <c r="I5">
        <v>0</v>
      </c>
      <c r="J5">
        <v>1</v>
      </c>
      <c r="K5">
        <v>0</v>
      </c>
      <c r="L5">
        <v>0</v>
      </c>
      <c r="M5" t="s">
        <v>3481</v>
      </c>
      <c r="N5" t="s">
        <v>3482</v>
      </c>
      <c r="O5" t="s">
        <v>3483</v>
      </c>
      <c r="P5" t="s">
        <v>3484</v>
      </c>
      <c r="Q5" t="s">
        <v>3480</v>
      </c>
    </row>
    <row r="6" spans="1:17" x14ac:dyDescent="0.25">
      <c r="A6" t="s">
        <v>3485</v>
      </c>
      <c r="B6" t="s">
        <v>2046</v>
      </c>
      <c r="C6">
        <v>8</v>
      </c>
      <c r="D6">
        <v>3</v>
      </c>
      <c r="E6">
        <v>0</v>
      </c>
      <c r="F6">
        <v>0</v>
      </c>
      <c r="G6">
        <v>2</v>
      </c>
      <c r="H6">
        <v>0</v>
      </c>
      <c r="I6">
        <v>0</v>
      </c>
      <c r="J6">
        <v>0</v>
      </c>
      <c r="K6">
        <v>0</v>
      </c>
      <c r="L6">
        <v>0</v>
      </c>
      <c r="M6" t="s">
        <v>3486</v>
      </c>
      <c r="N6" t="s">
        <v>3487</v>
      </c>
      <c r="O6" t="s">
        <v>3488</v>
      </c>
      <c r="P6" t="s">
        <v>3468</v>
      </c>
      <c r="Q6" t="s">
        <v>3485</v>
      </c>
    </row>
    <row r="7" spans="1:17" x14ac:dyDescent="0.25">
      <c r="A7" t="s">
        <v>3489</v>
      </c>
      <c r="B7" t="s">
        <v>1818</v>
      </c>
      <c r="C7">
        <v>8</v>
      </c>
      <c r="D7">
        <v>3</v>
      </c>
      <c r="E7">
        <v>0</v>
      </c>
      <c r="F7">
        <v>0</v>
      </c>
      <c r="G7">
        <v>0</v>
      </c>
      <c r="H7">
        <v>2</v>
      </c>
      <c r="I7">
        <v>0</v>
      </c>
      <c r="J7">
        <v>0</v>
      </c>
      <c r="K7">
        <v>0</v>
      </c>
      <c r="L7">
        <v>0</v>
      </c>
      <c r="M7" t="s">
        <v>3490</v>
      </c>
      <c r="N7" t="s">
        <v>3491</v>
      </c>
      <c r="O7" t="s">
        <v>3492</v>
      </c>
      <c r="P7" t="s">
        <v>3468</v>
      </c>
      <c r="Q7" t="s">
        <v>3489</v>
      </c>
    </row>
    <row r="8" spans="1:17" x14ac:dyDescent="0.25">
      <c r="A8" t="s">
        <v>3493</v>
      </c>
      <c r="B8" t="s">
        <v>2805</v>
      </c>
      <c r="C8">
        <v>10</v>
      </c>
      <c r="D8">
        <v>3</v>
      </c>
      <c r="E8">
        <v>0</v>
      </c>
      <c r="F8">
        <v>0</v>
      </c>
      <c r="G8">
        <v>2</v>
      </c>
      <c r="H8">
        <v>0</v>
      </c>
      <c r="I8">
        <v>0</v>
      </c>
      <c r="J8">
        <v>0</v>
      </c>
      <c r="K8">
        <v>0</v>
      </c>
      <c r="L8">
        <v>0</v>
      </c>
      <c r="M8" t="s">
        <v>3494</v>
      </c>
      <c r="N8" t="s">
        <v>3466</v>
      </c>
      <c r="O8" t="s">
        <v>3495</v>
      </c>
      <c r="P8" t="s">
        <v>3496</v>
      </c>
      <c r="Q8" t="s">
        <v>3497</v>
      </c>
    </row>
    <row r="9" spans="1:17" x14ac:dyDescent="0.25">
      <c r="A9" t="s">
        <v>3498</v>
      </c>
      <c r="B9" t="s">
        <v>38</v>
      </c>
      <c r="C9">
        <v>8</v>
      </c>
      <c r="D9">
        <v>3</v>
      </c>
      <c r="E9">
        <v>0</v>
      </c>
      <c r="F9">
        <v>0</v>
      </c>
      <c r="G9">
        <v>1</v>
      </c>
      <c r="H9">
        <v>1</v>
      </c>
      <c r="I9">
        <v>0</v>
      </c>
      <c r="J9">
        <v>0</v>
      </c>
      <c r="K9">
        <v>0</v>
      </c>
      <c r="L9">
        <v>0</v>
      </c>
      <c r="M9" t="s">
        <v>3499</v>
      </c>
      <c r="N9" t="s">
        <v>3477</v>
      </c>
      <c r="O9" t="s">
        <v>3500</v>
      </c>
      <c r="P9" t="s">
        <v>3468</v>
      </c>
      <c r="Q9" t="s">
        <v>3498</v>
      </c>
    </row>
    <row r="10" spans="1:17" x14ac:dyDescent="0.25">
      <c r="A10" t="s">
        <v>3501</v>
      </c>
      <c r="B10" t="s">
        <v>2155</v>
      </c>
      <c r="C10">
        <v>5</v>
      </c>
      <c r="D10">
        <v>3</v>
      </c>
      <c r="E10">
        <v>0</v>
      </c>
      <c r="F10">
        <v>0</v>
      </c>
      <c r="G10">
        <v>0</v>
      </c>
      <c r="H10">
        <v>0</v>
      </c>
      <c r="I10">
        <v>0</v>
      </c>
      <c r="J10">
        <v>0</v>
      </c>
      <c r="K10">
        <v>0</v>
      </c>
      <c r="L10">
        <v>2</v>
      </c>
      <c r="M10" t="s">
        <v>3502</v>
      </c>
      <c r="N10" t="s">
        <v>7543</v>
      </c>
      <c r="O10" t="s">
        <v>3503</v>
      </c>
      <c r="P10" t="s">
        <v>3468</v>
      </c>
      <c r="Q10" t="s">
        <v>3501</v>
      </c>
    </row>
    <row r="11" spans="1:17" x14ac:dyDescent="0.25">
      <c r="A11" t="s">
        <v>3504</v>
      </c>
      <c r="B11" t="s">
        <v>1295</v>
      </c>
      <c r="C11">
        <v>8</v>
      </c>
      <c r="D11">
        <v>3</v>
      </c>
      <c r="E11">
        <v>1</v>
      </c>
      <c r="F11">
        <v>1</v>
      </c>
      <c r="G11">
        <v>0</v>
      </c>
      <c r="H11">
        <v>0</v>
      </c>
      <c r="I11">
        <v>0</v>
      </c>
      <c r="J11">
        <v>0</v>
      </c>
      <c r="K11">
        <v>0</v>
      </c>
      <c r="L11">
        <v>0</v>
      </c>
      <c r="M11" t="s">
        <v>3505</v>
      </c>
      <c r="N11" t="s">
        <v>3506</v>
      </c>
      <c r="O11" t="s">
        <v>3507</v>
      </c>
      <c r="P11" t="s">
        <v>3468</v>
      </c>
      <c r="Q11" t="s">
        <v>3504</v>
      </c>
    </row>
    <row r="12" spans="1:17" x14ac:dyDescent="0.25">
      <c r="A12" t="s">
        <v>3508</v>
      </c>
      <c r="B12" t="s">
        <v>1323</v>
      </c>
      <c r="C12">
        <v>8</v>
      </c>
      <c r="D12">
        <v>3</v>
      </c>
      <c r="E12">
        <v>0</v>
      </c>
      <c r="F12">
        <v>1</v>
      </c>
      <c r="G12">
        <v>1</v>
      </c>
      <c r="H12">
        <v>0</v>
      </c>
      <c r="I12">
        <v>0</v>
      </c>
      <c r="J12">
        <v>0</v>
      </c>
      <c r="K12">
        <v>0</v>
      </c>
      <c r="L12">
        <v>0</v>
      </c>
      <c r="M12" t="s">
        <v>3509</v>
      </c>
      <c r="N12" t="s">
        <v>3510</v>
      </c>
      <c r="O12" t="s">
        <v>3511</v>
      </c>
      <c r="P12" t="s">
        <v>3468</v>
      </c>
      <c r="Q12" t="s">
        <v>3508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4"/>
  <sheetViews>
    <sheetView topLeftCell="A4" workbookViewId="0">
      <selection activeCell="D45" sqref="D45"/>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3512</v>
      </c>
      <c r="C1" t="s">
        <v>167</v>
      </c>
      <c r="D1" t="s">
        <v>3462</v>
      </c>
      <c r="E1" t="s">
        <v>3513</v>
      </c>
      <c r="F1" t="s">
        <v>3514</v>
      </c>
      <c r="G1" t="s">
        <v>3515</v>
      </c>
      <c r="H1" t="s">
        <v>3516</v>
      </c>
      <c r="I1" t="s">
        <v>171</v>
      </c>
      <c r="J1" t="s">
        <v>3517</v>
      </c>
    </row>
    <row r="2" spans="1:10" x14ac:dyDescent="0.25">
      <c r="A2" t="s">
        <v>3518</v>
      </c>
      <c r="B2" t="s">
        <v>3519</v>
      </c>
      <c r="C2" t="s">
        <v>3557</v>
      </c>
      <c r="D2" t="s">
        <v>3521</v>
      </c>
      <c r="E2" t="s">
        <v>3522</v>
      </c>
      <c r="F2" t="s">
        <v>497</v>
      </c>
      <c r="G2" t="s">
        <v>3523</v>
      </c>
      <c r="I2" t="s">
        <v>3524</v>
      </c>
      <c r="J2" t="s">
        <v>3450</v>
      </c>
    </row>
    <row r="3" spans="1:10" x14ac:dyDescent="0.25">
      <c r="A3" t="s">
        <v>3525</v>
      </c>
      <c r="B3" t="s">
        <v>41</v>
      </c>
      <c r="C3" t="s">
        <v>3526</v>
      </c>
      <c r="D3" t="s">
        <v>7521</v>
      </c>
      <c r="E3" t="s">
        <v>3527</v>
      </c>
      <c r="F3" t="s">
        <v>90</v>
      </c>
      <c r="G3" t="s">
        <v>3528</v>
      </c>
      <c r="I3" t="s">
        <v>3525</v>
      </c>
      <c r="J3" t="s">
        <v>3529</v>
      </c>
    </row>
    <row r="4" spans="1:10" x14ac:dyDescent="0.25">
      <c r="A4" t="s">
        <v>3530</v>
      </c>
      <c r="B4" t="s">
        <v>3531</v>
      </c>
      <c r="C4" t="s">
        <v>3532</v>
      </c>
      <c r="D4" t="s">
        <v>3533</v>
      </c>
      <c r="E4" t="s">
        <v>3534</v>
      </c>
      <c r="F4" t="s">
        <v>2934</v>
      </c>
      <c r="G4" t="s">
        <v>3535</v>
      </c>
      <c r="I4" t="s">
        <v>3536</v>
      </c>
      <c r="J4" t="s">
        <v>3537</v>
      </c>
    </row>
    <row r="5" spans="1:10" x14ac:dyDescent="0.25">
      <c r="A5" t="s">
        <v>3539</v>
      </c>
      <c r="B5" t="s">
        <v>3531</v>
      </c>
      <c r="C5" t="s">
        <v>3540</v>
      </c>
      <c r="D5" t="s">
        <v>3541</v>
      </c>
      <c r="E5" t="s">
        <v>3542</v>
      </c>
      <c r="F5" t="s">
        <v>1650</v>
      </c>
      <c r="G5" t="s">
        <v>3543</v>
      </c>
      <c r="I5" t="s">
        <v>3544</v>
      </c>
      <c r="J5" t="s">
        <v>3537</v>
      </c>
    </row>
    <row r="6" spans="1:10" x14ac:dyDescent="0.25">
      <c r="A6" t="s">
        <v>3545</v>
      </c>
      <c r="B6" t="s">
        <v>0</v>
      </c>
      <c r="C6" t="s">
        <v>3532</v>
      </c>
      <c r="D6" t="s">
        <v>3546</v>
      </c>
      <c r="E6" t="s">
        <v>3547</v>
      </c>
      <c r="F6" t="s">
        <v>160</v>
      </c>
      <c r="G6" t="s">
        <v>3548</v>
      </c>
      <c r="I6" t="s">
        <v>3549</v>
      </c>
      <c r="J6" t="s">
        <v>3450</v>
      </c>
    </row>
    <row r="7" spans="1:10" x14ac:dyDescent="0.25">
      <c r="A7" t="s">
        <v>3550</v>
      </c>
      <c r="B7" t="s">
        <v>3531</v>
      </c>
      <c r="C7" t="s">
        <v>3520</v>
      </c>
      <c r="D7" t="s">
        <v>3551</v>
      </c>
      <c r="E7" t="s">
        <v>3552</v>
      </c>
      <c r="F7" t="s">
        <v>2620</v>
      </c>
      <c r="G7" t="s">
        <v>3553</v>
      </c>
      <c r="I7" t="s">
        <v>3554</v>
      </c>
      <c r="J7" t="s">
        <v>3555</v>
      </c>
    </row>
    <row r="8" spans="1:10" x14ac:dyDescent="0.25">
      <c r="A8" t="s">
        <v>3556</v>
      </c>
      <c r="B8" t="s">
        <v>3519</v>
      </c>
      <c r="C8" t="s">
        <v>3557</v>
      </c>
      <c r="D8" t="s">
        <v>3558</v>
      </c>
      <c r="E8" t="s">
        <v>3559</v>
      </c>
      <c r="F8" t="s">
        <v>2620</v>
      </c>
      <c r="G8" t="s">
        <v>3560</v>
      </c>
      <c r="H8" t="s">
        <v>3561</v>
      </c>
      <c r="I8" t="s">
        <v>3562</v>
      </c>
      <c r="J8" t="s">
        <v>3563</v>
      </c>
    </row>
    <row r="9" spans="1:10" x14ac:dyDescent="0.25">
      <c r="A9" t="s">
        <v>3479</v>
      </c>
      <c r="B9" t="s">
        <v>3564</v>
      </c>
      <c r="C9" t="s">
        <v>3526</v>
      </c>
      <c r="D9" t="s">
        <v>3565</v>
      </c>
      <c r="E9" t="s">
        <v>3566</v>
      </c>
      <c r="F9" t="s">
        <v>90</v>
      </c>
      <c r="I9" t="s">
        <v>3567</v>
      </c>
      <c r="J9" t="s">
        <v>3450</v>
      </c>
    </row>
    <row r="10" spans="1:10" x14ac:dyDescent="0.25">
      <c r="A10" t="s">
        <v>3568</v>
      </c>
      <c r="B10" t="s">
        <v>41</v>
      </c>
      <c r="C10" t="s">
        <v>3569</v>
      </c>
      <c r="D10" t="s">
        <v>3570</v>
      </c>
      <c r="E10" t="s">
        <v>3571</v>
      </c>
      <c r="F10" t="s">
        <v>2620</v>
      </c>
      <c r="G10" t="s">
        <v>3572</v>
      </c>
      <c r="I10" t="s">
        <v>3573</v>
      </c>
      <c r="J10" t="s">
        <v>3574</v>
      </c>
    </row>
    <row r="11" spans="1:10" x14ac:dyDescent="0.25">
      <c r="A11" t="s">
        <v>3575</v>
      </c>
      <c r="B11" t="s">
        <v>3576</v>
      </c>
      <c r="C11" t="s">
        <v>3532</v>
      </c>
      <c r="D11" t="s">
        <v>3577</v>
      </c>
      <c r="E11" t="s">
        <v>3578</v>
      </c>
      <c r="F11" t="s">
        <v>90</v>
      </c>
      <c r="I11" t="s">
        <v>3579</v>
      </c>
      <c r="J11" t="s">
        <v>3580</v>
      </c>
    </row>
    <row r="12" spans="1:10" x14ac:dyDescent="0.25">
      <c r="A12" t="s">
        <v>7414</v>
      </c>
      <c r="B12" t="s">
        <v>3519</v>
      </c>
      <c r="C12" t="s">
        <v>3532</v>
      </c>
      <c r="D12" t="s">
        <v>7422</v>
      </c>
      <c r="E12" t="s">
        <v>7428</v>
      </c>
      <c r="F12" t="s">
        <v>90</v>
      </c>
      <c r="G12" t="s">
        <v>7415</v>
      </c>
      <c r="H12" t="s">
        <v>3688</v>
      </c>
      <c r="I12" t="s">
        <v>7414</v>
      </c>
      <c r="J12" t="s">
        <v>3606</v>
      </c>
    </row>
    <row r="13" spans="1:10" x14ac:dyDescent="0.25">
      <c r="A13" t="s">
        <v>3581</v>
      </c>
      <c r="B13" t="s">
        <v>3531</v>
      </c>
      <c r="C13" t="s">
        <v>3582</v>
      </c>
      <c r="D13" t="s">
        <v>3583</v>
      </c>
      <c r="E13" t="s">
        <v>3584</v>
      </c>
      <c r="F13" t="s">
        <v>160</v>
      </c>
      <c r="G13" t="s">
        <v>3585</v>
      </c>
      <c r="I13" t="s">
        <v>3586</v>
      </c>
      <c r="J13" t="s">
        <v>3450</v>
      </c>
    </row>
    <row r="14" spans="1:10" x14ac:dyDescent="0.25">
      <c r="A14" t="s">
        <v>3587</v>
      </c>
      <c r="B14" t="s">
        <v>3531</v>
      </c>
      <c r="C14" t="s">
        <v>3540</v>
      </c>
      <c r="D14" t="s">
        <v>3588</v>
      </c>
      <c r="E14" t="s">
        <v>3589</v>
      </c>
      <c r="F14" t="s">
        <v>2805</v>
      </c>
      <c r="G14" t="s">
        <v>3590</v>
      </c>
      <c r="I14" t="s">
        <v>3587</v>
      </c>
      <c r="J14" t="s">
        <v>3537</v>
      </c>
    </row>
    <row r="15" spans="1:10" x14ac:dyDescent="0.25">
      <c r="A15" t="s">
        <v>3591</v>
      </c>
      <c r="B15" t="s">
        <v>3531</v>
      </c>
      <c r="C15" t="s">
        <v>3526</v>
      </c>
      <c r="D15" t="s">
        <v>3592</v>
      </c>
      <c r="E15" t="s">
        <v>3593</v>
      </c>
      <c r="F15" t="s">
        <v>2805</v>
      </c>
      <c r="G15" t="s">
        <v>3594</v>
      </c>
      <c r="I15" t="s">
        <v>3591</v>
      </c>
      <c r="J15" t="s">
        <v>3595</v>
      </c>
    </row>
    <row r="16" spans="1:10" x14ac:dyDescent="0.25">
      <c r="A16" t="s">
        <v>3596</v>
      </c>
      <c r="B16" t="s">
        <v>41</v>
      </c>
      <c r="C16" t="s">
        <v>3597</v>
      </c>
      <c r="D16" t="s">
        <v>3598</v>
      </c>
      <c r="E16" t="s">
        <v>3599</v>
      </c>
      <c r="F16" t="s">
        <v>2620</v>
      </c>
      <c r="G16" t="s">
        <v>315</v>
      </c>
      <c r="I16" t="s">
        <v>3596</v>
      </c>
      <c r="J16" t="s">
        <v>3600</v>
      </c>
    </row>
    <row r="17" spans="1:10" x14ac:dyDescent="0.25">
      <c r="A17" t="s">
        <v>3484</v>
      </c>
      <c r="B17" t="s">
        <v>3531</v>
      </c>
      <c r="C17" t="s">
        <v>3597</v>
      </c>
      <c r="D17" t="s">
        <v>3472</v>
      </c>
      <c r="E17" t="s">
        <v>3601</v>
      </c>
      <c r="F17" t="s">
        <v>160</v>
      </c>
      <c r="G17" t="s">
        <v>315</v>
      </c>
      <c r="I17" t="s">
        <v>3484</v>
      </c>
      <c r="J17" t="s">
        <v>3537</v>
      </c>
    </row>
    <row r="18" spans="1:10" x14ac:dyDescent="0.25">
      <c r="A18" t="s">
        <v>3602</v>
      </c>
      <c r="B18" t="s">
        <v>3519</v>
      </c>
      <c r="C18" t="s">
        <v>3540</v>
      </c>
      <c r="D18" t="s">
        <v>3603</v>
      </c>
      <c r="E18" t="s">
        <v>3604</v>
      </c>
      <c r="F18" t="s">
        <v>2620</v>
      </c>
      <c r="I18" t="s">
        <v>3605</v>
      </c>
      <c r="J18" t="s">
        <v>3606</v>
      </c>
    </row>
    <row r="19" spans="1:10" x14ac:dyDescent="0.25">
      <c r="A19" t="s">
        <v>3607</v>
      </c>
      <c r="B19" t="s">
        <v>41</v>
      </c>
      <c r="C19" t="s">
        <v>3526</v>
      </c>
      <c r="D19" t="s">
        <v>3608</v>
      </c>
      <c r="E19" t="s">
        <v>3609</v>
      </c>
      <c r="F19" t="s">
        <v>1650</v>
      </c>
      <c r="G19" t="s">
        <v>3610</v>
      </c>
      <c r="I19" t="s">
        <v>3611</v>
      </c>
      <c r="J19" t="s">
        <v>3595</v>
      </c>
    </row>
    <row r="20" spans="1:10" x14ac:dyDescent="0.25">
      <c r="A20" t="s">
        <v>131</v>
      </c>
      <c r="B20" t="s">
        <v>0</v>
      </c>
      <c r="C20" t="s">
        <v>3540</v>
      </c>
      <c r="D20" t="s">
        <v>3612</v>
      </c>
      <c r="E20" t="s">
        <v>3613</v>
      </c>
      <c r="F20" t="s">
        <v>90</v>
      </c>
      <c r="G20" t="s">
        <v>3614</v>
      </c>
      <c r="I20" t="s">
        <v>132</v>
      </c>
      <c r="J20" t="s">
        <v>3595</v>
      </c>
    </row>
    <row r="21" spans="1:10" x14ac:dyDescent="0.25">
      <c r="A21" t="s">
        <v>3615</v>
      </c>
      <c r="B21" t="s">
        <v>41</v>
      </c>
      <c r="C21" t="s">
        <v>3532</v>
      </c>
      <c r="D21" t="s">
        <v>3616</v>
      </c>
      <c r="E21" t="s">
        <v>3617</v>
      </c>
      <c r="F21" t="s">
        <v>2805</v>
      </c>
      <c r="G21" t="s">
        <v>3618</v>
      </c>
      <c r="I21" t="s">
        <v>3619</v>
      </c>
      <c r="J21" t="s">
        <v>3450</v>
      </c>
    </row>
    <row r="22" spans="1:10" x14ac:dyDescent="0.25">
      <c r="A22" t="s">
        <v>3620</v>
      </c>
      <c r="B22" t="s">
        <v>3531</v>
      </c>
      <c r="C22" t="s">
        <v>3540</v>
      </c>
      <c r="D22" t="s">
        <v>7681</v>
      </c>
      <c r="E22" t="s">
        <v>3621</v>
      </c>
      <c r="F22" t="s">
        <v>2620</v>
      </c>
      <c r="G22" t="s">
        <v>3622</v>
      </c>
      <c r="I22" t="s">
        <v>3623</v>
      </c>
      <c r="J22" t="s">
        <v>3563</v>
      </c>
    </row>
    <row r="23" spans="1:10" x14ac:dyDescent="0.25">
      <c r="A23" t="s">
        <v>3624</v>
      </c>
      <c r="B23" t="s">
        <v>0</v>
      </c>
      <c r="C23" t="s">
        <v>3625</v>
      </c>
      <c r="D23" t="s">
        <v>3626</v>
      </c>
      <c r="E23" t="s">
        <v>3627</v>
      </c>
      <c r="F23" t="s">
        <v>160</v>
      </c>
      <c r="G23" t="s">
        <v>3548</v>
      </c>
      <c r="I23" t="s">
        <v>3628</v>
      </c>
      <c r="J23" t="s">
        <v>3595</v>
      </c>
    </row>
    <row r="24" spans="1:10" x14ac:dyDescent="0.25">
      <c r="A24" t="s">
        <v>3629</v>
      </c>
      <c r="B24" t="s">
        <v>3531</v>
      </c>
      <c r="C24" t="s">
        <v>3540</v>
      </c>
      <c r="D24" t="s">
        <v>3630</v>
      </c>
      <c r="E24" t="s">
        <v>3631</v>
      </c>
      <c r="F24" t="s">
        <v>497</v>
      </c>
      <c r="G24" t="s">
        <v>3560</v>
      </c>
      <c r="I24" t="s">
        <v>3629</v>
      </c>
      <c r="J24" t="s">
        <v>3600</v>
      </c>
    </row>
    <row r="25" spans="1:10" x14ac:dyDescent="0.25">
      <c r="A25" t="s">
        <v>3632</v>
      </c>
      <c r="B25" t="s">
        <v>3576</v>
      </c>
      <c r="C25" t="s">
        <v>3540</v>
      </c>
      <c r="D25" t="s">
        <v>3633</v>
      </c>
      <c r="E25" t="s">
        <v>3634</v>
      </c>
      <c r="F25" t="s">
        <v>38</v>
      </c>
      <c r="G25" t="s">
        <v>3635</v>
      </c>
      <c r="I25" t="s">
        <v>3636</v>
      </c>
      <c r="J25" t="s">
        <v>3580</v>
      </c>
    </row>
    <row r="26" spans="1:10" x14ac:dyDescent="0.25">
      <c r="A26" t="s">
        <v>3637</v>
      </c>
      <c r="B26" t="s">
        <v>3531</v>
      </c>
      <c r="C26" t="s">
        <v>3569</v>
      </c>
      <c r="D26" t="s">
        <v>3638</v>
      </c>
      <c r="E26" t="s">
        <v>3639</v>
      </c>
      <c r="F26" t="s">
        <v>160</v>
      </c>
      <c r="G26" t="s">
        <v>3640</v>
      </c>
      <c r="I26" t="s">
        <v>3641</v>
      </c>
      <c r="J26" t="s">
        <v>3574</v>
      </c>
    </row>
    <row r="27" spans="1:10" x14ac:dyDescent="0.25">
      <c r="A27" t="s">
        <v>3642</v>
      </c>
      <c r="B27" t="s">
        <v>41</v>
      </c>
      <c r="C27" t="s">
        <v>3540</v>
      </c>
      <c r="D27" t="s">
        <v>3643</v>
      </c>
      <c r="E27" t="s">
        <v>3644</v>
      </c>
      <c r="F27" t="s">
        <v>1650</v>
      </c>
      <c r="G27" t="s">
        <v>3645</v>
      </c>
      <c r="I27" t="s">
        <v>3646</v>
      </c>
      <c r="J27" t="s">
        <v>3537</v>
      </c>
    </row>
    <row r="28" spans="1:10" x14ac:dyDescent="0.25">
      <c r="A28" t="s">
        <v>3647</v>
      </c>
      <c r="B28" t="s">
        <v>41</v>
      </c>
      <c r="C28" t="s">
        <v>3532</v>
      </c>
      <c r="D28" t="s">
        <v>3648</v>
      </c>
      <c r="E28" t="s">
        <v>3649</v>
      </c>
      <c r="F28" t="s">
        <v>160</v>
      </c>
      <c r="G28" t="s">
        <v>264</v>
      </c>
      <c r="I28" t="s">
        <v>3647</v>
      </c>
      <c r="J28" t="s">
        <v>3450</v>
      </c>
    </row>
    <row r="29" spans="1:10" x14ac:dyDescent="0.25">
      <c r="A29" t="s">
        <v>3650</v>
      </c>
      <c r="B29" t="s">
        <v>3519</v>
      </c>
      <c r="C29" t="s">
        <v>3532</v>
      </c>
      <c r="D29" t="s">
        <v>3651</v>
      </c>
      <c r="E29" t="s">
        <v>3652</v>
      </c>
      <c r="F29" t="s">
        <v>90</v>
      </c>
      <c r="G29" t="s">
        <v>3653</v>
      </c>
      <c r="I29" t="s">
        <v>3650</v>
      </c>
      <c r="J29" t="s">
        <v>3450</v>
      </c>
    </row>
    <row r="30" spans="1:10" x14ac:dyDescent="0.25">
      <c r="A30" t="s">
        <v>3654</v>
      </c>
      <c r="B30" t="s">
        <v>3531</v>
      </c>
      <c r="C30" t="s">
        <v>3526</v>
      </c>
      <c r="D30" t="s">
        <v>3655</v>
      </c>
      <c r="E30" t="s">
        <v>3656</v>
      </c>
      <c r="F30" t="s">
        <v>90</v>
      </c>
      <c r="G30" t="s">
        <v>3657</v>
      </c>
      <c r="I30" t="s">
        <v>3658</v>
      </c>
      <c r="J30" t="s">
        <v>3450</v>
      </c>
    </row>
    <row r="31" spans="1:10" x14ac:dyDescent="0.25">
      <c r="A31" t="s">
        <v>3659</v>
      </c>
      <c r="B31" t="s">
        <v>3531</v>
      </c>
      <c r="C31" t="s">
        <v>3540</v>
      </c>
      <c r="D31" t="s">
        <v>3660</v>
      </c>
      <c r="E31" t="s">
        <v>3661</v>
      </c>
      <c r="F31" t="s">
        <v>493</v>
      </c>
      <c r="G31" t="s">
        <v>3662</v>
      </c>
      <c r="I31" t="s">
        <v>3663</v>
      </c>
      <c r="J31" t="s">
        <v>3600</v>
      </c>
    </row>
    <row r="32" spans="1:10" x14ac:dyDescent="0.25">
      <c r="A32" t="s">
        <v>3664</v>
      </c>
      <c r="B32" t="s">
        <v>41</v>
      </c>
      <c r="C32" t="s">
        <v>3597</v>
      </c>
      <c r="D32" t="s">
        <v>3665</v>
      </c>
      <c r="E32" t="s">
        <v>3666</v>
      </c>
      <c r="F32" t="s">
        <v>160</v>
      </c>
      <c r="G32" t="s">
        <v>3667</v>
      </c>
      <c r="I32" t="s">
        <v>3668</v>
      </c>
      <c r="J32" t="s">
        <v>3606</v>
      </c>
    </row>
    <row r="33" spans="1:10" x14ac:dyDescent="0.25">
      <c r="A33" t="s">
        <v>3669</v>
      </c>
      <c r="B33" t="s">
        <v>41</v>
      </c>
      <c r="C33" t="s">
        <v>3532</v>
      </c>
      <c r="D33" t="s">
        <v>3670</v>
      </c>
      <c r="E33" t="s">
        <v>3671</v>
      </c>
      <c r="F33" t="s">
        <v>160</v>
      </c>
      <c r="G33" t="s">
        <v>3672</v>
      </c>
      <c r="I33" t="s">
        <v>3673</v>
      </c>
      <c r="J33" t="s">
        <v>3606</v>
      </c>
    </row>
    <row r="34" spans="1:10" x14ac:dyDescent="0.25">
      <c r="A34" t="s">
        <v>3674</v>
      </c>
      <c r="B34" t="s">
        <v>41</v>
      </c>
      <c r="C34" t="s">
        <v>3675</v>
      </c>
      <c r="D34" t="s">
        <v>3676</v>
      </c>
      <c r="E34" t="s">
        <v>3677</v>
      </c>
      <c r="F34" t="s">
        <v>90</v>
      </c>
      <c r="G34" t="s">
        <v>3678</v>
      </c>
      <c r="I34" t="s">
        <v>3679</v>
      </c>
      <c r="J34" t="s">
        <v>3537</v>
      </c>
    </row>
    <row r="35" spans="1:10" x14ac:dyDescent="0.25">
      <c r="A35" t="s">
        <v>4798</v>
      </c>
      <c r="B35" t="s">
        <v>3519</v>
      </c>
      <c r="C35" t="s">
        <v>3532</v>
      </c>
      <c r="D35" t="s">
        <v>7424</v>
      </c>
      <c r="E35" t="s">
        <v>7429</v>
      </c>
      <c r="F35" t="s">
        <v>90</v>
      </c>
      <c r="G35" t="s">
        <v>4706</v>
      </c>
      <c r="I35" t="s">
        <v>4801</v>
      </c>
      <c r="J35" t="s">
        <v>3595</v>
      </c>
    </row>
    <row r="36" spans="1:10" x14ac:dyDescent="0.25">
      <c r="A36" t="s">
        <v>3680</v>
      </c>
      <c r="B36" t="s">
        <v>3576</v>
      </c>
      <c r="C36" t="s">
        <v>3540</v>
      </c>
      <c r="D36" t="s">
        <v>3681</v>
      </c>
      <c r="E36" t="s">
        <v>3682</v>
      </c>
      <c r="F36" t="s">
        <v>90</v>
      </c>
      <c r="G36" t="s">
        <v>3678</v>
      </c>
      <c r="I36" t="s">
        <v>3683</v>
      </c>
      <c r="J36" t="s">
        <v>3600</v>
      </c>
    </row>
    <row r="37" spans="1:10" x14ac:dyDescent="0.25">
      <c r="A37" t="s">
        <v>3684</v>
      </c>
      <c r="B37" t="s">
        <v>3531</v>
      </c>
      <c r="C37" t="s">
        <v>3540</v>
      </c>
      <c r="D37" t="s">
        <v>3685</v>
      </c>
      <c r="E37" t="s">
        <v>3686</v>
      </c>
      <c r="F37" t="s">
        <v>2620</v>
      </c>
      <c r="G37" t="s">
        <v>3687</v>
      </c>
      <c r="H37" t="s">
        <v>3688</v>
      </c>
      <c r="I37" t="s">
        <v>3689</v>
      </c>
      <c r="J37" t="s">
        <v>3595</v>
      </c>
    </row>
    <row r="38" spans="1:10" x14ac:dyDescent="0.25">
      <c r="A38" t="s">
        <v>3496</v>
      </c>
      <c r="B38" t="s">
        <v>3531</v>
      </c>
      <c r="C38" t="s">
        <v>3526</v>
      </c>
      <c r="D38" t="s">
        <v>3565</v>
      </c>
      <c r="E38" t="s">
        <v>3566</v>
      </c>
      <c r="F38" t="s">
        <v>2805</v>
      </c>
      <c r="G38" t="s">
        <v>3618</v>
      </c>
      <c r="I38" t="s">
        <v>3496</v>
      </c>
      <c r="J38" t="s">
        <v>3450</v>
      </c>
    </row>
    <row r="39" spans="1:10" x14ac:dyDescent="0.25">
      <c r="A39" t="s">
        <v>3690</v>
      </c>
      <c r="B39" t="s">
        <v>41</v>
      </c>
      <c r="C39" t="s">
        <v>3691</v>
      </c>
      <c r="D39" t="s">
        <v>3692</v>
      </c>
      <c r="E39" t="s">
        <v>3693</v>
      </c>
      <c r="F39" t="s">
        <v>2620</v>
      </c>
      <c r="G39" t="s">
        <v>3694</v>
      </c>
      <c r="H39" t="s">
        <v>3688</v>
      </c>
      <c r="I39" t="s">
        <v>3695</v>
      </c>
      <c r="J39" t="s">
        <v>3600</v>
      </c>
    </row>
    <row r="40" spans="1:10" x14ac:dyDescent="0.25">
      <c r="A40" t="s">
        <v>7416</v>
      </c>
      <c r="B40" t="s">
        <v>3531</v>
      </c>
      <c r="C40" t="s">
        <v>3526</v>
      </c>
      <c r="D40" t="s">
        <v>7417</v>
      </c>
      <c r="E40" t="s">
        <v>7430</v>
      </c>
      <c r="F40" t="s">
        <v>38</v>
      </c>
      <c r="I40" t="s">
        <v>7418</v>
      </c>
      <c r="J40" t="s">
        <v>3574</v>
      </c>
    </row>
    <row r="41" spans="1:10" x14ac:dyDescent="0.25">
      <c r="A41" t="s">
        <v>7425</v>
      </c>
      <c r="B41" t="s">
        <v>3531</v>
      </c>
      <c r="C41" t="s">
        <v>3526</v>
      </c>
      <c r="D41" t="s">
        <v>7427</v>
      </c>
      <c r="E41" t="s">
        <v>7431</v>
      </c>
      <c r="F41" t="s">
        <v>38</v>
      </c>
      <c r="I41" t="s">
        <v>7426</v>
      </c>
      <c r="J41" t="s">
        <v>4014</v>
      </c>
    </row>
    <row r="42" spans="1:10" x14ac:dyDescent="0.25">
      <c r="A42" t="s">
        <v>3701</v>
      </c>
      <c r="B42" t="s">
        <v>3576</v>
      </c>
      <c r="C42" t="s">
        <v>3540</v>
      </c>
      <c r="D42" t="s">
        <v>3702</v>
      </c>
      <c r="E42" t="s">
        <v>3703</v>
      </c>
      <c r="F42" t="s">
        <v>90</v>
      </c>
      <c r="I42" t="s">
        <v>3704</v>
      </c>
      <c r="J42" t="s">
        <v>3600</v>
      </c>
    </row>
    <row r="43" spans="1:10" x14ac:dyDescent="0.25">
      <c r="A43" t="s">
        <v>3705</v>
      </c>
      <c r="B43" t="s">
        <v>3576</v>
      </c>
      <c r="C43" t="s">
        <v>3540</v>
      </c>
      <c r="D43" t="s">
        <v>3706</v>
      </c>
      <c r="E43" t="s">
        <v>3707</v>
      </c>
      <c r="F43" t="s">
        <v>90</v>
      </c>
      <c r="G43" t="s">
        <v>3708</v>
      </c>
      <c r="I43" t="s">
        <v>3709</v>
      </c>
      <c r="J43" t="s">
        <v>3580</v>
      </c>
    </row>
    <row r="44" spans="1:10" x14ac:dyDescent="0.25">
      <c r="A44" t="s">
        <v>3710</v>
      </c>
      <c r="B44" t="s">
        <v>3531</v>
      </c>
      <c r="C44" t="s">
        <v>3526</v>
      </c>
      <c r="D44" t="s">
        <v>3711</v>
      </c>
      <c r="E44" t="s">
        <v>3712</v>
      </c>
      <c r="F44" t="s">
        <v>497</v>
      </c>
      <c r="G44" t="s">
        <v>3713</v>
      </c>
      <c r="I44" t="s">
        <v>3710</v>
      </c>
      <c r="J44" t="s">
        <v>3537</v>
      </c>
    </row>
    <row r="45" spans="1:10" x14ac:dyDescent="0.25">
      <c r="A45" t="s">
        <v>3714</v>
      </c>
      <c r="B45" t="s">
        <v>3519</v>
      </c>
      <c r="C45" t="s">
        <v>3597</v>
      </c>
      <c r="D45" t="s">
        <v>3715</v>
      </c>
      <c r="E45" t="s">
        <v>3716</v>
      </c>
      <c r="F45" t="s">
        <v>1650</v>
      </c>
      <c r="G45" t="s">
        <v>3717</v>
      </c>
      <c r="I45" t="s">
        <v>3718</v>
      </c>
      <c r="J45" t="s">
        <v>3600</v>
      </c>
    </row>
    <row r="46" spans="1:10" x14ac:dyDescent="0.25">
      <c r="A46" t="s">
        <v>3719</v>
      </c>
      <c r="B46" t="s">
        <v>3531</v>
      </c>
      <c r="C46" t="s">
        <v>3520</v>
      </c>
      <c r="D46" t="s">
        <v>7682</v>
      </c>
      <c r="E46" t="s">
        <v>3720</v>
      </c>
      <c r="F46" t="s">
        <v>2620</v>
      </c>
      <c r="G46" t="s">
        <v>3721</v>
      </c>
      <c r="I46" t="s">
        <v>3722</v>
      </c>
      <c r="J46" t="s">
        <v>3555</v>
      </c>
    </row>
    <row r="47" spans="1:10" x14ac:dyDescent="0.25">
      <c r="A47" t="s">
        <v>3723</v>
      </c>
      <c r="B47" t="s">
        <v>3531</v>
      </c>
      <c r="C47" t="s">
        <v>3532</v>
      </c>
      <c r="D47" t="s">
        <v>3724</v>
      </c>
      <c r="E47" t="s">
        <v>3725</v>
      </c>
      <c r="F47" t="s">
        <v>160</v>
      </c>
      <c r="G47" t="s">
        <v>3708</v>
      </c>
      <c r="H47" t="s">
        <v>3726</v>
      </c>
      <c r="I47" t="s">
        <v>3723</v>
      </c>
      <c r="J47" t="s">
        <v>3727</v>
      </c>
    </row>
    <row r="48" spans="1:10" x14ac:dyDescent="0.25">
      <c r="A48" t="s">
        <v>3728</v>
      </c>
      <c r="B48" t="s">
        <v>3531</v>
      </c>
      <c r="C48" t="s">
        <v>3557</v>
      </c>
      <c r="D48" t="s">
        <v>3729</v>
      </c>
      <c r="E48" t="s">
        <v>3730</v>
      </c>
      <c r="F48" t="s">
        <v>160</v>
      </c>
      <c r="G48" t="s">
        <v>3731</v>
      </c>
      <c r="H48" t="s">
        <v>3561</v>
      </c>
      <c r="I48" t="s">
        <v>3732</v>
      </c>
      <c r="J48" t="s">
        <v>3537</v>
      </c>
    </row>
    <row r="49" spans="1:10" x14ac:dyDescent="0.25">
      <c r="A49" t="s">
        <v>3733</v>
      </c>
      <c r="B49" t="s">
        <v>3531</v>
      </c>
      <c r="C49" t="s">
        <v>3540</v>
      </c>
      <c r="D49" t="s">
        <v>3734</v>
      </c>
      <c r="E49" t="s">
        <v>3735</v>
      </c>
      <c r="F49" t="s">
        <v>2620</v>
      </c>
      <c r="H49" t="s">
        <v>3688</v>
      </c>
      <c r="I49" t="s">
        <v>3736</v>
      </c>
      <c r="J49" t="s">
        <v>3537</v>
      </c>
    </row>
    <row r="50" spans="1:10" x14ac:dyDescent="0.25">
      <c r="A50" t="s">
        <v>3737</v>
      </c>
      <c r="B50" t="s">
        <v>3531</v>
      </c>
      <c r="C50" t="s">
        <v>3526</v>
      </c>
      <c r="D50" t="s">
        <v>3738</v>
      </c>
      <c r="E50" t="s">
        <v>3739</v>
      </c>
      <c r="F50" t="s">
        <v>553</v>
      </c>
      <c r="G50" t="s">
        <v>3740</v>
      </c>
      <c r="I50" t="s">
        <v>3741</v>
      </c>
      <c r="J50" t="s">
        <v>3595</v>
      </c>
    </row>
    <row r="51" spans="1:10" x14ac:dyDescent="0.25">
      <c r="A51" t="s">
        <v>3742</v>
      </c>
      <c r="B51" t="s">
        <v>41</v>
      </c>
      <c r="C51" t="s">
        <v>3675</v>
      </c>
      <c r="D51" t="s">
        <v>3743</v>
      </c>
      <c r="E51" t="s">
        <v>3744</v>
      </c>
      <c r="F51" t="s">
        <v>90</v>
      </c>
      <c r="I51" t="s">
        <v>3742</v>
      </c>
      <c r="J51" t="s">
        <v>3537</v>
      </c>
    </row>
    <row r="52" spans="1:10" x14ac:dyDescent="0.25">
      <c r="A52" t="s">
        <v>3745</v>
      </c>
      <c r="B52" t="s">
        <v>3746</v>
      </c>
      <c r="C52" t="s">
        <v>3697</v>
      </c>
      <c r="D52" t="s">
        <v>3747</v>
      </c>
      <c r="E52" t="s">
        <v>3748</v>
      </c>
      <c r="F52" t="s">
        <v>1796</v>
      </c>
      <c r="G52" t="s">
        <v>3749</v>
      </c>
      <c r="I52" t="s">
        <v>3750</v>
      </c>
      <c r="J52" t="s">
        <v>3595</v>
      </c>
    </row>
    <row r="53" spans="1:10" x14ac:dyDescent="0.25">
      <c r="A53" t="s">
        <v>7419</v>
      </c>
      <c r="B53" t="s">
        <v>3531</v>
      </c>
      <c r="C53" t="s">
        <v>3540</v>
      </c>
      <c r="D53" t="s">
        <v>7421</v>
      </c>
      <c r="E53" t="s">
        <v>7432</v>
      </c>
      <c r="F53" t="s">
        <v>90</v>
      </c>
      <c r="G53" t="s">
        <v>7423</v>
      </c>
      <c r="I53" t="s">
        <v>7420</v>
      </c>
      <c r="J53" t="s">
        <v>3606</v>
      </c>
    </row>
    <row r="54" spans="1:10" x14ac:dyDescent="0.25">
      <c r="A54" t="s">
        <v>3751</v>
      </c>
      <c r="B54" t="s">
        <v>41</v>
      </c>
      <c r="C54" t="s">
        <v>3691</v>
      </c>
      <c r="D54" t="s">
        <v>3752</v>
      </c>
      <c r="E54" t="s">
        <v>3753</v>
      </c>
      <c r="F54" t="s">
        <v>2620</v>
      </c>
      <c r="G54" t="s">
        <v>3754</v>
      </c>
      <c r="I54" t="s">
        <v>3755</v>
      </c>
      <c r="J54" t="s">
        <v>3595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1"/>
  <sheetViews>
    <sheetView workbookViewId="0">
      <selection activeCell="E44" sqref="E4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29.85546875" bestFit="1" customWidth="1"/>
    <col min="11" max="11" width="15.7109375" bestFit="1" customWidth="1"/>
    <col min="12" max="12" width="16.5703125" bestFit="1" customWidth="1"/>
  </cols>
  <sheetData>
    <row r="1" spans="1:12" x14ac:dyDescent="0.25">
      <c r="A1" t="s">
        <v>165</v>
      </c>
      <c r="B1" t="s">
        <v>167</v>
      </c>
      <c r="C1" t="s">
        <v>3756</v>
      </c>
      <c r="D1" t="s">
        <v>3757</v>
      </c>
      <c r="E1" t="s">
        <v>1</v>
      </c>
      <c r="F1" t="s">
        <v>3450</v>
      </c>
      <c r="G1" t="s">
        <v>3758</v>
      </c>
      <c r="H1" t="s">
        <v>3759</v>
      </c>
      <c r="I1" t="s">
        <v>3760</v>
      </c>
      <c r="J1" t="s">
        <v>3761</v>
      </c>
      <c r="K1" t="s">
        <v>171</v>
      </c>
      <c r="L1" t="s">
        <v>3762</v>
      </c>
    </row>
    <row r="2" spans="1:12" x14ac:dyDescent="0.25">
      <c r="A2" t="s">
        <v>3763</v>
      </c>
      <c r="B2" t="s">
        <v>176</v>
      </c>
      <c r="C2" t="s">
        <v>3764</v>
      </c>
      <c r="D2" t="s">
        <v>3765</v>
      </c>
      <c r="E2" t="s">
        <v>160</v>
      </c>
      <c r="F2">
        <v>1</v>
      </c>
      <c r="G2">
        <v>1</v>
      </c>
      <c r="H2" t="s">
        <v>3766</v>
      </c>
      <c r="I2" t="s">
        <v>3767</v>
      </c>
      <c r="J2" t="s">
        <v>3468</v>
      </c>
      <c r="K2" t="s">
        <v>3768</v>
      </c>
      <c r="L2" t="s">
        <v>3769</v>
      </c>
    </row>
    <row r="3" spans="1:12" x14ac:dyDescent="0.25">
      <c r="A3" t="s">
        <v>3770</v>
      </c>
      <c r="B3" t="s">
        <v>176</v>
      </c>
      <c r="C3" t="s">
        <v>3764</v>
      </c>
      <c r="D3" t="s">
        <v>3765</v>
      </c>
      <c r="E3" t="s">
        <v>497</v>
      </c>
      <c r="F3">
        <v>1</v>
      </c>
      <c r="G3">
        <v>1</v>
      </c>
      <c r="H3" t="s">
        <v>3766</v>
      </c>
      <c r="I3" t="s">
        <v>3771</v>
      </c>
      <c r="J3" t="s">
        <v>3468</v>
      </c>
      <c r="K3" t="s">
        <v>3772</v>
      </c>
      <c r="L3" t="s">
        <v>3523</v>
      </c>
    </row>
    <row r="4" spans="1:12" x14ac:dyDescent="0.25">
      <c r="A4" t="s">
        <v>7409</v>
      </c>
      <c r="B4" t="s">
        <v>176</v>
      </c>
      <c r="C4" t="s">
        <v>3764</v>
      </c>
      <c r="D4" t="s">
        <v>3765</v>
      </c>
      <c r="E4" t="s">
        <v>2174</v>
      </c>
      <c r="F4">
        <v>1</v>
      </c>
      <c r="G4">
        <v>1</v>
      </c>
      <c r="H4" t="s">
        <v>3774</v>
      </c>
      <c r="I4" t="s">
        <v>7410</v>
      </c>
      <c r="J4" t="s">
        <v>3468</v>
      </c>
      <c r="K4" t="s">
        <v>7409</v>
      </c>
      <c r="L4" t="s">
        <v>7411</v>
      </c>
    </row>
    <row r="5" spans="1:12" x14ac:dyDescent="0.25">
      <c r="A5" t="s">
        <v>3773</v>
      </c>
      <c r="B5" t="s">
        <v>176</v>
      </c>
      <c r="C5" t="s">
        <v>3764</v>
      </c>
      <c r="D5" t="s">
        <v>3765</v>
      </c>
      <c r="E5" t="s">
        <v>2620</v>
      </c>
      <c r="F5">
        <v>1</v>
      </c>
      <c r="G5">
        <v>1</v>
      </c>
      <c r="H5" t="s">
        <v>3774</v>
      </c>
      <c r="I5" t="s">
        <v>3775</v>
      </c>
      <c r="J5" t="s">
        <v>7498</v>
      </c>
      <c r="K5" t="s">
        <v>3776</v>
      </c>
      <c r="L5" t="s">
        <v>3694</v>
      </c>
    </row>
    <row r="6" spans="1:12" x14ac:dyDescent="0.25">
      <c r="A6" t="s">
        <v>3777</v>
      </c>
      <c r="B6" t="s">
        <v>176</v>
      </c>
      <c r="C6" t="s">
        <v>3764</v>
      </c>
      <c r="D6" t="s">
        <v>3765</v>
      </c>
      <c r="E6" t="s">
        <v>1047</v>
      </c>
      <c r="F6">
        <v>1</v>
      </c>
      <c r="G6">
        <v>1</v>
      </c>
      <c r="H6" t="s">
        <v>3778</v>
      </c>
      <c r="I6" t="s">
        <v>3779</v>
      </c>
      <c r="J6" t="s">
        <v>3468</v>
      </c>
      <c r="K6" t="s">
        <v>3780</v>
      </c>
    </row>
    <row r="7" spans="1:12" x14ac:dyDescent="0.25">
      <c r="A7" t="s">
        <v>3781</v>
      </c>
      <c r="B7" t="s">
        <v>176</v>
      </c>
      <c r="C7" t="s">
        <v>3764</v>
      </c>
      <c r="D7" t="s">
        <v>3765</v>
      </c>
      <c r="E7" t="s">
        <v>1753</v>
      </c>
      <c r="F7">
        <v>1</v>
      </c>
      <c r="G7">
        <v>1</v>
      </c>
      <c r="H7" t="s">
        <v>3774</v>
      </c>
      <c r="I7" t="s">
        <v>3782</v>
      </c>
      <c r="J7" t="s">
        <v>3468</v>
      </c>
      <c r="K7" t="s">
        <v>3783</v>
      </c>
    </row>
    <row r="8" spans="1:12" x14ac:dyDescent="0.25">
      <c r="A8" t="s">
        <v>3784</v>
      </c>
      <c r="B8" t="s">
        <v>176</v>
      </c>
      <c r="C8" t="s">
        <v>3764</v>
      </c>
      <c r="D8" t="s">
        <v>3765</v>
      </c>
      <c r="E8" t="s">
        <v>1295</v>
      </c>
      <c r="F8">
        <v>1</v>
      </c>
      <c r="G8">
        <v>1</v>
      </c>
      <c r="H8" t="s">
        <v>3766</v>
      </c>
      <c r="I8" t="s">
        <v>3785</v>
      </c>
      <c r="J8" t="s">
        <v>3468</v>
      </c>
      <c r="K8" t="s">
        <v>3784</v>
      </c>
      <c r="L8" t="s">
        <v>3786</v>
      </c>
    </row>
    <row r="9" spans="1:12" x14ac:dyDescent="0.25">
      <c r="A9" t="s">
        <v>3787</v>
      </c>
      <c r="B9" t="s">
        <v>176</v>
      </c>
      <c r="C9" t="s">
        <v>3764</v>
      </c>
      <c r="D9" t="s">
        <v>3765</v>
      </c>
      <c r="E9" t="s">
        <v>2620</v>
      </c>
      <c r="F9">
        <v>1</v>
      </c>
      <c r="G9">
        <v>1</v>
      </c>
      <c r="H9" t="s">
        <v>3774</v>
      </c>
      <c r="I9" t="s">
        <v>3788</v>
      </c>
      <c r="J9" t="s">
        <v>7505</v>
      </c>
      <c r="K9" t="s">
        <v>3789</v>
      </c>
    </row>
    <row r="10" spans="1:12" x14ac:dyDescent="0.25">
      <c r="A10" t="s">
        <v>3790</v>
      </c>
      <c r="B10" t="s">
        <v>176</v>
      </c>
      <c r="C10" t="s">
        <v>3764</v>
      </c>
      <c r="D10" t="s">
        <v>3765</v>
      </c>
      <c r="E10" t="s">
        <v>360</v>
      </c>
      <c r="F10">
        <v>1</v>
      </c>
      <c r="G10">
        <v>1</v>
      </c>
      <c r="H10" t="s">
        <v>3766</v>
      </c>
      <c r="I10" t="s">
        <v>3791</v>
      </c>
      <c r="J10" t="s">
        <v>3468</v>
      </c>
      <c r="K10" t="s">
        <v>3792</v>
      </c>
      <c r="L10" t="s">
        <v>3786</v>
      </c>
    </row>
    <row r="11" spans="1:12" x14ac:dyDescent="0.25">
      <c r="A11" t="s">
        <v>3793</v>
      </c>
      <c r="B11" t="s">
        <v>176</v>
      </c>
      <c r="C11" t="s">
        <v>3764</v>
      </c>
      <c r="D11" t="s">
        <v>3765</v>
      </c>
      <c r="E11" t="s">
        <v>160</v>
      </c>
      <c r="F11">
        <v>1</v>
      </c>
      <c r="G11">
        <v>1</v>
      </c>
      <c r="H11" t="s">
        <v>3766</v>
      </c>
      <c r="I11" t="s">
        <v>3794</v>
      </c>
      <c r="J11" t="s">
        <v>3468</v>
      </c>
      <c r="K11" t="s">
        <v>3793</v>
      </c>
      <c r="L11" t="s">
        <v>3795</v>
      </c>
    </row>
    <row r="12" spans="1:12" x14ac:dyDescent="0.25">
      <c r="A12" t="s">
        <v>3796</v>
      </c>
      <c r="B12" t="s">
        <v>176</v>
      </c>
      <c r="C12" t="s">
        <v>3764</v>
      </c>
      <c r="D12" t="s">
        <v>3765</v>
      </c>
      <c r="E12" t="s">
        <v>2133</v>
      </c>
      <c r="F12">
        <v>1</v>
      </c>
      <c r="G12">
        <v>1</v>
      </c>
      <c r="H12" t="s">
        <v>3766</v>
      </c>
      <c r="I12" t="s">
        <v>3797</v>
      </c>
      <c r="J12" t="s">
        <v>3468</v>
      </c>
      <c r="K12" t="s">
        <v>3796</v>
      </c>
      <c r="L12" t="s">
        <v>3694</v>
      </c>
    </row>
    <row r="13" spans="1:12" x14ac:dyDescent="0.25">
      <c r="A13" t="s">
        <v>3798</v>
      </c>
      <c r="B13" t="s">
        <v>176</v>
      </c>
      <c r="C13" t="s">
        <v>3764</v>
      </c>
      <c r="D13" t="s">
        <v>3765</v>
      </c>
      <c r="E13" t="s">
        <v>1295</v>
      </c>
      <c r="F13">
        <v>1</v>
      </c>
      <c r="G13">
        <v>1</v>
      </c>
      <c r="H13" t="s">
        <v>3774</v>
      </c>
      <c r="I13" t="s">
        <v>3799</v>
      </c>
      <c r="J13" t="s">
        <v>3468</v>
      </c>
      <c r="K13" t="s">
        <v>3798</v>
      </c>
      <c r="L13" t="s">
        <v>458</v>
      </c>
    </row>
    <row r="14" spans="1:12" x14ac:dyDescent="0.25">
      <c r="A14" t="s">
        <v>3800</v>
      </c>
      <c r="B14" t="s">
        <v>176</v>
      </c>
      <c r="C14" t="s">
        <v>3801</v>
      </c>
      <c r="D14" t="s">
        <v>3765</v>
      </c>
      <c r="E14" t="s">
        <v>2620</v>
      </c>
      <c r="F14">
        <v>1</v>
      </c>
      <c r="G14">
        <v>2</v>
      </c>
      <c r="H14" t="s">
        <v>3766</v>
      </c>
      <c r="I14" t="s">
        <v>3802</v>
      </c>
      <c r="J14" t="s">
        <v>7490</v>
      </c>
      <c r="K14" t="s">
        <v>3800</v>
      </c>
      <c r="L14" t="s">
        <v>3786</v>
      </c>
    </row>
    <row r="15" spans="1:12" x14ac:dyDescent="0.25">
      <c r="A15" t="s">
        <v>3803</v>
      </c>
      <c r="B15" t="s">
        <v>176</v>
      </c>
      <c r="C15" t="s">
        <v>3801</v>
      </c>
      <c r="D15" t="s">
        <v>3765</v>
      </c>
      <c r="E15" t="s">
        <v>2133</v>
      </c>
      <c r="F15">
        <v>1</v>
      </c>
      <c r="G15">
        <v>2</v>
      </c>
      <c r="H15" t="s">
        <v>3766</v>
      </c>
      <c r="I15" t="s">
        <v>3804</v>
      </c>
      <c r="J15" t="s">
        <v>3468</v>
      </c>
      <c r="K15" t="s">
        <v>3803</v>
      </c>
      <c r="L15" t="s">
        <v>3523</v>
      </c>
    </row>
    <row r="16" spans="1:12" x14ac:dyDescent="0.25">
      <c r="A16" t="s">
        <v>3805</v>
      </c>
      <c r="B16" t="s">
        <v>176</v>
      </c>
      <c r="C16" t="s">
        <v>3801</v>
      </c>
      <c r="D16" t="s">
        <v>3765</v>
      </c>
      <c r="E16" t="s">
        <v>2620</v>
      </c>
      <c r="F16">
        <v>1</v>
      </c>
      <c r="G16">
        <v>2</v>
      </c>
      <c r="H16" t="s">
        <v>3774</v>
      </c>
      <c r="I16" t="s">
        <v>3806</v>
      </c>
      <c r="J16" t="s">
        <v>3468</v>
      </c>
      <c r="K16" t="s">
        <v>3807</v>
      </c>
      <c r="L16" t="s">
        <v>3808</v>
      </c>
    </row>
    <row r="17" spans="1:12" x14ac:dyDescent="0.25">
      <c r="A17" t="s">
        <v>3809</v>
      </c>
      <c r="B17" t="s">
        <v>176</v>
      </c>
      <c r="C17" t="s">
        <v>3801</v>
      </c>
      <c r="D17" t="s">
        <v>3765</v>
      </c>
      <c r="E17" t="s">
        <v>160</v>
      </c>
      <c r="F17">
        <v>1</v>
      </c>
      <c r="G17">
        <v>2</v>
      </c>
      <c r="H17" t="s">
        <v>3766</v>
      </c>
      <c r="I17" t="s">
        <v>3810</v>
      </c>
      <c r="J17" t="s">
        <v>7509</v>
      </c>
      <c r="K17" t="s">
        <v>3811</v>
      </c>
      <c r="L17" t="s">
        <v>3694</v>
      </c>
    </row>
    <row r="18" spans="1:12" x14ac:dyDescent="0.25">
      <c r="A18" t="s">
        <v>3812</v>
      </c>
      <c r="B18" t="s">
        <v>176</v>
      </c>
      <c r="C18" t="s">
        <v>3801</v>
      </c>
      <c r="D18" t="s">
        <v>3813</v>
      </c>
      <c r="E18" t="s">
        <v>360</v>
      </c>
      <c r="F18">
        <v>1</v>
      </c>
      <c r="G18">
        <v>2</v>
      </c>
      <c r="H18" t="s">
        <v>3766</v>
      </c>
      <c r="I18" t="s">
        <v>3791</v>
      </c>
      <c r="J18" t="s">
        <v>3468</v>
      </c>
      <c r="K18" t="s">
        <v>3814</v>
      </c>
      <c r="L18" t="s">
        <v>3786</v>
      </c>
    </row>
    <row r="19" spans="1:12" x14ac:dyDescent="0.25">
      <c r="A19" t="s">
        <v>3815</v>
      </c>
      <c r="B19" t="s">
        <v>176</v>
      </c>
      <c r="C19" t="s">
        <v>3816</v>
      </c>
      <c r="D19" t="s">
        <v>3765</v>
      </c>
      <c r="E19" t="s">
        <v>2620</v>
      </c>
      <c r="F19">
        <v>1</v>
      </c>
      <c r="G19">
        <v>3</v>
      </c>
      <c r="H19" t="s">
        <v>3774</v>
      </c>
      <c r="I19" t="s">
        <v>7487</v>
      </c>
      <c r="J19" t="s">
        <v>7489</v>
      </c>
      <c r="K19" t="s">
        <v>3815</v>
      </c>
    </row>
    <row r="20" spans="1:12" x14ac:dyDescent="0.25">
      <c r="A20" t="s">
        <v>3817</v>
      </c>
      <c r="B20" t="s">
        <v>176</v>
      </c>
      <c r="C20" t="s">
        <v>3816</v>
      </c>
      <c r="D20" t="s">
        <v>3818</v>
      </c>
      <c r="E20" t="s">
        <v>1295</v>
      </c>
      <c r="F20">
        <v>1</v>
      </c>
      <c r="G20">
        <v>3</v>
      </c>
      <c r="H20" t="s">
        <v>3766</v>
      </c>
      <c r="I20" t="s">
        <v>3819</v>
      </c>
      <c r="J20" t="s">
        <v>3468</v>
      </c>
      <c r="K20" t="s">
        <v>3820</v>
      </c>
      <c r="L20" t="s">
        <v>3821</v>
      </c>
    </row>
    <row r="21" spans="1:12" x14ac:dyDescent="0.25">
      <c r="A21" t="s">
        <v>3822</v>
      </c>
      <c r="B21" t="s">
        <v>176</v>
      </c>
      <c r="C21" t="s">
        <v>3816</v>
      </c>
      <c r="D21" t="s">
        <v>3765</v>
      </c>
      <c r="E21" t="s">
        <v>1295</v>
      </c>
      <c r="F21">
        <v>1</v>
      </c>
      <c r="G21">
        <v>3</v>
      </c>
      <c r="H21" t="s">
        <v>3774</v>
      </c>
      <c r="I21" t="s">
        <v>3823</v>
      </c>
      <c r="J21" t="s">
        <v>7481</v>
      </c>
      <c r="K21" t="s">
        <v>3824</v>
      </c>
    </row>
    <row r="22" spans="1:12" x14ac:dyDescent="0.25">
      <c r="A22" t="s">
        <v>3825</v>
      </c>
      <c r="B22" t="s">
        <v>176</v>
      </c>
      <c r="C22" t="s">
        <v>3816</v>
      </c>
      <c r="D22" t="s">
        <v>3826</v>
      </c>
      <c r="E22" t="s">
        <v>360</v>
      </c>
      <c r="F22">
        <v>1</v>
      </c>
      <c r="G22">
        <v>3</v>
      </c>
      <c r="H22" t="s">
        <v>3766</v>
      </c>
      <c r="I22" t="s">
        <v>3791</v>
      </c>
      <c r="J22" t="s">
        <v>3468</v>
      </c>
      <c r="K22" t="s">
        <v>3827</v>
      </c>
      <c r="L22" t="s">
        <v>3786</v>
      </c>
    </row>
    <row r="23" spans="1:12" x14ac:dyDescent="0.25">
      <c r="A23" t="s">
        <v>3828</v>
      </c>
      <c r="B23" t="s">
        <v>182</v>
      </c>
      <c r="C23" t="s">
        <v>3764</v>
      </c>
      <c r="D23" t="s">
        <v>3765</v>
      </c>
      <c r="E23" t="s">
        <v>90</v>
      </c>
      <c r="F23">
        <v>1</v>
      </c>
      <c r="G23">
        <v>1</v>
      </c>
      <c r="H23" t="s">
        <v>3774</v>
      </c>
      <c r="I23" t="s">
        <v>3829</v>
      </c>
      <c r="J23" t="s">
        <v>5315</v>
      </c>
      <c r="K23" t="s">
        <v>3828</v>
      </c>
    </row>
    <row r="24" spans="1:12" x14ac:dyDescent="0.25">
      <c r="A24" t="s">
        <v>3830</v>
      </c>
      <c r="B24" t="s">
        <v>182</v>
      </c>
      <c r="C24" t="s">
        <v>3764</v>
      </c>
      <c r="D24" t="s">
        <v>3765</v>
      </c>
      <c r="E24" t="s">
        <v>90</v>
      </c>
      <c r="F24">
        <v>1</v>
      </c>
      <c r="G24">
        <v>1</v>
      </c>
      <c r="H24" t="s">
        <v>3774</v>
      </c>
      <c r="I24" t="s">
        <v>3831</v>
      </c>
      <c r="J24" t="s">
        <v>3468</v>
      </c>
      <c r="K24" t="s">
        <v>3832</v>
      </c>
      <c r="L24" t="s">
        <v>3833</v>
      </c>
    </row>
    <row r="25" spans="1:12" x14ac:dyDescent="0.25">
      <c r="A25" t="s">
        <v>3834</v>
      </c>
      <c r="B25" t="s">
        <v>182</v>
      </c>
      <c r="C25" t="s">
        <v>3764</v>
      </c>
      <c r="D25" t="s">
        <v>3765</v>
      </c>
      <c r="E25" t="s">
        <v>961</v>
      </c>
      <c r="F25">
        <v>1</v>
      </c>
      <c r="G25">
        <v>1</v>
      </c>
      <c r="H25" t="s">
        <v>3774</v>
      </c>
      <c r="I25" t="s">
        <v>3835</v>
      </c>
      <c r="J25" t="s">
        <v>3468</v>
      </c>
      <c r="K25" t="s">
        <v>3836</v>
      </c>
      <c r="L25" t="s">
        <v>3837</v>
      </c>
    </row>
    <row r="26" spans="1:12" x14ac:dyDescent="0.25">
      <c r="A26" t="s">
        <v>3838</v>
      </c>
      <c r="B26" t="s">
        <v>182</v>
      </c>
      <c r="C26" t="s">
        <v>3764</v>
      </c>
      <c r="D26" t="s">
        <v>3765</v>
      </c>
      <c r="E26" t="s">
        <v>961</v>
      </c>
      <c r="F26">
        <v>1</v>
      </c>
      <c r="G26">
        <v>1</v>
      </c>
      <c r="H26" t="s">
        <v>3774</v>
      </c>
      <c r="I26" t="s">
        <v>3839</v>
      </c>
      <c r="J26" t="s">
        <v>7508</v>
      </c>
      <c r="K26" t="s">
        <v>3840</v>
      </c>
      <c r="L26" t="s">
        <v>3841</v>
      </c>
    </row>
    <row r="27" spans="1:12" x14ac:dyDescent="0.25">
      <c r="A27" t="s">
        <v>3842</v>
      </c>
      <c r="B27" t="s">
        <v>182</v>
      </c>
      <c r="C27" t="s">
        <v>3764</v>
      </c>
      <c r="D27" t="s">
        <v>3765</v>
      </c>
      <c r="E27" t="s">
        <v>38</v>
      </c>
      <c r="F27">
        <v>1</v>
      </c>
      <c r="G27">
        <v>1</v>
      </c>
      <c r="H27" t="s">
        <v>3774</v>
      </c>
      <c r="I27" t="s">
        <v>3843</v>
      </c>
      <c r="J27" t="s">
        <v>3468</v>
      </c>
      <c r="K27" t="s">
        <v>3844</v>
      </c>
      <c r="L27" t="s">
        <v>3845</v>
      </c>
    </row>
    <row r="28" spans="1:12" x14ac:dyDescent="0.25">
      <c r="A28" t="s">
        <v>3846</v>
      </c>
      <c r="B28" t="s">
        <v>182</v>
      </c>
      <c r="C28" t="s">
        <v>3764</v>
      </c>
      <c r="D28" t="s">
        <v>3765</v>
      </c>
      <c r="E28" t="s">
        <v>38</v>
      </c>
      <c r="F28">
        <v>1</v>
      </c>
      <c r="G28">
        <v>1</v>
      </c>
      <c r="H28" t="s">
        <v>3774</v>
      </c>
      <c r="I28" t="s">
        <v>3847</v>
      </c>
      <c r="J28" t="s">
        <v>3468</v>
      </c>
      <c r="K28" t="s">
        <v>3848</v>
      </c>
      <c r="L28" t="s">
        <v>3849</v>
      </c>
    </row>
    <row r="29" spans="1:12" x14ac:dyDescent="0.25">
      <c r="A29" t="s">
        <v>3850</v>
      </c>
      <c r="B29" t="s">
        <v>182</v>
      </c>
      <c r="C29" t="s">
        <v>3764</v>
      </c>
      <c r="D29" t="s">
        <v>3818</v>
      </c>
      <c r="E29" t="s">
        <v>90</v>
      </c>
      <c r="F29">
        <v>1</v>
      </c>
      <c r="G29">
        <v>1</v>
      </c>
      <c r="H29" t="s">
        <v>3766</v>
      </c>
      <c r="I29" t="s">
        <v>3851</v>
      </c>
      <c r="J29" t="s">
        <v>7480</v>
      </c>
      <c r="K29" t="s">
        <v>3852</v>
      </c>
      <c r="L29" t="s">
        <v>3853</v>
      </c>
    </row>
    <row r="30" spans="1:12" x14ac:dyDescent="0.25">
      <c r="A30" t="s">
        <v>3854</v>
      </c>
      <c r="B30" t="s">
        <v>182</v>
      </c>
      <c r="C30" t="s">
        <v>3801</v>
      </c>
      <c r="D30" t="s">
        <v>3765</v>
      </c>
      <c r="E30" t="s">
        <v>90</v>
      </c>
      <c r="F30">
        <v>1</v>
      </c>
      <c r="G30">
        <v>2</v>
      </c>
      <c r="H30" t="s">
        <v>3766</v>
      </c>
      <c r="I30" t="s">
        <v>3855</v>
      </c>
      <c r="J30" t="s">
        <v>3468</v>
      </c>
      <c r="K30" t="s">
        <v>3856</v>
      </c>
    </row>
    <row r="31" spans="1:12" x14ac:dyDescent="0.25">
      <c r="A31" t="s">
        <v>3857</v>
      </c>
      <c r="B31" t="s">
        <v>182</v>
      </c>
      <c r="C31" t="s">
        <v>3801</v>
      </c>
      <c r="D31" t="s">
        <v>3765</v>
      </c>
      <c r="E31" t="s">
        <v>90</v>
      </c>
      <c r="F31">
        <v>1</v>
      </c>
      <c r="G31">
        <v>2</v>
      </c>
      <c r="H31" t="s">
        <v>3858</v>
      </c>
      <c r="I31" t="s">
        <v>3859</v>
      </c>
      <c r="J31" t="s">
        <v>3468</v>
      </c>
      <c r="K31" t="s">
        <v>3857</v>
      </c>
    </row>
    <row r="32" spans="1:12" x14ac:dyDescent="0.25">
      <c r="A32" t="s">
        <v>3860</v>
      </c>
      <c r="B32" t="s">
        <v>182</v>
      </c>
      <c r="C32" t="s">
        <v>3801</v>
      </c>
      <c r="D32" t="s">
        <v>3765</v>
      </c>
      <c r="E32" t="s">
        <v>38</v>
      </c>
      <c r="F32">
        <v>1</v>
      </c>
      <c r="G32">
        <v>2</v>
      </c>
      <c r="H32" t="s">
        <v>3774</v>
      </c>
      <c r="I32" t="s">
        <v>3861</v>
      </c>
      <c r="J32" t="s">
        <v>7518</v>
      </c>
      <c r="K32" t="s">
        <v>3862</v>
      </c>
    </row>
    <row r="33" spans="1:12" x14ac:dyDescent="0.25">
      <c r="A33" t="s">
        <v>3863</v>
      </c>
      <c r="B33" t="s">
        <v>182</v>
      </c>
      <c r="C33" t="s">
        <v>3816</v>
      </c>
      <c r="D33" t="s">
        <v>3765</v>
      </c>
      <c r="E33" t="s">
        <v>90</v>
      </c>
      <c r="F33">
        <v>1</v>
      </c>
      <c r="G33">
        <v>3</v>
      </c>
      <c r="H33" t="s">
        <v>3858</v>
      </c>
      <c r="I33" t="s">
        <v>3864</v>
      </c>
      <c r="J33" t="s">
        <v>7463</v>
      </c>
      <c r="K33" t="s">
        <v>3863</v>
      </c>
    </row>
    <row r="34" spans="1:12" x14ac:dyDescent="0.25">
      <c r="A34" t="s">
        <v>3865</v>
      </c>
      <c r="B34" t="s">
        <v>182</v>
      </c>
      <c r="C34" t="s">
        <v>3816</v>
      </c>
      <c r="D34" t="s">
        <v>3818</v>
      </c>
      <c r="E34" t="s">
        <v>90</v>
      </c>
      <c r="F34">
        <v>1</v>
      </c>
      <c r="G34">
        <v>3</v>
      </c>
      <c r="H34" t="s">
        <v>3866</v>
      </c>
      <c r="I34" t="s">
        <v>3867</v>
      </c>
      <c r="J34" t="s">
        <v>7475</v>
      </c>
      <c r="K34" t="s">
        <v>3865</v>
      </c>
    </row>
    <row r="35" spans="1:12" x14ac:dyDescent="0.25">
      <c r="A35" t="s">
        <v>3868</v>
      </c>
      <c r="B35" t="s">
        <v>222</v>
      </c>
      <c r="C35" t="s">
        <v>3764</v>
      </c>
      <c r="D35" t="s">
        <v>3765</v>
      </c>
      <c r="E35" t="s">
        <v>1650</v>
      </c>
      <c r="F35">
        <v>1</v>
      </c>
      <c r="G35">
        <v>1</v>
      </c>
      <c r="H35" t="s">
        <v>3766</v>
      </c>
      <c r="I35" t="s">
        <v>3869</v>
      </c>
      <c r="J35" t="s">
        <v>7491</v>
      </c>
      <c r="K35" t="s">
        <v>3868</v>
      </c>
    </row>
    <row r="36" spans="1:12" x14ac:dyDescent="0.25">
      <c r="A36" t="s">
        <v>3870</v>
      </c>
      <c r="B36" t="s">
        <v>222</v>
      </c>
      <c r="C36" t="s">
        <v>3764</v>
      </c>
      <c r="D36" t="s">
        <v>3765</v>
      </c>
      <c r="E36" t="s">
        <v>1202</v>
      </c>
      <c r="F36">
        <v>1</v>
      </c>
      <c r="G36">
        <v>1</v>
      </c>
      <c r="H36" t="s">
        <v>3766</v>
      </c>
      <c r="I36" t="s">
        <v>3871</v>
      </c>
      <c r="J36" t="s">
        <v>3468</v>
      </c>
      <c r="K36" t="s">
        <v>3870</v>
      </c>
      <c r="L36" t="s">
        <v>3872</v>
      </c>
    </row>
    <row r="37" spans="1:12" x14ac:dyDescent="0.25">
      <c r="A37" t="s">
        <v>7492</v>
      </c>
      <c r="B37" t="s">
        <v>222</v>
      </c>
      <c r="C37" t="s">
        <v>3764</v>
      </c>
      <c r="D37" t="s">
        <v>3765</v>
      </c>
      <c r="E37" t="s">
        <v>1650</v>
      </c>
      <c r="F37">
        <v>1</v>
      </c>
      <c r="G37">
        <v>1</v>
      </c>
      <c r="H37" t="s">
        <v>3766</v>
      </c>
      <c r="I37" t="s">
        <v>7493</v>
      </c>
      <c r="J37" t="s">
        <v>3468</v>
      </c>
      <c r="K37" t="s">
        <v>7492</v>
      </c>
      <c r="L37" t="s">
        <v>7494</v>
      </c>
    </row>
    <row r="38" spans="1:12" x14ac:dyDescent="0.25">
      <c r="A38" t="s">
        <v>3873</v>
      </c>
      <c r="B38" t="s">
        <v>222</v>
      </c>
      <c r="C38" t="s">
        <v>3764</v>
      </c>
      <c r="D38" t="s">
        <v>3765</v>
      </c>
      <c r="E38" t="s">
        <v>501</v>
      </c>
      <c r="F38">
        <v>1</v>
      </c>
      <c r="G38">
        <v>1</v>
      </c>
      <c r="H38" t="s">
        <v>3778</v>
      </c>
      <c r="I38" t="s">
        <v>3874</v>
      </c>
      <c r="J38" t="s">
        <v>3468</v>
      </c>
      <c r="K38" t="s">
        <v>3873</v>
      </c>
      <c r="L38" t="s">
        <v>3875</v>
      </c>
    </row>
    <row r="39" spans="1:12" x14ac:dyDescent="0.25">
      <c r="A39" t="s">
        <v>3876</v>
      </c>
      <c r="B39" t="s">
        <v>222</v>
      </c>
      <c r="C39" t="s">
        <v>3801</v>
      </c>
      <c r="D39" t="s">
        <v>3765</v>
      </c>
      <c r="E39" t="s">
        <v>1650</v>
      </c>
      <c r="F39">
        <v>1</v>
      </c>
      <c r="G39">
        <v>2</v>
      </c>
      <c r="H39" t="s">
        <v>3774</v>
      </c>
      <c r="I39" t="s">
        <v>3877</v>
      </c>
      <c r="J39" t="s">
        <v>7462</v>
      </c>
      <c r="K39" t="s">
        <v>3876</v>
      </c>
    </row>
    <row r="40" spans="1:12" x14ac:dyDescent="0.25">
      <c r="A40" t="s">
        <v>3878</v>
      </c>
      <c r="B40" t="s">
        <v>222</v>
      </c>
      <c r="C40" t="s">
        <v>3801</v>
      </c>
      <c r="D40" t="s">
        <v>3765</v>
      </c>
      <c r="E40" t="s">
        <v>1650</v>
      </c>
      <c r="F40">
        <v>1</v>
      </c>
      <c r="G40">
        <v>2</v>
      </c>
      <c r="H40" t="s">
        <v>3774</v>
      </c>
      <c r="I40" t="s">
        <v>3879</v>
      </c>
      <c r="J40" t="s">
        <v>7458</v>
      </c>
      <c r="K40" t="s">
        <v>3880</v>
      </c>
      <c r="L40" t="s">
        <v>3845</v>
      </c>
    </row>
    <row r="41" spans="1:12" x14ac:dyDescent="0.25">
      <c r="A41" t="s">
        <v>3881</v>
      </c>
      <c r="B41" t="s">
        <v>222</v>
      </c>
      <c r="C41" t="s">
        <v>3801</v>
      </c>
      <c r="D41" t="s">
        <v>3813</v>
      </c>
      <c r="E41" t="s">
        <v>501</v>
      </c>
      <c r="F41">
        <v>1</v>
      </c>
      <c r="G41">
        <v>2</v>
      </c>
      <c r="H41" t="s">
        <v>3774</v>
      </c>
      <c r="I41" t="s">
        <v>3882</v>
      </c>
      <c r="J41" t="s">
        <v>7455</v>
      </c>
      <c r="K41" t="s">
        <v>3881</v>
      </c>
    </row>
    <row r="42" spans="1:12" x14ac:dyDescent="0.25">
      <c r="A42" t="s">
        <v>3883</v>
      </c>
      <c r="B42" t="s">
        <v>222</v>
      </c>
      <c r="C42" t="s">
        <v>3801</v>
      </c>
      <c r="D42" t="s">
        <v>3765</v>
      </c>
      <c r="E42" t="s">
        <v>1650</v>
      </c>
      <c r="F42">
        <v>1</v>
      </c>
      <c r="G42">
        <v>2</v>
      </c>
      <c r="H42" t="s">
        <v>3766</v>
      </c>
      <c r="I42" t="s">
        <v>3884</v>
      </c>
      <c r="J42" t="s">
        <v>3468</v>
      </c>
      <c r="K42" t="s">
        <v>3883</v>
      </c>
      <c r="L42" t="s">
        <v>3885</v>
      </c>
    </row>
    <row r="43" spans="1:12" x14ac:dyDescent="0.25">
      <c r="A43" t="s">
        <v>3886</v>
      </c>
      <c r="B43" t="s">
        <v>222</v>
      </c>
      <c r="C43" t="s">
        <v>3801</v>
      </c>
      <c r="D43" t="s">
        <v>3765</v>
      </c>
      <c r="E43" t="s">
        <v>1650</v>
      </c>
      <c r="F43">
        <v>1</v>
      </c>
      <c r="G43">
        <v>2</v>
      </c>
      <c r="H43" t="s">
        <v>3774</v>
      </c>
      <c r="I43" t="s">
        <v>3887</v>
      </c>
      <c r="J43" t="s">
        <v>7454</v>
      </c>
      <c r="K43" t="s">
        <v>3886</v>
      </c>
      <c r="L43" t="s">
        <v>3888</v>
      </c>
    </row>
    <row r="44" spans="1:12" x14ac:dyDescent="0.25">
      <c r="A44" t="s">
        <v>3889</v>
      </c>
      <c r="B44" t="s">
        <v>222</v>
      </c>
      <c r="C44" t="s">
        <v>3801</v>
      </c>
      <c r="D44" t="s">
        <v>3765</v>
      </c>
      <c r="E44" t="s">
        <v>1650</v>
      </c>
      <c r="F44">
        <v>1</v>
      </c>
      <c r="G44">
        <v>2</v>
      </c>
      <c r="H44" t="s">
        <v>3774</v>
      </c>
      <c r="I44" t="s">
        <v>3890</v>
      </c>
      <c r="J44" t="s">
        <v>3468</v>
      </c>
      <c r="K44" t="s">
        <v>3891</v>
      </c>
      <c r="L44" t="s">
        <v>3892</v>
      </c>
    </row>
    <row r="45" spans="1:12" x14ac:dyDescent="0.25">
      <c r="A45" t="s">
        <v>3893</v>
      </c>
      <c r="B45" t="s">
        <v>222</v>
      </c>
      <c r="C45" t="s">
        <v>3801</v>
      </c>
      <c r="D45" t="s">
        <v>3765</v>
      </c>
      <c r="E45" t="s">
        <v>1130</v>
      </c>
      <c r="F45">
        <v>1</v>
      </c>
      <c r="G45">
        <v>2</v>
      </c>
      <c r="H45" t="s">
        <v>3866</v>
      </c>
      <c r="I45" t="s">
        <v>3894</v>
      </c>
      <c r="J45" t="s">
        <v>3468</v>
      </c>
      <c r="K45" t="s">
        <v>3893</v>
      </c>
    </row>
    <row r="46" spans="1:12" x14ac:dyDescent="0.25">
      <c r="A46" t="s">
        <v>3895</v>
      </c>
      <c r="B46" t="s">
        <v>222</v>
      </c>
      <c r="C46" t="s">
        <v>3816</v>
      </c>
      <c r="D46" t="s">
        <v>3765</v>
      </c>
      <c r="E46" t="s">
        <v>501</v>
      </c>
      <c r="F46">
        <v>1</v>
      </c>
      <c r="G46">
        <v>3</v>
      </c>
      <c r="H46" t="s">
        <v>3866</v>
      </c>
      <c r="I46" t="s">
        <v>3896</v>
      </c>
      <c r="J46" t="s">
        <v>7519</v>
      </c>
      <c r="K46" t="s">
        <v>3897</v>
      </c>
    </row>
    <row r="47" spans="1:12" x14ac:dyDescent="0.25">
      <c r="A47" t="s">
        <v>3898</v>
      </c>
      <c r="B47" t="s">
        <v>222</v>
      </c>
      <c r="C47" t="s">
        <v>3816</v>
      </c>
      <c r="D47" t="s">
        <v>3765</v>
      </c>
      <c r="E47" t="s">
        <v>1650</v>
      </c>
      <c r="F47">
        <v>1</v>
      </c>
      <c r="G47">
        <v>3</v>
      </c>
      <c r="H47" t="s">
        <v>3774</v>
      </c>
      <c r="I47" t="s">
        <v>3899</v>
      </c>
      <c r="J47" t="s">
        <v>3468</v>
      </c>
      <c r="K47" t="s">
        <v>3900</v>
      </c>
      <c r="L47" t="s">
        <v>3901</v>
      </c>
    </row>
    <row r="48" spans="1:12" x14ac:dyDescent="0.25">
      <c r="A48" t="s">
        <v>3902</v>
      </c>
      <c r="B48" t="s">
        <v>179</v>
      </c>
      <c r="C48" t="s">
        <v>3764</v>
      </c>
      <c r="D48" t="s">
        <v>3765</v>
      </c>
      <c r="E48" t="s">
        <v>1796</v>
      </c>
      <c r="F48">
        <v>1</v>
      </c>
      <c r="G48">
        <v>1</v>
      </c>
      <c r="H48" t="s">
        <v>3866</v>
      </c>
      <c r="I48" t="s">
        <v>3903</v>
      </c>
      <c r="J48" t="s">
        <v>7520</v>
      </c>
      <c r="K48" t="s">
        <v>3902</v>
      </c>
    </row>
    <row r="49" spans="1:11" x14ac:dyDescent="0.25">
      <c r="A49" t="s">
        <v>3904</v>
      </c>
      <c r="B49" t="s">
        <v>179</v>
      </c>
      <c r="C49" t="s">
        <v>3801</v>
      </c>
      <c r="D49" t="s">
        <v>3765</v>
      </c>
      <c r="E49" t="s">
        <v>1796</v>
      </c>
      <c r="F49">
        <v>1</v>
      </c>
      <c r="G49">
        <v>2</v>
      </c>
      <c r="H49" t="s">
        <v>3858</v>
      </c>
      <c r="I49" t="s">
        <v>3905</v>
      </c>
      <c r="J49" t="s">
        <v>7450</v>
      </c>
      <c r="K49" t="s">
        <v>3906</v>
      </c>
    </row>
    <row r="50" spans="1:11" x14ac:dyDescent="0.25">
      <c r="A50" t="s">
        <v>3907</v>
      </c>
      <c r="B50" t="s">
        <v>179</v>
      </c>
      <c r="C50" t="s">
        <v>3801</v>
      </c>
      <c r="D50" t="s">
        <v>3765</v>
      </c>
      <c r="E50" t="s">
        <v>1796</v>
      </c>
      <c r="F50">
        <v>1</v>
      </c>
      <c r="G50">
        <v>2</v>
      </c>
      <c r="H50" t="s">
        <v>3774</v>
      </c>
      <c r="I50" t="s">
        <v>3908</v>
      </c>
      <c r="J50" t="s">
        <v>7451</v>
      </c>
      <c r="K50" t="s">
        <v>3907</v>
      </c>
    </row>
    <row r="51" spans="1:11" x14ac:dyDescent="0.25">
      <c r="A51" t="s">
        <v>3909</v>
      </c>
      <c r="B51" t="s">
        <v>179</v>
      </c>
      <c r="C51" t="s">
        <v>3816</v>
      </c>
      <c r="D51" t="s">
        <v>3765</v>
      </c>
      <c r="E51" t="s">
        <v>1796</v>
      </c>
      <c r="F51">
        <v>1</v>
      </c>
      <c r="G51">
        <v>3</v>
      </c>
      <c r="H51" t="s">
        <v>3774</v>
      </c>
      <c r="I51" t="s">
        <v>3910</v>
      </c>
      <c r="J51" t="s">
        <v>3468</v>
      </c>
      <c r="K51" t="s">
        <v>3909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3756</v>
      </c>
      <c r="D1" t="s">
        <v>3757</v>
      </c>
      <c r="E1" t="s">
        <v>1</v>
      </c>
      <c r="F1" t="s">
        <v>3450</v>
      </c>
      <c r="G1" t="s">
        <v>3758</v>
      </c>
      <c r="H1" t="s">
        <v>3759</v>
      </c>
      <c r="I1" t="s">
        <v>3760</v>
      </c>
      <c r="J1" t="s">
        <v>3761</v>
      </c>
      <c r="K1" t="s">
        <v>171</v>
      </c>
      <c r="L1" t="s">
        <v>3762</v>
      </c>
      <c r="M1" t="s">
        <v>7522</v>
      </c>
    </row>
    <row r="2" spans="1:13" x14ac:dyDescent="0.25">
      <c r="A2" t="s">
        <v>3911</v>
      </c>
      <c r="B2" t="s">
        <v>176</v>
      </c>
      <c r="C2" t="s">
        <v>3764</v>
      </c>
      <c r="D2" t="s">
        <v>3818</v>
      </c>
      <c r="E2" t="s">
        <v>1047</v>
      </c>
      <c r="F2">
        <v>1</v>
      </c>
      <c r="G2">
        <v>3</v>
      </c>
      <c r="H2" t="s">
        <v>3778</v>
      </c>
      <c r="I2" t="s">
        <v>3912</v>
      </c>
      <c r="J2" t="s">
        <v>7503</v>
      </c>
      <c r="K2" t="s">
        <v>3911</v>
      </c>
      <c r="L2" t="s">
        <v>3913</v>
      </c>
    </row>
    <row r="3" spans="1:13" x14ac:dyDescent="0.25">
      <c r="A3" t="s">
        <v>3914</v>
      </c>
      <c r="B3" t="s">
        <v>176</v>
      </c>
      <c r="C3" t="s">
        <v>3764</v>
      </c>
      <c r="D3" t="s">
        <v>3818</v>
      </c>
      <c r="E3" t="s">
        <v>1753</v>
      </c>
      <c r="F3">
        <v>1</v>
      </c>
      <c r="G3">
        <v>3</v>
      </c>
      <c r="H3" t="s">
        <v>3766</v>
      </c>
      <c r="I3" t="s">
        <v>3915</v>
      </c>
      <c r="J3" t="s">
        <v>3468</v>
      </c>
      <c r="K3" t="s">
        <v>3916</v>
      </c>
      <c r="L3" t="s">
        <v>3917</v>
      </c>
    </row>
    <row r="4" spans="1:13" x14ac:dyDescent="0.25">
      <c r="A4" t="s">
        <v>3918</v>
      </c>
      <c r="B4" t="s">
        <v>176</v>
      </c>
      <c r="C4" t="s">
        <v>3764</v>
      </c>
      <c r="D4" t="s">
        <v>3818</v>
      </c>
      <c r="E4" t="s">
        <v>2133</v>
      </c>
      <c r="F4">
        <v>1</v>
      </c>
      <c r="G4">
        <v>3</v>
      </c>
      <c r="H4" t="s">
        <v>3866</v>
      </c>
      <c r="I4" t="s">
        <v>3919</v>
      </c>
      <c r="J4" t="s">
        <v>7433</v>
      </c>
      <c r="K4" t="s">
        <v>3918</v>
      </c>
    </row>
    <row r="5" spans="1:13" x14ac:dyDescent="0.25">
      <c r="A5" t="s">
        <v>3920</v>
      </c>
      <c r="B5" t="s">
        <v>176</v>
      </c>
      <c r="C5" t="s">
        <v>3764</v>
      </c>
      <c r="D5" t="s">
        <v>3765</v>
      </c>
      <c r="E5" t="s">
        <v>160</v>
      </c>
      <c r="F5">
        <v>1</v>
      </c>
      <c r="G5">
        <v>3</v>
      </c>
      <c r="H5" t="s">
        <v>3858</v>
      </c>
      <c r="I5" t="s">
        <v>3921</v>
      </c>
      <c r="J5" t="s">
        <v>7511</v>
      </c>
      <c r="K5" t="s">
        <v>3920</v>
      </c>
    </row>
    <row r="6" spans="1:13" x14ac:dyDescent="0.25">
      <c r="A6" t="s">
        <v>7412</v>
      </c>
      <c r="B6" t="s">
        <v>176</v>
      </c>
      <c r="C6" t="s">
        <v>3764</v>
      </c>
      <c r="D6" t="s">
        <v>3818</v>
      </c>
      <c r="E6" t="s">
        <v>2174</v>
      </c>
      <c r="F6">
        <v>1</v>
      </c>
      <c r="G6">
        <v>3</v>
      </c>
      <c r="H6" t="s">
        <v>3774</v>
      </c>
      <c r="I6" t="s">
        <v>7413</v>
      </c>
      <c r="J6" t="s">
        <v>3468</v>
      </c>
      <c r="K6" t="s">
        <v>7412</v>
      </c>
      <c r="L6" t="s">
        <v>4623</v>
      </c>
    </row>
    <row r="7" spans="1:13" x14ac:dyDescent="0.25">
      <c r="A7" t="s">
        <v>3922</v>
      </c>
      <c r="B7" t="s">
        <v>176</v>
      </c>
      <c r="C7" t="s">
        <v>3764</v>
      </c>
      <c r="D7" t="s">
        <v>3818</v>
      </c>
      <c r="E7" t="s">
        <v>2620</v>
      </c>
      <c r="F7">
        <v>1</v>
      </c>
      <c r="G7">
        <v>3</v>
      </c>
      <c r="H7" t="s">
        <v>3766</v>
      </c>
      <c r="I7" t="s">
        <v>3923</v>
      </c>
      <c r="J7" t="s">
        <v>7513</v>
      </c>
      <c r="K7" t="s">
        <v>3924</v>
      </c>
    </row>
    <row r="8" spans="1:13" x14ac:dyDescent="0.25">
      <c r="A8" t="s">
        <v>3925</v>
      </c>
      <c r="B8" t="s">
        <v>176</v>
      </c>
      <c r="C8" t="s">
        <v>3764</v>
      </c>
      <c r="D8" t="s">
        <v>3765</v>
      </c>
      <c r="E8" t="s">
        <v>1295</v>
      </c>
      <c r="F8">
        <v>1</v>
      </c>
      <c r="G8">
        <v>3</v>
      </c>
      <c r="H8" t="s">
        <v>3778</v>
      </c>
      <c r="I8" t="s">
        <v>3926</v>
      </c>
      <c r="J8" t="s">
        <v>3468</v>
      </c>
      <c r="K8" t="s">
        <v>3925</v>
      </c>
    </row>
    <row r="9" spans="1:13" x14ac:dyDescent="0.25">
      <c r="A9" t="s">
        <v>3927</v>
      </c>
      <c r="B9" t="s">
        <v>176</v>
      </c>
      <c r="C9" t="s">
        <v>3764</v>
      </c>
      <c r="D9" t="s">
        <v>3765</v>
      </c>
      <c r="E9" t="s">
        <v>160</v>
      </c>
      <c r="F9">
        <v>1</v>
      </c>
      <c r="G9">
        <v>3</v>
      </c>
      <c r="H9" t="s">
        <v>3866</v>
      </c>
      <c r="I9" t="s">
        <v>3928</v>
      </c>
      <c r="J9" t="s">
        <v>3468</v>
      </c>
      <c r="K9" t="s">
        <v>3927</v>
      </c>
    </row>
    <row r="10" spans="1:13" x14ac:dyDescent="0.25">
      <c r="A10" t="s">
        <v>3929</v>
      </c>
      <c r="B10" t="s">
        <v>176</v>
      </c>
      <c r="C10" t="s">
        <v>3801</v>
      </c>
      <c r="D10" t="s">
        <v>3930</v>
      </c>
      <c r="E10" t="s">
        <v>1295</v>
      </c>
      <c r="F10">
        <v>1</v>
      </c>
      <c r="G10">
        <v>5</v>
      </c>
      <c r="H10" t="s">
        <v>3778</v>
      </c>
      <c r="I10" t="s">
        <v>3931</v>
      </c>
      <c r="J10" t="s">
        <v>3468</v>
      </c>
      <c r="K10" t="s">
        <v>3929</v>
      </c>
    </row>
    <row r="11" spans="1:13" x14ac:dyDescent="0.25">
      <c r="A11" t="s">
        <v>3932</v>
      </c>
      <c r="B11" t="s">
        <v>176</v>
      </c>
      <c r="C11" t="s">
        <v>3801</v>
      </c>
      <c r="D11" t="s">
        <v>3765</v>
      </c>
      <c r="E11" t="s">
        <v>160</v>
      </c>
      <c r="F11">
        <v>1</v>
      </c>
      <c r="G11">
        <v>5</v>
      </c>
      <c r="H11" t="s">
        <v>3774</v>
      </c>
      <c r="I11" t="s">
        <v>3933</v>
      </c>
      <c r="J11" t="s">
        <v>3468</v>
      </c>
      <c r="K11" t="s">
        <v>3934</v>
      </c>
    </row>
    <row r="12" spans="1:13" x14ac:dyDescent="0.25">
      <c r="A12" t="s">
        <v>3935</v>
      </c>
      <c r="B12" t="s">
        <v>176</v>
      </c>
      <c r="C12" t="s">
        <v>3801</v>
      </c>
      <c r="D12" t="s">
        <v>3765</v>
      </c>
      <c r="E12" t="s">
        <v>1030</v>
      </c>
      <c r="F12">
        <v>1</v>
      </c>
      <c r="G12">
        <v>5</v>
      </c>
      <c r="H12" t="s">
        <v>3774</v>
      </c>
      <c r="I12" t="s">
        <v>3936</v>
      </c>
      <c r="J12" t="s">
        <v>7501</v>
      </c>
      <c r="K12" t="s">
        <v>3937</v>
      </c>
    </row>
    <row r="13" spans="1:13" x14ac:dyDescent="0.25">
      <c r="A13" t="s">
        <v>3938</v>
      </c>
      <c r="B13" t="s">
        <v>176</v>
      </c>
      <c r="C13" t="s">
        <v>3801</v>
      </c>
      <c r="D13" t="s">
        <v>3765</v>
      </c>
      <c r="E13" t="s">
        <v>1299</v>
      </c>
      <c r="F13">
        <v>1</v>
      </c>
      <c r="G13">
        <v>5</v>
      </c>
      <c r="H13" t="s">
        <v>3774</v>
      </c>
      <c r="I13" t="s">
        <v>3939</v>
      </c>
      <c r="J13" t="s">
        <v>3468</v>
      </c>
      <c r="K13" t="s">
        <v>3938</v>
      </c>
    </row>
    <row r="14" spans="1:13" x14ac:dyDescent="0.25">
      <c r="A14" t="s">
        <v>3480</v>
      </c>
      <c r="B14" t="s">
        <v>176</v>
      </c>
      <c r="C14" t="s">
        <v>3816</v>
      </c>
      <c r="D14" t="s">
        <v>3765</v>
      </c>
      <c r="E14" t="s">
        <v>160</v>
      </c>
      <c r="F14">
        <v>1</v>
      </c>
      <c r="G14">
        <v>7</v>
      </c>
      <c r="H14" t="s">
        <v>3766</v>
      </c>
      <c r="I14" t="s">
        <v>3940</v>
      </c>
      <c r="J14" t="s">
        <v>3468</v>
      </c>
      <c r="K14" t="s">
        <v>3480</v>
      </c>
    </row>
    <row r="15" spans="1:13" x14ac:dyDescent="0.25">
      <c r="A15" t="s">
        <v>3941</v>
      </c>
      <c r="B15" t="s">
        <v>176</v>
      </c>
      <c r="C15" t="s">
        <v>3942</v>
      </c>
      <c r="D15" t="s">
        <v>3813</v>
      </c>
      <c r="E15" t="s">
        <v>1047</v>
      </c>
      <c r="F15">
        <v>1</v>
      </c>
      <c r="G15">
        <v>9</v>
      </c>
      <c r="H15" t="s">
        <v>3766</v>
      </c>
      <c r="I15" t="s">
        <v>3943</v>
      </c>
      <c r="J15" t="s">
        <v>3468</v>
      </c>
      <c r="K15" t="s">
        <v>3941</v>
      </c>
      <c r="L15" t="s">
        <v>3786</v>
      </c>
    </row>
    <row r="16" spans="1:13" x14ac:dyDescent="0.25">
      <c r="A16" t="s">
        <v>3944</v>
      </c>
      <c r="B16" t="s">
        <v>182</v>
      </c>
      <c r="C16" t="s">
        <v>3764</v>
      </c>
      <c r="D16" t="s">
        <v>3818</v>
      </c>
      <c r="E16" t="s">
        <v>90</v>
      </c>
      <c r="F16">
        <v>1</v>
      </c>
      <c r="G16">
        <v>3</v>
      </c>
      <c r="H16" t="s">
        <v>3774</v>
      </c>
      <c r="I16" t="s">
        <v>3945</v>
      </c>
      <c r="J16" t="s">
        <v>3468</v>
      </c>
      <c r="K16" t="s">
        <v>3946</v>
      </c>
    </row>
    <row r="17" spans="1:12" x14ac:dyDescent="0.25">
      <c r="A17" t="s">
        <v>3947</v>
      </c>
      <c r="B17" t="s">
        <v>182</v>
      </c>
      <c r="C17" t="s">
        <v>3764</v>
      </c>
      <c r="D17" t="s">
        <v>3765</v>
      </c>
      <c r="E17" t="s">
        <v>38</v>
      </c>
      <c r="F17">
        <v>1</v>
      </c>
      <c r="G17">
        <v>3</v>
      </c>
      <c r="H17" t="s">
        <v>3774</v>
      </c>
      <c r="I17" t="s">
        <v>3948</v>
      </c>
      <c r="J17" t="s">
        <v>7465</v>
      </c>
      <c r="K17" t="s">
        <v>3947</v>
      </c>
    </row>
    <row r="18" spans="1:12" x14ac:dyDescent="0.25">
      <c r="A18" t="s">
        <v>3949</v>
      </c>
      <c r="B18" t="s">
        <v>182</v>
      </c>
      <c r="C18" t="s">
        <v>3801</v>
      </c>
      <c r="D18" t="s">
        <v>3765</v>
      </c>
      <c r="E18" t="s">
        <v>353</v>
      </c>
      <c r="F18">
        <v>1</v>
      </c>
      <c r="G18">
        <v>5</v>
      </c>
      <c r="H18" t="s">
        <v>3858</v>
      </c>
      <c r="I18" t="s">
        <v>3950</v>
      </c>
      <c r="J18" t="s">
        <v>3468</v>
      </c>
      <c r="K18" t="s">
        <v>3951</v>
      </c>
    </row>
    <row r="19" spans="1:12" x14ac:dyDescent="0.25">
      <c r="A19" t="s">
        <v>3952</v>
      </c>
      <c r="B19" t="s">
        <v>182</v>
      </c>
      <c r="C19" t="s">
        <v>3801</v>
      </c>
      <c r="D19" t="s">
        <v>3765</v>
      </c>
      <c r="E19" t="s">
        <v>353</v>
      </c>
      <c r="F19">
        <v>1</v>
      </c>
      <c r="G19">
        <v>5</v>
      </c>
      <c r="H19" t="s">
        <v>3858</v>
      </c>
      <c r="I19" t="s">
        <v>3953</v>
      </c>
      <c r="J19" t="s">
        <v>3468</v>
      </c>
      <c r="K19" t="s">
        <v>3954</v>
      </c>
    </row>
    <row r="20" spans="1:12" x14ac:dyDescent="0.25">
      <c r="A20" t="s">
        <v>3955</v>
      </c>
      <c r="B20" t="s">
        <v>182</v>
      </c>
      <c r="C20" t="s">
        <v>3801</v>
      </c>
      <c r="D20" t="s">
        <v>3765</v>
      </c>
      <c r="E20" t="s">
        <v>353</v>
      </c>
      <c r="F20">
        <v>1</v>
      </c>
      <c r="G20">
        <v>5</v>
      </c>
      <c r="H20" t="s">
        <v>3858</v>
      </c>
      <c r="I20" t="s">
        <v>3956</v>
      </c>
      <c r="J20" t="s">
        <v>3468</v>
      </c>
      <c r="K20" t="s">
        <v>3957</v>
      </c>
    </row>
    <row r="21" spans="1:12" x14ac:dyDescent="0.25">
      <c r="A21" t="s">
        <v>3958</v>
      </c>
      <c r="B21" t="s">
        <v>182</v>
      </c>
      <c r="C21" t="s">
        <v>3801</v>
      </c>
      <c r="D21" t="s">
        <v>3818</v>
      </c>
      <c r="E21" t="s">
        <v>38</v>
      </c>
      <c r="F21">
        <v>1</v>
      </c>
      <c r="G21">
        <v>5</v>
      </c>
      <c r="H21" t="s">
        <v>3766</v>
      </c>
      <c r="I21" t="s">
        <v>3959</v>
      </c>
      <c r="J21" t="s">
        <v>7517</v>
      </c>
      <c r="K21" t="s">
        <v>3960</v>
      </c>
    </row>
    <row r="22" spans="1:12" x14ac:dyDescent="0.25">
      <c r="A22" t="s">
        <v>3961</v>
      </c>
      <c r="B22" t="s">
        <v>182</v>
      </c>
      <c r="C22" t="s">
        <v>3801</v>
      </c>
      <c r="D22" t="s">
        <v>3765</v>
      </c>
      <c r="E22" t="s">
        <v>353</v>
      </c>
      <c r="F22">
        <v>1</v>
      </c>
      <c r="G22">
        <v>5</v>
      </c>
      <c r="H22" t="s">
        <v>3858</v>
      </c>
      <c r="I22" t="s">
        <v>3962</v>
      </c>
      <c r="J22" t="s">
        <v>3468</v>
      </c>
      <c r="K22" t="s">
        <v>3963</v>
      </c>
    </row>
    <row r="23" spans="1:12" x14ac:dyDescent="0.25">
      <c r="A23" t="s">
        <v>3964</v>
      </c>
      <c r="B23" t="s">
        <v>182</v>
      </c>
      <c r="C23" t="s">
        <v>3816</v>
      </c>
      <c r="D23" t="s">
        <v>3765</v>
      </c>
      <c r="E23" t="s">
        <v>353</v>
      </c>
      <c r="F23">
        <v>1</v>
      </c>
      <c r="G23">
        <v>7</v>
      </c>
      <c r="H23" t="s">
        <v>3858</v>
      </c>
      <c r="I23" t="s">
        <v>3965</v>
      </c>
      <c r="J23" t="s">
        <v>3468</v>
      </c>
      <c r="K23" t="s">
        <v>3966</v>
      </c>
    </row>
    <row r="24" spans="1:12" x14ac:dyDescent="0.25">
      <c r="A24" t="s">
        <v>3967</v>
      </c>
      <c r="B24" t="s">
        <v>182</v>
      </c>
      <c r="C24" t="s">
        <v>3816</v>
      </c>
      <c r="D24" t="s">
        <v>3765</v>
      </c>
      <c r="E24" t="s">
        <v>90</v>
      </c>
      <c r="F24">
        <v>1</v>
      </c>
      <c r="G24">
        <v>7</v>
      </c>
      <c r="H24" t="s">
        <v>3858</v>
      </c>
      <c r="I24" t="s">
        <v>3968</v>
      </c>
      <c r="J24" t="s">
        <v>7486</v>
      </c>
      <c r="K24" t="s">
        <v>3969</v>
      </c>
    </row>
    <row r="25" spans="1:12" x14ac:dyDescent="0.25">
      <c r="A25" t="s">
        <v>3970</v>
      </c>
      <c r="B25" t="s">
        <v>182</v>
      </c>
      <c r="C25" t="s">
        <v>3942</v>
      </c>
      <c r="D25" t="s">
        <v>3818</v>
      </c>
      <c r="E25" t="s">
        <v>90</v>
      </c>
      <c r="F25">
        <v>1</v>
      </c>
      <c r="G25">
        <v>9</v>
      </c>
      <c r="H25" t="s">
        <v>3774</v>
      </c>
      <c r="I25" t="s">
        <v>3971</v>
      </c>
      <c r="J25" t="s">
        <v>7514</v>
      </c>
      <c r="K25" t="s">
        <v>3972</v>
      </c>
    </row>
    <row r="26" spans="1:12" x14ac:dyDescent="0.25">
      <c r="A26" t="s">
        <v>3973</v>
      </c>
      <c r="B26" t="s">
        <v>222</v>
      </c>
      <c r="C26" t="s">
        <v>3764</v>
      </c>
      <c r="D26" t="s">
        <v>3818</v>
      </c>
      <c r="E26" t="s">
        <v>1130</v>
      </c>
      <c r="F26">
        <v>1</v>
      </c>
      <c r="G26">
        <v>3</v>
      </c>
      <c r="H26" t="s">
        <v>3766</v>
      </c>
      <c r="I26" t="s">
        <v>3974</v>
      </c>
      <c r="J26" t="s">
        <v>3468</v>
      </c>
      <c r="K26" t="s">
        <v>3975</v>
      </c>
      <c r="L26" t="s">
        <v>3795</v>
      </c>
    </row>
    <row r="27" spans="1:12" x14ac:dyDescent="0.25">
      <c r="A27" t="s">
        <v>3976</v>
      </c>
      <c r="B27" t="s">
        <v>222</v>
      </c>
      <c r="C27" t="s">
        <v>3764</v>
      </c>
      <c r="D27" t="s">
        <v>3765</v>
      </c>
      <c r="E27" t="s">
        <v>501</v>
      </c>
      <c r="F27">
        <v>1</v>
      </c>
      <c r="G27">
        <v>3</v>
      </c>
      <c r="H27" t="s">
        <v>3774</v>
      </c>
      <c r="I27" t="s">
        <v>3977</v>
      </c>
      <c r="J27" t="s">
        <v>7508</v>
      </c>
      <c r="K27" t="s">
        <v>3976</v>
      </c>
      <c r="L27" t="s">
        <v>3694</v>
      </c>
    </row>
    <row r="28" spans="1:12" x14ac:dyDescent="0.25">
      <c r="A28" t="s">
        <v>3978</v>
      </c>
      <c r="B28" t="s">
        <v>222</v>
      </c>
      <c r="C28" t="s">
        <v>3764</v>
      </c>
      <c r="D28" t="s">
        <v>3765</v>
      </c>
      <c r="E28" t="s">
        <v>1650</v>
      </c>
      <c r="F28">
        <v>1</v>
      </c>
      <c r="G28">
        <v>3</v>
      </c>
      <c r="H28" t="s">
        <v>3774</v>
      </c>
      <c r="I28" t="s">
        <v>3979</v>
      </c>
      <c r="J28" t="s">
        <v>3468</v>
      </c>
      <c r="K28" t="s">
        <v>3978</v>
      </c>
      <c r="L28" t="s">
        <v>3892</v>
      </c>
    </row>
    <row r="29" spans="1:12" x14ac:dyDescent="0.25">
      <c r="A29" t="s">
        <v>3980</v>
      </c>
      <c r="B29" t="s">
        <v>222</v>
      </c>
      <c r="C29" t="s">
        <v>3764</v>
      </c>
      <c r="D29" t="s">
        <v>3818</v>
      </c>
      <c r="E29" t="s">
        <v>501</v>
      </c>
      <c r="F29">
        <v>1</v>
      </c>
      <c r="G29">
        <v>3</v>
      </c>
      <c r="H29" t="s">
        <v>3778</v>
      </c>
      <c r="I29" t="s">
        <v>3981</v>
      </c>
      <c r="J29" t="s">
        <v>3468</v>
      </c>
      <c r="K29" t="s">
        <v>3980</v>
      </c>
      <c r="L29" t="s">
        <v>3875</v>
      </c>
    </row>
    <row r="30" spans="1:12" x14ac:dyDescent="0.25">
      <c r="A30" t="s">
        <v>3982</v>
      </c>
      <c r="B30" t="s">
        <v>222</v>
      </c>
      <c r="C30" t="s">
        <v>3764</v>
      </c>
      <c r="D30" t="s">
        <v>3765</v>
      </c>
      <c r="E30" t="s">
        <v>1650</v>
      </c>
      <c r="F30">
        <v>1</v>
      </c>
      <c r="G30">
        <v>3</v>
      </c>
      <c r="H30" t="s">
        <v>3774</v>
      </c>
      <c r="I30" t="s">
        <v>3983</v>
      </c>
      <c r="J30" t="s">
        <v>7500</v>
      </c>
      <c r="K30" t="s">
        <v>3982</v>
      </c>
      <c r="L30" t="s">
        <v>3892</v>
      </c>
    </row>
    <row r="31" spans="1:12" x14ac:dyDescent="0.25">
      <c r="A31" t="s">
        <v>3984</v>
      </c>
      <c r="B31" t="s">
        <v>222</v>
      </c>
      <c r="C31" t="s">
        <v>3764</v>
      </c>
      <c r="D31" t="s">
        <v>3765</v>
      </c>
      <c r="E31" t="s">
        <v>501</v>
      </c>
      <c r="F31">
        <v>1</v>
      </c>
      <c r="G31">
        <v>3</v>
      </c>
      <c r="H31" t="s">
        <v>3766</v>
      </c>
      <c r="I31" t="s">
        <v>3985</v>
      </c>
      <c r="J31" t="s">
        <v>3468</v>
      </c>
      <c r="K31" t="s">
        <v>3986</v>
      </c>
    </row>
    <row r="32" spans="1:12" x14ac:dyDescent="0.25">
      <c r="A32" t="s">
        <v>3987</v>
      </c>
      <c r="B32" t="s">
        <v>222</v>
      </c>
      <c r="C32" t="s">
        <v>3801</v>
      </c>
      <c r="D32" t="s">
        <v>3765</v>
      </c>
      <c r="E32" t="s">
        <v>1650</v>
      </c>
      <c r="F32">
        <v>1</v>
      </c>
      <c r="G32">
        <v>5</v>
      </c>
      <c r="H32" t="s">
        <v>3774</v>
      </c>
      <c r="I32" t="s">
        <v>3988</v>
      </c>
      <c r="J32" t="s">
        <v>3468</v>
      </c>
      <c r="K32" t="s">
        <v>3987</v>
      </c>
    </row>
    <row r="33" spans="1:13" x14ac:dyDescent="0.25">
      <c r="A33" t="s">
        <v>7482</v>
      </c>
      <c r="B33" t="s">
        <v>222</v>
      </c>
      <c r="C33" t="s">
        <v>3801</v>
      </c>
      <c r="D33" t="s">
        <v>3818</v>
      </c>
      <c r="E33" t="s">
        <v>1650</v>
      </c>
      <c r="F33">
        <v>1</v>
      </c>
      <c r="G33">
        <v>5</v>
      </c>
      <c r="H33" t="s">
        <v>7523</v>
      </c>
      <c r="I33" t="s">
        <v>7524</v>
      </c>
      <c r="J33" t="s">
        <v>7512</v>
      </c>
      <c r="K33" t="s">
        <v>7525</v>
      </c>
      <c r="L33" t="s">
        <v>3892</v>
      </c>
      <c r="M33">
        <v>3</v>
      </c>
    </row>
    <row r="34" spans="1:13" x14ac:dyDescent="0.25">
      <c r="A34" t="s">
        <v>3989</v>
      </c>
      <c r="B34" t="s">
        <v>222</v>
      </c>
      <c r="C34" t="s">
        <v>3801</v>
      </c>
      <c r="D34" t="s">
        <v>3930</v>
      </c>
      <c r="E34" t="s">
        <v>1650</v>
      </c>
      <c r="F34">
        <v>1</v>
      </c>
      <c r="G34">
        <v>5</v>
      </c>
      <c r="H34" t="s">
        <v>3778</v>
      </c>
      <c r="I34" t="s">
        <v>3990</v>
      </c>
      <c r="J34" t="s">
        <v>7517</v>
      </c>
      <c r="K34" t="s">
        <v>3991</v>
      </c>
    </row>
    <row r="35" spans="1:13" x14ac:dyDescent="0.25">
      <c r="A35" t="s">
        <v>3992</v>
      </c>
      <c r="B35" t="s">
        <v>222</v>
      </c>
      <c r="C35" t="s">
        <v>3801</v>
      </c>
      <c r="D35" t="s">
        <v>3765</v>
      </c>
      <c r="E35" t="s">
        <v>1650</v>
      </c>
      <c r="F35">
        <v>1</v>
      </c>
      <c r="G35">
        <v>5</v>
      </c>
      <c r="H35" t="s">
        <v>3774</v>
      </c>
      <c r="I35" t="s">
        <v>3993</v>
      </c>
      <c r="J35" t="s">
        <v>3468</v>
      </c>
      <c r="K35" t="s">
        <v>3992</v>
      </c>
      <c r="L35" t="s">
        <v>3892</v>
      </c>
    </row>
    <row r="36" spans="1:13" x14ac:dyDescent="0.25">
      <c r="A36" t="s">
        <v>3994</v>
      </c>
      <c r="B36" t="s">
        <v>222</v>
      </c>
      <c r="C36" t="s">
        <v>3816</v>
      </c>
      <c r="D36" t="s">
        <v>3995</v>
      </c>
      <c r="E36" t="s">
        <v>1650</v>
      </c>
      <c r="F36">
        <v>1</v>
      </c>
      <c r="G36">
        <v>7</v>
      </c>
      <c r="H36" t="s">
        <v>3866</v>
      </c>
      <c r="I36" t="s">
        <v>3996</v>
      </c>
      <c r="J36" t="s">
        <v>7433</v>
      </c>
      <c r="K36" t="s">
        <v>3997</v>
      </c>
    </row>
    <row r="37" spans="1:13" x14ac:dyDescent="0.25">
      <c r="A37" t="s">
        <v>3998</v>
      </c>
      <c r="B37" t="s">
        <v>222</v>
      </c>
      <c r="C37" t="s">
        <v>3816</v>
      </c>
      <c r="D37" t="s">
        <v>3818</v>
      </c>
      <c r="E37" t="s">
        <v>1650</v>
      </c>
      <c r="F37">
        <v>1</v>
      </c>
      <c r="G37">
        <v>7</v>
      </c>
      <c r="H37" t="s">
        <v>3778</v>
      </c>
      <c r="I37" t="s">
        <v>3999</v>
      </c>
      <c r="J37" t="s">
        <v>7504</v>
      </c>
      <c r="K37" t="s">
        <v>4000</v>
      </c>
    </row>
    <row r="38" spans="1:13" x14ac:dyDescent="0.25">
      <c r="A38" t="s">
        <v>4001</v>
      </c>
      <c r="B38" t="s">
        <v>222</v>
      </c>
      <c r="C38" t="s">
        <v>3942</v>
      </c>
      <c r="D38" t="s">
        <v>3818</v>
      </c>
      <c r="E38" t="s">
        <v>1650</v>
      </c>
      <c r="F38">
        <v>1</v>
      </c>
      <c r="G38">
        <v>9</v>
      </c>
      <c r="H38" t="s">
        <v>3766</v>
      </c>
      <c r="I38" t="s">
        <v>7499</v>
      </c>
      <c r="J38" t="s">
        <v>3468</v>
      </c>
      <c r="K38" t="s">
        <v>4002</v>
      </c>
      <c r="L38" t="s">
        <v>4003</v>
      </c>
    </row>
    <row r="39" spans="1:13" x14ac:dyDescent="0.25">
      <c r="A39" t="s">
        <v>4004</v>
      </c>
      <c r="B39" t="s">
        <v>179</v>
      </c>
      <c r="C39" t="s">
        <v>3764</v>
      </c>
      <c r="D39" t="s">
        <v>3765</v>
      </c>
      <c r="E39" t="s">
        <v>689</v>
      </c>
      <c r="F39">
        <v>1</v>
      </c>
      <c r="G39">
        <v>3</v>
      </c>
      <c r="H39" t="s">
        <v>3858</v>
      </c>
      <c r="I39" t="s">
        <v>4005</v>
      </c>
      <c r="J39" t="s">
        <v>3468</v>
      </c>
      <c r="K39" t="s">
        <v>4004</v>
      </c>
    </row>
    <row r="40" spans="1:13" x14ac:dyDescent="0.25">
      <c r="A40" t="s">
        <v>4006</v>
      </c>
      <c r="B40" t="s">
        <v>179</v>
      </c>
      <c r="C40" t="s">
        <v>3801</v>
      </c>
      <c r="D40" t="s">
        <v>3765</v>
      </c>
      <c r="E40" t="s">
        <v>689</v>
      </c>
      <c r="F40">
        <v>1</v>
      </c>
      <c r="G40">
        <v>5</v>
      </c>
      <c r="H40" t="s">
        <v>3858</v>
      </c>
      <c r="I40" t="s">
        <v>4005</v>
      </c>
      <c r="J40" t="s">
        <v>3468</v>
      </c>
      <c r="K40" t="s">
        <v>4007</v>
      </c>
    </row>
    <row r="41" spans="1:13" x14ac:dyDescent="0.25">
      <c r="A41" t="s">
        <v>4008</v>
      </c>
      <c r="B41" t="s">
        <v>179</v>
      </c>
      <c r="C41" t="s">
        <v>3816</v>
      </c>
      <c r="D41" t="s">
        <v>3813</v>
      </c>
      <c r="E41" t="s">
        <v>2155</v>
      </c>
      <c r="F41">
        <v>1</v>
      </c>
      <c r="G41">
        <v>7</v>
      </c>
      <c r="H41" t="s">
        <v>3766</v>
      </c>
      <c r="I41" t="s">
        <v>4009</v>
      </c>
      <c r="J41" t="s">
        <v>7510</v>
      </c>
      <c r="K41" t="s">
        <v>4008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29"/>
  <sheetViews>
    <sheetView workbookViewId="0">
      <selection activeCell="D37" sqref="D37"/>
    </sheetView>
  </sheetViews>
  <sheetFormatPr defaultRowHeight="15" x14ac:dyDescent="0.25"/>
  <cols>
    <col min="1" max="1" width="16.42578125" bestFit="1" customWidth="1"/>
    <col min="2" max="2" width="10.7109375" bestFit="1" customWidth="1"/>
    <col min="3" max="3" width="20.140625" bestFit="1" customWidth="1"/>
    <col min="4" max="4" width="183.28515625" bestFit="1" customWidth="1"/>
    <col min="5" max="5" width="8.42578125" bestFit="1" customWidth="1"/>
  </cols>
  <sheetData>
    <row r="1" spans="1:5" x14ac:dyDescent="0.25">
      <c r="A1" t="s">
        <v>165</v>
      </c>
      <c r="B1" t="s">
        <v>167</v>
      </c>
      <c r="C1" t="s">
        <v>7436</v>
      </c>
      <c r="D1" t="s">
        <v>3462</v>
      </c>
      <c r="E1" t="s">
        <v>3513</v>
      </c>
    </row>
    <row r="2" spans="1:5" x14ac:dyDescent="0.25">
      <c r="A2" t="s">
        <v>7495</v>
      </c>
      <c r="B2" t="s">
        <v>7466</v>
      </c>
      <c r="C2" t="s">
        <v>7497</v>
      </c>
      <c r="D2" t="s">
        <v>7496</v>
      </c>
    </row>
    <row r="3" spans="1:5" x14ac:dyDescent="0.25">
      <c r="A3" t="s">
        <v>7526</v>
      </c>
      <c r="B3" t="s">
        <v>3700</v>
      </c>
      <c r="C3" t="s">
        <v>3468</v>
      </c>
      <c r="D3" t="s">
        <v>7527</v>
      </c>
    </row>
    <row r="4" spans="1:5" x14ac:dyDescent="0.25">
      <c r="A4" t="s">
        <v>7485</v>
      </c>
      <c r="B4" t="s">
        <v>4020</v>
      </c>
      <c r="C4" t="s">
        <v>7449</v>
      </c>
      <c r="D4" t="s">
        <v>7488</v>
      </c>
    </row>
    <row r="5" spans="1:5" x14ac:dyDescent="0.25">
      <c r="A5" t="s">
        <v>7455</v>
      </c>
      <c r="B5" t="s">
        <v>5339</v>
      </c>
      <c r="C5" t="s">
        <v>7444</v>
      </c>
      <c r="D5" t="s">
        <v>7457</v>
      </c>
    </row>
    <row r="6" spans="1:5" x14ac:dyDescent="0.25">
      <c r="A6" t="s">
        <v>7450</v>
      </c>
      <c r="B6" t="s">
        <v>5775</v>
      </c>
      <c r="C6" t="s">
        <v>7443</v>
      </c>
      <c r="D6" t="s">
        <v>7464</v>
      </c>
    </row>
    <row r="7" spans="1:5" x14ac:dyDescent="0.25">
      <c r="A7" t="s">
        <v>7502</v>
      </c>
      <c r="B7" t="s">
        <v>5775</v>
      </c>
      <c r="C7" t="s">
        <v>3468</v>
      </c>
      <c r="D7" t="s">
        <v>7516</v>
      </c>
    </row>
    <row r="8" spans="1:5" x14ac:dyDescent="0.25">
      <c r="A8" t="s">
        <v>5255</v>
      </c>
      <c r="B8" t="s">
        <v>7466</v>
      </c>
      <c r="C8" t="s">
        <v>7443</v>
      </c>
      <c r="D8" t="s">
        <v>7467</v>
      </c>
    </row>
    <row r="9" spans="1:5" x14ac:dyDescent="0.25">
      <c r="A9" t="s">
        <v>7441</v>
      </c>
      <c r="B9" t="s">
        <v>7442</v>
      </c>
      <c r="C9" t="s">
        <v>3468</v>
      </c>
      <c r="D9" t="s">
        <v>7474</v>
      </c>
    </row>
    <row r="10" spans="1:5" x14ac:dyDescent="0.25">
      <c r="A10" t="s">
        <v>1323</v>
      </c>
      <c r="B10" t="s">
        <v>4020</v>
      </c>
      <c r="C10" t="s">
        <v>7444</v>
      </c>
      <c r="D10" t="s">
        <v>7472</v>
      </c>
    </row>
    <row r="11" spans="1:5" x14ac:dyDescent="0.25">
      <c r="A11" t="s">
        <v>7463</v>
      </c>
      <c r="B11" t="s">
        <v>5775</v>
      </c>
      <c r="C11" t="s">
        <v>7443</v>
      </c>
      <c r="D11" t="s">
        <v>7528</v>
      </c>
    </row>
    <row r="12" spans="1:5" x14ac:dyDescent="0.25">
      <c r="A12" t="s">
        <v>7478</v>
      </c>
      <c r="B12" t="s">
        <v>7466</v>
      </c>
      <c r="C12" t="s">
        <v>3468</v>
      </c>
      <c r="D12" t="s">
        <v>7479</v>
      </c>
    </row>
    <row r="13" spans="1:5" x14ac:dyDescent="0.25">
      <c r="A13" t="s">
        <v>7476</v>
      </c>
      <c r="B13" t="s">
        <v>7437</v>
      </c>
      <c r="C13" t="s">
        <v>7439</v>
      </c>
      <c r="D13" t="s">
        <v>7477</v>
      </c>
    </row>
    <row r="14" spans="1:5" x14ac:dyDescent="0.25">
      <c r="A14" t="s">
        <v>7459</v>
      </c>
      <c r="B14" t="s">
        <v>3700</v>
      </c>
      <c r="C14" t="s">
        <v>3468</v>
      </c>
      <c r="D14" t="s">
        <v>7461</v>
      </c>
    </row>
    <row r="15" spans="1:5" x14ac:dyDescent="0.25">
      <c r="A15" t="s">
        <v>7506</v>
      </c>
      <c r="B15" t="s">
        <v>5775</v>
      </c>
      <c r="C15" t="s">
        <v>7449</v>
      </c>
      <c r="D15" t="s">
        <v>7507</v>
      </c>
    </row>
    <row r="16" spans="1:5" x14ac:dyDescent="0.25">
      <c r="A16" t="s">
        <v>7451</v>
      </c>
      <c r="B16" t="s">
        <v>4020</v>
      </c>
      <c r="C16" t="s">
        <v>3468</v>
      </c>
      <c r="D16" t="s">
        <v>7469</v>
      </c>
    </row>
    <row r="17" spans="1:4" x14ac:dyDescent="0.25">
      <c r="A17" t="s">
        <v>7465</v>
      </c>
      <c r="B17" t="s">
        <v>5775</v>
      </c>
      <c r="C17" t="s">
        <v>3468</v>
      </c>
      <c r="D17" t="s">
        <v>7529</v>
      </c>
    </row>
    <row r="18" spans="1:4" x14ac:dyDescent="0.25">
      <c r="A18" t="s">
        <v>7447</v>
      </c>
      <c r="B18" t="s">
        <v>5339</v>
      </c>
      <c r="C18" t="s">
        <v>7449</v>
      </c>
      <c r="D18" t="s">
        <v>7448</v>
      </c>
    </row>
    <row r="19" spans="1:4" x14ac:dyDescent="0.25">
      <c r="A19" t="s">
        <v>7440</v>
      </c>
      <c r="B19" t="s">
        <v>7437</v>
      </c>
      <c r="C19" t="s">
        <v>7443</v>
      </c>
      <c r="D19" t="s">
        <v>7471</v>
      </c>
    </row>
    <row r="20" spans="1:4" x14ac:dyDescent="0.25">
      <c r="A20" t="s">
        <v>7438</v>
      </c>
      <c r="B20" t="s">
        <v>7437</v>
      </c>
      <c r="C20" t="s">
        <v>7439</v>
      </c>
      <c r="D20" t="s">
        <v>7473</v>
      </c>
    </row>
    <row r="21" spans="1:4" x14ac:dyDescent="0.25">
      <c r="A21" t="s">
        <v>7454</v>
      </c>
      <c r="B21" t="s">
        <v>3700</v>
      </c>
      <c r="C21" t="s">
        <v>3468</v>
      </c>
      <c r="D21" t="s">
        <v>7468</v>
      </c>
    </row>
    <row r="22" spans="1:4" x14ac:dyDescent="0.25">
      <c r="A22" t="s">
        <v>5502</v>
      </c>
      <c r="B22" t="s">
        <v>5775</v>
      </c>
      <c r="C22" t="s">
        <v>7435</v>
      </c>
      <c r="D22" t="s">
        <v>7460</v>
      </c>
    </row>
    <row r="23" spans="1:4" x14ac:dyDescent="0.25">
      <c r="A23" t="s">
        <v>5315</v>
      </c>
      <c r="B23" t="s">
        <v>5339</v>
      </c>
      <c r="C23" t="s">
        <v>3468</v>
      </c>
      <c r="D23" t="s">
        <v>7456</v>
      </c>
    </row>
    <row r="24" spans="1:4" x14ac:dyDescent="0.25">
      <c r="A24" t="s">
        <v>7504</v>
      </c>
      <c r="B24" t="s">
        <v>5775</v>
      </c>
      <c r="C24" t="s">
        <v>3468</v>
      </c>
      <c r="D24" t="s">
        <v>7515</v>
      </c>
    </row>
    <row r="25" spans="1:4" x14ac:dyDescent="0.25">
      <c r="A25" t="s">
        <v>5329</v>
      </c>
      <c r="B25" t="s">
        <v>7466</v>
      </c>
      <c r="C25" t="s">
        <v>7439</v>
      </c>
      <c r="D25" t="s">
        <v>7446</v>
      </c>
    </row>
    <row r="26" spans="1:4" x14ac:dyDescent="0.25">
      <c r="A26" t="s">
        <v>7445</v>
      </c>
      <c r="B26" t="s">
        <v>4020</v>
      </c>
      <c r="C26" t="s">
        <v>7444</v>
      </c>
      <c r="D26" t="s">
        <v>7470</v>
      </c>
    </row>
    <row r="27" spans="1:4" x14ac:dyDescent="0.25">
      <c r="A27" t="s">
        <v>7453</v>
      </c>
      <c r="B27" t="s">
        <v>5339</v>
      </c>
      <c r="C27" t="s">
        <v>7452</v>
      </c>
      <c r="D27" t="s">
        <v>7530</v>
      </c>
    </row>
    <row r="28" spans="1:4" x14ac:dyDescent="0.25">
      <c r="A28" t="s">
        <v>7433</v>
      </c>
      <c r="B28" t="s">
        <v>3700</v>
      </c>
      <c r="C28" t="s">
        <v>3468</v>
      </c>
      <c r="D28" t="s">
        <v>7434</v>
      </c>
    </row>
    <row r="29" spans="1:4" x14ac:dyDescent="0.25">
      <c r="A29" t="s">
        <v>7483</v>
      </c>
      <c r="B29" t="s">
        <v>7466</v>
      </c>
      <c r="C29" t="s">
        <v>7443</v>
      </c>
      <c r="D29" t="s">
        <v>7484</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9" sqref="D9"/>
    </sheetView>
  </sheetViews>
  <sheetFormatPr defaultRowHeight="15" x14ac:dyDescent="0.25"/>
  <cols>
    <col min="1" max="1" width="9.28515625" bestFit="1" customWidth="1"/>
    <col min="2" max="2" width="7.42578125" customWidth="1"/>
    <col min="3" max="3" width="15.42578125" bestFit="1" customWidth="1"/>
    <col min="4" max="4" width="90.2851562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4010</v>
      </c>
      <c r="E1" t="s">
        <v>4011</v>
      </c>
      <c r="F1" t="s">
        <v>4012</v>
      </c>
      <c r="G1" t="s">
        <v>4013</v>
      </c>
      <c r="H1" t="s">
        <v>4014</v>
      </c>
      <c r="I1" t="s">
        <v>4015</v>
      </c>
      <c r="J1" t="s">
        <v>4016</v>
      </c>
      <c r="K1" t="s">
        <v>4017</v>
      </c>
      <c r="L1" t="s">
        <v>4018</v>
      </c>
      <c r="M1" t="s">
        <v>7</v>
      </c>
    </row>
    <row r="2" spans="1:13" x14ac:dyDescent="0.25">
      <c r="A2" t="s">
        <v>4044</v>
      </c>
      <c r="B2" t="s">
        <v>4032</v>
      </c>
      <c r="C2" t="s">
        <v>501</v>
      </c>
      <c r="D2" t="s">
        <v>4045</v>
      </c>
      <c r="E2" t="s">
        <v>4046</v>
      </c>
      <c r="F2" t="s">
        <v>4047</v>
      </c>
      <c r="G2" t="s">
        <v>4048</v>
      </c>
      <c r="H2" t="s">
        <v>4049</v>
      </c>
      <c r="I2" t="s">
        <v>4038</v>
      </c>
      <c r="J2" t="s">
        <v>187</v>
      </c>
      <c r="K2" t="s">
        <v>4050</v>
      </c>
      <c r="L2" t="s">
        <v>4051</v>
      </c>
      <c r="M2" t="s">
        <v>4044</v>
      </c>
    </row>
    <row r="3" spans="1:13" x14ac:dyDescent="0.25">
      <c r="A3" t="s">
        <v>4041</v>
      </c>
      <c r="B3" t="s">
        <v>4020</v>
      </c>
      <c r="C3" t="s">
        <v>90</v>
      </c>
      <c r="D3" t="s">
        <v>7535</v>
      </c>
      <c r="E3" t="s">
        <v>7536</v>
      </c>
      <c r="F3" t="s">
        <v>7537</v>
      </c>
      <c r="G3" t="s">
        <v>7538</v>
      </c>
      <c r="H3" t="s">
        <v>4042</v>
      </c>
      <c r="I3" t="s">
        <v>3468</v>
      </c>
      <c r="J3" t="s">
        <v>187</v>
      </c>
      <c r="K3" t="s">
        <v>4043</v>
      </c>
      <c r="L3" t="s">
        <v>4023</v>
      </c>
      <c r="M3" t="s">
        <v>4041</v>
      </c>
    </row>
    <row r="4" spans="1:13" x14ac:dyDescent="0.25">
      <c r="A4" t="s">
        <v>4031</v>
      </c>
      <c r="B4" t="s">
        <v>4032</v>
      </c>
      <c r="C4" t="s">
        <v>1650</v>
      </c>
      <c r="D4" t="s">
        <v>4033</v>
      </c>
      <c r="E4" t="s">
        <v>4034</v>
      </c>
      <c r="F4" t="s">
        <v>4035</v>
      </c>
      <c r="G4" t="s">
        <v>4036</v>
      </c>
      <c r="H4" t="s">
        <v>4037</v>
      </c>
      <c r="I4" t="s">
        <v>4038</v>
      </c>
      <c r="J4" t="s">
        <v>4039</v>
      </c>
      <c r="K4" t="s">
        <v>4040</v>
      </c>
      <c r="L4" t="s">
        <v>4023</v>
      </c>
      <c r="M4" t="s">
        <v>4031</v>
      </c>
    </row>
    <row r="5" spans="1:13" x14ac:dyDescent="0.25">
      <c r="A5" t="s">
        <v>4024</v>
      </c>
      <c r="B5" t="s">
        <v>4020</v>
      </c>
      <c r="C5" t="s">
        <v>1650</v>
      </c>
      <c r="D5" t="s">
        <v>4025</v>
      </c>
      <c r="E5" t="s">
        <v>4026</v>
      </c>
      <c r="F5" t="s">
        <v>4027</v>
      </c>
      <c r="G5" t="s">
        <v>4028</v>
      </c>
      <c r="H5" t="s">
        <v>4029</v>
      </c>
      <c r="I5" t="s">
        <v>3468</v>
      </c>
      <c r="J5" t="s">
        <v>187</v>
      </c>
      <c r="K5" t="s">
        <v>4030</v>
      </c>
      <c r="L5" t="s">
        <v>4023</v>
      </c>
      <c r="M5" t="s">
        <v>4024</v>
      </c>
    </row>
    <row r="6" spans="1:13" x14ac:dyDescent="0.25">
      <c r="A6" t="s">
        <v>4019</v>
      </c>
      <c r="B6" t="s">
        <v>4020</v>
      </c>
      <c r="C6" t="s">
        <v>90</v>
      </c>
      <c r="D6" t="s">
        <v>7539</v>
      </c>
      <c r="E6" t="s">
        <v>7540</v>
      </c>
      <c r="F6" t="s">
        <v>7541</v>
      </c>
      <c r="G6" t="s">
        <v>7542</v>
      </c>
      <c r="H6" t="s">
        <v>4021</v>
      </c>
      <c r="I6" t="s">
        <v>3468</v>
      </c>
      <c r="J6" t="s">
        <v>187</v>
      </c>
      <c r="K6" t="s">
        <v>4022</v>
      </c>
      <c r="L6" t="s">
        <v>4023</v>
      </c>
      <c r="M6" t="s">
        <v>4019</v>
      </c>
    </row>
    <row r="7" spans="1:13" x14ac:dyDescent="0.25">
      <c r="A7" t="s">
        <v>5204</v>
      </c>
      <c r="B7" t="s">
        <v>4032</v>
      </c>
      <c r="C7" t="s">
        <v>1650</v>
      </c>
      <c r="D7" t="s">
        <v>7688</v>
      </c>
      <c r="F7" t="s">
        <v>7691</v>
      </c>
      <c r="H7" t="s">
        <v>7692</v>
      </c>
      <c r="I7" t="s">
        <v>7693</v>
      </c>
      <c r="J7" t="s">
        <v>187</v>
      </c>
      <c r="L7" t="s">
        <v>4023</v>
      </c>
      <c r="M7" t="s">
        <v>5204</v>
      </c>
    </row>
    <row r="8" spans="1:13" x14ac:dyDescent="0.25">
      <c r="A8" t="s">
        <v>5333</v>
      </c>
      <c r="B8" t="s">
        <v>4032</v>
      </c>
      <c r="C8" t="s">
        <v>90</v>
      </c>
      <c r="D8" t="s">
        <v>7689</v>
      </c>
      <c r="F8" t="s">
        <v>7690</v>
      </c>
      <c r="H8" t="s">
        <v>7686</v>
      </c>
      <c r="I8" t="s">
        <v>7685</v>
      </c>
      <c r="J8" t="s">
        <v>187</v>
      </c>
      <c r="L8" t="s">
        <v>4023</v>
      </c>
      <c r="M8" t="s">
        <v>5333</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A5" sqref="A5"/>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37</v>
      </c>
      <c r="B2" t="s">
        <v>38</v>
      </c>
      <c r="C2" t="s">
        <v>39</v>
      </c>
      <c r="F2" t="s">
        <v>40</v>
      </c>
      <c r="G2" t="s">
        <v>41</v>
      </c>
      <c r="H2" t="s">
        <v>42</v>
      </c>
      <c r="I2" t="s">
        <v>43</v>
      </c>
      <c r="N2" t="s">
        <v>44</v>
      </c>
      <c r="O2" t="s">
        <v>45</v>
      </c>
      <c r="P2" t="s">
        <v>46</v>
      </c>
      <c r="Q2" t="s">
        <v>47</v>
      </c>
      <c r="R2" t="s">
        <v>48</v>
      </c>
      <c r="S2" t="s">
        <v>49</v>
      </c>
      <c r="T2" t="s">
        <v>50</v>
      </c>
      <c r="U2" t="s">
        <v>51</v>
      </c>
      <c r="V2" t="s">
        <v>52</v>
      </c>
      <c r="X2" t="s">
        <v>53</v>
      </c>
      <c r="Y2" t="s">
        <v>54</v>
      </c>
      <c r="Z2" t="s">
        <v>55</v>
      </c>
      <c r="AB2" t="s">
        <v>56</v>
      </c>
      <c r="AC2" t="s">
        <v>57</v>
      </c>
    </row>
    <row r="3" spans="1:37" x14ac:dyDescent="0.25">
      <c r="A3" t="s">
        <v>159</v>
      </c>
      <c r="B3" t="s">
        <v>160</v>
      </c>
      <c r="C3" t="s">
        <v>39</v>
      </c>
      <c r="E3" t="s">
        <v>161</v>
      </c>
      <c r="F3" t="s">
        <v>40</v>
      </c>
      <c r="G3" t="s">
        <v>41</v>
      </c>
      <c r="H3" t="s">
        <v>162</v>
      </c>
      <c r="N3" t="s">
        <v>163</v>
      </c>
      <c r="O3" t="s">
        <v>45</v>
      </c>
      <c r="Q3" t="s">
        <v>164</v>
      </c>
      <c r="R3" t="s">
        <v>99</v>
      </c>
      <c r="U3" t="s">
        <v>101</v>
      </c>
    </row>
    <row r="4" spans="1:37" x14ac:dyDescent="0.25">
      <c r="A4" t="s">
        <v>58</v>
      </c>
      <c r="B4" t="s">
        <v>38</v>
      </c>
      <c r="C4" t="s">
        <v>39</v>
      </c>
      <c r="F4" t="s">
        <v>40</v>
      </c>
      <c r="G4" t="s">
        <v>41</v>
      </c>
      <c r="H4" t="s">
        <v>59</v>
      </c>
      <c r="I4" t="s">
        <v>60</v>
      </c>
      <c r="J4" t="s">
        <v>61</v>
      </c>
      <c r="K4" t="s">
        <v>62</v>
      </c>
      <c r="N4" t="s">
        <v>63</v>
      </c>
      <c r="Q4" t="s">
        <v>64</v>
      </c>
      <c r="R4" t="s">
        <v>65</v>
      </c>
      <c r="U4" t="s">
        <v>66</v>
      </c>
      <c r="V4" t="s">
        <v>67</v>
      </c>
      <c r="Y4" t="s">
        <v>68</v>
      </c>
    </row>
    <row r="5" spans="1:37" x14ac:dyDescent="0.25">
      <c r="A5" t="s">
        <v>131</v>
      </c>
      <c r="B5" t="s">
        <v>90</v>
      </c>
      <c r="C5" t="s">
        <v>39</v>
      </c>
      <c r="F5" t="s">
        <v>40</v>
      </c>
      <c r="G5" t="s">
        <v>41</v>
      </c>
      <c r="H5" t="s">
        <v>132</v>
      </c>
      <c r="I5" t="s">
        <v>133</v>
      </c>
      <c r="N5" t="s">
        <v>134</v>
      </c>
      <c r="O5" t="s">
        <v>45</v>
      </c>
      <c r="P5" t="s">
        <v>135</v>
      </c>
      <c r="Q5" t="s">
        <v>136</v>
      </c>
      <c r="R5" t="s">
        <v>99</v>
      </c>
      <c r="T5" t="s">
        <v>137</v>
      </c>
      <c r="U5" t="s">
        <v>138</v>
      </c>
      <c r="V5" t="s">
        <v>139</v>
      </c>
      <c r="X5" t="s">
        <v>140</v>
      </c>
      <c r="Y5" t="s">
        <v>141</v>
      </c>
      <c r="Z5" t="s">
        <v>142</v>
      </c>
      <c r="AB5" t="s">
        <v>143</v>
      </c>
      <c r="AC5" t="s">
        <v>144</v>
      </c>
      <c r="AD5" t="s">
        <v>145</v>
      </c>
      <c r="AF5" t="s">
        <v>146</v>
      </c>
      <c r="AG5" t="s">
        <v>147</v>
      </c>
    </row>
    <row r="6" spans="1:37" x14ac:dyDescent="0.25">
      <c r="A6" t="s">
        <v>102</v>
      </c>
      <c r="B6" t="s">
        <v>38</v>
      </c>
      <c r="C6" t="s">
        <v>39</v>
      </c>
      <c r="F6" t="s">
        <v>40</v>
      </c>
      <c r="G6" t="s">
        <v>41</v>
      </c>
      <c r="H6" t="s">
        <v>103</v>
      </c>
      <c r="I6" t="s">
        <v>104</v>
      </c>
      <c r="N6" t="s">
        <v>105</v>
      </c>
      <c r="P6" t="s">
        <v>106</v>
      </c>
      <c r="Q6" t="s">
        <v>107</v>
      </c>
      <c r="R6" t="s">
        <v>108</v>
      </c>
      <c r="T6" t="s">
        <v>109</v>
      </c>
      <c r="U6" t="s">
        <v>110</v>
      </c>
    </row>
    <row r="7" spans="1:37" x14ac:dyDescent="0.25">
      <c r="A7" t="s">
        <v>111</v>
      </c>
      <c r="B7" t="s">
        <v>38</v>
      </c>
      <c r="C7" t="s">
        <v>39</v>
      </c>
      <c r="E7" t="s">
        <v>112</v>
      </c>
      <c r="F7" t="s">
        <v>40</v>
      </c>
      <c r="G7" t="s">
        <v>41</v>
      </c>
      <c r="H7" t="s">
        <v>113</v>
      </c>
      <c r="I7" t="s">
        <v>114</v>
      </c>
      <c r="N7" t="s">
        <v>115</v>
      </c>
      <c r="P7" t="s">
        <v>116</v>
      </c>
      <c r="Q7" t="s">
        <v>117</v>
      </c>
      <c r="R7" t="s">
        <v>118</v>
      </c>
      <c r="T7" t="s">
        <v>119</v>
      </c>
      <c r="U7" t="s">
        <v>120</v>
      </c>
    </row>
    <row r="8" spans="1:37" x14ac:dyDescent="0.25">
      <c r="A8" t="s">
        <v>79</v>
      </c>
      <c r="B8" t="s">
        <v>38</v>
      </c>
      <c r="C8" t="s">
        <v>39</v>
      </c>
      <c r="E8" t="s">
        <v>80</v>
      </c>
      <c r="F8" t="s">
        <v>40</v>
      </c>
      <c r="G8" t="s">
        <v>41</v>
      </c>
      <c r="H8" t="s">
        <v>81</v>
      </c>
      <c r="I8" t="s">
        <v>82</v>
      </c>
      <c r="N8" t="s">
        <v>83</v>
      </c>
      <c r="P8" t="s">
        <v>84</v>
      </c>
      <c r="Q8" t="s">
        <v>85</v>
      </c>
      <c r="R8" t="s">
        <v>86</v>
      </c>
      <c r="T8" t="s">
        <v>87</v>
      </c>
      <c r="U8" t="s">
        <v>88</v>
      </c>
    </row>
    <row r="9" spans="1:37" x14ac:dyDescent="0.25">
      <c r="A9" t="s">
        <v>148</v>
      </c>
      <c r="B9" t="s">
        <v>38</v>
      </c>
      <c r="C9" t="s">
        <v>39</v>
      </c>
      <c r="E9" t="s">
        <v>149</v>
      </c>
      <c r="F9" t="s">
        <v>40</v>
      </c>
      <c r="G9" t="s">
        <v>41</v>
      </c>
      <c r="H9" t="s">
        <v>150</v>
      </c>
      <c r="I9" t="s">
        <v>151</v>
      </c>
      <c r="N9" t="s">
        <v>152</v>
      </c>
      <c r="P9" t="s">
        <v>153</v>
      </c>
      <c r="Q9" t="s">
        <v>154</v>
      </c>
      <c r="R9" t="s">
        <v>155</v>
      </c>
      <c r="T9" t="s">
        <v>153</v>
      </c>
      <c r="U9" t="s">
        <v>156</v>
      </c>
      <c r="V9" t="s">
        <v>157</v>
      </c>
      <c r="X9" t="s">
        <v>153</v>
      </c>
      <c r="Y9" t="s">
        <v>158</v>
      </c>
    </row>
    <row r="10" spans="1:37" x14ac:dyDescent="0.25">
      <c r="A10" t="s">
        <v>89</v>
      </c>
      <c r="B10" t="s">
        <v>90</v>
      </c>
      <c r="C10" t="s">
        <v>39</v>
      </c>
      <c r="F10" t="s">
        <v>40</v>
      </c>
      <c r="G10" t="s">
        <v>41</v>
      </c>
      <c r="H10" t="s">
        <v>91</v>
      </c>
      <c r="I10" t="s">
        <v>92</v>
      </c>
      <c r="L10" t="s">
        <v>93</v>
      </c>
      <c r="M10" t="s">
        <v>94</v>
      </c>
      <c r="N10" t="s">
        <v>95</v>
      </c>
      <c r="O10" t="s">
        <v>45</v>
      </c>
      <c r="Q10" t="s">
        <v>96</v>
      </c>
      <c r="R10" t="s">
        <v>97</v>
      </c>
      <c r="S10" t="s">
        <v>49</v>
      </c>
      <c r="U10" t="s">
        <v>98</v>
      </c>
      <c r="V10" t="s">
        <v>99</v>
      </c>
      <c r="X10" t="s">
        <v>100</v>
      </c>
      <c r="Y10" t="s">
        <v>101</v>
      </c>
    </row>
    <row r="11" spans="1:37" x14ac:dyDescent="0.25">
      <c r="A11" t="s">
        <v>69</v>
      </c>
      <c r="B11" t="s">
        <v>38</v>
      </c>
      <c r="C11" t="s">
        <v>39</v>
      </c>
      <c r="E11" t="s">
        <v>70</v>
      </c>
      <c r="F11" t="s">
        <v>40</v>
      </c>
      <c r="G11" t="s">
        <v>41</v>
      </c>
      <c r="H11" t="s">
        <v>71</v>
      </c>
      <c r="I11" t="s">
        <v>72</v>
      </c>
      <c r="N11" t="s">
        <v>73</v>
      </c>
      <c r="P11" t="s">
        <v>74</v>
      </c>
      <c r="Q11" t="s">
        <v>75</v>
      </c>
      <c r="R11" t="s">
        <v>76</v>
      </c>
      <c r="T11" t="s">
        <v>77</v>
      </c>
      <c r="U11" t="s">
        <v>78</v>
      </c>
    </row>
    <row r="12" spans="1:37" x14ac:dyDescent="0.25">
      <c r="A12" t="s">
        <v>121</v>
      </c>
      <c r="B12" t="s">
        <v>38</v>
      </c>
      <c r="C12" t="s">
        <v>39</v>
      </c>
      <c r="E12" t="s">
        <v>122</v>
      </c>
      <c r="F12" t="s">
        <v>40</v>
      </c>
      <c r="G12" t="s">
        <v>41</v>
      </c>
      <c r="H12" t="s">
        <v>123</v>
      </c>
      <c r="I12" t="s">
        <v>124</v>
      </c>
      <c r="N12" t="s">
        <v>125</v>
      </c>
      <c r="P12" t="s">
        <v>126</v>
      </c>
      <c r="Q12" t="s">
        <v>127</v>
      </c>
      <c r="R12" t="s">
        <v>128</v>
      </c>
      <c r="T12" t="s">
        <v>129</v>
      </c>
      <c r="U12"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4"/>
  <sheetViews>
    <sheetView workbookViewId="0">
      <selection activeCell="A7" sqref="A7"/>
    </sheetView>
  </sheetViews>
  <sheetFormatPr defaultRowHeight="15" x14ac:dyDescent="0.25"/>
  <cols>
    <col min="1" max="1" width="17.85546875" bestFit="1" customWidth="1"/>
    <col min="2" max="2" width="11.140625" bestFit="1" customWidth="1"/>
    <col min="3" max="3" width="68.85546875" bestFit="1" customWidth="1"/>
    <col min="4" max="4" width="37.28515625" bestFit="1" customWidth="1"/>
    <col min="5" max="5" width="17.85546875" bestFit="1" customWidth="1"/>
    <col min="6" max="6" width="27.85546875" bestFit="1" customWidth="1"/>
  </cols>
  <sheetData>
    <row r="1" spans="1:6" x14ac:dyDescent="0.25">
      <c r="A1" t="s">
        <v>165</v>
      </c>
      <c r="B1" t="s">
        <v>6</v>
      </c>
      <c r="C1" t="s">
        <v>3462</v>
      </c>
      <c r="D1" t="s">
        <v>3513</v>
      </c>
      <c r="E1" t="s">
        <v>7</v>
      </c>
      <c r="F1" t="s">
        <v>7553</v>
      </c>
    </row>
    <row r="2" spans="1:6" x14ac:dyDescent="0.25">
      <c r="A2" t="s">
        <v>3538</v>
      </c>
      <c r="B2" t="s">
        <v>3519</v>
      </c>
      <c r="C2" t="s">
        <v>7554</v>
      </c>
      <c r="D2" t="s">
        <v>7589</v>
      </c>
      <c r="E2" t="s">
        <v>3538</v>
      </c>
      <c r="F2" t="s">
        <v>7555</v>
      </c>
    </row>
    <row r="3" spans="1:6" x14ac:dyDescent="0.25">
      <c r="A3" t="s">
        <v>3696</v>
      </c>
      <c r="B3" t="s">
        <v>3531</v>
      </c>
      <c r="C3" t="s">
        <v>3698</v>
      </c>
      <c r="D3" t="s">
        <v>7590</v>
      </c>
      <c r="E3" t="s">
        <v>3699</v>
      </c>
      <c r="F3" t="s">
        <v>7569</v>
      </c>
    </row>
    <row r="4" spans="1:6" x14ac:dyDescent="0.25">
      <c r="A4" t="s">
        <v>7557</v>
      </c>
      <c r="B4" t="s">
        <v>41</v>
      </c>
      <c r="C4" t="s">
        <v>4199</v>
      </c>
      <c r="D4" t="s">
        <v>4200</v>
      </c>
      <c r="E4" t="s">
        <v>7591</v>
      </c>
      <c r="F4" t="s">
        <v>7556</v>
      </c>
    </row>
    <row r="5" spans="1:6" x14ac:dyDescent="0.25">
      <c r="A5" t="s">
        <v>7558</v>
      </c>
      <c r="B5" t="s">
        <v>41</v>
      </c>
      <c r="C5" t="s">
        <v>4260</v>
      </c>
      <c r="D5" t="s">
        <v>4261</v>
      </c>
      <c r="E5" t="s">
        <v>7559</v>
      </c>
      <c r="F5" t="s">
        <v>7556</v>
      </c>
    </row>
    <row r="6" spans="1:6" x14ac:dyDescent="0.25">
      <c r="A6" t="s">
        <v>7560</v>
      </c>
      <c r="B6" t="s">
        <v>3531</v>
      </c>
      <c r="C6" t="s">
        <v>7561</v>
      </c>
      <c r="D6" t="s">
        <v>7592</v>
      </c>
      <c r="E6" t="s">
        <v>7562</v>
      </c>
      <c r="F6" t="s">
        <v>7556</v>
      </c>
    </row>
    <row r="7" spans="1:6" x14ac:dyDescent="0.25">
      <c r="A7" t="s">
        <v>7563</v>
      </c>
      <c r="B7" t="s">
        <v>41</v>
      </c>
      <c r="C7" t="s">
        <v>7565</v>
      </c>
      <c r="D7" t="s">
        <v>7593</v>
      </c>
      <c r="E7" t="s">
        <v>7564</v>
      </c>
      <c r="F7" t="s">
        <v>7556</v>
      </c>
    </row>
    <row r="8" spans="1:6" x14ac:dyDescent="0.25">
      <c r="A8" t="s">
        <v>7566</v>
      </c>
      <c r="B8" t="s">
        <v>3531</v>
      </c>
      <c r="C8" t="s">
        <v>7568</v>
      </c>
      <c r="D8" t="s">
        <v>7594</v>
      </c>
      <c r="E8" t="s">
        <v>7567</v>
      </c>
      <c r="F8" t="s">
        <v>7556</v>
      </c>
    </row>
    <row r="9" spans="1:6" x14ac:dyDescent="0.25">
      <c r="A9" t="s">
        <v>7571</v>
      </c>
      <c r="B9" t="s">
        <v>3519</v>
      </c>
      <c r="C9" t="s">
        <v>7572</v>
      </c>
      <c r="D9" t="s">
        <v>7595</v>
      </c>
      <c r="E9" t="s">
        <v>7576</v>
      </c>
      <c r="F9" t="s">
        <v>7570</v>
      </c>
    </row>
    <row r="10" spans="1:6" x14ac:dyDescent="0.25">
      <c r="A10" t="s">
        <v>7573</v>
      </c>
      <c r="B10" t="s">
        <v>3519</v>
      </c>
      <c r="C10" t="s">
        <v>7574</v>
      </c>
      <c r="D10" t="s">
        <v>7596</v>
      </c>
      <c r="E10" t="s">
        <v>7575</v>
      </c>
      <c r="F10" t="s">
        <v>7570</v>
      </c>
    </row>
    <row r="11" spans="1:6" x14ac:dyDescent="0.25">
      <c r="A11" t="s">
        <v>7577</v>
      </c>
      <c r="B11" t="s">
        <v>3519</v>
      </c>
      <c r="C11" t="s">
        <v>7579</v>
      </c>
      <c r="D11" t="s">
        <v>7597</v>
      </c>
      <c r="E11" t="s">
        <v>7578</v>
      </c>
      <c r="F11" t="s">
        <v>7570</v>
      </c>
    </row>
    <row r="12" spans="1:6" x14ac:dyDescent="0.25">
      <c r="A12" t="s">
        <v>7580</v>
      </c>
      <c r="B12" t="s">
        <v>3519</v>
      </c>
      <c r="C12" t="s">
        <v>7581</v>
      </c>
      <c r="D12" t="s">
        <v>7598</v>
      </c>
      <c r="E12" t="s">
        <v>7582</v>
      </c>
      <c r="F12" t="s">
        <v>7570</v>
      </c>
    </row>
    <row r="13" spans="1:6" x14ac:dyDescent="0.25">
      <c r="A13" t="s">
        <v>7583</v>
      </c>
      <c r="B13" t="s">
        <v>3519</v>
      </c>
      <c r="C13" t="s">
        <v>7584</v>
      </c>
      <c r="D13" t="s">
        <v>7599</v>
      </c>
      <c r="E13" t="s">
        <v>7585</v>
      </c>
      <c r="F13" t="s">
        <v>7586</v>
      </c>
    </row>
    <row r="14" spans="1:6" x14ac:dyDescent="0.25">
      <c r="A14" t="s">
        <v>7587</v>
      </c>
      <c r="B14" t="s">
        <v>3531</v>
      </c>
      <c r="C14" t="s">
        <v>7588</v>
      </c>
      <c r="D14" t="s">
        <v>7600</v>
      </c>
      <c r="E14" t="s">
        <v>7601</v>
      </c>
      <c r="F14" t="s">
        <v>7570</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E8" sqref="E8"/>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4052</v>
      </c>
      <c r="B1" t="s">
        <v>1</v>
      </c>
      <c r="C1" t="s">
        <v>4053</v>
      </c>
      <c r="D1" t="s">
        <v>6</v>
      </c>
      <c r="E1" t="s">
        <v>3462</v>
      </c>
      <c r="F1" t="s">
        <v>3513</v>
      </c>
      <c r="G1" t="s">
        <v>171</v>
      </c>
      <c r="H1" t="s">
        <v>4054</v>
      </c>
      <c r="J1" t="s">
        <v>4055</v>
      </c>
      <c r="K1" t="s">
        <v>1</v>
      </c>
      <c r="M1" t="s">
        <v>4056</v>
      </c>
      <c r="N1" t="s">
        <v>1</v>
      </c>
    </row>
    <row r="2" spans="1:14" x14ac:dyDescent="0.25">
      <c r="A2" t="s">
        <v>4057</v>
      </c>
      <c r="B2" t="s">
        <v>2155</v>
      </c>
      <c r="C2" t="s">
        <v>4058</v>
      </c>
      <c r="D2" t="s">
        <v>41</v>
      </c>
      <c r="E2" t="s">
        <v>4059</v>
      </c>
      <c r="F2" t="s">
        <v>4060</v>
      </c>
      <c r="J2" t="s">
        <v>4061</v>
      </c>
      <c r="K2" t="s">
        <v>1796</v>
      </c>
      <c r="M2" t="s">
        <v>4062</v>
      </c>
      <c r="N2" t="s">
        <v>2155</v>
      </c>
    </row>
    <row r="3" spans="1:14" x14ac:dyDescent="0.25">
      <c r="A3" t="s">
        <v>4063</v>
      </c>
      <c r="B3" t="s">
        <v>1285</v>
      </c>
      <c r="C3" t="s">
        <v>4058</v>
      </c>
      <c r="D3" t="s">
        <v>3531</v>
      </c>
      <c r="E3" t="s">
        <v>4064</v>
      </c>
      <c r="F3" t="s">
        <v>4065</v>
      </c>
      <c r="G3" t="s">
        <v>4066</v>
      </c>
      <c r="J3" t="s">
        <v>4067</v>
      </c>
      <c r="K3" t="s">
        <v>1796</v>
      </c>
      <c r="M3" t="s">
        <v>4068</v>
      </c>
      <c r="N3" t="s">
        <v>2155</v>
      </c>
    </row>
    <row r="4" spans="1:14" x14ac:dyDescent="0.25">
      <c r="A4" t="s">
        <v>4069</v>
      </c>
      <c r="B4" t="s">
        <v>2155</v>
      </c>
      <c r="C4" t="s">
        <v>4058</v>
      </c>
      <c r="D4" t="s">
        <v>3531</v>
      </c>
      <c r="E4" t="s">
        <v>4070</v>
      </c>
      <c r="F4" t="s">
        <v>4071</v>
      </c>
      <c r="J4" t="s">
        <v>4072</v>
      </c>
      <c r="K4" t="s">
        <v>1796</v>
      </c>
      <c r="M4" t="s">
        <v>4073</v>
      </c>
      <c r="N4" t="s">
        <v>2155</v>
      </c>
    </row>
    <row r="5" spans="1:14" x14ac:dyDescent="0.25">
      <c r="A5" t="s">
        <v>4074</v>
      </c>
      <c r="B5" t="s">
        <v>2155</v>
      </c>
      <c r="C5" t="s">
        <v>4075</v>
      </c>
      <c r="D5" t="s">
        <v>41</v>
      </c>
      <c r="E5" t="s">
        <v>4076</v>
      </c>
      <c r="F5" t="s">
        <v>4077</v>
      </c>
      <c r="G5" t="s">
        <v>4078</v>
      </c>
      <c r="H5" t="s">
        <v>7531</v>
      </c>
      <c r="J5" t="s">
        <v>4079</v>
      </c>
      <c r="K5" t="s">
        <v>1796</v>
      </c>
      <c r="M5" t="s">
        <v>4080</v>
      </c>
      <c r="N5" t="s">
        <v>2155</v>
      </c>
    </row>
    <row r="6" spans="1:14" x14ac:dyDescent="0.25">
      <c r="A6" t="s">
        <v>4081</v>
      </c>
      <c r="B6" t="s">
        <v>2155</v>
      </c>
      <c r="C6" t="s">
        <v>4075</v>
      </c>
      <c r="D6" t="s">
        <v>3531</v>
      </c>
      <c r="E6" t="s">
        <v>7687</v>
      </c>
      <c r="F6" t="s">
        <v>4082</v>
      </c>
      <c r="J6" t="s">
        <v>4083</v>
      </c>
      <c r="K6" t="s">
        <v>1796</v>
      </c>
      <c r="M6" t="s">
        <v>4084</v>
      </c>
      <c r="N6" t="s">
        <v>2155</v>
      </c>
    </row>
    <row r="7" spans="1:14" x14ac:dyDescent="0.25">
      <c r="A7" t="s">
        <v>4085</v>
      </c>
      <c r="B7" t="s">
        <v>2155</v>
      </c>
      <c r="C7" t="s">
        <v>4086</v>
      </c>
      <c r="D7" t="s">
        <v>41</v>
      </c>
      <c r="E7" t="s">
        <v>4087</v>
      </c>
      <c r="F7" t="s">
        <v>4088</v>
      </c>
      <c r="G7" t="s">
        <v>4089</v>
      </c>
      <c r="J7" t="s">
        <v>4090</v>
      </c>
      <c r="K7" t="s">
        <v>1796</v>
      </c>
      <c r="M7" t="s">
        <v>4091</v>
      </c>
      <c r="N7" t="s">
        <v>2155</v>
      </c>
    </row>
    <row r="8" spans="1:14" x14ac:dyDescent="0.25">
      <c r="A8" t="s">
        <v>4092</v>
      </c>
      <c r="B8" t="s">
        <v>1285</v>
      </c>
      <c r="C8" t="s">
        <v>4058</v>
      </c>
      <c r="D8" t="s">
        <v>3531</v>
      </c>
      <c r="E8" t="s">
        <v>4093</v>
      </c>
      <c r="F8" t="s">
        <v>4094</v>
      </c>
      <c r="J8" t="s">
        <v>4095</v>
      </c>
      <c r="K8" t="s">
        <v>1796</v>
      </c>
      <c r="M8" t="s">
        <v>4096</v>
      </c>
      <c r="N8" t="s">
        <v>2155</v>
      </c>
    </row>
    <row r="9" spans="1:14" x14ac:dyDescent="0.25">
      <c r="A9" t="s">
        <v>4097</v>
      </c>
      <c r="B9" t="s">
        <v>2155</v>
      </c>
      <c r="C9" t="s">
        <v>4075</v>
      </c>
      <c r="D9" t="s">
        <v>3519</v>
      </c>
      <c r="E9" t="s">
        <v>4098</v>
      </c>
      <c r="F9" t="s">
        <v>4099</v>
      </c>
      <c r="J9" t="s">
        <v>4100</v>
      </c>
      <c r="K9" t="s">
        <v>1796</v>
      </c>
      <c r="M9" t="s">
        <v>4101</v>
      </c>
      <c r="N9" t="s">
        <v>2155</v>
      </c>
    </row>
    <row r="10" spans="1:14" x14ac:dyDescent="0.25">
      <c r="J10" t="s">
        <v>4102</v>
      </c>
      <c r="K10" t="s">
        <v>1796</v>
      </c>
      <c r="M10" t="s">
        <v>4103</v>
      </c>
      <c r="N10" t="s">
        <v>2155</v>
      </c>
    </row>
    <row r="11" spans="1:14" x14ac:dyDescent="0.25">
      <c r="J11" t="s">
        <v>4104</v>
      </c>
      <c r="K11" t="s">
        <v>1796</v>
      </c>
      <c r="M11" t="s">
        <v>4105</v>
      </c>
      <c r="N11" t="s">
        <v>2155</v>
      </c>
    </row>
    <row r="12" spans="1:14" x14ac:dyDescent="0.25">
      <c r="J12" t="s">
        <v>4106</v>
      </c>
      <c r="K12" t="s">
        <v>1796</v>
      </c>
      <c r="M12" t="s">
        <v>4107</v>
      </c>
      <c r="N12" t="s">
        <v>2155</v>
      </c>
    </row>
    <row r="13" spans="1:14" x14ac:dyDescent="0.25">
      <c r="J13" t="s">
        <v>4108</v>
      </c>
      <c r="K13" t="s">
        <v>1796</v>
      </c>
      <c r="M13" t="s">
        <v>4109</v>
      </c>
      <c r="N13" t="s">
        <v>2155</v>
      </c>
    </row>
    <row r="14" spans="1:14" x14ac:dyDescent="0.25">
      <c r="J14" t="s">
        <v>4110</v>
      </c>
      <c r="K14" t="s">
        <v>1796</v>
      </c>
      <c r="M14" t="s">
        <v>4111</v>
      </c>
      <c r="N14" t="s">
        <v>2155</v>
      </c>
    </row>
    <row r="15" spans="1:14" x14ac:dyDescent="0.25">
      <c r="J15" t="s">
        <v>4112</v>
      </c>
      <c r="K15" t="s">
        <v>1796</v>
      </c>
      <c r="M15" t="s">
        <v>4113</v>
      </c>
      <c r="N15" t="s">
        <v>2155</v>
      </c>
    </row>
    <row r="16" spans="1:14" x14ac:dyDescent="0.25">
      <c r="J16" t="s">
        <v>4114</v>
      </c>
      <c r="K16" t="s">
        <v>1796</v>
      </c>
      <c r="M16" t="s">
        <v>4115</v>
      </c>
      <c r="N16" t="s">
        <v>2155</v>
      </c>
    </row>
    <row r="17" spans="10:14" x14ac:dyDescent="0.25">
      <c r="J17" t="s">
        <v>4116</v>
      </c>
      <c r="K17" t="s">
        <v>1796</v>
      </c>
      <c r="M17" t="s">
        <v>4117</v>
      </c>
      <c r="N17" t="s">
        <v>2155</v>
      </c>
    </row>
    <row r="18" spans="10:14" x14ac:dyDescent="0.25">
      <c r="J18" t="s">
        <v>4118</v>
      </c>
      <c r="K18" t="s">
        <v>1796</v>
      </c>
      <c r="M18" t="s">
        <v>4119</v>
      </c>
      <c r="N18" t="s">
        <v>2155</v>
      </c>
    </row>
    <row r="19" spans="10:14" x14ac:dyDescent="0.25">
      <c r="J19" t="s">
        <v>4120</v>
      </c>
      <c r="K19" t="s">
        <v>1796</v>
      </c>
      <c r="M19" t="s">
        <v>4121</v>
      </c>
      <c r="N19" t="s">
        <v>2155</v>
      </c>
    </row>
    <row r="20" spans="10:14" x14ac:dyDescent="0.25">
      <c r="J20" t="s">
        <v>4122</v>
      </c>
      <c r="K20" t="s">
        <v>1796</v>
      </c>
      <c r="M20" t="s">
        <v>4123</v>
      </c>
      <c r="N20" t="s">
        <v>2155</v>
      </c>
    </row>
    <row r="21" spans="10:14" x14ac:dyDescent="0.25">
      <c r="J21" t="s">
        <v>4124</v>
      </c>
      <c r="K21" t="s">
        <v>1796</v>
      </c>
      <c r="M21" t="s">
        <v>4125</v>
      </c>
      <c r="N21" t="s">
        <v>2155</v>
      </c>
    </row>
    <row r="22" spans="10:14" x14ac:dyDescent="0.25">
      <c r="J22" t="s">
        <v>4126</v>
      </c>
      <c r="K22" t="s">
        <v>1796</v>
      </c>
      <c r="M22" t="s">
        <v>4127</v>
      </c>
      <c r="N22" t="s">
        <v>2155</v>
      </c>
    </row>
    <row r="23" spans="10:14" x14ac:dyDescent="0.25">
      <c r="J23" t="s">
        <v>4128</v>
      </c>
      <c r="K23" t="s">
        <v>1796</v>
      </c>
      <c r="M23" t="s">
        <v>4129</v>
      </c>
      <c r="N23" t="s">
        <v>2155</v>
      </c>
    </row>
    <row r="24" spans="10:14" x14ac:dyDescent="0.25">
      <c r="J24" t="s">
        <v>4130</v>
      </c>
      <c r="K24" t="s">
        <v>1796</v>
      </c>
      <c r="M24" t="s">
        <v>4131</v>
      </c>
      <c r="N24" t="s">
        <v>2155</v>
      </c>
    </row>
    <row r="25" spans="10:14" x14ac:dyDescent="0.25">
      <c r="J25" t="s">
        <v>4132</v>
      </c>
      <c r="K25" t="s">
        <v>1796</v>
      </c>
      <c r="M25" t="s">
        <v>4133</v>
      </c>
      <c r="N25" t="s">
        <v>2155</v>
      </c>
    </row>
    <row r="26" spans="10:14" x14ac:dyDescent="0.25">
      <c r="J26" t="s">
        <v>4134</v>
      </c>
      <c r="K26" t="s">
        <v>1796</v>
      </c>
      <c r="M26" t="s">
        <v>4135</v>
      </c>
      <c r="N26" t="s">
        <v>2155</v>
      </c>
    </row>
    <row r="27" spans="10:14" x14ac:dyDescent="0.25">
      <c r="J27" t="s">
        <v>4136</v>
      </c>
      <c r="K27" t="s">
        <v>2867</v>
      </c>
      <c r="M27" t="s">
        <v>4137</v>
      </c>
      <c r="N27" t="s">
        <v>2155</v>
      </c>
    </row>
    <row r="28" spans="10:14" x14ac:dyDescent="0.25">
      <c r="J28" t="s">
        <v>4138</v>
      </c>
      <c r="K28" t="s">
        <v>2867</v>
      </c>
      <c r="M28" t="s">
        <v>4139</v>
      </c>
      <c r="N28" t="s">
        <v>2155</v>
      </c>
    </row>
    <row r="29" spans="10:14" x14ac:dyDescent="0.25">
      <c r="J29" t="s">
        <v>4140</v>
      </c>
      <c r="K29" t="s">
        <v>2867</v>
      </c>
      <c r="M29" t="s">
        <v>4141</v>
      </c>
      <c r="N29" t="s">
        <v>2155</v>
      </c>
    </row>
    <row r="30" spans="10:14" x14ac:dyDescent="0.25">
      <c r="J30" t="s">
        <v>4142</v>
      </c>
      <c r="K30" t="s">
        <v>2867</v>
      </c>
      <c r="M30" t="s">
        <v>4143</v>
      </c>
      <c r="N30" t="s">
        <v>2155</v>
      </c>
    </row>
    <row r="31" spans="10:14" x14ac:dyDescent="0.25">
      <c r="J31" t="s">
        <v>4144</v>
      </c>
      <c r="K31" t="s">
        <v>2867</v>
      </c>
      <c r="M31" t="s">
        <v>4145</v>
      </c>
      <c r="N31" t="s">
        <v>2155</v>
      </c>
    </row>
    <row r="32" spans="10:14" x14ac:dyDescent="0.25">
      <c r="J32" t="s">
        <v>4146</v>
      </c>
      <c r="K32" t="s">
        <v>2867</v>
      </c>
      <c r="M32" t="s">
        <v>4147</v>
      </c>
      <c r="N32" t="s">
        <v>2155</v>
      </c>
    </row>
    <row r="33" spans="10:14" x14ac:dyDescent="0.25">
      <c r="J33" t="s">
        <v>4148</v>
      </c>
      <c r="K33" t="s">
        <v>2867</v>
      </c>
      <c r="M33" t="s">
        <v>4149</v>
      </c>
      <c r="N33" t="s">
        <v>2155</v>
      </c>
    </row>
    <row r="34" spans="10:14" x14ac:dyDescent="0.25">
      <c r="J34" t="s">
        <v>4150</v>
      </c>
      <c r="K34" t="s">
        <v>2867</v>
      </c>
      <c r="M34" t="s">
        <v>4151</v>
      </c>
      <c r="N34" t="s">
        <v>2155</v>
      </c>
    </row>
    <row r="35" spans="10:14" x14ac:dyDescent="0.25">
      <c r="J35" t="s">
        <v>4152</v>
      </c>
      <c r="K35" t="s">
        <v>2867</v>
      </c>
      <c r="M35" t="s">
        <v>4153</v>
      </c>
      <c r="N35" t="s">
        <v>2155</v>
      </c>
    </row>
    <row r="36" spans="10:14" x14ac:dyDescent="0.25">
      <c r="J36" t="s">
        <v>4118</v>
      </c>
      <c r="K36" t="s">
        <v>2867</v>
      </c>
      <c r="M36" t="s">
        <v>4154</v>
      </c>
      <c r="N36" t="s">
        <v>2155</v>
      </c>
    </row>
    <row r="37" spans="10:14" x14ac:dyDescent="0.25">
      <c r="J37" t="s">
        <v>4155</v>
      </c>
      <c r="K37" t="s">
        <v>2867</v>
      </c>
      <c r="M37" t="s">
        <v>4156</v>
      </c>
      <c r="N37" t="s">
        <v>2155</v>
      </c>
    </row>
    <row r="38" spans="10:14" x14ac:dyDescent="0.25">
      <c r="M38" t="s">
        <v>4157</v>
      </c>
      <c r="N38" t="s">
        <v>2155</v>
      </c>
    </row>
    <row r="39" spans="10:14" x14ac:dyDescent="0.25">
      <c r="M39" t="s">
        <v>4158</v>
      </c>
      <c r="N39" t="s">
        <v>2155</v>
      </c>
    </row>
    <row r="40" spans="10:14" x14ac:dyDescent="0.25">
      <c r="M40" t="s">
        <v>4159</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5" sqref="C5"/>
    </sheetView>
  </sheetViews>
  <sheetFormatPr defaultRowHeight="15" x14ac:dyDescent="0.25"/>
  <cols>
    <col min="1" max="1" width="14.28515625" bestFit="1" customWidth="1"/>
    <col min="2" max="2" width="13.140625" bestFit="1" customWidth="1"/>
    <col min="3" max="3" width="85.140625" bestFit="1" customWidth="1"/>
    <col min="4" max="4" width="15" bestFit="1" customWidth="1"/>
    <col min="5" max="5" width="65" bestFit="1" customWidth="1"/>
    <col min="6" max="6" width="38.140625" customWidth="1"/>
    <col min="7" max="7" width="61" bestFit="1" customWidth="1"/>
  </cols>
  <sheetData>
    <row r="1" spans="1:7" x14ac:dyDescent="0.25">
      <c r="A1" t="s">
        <v>165</v>
      </c>
      <c r="B1" t="s">
        <v>4053</v>
      </c>
      <c r="C1" t="s">
        <v>3462</v>
      </c>
      <c r="D1" t="s">
        <v>3513</v>
      </c>
      <c r="E1" t="s">
        <v>4160</v>
      </c>
      <c r="F1" t="s">
        <v>4161</v>
      </c>
      <c r="G1" t="s">
        <v>4054</v>
      </c>
    </row>
    <row r="2" spans="1:7" x14ac:dyDescent="0.25">
      <c r="A2" t="s">
        <v>4174</v>
      </c>
      <c r="B2" t="s">
        <v>4075</v>
      </c>
      <c r="C2" t="s">
        <v>4175</v>
      </c>
      <c r="D2" t="s">
        <v>4176</v>
      </c>
      <c r="E2" t="s">
        <v>4177</v>
      </c>
      <c r="F2" t="s">
        <v>4178</v>
      </c>
    </row>
    <row r="3" spans="1:7" x14ac:dyDescent="0.25">
      <c r="A3" t="s">
        <v>4066</v>
      </c>
      <c r="B3" t="s">
        <v>4058</v>
      </c>
      <c r="C3" t="s">
        <v>4203</v>
      </c>
      <c r="D3" t="s">
        <v>4204</v>
      </c>
      <c r="E3" t="s">
        <v>4205</v>
      </c>
      <c r="F3" t="s">
        <v>4206</v>
      </c>
    </row>
    <row r="4" spans="1:7" x14ac:dyDescent="0.25">
      <c r="A4" t="s">
        <v>4187</v>
      </c>
      <c r="B4" t="s">
        <v>4058</v>
      </c>
      <c r="C4" t="s">
        <v>4188</v>
      </c>
      <c r="D4" t="s">
        <v>4189</v>
      </c>
      <c r="E4" t="s">
        <v>4190</v>
      </c>
      <c r="F4" t="s">
        <v>4191</v>
      </c>
      <c r="G4" t="s">
        <v>4192</v>
      </c>
    </row>
    <row r="5" spans="1:7" x14ac:dyDescent="0.25">
      <c r="A5" t="s">
        <v>4198</v>
      </c>
      <c r="B5" t="s">
        <v>4075</v>
      </c>
      <c r="C5" t="s">
        <v>4199</v>
      </c>
      <c r="D5" t="s">
        <v>4200</v>
      </c>
      <c r="E5" t="s">
        <v>4201</v>
      </c>
      <c r="F5" t="s">
        <v>4202</v>
      </c>
    </row>
    <row r="6" spans="1:7" x14ac:dyDescent="0.25">
      <c r="A6" t="s">
        <v>4193</v>
      </c>
      <c r="B6" t="s">
        <v>4075</v>
      </c>
      <c r="C6" t="s">
        <v>4194</v>
      </c>
      <c r="D6" t="s">
        <v>4195</v>
      </c>
      <c r="E6" t="s">
        <v>4196</v>
      </c>
      <c r="F6" t="s">
        <v>4197</v>
      </c>
    </row>
    <row r="7" spans="1:7" x14ac:dyDescent="0.25">
      <c r="A7" t="s">
        <v>4182</v>
      </c>
      <c r="B7" t="s">
        <v>4058</v>
      </c>
      <c r="C7" t="s">
        <v>4183</v>
      </c>
      <c r="D7" t="s">
        <v>4184</v>
      </c>
      <c r="E7" t="s">
        <v>4185</v>
      </c>
      <c r="F7" t="s">
        <v>4186</v>
      </c>
    </row>
    <row r="8" spans="1:7" x14ac:dyDescent="0.25">
      <c r="A8" t="s">
        <v>4179</v>
      </c>
      <c r="B8" t="s">
        <v>4075</v>
      </c>
      <c r="C8" t="s">
        <v>3648</v>
      </c>
      <c r="D8" t="s">
        <v>4180</v>
      </c>
      <c r="E8" t="s">
        <v>3651</v>
      </c>
      <c r="F8" t="s">
        <v>4181</v>
      </c>
    </row>
    <row r="9" spans="1:7" x14ac:dyDescent="0.25">
      <c r="A9" t="s">
        <v>4166</v>
      </c>
      <c r="B9" t="s">
        <v>4058</v>
      </c>
      <c r="C9" t="s">
        <v>4167</v>
      </c>
      <c r="D9" t="s">
        <v>4168</v>
      </c>
      <c r="E9" t="s">
        <v>4169</v>
      </c>
      <c r="F9" t="s">
        <v>4170</v>
      </c>
    </row>
    <row r="10" spans="1:7" x14ac:dyDescent="0.25">
      <c r="A10" t="s">
        <v>4162</v>
      </c>
      <c r="B10" t="s">
        <v>4075</v>
      </c>
      <c r="C10" t="s">
        <v>3588</v>
      </c>
      <c r="D10" t="s">
        <v>4163</v>
      </c>
      <c r="E10" t="s">
        <v>4164</v>
      </c>
      <c r="F10" t="s">
        <v>4165</v>
      </c>
    </row>
    <row r="11" spans="1:7" x14ac:dyDescent="0.25">
      <c r="A11" t="s">
        <v>4171</v>
      </c>
      <c r="B11" t="s">
        <v>4086</v>
      </c>
      <c r="C11" t="s">
        <v>4087</v>
      </c>
      <c r="D11" t="s">
        <v>4088</v>
      </c>
      <c r="E11" t="s">
        <v>4172</v>
      </c>
      <c r="F11" t="s">
        <v>4173</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4.85546875" customWidth="1"/>
    <col min="8" max="8" width="26.42578125" bestFit="1" customWidth="1"/>
    <col min="9" max="9" width="17.85546875" bestFit="1" customWidth="1"/>
  </cols>
  <sheetData>
    <row r="1" spans="1:9" x14ac:dyDescent="0.25">
      <c r="A1" t="s">
        <v>165</v>
      </c>
      <c r="B1" t="s">
        <v>6</v>
      </c>
      <c r="C1" t="s">
        <v>4053</v>
      </c>
      <c r="D1" t="s">
        <v>4010</v>
      </c>
      <c r="E1" t="s">
        <v>4011</v>
      </c>
      <c r="F1" t="s">
        <v>4207</v>
      </c>
      <c r="G1" t="s">
        <v>4208</v>
      </c>
      <c r="H1" t="s">
        <v>3514</v>
      </c>
      <c r="I1" t="s">
        <v>171</v>
      </c>
    </row>
    <row r="2" spans="1:9" x14ac:dyDescent="0.25">
      <c r="A2" t="s">
        <v>4209</v>
      </c>
      <c r="B2" t="s">
        <v>41</v>
      </c>
      <c r="C2" t="s">
        <v>4058</v>
      </c>
      <c r="D2" t="s">
        <v>4210</v>
      </c>
      <c r="E2" t="s">
        <v>4211</v>
      </c>
      <c r="F2" t="s">
        <v>4212</v>
      </c>
      <c r="G2" t="s">
        <v>4213</v>
      </c>
      <c r="H2" t="s">
        <v>90</v>
      </c>
      <c r="I2" t="s">
        <v>4214</v>
      </c>
    </row>
    <row r="3" spans="1:9" x14ac:dyDescent="0.25">
      <c r="A3" t="s">
        <v>4215</v>
      </c>
      <c r="B3" t="s">
        <v>41</v>
      </c>
      <c r="C3" t="s">
        <v>4075</v>
      </c>
      <c r="D3" t="s">
        <v>4199</v>
      </c>
      <c r="E3" t="s">
        <v>4200</v>
      </c>
      <c r="F3" t="s">
        <v>4216</v>
      </c>
      <c r="G3" t="s">
        <v>4217</v>
      </c>
      <c r="H3" t="s">
        <v>90</v>
      </c>
      <c r="I3" t="s">
        <v>4218</v>
      </c>
    </row>
    <row r="4" spans="1:9" x14ac:dyDescent="0.25">
      <c r="A4" t="s">
        <v>4219</v>
      </c>
      <c r="B4" t="s">
        <v>41</v>
      </c>
      <c r="C4" t="s">
        <v>4075</v>
      </c>
      <c r="D4" t="s">
        <v>4220</v>
      </c>
      <c r="E4" t="s">
        <v>4221</v>
      </c>
      <c r="F4" t="s">
        <v>4222</v>
      </c>
      <c r="G4" t="s">
        <v>4223</v>
      </c>
      <c r="H4" t="s">
        <v>90</v>
      </c>
      <c r="I4" t="s">
        <v>4224</v>
      </c>
    </row>
    <row r="5" spans="1:9" x14ac:dyDescent="0.25">
      <c r="A5" t="s">
        <v>4225</v>
      </c>
      <c r="B5" t="s">
        <v>41</v>
      </c>
      <c r="C5" t="s">
        <v>4075</v>
      </c>
      <c r="D5" t="s">
        <v>4226</v>
      </c>
      <c r="E5" t="s">
        <v>4227</v>
      </c>
      <c r="F5" t="s">
        <v>4228</v>
      </c>
      <c r="G5" t="s">
        <v>4229</v>
      </c>
      <c r="H5" t="s">
        <v>90</v>
      </c>
      <c r="I5" t="s">
        <v>4230</v>
      </c>
    </row>
    <row r="6" spans="1:9" x14ac:dyDescent="0.25">
      <c r="A6" t="s">
        <v>4231</v>
      </c>
      <c r="B6" t="s">
        <v>3519</v>
      </c>
      <c r="C6" t="s">
        <v>4075</v>
      </c>
      <c r="D6" t="s">
        <v>3648</v>
      </c>
      <c r="E6" t="s">
        <v>4180</v>
      </c>
      <c r="F6" t="s">
        <v>4232</v>
      </c>
      <c r="G6" t="s">
        <v>4233</v>
      </c>
      <c r="H6" t="s">
        <v>90</v>
      </c>
      <c r="I6" t="s">
        <v>4234</v>
      </c>
    </row>
    <row r="7" spans="1:9" x14ac:dyDescent="0.25">
      <c r="A7" t="s">
        <v>4235</v>
      </c>
      <c r="B7" t="s">
        <v>41</v>
      </c>
      <c r="C7" t="s">
        <v>4075</v>
      </c>
      <c r="D7" t="s">
        <v>4236</v>
      </c>
      <c r="E7" t="s">
        <v>4237</v>
      </c>
      <c r="F7" t="s">
        <v>4238</v>
      </c>
      <c r="G7" t="s">
        <v>4239</v>
      </c>
      <c r="H7" t="s">
        <v>90</v>
      </c>
      <c r="I7" t="s">
        <v>4240</v>
      </c>
    </row>
    <row r="8" spans="1:9" x14ac:dyDescent="0.25">
      <c r="A8" t="s">
        <v>4241</v>
      </c>
      <c r="B8" t="s">
        <v>41</v>
      </c>
      <c r="C8" t="s">
        <v>4075</v>
      </c>
      <c r="D8" t="s">
        <v>4242</v>
      </c>
      <c r="E8" t="s">
        <v>4243</v>
      </c>
      <c r="F8" t="s">
        <v>4244</v>
      </c>
      <c r="G8" t="s">
        <v>4245</v>
      </c>
      <c r="H8" t="s">
        <v>90</v>
      </c>
      <c r="I8" t="s">
        <v>4246</v>
      </c>
    </row>
    <row r="9" spans="1:9" x14ac:dyDescent="0.25">
      <c r="A9" t="s">
        <v>4247</v>
      </c>
      <c r="B9" t="s">
        <v>41</v>
      </c>
      <c r="C9" t="s">
        <v>4058</v>
      </c>
      <c r="D9" t="s">
        <v>4248</v>
      </c>
      <c r="E9" t="s">
        <v>4249</v>
      </c>
      <c r="F9" t="s">
        <v>4250</v>
      </c>
      <c r="G9" t="s">
        <v>4251</v>
      </c>
      <c r="H9" t="s">
        <v>90</v>
      </c>
      <c r="I9" t="s">
        <v>4252</v>
      </c>
    </row>
    <row r="10" spans="1:9" x14ac:dyDescent="0.25">
      <c r="A10" t="s">
        <v>4253</v>
      </c>
      <c r="B10" t="s">
        <v>3531</v>
      </c>
      <c r="C10" t="s">
        <v>4075</v>
      </c>
      <c r="D10" t="s">
        <v>4254</v>
      </c>
      <c r="E10" t="s">
        <v>4255</v>
      </c>
      <c r="F10" t="s">
        <v>4256</v>
      </c>
      <c r="G10" t="s">
        <v>4257</v>
      </c>
      <c r="H10" t="s">
        <v>38</v>
      </c>
      <c r="I10" t="s">
        <v>4258</v>
      </c>
    </row>
    <row r="11" spans="1:9" x14ac:dyDescent="0.25">
      <c r="A11" t="s">
        <v>4259</v>
      </c>
      <c r="B11" t="s">
        <v>41</v>
      </c>
      <c r="C11" t="s">
        <v>4075</v>
      </c>
      <c r="D11" t="s">
        <v>4260</v>
      </c>
      <c r="E11" t="s">
        <v>4261</v>
      </c>
      <c r="F11" t="s">
        <v>4262</v>
      </c>
      <c r="G11" t="s">
        <v>4263</v>
      </c>
      <c r="H11" t="s">
        <v>2155</v>
      </c>
      <c r="I11" t="s">
        <v>3468</v>
      </c>
    </row>
    <row r="12" spans="1:9" x14ac:dyDescent="0.25">
      <c r="A12" t="s">
        <v>4264</v>
      </c>
      <c r="B12" t="s">
        <v>3519</v>
      </c>
      <c r="C12" t="s">
        <v>4075</v>
      </c>
      <c r="D12" t="s">
        <v>4265</v>
      </c>
      <c r="E12" t="s">
        <v>4266</v>
      </c>
      <c r="F12" t="s">
        <v>3468</v>
      </c>
      <c r="G12" t="s">
        <v>4267</v>
      </c>
      <c r="H12" t="s">
        <v>2155</v>
      </c>
      <c r="I12" t="s">
        <v>3468</v>
      </c>
    </row>
    <row r="13" spans="1:9" x14ac:dyDescent="0.25">
      <c r="A13" t="s">
        <v>4268</v>
      </c>
      <c r="B13" t="s">
        <v>3519</v>
      </c>
      <c r="C13" t="s">
        <v>4075</v>
      </c>
      <c r="D13" t="s">
        <v>4269</v>
      </c>
      <c r="E13" t="s">
        <v>4270</v>
      </c>
      <c r="F13" t="s">
        <v>4271</v>
      </c>
      <c r="G13" t="s">
        <v>4272</v>
      </c>
      <c r="H13" t="s">
        <v>2155</v>
      </c>
      <c r="I13" t="s">
        <v>3468</v>
      </c>
    </row>
    <row r="14" spans="1:9" x14ac:dyDescent="0.25">
      <c r="A14" t="s">
        <v>4273</v>
      </c>
      <c r="B14" t="s">
        <v>3531</v>
      </c>
      <c r="C14" t="s">
        <v>4075</v>
      </c>
      <c r="D14" t="s">
        <v>4274</v>
      </c>
      <c r="E14" t="s">
        <v>4275</v>
      </c>
      <c r="F14" t="s">
        <v>4276</v>
      </c>
      <c r="G14" t="s">
        <v>4277</v>
      </c>
      <c r="H14" t="s">
        <v>2155</v>
      </c>
      <c r="I14" t="s">
        <v>3468</v>
      </c>
    </row>
    <row r="15" spans="1:9" x14ac:dyDescent="0.25">
      <c r="A15" t="s">
        <v>4278</v>
      </c>
      <c r="B15" t="s">
        <v>41</v>
      </c>
      <c r="C15" t="s">
        <v>4058</v>
      </c>
      <c r="D15" t="s">
        <v>4248</v>
      </c>
      <c r="E15" t="s">
        <v>4249</v>
      </c>
      <c r="F15" t="s">
        <v>4279</v>
      </c>
      <c r="G15" t="s">
        <v>4280</v>
      </c>
      <c r="H15" t="s">
        <v>256</v>
      </c>
      <c r="I15" t="s">
        <v>3468</v>
      </c>
    </row>
    <row r="16" spans="1:9" x14ac:dyDescent="0.25">
      <c r="A16" t="s">
        <v>4281</v>
      </c>
      <c r="B16" t="s">
        <v>3531</v>
      </c>
      <c r="C16" t="s">
        <v>4086</v>
      </c>
      <c r="D16" t="s">
        <v>4282</v>
      </c>
      <c r="E16" t="s">
        <v>4267</v>
      </c>
      <c r="F16" t="s">
        <v>4282</v>
      </c>
      <c r="G16" t="s">
        <v>4267</v>
      </c>
      <c r="H16" t="s">
        <v>256</v>
      </c>
      <c r="I16" t="s">
        <v>3468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5"/>
  <sheetViews>
    <sheetView workbookViewId="0">
      <selection activeCell="G7" sqref="G7"/>
    </sheetView>
  </sheetViews>
  <sheetFormatPr defaultRowHeight="15" x14ac:dyDescent="0.25"/>
  <cols>
    <col min="1" max="1" width="23" bestFit="1" customWidth="1"/>
    <col min="2" max="2" width="10.140625" bestFit="1" customWidth="1"/>
    <col min="3" max="3" width="8.5703125" bestFit="1" customWidth="1"/>
    <col min="4" max="4" width="13.140625" bestFit="1" customWidth="1"/>
    <col min="5" max="5" width="15.28515625" bestFit="1" customWidth="1"/>
    <col min="6" max="6" width="10.28515625" bestFit="1" customWidth="1"/>
    <col min="7" max="7" width="70.42578125" bestFit="1" customWidth="1"/>
  </cols>
  <sheetData>
    <row r="1" spans="1:9" x14ac:dyDescent="0.25">
      <c r="A1" t="s">
        <v>165</v>
      </c>
      <c r="B1" t="s">
        <v>6</v>
      </c>
      <c r="C1" t="s">
        <v>1</v>
      </c>
      <c r="D1" t="s">
        <v>4053</v>
      </c>
      <c r="E1" t="s">
        <v>167</v>
      </c>
      <c r="F1" t="s">
        <v>7699</v>
      </c>
      <c r="G1" t="s">
        <v>3462</v>
      </c>
      <c r="H1" t="s">
        <v>3513</v>
      </c>
      <c r="I1" t="s">
        <v>171</v>
      </c>
    </row>
    <row r="2" spans="1:9" x14ac:dyDescent="0.25">
      <c r="A2" t="s">
        <v>3745</v>
      </c>
      <c r="B2" t="s">
        <v>3746</v>
      </c>
      <c r="C2" t="s">
        <v>1796</v>
      </c>
      <c r="D2" t="s">
        <v>4075</v>
      </c>
      <c r="E2" t="s">
        <v>7704</v>
      </c>
      <c r="F2">
        <v>1</v>
      </c>
      <c r="G2" t="s">
        <v>3747</v>
      </c>
      <c r="I2" t="s">
        <v>3468</v>
      </c>
    </row>
    <row r="3" spans="1:9" x14ac:dyDescent="0.25">
      <c r="A3" t="s">
        <v>7703</v>
      </c>
      <c r="B3" t="s">
        <v>41</v>
      </c>
      <c r="C3" t="s">
        <v>2155</v>
      </c>
      <c r="D3" t="s">
        <v>4086</v>
      </c>
      <c r="E3" t="s">
        <v>3459</v>
      </c>
      <c r="F3">
        <v>6</v>
      </c>
      <c r="G3" t="s">
        <v>4282</v>
      </c>
      <c r="I3" t="s">
        <v>3468</v>
      </c>
    </row>
    <row r="4" spans="1:9" x14ac:dyDescent="0.25">
      <c r="A4" t="s">
        <v>7706</v>
      </c>
      <c r="B4" t="s">
        <v>3519</v>
      </c>
      <c r="C4" t="s">
        <v>2155</v>
      </c>
      <c r="D4" t="s">
        <v>4075</v>
      </c>
      <c r="E4" t="s">
        <v>7705</v>
      </c>
      <c r="F4">
        <v>4</v>
      </c>
      <c r="G4" t="s">
        <v>7707</v>
      </c>
      <c r="I4" t="s">
        <v>3468</v>
      </c>
    </row>
    <row r="5" spans="1:9" x14ac:dyDescent="0.25">
      <c r="A5" t="s">
        <v>7709</v>
      </c>
      <c r="B5" t="s">
        <v>3531</v>
      </c>
      <c r="C5" t="s">
        <v>1796</v>
      </c>
      <c r="D5" t="s">
        <v>4058</v>
      </c>
      <c r="E5" t="s">
        <v>7704</v>
      </c>
      <c r="F5">
        <v>6</v>
      </c>
      <c r="G5" t="s">
        <v>7708</v>
      </c>
      <c r="I5" t="s">
        <v>3468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2" sqref="A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3762</v>
      </c>
      <c r="D1" t="s">
        <v>7</v>
      </c>
      <c r="E1" t="s">
        <v>6</v>
      </c>
      <c r="F1" t="s">
        <v>4283</v>
      </c>
      <c r="G1" t="s">
        <v>4284</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4285</v>
      </c>
      <c r="B2" t="s">
        <v>160</v>
      </c>
      <c r="C2" t="s">
        <v>4286</v>
      </c>
      <c r="D2" t="s">
        <v>4287</v>
      </c>
      <c r="E2" t="s">
        <v>41</v>
      </c>
      <c r="L2" t="s">
        <v>4288</v>
      </c>
      <c r="N2" t="s">
        <v>4289</v>
      </c>
      <c r="O2" t="s">
        <v>49</v>
      </c>
      <c r="Q2" t="s">
        <v>4290</v>
      </c>
      <c r="R2" t="s">
        <v>3555</v>
      </c>
      <c r="U2" t="s">
        <v>4291</v>
      </c>
    </row>
    <row r="3" spans="1:37" x14ac:dyDescent="0.25">
      <c r="A3" t="s">
        <v>4292</v>
      </c>
      <c r="B3" t="s">
        <v>2620</v>
      </c>
      <c r="C3" t="s">
        <v>4286</v>
      </c>
      <c r="D3" t="s">
        <v>4293</v>
      </c>
      <c r="E3" t="s">
        <v>41</v>
      </c>
      <c r="G3" t="s">
        <v>187</v>
      </c>
      <c r="N3" t="s">
        <v>4294</v>
      </c>
      <c r="O3" t="s">
        <v>49</v>
      </c>
      <c r="Q3" t="s">
        <v>4295</v>
      </c>
      <c r="R3" t="s">
        <v>3555</v>
      </c>
      <c r="U3" t="s">
        <v>4296</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4297</v>
      </c>
      <c r="B1" t="s">
        <v>1</v>
      </c>
      <c r="C1" t="s">
        <v>4298</v>
      </c>
      <c r="D1" t="s">
        <v>4299</v>
      </c>
      <c r="E1" t="s">
        <v>4300</v>
      </c>
      <c r="F1" t="s">
        <v>7</v>
      </c>
    </row>
    <row r="2" spans="1:6" x14ac:dyDescent="0.25">
      <c r="A2" t="s">
        <v>4301</v>
      </c>
      <c r="B2" t="s">
        <v>90</v>
      </c>
      <c r="C2" t="s">
        <v>4302</v>
      </c>
      <c r="D2" t="s">
        <v>4303</v>
      </c>
      <c r="E2" t="s">
        <v>3468</v>
      </c>
      <c r="F2" t="s">
        <v>4304</v>
      </c>
    </row>
    <row r="3" spans="1:6" x14ac:dyDescent="0.25">
      <c r="A3" t="s">
        <v>4305</v>
      </c>
      <c r="B3" t="s">
        <v>38</v>
      </c>
      <c r="C3" t="s">
        <v>4306</v>
      </c>
      <c r="D3" t="s">
        <v>4303</v>
      </c>
      <c r="E3">
        <v>3</v>
      </c>
      <c r="F3" t="s">
        <v>4305</v>
      </c>
    </row>
    <row r="4" spans="1:6" x14ac:dyDescent="0.25">
      <c r="A4" t="s">
        <v>4307</v>
      </c>
      <c r="B4" t="s">
        <v>38</v>
      </c>
      <c r="C4" t="s">
        <v>4308</v>
      </c>
      <c r="D4" t="s">
        <v>4303</v>
      </c>
      <c r="E4">
        <v>3</v>
      </c>
      <c r="F4" t="s">
        <v>4309</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3462</v>
      </c>
      <c r="C1" t="s">
        <v>3513</v>
      </c>
      <c r="D1" t="s">
        <v>4310</v>
      </c>
      <c r="E1" t="s">
        <v>4311</v>
      </c>
      <c r="F1" t="s">
        <v>4312</v>
      </c>
    </row>
    <row r="2" spans="1:6" x14ac:dyDescent="0.25">
      <c r="A2" t="s">
        <v>4313</v>
      </c>
      <c r="B2" t="s">
        <v>4314</v>
      </c>
      <c r="C2" t="s">
        <v>4315</v>
      </c>
      <c r="D2" t="s">
        <v>4316</v>
      </c>
      <c r="E2" t="s">
        <v>4317</v>
      </c>
      <c r="F2" t="s">
        <v>4313</v>
      </c>
    </row>
    <row r="3" spans="1:6" x14ac:dyDescent="0.25">
      <c r="A3" t="s">
        <v>7680</v>
      </c>
      <c r="B3" t="s">
        <v>7683</v>
      </c>
      <c r="E3" t="s">
        <v>7684</v>
      </c>
      <c r="F3" t="s">
        <v>7680</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3462</v>
      </c>
      <c r="D1" t="s">
        <v>3513</v>
      </c>
      <c r="E1" t="s">
        <v>4310</v>
      </c>
      <c r="F1" t="s">
        <v>3450</v>
      </c>
      <c r="G1" t="s">
        <v>4312</v>
      </c>
    </row>
    <row r="2" spans="1:7" x14ac:dyDescent="0.25">
      <c r="A2" t="s">
        <v>4318</v>
      </c>
      <c r="B2" t="s">
        <v>4319</v>
      </c>
      <c r="C2" t="s">
        <v>4320</v>
      </c>
      <c r="D2" t="s">
        <v>4321</v>
      </c>
      <c r="E2" t="s">
        <v>4322</v>
      </c>
      <c r="F2">
        <v>1</v>
      </c>
      <c r="G2" t="s">
        <v>4318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4323</v>
      </c>
      <c r="F1" t="s">
        <v>3513</v>
      </c>
      <c r="G1" t="s">
        <v>4324</v>
      </c>
      <c r="H1" t="s">
        <v>7</v>
      </c>
    </row>
    <row r="2" spans="1:8" x14ac:dyDescent="0.25">
      <c r="B2" t="s">
        <v>4325</v>
      </c>
      <c r="C2" t="s">
        <v>3764</v>
      </c>
      <c r="D2" t="s">
        <v>41</v>
      </c>
      <c r="E2" t="s">
        <v>4326</v>
      </c>
      <c r="F2" t="s">
        <v>3468</v>
      </c>
      <c r="G2" t="s">
        <v>4327</v>
      </c>
    </row>
    <row r="3" spans="1:8" x14ac:dyDescent="0.25">
      <c r="B3" t="s">
        <v>4325</v>
      </c>
      <c r="C3" t="s">
        <v>3801</v>
      </c>
      <c r="D3" t="s">
        <v>41</v>
      </c>
      <c r="E3" t="s">
        <v>4328</v>
      </c>
      <c r="G3" t="s">
        <v>4329</v>
      </c>
    </row>
    <row r="4" spans="1:8" x14ac:dyDescent="0.25">
      <c r="B4" t="s">
        <v>4325</v>
      </c>
      <c r="C4" t="s">
        <v>3816</v>
      </c>
      <c r="D4" t="s">
        <v>41</v>
      </c>
      <c r="E4" t="s">
        <v>4330</v>
      </c>
      <c r="G4" t="s">
        <v>4331</v>
      </c>
    </row>
    <row r="5" spans="1:8" x14ac:dyDescent="0.25">
      <c r="B5" t="s">
        <v>4332</v>
      </c>
      <c r="C5" t="s">
        <v>3764</v>
      </c>
      <c r="D5" t="s">
        <v>41</v>
      </c>
      <c r="E5" t="s">
        <v>4333</v>
      </c>
      <c r="F5" t="s">
        <v>3468</v>
      </c>
      <c r="G5" t="s">
        <v>4334</v>
      </c>
    </row>
    <row r="6" spans="1:8" x14ac:dyDescent="0.25">
      <c r="B6" t="s">
        <v>4332</v>
      </c>
      <c r="C6" t="s">
        <v>3801</v>
      </c>
      <c r="D6" t="s">
        <v>41</v>
      </c>
      <c r="E6" t="s">
        <v>4335</v>
      </c>
      <c r="G6" t="s">
        <v>4336</v>
      </c>
    </row>
    <row r="7" spans="1:8" x14ac:dyDescent="0.25">
      <c r="B7" t="s">
        <v>4332</v>
      </c>
      <c r="C7" t="s">
        <v>3816</v>
      </c>
      <c r="D7" t="s">
        <v>41</v>
      </c>
      <c r="E7" t="s">
        <v>4337</v>
      </c>
      <c r="G7" t="s">
        <v>4338</v>
      </c>
    </row>
    <row r="8" spans="1:8" x14ac:dyDescent="0.25">
      <c r="B8" t="s">
        <v>4339</v>
      </c>
      <c r="C8" t="s">
        <v>3764</v>
      </c>
      <c r="D8" t="s">
        <v>41</v>
      </c>
      <c r="E8" t="s">
        <v>4340</v>
      </c>
      <c r="F8" t="s">
        <v>3468</v>
      </c>
    </row>
    <row r="9" spans="1:8" x14ac:dyDescent="0.25">
      <c r="B9" t="s">
        <v>4339</v>
      </c>
      <c r="C9" t="s">
        <v>3801</v>
      </c>
      <c r="D9" t="s">
        <v>41</v>
      </c>
      <c r="E9" t="s">
        <v>4341</v>
      </c>
    </row>
    <row r="10" spans="1:8" x14ac:dyDescent="0.25">
      <c r="B10" t="s">
        <v>4339</v>
      </c>
      <c r="C10" t="s">
        <v>3816</v>
      </c>
      <c r="D10" t="s">
        <v>41</v>
      </c>
      <c r="E10" t="s">
        <v>4342</v>
      </c>
    </row>
    <row r="11" spans="1:8" x14ac:dyDescent="0.25">
      <c r="B11" t="s">
        <v>4339</v>
      </c>
      <c r="C11" t="s">
        <v>3942</v>
      </c>
      <c r="D11" t="s">
        <v>41</v>
      </c>
      <c r="E11" t="s">
        <v>4343</v>
      </c>
      <c r="G11" t="s">
        <v>4344</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3756</v>
      </c>
      <c r="D1" t="s">
        <v>3759</v>
      </c>
      <c r="E1" t="s">
        <v>3760</v>
      </c>
      <c r="F1" t="s">
        <v>4345</v>
      </c>
      <c r="G1" t="s">
        <v>4283</v>
      </c>
      <c r="H1" t="s">
        <v>4346</v>
      </c>
      <c r="I1" t="s">
        <v>4347</v>
      </c>
    </row>
    <row r="2" spans="1:9" x14ac:dyDescent="0.25">
      <c r="A2" t="s">
        <v>4348</v>
      </c>
      <c r="B2" t="s">
        <v>2620</v>
      </c>
      <c r="C2" t="s">
        <v>3764</v>
      </c>
      <c r="D2" t="s">
        <v>3774</v>
      </c>
      <c r="E2" t="s">
        <v>4349</v>
      </c>
      <c r="F2" t="s">
        <v>3477</v>
      </c>
      <c r="G2" t="s">
        <v>4350</v>
      </c>
      <c r="H2" t="s">
        <v>4351</v>
      </c>
      <c r="I2" t="s">
        <v>3694</v>
      </c>
    </row>
    <row r="3" spans="1:9" x14ac:dyDescent="0.25">
      <c r="A3" t="s">
        <v>4352</v>
      </c>
      <c r="B3" t="s">
        <v>2620</v>
      </c>
      <c r="C3" t="s">
        <v>3764</v>
      </c>
      <c r="D3" t="s">
        <v>3766</v>
      </c>
      <c r="E3" t="s">
        <v>4353</v>
      </c>
      <c r="F3" t="s">
        <v>3477</v>
      </c>
      <c r="G3" t="s">
        <v>4350</v>
      </c>
      <c r="I3" t="s">
        <v>4354</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T59"/>
  <sheetViews>
    <sheetView tabSelected="1" topLeftCell="A6" workbookViewId="0">
      <selection activeCell="E36" sqref="E36"/>
    </sheetView>
  </sheetViews>
  <sheetFormatPr defaultRowHeight="15" x14ac:dyDescent="0.25"/>
  <cols>
    <col min="1" max="1" width="23.140625" bestFit="1" customWidth="1"/>
    <col min="2" max="2" width="47.85546875" customWidth="1"/>
    <col min="3" max="3" width="12.85546875" bestFit="1" customWidth="1"/>
    <col min="4" max="4" width="13.5703125" bestFit="1" customWidth="1"/>
    <col min="5" max="5" width="26.85546875" bestFit="1" customWidth="1"/>
    <col min="6" max="6" width="20.7109375" bestFit="1" customWidth="1"/>
    <col min="7" max="7" width="7.28515625" bestFit="1" customWidth="1"/>
    <col min="8" max="8" width="11.140625" bestFit="1" customWidth="1"/>
    <col min="9" max="9" width="14.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4.42578125" customWidth="1"/>
    <col min="17" max="17" width="26.85546875" bestFit="1" customWidth="1"/>
    <col min="18" max="18" width="16.7109375" bestFit="1" customWidth="1"/>
    <col min="19" max="19" width="4.5703125" customWidth="1"/>
    <col min="20" max="20" width="14.140625" bestFit="1" customWidth="1"/>
    <col min="21" max="21" width="7.7109375" bestFit="1" customWidth="1"/>
    <col min="22" max="22" width="13.5703125" bestFit="1" customWidth="1"/>
    <col min="23" max="23" width="11.42578125" bestFit="1" customWidth="1"/>
    <col min="24" max="24" width="13.5703125" bestFit="1" customWidth="1"/>
    <col min="25" max="25" width="10.7109375" bestFit="1" customWidth="1"/>
  </cols>
  <sheetData>
    <row r="1" spans="1:20" x14ac:dyDescent="0.25">
      <c r="A1" t="s">
        <v>7616</v>
      </c>
      <c r="B1" t="s">
        <v>7617</v>
      </c>
      <c r="C1" t="s">
        <v>7636</v>
      </c>
      <c r="D1" t="s">
        <v>7544</v>
      </c>
      <c r="E1" t="s">
        <v>7545</v>
      </c>
      <c r="F1" t="s">
        <v>7603</v>
      </c>
      <c r="G1" t="s">
        <v>7645</v>
      </c>
      <c r="H1" t="s">
        <v>7546</v>
      </c>
      <c r="I1" t="s">
        <v>7547</v>
      </c>
      <c r="J1" t="s">
        <v>7604</v>
      </c>
      <c r="K1" t="s">
        <v>7646</v>
      </c>
      <c r="L1" t="s">
        <v>7548</v>
      </c>
      <c r="M1" t="s">
        <v>7549</v>
      </c>
      <c r="N1" t="s">
        <v>7606</v>
      </c>
      <c r="O1" t="s">
        <v>7647</v>
      </c>
      <c r="Q1" t="s">
        <v>7625</v>
      </c>
      <c r="R1" t="s">
        <v>7626</v>
      </c>
      <c r="T1" t="s">
        <v>7648</v>
      </c>
    </row>
    <row r="2" spans="1:20" x14ac:dyDescent="0.25">
      <c r="A2" t="s">
        <v>3518</v>
      </c>
      <c r="B2" t="s">
        <v>7618</v>
      </c>
      <c r="C2" t="s">
        <v>7651</v>
      </c>
      <c r="D2" t="s">
        <v>3450</v>
      </c>
      <c r="E2" t="s">
        <v>7552</v>
      </c>
      <c r="F2" t="s">
        <v>3532</v>
      </c>
      <c r="G2" t="s">
        <v>7628</v>
      </c>
      <c r="H2" t="s">
        <v>3450</v>
      </c>
      <c r="I2" t="s">
        <v>7610</v>
      </c>
      <c r="J2" t="s">
        <v>3532</v>
      </c>
      <c r="K2" t="s">
        <v>7628</v>
      </c>
      <c r="L2" t="s">
        <v>7664</v>
      </c>
      <c r="M2" t="s">
        <v>7639</v>
      </c>
      <c r="N2" t="s">
        <v>7605</v>
      </c>
      <c r="O2" t="s">
        <v>7628</v>
      </c>
      <c r="Q2" t="s">
        <v>3452</v>
      </c>
      <c r="R2" t="s">
        <v>7628</v>
      </c>
    </row>
    <row r="3" spans="1:20" x14ac:dyDescent="0.25">
      <c r="A3" t="s">
        <v>3525</v>
      </c>
      <c r="B3" t="s">
        <v>7618</v>
      </c>
      <c r="C3" t="s">
        <v>7651</v>
      </c>
      <c r="D3" t="s">
        <v>7662</v>
      </c>
      <c r="E3" t="s">
        <v>7551</v>
      </c>
      <c r="F3" t="s">
        <v>7607</v>
      </c>
      <c r="G3" t="s">
        <v>7628</v>
      </c>
      <c r="Q3" t="s">
        <v>7611</v>
      </c>
      <c r="R3" t="s">
        <v>7628</v>
      </c>
      <c r="T3" t="s">
        <v>7661</v>
      </c>
    </row>
    <row r="4" spans="1:20" x14ac:dyDescent="0.25">
      <c r="A4" t="s">
        <v>3530</v>
      </c>
      <c r="B4" t="s">
        <v>7618</v>
      </c>
      <c r="C4" t="s">
        <v>7651</v>
      </c>
      <c r="D4" t="s">
        <v>3537</v>
      </c>
      <c r="E4" t="s">
        <v>3452</v>
      </c>
      <c r="F4" t="s">
        <v>3532</v>
      </c>
      <c r="G4" t="s">
        <v>7628</v>
      </c>
      <c r="Q4" t="s">
        <v>7627</v>
      </c>
      <c r="R4" t="s">
        <v>7628</v>
      </c>
      <c r="T4" t="s">
        <v>3537</v>
      </c>
    </row>
    <row r="5" spans="1:20" x14ac:dyDescent="0.25">
      <c r="A5" t="s">
        <v>3539</v>
      </c>
      <c r="B5" t="s">
        <v>7618</v>
      </c>
      <c r="C5" t="s">
        <v>7651</v>
      </c>
      <c r="D5" t="s">
        <v>3537</v>
      </c>
      <c r="E5" t="s">
        <v>7696</v>
      </c>
      <c r="F5" t="s">
        <v>3540</v>
      </c>
      <c r="G5" t="s">
        <v>7628</v>
      </c>
      <c r="H5" t="s">
        <v>7550</v>
      </c>
      <c r="I5" t="s">
        <v>7620</v>
      </c>
      <c r="J5" t="s">
        <v>7608</v>
      </c>
      <c r="K5" t="s">
        <v>7629</v>
      </c>
      <c r="Q5" t="s">
        <v>4297</v>
      </c>
      <c r="R5" t="s">
        <v>7629</v>
      </c>
      <c r="T5" t="s">
        <v>3450</v>
      </c>
    </row>
    <row r="6" spans="1:20" x14ac:dyDescent="0.25">
      <c r="A6" t="s">
        <v>3545</v>
      </c>
      <c r="B6" t="s">
        <v>7634</v>
      </c>
      <c r="C6" t="s">
        <v>7651</v>
      </c>
      <c r="D6" t="s">
        <v>3450</v>
      </c>
      <c r="E6" t="s">
        <v>7552</v>
      </c>
      <c r="F6" t="s">
        <v>3532</v>
      </c>
      <c r="G6" t="s">
        <v>7628</v>
      </c>
      <c r="H6" t="s">
        <v>3450</v>
      </c>
      <c r="I6" t="s">
        <v>7610</v>
      </c>
      <c r="J6" t="s">
        <v>3532</v>
      </c>
      <c r="K6" t="s">
        <v>7628</v>
      </c>
      <c r="Q6" t="s">
        <v>7639</v>
      </c>
      <c r="R6" t="s">
        <v>7629</v>
      </c>
      <c r="T6" t="s">
        <v>3457</v>
      </c>
    </row>
    <row r="7" spans="1:20" x14ac:dyDescent="0.25">
      <c r="A7" t="s">
        <v>4285</v>
      </c>
      <c r="B7" t="s">
        <v>7654</v>
      </c>
      <c r="C7" t="s">
        <v>7638</v>
      </c>
      <c r="D7" t="s">
        <v>3537</v>
      </c>
      <c r="E7" t="s">
        <v>3451</v>
      </c>
      <c r="F7" t="s">
        <v>7660</v>
      </c>
      <c r="G7" t="s">
        <v>7628</v>
      </c>
      <c r="H7" t="s">
        <v>3450</v>
      </c>
      <c r="I7" t="s">
        <v>7610</v>
      </c>
      <c r="J7" t="s">
        <v>7655</v>
      </c>
      <c r="K7" t="s">
        <v>7629</v>
      </c>
      <c r="L7" t="s">
        <v>3450</v>
      </c>
      <c r="M7" t="s">
        <v>7610</v>
      </c>
      <c r="N7" t="s">
        <v>7609</v>
      </c>
      <c r="O7" t="s">
        <v>7628</v>
      </c>
      <c r="Q7" t="s">
        <v>7610</v>
      </c>
      <c r="R7" t="s">
        <v>7628</v>
      </c>
      <c r="T7" t="s">
        <v>7650</v>
      </c>
    </row>
    <row r="8" spans="1:20" x14ac:dyDescent="0.25">
      <c r="A8" t="s">
        <v>7656</v>
      </c>
      <c r="B8" t="s">
        <v>7657</v>
      </c>
      <c r="C8" t="s">
        <v>0</v>
      </c>
      <c r="D8" t="s">
        <v>7638</v>
      </c>
      <c r="E8" t="s">
        <v>7658</v>
      </c>
      <c r="F8" t="s">
        <v>7659</v>
      </c>
      <c r="G8" t="s">
        <v>7628</v>
      </c>
      <c r="Q8" t="s">
        <v>7620</v>
      </c>
      <c r="R8" t="s">
        <v>7628</v>
      </c>
      <c r="T8" t="s">
        <v>7662</v>
      </c>
    </row>
    <row r="9" spans="1:20" x14ac:dyDescent="0.25">
      <c r="A9" t="s">
        <v>3550</v>
      </c>
      <c r="B9" t="s">
        <v>7618</v>
      </c>
      <c r="C9" t="s">
        <v>7651</v>
      </c>
      <c r="D9" t="s">
        <v>3555</v>
      </c>
      <c r="E9" t="s">
        <v>7611</v>
      </c>
      <c r="F9" t="s">
        <v>3532</v>
      </c>
      <c r="G9" t="s">
        <v>7628</v>
      </c>
      <c r="H9" t="s">
        <v>3450</v>
      </c>
      <c r="I9" t="s">
        <v>7610</v>
      </c>
      <c r="J9" t="s">
        <v>7609</v>
      </c>
      <c r="K9" t="s">
        <v>7628</v>
      </c>
      <c r="Q9" t="s">
        <v>3460</v>
      </c>
      <c r="R9" t="s">
        <v>7628</v>
      </c>
    </row>
    <row r="10" spans="1:20" x14ac:dyDescent="0.25">
      <c r="A10" t="s">
        <v>7563</v>
      </c>
      <c r="B10" t="s">
        <v>7665</v>
      </c>
      <c r="C10" t="s">
        <v>4995</v>
      </c>
      <c r="D10" t="s">
        <v>7663</v>
      </c>
      <c r="E10" t="s">
        <v>7658</v>
      </c>
      <c r="F10" t="s">
        <v>7632</v>
      </c>
      <c r="G10" t="s">
        <v>7628</v>
      </c>
      <c r="Q10" t="s">
        <v>5731</v>
      </c>
      <c r="R10" t="s">
        <v>7628</v>
      </c>
      <c r="T10" t="s">
        <v>7650</v>
      </c>
    </row>
    <row r="11" spans="1:20" x14ac:dyDescent="0.25">
      <c r="A11" t="s">
        <v>3556</v>
      </c>
      <c r="B11" t="s">
        <v>7618</v>
      </c>
      <c r="C11" t="s">
        <v>7651</v>
      </c>
      <c r="D11" t="s">
        <v>3457</v>
      </c>
      <c r="E11" t="s">
        <v>7611</v>
      </c>
      <c r="F11" t="s">
        <v>3532</v>
      </c>
      <c r="G11" t="s">
        <v>7628</v>
      </c>
      <c r="H11" t="s">
        <v>3555</v>
      </c>
      <c r="I11" t="s">
        <v>7627</v>
      </c>
      <c r="J11" t="s">
        <v>3540</v>
      </c>
      <c r="K11" t="s">
        <v>7628</v>
      </c>
      <c r="Q11" t="s">
        <v>7552</v>
      </c>
      <c r="R11" t="s">
        <v>7628</v>
      </c>
      <c r="T11" t="s">
        <v>7651</v>
      </c>
    </row>
    <row r="12" spans="1:20" x14ac:dyDescent="0.25">
      <c r="A12" t="s">
        <v>3479</v>
      </c>
      <c r="B12" t="s">
        <v>3564</v>
      </c>
      <c r="C12" t="s">
        <v>7651</v>
      </c>
      <c r="D12" t="s">
        <v>3450</v>
      </c>
      <c r="E12" t="s">
        <v>7610</v>
      </c>
      <c r="F12" t="s">
        <v>7612</v>
      </c>
      <c r="G12" t="s">
        <v>7628</v>
      </c>
      <c r="Q12" t="s">
        <v>7614</v>
      </c>
      <c r="R12" t="s">
        <v>7628</v>
      </c>
      <c r="T12" t="s">
        <v>3606</v>
      </c>
    </row>
    <row r="13" spans="1:20" x14ac:dyDescent="0.25">
      <c r="A13" t="s">
        <v>3568</v>
      </c>
      <c r="B13" t="s">
        <v>7618</v>
      </c>
      <c r="C13" t="s">
        <v>7651</v>
      </c>
      <c r="D13" t="s">
        <v>3537</v>
      </c>
      <c r="E13" t="s">
        <v>7696</v>
      </c>
      <c r="F13" t="s">
        <v>3540</v>
      </c>
      <c r="G13" t="s">
        <v>7628</v>
      </c>
      <c r="H13" t="s">
        <v>7602</v>
      </c>
      <c r="I13" t="s">
        <v>7614</v>
      </c>
      <c r="J13" t="s">
        <v>3532</v>
      </c>
      <c r="K13" t="s">
        <v>7628</v>
      </c>
      <c r="Q13" t="s">
        <v>7621</v>
      </c>
      <c r="R13" t="s">
        <v>7628</v>
      </c>
    </row>
    <row r="14" spans="1:20" x14ac:dyDescent="0.25">
      <c r="A14" t="s">
        <v>3575</v>
      </c>
      <c r="B14" t="s">
        <v>7619</v>
      </c>
      <c r="C14" t="s">
        <v>7651</v>
      </c>
      <c r="D14" t="s">
        <v>7653</v>
      </c>
      <c r="E14" t="s">
        <v>4297</v>
      </c>
      <c r="F14" t="s">
        <v>3532</v>
      </c>
      <c r="G14" t="s">
        <v>7628</v>
      </c>
      <c r="H14" t="s">
        <v>7550</v>
      </c>
      <c r="I14" t="s">
        <v>7620</v>
      </c>
      <c r="J14" t="s">
        <v>3532</v>
      </c>
      <c r="K14" t="s">
        <v>7628</v>
      </c>
      <c r="Q14" t="s">
        <v>7696</v>
      </c>
      <c r="R14" t="s">
        <v>7628</v>
      </c>
      <c r="T14" t="s">
        <v>3606</v>
      </c>
    </row>
    <row r="15" spans="1:20" x14ac:dyDescent="0.25">
      <c r="A15" t="s">
        <v>7414</v>
      </c>
      <c r="B15" t="s">
        <v>7618</v>
      </c>
      <c r="C15" t="s">
        <v>7651</v>
      </c>
      <c r="D15" t="s">
        <v>7615</v>
      </c>
      <c r="E15" t="s">
        <v>7621</v>
      </c>
      <c r="F15" t="s">
        <v>3532</v>
      </c>
      <c r="G15" t="s">
        <v>7628</v>
      </c>
      <c r="Q15" t="s">
        <v>7551</v>
      </c>
      <c r="R15" t="s">
        <v>7628</v>
      </c>
      <c r="T15" t="s">
        <v>7613</v>
      </c>
    </row>
    <row r="16" spans="1:20" x14ac:dyDescent="0.25">
      <c r="A16" t="s">
        <v>3581</v>
      </c>
      <c r="B16" t="s">
        <v>7618</v>
      </c>
      <c r="C16" t="s">
        <v>7651</v>
      </c>
      <c r="D16" t="s">
        <v>3450</v>
      </c>
      <c r="E16" t="s">
        <v>7610</v>
      </c>
      <c r="F16" t="s">
        <v>7622</v>
      </c>
      <c r="G16" t="s">
        <v>7628</v>
      </c>
      <c r="Q16" t="s">
        <v>7631</v>
      </c>
      <c r="R16" t="s">
        <v>7628</v>
      </c>
      <c r="T16" t="s">
        <v>4052</v>
      </c>
    </row>
    <row r="17" spans="1:20" x14ac:dyDescent="0.25">
      <c r="A17" t="s">
        <v>3587</v>
      </c>
      <c r="B17" t="s">
        <v>7618</v>
      </c>
      <c r="C17" t="s">
        <v>7651</v>
      </c>
      <c r="D17" t="s">
        <v>3537</v>
      </c>
      <c r="E17" t="s">
        <v>5731</v>
      </c>
      <c r="F17" t="s">
        <v>3540</v>
      </c>
      <c r="G17" t="s">
        <v>7628</v>
      </c>
      <c r="Q17" t="s">
        <v>7640</v>
      </c>
      <c r="R17" t="s">
        <v>7628</v>
      </c>
      <c r="T17" t="s">
        <v>7615</v>
      </c>
    </row>
    <row r="18" spans="1:20" x14ac:dyDescent="0.25">
      <c r="A18" t="s">
        <v>3591</v>
      </c>
      <c r="B18" t="s">
        <v>7618</v>
      </c>
      <c r="C18" t="s">
        <v>7651</v>
      </c>
      <c r="D18" t="s">
        <v>7653</v>
      </c>
      <c r="E18" t="s">
        <v>3460</v>
      </c>
      <c r="F18" t="s">
        <v>7624</v>
      </c>
      <c r="G18" t="s">
        <v>7628</v>
      </c>
      <c r="Q18" t="s">
        <v>3451</v>
      </c>
      <c r="R18" t="s">
        <v>7628</v>
      </c>
      <c r="T18" t="s">
        <v>5477</v>
      </c>
    </row>
    <row r="19" spans="1:20" x14ac:dyDescent="0.25">
      <c r="A19" t="s">
        <v>3596</v>
      </c>
      <c r="B19" t="s">
        <v>7618</v>
      </c>
      <c r="C19" t="s">
        <v>7651</v>
      </c>
      <c r="D19" t="s">
        <v>7664</v>
      </c>
      <c r="E19" t="s">
        <v>7631</v>
      </c>
      <c r="F19" t="s">
        <v>7630</v>
      </c>
      <c r="G19" t="s">
        <v>7628</v>
      </c>
      <c r="Q19" t="s">
        <v>7642</v>
      </c>
      <c r="R19" t="s">
        <v>7628</v>
      </c>
      <c r="T19" t="s">
        <v>7700</v>
      </c>
    </row>
    <row r="20" spans="1:20" x14ac:dyDescent="0.25">
      <c r="A20" t="s">
        <v>3484</v>
      </c>
      <c r="B20" t="s">
        <v>7623</v>
      </c>
      <c r="C20" t="s">
        <v>7651</v>
      </c>
      <c r="D20" t="s">
        <v>3537</v>
      </c>
      <c r="E20" t="s">
        <v>3456</v>
      </c>
      <c r="F20" t="s">
        <v>7630</v>
      </c>
      <c r="G20" t="s">
        <v>7628</v>
      </c>
      <c r="Q20" t="s">
        <v>7644</v>
      </c>
      <c r="R20" t="s">
        <v>7628</v>
      </c>
    </row>
    <row r="21" spans="1:20" x14ac:dyDescent="0.25">
      <c r="A21" t="s">
        <v>3602</v>
      </c>
      <c r="B21" t="s">
        <v>7618</v>
      </c>
      <c r="C21" t="s">
        <v>7651</v>
      </c>
      <c r="D21" t="s">
        <v>3606</v>
      </c>
      <c r="E21" t="s">
        <v>7649</v>
      </c>
      <c r="F21" t="s">
        <v>7632</v>
      </c>
      <c r="G21" t="s">
        <v>7628</v>
      </c>
      <c r="Q21" t="s">
        <v>7649</v>
      </c>
      <c r="R21" t="s">
        <v>7628</v>
      </c>
    </row>
    <row r="22" spans="1:20" x14ac:dyDescent="0.25">
      <c r="A22" t="s">
        <v>3607</v>
      </c>
      <c r="B22" t="s">
        <v>7618</v>
      </c>
      <c r="C22" t="s">
        <v>7651</v>
      </c>
      <c r="D22" t="s">
        <v>3537</v>
      </c>
      <c r="E22" t="s">
        <v>5731</v>
      </c>
      <c r="F22" t="s">
        <v>3540</v>
      </c>
      <c r="G22" t="s">
        <v>7628</v>
      </c>
      <c r="H22" t="s">
        <v>7550</v>
      </c>
      <c r="I22" t="s">
        <v>7620</v>
      </c>
      <c r="J22" t="s">
        <v>7608</v>
      </c>
      <c r="K22" t="s">
        <v>7629</v>
      </c>
      <c r="Q22" t="s">
        <v>7652</v>
      </c>
      <c r="R22" t="s">
        <v>7628</v>
      </c>
    </row>
    <row r="23" spans="1:20" x14ac:dyDescent="0.25">
      <c r="A23" t="s">
        <v>131</v>
      </c>
      <c r="B23" t="s">
        <v>7633</v>
      </c>
      <c r="C23" t="s">
        <v>7651</v>
      </c>
      <c r="D23" t="s">
        <v>3537</v>
      </c>
      <c r="E23" t="s">
        <v>3451</v>
      </c>
      <c r="F23" t="s">
        <v>7622</v>
      </c>
      <c r="G23" t="s">
        <v>7628</v>
      </c>
      <c r="Q23" t="s">
        <v>7658</v>
      </c>
      <c r="R23" t="s">
        <v>7628</v>
      </c>
    </row>
    <row r="24" spans="1:20" x14ac:dyDescent="0.25">
      <c r="A24" t="s">
        <v>3615</v>
      </c>
      <c r="B24" t="s">
        <v>7618</v>
      </c>
      <c r="C24" t="s">
        <v>7651</v>
      </c>
      <c r="D24" t="s">
        <v>3450</v>
      </c>
      <c r="E24" t="s">
        <v>7552</v>
      </c>
      <c r="F24" t="s">
        <v>3532</v>
      </c>
      <c r="G24" t="s">
        <v>7628</v>
      </c>
      <c r="Q24" t="s">
        <v>3456</v>
      </c>
      <c r="R24" t="s">
        <v>7628</v>
      </c>
    </row>
    <row r="25" spans="1:20" x14ac:dyDescent="0.25">
      <c r="A25" t="s">
        <v>3620</v>
      </c>
      <c r="B25" t="s">
        <v>7618</v>
      </c>
      <c r="C25" t="s">
        <v>7651</v>
      </c>
      <c r="D25" t="s">
        <v>3457</v>
      </c>
      <c r="E25" t="s">
        <v>7611</v>
      </c>
      <c r="F25" t="s">
        <v>3532</v>
      </c>
      <c r="G25" t="s">
        <v>7628</v>
      </c>
      <c r="H25" t="s">
        <v>7635</v>
      </c>
      <c r="I25" t="s">
        <v>7640</v>
      </c>
      <c r="J25" t="s">
        <v>7609</v>
      </c>
      <c r="K25" t="s">
        <v>7628</v>
      </c>
      <c r="Q25" t="s">
        <v>4053</v>
      </c>
      <c r="R25" t="s">
        <v>7628</v>
      </c>
    </row>
    <row r="26" spans="1:20" x14ac:dyDescent="0.25">
      <c r="A26" t="s">
        <v>3624</v>
      </c>
      <c r="B26" t="s">
        <v>7634</v>
      </c>
      <c r="C26" t="s">
        <v>7651</v>
      </c>
      <c r="D26" t="s">
        <v>3450</v>
      </c>
      <c r="E26" t="s">
        <v>7610</v>
      </c>
      <c r="F26" t="s">
        <v>3532</v>
      </c>
      <c r="G26" t="s">
        <v>7629</v>
      </c>
      <c r="H26" t="s">
        <v>3537</v>
      </c>
      <c r="I26" t="s">
        <v>3451</v>
      </c>
      <c r="J26" t="s">
        <v>7630</v>
      </c>
      <c r="K26" t="s">
        <v>7628</v>
      </c>
      <c r="Q26" t="s">
        <v>7668</v>
      </c>
      <c r="R26" t="s">
        <v>7629</v>
      </c>
    </row>
    <row r="27" spans="1:20" x14ac:dyDescent="0.25">
      <c r="A27" t="s">
        <v>3629</v>
      </c>
      <c r="B27" t="s">
        <v>7618</v>
      </c>
      <c r="C27" t="s">
        <v>7651</v>
      </c>
      <c r="D27" t="s">
        <v>3600</v>
      </c>
      <c r="E27" t="s">
        <v>7642</v>
      </c>
      <c r="F27" t="s">
        <v>7612</v>
      </c>
      <c r="G27" t="s">
        <v>7628</v>
      </c>
      <c r="Q27" t="s">
        <v>7669</v>
      </c>
      <c r="R27" t="s">
        <v>7628</v>
      </c>
    </row>
    <row r="28" spans="1:20" x14ac:dyDescent="0.25">
      <c r="A28" t="s">
        <v>4318</v>
      </c>
      <c r="B28" t="s">
        <v>7637</v>
      </c>
      <c r="C28" t="s">
        <v>7641</v>
      </c>
      <c r="D28" t="s">
        <v>7664</v>
      </c>
      <c r="E28" t="s">
        <v>7644</v>
      </c>
      <c r="F28" t="s">
        <v>7643</v>
      </c>
      <c r="G28" t="s">
        <v>7628</v>
      </c>
      <c r="Q28" t="s">
        <v>7670</v>
      </c>
      <c r="R28" t="s">
        <v>7628</v>
      </c>
    </row>
    <row r="29" spans="1:20" x14ac:dyDescent="0.25">
      <c r="A29" t="s">
        <v>3457</v>
      </c>
      <c r="B29" t="s">
        <v>7695</v>
      </c>
      <c r="C29" t="s">
        <v>7233</v>
      </c>
      <c r="D29" t="s">
        <v>7664</v>
      </c>
      <c r="E29" t="s">
        <v>7644</v>
      </c>
      <c r="F29" t="s">
        <v>7609</v>
      </c>
      <c r="G29" t="s">
        <v>7628</v>
      </c>
      <c r="Q29" t="s">
        <v>7671</v>
      </c>
      <c r="R29" t="s">
        <v>7629</v>
      </c>
    </row>
    <row r="30" spans="1:20" x14ac:dyDescent="0.25">
      <c r="A30" t="s">
        <v>3632</v>
      </c>
      <c r="B30" t="s">
        <v>7619</v>
      </c>
      <c r="C30" t="s">
        <v>7651</v>
      </c>
      <c r="D30" t="s">
        <v>7550</v>
      </c>
      <c r="E30" t="s">
        <v>7620</v>
      </c>
      <c r="F30" t="s">
        <v>7666</v>
      </c>
      <c r="G30" t="s">
        <v>7628</v>
      </c>
      <c r="Q30" t="s">
        <v>7677</v>
      </c>
      <c r="R30" t="s">
        <v>7628</v>
      </c>
    </row>
    <row r="31" spans="1:20" x14ac:dyDescent="0.25">
      <c r="A31" t="s">
        <v>3637</v>
      </c>
      <c r="B31" t="s">
        <v>7618</v>
      </c>
      <c r="C31" t="s">
        <v>7651</v>
      </c>
      <c r="D31" t="s">
        <v>3537</v>
      </c>
      <c r="E31" t="s">
        <v>5731</v>
      </c>
      <c r="F31" t="s">
        <v>3540</v>
      </c>
      <c r="G31" t="s">
        <v>7628</v>
      </c>
      <c r="H31" t="s">
        <v>7602</v>
      </c>
      <c r="I31" t="s">
        <v>7667</v>
      </c>
      <c r="J31" t="s">
        <v>3540</v>
      </c>
      <c r="K31" t="s">
        <v>7628</v>
      </c>
      <c r="Q31" t="s">
        <v>7678</v>
      </c>
      <c r="R31" t="s">
        <v>7628</v>
      </c>
    </row>
    <row r="32" spans="1:20" x14ac:dyDescent="0.25">
      <c r="A32" t="s">
        <v>3642</v>
      </c>
      <c r="B32" t="s">
        <v>7618</v>
      </c>
      <c r="C32" t="s">
        <v>7651</v>
      </c>
      <c r="D32" t="s">
        <v>3537</v>
      </c>
      <c r="E32" t="s">
        <v>5731</v>
      </c>
      <c r="F32" t="s">
        <v>3540</v>
      </c>
      <c r="G32" t="s">
        <v>7628</v>
      </c>
      <c r="H32" t="s">
        <v>7550</v>
      </c>
      <c r="I32" t="s">
        <v>7620</v>
      </c>
      <c r="J32" t="s">
        <v>7608</v>
      </c>
      <c r="K32" t="s">
        <v>7629</v>
      </c>
      <c r="Q32" t="s">
        <v>3453</v>
      </c>
      <c r="R32" t="s">
        <v>7628</v>
      </c>
    </row>
    <row r="33" spans="1:18" x14ac:dyDescent="0.25">
      <c r="A33" t="s">
        <v>3647</v>
      </c>
      <c r="B33" t="s">
        <v>7618</v>
      </c>
      <c r="C33" t="s">
        <v>7651</v>
      </c>
      <c r="D33" t="s">
        <v>3450</v>
      </c>
      <c r="E33" t="s">
        <v>7552</v>
      </c>
      <c r="F33" t="s">
        <v>3532</v>
      </c>
      <c r="G33" t="s">
        <v>7628</v>
      </c>
      <c r="H33" t="s">
        <v>3450</v>
      </c>
      <c r="I33" t="s">
        <v>7610</v>
      </c>
      <c r="J33" t="s">
        <v>3532</v>
      </c>
      <c r="K33" t="s">
        <v>7628</v>
      </c>
      <c r="Q33" t="s">
        <v>3455</v>
      </c>
      <c r="R33" t="s">
        <v>7628</v>
      </c>
    </row>
    <row r="34" spans="1:18" x14ac:dyDescent="0.25">
      <c r="A34" t="s">
        <v>3650</v>
      </c>
      <c r="B34" t="s">
        <v>7618</v>
      </c>
      <c r="C34" t="s">
        <v>7651</v>
      </c>
      <c r="D34" t="s">
        <v>3450</v>
      </c>
      <c r="E34" t="s">
        <v>7552</v>
      </c>
      <c r="F34" t="s">
        <v>3532</v>
      </c>
      <c r="G34" t="s">
        <v>7628</v>
      </c>
      <c r="H34" t="s">
        <v>3450</v>
      </c>
      <c r="I34" t="s">
        <v>7610</v>
      </c>
      <c r="J34" t="s">
        <v>3532</v>
      </c>
      <c r="K34" t="s">
        <v>7628</v>
      </c>
      <c r="Q34" t="s">
        <v>7694</v>
      </c>
      <c r="R34" t="s">
        <v>7628</v>
      </c>
    </row>
    <row r="35" spans="1:18" x14ac:dyDescent="0.25">
      <c r="A35" t="s">
        <v>3654</v>
      </c>
      <c r="B35" t="s">
        <v>7618</v>
      </c>
      <c r="C35" t="s">
        <v>7651</v>
      </c>
      <c r="D35" t="s">
        <v>3450</v>
      </c>
      <c r="E35" t="s">
        <v>7610</v>
      </c>
      <c r="F35" t="s">
        <v>7612</v>
      </c>
      <c r="G35" t="s">
        <v>7628</v>
      </c>
      <c r="Q35" t="s">
        <v>7697</v>
      </c>
      <c r="R35" t="s">
        <v>7628</v>
      </c>
    </row>
    <row r="36" spans="1:18" x14ac:dyDescent="0.25">
      <c r="A36" t="s">
        <v>3659</v>
      </c>
      <c r="B36" t="s">
        <v>7618</v>
      </c>
      <c r="C36" t="s">
        <v>7651</v>
      </c>
      <c r="D36" t="s">
        <v>3600</v>
      </c>
      <c r="E36" t="s">
        <v>7668</v>
      </c>
      <c r="F36" t="s">
        <v>3532</v>
      </c>
      <c r="G36" t="s">
        <v>7628</v>
      </c>
      <c r="H36" t="s">
        <v>3600</v>
      </c>
      <c r="I36" t="s">
        <v>7669</v>
      </c>
      <c r="J36" t="s">
        <v>3532</v>
      </c>
      <c r="K36" t="s">
        <v>7628</v>
      </c>
      <c r="Q36" t="s">
        <v>7698</v>
      </c>
      <c r="R36" t="s">
        <v>7628</v>
      </c>
    </row>
    <row r="37" spans="1:18" x14ac:dyDescent="0.25">
      <c r="A37" t="s">
        <v>3664</v>
      </c>
      <c r="B37" t="s">
        <v>7618</v>
      </c>
      <c r="C37" t="s">
        <v>7651</v>
      </c>
      <c r="D37" t="s">
        <v>7602</v>
      </c>
      <c r="E37" t="s">
        <v>7614</v>
      </c>
      <c r="F37" t="s">
        <v>7630</v>
      </c>
      <c r="G37" t="s">
        <v>7628</v>
      </c>
      <c r="Q37" t="s">
        <v>7702</v>
      </c>
      <c r="R37" t="s">
        <v>7628</v>
      </c>
    </row>
    <row r="38" spans="1:18" x14ac:dyDescent="0.25">
      <c r="A38" t="s">
        <v>3669</v>
      </c>
      <c r="B38" t="s">
        <v>7618</v>
      </c>
      <c r="C38" t="s">
        <v>7651</v>
      </c>
      <c r="D38" t="s">
        <v>7602</v>
      </c>
      <c r="E38" t="s">
        <v>7614</v>
      </c>
      <c r="F38" t="s">
        <v>3532</v>
      </c>
      <c r="G38" t="s">
        <v>7628</v>
      </c>
    </row>
    <row r="39" spans="1:18" x14ac:dyDescent="0.25">
      <c r="A39" t="s">
        <v>3674</v>
      </c>
      <c r="B39" t="s">
        <v>7618</v>
      </c>
      <c r="C39" t="s">
        <v>7651</v>
      </c>
      <c r="D39" t="s">
        <v>5576</v>
      </c>
      <c r="E39" t="s">
        <v>7698</v>
      </c>
      <c r="F39" t="s">
        <v>3540</v>
      </c>
      <c r="G39" t="s">
        <v>7628</v>
      </c>
    </row>
    <row r="40" spans="1:18" x14ac:dyDescent="0.25">
      <c r="A40" t="s">
        <v>4798</v>
      </c>
      <c r="B40" t="s">
        <v>7618</v>
      </c>
      <c r="C40" t="s">
        <v>7651</v>
      </c>
      <c r="D40" t="s">
        <v>3537</v>
      </c>
      <c r="E40" t="s">
        <v>3451</v>
      </c>
      <c r="F40" t="s">
        <v>3532</v>
      </c>
      <c r="G40" t="s">
        <v>7628</v>
      </c>
    </row>
    <row r="41" spans="1:18" x14ac:dyDescent="0.25">
      <c r="A41" t="s">
        <v>3680</v>
      </c>
      <c r="B41" t="s">
        <v>7619</v>
      </c>
      <c r="C41" t="s">
        <v>7651</v>
      </c>
      <c r="D41" t="s">
        <v>5576</v>
      </c>
      <c r="E41" t="s">
        <v>7671</v>
      </c>
      <c r="F41" t="s">
        <v>3540</v>
      </c>
      <c r="G41" t="s">
        <v>7628</v>
      </c>
      <c r="H41" t="s">
        <v>3600</v>
      </c>
      <c r="I41" t="s">
        <v>7669</v>
      </c>
      <c r="J41" t="s">
        <v>3532</v>
      </c>
      <c r="K41" t="s">
        <v>7628</v>
      </c>
    </row>
    <row r="42" spans="1:18" x14ac:dyDescent="0.25">
      <c r="A42" t="s">
        <v>3684</v>
      </c>
      <c r="B42" t="s">
        <v>7618</v>
      </c>
      <c r="C42" t="s">
        <v>7651</v>
      </c>
      <c r="D42" t="s">
        <v>3537</v>
      </c>
      <c r="E42" t="s">
        <v>3451</v>
      </c>
      <c r="F42" t="s">
        <v>7672</v>
      </c>
      <c r="G42" t="s">
        <v>7628</v>
      </c>
    </row>
    <row r="43" spans="1:18" x14ac:dyDescent="0.25">
      <c r="A43" t="s">
        <v>3496</v>
      </c>
      <c r="B43" t="s">
        <v>7673</v>
      </c>
      <c r="C43" t="s">
        <v>7651</v>
      </c>
      <c r="D43" t="s">
        <v>3450</v>
      </c>
      <c r="E43" t="s">
        <v>7610</v>
      </c>
      <c r="F43" t="s">
        <v>7612</v>
      </c>
      <c r="G43" t="s">
        <v>7628</v>
      </c>
    </row>
    <row r="44" spans="1:18" x14ac:dyDescent="0.25">
      <c r="A44" t="s">
        <v>3690</v>
      </c>
      <c r="B44" t="s">
        <v>7618</v>
      </c>
      <c r="C44" t="s">
        <v>7651</v>
      </c>
      <c r="D44" t="s">
        <v>7635</v>
      </c>
      <c r="E44" t="s">
        <v>7640</v>
      </c>
      <c r="F44" t="s">
        <v>7630</v>
      </c>
      <c r="G44" t="s">
        <v>7628</v>
      </c>
    </row>
    <row r="45" spans="1:18" x14ac:dyDescent="0.25">
      <c r="A45" t="s">
        <v>7416</v>
      </c>
      <c r="B45" t="s">
        <v>7618</v>
      </c>
      <c r="C45" t="s">
        <v>7651</v>
      </c>
      <c r="D45" t="s">
        <v>5576</v>
      </c>
      <c r="E45" t="s">
        <v>7670</v>
      </c>
      <c r="F45" t="s">
        <v>7674</v>
      </c>
      <c r="G45" t="s">
        <v>7628</v>
      </c>
    </row>
    <row r="46" spans="1:18" x14ac:dyDescent="0.25">
      <c r="A46" t="s">
        <v>7425</v>
      </c>
      <c r="B46" t="s">
        <v>7618</v>
      </c>
      <c r="C46" t="s">
        <v>7651</v>
      </c>
      <c r="D46" t="s">
        <v>7662</v>
      </c>
      <c r="E46" t="s">
        <v>7551</v>
      </c>
      <c r="F46" t="s">
        <v>7675</v>
      </c>
      <c r="G46" t="s">
        <v>7628</v>
      </c>
    </row>
    <row r="47" spans="1:18" x14ac:dyDescent="0.25">
      <c r="A47" t="s">
        <v>3701</v>
      </c>
      <c r="B47" t="s">
        <v>7619</v>
      </c>
      <c r="C47" t="s">
        <v>7651</v>
      </c>
      <c r="D47" t="s">
        <v>7676</v>
      </c>
      <c r="E47" t="s">
        <v>7677</v>
      </c>
      <c r="F47" t="s">
        <v>3540</v>
      </c>
      <c r="G47" t="s">
        <v>7629</v>
      </c>
      <c r="H47" t="s">
        <v>3600</v>
      </c>
      <c r="I47" t="s">
        <v>7669</v>
      </c>
      <c r="J47" t="s">
        <v>3532</v>
      </c>
      <c r="K47" t="s">
        <v>7628</v>
      </c>
    </row>
    <row r="48" spans="1:18" x14ac:dyDescent="0.25">
      <c r="A48" t="s">
        <v>3705</v>
      </c>
      <c r="B48" t="s">
        <v>7619</v>
      </c>
      <c r="C48" t="s">
        <v>7651</v>
      </c>
      <c r="D48" t="s">
        <v>7615</v>
      </c>
      <c r="E48" t="s">
        <v>7678</v>
      </c>
      <c r="F48" t="s">
        <v>3540</v>
      </c>
      <c r="G48" t="s">
        <v>7628</v>
      </c>
    </row>
    <row r="49" spans="1:15" x14ac:dyDescent="0.25">
      <c r="A49" t="s">
        <v>3710</v>
      </c>
      <c r="B49" t="s">
        <v>7618</v>
      </c>
      <c r="C49" t="s">
        <v>7651</v>
      </c>
      <c r="D49" t="s">
        <v>3537</v>
      </c>
      <c r="E49" t="s">
        <v>3455</v>
      </c>
      <c r="F49" t="s">
        <v>7679</v>
      </c>
      <c r="G49" t="s">
        <v>7628</v>
      </c>
    </row>
    <row r="50" spans="1:15" x14ac:dyDescent="0.25">
      <c r="A50" t="s">
        <v>3714</v>
      </c>
      <c r="B50" t="s">
        <v>7618</v>
      </c>
      <c r="C50" t="s">
        <v>7651</v>
      </c>
      <c r="D50" t="s">
        <v>7635</v>
      </c>
      <c r="E50" t="s">
        <v>7640</v>
      </c>
      <c r="F50" t="s">
        <v>7630</v>
      </c>
      <c r="G50" t="s">
        <v>7628</v>
      </c>
    </row>
    <row r="51" spans="1:15" x14ac:dyDescent="0.25">
      <c r="A51" t="s">
        <v>3719</v>
      </c>
      <c r="B51" t="s">
        <v>7618</v>
      </c>
      <c r="C51" t="s">
        <v>7651</v>
      </c>
      <c r="D51" t="s">
        <v>3555</v>
      </c>
      <c r="E51" t="s">
        <v>7611</v>
      </c>
      <c r="F51" t="s">
        <v>3532</v>
      </c>
      <c r="G51" t="s">
        <v>7628</v>
      </c>
      <c r="H51" t="s">
        <v>7635</v>
      </c>
      <c r="I51" t="s">
        <v>7694</v>
      </c>
      <c r="J51" t="s">
        <v>7609</v>
      </c>
      <c r="K51" t="s">
        <v>7628</v>
      </c>
    </row>
    <row r="52" spans="1:15" x14ac:dyDescent="0.25">
      <c r="A52" t="s">
        <v>3723</v>
      </c>
      <c r="B52" t="s">
        <v>7618</v>
      </c>
      <c r="C52" t="s">
        <v>7651</v>
      </c>
      <c r="D52" t="s">
        <v>3450</v>
      </c>
      <c r="E52" t="s">
        <v>7552</v>
      </c>
      <c r="F52" t="s">
        <v>3532</v>
      </c>
      <c r="G52" t="s">
        <v>7628</v>
      </c>
      <c r="H52" t="s">
        <v>3450</v>
      </c>
      <c r="I52" t="s">
        <v>7610</v>
      </c>
      <c r="J52" t="s">
        <v>3532</v>
      </c>
      <c r="K52" t="s">
        <v>7628</v>
      </c>
      <c r="L52" t="s">
        <v>3537</v>
      </c>
      <c r="M52" t="s">
        <v>3452</v>
      </c>
      <c r="N52" t="s">
        <v>3532</v>
      </c>
      <c r="O52" t="s">
        <v>7628</v>
      </c>
    </row>
    <row r="53" spans="1:15" x14ac:dyDescent="0.25">
      <c r="A53" t="s">
        <v>3728</v>
      </c>
      <c r="B53" t="s">
        <v>7618</v>
      </c>
      <c r="C53" t="s">
        <v>7651</v>
      </c>
      <c r="D53" t="s">
        <v>3537</v>
      </c>
      <c r="E53" t="s">
        <v>3452</v>
      </c>
      <c r="F53" t="s">
        <v>3532</v>
      </c>
      <c r="G53" t="s">
        <v>7628</v>
      </c>
      <c r="H53" t="s">
        <v>3537</v>
      </c>
      <c r="I53" t="s">
        <v>7696</v>
      </c>
      <c r="J53" t="s">
        <v>3540</v>
      </c>
      <c r="K53" t="s">
        <v>7628</v>
      </c>
    </row>
    <row r="54" spans="1:15" x14ac:dyDescent="0.25">
      <c r="A54" t="s">
        <v>3733</v>
      </c>
      <c r="B54" t="s">
        <v>7618</v>
      </c>
      <c r="C54" t="s">
        <v>7651</v>
      </c>
      <c r="D54" t="s">
        <v>7618</v>
      </c>
      <c r="E54" t="s">
        <v>7697</v>
      </c>
      <c r="F54" t="s">
        <v>3540</v>
      </c>
      <c r="G54" t="s">
        <v>7628</v>
      </c>
    </row>
    <row r="55" spans="1:15" x14ac:dyDescent="0.25">
      <c r="A55" t="s">
        <v>3737</v>
      </c>
      <c r="B55" t="s">
        <v>7618</v>
      </c>
      <c r="C55" t="s">
        <v>7651</v>
      </c>
      <c r="D55" t="s">
        <v>7550</v>
      </c>
      <c r="E55" t="s">
        <v>7620</v>
      </c>
      <c r="F55" t="s">
        <v>7657</v>
      </c>
      <c r="G55" t="s">
        <v>7628</v>
      </c>
    </row>
    <row r="56" spans="1:15" x14ac:dyDescent="0.25">
      <c r="A56" t="s">
        <v>3742</v>
      </c>
      <c r="B56" t="s">
        <v>7618</v>
      </c>
      <c r="C56" t="s">
        <v>7651</v>
      </c>
      <c r="D56" t="s">
        <v>5576</v>
      </c>
      <c r="E56" t="s">
        <v>7670</v>
      </c>
      <c r="F56" t="s">
        <v>3540</v>
      </c>
      <c r="G56" t="s">
        <v>7628</v>
      </c>
    </row>
    <row r="57" spans="1:15" x14ac:dyDescent="0.25">
      <c r="A57" t="s">
        <v>3745</v>
      </c>
      <c r="B57" t="s">
        <v>7665</v>
      </c>
      <c r="C57" t="s">
        <v>7700</v>
      </c>
      <c r="D57" t="s">
        <v>7550</v>
      </c>
      <c r="E57" t="s">
        <v>7702</v>
      </c>
      <c r="F57" t="s">
        <v>7701</v>
      </c>
      <c r="G57" t="s">
        <v>7628</v>
      </c>
    </row>
    <row r="58" spans="1:15" x14ac:dyDescent="0.25">
      <c r="A58" t="s">
        <v>7419</v>
      </c>
      <c r="B58" t="s">
        <v>7618</v>
      </c>
      <c r="C58" t="s">
        <v>7651</v>
      </c>
      <c r="D58" t="s">
        <v>7615</v>
      </c>
      <c r="E58" t="s">
        <v>7621</v>
      </c>
      <c r="F58" t="s">
        <v>7657</v>
      </c>
      <c r="G58" t="s">
        <v>7628</v>
      </c>
    </row>
    <row r="59" spans="1:15" x14ac:dyDescent="0.25">
      <c r="A59" t="s">
        <v>3751</v>
      </c>
      <c r="B59" t="s">
        <v>7618</v>
      </c>
      <c r="C59" t="s">
        <v>7651</v>
      </c>
      <c r="D59" t="s">
        <v>3537</v>
      </c>
      <c r="E59" t="s">
        <v>3451</v>
      </c>
      <c r="F59" t="s">
        <v>7630</v>
      </c>
      <c r="G59" t="s">
        <v>7628</v>
      </c>
    </row>
  </sheetData>
  <phoneticPr fontId="10"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4355</v>
      </c>
    </row>
    <row r="2" spans="1:28" x14ac:dyDescent="0.25">
      <c r="A2" s="15" t="s">
        <v>4356</v>
      </c>
    </row>
    <row r="4" spans="1:28" ht="25.5" customHeight="1" x14ac:dyDescent="0.25">
      <c r="A4" s="16" t="s">
        <v>4357</v>
      </c>
      <c r="B4" s="16" t="s">
        <v>4358</v>
      </c>
      <c r="C4" s="16" t="s">
        <v>4359</v>
      </c>
      <c r="E4" s="16" t="s">
        <v>4360</v>
      </c>
      <c r="F4" s="16" t="s">
        <v>4361</v>
      </c>
      <c r="G4" s="16" t="s">
        <v>172</v>
      </c>
      <c r="I4" s="16" t="s">
        <v>4362</v>
      </c>
      <c r="J4" s="16" t="s">
        <v>4361</v>
      </c>
      <c r="K4" s="16" t="s">
        <v>172</v>
      </c>
      <c r="L4" s="16" t="s">
        <v>4363</v>
      </c>
      <c r="N4" s="16" t="s">
        <v>4364</v>
      </c>
      <c r="O4" s="16" t="s">
        <v>1</v>
      </c>
      <c r="P4" s="16" t="s">
        <v>4360</v>
      </c>
      <c r="R4" s="16" t="s">
        <v>4364</v>
      </c>
      <c r="S4" s="16" t="s">
        <v>4365</v>
      </c>
      <c r="T4" s="16" t="s">
        <v>4360</v>
      </c>
      <c r="V4" s="16" t="s">
        <v>166</v>
      </c>
      <c r="W4" s="16" t="s">
        <v>4361</v>
      </c>
      <c r="X4" s="16" t="s">
        <v>172</v>
      </c>
      <c r="Y4" s="16" t="s">
        <v>4366</v>
      </c>
      <c r="AA4" s="16" t="s">
        <v>4367</v>
      </c>
      <c r="AB4" s="16" t="s">
        <v>4366</v>
      </c>
    </row>
    <row r="5" spans="1:28" x14ac:dyDescent="0.25">
      <c r="A5" s="17" t="s">
        <v>4361</v>
      </c>
      <c r="B5" s="18">
        <f>COUNTA(games!$A$2:$A$950)</f>
        <v>854</v>
      </c>
      <c r="C5" s="19" t="s">
        <v>4368</v>
      </c>
      <c r="E5" t="s">
        <v>4369</v>
      </c>
      <c r="F5">
        <f>COUNTIF('Map Calc'!$D$2:$D$950,0)</f>
        <v>81</v>
      </c>
      <c r="G5">
        <f>COUNTIFS('Map Calc'!$D$2:$D$950,0,'Map Calc'!$P$2:$P$950,"Yes")</f>
        <v>47</v>
      </c>
      <c r="I5" t="s">
        <v>176</v>
      </c>
      <c r="J5">
        <f>COUNTIF(games!$C$2:$C$950,$I5)</f>
        <v>366</v>
      </c>
      <c r="K5">
        <f>COUNTIFS(games!$C$2:$C$950,$I5,games!$H$2:$H$950,"Yes")</f>
        <v>235</v>
      </c>
      <c r="L5" s="20">
        <f>IF($J5=0,0,$K5/$J5)</f>
        <v>0.64207650273224048</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4370</v>
      </c>
      <c r="B6" s="18">
        <f>COUNTIF(games!$H$2:$H$950,"Yes")</f>
        <v>523</v>
      </c>
      <c r="C6" s="19" t="s">
        <v>4371</v>
      </c>
      <c r="E6" t="s">
        <v>4372</v>
      </c>
      <c r="F6">
        <f>COUNTIF('Map Calc'!$D$2:$D$950,1)</f>
        <v>336</v>
      </c>
      <c r="G6">
        <f>COUNTIFS('Map Calc'!$D$2:$D$950,1,'Map Calc'!$P$2:$P$950,"Yes")</f>
        <v>199</v>
      </c>
      <c r="I6" t="s">
        <v>222</v>
      </c>
      <c r="J6">
        <f>COUNTIF(games!$C$2:$C$950,$I6)</f>
        <v>149</v>
      </c>
      <c r="K6">
        <f>COUNTIFS(games!$C$2:$C$950,$I6,games!$H$2:$H$950,"Yes")</f>
        <v>92</v>
      </c>
      <c r="L6" s="20">
        <f>IF($J6=0,0,$K6/$J6)</f>
        <v>0.6174496644295302</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4373</v>
      </c>
      <c r="B7" s="21">
        <f>IF(B5=0,0,B6/B5)</f>
        <v>0.61241217798594849</v>
      </c>
      <c r="C7" s="19" t="s">
        <v>4374</v>
      </c>
      <c r="E7" t="s">
        <v>4375</v>
      </c>
      <c r="F7">
        <f>COUNTIF('Map Calc'!$D$2:$D$950,2)</f>
        <v>203</v>
      </c>
      <c r="G7">
        <f>COUNTIFS('Map Calc'!$D$2:$D$950,2,'Map Calc'!$P$2:$P$950,"Yes")</f>
        <v>119</v>
      </c>
      <c r="I7" t="s">
        <v>182</v>
      </c>
      <c r="J7">
        <f>COUNTIF(games!$C$2:$C$950,$I7)</f>
        <v>176</v>
      </c>
      <c r="K7">
        <f>COUNTIFS(games!$C$2:$C$950,$I7,games!$H$2:$H$950,"Yes")</f>
        <v>92</v>
      </c>
      <c r="L7" s="20">
        <f>IF($J7=0,0,$K7/$J7)</f>
        <v>0.52272727272727271</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4366</v>
      </c>
      <c r="B8" s="18">
        <f>COUNTA(connections!$A$2:$A$1400)</f>
        <v>1227</v>
      </c>
      <c r="C8" s="19" t="s">
        <v>4376</v>
      </c>
      <c r="E8" t="s">
        <v>4377</v>
      </c>
      <c r="F8">
        <f>COUNTIF('Map Calc'!$D$2:$D$950,3)</f>
        <v>106</v>
      </c>
      <c r="G8">
        <f>COUNTIFS('Map Calc'!$D$2:$D$950,3,'Map Calc'!$P$2:$P$950,"Yes")</f>
        <v>66</v>
      </c>
      <c r="I8" t="s">
        <v>179</v>
      </c>
      <c r="J8">
        <f>COUNTIF(games!$C$2:$C$950,$I8)</f>
        <v>163</v>
      </c>
      <c r="K8">
        <f>COUNTIFS(games!$C$2:$C$950,$I8,games!$H$2:$H$950,"Yes")</f>
        <v>104</v>
      </c>
      <c r="L8" s="20">
        <f>IF($J8=0,0,$K8/$J8)</f>
        <v>0.6380368098159509</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4378</v>
      </c>
      <c r="B9" s="22">
        <f>IF(B5=0,0,2*B8/B5)</f>
        <v>2.8735362997658078</v>
      </c>
      <c r="C9" s="19" t="s">
        <v>4379</v>
      </c>
      <c r="E9" t="s">
        <v>4380</v>
      </c>
      <c r="F9">
        <f>COUNTIF('Map Calc'!$D$2:$D$950,4)</f>
        <v>44</v>
      </c>
      <c r="G9">
        <f>COUNTIFS('Map Calc'!$D$2:$D$950,4,'Map Calc'!$P$2:$P$950,"Yes")</f>
        <v>25</v>
      </c>
      <c r="I9" s="23" t="s">
        <v>39</v>
      </c>
      <c r="J9" s="23">
        <f>SUM(J5:J8)</f>
        <v>854</v>
      </c>
      <c r="K9" s="23">
        <f>SUM(K5:K8)</f>
        <v>523</v>
      </c>
      <c r="L9" s="24">
        <f>IF($J9=0,0,$K9/$J9)</f>
        <v>0.61241217798594849</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4381</v>
      </c>
      <c r="B10" s="22">
        <f>IFERROR(SUMIFS('Map Calc'!$D$2:$D$950,games!$H$2:$H$950,"Yes")/B6,0)</f>
        <v>3.5506692160611855</v>
      </c>
      <c r="C10" s="19" t="s">
        <v>4382</v>
      </c>
      <c r="E10" t="s">
        <v>4383</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4384</v>
      </c>
      <c r="B11" s="18">
        <f>MEDIAN('Map Calc'!$D$2:$D$950)</f>
        <v>2</v>
      </c>
      <c r="C11" s="19" t="s">
        <v>4385</v>
      </c>
      <c r="E11" t="s">
        <v>4386</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4387</v>
      </c>
      <c r="B12" s="18">
        <f>MAX('Map Calc'!$D$2:$D$950)</f>
        <v>146</v>
      </c>
      <c r="C12" s="19" t="s">
        <v>4388</v>
      </c>
      <c r="E12" t="s">
        <v>4389</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4390</v>
      </c>
      <c r="B13" s="18">
        <f>COUNTIF('Map Calc'!$D$2:$D$950,1)</f>
        <v>336</v>
      </c>
      <c r="C13" s="19" t="s">
        <v>4391</v>
      </c>
      <c r="E13" t="s">
        <v>4392</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4393</v>
      </c>
      <c r="B14" s="18">
        <f>COUNTIF('Map Calc'!$D$2:$D$950,0)</f>
        <v>81</v>
      </c>
      <c r="C14" s="19" t="s">
        <v>4394</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4395</v>
      </c>
      <c r="B15" s="18">
        <f>B13+B14</f>
        <v>417</v>
      </c>
      <c r="C15" s="19" t="s">
        <v>4396</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4397</v>
      </c>
      <c r="B16" s="18">
        <f>COUNTIFS(games!$H$2:$H$950,"Yes",'Map Calc'!$D$2:$D$950,"&gt;1")</f>
        <v>277</v>
      </c>
      <c r="C16" s="19" t="s">
        <v>4398</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4399</v>
      </c>
      <c r="AB16">
        <f>COUNTIFS('Map Calc'!$V$2:$V$1400,"&gt;=11",'Map Calc'!$V$2:$V$1400,"&lt;=20")</f>
        <v>145</v>
      </c>
    </row>
    <row r="17" spans="1:28" x14ac:dyDescent="0.25">
      <c r="A17" s="17" t="s">
        <v>4400</v>
      </c>
      <c r="B17" s="18">
        <f>COUNTIFS(games!$H$2:$H$950,"Yes",'Map Calc'!$D$2:$D$950,"&lt;=1")</f>
        <v>246</v>
      </c>
      <c r="C17" s="19" t="s">
        <v>4401</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4402</v>
      </c>
      <c r="AB17">
        <f>COUNTIF('Map Calc'!$V$2:$V$1400,"&gt;=21")</f>
        <v>84</v>
      </c>
    </row>
    <row r="18" spans="1:28" x14ac:dyDescent="0.25">
      <c r="A18" s="17" t="s">
        <v>4403</v>
      </c>
      <c r="B18" s="25">
        <f>SUMPRODUCT(('Map Calc'!$V$2:$V$1400&lt;&gt;"")*('Map Calc'!$V$2:$V$1400&lt;0))</f>
        <v>3</v>
      </c>
      <c r="C18" s="19" t="s">
        <v>4404</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4405</v>
      </c>
      <c r="B19" s="18">
        <f>SUMPRODUCT(('Map Calc'!$V$2:$V$1400&lt;&gt;"")*('Map Calc'!$V$2:$V$1400=0))</f>
        <v>11</v>
      </c>
      <c r="C19" s="19" t="s">
        <v>4406</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4407</v>
      </c>
      <c r="B20" s="26">
        <f>MEDIAN('Map Calc'!$V$2:$V$1400)</f>
        <v>5</v>
      </c>
      <c r="C20" s="19" t="s">
        <v>4408</v>
      </c>
      <c r="V20">
        <v>1993</v>
      </c>
      <c r="W20">
        <f>COUNTIF(games!$B$2:$B$950,$V20)</f>
        <v>2</v>
      </c>
      <c r="X20">
        <f>COUNTIFS(games!$B$2:$B$950,$V20,games!$H$2:$H$950,"Yes")</f>
        <v>1</v>
      </c>
      <c r="Y20">
        <f>COUNTIF('Map Calc'!$T$2:$T$1400,$V20)</f>
        <v>25</v>
      </c>
    </row>
    <row r="21" spans="1:28" x14ac:dyDescent="0.25">
      <c r="A21" s="17" t="s">
        <v>4409</v>
      </c>
      <c r="B21" s="18">
        <f>COUNTIF(connections!$D$2:$D$1400,"Yes")</f>
        <v>139</v>
      </c>
      <c r="C21" s="19" t="s">
        <v>4410</v>
      </c>
      <c r="V21">
        <v>1994</v>
      </c>
      <c r="W21">
        <f>COUNTIF(games!$B$2:$B$950,$V21)</f>
        <v>3</v>
      </c>
      <c r="X21">
        <f>COUNTIFS(games!$B$2:$B$950,$V21,games!$H$2:$H$950,"Yes")</f>
        <v>3</v>
      </c>
      <c r="Y21">
        <f>COUNTIF('Map Calc'!$T$2:$T$1400,$V21)</f>
        <v>22</v>
      </c>
    </row>
    <row r="22" spans="1:28" x14ac:dyDescent="0.25">
      <c r="A22" s="17" t="s">
        <v>4411</v>
      </c>
      <c r="B22" s="18">
        <f>COUNTA(connections!$E$2:$E$1400)</f>
        <v>1086</v>
      </c>
      <c r="C22" s="19" t="s">
        <v>4412</v>
      </c>
      <c r="V22">
        <v>1995</v>
      </c>
      <c r="W22">
        <f>COUNTIF(games!$B$2:$B$950,$V22)</f>
        <v>2</v>
      </c>
      <c r="X22">
        <f>COUNTIFS(games!$B$2:$B$950,$V22,games!$H$2:$H$950,"Yes")</f>
        <v>2</v>
      </c>
      <c r="Y22">
        <f>COUNTIF('Map Calc'!$T$2:$T$1400,$V22)</f>
        <v>12</v>
      </c>
    </row>
    <row r="23" spans="1:28" x14ac:dyDescent="0.25">
      <c r="A23" s="17" t="s">
        <v>4413</v>
      </c>
      <c r="B23" s="18">
        <f>COUNTIFS(games!$H$2:$H$950,"Yes",games!$J$2:$J$950,"")</f>
        <v>86</v>
      </c>
      <c r="C23" s="19" t="s">
        <v>4414</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7</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54</v>
      </c>
      <c r="Y51">
        <f>COUNTIF('Map Calc'!$T$2:$T$1400,$V51)</f>
        <v>18</v>
      </c>
    </row>
    <row r="52" spans="22:25" x14ac:dyDescent="0.25">
      <c r="V52">
        <v>2025</v>
      </c>
      <c r="W52">
        <f>COUNTIF(games!$B$2:$B$950,$V52)</f>
        <v>151</v>
      </c>
      <c r="X52">
        <f>COUNTIFS(games!$B$2:$B$950,$V52,games!$H$2:$H$950,"Yes")</f>
        <v>67</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3756</v>
      </c>
      <c r="C1" t="s">
        <v>1</v>
      </c>
      <c r="D1" t="s">
        <v>167</v>
      </c>
      <c r="E1" t="s">
        <v>3513</v>
      </c>
    </row>
    <row r="2" spans="1:5" ht="15" customHeight="1" x14ac:dyDescent="0.25">
      <c r="A2" t="s">
        <v>4415</v>
      </c>
      <c r="B2" t="s">
        <v>4416</v>
      </c>
      <c r="C2" t="s">
        <v>1047</v>
      </c>
      <c r="D2" t="s">
        <v>4417</v>
      </c>
      <c r="E2" t="s">
        <v>4418</v>
      </c>
    </row>
    <row r="3" spans="1:5" ht="15" customHeight="1" x14ac:dyDescent="0.25">
      <c r="A3" t="s">
        <v>4419</v>
      </c>
      <c r="B3" t="s">
        <v>4420</v>
      </c>
      <c r="C3" t="s">
        <v>1047</v>
      </c>
      <c r="D3" t="s">
        <v>4421</v>
      </c>
      <c r="E3" t="s">
        <v>4418</v>
      </c>
    </row>
    <row r="4" spans="1:5" ht="15" customHeight="1" x14ac:dyDescent="0.25">
      <c r="A4" t="s">
        <v>4422</v>
      </c>
      <c r="B4" t="s">
        <v>4420</v>
      </c>
      <c r="C4" t="s">
        <v>1047</v>
      </c>
      <c r="D4" t="s">
        <v>4423</v>
      </c>
      <c r="E4" t="s">
        <v>4418</v>
      </c>
    </row>
    <row r="5" spans="1:5" ht="15" customHeight="1" x14ac:dyDescent="0.25">
      <c r="A5" t="s">
        <v>4424</v>
      </c>
      <c r="B5" t="s">
        <v>4425</v>
      </c>
      <c r="C5" t="s">
        <v>1047</v>
      </c>
      <c r="D5" t="s">
        <v>4426</v>
      </c>
      <c r="E5" t="s">
        <v>4418</v>
      </c>
    </row>
    <row r="6" spans="1:5" ht="15" customHeight="1" x14ac:dyDescent="0.25">
      <c r="A6" t="s">
        <v>4427</v>
      </c>
      <c r="B6" t="s">
        <v>4425</v>
      </c>
      <c r="C6" t="s">
        <v>1047</v>
      </c>
      <c r="D6" t="s">
        <v>4428</v>
      </c>
      <c r="E6" t="s">
        <v>4418</v>
      </c>
    </row>
    <row r="7" spans="1:5" ht="15" customHeight="1" x14ac:dyDescent="0.25">
      <c r="A7" t="s">
        <v>4429</v>
      </c>
      <c r="B7" t="s">
        <v>4416</v>
      </c>
      <c r="C7" t="s">
        <v>160</v>
      </c>
      <c r="D7" t="s">
        <v>4417</v>
      </c>
      <c r="E7" t="s">
        <v>4430</v>
      </c>
    </row>
    <row r="8" spans="1:5" ht="15" customHeight="1" x14ac:dyDescent="0.25">
      <c r="A8" t="s">
        <v>4348</v>
      </c>
      <c r="B8" t="s">
        <v>4416</v>
      </c>
      <c r="C8" t="s">
        <v>160</v>
      </c>
      <c r="D8" t="s">
        <v>4431</v>
      </c>
      <c r="E8" t="s">
        <v>4430</v>
      </c>
    </row>
    <row r="9" spans="1:5" ht="15" customHeight="1" x14ac:dyDescent="0.25">
      <c r="A9" t="s">
        <v>4352</v>
      </c>
      <c r="B9" t="s">
        <v>4416</v>
      </c>
      <c r="C9" t="s">
        <v>160</v>
      </c>
      <c r="D9" t="s">
        <v>4432</v>
      </c>
      <c r="E9" t="s">
        <v>4430</v>
      </c>
    </row>
    <row r="10" spans="1:5" ht="15" customHeight="1" x14ac:dyDescent="0.25">
      <c r="A10" t="s">
        <v>4433</v>
      </c>
      <c r="B10" t="s">
        <v>4420</v>
      </c>
      <c r="C10" t="s">
        <v>160</v>
      </c>
      <c r="D10" t="s">
        <v>4421</v>
      </c>
      <c r="E10" t="s">
        <v>4430</v>
      </c>
    </row>
    <row r="11" spans="1:5" ht="15" customHeight="1" x14ac:dyDescent="0.25">
      <c r="A11" t="s">
        <v>4434</v>
      </c>
      <c r="B11" t="s">
        <v>4420</v>
      </c>
      <c r="C11" t="s">
        <v>160</v>
      </c>
      <c r="D11" t="s">
        <v>4435</v>
      </c>
      <c r="E11" t="s">
        <v>4430</v>
      </c>
    </row>
    <row r="12" spans="1:5" ht="15" customHeight="1" x14ac:dyDescent="0.25">
      <c r="A12" t="s">
        <v>4436</v>
      </c>
      <c r="B12" t="s">
        <v>4420</v>
      </c>
      <c r="C12" t="s">
        <v>160</v>
      </c>
      <c r="D12" t="s">
        <v>4428</v>
      </c>
      <c r="E12" t="s">
        <v>4430</v>
      </c>
    </row>
    <row r="13" spans="1:5" ht="15" customHeight="1" x14ac:dyDescent="0.25">
      <c r="A13" t="s">
        <v>4437</v>
      </c>
      <c r="B13" t="s">
        <v>4425</v>
      </c>
      <c r="C13" t="s">
        <v>160</v>
      </c>
      <c r="D13" t="s">
        <v>4438</v>
      </c>
      <c r="E13" t="s">
        <v>4430</v>
      </c>
    </row>
    <row r="14" spans="1:5" ht="15" customHeight="1" x14ac:dyDescent="0.25">
      <c r="A14" t="s">
        <v>4439</v>
      </c>
      <c r="B14" t="s">
        <v>4425</v>
      </c>
      <c r="C14" t="s">
        <v>160</v>
      </c>
      <c r="D14" t="s">
        <v>4440</v>
      </c>
      <c r="E14" t="s">
        <v>4430</v>
      </c>
    </row>
    <row r="15" spans="1:5" ht="15" customHeight="1" x14ac:dyDescent="0.25">
      <c r="A15" t="s">
        <v>4441</v>
      </c>
      <c r="B15" t="s">
        <v>4425</v>
      </c>
      <c r="C15" t="s">
        <v>160</v>
      </c>
      <c r="D15" t="s">
        <v>4442</v>
      </c>
      <c r="E15" t="s">
        <v>4430</v>
      </c>
    </row>
    <row r="16" spans="1:5" ht="15" customHeight="1" x14ac:dyDescent="0.25">
      <c r="A16" t="s">
        <v>4443</v>
      </c>
      <c r="B16" t="s">
        <v>4416</v>
      </c>
      <c r="C16" t="s">
        <v>1295</v>
      </c>
      <c r="D16" t="s">
        <v>4428</v>
      </c>
      <c r="E16" t="s">
        <v>4444</v>
      </c>
    </row>
    <row r="17" spans="1:5" ht="15" customHeight="1" x14ac:dyDescent="0.25">
      <c r="A17" t="s">
        <v>4445</v>
      </c>
      <c r="B17" t="s">
        <v>4416</v>
      </c>
      <c r="C17" t="s">
        <v>1295</v>
      </c>
      <c r="D17" t="s">
        <v>4431</v>
      </c>
      <c r="E17" t="s">
        <v>4444</v>
      </c>
    </row>
    <row r="18" spans="1:5" ht="15" customHeight="1" x14ac:dyDescent="0.25">
      <c r="A18" t="s">
        <v>4446</v>
      </c>
      <c r="B18" t="s">
        <v>4420</v>
      </c>
      <c r="C18" t="s">
        <v>1295</v>
      </c>
      <c r="D18" t="s">
        <v>4435</v>
      </c>
      <c r="E18" t="s">
        <v>4444</v>
      </c>
    </row>
    <row r="19" spans="1:5" ht="15" customHeight="1" x14ac:dyDescent="0.25">
      <c r="A19" t="s">
        <v>4442</v>
      </c>
      <c r="B19" t="s">
        <v>4420</v>
      </c>
      <c r="C19" t="s">
        <v>1295</v>
      </c>
      <c r="D19" t="s">
        <v>4442</v>
      </c>
      <c r="E19" t="s">
        <v>4444</v>
      </c>
    </row>
    <row r="20" spans="1:5" ht="15" customHeight="1" x14ac:dyDescent="0.25">
      <c r="A20" t="s">
        <v>4447</v>
      </c>
      <c r="B20" t="s">
        <v>4425</v>
      </c>
      <c r="C20" t="s">
        <v>1295</v>
      </c>
      <c r="D20" t="s">
        <v>4417</v>
      </c>
      <c r="E20" t="s">
        <v>4444</v>
      </c>
    </row>
    <row r="21" spans="1:5" ht="15" customHeight="1" x14ac:dyDescent="0.25">
      <c r="A21" t="s">
        <v>4448</v>
      </c>
      <c r="B21" t="s">
        <v>4416</v>
      </c>
      <c r="C21" t="s">
        <v>2137</v>
      </c>
      <c r="D21" t="s">
        <v>4449</v>
      </c>
      <c r="E21" t="s">
        <v>4450</v>
      </c>
    </row>
    <row r="22" spans="1:5" ht="15" customHeight="1" x14ac:dyDescent="0.25">
      <c r="A22" t="s">
        <v>4451</v>
      </c>
      <c r="B22" t="s">
        <v>4416</v>
      </c>
      <c r="C22" t="s">
        <v>2137</v>
      </c>
      <c r="D22" t="s">
        <v>4452</v>
      </c>
      <c r="E22" t="s">
        <v>4450</v>
      </c>
    </row>
    <row r="23" spans="1:5" ht="15" customHeight="1" x14ac:dyDescent="0.25">
      <c r="A23" t="s">
        <v>4453</v>
      </c>
      <c r="B23" t="s">
        <v>4416</v>
      </c>
      <c r="C23" t="s">
        <v>2137</v>
      </c>
      <c r="D23" t="s">
        <v>4423</v>
      </c>
      <c r="E23" t="s">
        <v>4450</v>
      </c>
    </row>
    <row r="24" spans="1:5" ht="15" customHeight="1" x14ac:dyDescent="0.25">
      <c r="A24" t="s">
        <v>4454</v>
      </c>
      <c r="B24" t="s">
        <v>4416</v>
      </c>
      <c r="C24" t="s">
        <v>2137</v>
      </c>
      <c r="D24" t="s">
        <v>4455</v>
      </c>
      <c r="E24" t="s">
        <v>4450</v>
      </c>
    </row>
    <row r="25" spans="1:5" ht="15" customHeight="1" x14ac:dyDescent="0.25">
      <c r="A25" t="s">
        <v>4456</v>
      </c>
      <c r="B25" t="s">
        <v>4420</v>
      </c>
      <c r="C25" t="s">
        <v>2137</v>
      </c>
      <c r="D25" t="s">
        <v>4423</v>
      </c>
      <c r="E25" t="s">
        <v>4450</v>
      </c>
    </row>
    <row r="26" spans="1:5" ht="15" customHeight="1" x14ac:dyDescent="0.25">
      <c r="A26" t="s">
        <v>4457</v>
      </c>
      <c r="B26" t="s">
        <v>4420</v>
      </c>
      <c r="C26" t="s">
        <v>2137</v>
      </c>
      <c r="D26" t="s">
        <v>4431</v>
      </c>
      <c r="E26" t="s">
        <v>4450</v>
      </c>
    </row>
    <row r="27" spans="1:5" ht="15" customHeight="1" x14ac:dyDescent="0.25">
      <c r="A27" t="s">
        <v>4458</v>
      </c>
      <c r="B27" t="s">
        <v>4420</v>
      </c>
      <c r="C27" t="s">
        <v>2137</v>
      </c>
      <c r="D27" t="s">
        <v>4449</v>
      </c>
      <c r="E27" t="s">
        <v>4450</v>
      </c>
    </row>
    <row r="28" spans="1:5" ht="15" customHeight="1" x14ac:dyDescent="0.25">
      <c r="A28" t="s">
        <v>4459</v>
      </c>
      <c r="B28" t="s">
        <v>4420</v>
      </c>
      <c r="C28" t="s">
        <v>2137</v>
      </c>
      <c r="D28" t="s">
        <v>4460</v>
      </c>
      <c r="E28" t="s">
        <v>4450</v>
      </c>
    </row>
    <row r="29" spans="1:5" ht="15" customHeight="1" x14ac:dyDescent="0.25">
      <c r="A29" t="s">
        <v>4461</v>
      </c>
      <c r="B29" t="s">
        <v>4425</v>
      </c>
      <c r="C29" t="s">
        <v>2137</v>
      </c>
      <c r="D29" t="s">
        <v>4462</v>
      </c>
      <c r="E29" t="s">
        <v>4450</v>
      </c>
    </row>
    <row r="30" spans="1:5" ht="15" customHeight="1" x14ac:dyDescent="0.25">
      <c r="A30" t="s">
        <v>4463</v>
      </c>
      <c r="B30" t="s">
        <v>4425</v>
      </c>
      <c r="C30" t="s">
        <v>2137</v>
      </c>
      <c r="D30" t="s">
        <v>4464</v>
      </c>
      <c r="E30" t="s">
        <v>4450</v>
      </c>
    </row>
    <row r="31" spans="1:5" ht="15" customHeight="1" x14ac:dyDescent="0.25">
      <c r="A31" t="s">
        <v>4465</v>
      </c>
      <c r="B31" t="s">
        <v>4416</v>
      </c>
      <c r="C31" t="s">
        <v>553</v>
      </c>
      <c r="D31" t="s">
        <v>4455</v>
      </c>
      <c r="E31" t="s">
        <v>4466</v>
      </c>
    </row>
    <row r="32" spans="1:5" ht="15" customHeight="1" x14ac:dyDescent="0.25">
      <c r="A32" t="s">
        <v>4467</v>
      </c>
      <c r="B32" t="s">
        <v>4425</v>
      </c>
      <c r="C32" t="s">
        <v>553</v>
      </c>
      <c r="D32" t="s">
        <v>4455</v>
      </c>
      <c r="E32" t="s">
        <v>4466</v>
      </c>
    </row>
    <row r="33" spans="1:5" ht="15" customHeight="1" x14ac:dyDescent="0.25">
      <c r="A33" t="s">
        <v>4468</v>
      </c>
      <c r="B33" t="s">
        <v>4420</v>
      </c>
      <c r="C33" t="s">
        <v>553</v>
      </c>
      <c r="D33" t="s">
        <v>4421</v>
      </c>
      <c r="E33" t="s">
        <v>4466</v>
      </c>
    </row>
    <row r="34" spans="1:5" ht="15" customHeight="1" x14ac:dyDescent="0.25">
      <c r="A34" t="s">
        <v>4469</v>
      </c>
      <c r="B34" t="s">
        <v>4425</v>
      </c>
      <c r="C34" t="s">
        <v>553</v>
      </c>
      <c r="D34" t="s">
        <v>4464</v>
      </c>
      <c r="E34" t="s">
        <v>4466</v>
      </c>
    </row>
    <row r="35" spans="1:5" ht="15" customHeight="1" x14ac:dyDescent="0.25">
      <c r="A35" t="s">
        <v>4470</v>
      </c>
      <c r="B35" t="s">
        <v>4420</v>
      </c>
      <c r="C35" t="s">
        <v>553</v>
      </c>
      <c r="D35" t="s">
        <v>4449</v>
      </c>
      <c r="E35" t="s">
        <v>4466</v>
      </c>
    </row>
    <row r="36" spans="1:5" ht="15" customHeight="1" x14ac:dyDescent="0.25">
      <c r="A36" t="s">
        <v>4471</v>
      </c>
      <c r="B36" t="s">
        <v>4416</v>
      </c>
      <c r="C36" t="s">
        <v>553</v>
      </c>
      <c r="D36" t="s">
        <v>4421</v>
      </c>
      <c r="E36" t="s">
        <v>4466</v>
      </c>
    </row>
    <row r="37" spans="1:5" ht="15" customHeight="1" x14ac:dyDescent="0.25">
      <c r="A37" t="s">
        <v>4472</v>
      </c>
      <c r="B37" t="s">
        <v>4416</v>
      </c>
      <c r="C37" t="s">
        <v>501</v>
      </c>
      <c r="D37" t="s">
        <v>4452</v>
      </c>
      <c r="E37" t="s">
        <v>4473</v>
      </c>
    </row>
    <row r="38" spans="1:5" ht="15" customHeight="1" x14ac:dyDescent="0.25">
      <c r="A38" t="s">
        <v>4474</v>
      </c>
      <c r="B38" t="s">
        <v>4420</v>
      </c>
      <c r="C38" t="s">
        <v>501</v>
      </c>
      <c r="D38" t="s">
        <v>4435</v>
      </c>
      <c r="E38" t="s">
        <v>4473</v>
      </c>
    </row>
    <row r="39" spans="1:5" ht="15" customHeight="1" x14ac:dyDescent="0.25">
      <c r="A39" t="s">
        <v>4475</v>
      </c>
      <c r="B39" t="s">
        <v>4425</v>
      </c>
      <c r="C39" t="s">
        <v>501</v>
      </c>
      <c r="D39" t="s">
        <v>4442</v>
      </c>
      <c r="E39" t="s">
        <v>4473</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3512</v>
      </c>
      <c r="C1" t="s">
        <v>167</v>
      </c>
      <c r="D1" t="s">
        <v>3462</v>
      </c>
      <c r="E1" t="s">
        <v>3513</v>
      </c>
      <c r="F1" t="s">
        <v>3514</v>
      </c>
      <c r="G1" t="s">
        <v>3515</v>
      </c>
      <c r="H1" t="s">
        <v>171</v>
      </c>
      <c r="I1" t="s">
        <v>4</v>
      </c>
      <c r="J1" t="s">
        <v>3517</v>
      </c>
    </row>
    <row r="2" spans="1:10" ht="15" customHeight="1" x14ac:dyDescent="0.25">
      <c r="A2" t="s">
        <v>3518</v>
      </c>
      <c r="B2" t="s">
        <v>3519</v>
      </c>
      <c r="C2" t="s">
        <v>3520</v>
      </c>
      <c r="D2" t="s">
        <v>4476</v>
      </c>
      <c r="E2" t="s">
        <v>4477</v>
      </c>
      <c r="F2" t="s">
        <v>497</v>
      </c>
      <c r="G2" t="s">
        <v>3523</v>
      </c>
      <c r="H2" t="s">
        <v>3524</v>
      </c>
      <c r="I2" t="s">
        <v>3468</v>
      </c>
      <c r="J2" t="s">
        <v>3450</v>
      </c>
    </row>
    <row r="3" spans="1:10" ht="15" customHeight="1" x14ac:dyDescent="0.25">
      <c r="A3" t="s">
        <v>3525</v>
      </c>
      <c r="B3" t="s">
        <v>41</v>
      </c>
      <c r="C3" t="s">
        <v>3526</v>
      </c>
      <c r="D3" t="s">
        <v>4478</v>
      </c>
      <c r="E3" t="s">
        <v>4479</v>
      </c>
      <c r="F3" t="s">
        <v>90</v>
      </c>
      <c r="G3" t="s">
        <v>3528</v>
      </c>
      <c r="H3" t="s">
        <v>3525</v>
      </c>
      <c r="I3" t="s">
        <v>3468</v>
      </c>
      <c r="J3" t="s">
        <v>3529</v>
      </c>
    </row>
    <row r="4" spans="1:10" ht="15" customHeight="1" x14ac:dyDescent="0.25">
      <c r="A4" t="s">
        <v>4480</v>
      </c>
      <c r="B4" t="s">
        <v>3531</v>
      </c>
      <c r="C4" t="s">
        <v>4481</v>
      </c>
      <c r="D4" t="s">
        <v>4482</v>
      </c>
      <c r="E4" t="s">
        <v>4483</v>
      </c>
      <c r="F4" t="s">
        <v>1650</v>
      </c>
      <c r="G4" t="s">
        <v>4484</v>
      </c>
      <c r="H4" t="s">
        <v>4485</v>
      </c>
      <c r="I4" t="s">
        <v>3468</v>
      </c>
      <c r="J4" t="s">
        <v>3529</v>
      </c>
    </row>
    <row r="5" spans="1:10" ht="15" customHeight="1" x14ac:dyDescent="0.25">
      <c r="A5" t="s">
        <v>4486</v>
      </c>
      <c r="B5" t="s">
        <v>41</v>
      </c>
      <c r="C5" t="s">
        <v>3540</v>
      </c>
      <c r="D5" t="s">
        <v>4487</v>
      </c>
      <c r="E5" t="s">
        <v>4488</v>
      </c>
      <c r="F5" t="s">
        <v>1047</v>
      </c>
      <c r="G5" t="s">
        <v>4489</v>
      </c>
      <c r="H5" t="s">
        <v>4490</v>
      </c>
      <c r="I5" t="s">
        <v>3468</v>
      </c>
      <c r="J5" t="s">
        <v>3537</v>
      </c>
    </row>
    <row r="6" spans="1:10" ht="15" customHeight="1" x14ac:dyDescent="0.25">
      <c r="A6" t="s">
        <v>4491</v>
      </c>
      <c r="B6" t="s">
        <v>3531</v>
      </c>
      <c r="C6" t="s">
        <v>4481</v>
      </c>
      <c r="D6" t="s">
        <v>4492</v>
      </c>
      <c r="E6" t="s">
        <v>4493</v>
      </c>
      <c r="F6" t="s">
        <v>1047</v>
      </c>
      <c r="G6" t="s">
        <v>4494</v>
      </c>
      <c r="H6" t="s">
        <v>4491</v>
      </c>
      <c r="I6" t="s">
        <v>3468</v>
      </c>
      <c r="J6" t="s">
        <v>4495</v>
      </c>
    </row>
    <row r="7" spans="1:10" ht="15" customHeight="1" x14ac:dyDescent="0.25">
      <c r="A7" t="s">
        <v>4496</v>
      </c>
      <c r="B7" t="s">
        <v>3531</v>
      </c>
      <c r="C7" t="s">
        <v>3526</v>
      </c>
      <c r="D7" t="s">
        <v>4497</v>
      </c>
      <c r="E7" t="s">
        <v>4498</v>
      </c>
      <c r="F7" t="s">
        <v>1650</v>
      </c>
      <c r="G7" t="s">
        <v>4499</v>
      </c>
      <c r="H7" t="s">
        <v>4500</v>
      </c>
      <c r="I7" t="s">
        <v>3468</v>
      </c>
      <c r="J7" t="s">
        <v>3529</v>
      </c>
    </row>
    <row r="8" spans="1:10" ht="15" customHeight="1" x14ac:dyDescent="0.25">
      <c r="A8" t="s">
        <v>4501</v>
      </c>
      <c r="B8" t="s">
        <v>3519</v>
      </c>
      <c r="C8" t="s">
        <v>4502</v>
      </c>
      <c r="D8" t="s">
        <v>4503</v>
      </c>
      <c r="E8" t="s">
        <v>4504</v>
      </c>
      <c r="F8" t="s">
        <v>1622</v>
      </c>
      <c r="G8" t="s">
        <v>4505</v>
      </c>
      <c r="H8" t="s">
        <v>4506</v>
      </c>
      <c r="I8" t="s">
        <v>3468</v>
      </c>
      <c r="J8" t="s">
        <v>3537</v>
      </c>
    </row>
    <row r="9" spans="1:10" ht="15" customHeight="1" x14ac:dyDescent="0.25">
      <c r="A9" t="s">
        <v>4507</v>
      </c>
      <c r="B9" t="s">
        <v>3519</v>
      </c>
      <c r="C9" t="s">
        <v>3526</v>
      </c>
      <c r="D9" t="s">
        <v>4508</v>
      </c>
      <c r="E9" t="s">
        <v>4509</v>
      </c>
      <c r="F9" t="s">
        <v>1650</v>
      </c>
      <c r="G9" t="s">
        <v>4510</v>
      </c>
      <c r="H9" t="s">
        <v>4511</v>
      </c>
      <c r="I9" t="s">
        <v>3468</v>
      </c>
      <c r="J9" t="s">
        <v>4512</v>
      </c>
    </row>
    <row r="10" spans="1:10" ht="15" customHeight="1" x14ac:dyDescent="0.25">
      <c r="A10" t="s">
        <v>4513</v>
      </c>
      <c r="B10" t="s">
        <v>3519</v>
      </c>
      <c r="C10" t="s">
        <v>3526</v>
      </c>
      <c r="D10" t="s">
        <v>4514</v>
      </c>
      <c r="E10" t="s">
        <v>4515</v>
      </c>
      <c r="F10" t="s">
        <v>90</v>
      </c>
      <c r="G10" t="s">
        <v>4516</v>
      </c>
      <c r="H10" t="s">
        <v>4517</v>
      </c>
      <c r="I10" t="s">
        <v>3468</v>
      </c>
      <c r="J10" t="s">
        <v>3450</v>
      </c>
    </row>
    <row r="11" spans="1:10" ht="15" customHeight="1" x14ac:dyDescent="0.25">
      <c r="A11" t="s">
        <v>4518</v>
      </c>
      <c r="B11" t="s">
        <v>41</v>
      </c>
      <c r="C11" t="s">
        <v>4481</v>
      </c>
      <c r="D11" t="s">
        <v>4519</v>
      </c>
      <c r="E11" t="s">
        <v>4520</v>
      </c>
      <c r="F11" t="s">
        <v>1105</v>
      </c>
      <c r="G11" t="s">
        <v>3913</v>
      </c>
      <c r="H11" t="s">
        <v>4521</v>
      </c>
      <c r="I11" t="s">
        <v>3468</v>
      </c>
      <c r="J11" t="s">
        <v>4495</v>
      </c>
    </row>
    <row r="12" spans="1:10" ht="15" customHeight="1" x14ac:dyDescent="0.25">
      <c r="A12" t="s">
        <v>4522</v>
      </c>
      <c r="B12" t="s">
        <v>3519</v>
      </c>
      <c r="C12" t="s">
        <v>4481</v>
      </c>
      <c r="D12" t="s">
        <v>4523</v>
      </c>
      <c r="E12" t="s">
        <v>4524</v>
      </c>
      <c r="F12" t="s">
        <v>1622</v>
      </c>
      <c r="H12" t="s">
        <v>4525</v>
      </c>
      <c r="I12" t="s">
        <v>3468</v>
      </c>
      <c r="J12" t="s">
        <v>4526</v>
      </c>
    </row>
    <row r="13" spans="1:10" ht="15" customHeight="1" x14ac:dyDescent="0.25">
      <c r="A13" t="s">
        <v>4527</v>
      </c>
      <c r="B13" t="s">
        <v>41</v>
      </c>
      <c r="C13" t="s">
        <v>3526</v>
      </c>
      <c r="D13" t="s">
        <v>4528</v>
      </c>
      <c r="E13" t="s">
        <v>4529</v>
      </c>
      <c r="F13" t="s">
        <v>90</v>
      </c>
      <c r="G13" t="s">
        <v>3548</v>
      </c>
      <c r="H13" t="s">
        <v>4530</v>
      </c>
      <c r="I13" t="s">
        <v>3468</v>
      </c>
      <c r="J13" t="s">
        <v>3450</v>
      </c>
    </row>
    <row r="14" spans="1:10" ht="15" customHeight="1" x14ac:dyDescent="0.25">
      <c r="A14" t="s">
        <v>4531</v>
      </c>
      <c r="B14" t="s">
        <v>41</v>
      </c>
      <c r="C14" t="s">
        <v>3557</v>
      </c>
      <c r="D14" t="s">
        <v>4532</v>
      </c>
      <c r="E14" t="s">
        <v>4533</v>
      </c>
      <c r="F14" t="s">
        <v>497</v>
      </c>
      <c r="G14" t="s">
        <v>4534</v>
      </c>
      <c r="H14" t="s">
        <v>4535</v>
      </c>
      <c r="I14" t="s">
        <v>3468</v>
      </c>
      <c r="J14" t="s">
        <v>3537</v>
      </c>
    </row>
    <row r="15" spans="1:10" ht="15" customHeight="1" x14ac:dyDescent="0.25">
      <c r="A15" t="s">
        <v>4536</v>
      </c>
      <c r="B15" t="s">
        <v>3468</v>
      </c>
      <c r="C15" t="s">
        <v>4537</v>
      </c>
      <c r="D15" t="s">
        <v>4538</v>
      </c>
      <c r="F15" t="s">
        <v>1295</v>
      </c>
      <c r="H15" t="s">
        <v>4539</v>
      </c>
      <c r="I15" t="s">
        <v>3468</v>
      </c>
      <c r="J15" t="s">
        <v>4537</v>
      </c>
    </row>
    <row r="16" spans="1:10" ht="15" customHeight="1" x14ac:dyDescent="0.25">
      <c r="A16" t="s">
        <v>4540</v>
      </c>
      <c r="B16" t="s">
        <v>3468</v>
      </c>
      <c r="C16" t="s">
        <v>4537</v>
      </c>
      <c r="D16" t="s">
        <v>4541</v>
      </c>
      <c r="F16" t="s">
        <v>1295</v>
      </c>
      <c r="H16" t="s">
        <v>4542</v>
      </c>
      <c r="I16" t="s">
        <v>3468</v>
      </c>
      <c r="J16" t="s">
        <v>4537</v>
      </c>
    </row>
    <row r="17" spans="1:10" ht="15" customHeight="1" x14ac:dyDescent="0.25">
      <c r="A17" t="s">
        <v>4543</v>
      </c>
      <c r="B17" t="s">
        <v>3468</v>
      </c>
      <c r="C17" t="s">
        <v>4537</v>
      </c>
      <c r="D17" t="s">
        <v>4544</v>
      </c>
      <c r="F17" t="s">
        <v>1295</v>
      </c>
      <c r="H17" t="s">
        <v>4545</v>
      </c>
      <c r="I17" t="s">
        <v>3468</v>
      </c>
      <c r="J17" t="s">
        <v>4537</v>
      </c>
    </row>
    <row r="18" spans="1:10" ht="15" customHeight="1" x14ac:dyDescent="0.25">
      <c r="A18" t="s">
        <v>4546</v>
      </c>
      <c r="B18" t="s">
        <v>3468</v>
      </c>
      <c r="C18" t="s">
        <v>4537</v>
      </c>
      <c r="D18" t="s">
        <v>4547</v>
      </c>
      <c r="F18" t="s">
        <v>1295</v>
      </c>
      <c r="H18" t="s">
        <v>4548</v>
      </c>
      <c r="I18" t="s">
        <v>3468</v>
      </c>
      <c r="J18" t="s">
        <v>4537</v>
      </c>
    </row>
    <row r="19" spans="1:10" ht="15" customHeight="1" x14ac:dyDescent="0.25">
      <c r="A19" t="s">
        <v>4549</v>
      </c>
      <c r="B19" t="s">
        <v>3468</v>
      </c>
      <c r="C19" t="s">
        <v>4537</v>
      </c>
      <c r="D19" t="s">
        <v>4550</v>
      </c>
      <c r="F19" t="s">
        <v>1295</v>
      </c>
      <c r="H19" t="s">
        <v>4551</v>
      </c>
      <c r="I19" t="s">
        <v>3468</v>
      </c>
      <c r="J19" t="s">
        <v>4537</v>
      </c>
    </row>
    <row r="20" spans="1:10" ht="15" customHeight="1" x14ac:dyDescent="0.25">
      <c r="A20" t="s">
        <v>4552</v>
      </c>
      <c r="B20" t="s">
        <v>3468</v>
      </c>
      <c r="C20" t="s">
        <v>4537</v>
      </c>
      <c r="D20" t="s">
        <v>4553</v>
      </c>
      <c r="F20" t="s">
        <v>1295</v>
      </c>
      <c r="H20" t="s">
        <v>4554</v>
      </c>
      <c r="I20" t="s">
        <v>3468</v>
      </c>
      <c r="J20" t="s">
        <v>4537</v>
      </c>
    </row>
    <row r="21" spans="1:10" ht="15" customHeight="1" x14ac:dyDescent="0.25">
      <c r="A21" t="s">
        <v>4555</v>
      </c>
      <c r="B21" t="s">
        <v>3531</v>
      </c>
      <c r="C21" t="s">
        <v>3540</v>
      </c>
      <c r="D21" t="s">
        <v>4556</v>
      </c>
      <c r="E21" t="s">
        <v>4557</v>
      </c>
      <c r="F21" t="s">
        <v>497</v>
      </c>
      <c r="G21" t="s">
        <v>3645</v>
      </c>
      <c r="H21" t="s">
        <v>4558</v>
      </c>
      <c r="I21" t="s">
        <v>3468</v>
      </c>
      <c r="J21" t="s">
        <v>4559</v>
      </c>
    </row>
    <row r="22" spans="1:10" ht="15" customHeight="1" x14ac:dyDescent="0.25">
      <c r="A22" t="s">
        <v>4560</v>
      </c>
      <c r="B22" t="s">
        <v>41</v>
      </c>
      <c r="C22" t="s">
        <v>4561</v>
      </c>
      <c r="D22" t="s">
        <v>4562</v>
      </c>
      <c r="E22" t="s">
        <v>4563</v>
      </c>
      <c r="F22" t="s">
        <v>1650</v>
      </c>
      <c r="G22" t="s">
        <v>4564</v>
      </c>
      <c r="H22" t="s">
        <v>4565</v>
      </c>
      <c r="I22" t="s">
        <v>3468</v>
      </c>
      <c r="J22" t="s">
        <v>3537</v>
      </c>
    </row>
    <row r="23" spans="1:10" ht="15" customHeight="1" x14ac:dyDescent="0.25">
      <c r="A23" t="s">
        <v>4566</v>
      </c>
      <c r="B23" t="s">
        <v>3519</v>
      </c>
      <c r="C23" t="s">
        <v>3526</v>
      </c>
      <c r="D23" t="s">
        <v>4567</v>
      </c>
      <c r="E23" t="s">
        <v>4568</v>
      </c>
      <c r="F23" t="s">
        <v>1650</v>
      </c>
      <c r="H23" t="s">
        <v>4569</v>
      </c>
      <c r="I23" t="s">
        <v>3468</v>
      </c>
      <c r="J23" t="s">
        <v>4512</v>
      </c>
    </row>
    <row r="24" spans="1:10" ht="15" customHeight="1" x14ac:dyDescent="0.25">
      <c r="A24" t="s">
        <v>4570</v>
      </c>
      <c r="B24" t="s">
        <v>3519</v>
      </c>
      <c r="C24" t="s">
        <v>3526</v>
      </c>
      <c r="D24" t="s">
        <v>4571</v>
      </c>
      <c r="E24" t="s">
        <v>4572</v>
      </c>
      <c r="F24" t="s">
        <v>1650</v>
      </c>
      <c r="G24" t="s">
        <v>4573</v>
      </c>
      <c r="H24" t="s">
        <v>4574</v>
      </c>
      <c r="I24" t="s">
        <v>3468</v>
      </c>
      <c r="J24" t="s">
        <v>3529</v>
      </c>
    </row>
    <row r="25" spans="1:10" ht="15" customHeight="1" x14ac:dyDescent="0.25">
      <c r="A25" t="s">
        <v>4575</v>
      </c>
      <c r="B25" t="s">
        <v>3531</v>
      </c>
      <c r="C25" t="s">
        <v>3526</v>
      </c>
      <c r="D25" t="s">
        <v>4576</v>
      </c>
      <c r="E25" t="s">
        <v>4577</v>
      </c>
      <c r="F25" t="s">
        <v>90</v>
      </c>
      <c r="G25" t="s">
        <v>4578</v>
      </c>
      <c r="H25" t="s">
        <v>4579</v>
      </c>
      <c r="I25" t="s">
        <v>3468</v>
      </c>
      <c r="J25" t="s">
        <v>4512</v>
      </c>
    </row>
    <row r="26" spans="1:10" ht="15" customHeight="1" x14ac:dyDescent="0.25">
      <c r="A26" t="s">
        <v>3479</v>
      </c>
      <c r="B26" t="s">
        <v>3564</v>
      </c>
      <c r="C26" t="s">
        <v>3526</v>
      </c>
      <c r="D26" t="s">
        <v>4580</v>
      </c>
      <c r="E26" t="s">
        <v>4581</v>
      </c>
      <c r="F26" t="s">
        <v>90</v>
      </c>
      <c r="H26" t="s">
        <v>3567</v>
      </c>
      <c r="I26" t="s">
        <v>3468</v>
      </c>
      <c r="J26" t="s">
        <v>3450</v>
      </c>
    </row>
    <row r="27" spans="1:10" ht="15" customHeight="1" x14ac:dyDescent="0.25">
      <c r="A27" t="s">
        <v>4582</v>
      </c>
      <c r="B27" t="s">
        <v>3519</v>
      </c>
      <c r="C27" t="s">
        <v>3540</v>
      </c>
      <c r="D27" t="s">
        <v>4583</v>
      </c>
      <c r="E27" t="s">
        <v>4584</v>
      </c>
      <c r="F27" t="s">
        <v>90</v>
      </c>
      <c r="G27" t="s">
        <v>3594</v>
      </c>
      <c r="H27" t="s">
        <v>4585</v>
      </c>
      <c r="I27" t="s">
        <v>3468</v>
      </c>
      <c r="J27" t="s">
        <v>4586</v>
      </c>
    </row>
    <row r="28" spans="1:10" ht="15" customHeight="1" x14ac:dyDescent="0.25">
      <c r="A28" t="s">
        <v>4587</v>
      </c>
      <c r="B28" t="s">
        <v>3531</v>
      </c>
      <c r="C28" t="s">
        <v>3540</v>
      </c>
      <c r="D28" t="s">
        <v>4588</v>
      </c>
      <c r="E28" t="s">
        <v>4589</v>
      </c>
      <c r="F28" t="s">
        <v>497</v>
      </c>
      <c r="H28" t="s">
        <v>4587</v>
      </c>
      <c r="I28" t="s">
        <v>3468</v>
      </c>
      <c r="J28" t="s">
        <v>3537</v>
      </c>
    </row>
    <row r="29" spans="1:10" ht="15" customHeight="1" x14ac:dyDescent="0.25">
      <c r="A29" t="s">
        <v>4590</v>
      </c>
      <c r="B29" t="s">
        <v>3519</v>
      </c>
      <c r="C29" t="s">
        <v>3526</v>
      </c>
      <c r="D29" t="s">
        <v>4591</v>
      </c>
      <c r="E29" t="s">
        <v>4592</v>
      </c>
      <c r="F29" t="s">
        <v>90</v>
      </c>
      <c r="G29" t="s">
        <v>3528</v>
      </c>
      <c r="H29" t="s">
        <v>4593</v>
      </c>
      <c r="I29" t="s">
        <v>3468</v>
      </c>
      <c r="J29" t="s">
        <v>3529</v>
      </c>
    </row>
    <row r="30" spans="1:10" ht="15" customHeight="1" x14ac:dyDescent="0.25">
      <c r="A30" t="s">
        <v>3581</v>
      </c>
      <c r="B30" t="s">
        <v>3531</v>
      </c>
      <c r="C30" t="s">
        <v>3526</v>
      </c>
      <c r="D30" t="s">
        <v>4594</v>
      </c>
      <c r="E30" t="s">
        <v>4595</v>
      </c>
      <c r="F30" t="s">
        <v>160</v>
      </c>
      <c r="H30" t="s">
        <v>3586</v>
      </c>
      <c r="I30" t="s">
        <v>3468</v>
      </c>
      <c r="J30" t="s">
        <v>3450</v>
      </c>
    </row>
    <row r="31" spans="1:10" ht="15" customHeight="1" x14ac:dyDescent="0.25">
      <c r="A31" t="s">
        <v>3587</v>
      </c>
      <c r="B31" t="s">
        <v>41</v>
      </c>
      <c r="C31" t="s">
        <v>4561</v>
      </c>
      <c r="D31" t="s">
        <v>4596</v>
      </c>
      <c r="E31" t="s">
        <v>4597</v>
      </c>
      <c r="F31" t="s">
        <v>1650</v>
      </c>
      <c r="G31" t="s">
        <v>4564</v>
      </c>
      <c r="H31" t="s">
        <v>3587</v>
      </c>
      <c r="I31" t="s">
        <v>3468</v>
      </c>
      <c r="J31" t="s">
        <v>3537</v>
      </c>
    </row>
    <row r="32" spans="1:10" ht="15" customHeight="1" x14ac:dyDescent="0.25">
      <c r="A32" t="s">
        <v>4598</v>
      </c>
      <c r="B32" t="s">
        <v>3531</v>
      </c>
      <c r="C32" t="s">
        <v>3526</v>
      </c>
      <c r="D32" t="s">
        <v>4599</v>
      </c>
      <c r="E32" t="s">
        <v>4600</v>
      </c>
      <c r="F32" t="s">
        <v>1323</v>
      </c>
      <c r="G32" t="s">
        <v>4601</v>
      </c>
      <c r="H32" t="s">
        <v>4602</v>
      </c>
      <c r="I32" t="s">
        <v>3468</v>
      </c>
      <c r="J32" t="s">
        <v>4603</v>
      </c>
    </row>
    <row r="33" spans="1:10" ht="15" customHeight="1" x14ac:dyDescent="0.25">
      <c r="A33" t="s">
        <v>4604</v>
      </c>
      <c r="B33" t="s">
        <v>3519</v>
      </c>
      <c r="C33" t="s">
        <v>3540</v>
      </c>
      <c r="D33" t="s">
        <v>4605</v>
      </c>
      <c r="E33" t="s">
        <v>4606</v>
      </c>
      <c r="F33" t="s">
        <v>160</v>
      </c>
      <c r="G33" t="s">
        <v>4607</v>
      </c>
      <c r="H33" t="s">
        <v>4608</v>
      </c>
      <c r="I33" t="s">
        <v>3468</v>
      </c>
      <c r="J33" t="s">
        <v>3537</v>
      </c>
    </row>
    <row r="34" spans="1:10" ht="15" customHeight="1" x14ac:dyDescent="0.25">
      <c r="A34" t="s">
        <v>3591</v>
      </c>
      <c r="B34" t="s">
        <v>3531</v>
      </c>
      <c r="C34" t="s">
        <v>3526</v>
      </c>
      <c r="D34" t="s">
        <v>3592</v>
      </c>
      <c r="E34" t="s">
        <v>4609</v>
      </c>
      <c r="F34" t="s">
        <v>2805</v>
      </c>
      <c r="G34" t="s">
        <v>3594</v>
      </c>
      <c r="H34" t="s">
        <v>3591</v>
      </c>
      <c r="I34" t="s">
        <v>3468</v>
      </c>
      <c r="J34" t="s">
        <v>3595</v>
      </c>
    </row>
    <row r="35" spans="1:10" ht="15" customHeight="1" x14ac:dyDescent="0.25">
      <c r="A35" t="s">
        <v>3484</v>
      </c>
      <c r="B35" t="s">
        <v>3531</v>
      </c>
      <c r="C35" t="s">
        <v>4610</v>
      </c>
      <c r="D35" t="s">
        <v>4611</v>
      </c>
      <c r="E35" t="s">
        <v>4612</v>
      </c>
      <c r="F35" t="s">
        <v>160</v>
      </c>
      <c r="G35" t="s">
        <v>315</v>
      </c>
      <c r="H35" t="s">
        <v>3484</v>
      </c>
      <c r="I35" t="s">
        <v>3468</v>
      </c>
      <c r="J35" t="s">
        <v>3537</v>
      </c>
    </row>
    <row r="36" spans="1:10" ht="15" customHeight="1" x14ac:dyDescent="0.25">
      <c r="A36" t="s">
        <v>4613</v>
      </c>
      <c r="B36" t="s">
        <v>3531</v>
      </c>
      <c r="C36" t="s">
        <v>3526</v>
      </c>
      <c r="D36" t="s">
        <v>4614</v>
      </c>
      <c r="E36" t="s">
        <v>4615</v>
      </c>
      <c r="F36" t="s">
        <v>90</v>
      </c>
      <c r="G36" t="s">
        <v>4616</v>
      </c>
      <c r="H36" t="s">
        <v>4617</v>
      </c>
      <c r="I36" t="s">
        <v>3468</v>
      </c>
      <c r="J36" t="s">
        <v>4618</v>
      </c>
    </row>
    <row r="37" spans="1:10" ht="15" customHeight="1" x14ac:dyDescent="0.25">
      <c r="A37" t="s">
        <v>4619</v>
      </c>
      <c r="B37" t="s">
        <v>3519</v>
      </c>
      <c r="C37" t="s">
        <v>4620</v>
      </c>
      <c r="D37" t="s">
        <v>4621</v>
      </c>
      <c r="E37" t="s">
        <v>4622</v>
      </c>
      <c r="F37" t="s">
        <v>160</v>
      </c>
      <c r="G37" t="s">
        <v>4623</v>
      </c>
      <c r="H37" t="s">
        <v>4624</v>
      </c>
      <c r="I37" t="s">
        <v>3468</v>
      </c>
      <c r="J37" t="s">
        <v>4512</v>
      </c>
    </row>
    <row r="38" spans="1:10" ht="15" customHeight="1" x14ac:dyDescent="0.25">
      <c r="A38" t="s">
        <v>4625</v>
      </c>
      <c r="B38" t="s">
        <v>3531</v>
      </c>
      <c r="C38" t="s">
        <v>3597</v>
      </c>
      <c r="D38" t="s">
        <v>4626</v>
      </c>
      <c r="F38" t="s">
        <v>160</v>
      </c>
      <c r="G38" t="s">
        <v>4627</v>
      </c>
      <c r="H38" t="s">
        <v>4628</v>
      </c>
      <c r="I38" t="s">
        <v>3468</v>
      </c>
      <c r="J38" t="s">
        <v>3459</v>
      </c>
    </row>
    <row r="39" spans="1:10" ht="15" customHeight="1" x14ac:dyDescent="0.25">
      <c r="A39" t="s">
        <v>4629</v>
      </c>
      <c r="B39" t="s">
        <v>3531</v>
      </c>
      <c r="C39" t="s">
        <v>3526</v>
      </c>
      <c r="D39" t="s">
        <v>4630</v>
      </c>
      <c r="E39" t="s">
        <v>4631</v>
      </c>
      <c r="F39" t="s">
        <v>1130</v>
      </c>
      <c r="G39" t="s">
        <v>4632</v>
      </c>
      <c r="H39" t="s">
        <v>4633</v>
      </c>
      <c r="I39" t="s">
        <v>3468</v>
      </c>
      <c r="J39" t="s">
        <v>4634</v>
      </c>
    </row>
    <row r="40" spans="1:10" ht="15" customHeight="1" x14ac:dyDescent="0.25">
      <c r="A40" t="s">
        <v>4635</v>
      </c>
      <c r="B40" t="s">
        <v>3531</v>
      </c>
      <c r="C40" t="s">
        <v>4481</v>
      </c>
      <c r="D40" t="s">
        <v>4636</v>
      </c>
      <c r="E40" t="s">
        <v>4637</v>
      </c>
      <c r="F40" t="s">
        <v>1622</v>
      </c>
      <c r="H40" t="s">
        <v>4635</v>
      </c>
      <c r="I40" t="s">
        <v>3468</v>
      </c>
      <c r="J40" t="s">
        <v>4512</v>
      </c>
    </row>
    <row r="41" spans="1:10" ht="15" customHeight="1" x14ac:dyDescent="0.25">
      <c r="A41" t="s">
        <v>4638</v>
      </c>
      <c r="B41" t="s">
        <v>41</v>
      </c>
      <c r="C41" t="s">
        <v>4561</v>
      </c>
      <c r="D41" t="s">
        <v>4639</v>
      </c>
      <c r="E41" t="s">
        <v>4640</v>
      </c>
      <c r="F41" t="s">
        <v>1650</v>
      </c>
      <c r="G41" t="s">
        <v>4564</v>
      </c>
      <c r="H41" t="s">
        <v>4641</v>
      </c>
      <c r="I41" t="s">
        <v>3468</v>
      </c>
      <c r="J41" t="s">
        <v>3537</v>
      </c>
    </row>
    <row r="42" spans="1:10" ht="15" customHeight="1" x14ac:dyDescent="0.25">
      <c r="A42" t="s">
        <v>4642</v>
      </c>
      <c r="B42" t="s">
        <v>3519</v>
      </c>
      <c r="C42" t="s">
        <v>3526</v>
      </c>
      <c r="D42" t="s">
        <v>4643</v>
      </c>
      <c r="E42" t="s">
        <v>4644</v>
      </c>
      <c r="F42" t="s">
        <v>2805</v>
      </c>
      <c r="G42" t="s">
        <v>4505</v>
      </c>
      <c r="H42" t="s">
        <v>4642</v>
      </c>
      <c r="I42" t="s">
        <v>3468</v>
      </c>
      <c r="J42" t="s">
        <v>4512</v>
      </c>
    </row>
    <row r="43" spans="1:10" ht="15" customHeight="1" x14ac:dyDescent="0.25">
      <c r="A43" t="s">
        <v>4645</v>
      </c>
      <c r="B43" t="s">
        <v>3519</v>
      </c>
      <c r="C43" t="s">
        <v>3526</v>
      </c>
      <c r="D43" t="s">
        <v>4646</v>
      </c>
      <c r="E43" t="s">
        <v>4647</v>
      </c>
      <c r="F43" t="s">
        <v>90</v>
      </c>
      <c r="G43" t="s">
        <v>4648</v>
      </c>
      <c r="H43" t="s">
        <v>4649</v>
      </c>
      <c r="I43" t="s">
        <v>3468</v>
      </c>
      <c r="J43" t="s">
        <v>4650</v>
      </c>
    </row>
    <row r="44" spans="1:10" ht="15" customHeight="1" x14ac:dyDescent="0.25">
      <c r="A44" t="s">
        <v>4651</v>
      </c>
      <c r="B44" t="s">
        <v>3519</v>
      </c>
      <c r="C44" t="s">
        <v>3526</v>
      </c>
      <c r="D44" t="s">
        <v>4652</v>
      </c>
      <c r="E44" t="s">
        <v>4653</v>
      </c>
      <c r="F44" t="s">
        <v>1650</v>
      </c>
      <c r="G44" t="s">
        <v>4654</v>
      </c>
      <c r="H44" t="s">
        <v>4655</v>
      </c>
      <c r="I44" t="s">
        <v>3468</v>
      </c>
      <c r="J44" t="s">
        <v>4512</v>
      </c>
    </row>
    <row r="45" spans="1:10" ht="15" customHeight="1" x14ac:dyDescent="0.25">
      <c r="A45" t="s">
        <v>4656</v>
      </c>
      <c r="B45" t="s">
        <v>3531</v>
      </c>
      <c r="C45" t="s">
        <v>3526</v>
      </c>
      <c r="D45" t="s">
        <v>4657</v>
      </c>
      <c r="E45" t="s">
        <v>4658</v>
      </c>
      <c r="F45" t="s">
        <v>2805</v>
      </c>
      <c r="G45" t="s">
        <v>4659</v>
      </c>
      <c r="H45" t="s">
        <v>4660</v>
      </c>
      <c r="I45" t="s">
        <v>3468</v>
      </c>
      <c r="J45" t="s">
        <v>3537</v>
      </c>
    </row>
    <row r="46" spans="1:10" ht="15" customHeight="1" x14ac:dyDescent="0.25">
      <c r="A46" t="s">
        <v>4661</v>
      </c>
      <c r="B46" t="s">
        <v>41</v>
      </c>
      <c r="C46" t="s">
        <v>3540</v>
      </c>
      <c r="D46" t="s">
        <v>4662</v>
      </c>
      <c r="E46" t="s">
        <v>4663</v>
      </c>
      <c r="F46" t="s">
        <v>2137</v>
      </c>
      <c r="G46" t="s">
        <v>4664</v>
      </c>
      <c r="H46" t="s">
        <v>4665</v>
      </c>
      <c r="I46" t="s">
        <v>3468</v>
      </c>
      <c r="J46" t="s">
        <v>3537</v>
      </c>
    </row>
    <row r="47" spans="1:10" ht="15" customHeight="1" x14ac:dyDescent="0.25">
      <c r="A47" t="s">
        <v>4666</v>
      </c>
      <c r="B47" t="s">
        <v>3531</v>
      </c>
      <c r="C47" t="s">
        <v>3526</v>
      </c>
      <c r="D47" t="s">
        <v>4667</v>
      </c>
      <c r="E47" t="s">
        <v>4668</v>
      </c>
      <c r="F47" t="s">
        <v>90</v>
      </c>
      <c r="G47" t="s">
        <v>4669</v>
      </c>
      <c r="H47" t="s">
        <v>4670</v>
      </c>
      <c r="I47" t="s">
        <v>3468</v>
      </c>
      <c r="J47" t="s">
        <v>3595</v>
      </c>
    </row>
    <row r="48" spans="1:10" ht="15" customHeight="1" x14ac:dyDescent="0.25">
      <c r="A48" t="s">
        <v>4671</v>
      </c>
      <c r="B48" t="s">
        <v>3531</v>
      </c>
      <c r="C48" t="s">
        <v>3526</v>
      </c>
      <c r="D48" t="s">
        <v>4672</v>
      </c>
      <c r="E48" t="s">
        <v>4673</v>
      </c>
      <c r="F48" t="s">
        <v>2507</v>
      </c>
      <c r="G48" t="s">
        <v>4674</v>
      </c>
      <c r="H48" t="s">
        <v>4671</v>
      </c>
      <c r="I48" t="s">
        <v>3468</v>
      </c>
      <c r="J48" t="s">
        <v>3529</v>
      </c>
    </row>
    <row r="49" spans="1:10" ht="15" customHeight="1" x14ac:dyDescent="0.25">
      <c r="A49" t="s">
        <v>4675</v>
      </c>
      <c r="B49" t="s">
        <v>3519</v>
      </c>
      <c r="C49" t="s">
        <v>3526</v>
      </c>
      <c r="D49" t="s">
        <v>4676</v>
      </c>
      <c r="E49" t="s">
        <v>4677</v>
      </c>
      <c r="F49" t="s">
        <v>90</v>
      </c>
      <c r="G49" t="s">
        <v>264</v>
      </c>
      <c r="H49" t="s">
        <v>4675</v>
      </c>
      <c r="I49" t="s">
        <v>3468</v>
      </c>
      <c r="J49" t="s">
        <v>3529</v>
      </c>
    </row>
    <row r="50" spans="1:10" ht="15" customHeight="1" x14ac:dyDescent="0.25">
      <c r="A50" t="s">
        <v>4678</v>
      </c>
      <c r="B50" t="s">
        <v>41</v>
      </c>
      <c r="C50" t="s">
        <v>3540</v>
      </c>
      <c r="D50" t="s">
        <v>4679</v>
      </c>
      <c r="E50" t="s">
        <v>4680</v>
      </c>
      <c r="F50" t="s">
        <v>160</v>
      </c>
      <c r="G50" t="s">
        <v>4681</v>
      </c>
      <c r="H50" t="s">
        <v>4682</v>
      </c>
      <c r="I50" t="s">
        <v>3468</v>
      </c>
      <c r="J50" t="s">
        <v>3537</v>
      </c>
    </row>
    <row r="51" spans="1:10" ht="15" customHeight="1" x14ac:dyDescent="0.25">
      <c r="A51" t="s">
        <v>4683</v>
      </c>
      <c r="B51" t="s">
        <v>3519</v>
      </c>
      <c r="C51" t="s">
        <v>3526</v>
      </c>
      <c r="D51" t="s">
        <v>4684</v>
      </c>
      <c r="E51" t="s">
        <v>4685</v>
      </c>
      <c r="F51" t="s">
        <v>1130</v>
      </c>
      <c r="G51" t="s">
        <v>4686</v>
      </c>
      <c r="H51" t="s">
        <v>4687</v>
      </c>
      <c r="I51" t="s">
        <v>3468</v>
      </c>
      <c r="J51" t="s">
        <v>4688</v>
      </c>
    </row>
    <row r="52" spans="1:10" ht="15" customHeight="1" x14ac:dyDescent="0.25">
      <c r="A52" t="s">
        <v>4689</v>
      </c>
      <c r="B52" t="s">
        <v>3531</v>
      </c>
      <c r="C52" t="s">
        <v>3526</v>
      </c>
      <c r="D52" t="s">
        <v>4690</v>
      </c>
      <c r="E52" t="s">
        <v>4691</v>
      </c>
      <c r="F52" t="s">
        <v>90</v>
      </c>
      <c r="H52" t="s">
        <v>4692</v>
      </c>
      <c r="I52" t="s">
        <v>3468</v>
      </c>
      <c r="J52" t="s">
        <v>4693</v>
      </c>
    </row>
    <row r="53" spans="1:10" ht="15" customHeight="1" x14ac:dyDescent="0.25">
      <c r="A53" t="s">
        <v>4694</v>
      </c>
      <c r="B53" t="s">
        <v>3519</v>
      </c>
      <c r="C53" t="s">
        <v>3540</v>
      </c>
      <c r="D53" t="s">
        <v>4695</v>
      </c>
      <c r="E53" t="s">
        <v>4696</v>
      </c>
      <c r="F53" t="s">
        <v>497</v>
      </c>
      <c r="G53" t="s">
        <v>4697</v>
      </c>
      <c r="H53" t="s">
        <v>4694</v>
      </c>
      <c r="I53" t="s">
        <v>3468</v>
      </c>
      <c r="J53" t="s">
        <v>3537</v>
      </c>
    </row>
    <row r="54" spans="1:10" ht="15" customHeight="1" x14ac:dyDescent="0.25">
      <c r="A54" t="s">
        <v>4698</v>
      </c>
      <c r="B54" t="s">
        <v>41</v>
      </c>
      <c r="C54" t="s">
        <v>4620</v>
      </c>
      <c r="D54" t="s">
        <v>4699</v>
      </c>
      <c r="E54" t="s">
        <v>4700</v>
      </c>
      <c r="F54" t="s">
        <v>90</v>
      </c>
      <c r="G54" t="s">
        <v>4701</v>
      </c>
      <c r="H54" t="s">
        <v>4702</v>
      </c>
      <c r="I54" t="s">
        <v>3468</v>
      </c>
      <c r="J54" t="s">
        <v>4586</v>
      </c>
    </row>
    <row r="55" spans="1:10" ht="15" customHeight="1" x14ac:dyDescent="0.25">
      <c r="A55" t="s">
        <v>4703</v>
      </c>
      <c r="B55" t="s">
        <v>3531</v>
      </c>
      <c r="C55" t="s">
        <v>3526</v>
      </c>
      <c r="D55" t="s">
        <v>4704</v>
      </c>
      <c r="E55" t="s">
        <v>4705</v>
      </c>
      <c r="F55" t="s">
        <v>160</v>
      </c>
      <c r="G55" t="s">
        <v>4706</v>
      </c>
      <c r="H55" t="s">
        <v>4707</v>
      </c>
      <c r="I55" t="s">
        <v>3468</v>
      </c>
      <c r="J55" t="s">
        <v>3595</v>
      </c>
    </row>
    <row r="56" spans="1:10" ht="15" customHeight="1" x14ac:dyDescent="0.25">
      <c r="A56" t="s">
        <v>3615</v>
      </c>
      <c r="B56" t="s">
        <v>41</v>
      </c>
      <c r="C56" t="s">
        <v>3532</v>
      </c>
      <c r="D56" t="s">
        <v>4708</v>
      </c>
      <c r="E56" t="s">
        <v>4709</v>
      </c>
      <c r="F56" t="s">
        <v>2805</v>
      </c>
      <c r="G56" t="s">
        <v>3618</v>
      </c>
      <c r="H56" t="s">
        <v>3619</v>
      </c>
      <c r="I56" t="s">
        <v>3468</v>
      </c>
      <c r="J56" t="s">
        <v>3450</v>
      </c>
    </row>
    <row r="57" spans="1:10" ht="15" customHeight="1" x14ac:dyDescent="0.25">
      <c r="A57" t="s">
        <v>4710</v>
      </c>
      <c r="B57" t="s">
        <v>3746</v>
      </c>
      <c r="C57" t="s">
        <v>3526</v>
      </c>
      <c r="D57" t="s">
        <v>4711</v>
      </c>
      <c r="E57" t="s">
        <v>4712</v>
      </c>
      <c r="F57" t="s">
        <v>160</v>
      </c>
      <c r="G57" t="s">
        <v>4713</v>
      </c>
      <c r="H57" t="s">
        <v>4714</v>
      </c>
      <c r="I57" t="s">
        <v>3468</v>
      </c>
      <c r="J57" t="s">
        <v>3529</v>
      </c>
    </row>
    <row r="58" spans="1:10" ht="15" customHeight="1" x14ac:dyDescent="0.25">
      <c r="A58" t="s">
        <v>4715</v>
      </c>
      <c r="B58" t="s">
        <v>3531</v>
      </c>
      <c r="C58" t="s">
        <v>3526</v>
      </c>
      <c r="D58" t="s">
        <v>4716</v>
      </c>
      <c r="E58" t="s">
        <v>4717</v>
      </c>
      <c r="F58" t="s">
        <v>90</v>
      </c>
      <c r="G58" t="s">
        <v>3528</v>
      </c>
      <c r="H58" t="s">
        <v>4718</v>
      </c>
      <c r="I58" t="s">
        <v>3468</v>
      </c>
      <c r="J58" t="s">
        <v>3529</v>
      </c>
    </row>
    <row r="59" spans="1:10" ht="15" customHeight="1" x14ac:dyDescent="0.25">
      <c r="A59" t="s">
        <v>4719</v>
      </c>
      <c r="B59" t="s">
        <v>3519</v>
      </c>
      <c r="C59" t="s">
        <v>3526</v>
      </c>
      <c r="D59" t="s">
        <v>4720</v>
      </c>
      <c r="E59" t="s">
        <v>4721</v>
      </c>
      <c r="F59" t="s">
        <v>90</v>
      </c>
      <c r="G59" t="s">
        <v>264</v>
      </c>
      <c r="H59" t="s">
        <v>4722</v>
      </c>
      <c r="I59" t="s">
        <v>3468</v>
      </c>
      <c r="J59" t="s">
        <v>4586</v>
      </c>
    </row>
    <row r="60" spans="1:10" ht="15" customHeight="1" x14ac:dyDescent="0.25">
      <c r="A60" t="s">
        <v>4723</v>
      </c>
      <c r="B60" t="s">
        <v>3519</v>
      </c>
      <c r="C60" t="s">
        <v>3526</v>
      </c>
      <c r="D60" t="s">
        <v>4724</v>
      </c>
      <c r="E60" t="s">
        <v>4725</v>
      </c>
      <c r="F60" t="s">
        <v>1650</v>
      </c>
      <c r="G60" t="s">
        <v>4726</v>
      </c>
      <c r="H60" t="s">
        <v>4727</v>
      </c>
      <c r="I60" t="s">
        <v>3468</v>
      </c>
      <c r="J60" t="s">
        <v>4526</v>
      </c>
    </row>
    <row r="61" spans="1:10" ht="15" customHeight="1" x14ac:dyDescent="0.25">
      <c r="A61" t="s">
        <v>4728</v>
      </c>
      <c r="B61" t="s">
        <v>41</v>
      </c>
      <c r="C61" t="s">
        <v>4502</v>
      </c>
      <c r="D61" t="s">
        <v>4729</v>
      </c>
      <c r="E61" t="s">
        <v>4730</v>
      </c>
      <c r="F61" t="s">
        <v>497</v>
      </c>
      <c r="G61" t="s">
        <v>264</v>
      </c>
      <c r="H61" t="s">
        <v>4728</v>
      </c>
      <c r="I61" t="s">
        <v>3468</v>
      </c>
      <c r="J61" t="s">
        <v>3450</v>
      </c>
    </row>
    <row r="62" spans="1:10" ht="15" customHeight="1" x14ac:dyDescent="0.25">
      <c r="A62" t="s">
        <v>4731</v>
      </c>
      <c r="B62" t="s">
        <v>3519</v>
      </c>
      <c r="C62" t="s">
        <v>3526</v>
      </c>
      <c r="D62" t="s">
        <v>4732</v>
      </c>
      <c r="E62" t="s">
        <v>4733</v>
      </c>
      <c r="F62" t="s">
        <v>160</v>
      </c>
      <c r="H62" t="s">
        <v>4734</v>
      </c>
      <c r="I62" t="s">
        <v>3468</v>
      </c>
      <c r="J62" t="s">
        <v>4735</v>
      </c>
    </row>
    <row r="63" spans="1:10" ht="15" customHeight="1" x14ac:dyDescent="0.25">
      <c r="A63" t="s">
        <v>4736</v>
      </c>
      <c r="B63" t="s">
        <v>3519</v>
      </c>
      <c r="C63" t="s">
        <v>3526</v>
      </c>
      <c r="D63" t="s">
        <v>4737</v>
      </c>
      <c r="E63" t="s">
        <v>4738</v>
      </c>
      <c r="F63" t="s">
        <v>1650</v>
      </c>
      <c r="G63" t="s">
        <v>4739</v>
      </c>
      <c r="H63" t="s">
        <v>4740</v>
      </c>
      <c r="I63" t="s">
        <v>3468</v>
      </c>
      <c r="J63" t="s">
        <v>4526</v>
      </c>
    </row>
    <row r="64" spans="1:10" ht="15" customHeight="1" x14ac:dyDescent="0.25">
      <c r="A64" t="s">
        <v>4741</v>
      </c>
      <c r="B64" t="s">
        <v>3531</v>
      </c>
      <c r="C64" t="s">
        <v>3540</v>
      </c>
      <c r="D64" t="s">
        <v>4742</v>
      </c>
      <c r="E64" t="s">
        <v>4743</v>
      </c>
      <c r="F64" t="s">
        <v>2137</v>
      </c>
      <c r="G64" t="s">
        <v>4744</v>
      </c>
      <c r="H64" t="s">
        <v>4745</v>
      </c>
      <c r="I64" t="s">
        <v>3468</v>
      </c>
      <c r="J64" t="s">
        <v>3450</v>
      </c>
    </row>
    <row r="65" spans="1:10" ht="15" customHeight="1" x14ac:dyDescent="0.25">
      <c r="A65" t="s">
        <v>4746</v>
      </c>
      <c r="B65" t="s">
        <v>41</v>
      </c>
      <c r="C65" t="s">
        <v>4481</v>
      </c>
      <c r="D65" t="s">
        <v>4747</v>
      </c>
      <c r="E65" t="s">
        <v>4748</v>
      </c>
      <c r="F65" t="s">
        <v>1047</v>
      </c>
      <c r="G65" t="s">
        <v>3913</v>
      </c>
      <c r="H65" t="s">
        <v>4749</v>
      </c>
      <c r="I65" t="s">
        <v>3468</v>
      </c>
      <c r="J65" t="s">
        <v>4512</v>
      </c>
    </row>
    <row r="66" spans="1:10" ht="15" customHeight="1" x14ac:dyDescent="0.25">
      <c r="A66" t="s">
        <v>4750</v>
      </c>
      <c r="B66" t="s">
        <v>3531</v>
      </c>
      <c r="C66" t="s">
        <v>4502</v>
      </c>
      <c r="D66" t="s">
        <v>4751</v>
      </c>
      <c r="E66" t="s">
        <v>4752</v>
      </c>
      <c r="F66" t="s">
        <v>501</v>
      </c>
      <c r="G66" t="s">
        <v>4753</v>
      </c>
      <c r="H66" t="s">
        <v>4754</v>
      </c>
      <c r="I66" t="s">
        <v>3468</v>
      </c>
      <c r="J66" t="s">
        <v>4512</v>
      </c>
    </row>
    <row r="67" spans="1:10" ht="15" customHeight="1" x14ac:dyDescent="0.25">
      <c r="A67" t="s">
        <v>4755</v>
      </c>
      <c r="B67" t="s">
        <v>41</v>
      </c>
      <c r="C67" t="s">
        <v>4481</v>
      </c>
      <c r="D67" t="s">
        <v>4756</v>
      </c>
      <c r="E67" t="s">
        <v>4757</v>
      </c>
      <c r="F67" t="s">
        <v>1047</v>
      </c>
      <c r="G67" t="s">
        <v>3913</v>
      </c>
      <c r="H67" t="s">
        <v>4758</v>
      </c>
      <c r="I67" t="s">
        <v>3468</v>
      </c>
      <c r="J67" t="s">
        <v>4512</v>
      </c>
    </row>
    <row r="68" spans="1:10" ht="15" customHeight="1" x14ac:dyDescent="0.25">
      <c r="A68" t="s">
        <v>4759</v>
      </c>
      <c r="B68" t="s">
        <v>41</v>
      </c>
      <c r="C68" t="s">
        <v>3540</v>
      </c>
      <c r="D68" t="s">
        <v>4164</v>
      </c>
      <c r="E68" t="s">
        <v>4760</v>
      </c>
      <c r="F68" t="s">
        <v>160</v>
      </c>
      <c r="H68" t="s">
        <v>4761</v>
      </c>
      <c r="I68" t="s">
        <v>3468</v>
      </c>
      <c r="J68" t="s">
        <v>3537</v>
      </c>
    </row>
    <row r="69" spans="1:10" ht="15" customHeight="1" x14ac:dyDescent="0.25">
      <c r="A69" t="s">
        <v>3647</v>
      </c>
      <c r="B69" t="s">
        <v>41</v>
      </c>
      <c r="C69" t="s">
        <v>3532</v>
      </c>
      <c r="D69" t="s">
        <v>4762</v>
      </c>
      <c r="E69" t="s">
        <v>4763</v>
      </c>
      <c r="F69" t="s">
        <v>160</v>
      </c>
      <c r="G69" t="s">
        <v>264</v>
      </c>
      <c r="H69" t="s">
        <v>3647</v>
      </c>
      <c r="I69" t="s">
        <v>3468</v>
      </c>
      <c r="J69" t="s">
        <v>3450</v>
      </c>
    </row>
    <row r="70" spans="1:10" ht="15" customHeight="1" x14ac:dyDescent="0.25">
      <c r="A70" t="s">
        <v>3650</v>
      </c>
      <c r="B70" t="s">
        <v>3519</v>
      </c>
      <c r="C70" t="s">
        <v>3532</v>
      </c>
      <c r="D70" t="s">
        <v>4764</v>
      </c>
      <c r="E70" t="s">
        <v>4765</v>
      </c>
      <c r="F70" t="s">
        <v>90</v>
      </c>
      <c r="G70" t="s">
        <v>3653</v>
      </c>
      <c r="H70" t="s">
        <v>3650</v>
      </c>
      <c r="I70" t="s">
        <v>3468</v>
      </c>
      <c r="J70" t="s">
        <v>3450</v>
      </c>
    </row>
    <row r="71" spans="1:10" ht="15" customHeight="1" x14ac:dyDescent="0.25">
      <c r="A71" t="s">
        <v>3654</v>
      </c>
      <c r="B71" t="s">
        <v>3531</v>
      </c>
      <c r="C71" t="s">
        <v>3526</v>
      </c>
      <c r="D71" t="s">
        <v>4766</v>
      </c>
      <c r="E71" t="s">
        <v>4767</v>
      </c>
      <c r="F71" t="s">
        <v>90</v>
      </c>
      <c r="G71" t="s">
        <v>3657</v>
      </c>
      <c r="H71" t="s">
        <v>3658</v>
      </c>
      <c r="I71" t="s">
        <v>3468</v>
      </c>
      <c r="J71" t="s">
        <v>3450</v>
      </c>
    </row>
    <row r="72" spans="1:10" ht="15" customHeight="1" x14ac:dyDescent="0.25">
      <c r="A72" t="s">
        <v>4768</v>
      </c>
      <c r="B72" t="s">
        <v>3531</v>
      </c>
      <c r="C72" t="s">
        <v>3526</v>
      </c>
      <c r="D72" t="s">
        <v>4769</v>
      </c>
      <c r="E72" t="s">
        <v>4770</v>
      </c>
      <c r="F72" t="s">
        <v>90</v>
      </c>
      <c r="H72" t="s">
        <v>4771</v>
      </c>
      <c r="I72" t="s">
        <v>3468</v>
      </c>
      <c r="J72" t="s">
        <v>4512</v>
      </c>
    </row>
    <row r="73" spans="1:10" ht="15" customHeight="1" x14ac:dyDescent="0.25">
      <c r="A73" t="s">
        <v>4772</v>
      </c>
      <c r="B73" t="s">
        <v>3531</v>
      </c>
      <c r="C73" t="s">
        <v>3526</v>
      </c>
      <c r="D73" t="s">
        <v>4773</v>
      </c>
      <c r="E73" t="s">
        <v>4774</v>
      </c>
      <c r="F73" t="s">
        <v>1650</v>
      </c>
      <c r="G73" t="s">
        <v>4775</v>
      </c>
      <c r="H73" t="s">
        <v>4776</v>
      </c>
      <c r="I73" t="s">
        <v>3468</v>
      </c>
      <c r="J73" t="s">
        <v>3529</v>
      </c>
    </row>
    <row r="74" spans="1:10" ht="15" customHeight="1" x14ac:dyDescent="0.25">
      <c r="A74" t="s">
        <v>4777</v>
      </c>
      <c r="B74" t="s">
        <v>3531</v>
      </c>
      <c r="C74" t="s">
        <v>3526</v>
      </c>
      <c r="D74" t="s">
        <v>4778</v>
      </c>
      <c r="E74" t="s">
        <v>4779</v>
      </c>
      <c r="F74" t="s">
        <v>90</v>
      </c>
      <c r="G74" t="s">
        <v>4669</v>
      </c>
      <c r="H74" t="s">
        <v>4780</v>
      </c>
      <c r="I74" t="s">
        <v>3468</v>
      </c>
      <c r="J74" t="s">
        <v>3595</v>
      </c>
    </row>
    <row r="75" spans="1:10" ht="15" customHeight="1" x14ac:dyDescent="0.25">
      <c r="A75" t="s">
        <v>4781</v>
      </c>
      <c r="B75" t="s">
        <v>3531</v>
      </c>
      <c r="C75" t="s">
        <v>3540</v>
      </c>
      <c r="D75" t="s">
        <v>4782</v>
      </c>
      <c r="E75" t="s">
        <v>4783</v>
      </c>
      <c r="F75" t="s">
        <v>160</v>
      </c>
      <c r="H75" t="s">
        <v>4784</v>
      </c>
      <c r="I75" t="s">
        <v>3468</v>
      </c>
      <c r="J75" t="s">
        <v>3537</v>
      </c>
    </row>
    <row r="76" spans="1:10" ht="15" customHeight="1" x14ac:dyDescent="0.25">
      <c r="A76" t="s">
        <v>4785</v>
      </c>
      <c r="B76" t="s">
        <v>3519</v>
      </c>
      <c r="C76" t="s">
        <v>3526</v>
      </c>
      <c r="D76" t="s">
        <v>4786</v>
      </c>
      <c r="E76" t="s">
        <v>4787</v>
      </c>
      <c r="F76" t="s">
        <v>90</v>
      </c>
      <c r="G76" t="s">
        <v>4788</v>
      </c>
      <c r="H76" t="s">
        <v>4789</v>
      </c>
      <c r="I76" t="s">
        <v>3468</v>
      </c>
      <c r="J76" t="s">
        <v>4790</v>
      </c>
    </row>
    <row r="77" spans="1:10" ht="15" customHeight="1" x14ac:dyDescent="0.25">
      <c r="A77" t="s">
        <v>4791</v>
      </c>
      <c r="B77" t="s">
        <v>41</v>
      </c>
      <c r="C77" t="s">
        <v>4620</v>
      </c>
      <c r="D77" t="s">
        <v>4792</v>
      </c>
      <c r="E77" t="s">
        <v>4793</v>
      </c>
      <c r="F77" t="s">
        <v>90</v>
      </c>
      <c r="G77" t="s">
        <v>4794</v>
      </c>
      <c r="H77" t="s">
        <v>4791</v>
      </c>
      <c r="I77" t="s">
        <v>3468</v>
      </c>
      <c r="J77" t="s">
        <v>4795</v>
      </c>
    </row>
    <row r="78" spans="1:10" ht="15" customHeight="1" x14ac:dyDescent="0.25">
      <c r="A78" t="s">
        <v>3674</v>
      </c>
      <c r="B78" t="s">
        <v>41</v>
      </c>
      <c r="C78" t="s">
        <v>3540</v>
      </c>
      <c r="D78" t="s">
        <v>4796</v>
      </c>
      <c r="E78" t="s">
        <v>4797</v>
      </c>
      <c r="F78" t="s">
        <v>90</v>
      </c>
      <c r="G78" t="s">
        <v>3678</v>
      </c>
      <c r="H78" t="s">
        <v>3679</v>
      </c>
      <c r="I78" t="s">
        <v>3468</v>
      </c>
      <c r="J78" t="s">
        <v>3537</v>
      </c>
    </row>
    <row r="79" spans="1:10" ht="15" customHeight="1" x14ac:dyDescent="0.25">
      <c r="A79" t="s">
        <v>4798</v>
      </c>
      <c r="B79" t="s">
        <v>3519</v>
      </c>
      <c r="C79" t="s">
        <v>3532</v>
      </c>
      <c r="D79" t="s">
        <v>4799</v>
      </c>
      <c r="E79" t="s">
        <v>4800</v>
      </c>
      <c r="F79" t="s">
        <v>90</v>
      </c>
      <c r="G79" t="s">
        <v>4706</v>
      </c>
      <c r="H79" t="s">
        <v>4801</v>
      </c>
      <c r="I79" t="s">
        <v>3468</v>
      </c>
      <c r="J79" t="s">
        <v>3595</v>
      </c>
    </row>
    <row r="80" spans="1:10" ht="15" customHeight="1" x14ac:dyDescent="0.25">
      <c r="A80" t="s">
        <v>4802</v>
      </c>
      <c r="B80" t="s">
        <v>3531</v>
      </c>
      <c r="C80" t="s">
        <v>4620</v>
      </c>
      <c r="D80" t="s">
        <v>4803</v>
      </c>
      <c r="E80" t="s">
        <v>4804</v>
      </c>
      <c r="F80" t="s">
        <v>90</v>
      </c>
      <c r="G80" t="s">
        <v>4805</v>
      </c>
      <c r="H80" t="s">
        <v>4806</v>
      </c>
      <c r="I80" t="s">
        <v>3468</v>
      </c>
      <c r="J80" t="s">
        <v>3529</v>
      </c>
    </row>
    <row r="81" spans="1:10" ht="15" customHeight="1" x14ac:dyDescent="0.25">
      <c r="A81" t="s">
        <v>4807</v>
      </c>
      <c r="B81" t="s">
        <v>3519</v>
      </c>
      <c r="C81" t="s">
        <v>3557</v>
      </c>
      <c r="D81" t="s">
        <v>4808</v>
      </c>
      <c r="E81" t="s">
        <v>4809</v>
      </c>
      <c r="F81" t="s">
        <v>497</v>
      </c>
      <c r="H81" t="s">
        <v>4807</v>
      </c>
      <c r="I81" t="s">
        <v>3468</v>
      </c>
      <c r="J81" t="s">
        <v>3727</v>
      </c>
    </row>
    <row r="82" spans="1:10" ht="15" customHeight="1" x14ac:dyDescent="0.25">
      <c r="A82" t="s">
        <v>4810</v>
      </c>
      <c r="B82" t="s">
        <v>3519</v>
      </c>
      <c r="C82" t="s">
        <v>4502</v>
      </c>
      <c r="D82" t="s">
        <v>4811</v>
      </c>
      <c r="E82" t="s">
        <v>4812</v>
      </c>
      <c r="F82" t="s">
        <v>1650</v>
      </c>
      <c r="G82" t="s">
        <v>4813</v>
      </c>
      <c r="H82" t="s">
        <v>4814</v>
      </c>
      <c r="I82" t="s">
        <v>3468</v>
      </c>
      <c r="J82" t="s">
        <v>3537</v>
      </c>
    </row>
    <row r="83" spans="1:10" ht="15" customHeight="1" x14ac:dyDescent="0.25">
      <c r="A83" t="s">
        <v>4815</v>
      </c>
      <c r="B83" t="s">
        <v>41</v>
      </c>
      <c r="C83" t="s">
        <v>4620</v>
      </c>
      <c r="D83" t="s">
        <v>4816</v>
      </c>
      <c r="E83" t="s">
        <v>4817</v>
      </c>
      <c r="F83" t="s">
        <v>90</v>
      </c>
      <c r="H83" t="s">
        <v>4818</v>
      </c>
      <c r="I83" t="s">
        <v>3468</v>
      </c>
      <c r="J83" t="s">
        <v>4512</v>
      </c>
    </row>
    <row r="84" spans="1:10" ht="15" customHeight="1" x14ac:dyDescent="0.25">
      <c r="A84" t="s">
        <v>4819</v>
      </c>
      <c r="B84" t="s">
        <v>41</v>
      </c>
      <c r="C84" t="s">
        <v>4561</v>
      </c>
      <c r="D84" t="s">
        <v>4820</v>
      </c>
      <c r="E84" t="s">
        <v>4821</v>
      </c>
      <c r="F84" t="s">
        <v>1650</v>
      </c>
      <c r="G84" t="s">
        <v>4564</v>
      </c>
      <c r="H84" t="s">
        <v>4819</v>
      </c>
      <c r="I84" t="s">
        <v>3468</v>
      </c>
      <c r="J84" t="s">
        <v>3529</v>
      </c>
    </row>
    <row r="85" spans="1:10" ht="15" customHeight="1" x14ac:dyDescent="0.25">
      <c r="A85" t="s">
        <v>4822</v>
      </c>
      <c r="B85" t="s">
        <v>41</v>
      </c>
      <c r="C85" t="s">
        <v>3526</v>
      </c>
      <c r="D85" t="s">
        <v>4823</v>
      </c>
      <c r="E85" t="s">
        <v>4824</v>
      </c>
      <c r="F85" t="s">
        <v>1323</v>
      </c>
      <c r="H85" t="s">
        <v>4825</v>
      </c>
      <c r="I85" t="s">
        <v>3468</v>
      </c>
      <c r="J85" t="s">
        <v>4826</v>
      </c>
    </row>
    <row r="86" spans="1:10" ht="15" customHeight="1" x14ac:dyDescent="0.25">
      <c r="A86" t="s">
        <v>4827</v>
      </c>
      <c r="B86" t="s">
        <v>3519</v>
      </c>
      <c r="C86" t="s">
        <v>3540</v>
      </c>
      <c r="D86" t="s">
        <v>4828</v>
      </c>
      <c r="E86" t="s">
        <v>4829</v>
      </c>
      <c r="F86" t="s">
        <v>90</v>
      </c>
      <c r="G86" t="s">
        <v>3678</v>
      </c>
      <c r="H86" t="s">
        <v>3683</v>
      </c>
      <c r="I86" t="s">
        <v>3468</v>
      </c>
      <c r="J86" t="s">
        <v>4586</v>
      </c>
    </row>
    <row r="87" spans="1:10" ht="15" customHeight="1" x14ac:dyDescent="0.25">
      <c r="A87" t="s">
        <v>4830</v>
      </c>
      <c r="B87" t="s">
        <v>3519</v>
      </c>
      <c r="C87" t="s">
        <v>3526</v>
      </c>
      <c r="D87" t="s">
        <v>4831</v>
      </c>
      <c r="E87" t="s">
        <v>4832</v>
      </c>
      <c r="F87" t="s">
        <v>1650</v>
      </c>
      <c r="G87" t="s">
        <v>4833</v>
      </c>
      <c r="H87" t="s">
        <v>4834</v>
      </c>
      <c r="I87" t="s">
        <v>3468</v>
      </c>
      <c r="J87" t="s">
        <v>3529</v>
      </c>
    </row>
    <row r="88" spans="1:10" ht="15" customHeight="1" x14ac:dyDescent="0.25">
      <c r="A88" t="s">
        <v>4835</v>
      </c>
      <c r="B88" t="s">
        <v>3519</v>
      </c>
      <c r="C88" t="s">
        <v>3526</v>
      </c>
      <c r="D88" s="4" t="s">
        <v>4836</v>
      </c>
      <c r="E88" s="4" t="s">
        <v>4837</v>
      </c>
      <c r="F88" t="s">
        <v>1650</v>
      </c>
      <c r="G88" t="s">
        <v>4838</v>
      </c>
      <c r="H88" t="s">
        <v>4839</v>
      </c>
      <c r="I88" t="s">
        <v>3468</v>
      </c>
      <c r="J88" t="s">
        <v>3529</v>
      </c>
    </row>
    <row r="89" spans="1:10" ht="15" customHeight="1" x14ac:dyDescent="0.25">
      <c r="A89" t="s">
        <v>4840</v>
      </c>
      <c r="B89" t="s">
        <v>41</v>
      </c>
      <c r="C89" t="s">
        <v>3540</v>
      </c>
      <c r="D89" t="s">
        <v>4841</v>
      </c>
      <c r="E89" t="s">
        <v>4842</v>
      </c>
      <c r="F89" t="s">
        <v>497</v>
      </c>
      <c r="G89" t="s">
        <v>3645</v>
      </c>
      <c r="H89" t="s">
        <v>4843</v>
      </c>
      <c r="I89" t="s">
        <v>3468</v>
      </c>
      <c r="J89" t="s">
        <v>3537</v>
      </c>
    </row>
    <row r="90" spans="1:10" ht="15" customHeight="1" x14ac:dyDescent="0.25">
      <c r="A90" t="s">
        <v>3496</v>
      </c>
      <c r="B90" t="s">
        <v>41</v>
      </c>
      <c r="C90" t="s">
        <v>3526</v>
      </c>
      <c r="D90" t="s">
        <v>4844</v>
      </c>
      <c r="E90" t="s">
        <v>4845</v>
      </c>
      <c r="F90" t="s">
        <v>2805</v>
      </c>
      <c r="G90" t="s">
        <v>3618</v>
      </c>
      <c r="H90" t="s">
        <v>3496</v>
      </c>
      <c r="I90" t="s">
        <v>3468</v>
      </c>
      <c r="J90" t="s">
        <v>3450</v>
      </c>
    </row>
    <row r="91" spans="1:10" ht="15" customHeight="1" x14ac:dyDescent="0.25">
      <c r="A91" t="s">
        <v>4846</v>
      </c>
      <c r="B91" t="s">
        <v>3519</v>
      </c>
      <c r="C91" t="s">
        <v>3526</v>
      </c>
      <c r="D91" t="s">
        <v>4847</v>
      </c>
      <c r="E91" t="s">
        <v>4848</v>
      </c>
      <c r="F91" t="s">
        <v>1650</v>
      </c>
      <c r="G91" t="s">
        <v>4516</v>
      </c>
      <c r="H91" t="s">
        <v>4849</v>
      </c>
      <c r="I91" t="s">
        <v>3468</v>
      </c>
      <c r="J91" t="s">
        <v>4512</v>
      </c>
    </row>
    <row r="92" spans="1:10" ht="15" customHeight="1" x14ac:dyDescent="0.25">
      <c r="A92" t="s">
        <v>4850</v>
      </c>
      <c r="B92" t="s">
        <v>3519</v>
      </c>
      <c r="C92" t="s">
        <v>3526</v>
      </c>
      <c r="D92" t="s">
        <v>4851</v>
      </c>
      <c r="E92" t="s">
        <v>4852</v>
      </c>
      <c r="F92" t="s">
        <v>553</v>
      </c>
      <c r="G92" t="s">
        <v>3543</v>
      </c>
      <c r="H92" t="s">
        <v>4853</v>
      </c>
      <c r="I92" t="s">
        <v>3468</v>
      </c>
      <c r="J92" t="s">
        <v>3450</v>
      </c>
    </row>
    <row r="93" spans="1:10" ht="15" customHeight="1" x14ac:dyDescent="0.25">
      <c r="A93" t="s">
        <v>3696</v>
      </c>
      <c r="B93" t="s">
        <v>3531</v>
      </c>
      <c r="C93" t="s">
        <v>4561</v>
      </c>
      <c r="D93" t="s">
        <v>4854</v>
      </c>
      <c r="F93" t="s">
        <v>353</v>
      </c>
      <c r="H93" t="s">
        <v>3699</v>
      </c>
      <c r="I93" t="s">
        <v>3468</v>
      </c>
      <c r="J93" t="s">
        <v>3700</v>
      </c>
    </row>
    <row r="94" spans="1:10" ht="15" customHeight="1" x14ac:dyDescent="0.25">
      <c r="A94" t="s">
        <v>4855</v>
      </c>
      <c r="B94" t="s">
        <v>3564</v>
      </c>
      <c r="C94" t="s">
        <v>3526</v>
      </c>
      <c r="D94" t="s">
        <v>4856</v>
      </c>
      <c r="E94" t="s">
        <v>4857</v>
      </c>
      <c r="F94" t="s">
        <v>90</v>
      </c>
      <c r="G94" t="s">
        <v>4858</v>
      </c>
      <c r="H94" t="s">
        <v>4859</v>
      </c>
      <c r="I94" t="s">
        <v>3468</v>
      </c>
      <c r="J94" t="s">
        <v>4860</v>
      </c>
    </row>
    <row r="95" spans="1:10" ht="15" customHeight="1" x14ac:dyDescent="0.25">
      <c r="A95" t="s">
        <v>4861</v>
      </c>
      <c r="B95" t="s">
        <v>3519</v>
      </c>
      <c r="C95" t="s">
        <v>4502</v>
      </c>
      <c r="D95" t="s">
        <v>4862</v>
      </c>
      <c r="E95" t="s">
        <v>4863</v>
      </c>
      <c r="F95" t="s">
        <v>160</v>
      </c>
      <c r="G95" t="s">
        <v>3678</v>
      </c>
      <c r="H95" t="s">
        <v>4864</v>
      </c>
      <c r="I95" t="s">
        <v>3468</v>
      </c>
      <c r="J95" t="s">
        <v>3537</v>
      </c>
    </row>
    <row r="96" spans="1:10" ht="15" customHeight="1" x14ac:dyDescent="0.25">
      <c r="A96" t="s">
        <v>4865</v>
      </c>
      <c r="B96" t="s">
        <v>41</v>
      </c>
      <c r="C96" t="s">
        <v>4561</v>
      </c>
      <c r="D96" t="s">
        <v>4866</v>
      </c>
      <c r="E96" t="s">
        <v>4867</v>
      </c>
      <c r="F96" t="s">
        <v>1650</v>
      </c>
      <c r="G96" t="s">
        <v>4564</v>
      </c>
      <c r="H96" t="s">
        <v>4868</v>
      </c>
      <c r="I96" t="s">
        <v>3468</v>
      </c>
      <c r="J96" t="s">
        <v>3537</v>
      </c>
    </row>
    <row r="97" spans="1:10" ht="15" customHeight="1" x14ac:dyDescent="0.25">
      <c r="A97" t="s">
        <v>4869</v>
      </c>
      <c r="B97" t="s">
        <v>3531</v>
      </c>
      <c r="C97" t="s">
        <v>4481</v>
      </c>
      <c r="D97" t="s">
        <v>4870</v>
      </c>
      <c r="E97" t="s">
        <v>4871</v>
      </c>
      <c r="F97" t="s">
        <v>1650</v>
      </c>
      <c r="H97" t="s">
        <v>4872</v>
      </c>
      <c r="I97" t="s">
        <v>3468</v>
      </c>
      <c r="J97" t="s">
        <v>4512</v>
      </c>
    </row>
    <row r="98" spans="1:10" ht="15" customHeight="1" x14ac:dyDescent="0.25">
      <c r="A98" t="s">
        <v>4873</v>
      </c>
      <c r="B98" t="s">
        <v>3746</v>
      </c>
      <c r="C98" t="s">
        <v>3526</v>
      </c>
      <c r="D98" t="s">
        <v>4874</v>
      </c>
      <c r="E98" t="s">
        <v>4875</v>
      </c>
      <c r="F98" t="s">
        <v>160</v>
      </c>
      <c r="G98" t="s">
        <v>4713</v>
      </c>
      <c r="H98" t="s">
        <v>4876</v>
      </c>
      <c r="I98" t="s">
        <v>3468</v>
      </c>
      <c r="J98" t="s">
        <v>3595</v>
      </c>
    </row>
    <row r="99" spans="1:10" ht="15" customHeight="1" x14ac:dyDescent="0.25">
      <c r="A99" t="s">
        <v>4877</v>
      </c>
      <c r="B99" t="s">
        <v>3519</v>
      </c>
      <c r="C99" t="s">
        <v>3526</v>
      </c>
      <c r="D99" t="s">
        <v>4878</v>
      </c>
      <c r="E99" t="s">
        <v>4879</v>
      </c>
      <c r="F99" t="s">
        <v>1323</v>
      </c>
      <c r="G99" t="s">
        <v>4659</v>
      </c>
      <c r="H99" t="s">
        <v>4880</v>
      </c>
      <c r="I99" t="s">
        <v>3468</v>
      </c>
      <c r="J99" t="s">
        <v>4881</v>
      </c>
    </row>
    <row r="100" spans="1:10" ht="15" customHeight="1" x14ac:dyDescent="0.25">
      <c r="A100" t="s">
        <v>4882</v>
      </c>
      <c r="B100" t="s">
        <v>3531</v>
      </c>
      <c r="C100" t="s">
        <v>4620</v>
      </c>
      <c r="D100" t="s">
        <v>4883</v>
      </c>
      <c r="E100" t="s">
        <v>4884</v>
      </c>
      <c r="F100" t="s">
        <v>90</v>
      </c>
      <c r="G100" t="s">
        <v>4794</v>
      </c>
      <c r="H100" t="s">
        <v>4882</v>
      </c>
      <c r="I100" t="s">
        <v>3468</v>
      </c>
      <c r="J100" t="s">
        <v>4512</v>
      </c>
    </row>
    <row r="101" spans="1:10" ht="15" customHeight="1" x14ac:dyDescent="0.25">
      <c r="A101" t="s">
        <v>3710</v>
      </c>
      <c r="B101" t="s">
        <v>3531</v>
      </c>
      <c r="C101" t="s">
        <v>3526</v>
      </c>
      <c r="D101" t="s">
        <v>4885</v>
      </c>
      <c r="E101" t="s">
        <v>4886</v>
      </c>
      <c r="F101" t="s">
        <v>497</v>
      </c>
      <c r="G101" t="s">
        <v>3713</v>
      </c>
      <c r="H101" t="s">
        <v>3710</v>
      </c>
      <c r="I101" t="s">
        <v>3468</v>
      </c>
      <c r="J101" t="s">
        <v>3537</v>
      </c>
    </row>
    <row r="102" spans="1:10" ht="15" customHeight="1" x14ac:dyDescent="0.25">
      <c r="A102" t="s">
        <v>4887</v>
      </c>
      <c r="B102" t="s">
        <v>41</v>
      </c>
      <c r="C102" t="s">
        <v>4561</v>
      </c>
      <c r="D102" t="s">
        <v>4888</v>
      </c>
      <c r="E102" t="s">
        <v>4889</v>
      </c>
      <c r="F102" t="s">
        <v>1650</v>
      </c>
      <c r="G102" t="s">
        <v>4564</v>
      </c>
      <c r="H102" t="s">
        <v>4887</v>
      </c>
      <c r="I102" t="s">
        <v>3468</v>
      </c>
      <c r="J102" t="s">
        <v>3537</v>
      </c>
    </row>
    <row r="103" spans="1:10" ht="15" customHeight="1" x14ac:dyDescent="0.25">
      <c r="A103" t="s">
        <v>4890</v>
      </c>
      <c r="B103" t="s">
        <v>3519</v>
      </c>
      <c r="C103" t="s">
        <v>3540</v>
      </c>
      <c r="D103" t="s">
        <v>4891</v>
      </c>
      <c r="E103" t="s">
        <v>4892</v>
      </c>
      <c r="F103" t="s">
        <v>553</v>
      </c>
      <c r="G103" t="s">
        <v>3543</v>
      </c>
      <c r="H103" t="s">
        <v>4893</v>
      </c>
      <c r="I103" t="s">
        <v>3468</v>
      </c>
      <c r="J103" t="s">
        <v>3537</v>
      </c>
    </row>
    <row r="104" spans="1:10" ht="15" customHeight="1" x14ac:dyDescent="0.25">
      <c r="A104" t="s">
        <v>4894</v>
      </c>
      <c r="B104" t="s">
        <v>41</v>
      </c>
      <c r="C104" t="s">
        <v>3526</v>
      </c>
      <c r="D104" t="s">
        <v>4895</v>
      </c>
      <c r="E104" t="s">
        <v>4896</v>
      </c>
      <c r="F104" t="s">
        <v>1323</v>
      </c>
      <c r="H104" t="s">
        <v>4897</v>
      </c>
      <c r="I104" t="s">
        <v>3468</v>
      </c>
      <c r="J104" t="s">
        <v>4898</v>
      </c>
    </row>
    <row r="105" spans="1:10" ht="15" customHeight="1" x14ac:dyDescent="0.25">
      <c r="A105" t="s">
        <v>4899</v>
      </c>
      <c r="B105" t="s">
        <v>3531</v>
      </c>
      <c r="C105" t="s">
        <v>4561</v>
      </c>
      <c r="D105" t="s">
        <v>4900</v>
      </c>
      <c r="F105" t="s">
        <v>1650</v>
      </c>
      <c r="G105" t="s">
        <v>4901</v>
      </c>
      <c r="H105" t="s">
        <v>4902</v>
      </c>
      <c r="I105" t="s">
        <v>3468</v>
      </c>
      <c r="J105" t="s">
        <v>3450</v>
      </c>
    </row>
    <row r="106" spans="1:10" ht="15" customHeight="1" x14ac:dyDescent="0.25">
      <c r="A106" t="s">
        <v>4903</v>
      </c>
      <c r="B106" t="s">
        <v>3519</v>
      </c>
      <c r="C106" t="s">
        <v>3526</v>
      </c>
      <c r="D106" t="s">
        <v>4904</v>
      </c>
      <c r="E106" t="s">
        <v>4905</v>
      </c>
      <c r="F106" t="s">
        <v>90</v>
      </c>
      <c r="G106" t="s">
        <v>3678</v>
      </c>
      <c r="H106" t="s">
        <v>4906</v>
      </c>
      <c r="I106" t="s">
        <v>3468</v>
      </c>
      <c r="J106" t="s">
        <v>3529</v>
      </c>
    </row>
    <row r="107" spans="1:10" ht="15" customHeight="1" x14ac:dyDescent="0.25">
      <c r="A107" t="s">
        <v>4907</v>
      </c>
      <c r="B107" t="s">
        <v>41</v>
      </c>
      <c r="C107" t="s">
        <v>3526</v>
      </c>
      <c r="D107" t="s">
        <v>4908</v>
      </c>
      <c r="E107" t="s">
        <v>4909</v>
      </c>
      <c r="F107" t="s">
        <v>90</v>
      </c>
      <c r="G107" t="s">
        <v>3708</v>
      </c>
      <c r="H107" t="s">
        <v>4910</v>
      </c>
      <c r="I107" t="s">
        <v>3468</v>
      </c>
      <c r="J107" t="s">
        <v>4512</v>
      </c>
    </row>
    <row r="108" spans="1:10" ht="15" customHeight="1" x14ac:dyDescent="0.25">
      <c r="A108" t="s">
        <v>4911</v>
      </c>
      <c r="B108" t="s">
        <v>3531</v>
      </c>
      <c r="C108" t="s">
        <v>3526</v>
      </c>
      <c r="D108" t="s">
        <v>4912</v>
      </c>
      <c r="E108" t="s">
        <v>4913</v>
      </c>
      <c r="F108" t="s">
        <v>501</v>
      </c>
      <c r="G108" t="s">
        <v>4697</v>
      </c>
      <c r="H108" t="s">
        <v>4914</v>
      </c>
      <c r="I108" t="s">
        <v>3468</v>
      </c>
      <c r="J108" t="s">
        <v>3529</v>
      </c>
    </row>
    <row r="109" spans="1:10" ht="15" customHeight="1" x14ac:dyDescent="0.25">
      <c r="A109" t="s">
        <v>4915</v>
      </c>
      <c r="B109" t="s">
        <v>41</v>
      </c>
      <c r="C109" t="s">
        <v>3540</v>
      </c>
      <c r="D109" t="s">
        <v>4916</v>
      </c>
      <c r="E109" t="s">
        <v>4917</v>
      </c>
      <c r="F109" t="s">
        <v>1047</v>
      </c>
      <c r="G109" t="s">
        <v>4918</v>
      </c>
      <c r="H109" t="s">
        <v>4915</v>
      </c>
      <c r="I109" t="s">
        <v>3468</v>
      </c>
      <c r="J109" t="s">
        <v>3537</v>
      </c>
    </row>
    <row r="110" spans="1:10" ht="15" customHeight="1" x14ac:dyDescent="0.25">
      <c r="A110" t="s">
        <v>4919</v>
      </c>
      <c r="B110" t="s">
        <v>3531</v>
      </c>
      <c r="C110" t="s">
        <v>4610</v>
      </c>
      <c r="D110" t="s">
        <v>4920</v>
      </c>
      <c r="F110" t="s">
        <v>160</v>
      </c>
      <c r="G110" t="s">
        <v>4921</v>
      </c>
      <c r="H110" t="s">
        <v>4922</v>
      </c>
      <c r="I110" t="s">
        <v>3468</v>
      </c>
      <c r="J110" t="s">
        <v>4512</v>
      </c>
    </row>
    <row r="111" spans="1:10" ht="15" customHeight="1" x14ac:dyDescent="0.25">
      <c r="A111" t="s">
        <v>4923</v>
      </c>
      <c r="B111" t="s">
        <v>41</v>
      </c>
      <c r="C111" t="s">
        <v>3691</v>
      </c>
      <c r="D111" t="s">
        <v>4924</v>
      </c>
      <c r="F111" t="s">
        <v>160</v>
      </c>
      <c r="G111" t="s">
        <v>4925</v>
      </c>
      <c r="H111" t="s">
        <v>4926</v>
      </c>
      <c r="I111" t="s">
        <v>3468</v>
      </c>
      <c r="J111" t="s">
        <v>3700</v>
      </c>
    </row>
    <row r="112" spans="1:10" ht="15" customHeight="1" x14ac:dyDescent="0.25">
      <c r="A112" t="s">
        <v>4927</v>
      </c>
      <c r="B112" t="s">
        <v>3519</v>
      </c>
      <c r="C112" t="s">
        <v>3526</v>
      </c>
      <c r="D112" t="s">
        <v>4928</v>
      </c>
      <c r="E112" t="s">
        <v>4929</v>
      </c>
      <c r="F112" t="s">
        <v>90</v>
      </c>
      <c r="H112" t="s">
        <v>4930</v>
      </c>
      <c r="I112" t="s">
        <v>3468</v>
      </c>
      <c r="J112" t="s">
        <v>3529</v>
      </c>
    </row>
    <row r="113" spans="1:10" ht="15" customHeight="1" x14ac:dyDescent="0.25">
      <c r="A113" t="s">
        <v>4931</v>
      </c>
      <c r="B113" t="s">
        <v>3531</v>
      </c>
      <c r="C113" t="s">
        <v>3526</v>
      </c>
      <c r="D113" t="s">
        <v>4932</v>
      </c>
      <c r="E113" t="s">
        <v>4933</v>
      </c>
      <c r="F113" t="s">
        <v>90</v>
      </c>
      <c r="G113" t="s">
        <v>4669</v>
      </c>
      <c r="H113" t="s">
        <v>4934</v>
      </c>
      <c r="I113" t="s">
        <v>3468</v>
      </c>
      <c r="J113" t="s">
        <v>3595</v>
      </c>
    </row>
    <row r="114" spans="1:10" ht="15" customHeight="1" x14ac:dyDescent="0.25">
      <c r="A114" t="s">
        <v>4935</v>
      </c>
      <c r="B114" t="s">
        <v>41</v>
      </c>
      <c r="C114" t="s">
        <v>3526</v>
      </c>
      <c r="D114" t="s">
        <v>4936</v>
      </c>
      <c r="E114" t="s">
        <v>4937</v>
      </c>
      <c r="F114" t="s">
        <v>90</v>
      </c>
      <c r="G114" t="s">
        <v>4938</v>
      </c>
      <c r="H114" t="s">
        <v>4939</v>
      </c>
      <c r="I114" t="s">
        <v>3468</v>
      </c>
      <c r="J114" t="s">
        <v>3450</v>
      </c>
    </row>
    <row r="115" spans="1:10" ht="15" customHeight="1" x14ac:dyDescent="0.25">
      <c r="A115" t="s">
        <v>4940</v>
      </c>
      <c r="B115" t="s">
        <v>3519</v>
      </c>
      <c r="C115" t="s">
        <v>3526</v>
      </c>
      <c r="D115" t="s">
        <v>4941</v>
      </c>
      <c r="E115" t="s">
        <v>4942</v>
      </c>
      <c r="F115" t="s">
        <v>90</v>
      </c>
      <c r="G115" t="s">
        <v>4674</v>
      </c>
      <c r="H115" t="s">
        <v>4940</v>
      </c>
      <c r="I115" t="s">
        <v>3468</v>
      </c>
      <c r="J115" t="s">
        <v>3529</v>
      </c>
    </row>
    <row r="116" spans="1:10" ht="15" customHeight="1" x14ac:dyDescent="0.25">
      <c r="A116" t="s">
        <v>3737</v>
      </c>
      <c r="B116" t="s">
        <v>3531</v>
      </c>
      <c r="C116" t="s">
        <v>3526</v>
      </c>
      <c r="D116" t="s">
        <v>3738</v>
      </c>
      <c r="F116" t="s">
        <v>553</v>
      </c>
      <c r="G116" t="s">
        <v>3740</v>
      </c>
      <c r="H116" t="s">
        <v>3741</v>
      </c>
      <c r="I116" t="s">
        <v>3468</v>
      </c>
      <c r="J116" t="s">
        <v>3595</v>
      </c>
    </row>
    <row r="117" spans="1:10" ht="15" customHeight="1" x14ac:dyDescent="0.25">
      <c r="A117" t="s">
        <v>4943</v>
      </c>
      <c r="B117" t="s">
        <v>41</v>
      </c>
      <c r="C117" t="s">
        <v>4561</v>
      </c>
      <c r="D117" t="s">
        <v>4944</v>
      </c>
      <c r="E117" t="s">
        <v>4945</v>
      </c>
      <c r="F117" t="s">
        <v>1650</v>
      </c>
      <c r="G117" t="s">
        <v>4564</v>
      </c>
      <c r="H117" t="s">
        <v>4943</v>
      </c>
      <c r="I117" t="s">
        <v>3468</v>
      </c>
      <c r="J117" t="s">
        <v>3537</v>
      </c>
    </row>
    <row r="118" spans="1:10" ht="15" customHeight="1" x14ac:dyDescent="0.25">
      <c r="A118" t="s">
        <v>3742</v>
      </c>
      <c r="B118" t="s">
        <v>41</v>
      </c>
      <c r="C118" t="s">
        <v>3540</v>
      </c>
      <c r="D118" t="s">
        <v>4946</v>
      </c>
      <c r="E118" t="s">
        <v>4947</v>
      </c>
      <c r="F118" t="s">
        <v>90</v>
      </c>
      <c r="H118" t="s">
        <v>3742</v>
      </c>
      <c r="I118" t="s">
        <v>3468</v>
      </c>
      <c r="J118" t="s">
        <v>3537</v>
      </c>
    </row>
    <row r="119" spans="1:10" ht="15" customHeight="1" x14ac:dyDescent="0.25">
      <c r="A119" t="s">
        <v>4948</v>
      </c>
      <c r="B119" t="s">
        <v>3519</v>
      </c>
      <c r="C119" t="s">
        <v>3597</v>
      </c>
      <c r="D119" t="s">
        <v>4949</v>
      </c>
      <c r="F119" t="s">
        <v>160</v>
      </c>
      <c r="H119" t="s">
        <v>4950</v>
      </c>
      <c r="I119" t="s">
        <v>3468</v>
      </c>
      <c r="J119" t="s">
        <v>3700</v>
      </c>
    </row>
    <row r="120" spans="1:10" ht="15" customHeight="1" x14ac:dyDescent="0.25">
      <c r="A120" t="s">
        <v>4951</v>
      </c>
      <c r="B120" t="s">
        <v>3519</v>
      </c>
      <c r="C120" t="s">
        <v>3526</v>
      </c>
      <c r="D120" t="s">
        <v>4952</v>
      </c>
      <c r="E120" t="s">
        <v>4953</v>
      </c>
      <c r="F120" t="s">
        <v>1130</v>
      </c>
      <c r="G120" t="s">
        <v>4954</v>
      </c>
      <c r="H120" t="s">
        <v>4955</v>
      </c>
      <c r="I120" t="s">
        <v>3468</v>
      </c>
      <c r="J120" t="s">
        <v>4618</v>
      </c>
    </row>
    <row r="121" spans="1:10" ht="15" customHeight="1" x14ac:dyDescent="0.25">
      <c r="A121" t="s">
        <v>3745</v>
      </c>
      <c r="B121" t="s">
        <v>3746</v>
      </c>
      <c r="C121" t="s">
        <v>4956</v>
      </c>
      <c r="D121" t="s">
        <v>4957</v>
      </c>
      <c r="F121" t="s">
        <v>1796</v>
      </c>
      <c r="G121" t="s">
        <v>3749</v>
      </c>
      <c r="H121" t="s">
        <v>3750</v>
      </c>
      <c r="I121" t="s">
        <v>3468</v>
      </c>
      <c r="J121" t="s">
        <v>3595</v>
      </c>
    </row>
    <row r="122" spans="1:10" ht="15" customHeight="1" x14ac:dyDescent="0.25">
      <c r="A122" t="s">
        <v>4958</v>
      </c>
      <c r="B122" t="s">
        <v>41</v>
      </c>
      <c r="C122" t="s">
        <v>3532</v>
      </c>
      <c r="D122" t="s">
        <v>4959</v>
      </c>
      <c r="E122" t="s">
        <v>4960</v>
      </c>
      <c r="F122" t="s">
        <v>90</v>
      </c>
      <c r="H122" t="s">
        <v>4961</v>
      </c>
      <c r="I122" t="s">
        <v>3468</v>
      </c>
      <c r="J122" t="s">
        <v>3529</v>
      </c>
    </row>
    <row r="123" spans="1:10" ht="15" customHeight="1" x14ac:dyDescent="0.25">
      <c r="A123" t="s">
        <v>4962</v>
      </c>
      <c r="B123" t="s">
        <v>3531</v>
      </c>
      <c r="C123" t="s">
        <v>3540</v>
      </c>
      <c r="D123" t="s">
        <v>4963</v>
      </c>
      <c r="E123" t="s">
        <v>4964</v>
      </c>
      <c r="F123" t="s">
        <v>497</v>
      </c>
      <c r="G123" t="s">
        <v>264</v>
      </c>
      <c r="H123" t="s">
        <v>4962</v>
      </c>
      <c r="I123" t="s">
        <v>3468</v>
      </c>
      <c r="J123" t="s">
        <v>3537</v>
      </c>
    </row>
    <row r="124" spans="1:10" ht="15" customHeight="1" x14ac:dyDescent="0.25">
      <c r="A124" t="s">
        <v>4965</v>
      </c>
      <c r="B124" t="s">
        <v>41</v>
      </c>
      <c r="C124" t="s">
        <v>3532</v>
      </c>
      <c r="D124" t="s">
        <v>4966</v>
      </c>
      <c r="E124" t="s">
        <v>4967</v>
      </c>
      <c r="F124" t="s">
        <v>90</v>
      </c>
      <c r="G124" t="s">
        <v>3678</v>
      </c>
      <c r="H124" t="s">
        <v>4965</v>
      </c>
      <c r="I124" t="s">
        <v>3468</v>
      </c>
      <c r="J124" t="s">
        <v>4512</v>
      </c>
    </row>
    <row r="125" spans="1:10" ht="15" customHeight="1" x14ac:dyDescent="0.25">
      <c r="A125" t="s">
        <v>4968</v>
      </c>
      <c r="B125" t="s">
        <v>3519</v>
      </c>
      <c r="C125" t="s">
        <v>4969</v>
      </c>
      <c r="D125" t="s">
        <v>4970</v>
      </c>
      <c r="E125" t="s">
        <v>4971</v>
      </c>
      <c r="F125" t="s">
        <v>90</v>
      </c>
      <c r="G125" t="s">
        <v>4489</v>
      </c>
      <c r="H125" t="s">
        <v>4972</v>
      </c>
      <c r="I125" t="s">
        <v>3468</v>
      </c>
      <c r="J125" t="s">
        <v>3700</v>
      </c>
    </row>
    <row r="126" spans="1:10" ht="15" customHeight="1" x14ac:dyDescent="0.25">
      <c r="A126" t="s">
        <v>4973</v>
      </c>
      <c r="B126" t="s">
        <v>3531</v>
      </c>
      <c r="C126" t="s">
        <v>3540</v>
      </c>
      <c r="D126" t="s">
        <v>4974</v>
      </c>
      <c r="E126" t="s">
        <v>4975</v>
      </c>
      <c r="F126" t="s">
        <v>497</v>
      </c>
      <c r="G126" t="s">
        <v>3740</v>
      </c>
      <c r="H126" t="s">
        <v>4973</v>
      </c>
      <c r="I126" t="s">
        <v>3468</v>
      </c>
      <c r="J126" t="s">
        <v>3537</v>
      </c>
    </row>
    <row r="127" spans="1:10" ht="15" customHeight="1" x14ac:dyDescent="0.25">
      <c r="A127" t="s">
        <v>3751</v>
      </c>
      <c r="B127" t="s">
        <v>41</v>
      </c>
      <c r="C127" t="s">
        <v>3691</v>
      </c>
      <c r="D127" t="s">
        <v>4976</v>
      </c>
      <c r="E127" t="s">
        <v>4977</v>
      </c>
      <c r="F127" t="s">
        <v>160</v>
      </c>
      <c r="G127" t="s">
        <v>4978</v>
      </c>
      <c r="H127" t="s">
        <v>3755</v>
      </c>
      <c r="I127" t="s">
        <v>3468</v>
      </c>
      <c r="J127" t="s">
        <v>3595</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4979</v>
      </c>
      <c r="B1" t="s">
        <v>1</v>
      </c>
      <c r="C1" t="s">
        <v>167</v>
      </c>
      <c r="D1" t="s">
        <v>3756</v>
      </c>
      <c r="E1" t="s">
        <v>4980</v>
      </c>
      <c r="F1" t="s">
        <v>6</v>
      </c>
      <c r="G1" t="s">
        <v>4981</v>
      </c>
      <c r="H1" t="s">
        <v>4982</v>
      </c>
      <c r="I1" t="s">
        <v>4983</v>
      </c>
      <c r="J1" t="s">
        <v>4312</v>
      </c>
      <c r="K1" t="s">
        <v>4984</v>
      </c>
      <c r="L1" t="s">
        <v>4</v>
      </c>
      <c r="M1" t="s">
        <v>170</v>
      </c>
    </row>
    <row r="2" spans="1:13" ht="15" customHeight="1" x14ac:dyDescent="0.25">
      <c r="A2" t="s">
        <v>4985</v>
      </c>
      <c r="B2" t="s">
        <v>1650</v>
      </c>
      <c r="C2" t="s">
        <v>222</v>
      </c>
      <c r="D2" t="s">
        <v>39</v>
      </c>
      <c r="E2">
        <v>0</v>
      </c>
      <c r="F2" t="s">
        <v>41</v>
      </c>
      <c r="G2" t="s">
        <v>4986</v>
      </c>
      <c r="H2" t="s">
        <v>4987</v>
      </c>
      <c r="I2" t="s">
        <v>4039</v>
      </c>
      <c r="J2" t="s">
        <v>4988</v>
      </c>
      <c r="K2" t="s">
        <v>3468</v>
      </c>
      <c r="L2" t="s">
        <v>4350</v>
      </c>
      <c r="M2" t="s">
        <v>4989</v>
      </c>
    </row>
    <row r="3" spans="1:13" ht="15" customHeight="1" x14ac:dyDescent="0.25">
      <c r="A3" t="s">
        <v>4990</v>
      </c>
      <c r="B3" t="s">
        <v>1650</v>
      </c>
      <c r="C3" t="s">
        <v>222</v>
      </c>
      <c r="D3" t="s">
        <v>39</v>
      </c>
      <c r="E3">
        <v>0</v>
      </c>
      <c r="F3" t="s">
        <v>41</v>
      </c>
      <c r="G3" t="s">
        <v>4991</v>
      </c>
      <c r="H3" t="s">
        <v>4992</v>
      </c>
      <c r="I3" t="s">
        <v>4039</v>
      </c>
      <c r="J3" t="s">
        <v>4993</v>
      </c>
      <c r="K3" t="s">
        <v>3468</v>
      </c>
      <c r="L3" t="s">
        <v>4350</v>
      </c>
      <c r="M3" t="s">
        <v>264</v>
      </c>
    </row>
    <row r="4" spans="1:13" ht="15" customHeight="1" x14ac:dyDescent="0.25">
      <c r="A4" t="s">
        <v>4994</v>
      </c>
      <c r="B4" t="s">
        <v>90</v>
      </c>
      <c r="C4" t="s">
        <v>182</v>
      </c>
      <c r="D4" t="s">
        <v>39</v>
      </c>
      <c r="E4">
        <v>0</v>
      </c>
      <c r="F4" t="s">
        <v>3531</v>
      </c>
      <c r="G4" t="s">
        <v>4995</v>
      </c>
      <c r="H4" t="s">
        <v>4995</v>
      </c>
      <c r="I4" t="s">
        <v>4039</v>
      </c>
      <c r="J4" t="s">
        <v>4996</v>
      </c>
      <c r="K4">
        <v>1</v>
      </c>
      <c r="L4" t="s">
        <v>4350</v>
      </c>
    </row>
    <row r="5" spans="1:13" ht="15" customHeight="1" x14ac:dyDescent="0.25">
      <c r="A5" t="s">
        <v>4997</v>
      </c>
      <c r="B5" t="s">
        <v>90</v>
      </c>
      <c r="C5" t="s">
        <v>182</v>
      </c>
      <c r="D5" t="s">
        <v>4998</v>
      </c>
      <c r="E5">
        <v>0</v>
      </c>
      <c r="F5" t="s">
        <v>41</v>
      </c>
      <c r="G5" t="s">
        <v>3468</v>
      </c>
      <c r="H5" t="s">
        <v>4999</v>
      </c>
      <c r="I5" t="s">
        <v>4039</v>
      </c>
      <c r="J5" t="s">
        <v>5000</v>
      </c>
      <c r="K5" t="s">
        <v>3468</v>
      </c>
      <c r="L5" t="s">
        <v>4350</v>
      </c>
      <c r="M5" t="s">
        <v>5001</v>
      </c>
    </row>
    <row r="9" spans="1:13" ht="15" customHeight="1" x14ac:dyDescent="0.25">
      <c r="A9" t="s">
        <v>5002</v>
      </c>
      <c r="B9" t="s">
        <v>5003</v>
      </c>
      <c r="C9" t="s">
        <v>5004</v>
      </c>
      <c r="F9" t="s">
        <v>5005</v>
      </c>
      <c r="G9" t="s">
        <v>5006</v>
      </c>
      <c r="J9" t="s">
        <v>3468</v>
      </c>
    </row>
    <row r="10" spans="1:13" ht="15" customHeight="1" x14ac:dyDescent="0.25">
      <c r="A10" t="s">
        <v>5007</v>
      </c>
      <c r="B10" t="s">
        <v>5008</v>
      </c>
      <c r="C10" t="s">
        <v>5009</v>
      </c>
      <c r="F10" t="s">
        <v>5010</v>
      </c>
      <c r="G10" t="s">
        <v>5011</v>
      </c>
      <c r="J10" t="s">
        <v>5012</v>
      </c>
    </row>
    <row r="11" spans="1:13" ht="15" customHeight="1" x14ac:dyDescent="0.25">
      <c r="A11" t="s">
        <v>5013</v>
      </c>
      <c r="B11" t="s">
        <v>5014</v>
      </c>
      <c r="C11" t="s">
        <v>5015</v>
      </c>
      <c r="F11" t="s">
        <v>5016</v>
      </c>
      <c r="J11" t="s">
        <v>3468</v>
      </c>
    </row>
    <row r="12" spans="1:13" ht="15" customHeight="1" x14ac:dyDescent="0.25">
      <c r="A12" t="s">
        <v>5017</v>
      </c>
      <c r="B12" t="s">
        <v>5018</v>
      </c>
      <c r="C12" t="s">
        <v>5019</v>
      </c>
      <c r="F12" t="s">
        <v>5020</v>
      </c>
    </row>
    <row r="13" spans="1:13" ht="15" customHeight="1" x14ac:dyDescent="0.25">
      <c r="A13" t="s">
        <v>5021</v>
      </c>
      <c r="B13" t="s">
        <v>5022</v>
      </c>
      <c r="C13" t="s">
        <v>5023</v>
      </c>
      <c r="F13" t="s">
        <v>5024</v>
      </c>
      <c r="G13" t="s">
        <v>5025</v>
      </c>
      <c r="I13" t="s">
        <v>4282</v>
      </c>
    </row>
    <row r="14" spans="1:13" ht="15" customHeight="1" x14ac:dyDescent="0.25">
      <c r="A14" t="s">
        <v>5026</v>
      </c>
      <c r="B14" t="s">
        <v>5027</v>
      </c>
      <c r="C14" t="s">
        <v>5028</v>
      </c>
      <c r="F14" t="s">
        <v>5029</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3462</v>
      </c>
      <c r="E1" t="s">
        <v>3513</v>
      </c>
      <c r="F1" t="s">
        <v>5030</v>
      </c>
      <c r="G1" t="s">
        <v>3514</v>
      </c>
      <c r="H1" t="s">
        <v>5031</v>
      </c>
      <c r="I1" t="s">
        <v>5032</v>
      </c>
      <c r="J1" t="s">
        <v>4312</v>
      </c>
      <c r="K1" t="s">
        <v>170</v>
      </c>
    </row>
    <row r="2" spans="1:11" ht="15" customHeight="1" x14ac:dyDescent="0.25">
      <c r="A2" t="s">
        <v>5021</v>
      </c>
      <c r="B2" t="s">
        <v>5033</v>
      </c>
      <c r="C2" t="s">
        <v>3531</v>
      </c>
      <c r="D2" t="s">
        <v>5034</v>
      </c>
      <c r="E2" t="s">
        <v>5035</v>
      </c>
      <c r="F2" t="s">
        <v>5036</v>
      </c>
      <c r="G2" t="s">
        <v>160</v>
      </c>
      <c r="H2" t="s">
        <v>5037</v>
      </c>
      <c r="I2" t="s">
        <v>5038</v>
      </c>
      <c r="J2" t="s">
        <v>5039</v>
      </c>
    </row>
    <row r="3" spans="1:11" ht="15" customHeight="1" x14ac:dyDescent="0.25">
      <c r="A3" t="s">
        <v>5040</v>
      </c>
      <c r="B3" t="s">
        <v>5041</v>
      </c>
      <c r="C3" t="s">
        <v>41</v>
      </c>
      <c r="D3" t="s">
        <v>5042</v>
      </c>
      <c r="E3" t="s">
        <v>5043</v>
      </c>
      <c r="F3" t="s">
        <v>5044</v>
      </c>
      <c r="G3" t="s">
        <v>1650</v>
      </c>
      <c r="J3" t="s">
        <v>5045</v>
      </c>
    </row>
    <row r="4" spans="1:11" ht="15" customHeight="1" x14ac:dyDescent="0.25">
      <c r="A4" t="s">
        <v>5046</v>
      </c>
      <c r="B4" t="s">
        <v>5041</v>
      </c>
      <c r="C4" t="s">
        <v>41</v>
      </c>
      <c r="D4" t="s">
        <v>5047</v>
      </c>
      <c r="E4" t="s">
        <v>5048</v>
      </c>
      <c r="F4" t="s">
        <v>5049</v>
      </c>
      <c r="G4" t="s">
        <v>1047</v>
      </c>
      <c r="J4" t="s">
        <v>5050</v>
      </c>
    </row>
    <row r="5" spans="1:11" ht="15" customHeight="1" x14ac:dyDescent="0.25">
      <c r="A5" t="s">
        <v>5051</v>
      </c>
      <c r="B5" t="s">
        <v>3700</v>
      </c>
      <c r="C5" t="s">
        <v>41</v>
      </c>
      <c r="D5" t="s">
        <v>5052</v>
      </c>
      <c r="E5" t="s">
        <v>5053</v>
      </c>
      <c r="F5" t="s">
        <v>3468</v>
      </c>
      <c r="G5" t="s">
        <v>2133</v>
      </c>
      <c r="J5" t="s">
        <v>5054</v>
      </c>
    </row>
    <row r="6" spans="1:11" ht="15" customHeight="1" x14ac:dyDescent="0.25">
      <c r="A6" t="s">
        <v>5055</v>
      </c>
      <c r="B6" t="s">
        <v>3700</v>
      </c>
      <c r="C6" t="s">
        <v>3519</v>
      </c>
      <c r="D6" t="s">
        <v>5056</v>
      </c>
      <c r="E6" t="s">
        <v>5057</v>
      </c>
      <c r="F6" t="s">
        <v>3468</v>
      </c>
      <c r="G6" t="s">
        <v>2133</v>
      </c>
      <c r="J6" t="s">
        <v>5058</v>
      </c>
    </row>
    <row r="7" spans="1:11" ht="15" customHeight="1" x14ac:dyDescent="0.25">
      <c r="A7" t="s">
        <v>5059</v>
      </c>
      <c r="B7" t="s">
        <v>5060</v>
      </c>
      <c r="C7" t="s">
        <v>41</v>
      </c>
      <c r="D7" t="s">
        <v>5061</v>
      </c>
      <c r="E7" t="s">
        <v>5062</v>
      </c>
      <c r="F7" t="s">
        <v>3468</v>
      </c>
      <c r="G7" t="s">
        <v>759</v>
      </c>
      <c r="J7" t="s">
        <v>5063</v>
      </c>
    </row>
    <row r="8" spans="1:11" ht="15" customHeight="1" x14ac:dyDescent="0.25">
      <c r="A8" t="s">
        <v>5064</v>
      </c>
      <c r="B8" t="s">
        <v>5033</v>
      </c>
      <c r="C8" t="s">
        <v>3519</v>
      </c>
      <c r="D8" t="s">
        <v>5065</v>
      </c>
      <c r="E8" t="s">
        <v>5066</v>
      </c>
      <c r="F8" t="s">
        <v>3468</v>
      </c>
      <c r="G8" t="s">
        <v>160</v>
      </c>
      <c r="H8" t="s">
        <v>5067</v>
      </c>
      <c r="I8" t="s">
        <v>5068</v>
      </c>
      <c r="J8" t="s">
        <v>5069</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3756</v>
      </c>
      <c r="D1" t="s">
        <v>5070</v>
      </c>
      <c r="E1" t="s">
        <v>5071</v>
      </c>
      <c r="F1" t="s">
        <v>5072</v>
      </c>
      <c r="G1" t="s">
        <v>3761</v>
      </c>
      <c r="H1" t="s">
        <v>1</v>
      </c>
      <c r="I1" t="s">
        <v>5073</v>
      </c>
      <c r="J1" t="s">
        <v>5074</v>
      </c>
      <c r="K1" t="s">
        <v>171</v>
      </c>
      <c r="L1" t="s">
        <v>5075</v>
      </c>
      <c r="M1" t="s">
        <v>3762</v>
      </c>
    </row>
    <row r="2" spans="1:13" ht="27.75" customHeight="1" x14ac:dyDescent="0.25">
      <c r="A2" t="s">
        <v>3828</v>
      </c>
      <c r="B2" t="s">
        <v>5076</v>
      </c>
      <c r="C2" t="s">
        <v>4416</v>
      </c>
      <c r="D2">
        <v>2</v>
      </c>
      <c r="E2">
        <v>48</v>
      </c>
      <c r="F2">
        <v>54</v>
      </c>
      <c r="G2" t="s">
        <v>3468</v>
      </c>
      <c r="H2" t="s">
        <v>90</v>
      </c>
      <c r="I2" t="s">
        <v>4449</v>
      </c>
      <c r="J2" s="4" t="s">
        <v>5077</v>
      </c>
      <c r="K2" t="s">
        <v>3828</v>
      </c>
      <c r="L2" t="s">
        <v>3468</v>
      </c>
    </row>
    <row r="3" spans="1:13" ht="41.25" customHeight="1" x14ac:dyDescent="0.25">
      <c r="A3" t="s">
        <v>3857</v>
      </c>
      <c r="B3" t="s">
        <v>5076</v>
      </c>
      <c r="C3" t="s">
        <v>4420</v>
      </c>
      <c r="D3">
        <v>6</v>
      </c>
      <c r="E3">
        <v>114</v>
      </c>
      <c r="F3">
        <v>120</v>
      </c>
      <c r="G3" t="s">
        <v>3468</v>
      </c>
      <c r="H3" t="s">
        <v>90</v>
      </c>
      <c r="I3" t="s">
        <v>4449</v>
      </c>
      <c r="J3" s="4" t="s">
        <v>5078</v>
      </c>
      <c r="K3" t="s">
        <v>3857</v>
      </c>
      <c r="L3" t="s">
        <v>3468</v>
      </c>
    </row>
    <row r="4" spans="1:13" ht="15" customHeight="1" x14ac:dyDescent="0.25">
      <c r="A4" t="s">
        <v>3865</v>
      </c>
      <c r="B4" t="s">
        <v>5076</v>
      </c>
      <c r="C4" t="s">
        <v>5079</v>
      </c>
      <c r="D4">
        <v>9</v>
      </c>
      <c r="E4">
        <v>999</v>
      </c>
      <c r="F4">
        <v>999</v>
      </c>
      <c r="G4" t="s">
        <v>5080</v>
      </c>
      <c r="H4" t="s">
        <v>90</v>
      </c>
      <c r="I4" t="s">
        <v>4449</v>
      </c>
      <c r="J4" t="s">
        <v>5081</v>
      </c>
      <c r="K4" t="s">
        <v>3865</v>
      </c>
      <c r="L4" t="s">
        <v>3468</v>
      </c>
    </row>
    <row r="5" spans="1:13" ht="54.75" customHeight="1" x14ac:dyDescent="0.25">
      <c r="A5" t="s">
        <v>5082</v>
      </c>
      <c r="B5" t="s">
        <v>5076</v>
      </c>
      <c r="C5" t="s">
        <v>4416</v>
      </c>
      <c r="D5">
        <v>3</v>
      </c>
      <c r="E5">
        <v>40</v>
      </c>
      <c r="F5">
        <v>44</v>
      </c>
      <c r="G5" t="s">
        <v>3468</v>
      </c>
      <c r="H5" t="s">
        <v>90</v>
      </c>
      <c r="I5" t="s">
        <v>4449</v>
      </c>
      <c r="J5" s="4" t="s">
        <v>5083</v>
      </c>
      <c r="K5" t="s">
        <v>5084</v>
      </c>
      <c r="L5" t="s">
        <v>3468</v>
      </c>
    </row>
    <row r="6" spans="1:13" ht="27.75" customHeight="1" x14ac:dyDescent="0.25">
      <c r="A6" t="s">
        <v>5085</v>
      </c>
      <c r="B6" t="s">
        <v>5076</v>
      </c>
      <c r="C6" t="s">
        <v>4416</v>
      </c>
      <c r="D6">
        <v>1</v>
      </c>
      <c r="E6">
        <v>10</v>
      </c>
      <c r="F6">
        <v>15</v>
      </c>
      <c r="G6" t="s">
        <v>5086</v>
      </c>
      <c r="H6" t="s">
        <v>90</v>
      </c>
      <c r="I6" t="s">
        <v>4449</v>
      </c>
      <c r="J6" s="4" t="s">
        <v>5087</v>
      </c>
      <c r="K6" t="s">
        <v>5088</v>
      </c>
      <c r="L6" t="s">
        <v>3468</v>
      </c>
      <c r="M6" t="s">
        <v>4686</v>
      </c>
    </row>
    <row r="7" spans="1:13" ht="27.75" customHeight="1" x14ac:dyDescent="0.25">
      <c r="A7" t="s">
        <v>5089</v>
      </c>
      <c r="B7" t="s">
        <v>5076</v>
      </c>
      <c r="C7" t="s">
        <v>4416</v>
      </c>
      <c r="D7">
        <v>1</v>
      </c>
      <c r="E7">
        <v>11</v>
      </c>
      <c r="F7">
        <v>17</v>
      </c>
      <c r="G7" t="s">
        <v>5086</v>
      </c>
      <c r="H7" t="s">
        <v>90</v>
      </c>
      <c r="I7" t="s">
        <v>4449</v>
      </c>
      <c r="J7" s="4" t="s">
        <v>5090</v>
      </c>
      <c r="K7" t="s">
        <v>5091</v>
      </c>
      <c r="L7" t="s">
        <v>3468</v>
      </c>
      <c r="M7" t="s">
        <v>4686</v>
      </c>
    </row>
    <row r="8" spans="1:13" ht="41.25" customHeight="1" x14ac:dyDescent="0.25">
      <c r="A8" t="s">
        <v>5092</v>
      </c>
      <c r="B8" t="s">
        <v>5076</v>
      </c>
      <c r="C8" t="s">
        <v>4416</v>
      </c>
      <c r="D8">
        <v>4</v>
      </c>
      <c r="E8">
        <v>65</v>
      </c>
      <c r="F8">
        <v>69</v>
      </c>
      <c r="G8" t="s">
        <v>5093</v>
      </c>
      <c r="H8" t="s">
        <v>90</v>
      </c>
      <c r="I8" t="s">
        <v>4449</v>
      </c>
      <c r="J8" s="4" t="s">
        <v>5094</v>
      </c>
      <c r="K8" t="s">
        <v>5095</v>
      </c>
      <c r="L8" t="s">
        <v>3468</v>
      </c>
      <c r="M8" t="s">
        <v>3853</v>
      </c>
    </row>
    <row r="9" spans="1:13" ht="41.25" customHeight="1" x14ac:dyDescent="0.25">
      <c r="A9" t="s">
        <v>5096</v>
      </c>
      <c r="B9" t="s">
        <v>5076</v>
      </c>
      <c r="C9" t="s">
        <v>4416</v>
      </c>
      <c r="D9">
        <v>2</v>
      </c>
      <c r="E9">
        <v>28</v>
      </c>
      <c r="F9">
        <v>32</v>
      </c>
      <c r="G9" t="s">
        <v>3468</v>
      </c>
      <c r="H9" t="s">
        <v>90</v>
      </c>
      <c r="I9" t="s">
        <v>4449</v>
      </c>
      <c r="J9" s="4" t="s">
        <v>5097</v>
      </c>
      <c r="K9" t="s">
        <v>5098</v>
      </c>
      <c r="L9" t="s">
        <v>3468</v>
      </c>
      <c r="M9" t="s">
        <v>3853</v>
      </c>
    </row>
    <row r="10" spans="1:13" ht="27.75" customHeight="1" x14ac:dyDescent="0.25">
      <c r="A10" t="s">
        <v>5099</v>
      </c>
      <c r="B10" t="s">
        <v>5076</v>
      </c>
      <c r="C10" t="s">
        <v>4416</v>
      </c>
      <c r="D10">
        <v>1</v>
      </c>
      <c r="E10">
        <v>8</v>
      </c>
      <c r="F10">
        <v>12</v>
      </c>
      <c r="G10" t="s">
        <v>3468</v>
      </c>
      <c r="H10" t="s">
        <v>90</v>
      </c>
      <c r="I10" t="s">
        <v>4449</v>
      </c>
      <c r="J10" s="4" t="s">
        <v>5100</v>
      </c>
      <c r="K10" t="s">
        <v>5101</v>
      </c>
      <c r="L10" t="s">
        <v>3468</v>
      </c>
      <c r="M10" t="s">
        <v>3853</v>
      </c>
    </row>
    <row r="11" spans="1:13" ht="27.75" customHeight="1" x14ac:dyDescent="0.25">
      <c r="A11" t="s">
        <v>3850</v>
      </c>
      <c r="B11" t="s">
        <v>5076</v>
      </c>
      <c r="C11" t="s">
        <v>4416</v>
      </c>
      <c r="D11">
        <v>4</v>
      </c>
      <c r="E11">
        <v>64</v>
      </c>
      <c r="F11">
        <v>70</v>
      </c>
      <c r="G11" t="s">
        <v>5102</v>
      </c>
      <c r="H11" t="s">
        <v>90</v>
      </c>
      <c r="I11" t="s">
        <v>4449</v>
      </c>
      <c r="J11" s="4" t="s">
        <v>5103</v>
      </c>
      <c r="K11" t="s">
        <v>3852</v>
      </c>
      <c r="L11" t="s">
        <v>3468</v>
      </c>
      <c r="M11" t="s">
        <v>3853</v>
      </c>
    </row>
    <row r="12" spans="1:13" ht="27.75" customHeight="1" x14ac:dyDescent="0.25">
      <c r="A12" t="s">
        <v>5104</v>
      </c>
      <c r="B12" t="s">
        <v>5076</v>
      </c>
      <c r="C12" t="s">
        <v>4416</v>
      </c>
      <c r="D12">
        <v>2</v>
      </c>
      <c r="E12">
        <v>28</v>
      </c>
      <c r="F12">
        <v>32</v>
      </c>
      <c r="G12" t="s">
        <v>3468</v>
      </c>
      <c r="H12" t="s">
        <v>90</v>
      </c>
      <c r="I12" t="s">
        <v>4449</v>
      </c>
      <c r="J12" s="4" t="s">
        <v>5105</v>
      </c>
      <c r="K12" t="s">
        <v>5106</v>
      </c>
      <c r="L12" t="s">
        <v>3468</v>
      </c>
      <c r="M12" t="s">
        <v>3853</v>
      </c>
    </row>
    <row r="13" spans="1:13" ht="15" customHeight="1" x14ac:dyDescent="0.25">
      <c r="A13" t="s">
        <v>5107</v>
      </c>
      <c r="B13" t="s">
        <v>5076</v>
      </c>
      <c r="C13" t="s">
        <v>4416</v>
      </c>
      <c r="D13">
        <v>1</v>
      </c>
      <c r="E13">
        <v>10</v>
      </c>
      <c r="F13">
        <v>14</v>
      </c>
      <c r="G13" t="s">
        <v>3468</v>
      </c>
      <c r="H13" t="s">
        <v>90</v>
      </c>
      <c r="I13" t="s">
        <v>4449</v>
      </c>
      <c r="J13" t="s">
        <v>5108</v>
      </c>
      <c r="K13" t="s">
        <v>5109</v>
      </c>
      <c r="L13" t="s">
        <v>3468</v>
      </c>
      <c r="M13" t="s">
        <v>3853</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5110</v>
      </c>
      <c r="C1" t="s">
        <v>3756</v>
      </c>
      <c r="D1" t="s">
        <v>5070</v>
      </c>
      <c r="E1" t="s">
        <v>1</v>
      </c>
      <c r="F1" t="s">
        <v>5071</v>
      </c>
      <c r="G1" t="s">
        <v>5072</v>
      </c>
      <c r="H1" t="s">
        <v>4024</v>
      </c>
      <c r="I1" t="s">
        <v>3757</v>
      </c>
      <c r="J1" t="s">
        <v>5111</v>
      </c>
      <c r="K1" t="s">
        <v>5112</v>
      </c>
      <c r="L1" t="s">
        <v>5113</v>
      </c>
      <c r="M1" t="s">
        <v>5114</v>
      </c>
      <c r="N1" t="s">
        <v>5115</v>
      </c>
      <c r="O1" t="s">
        <v>5116</v>
      </c>
      <c r="P1" t="s">
        <v>5117</v>
      </c>
      <c r="Q1" t="s">
        <v>5118</v>
      </c>
      <c r="R1" t="s">
        <v>5119</v>
      </c>
      <c r="S1" t="s">
        <v>3761</v>
      </c>
      <c r="T1" t="s">
        <v>3762</v>
      </c>
    </row>
    <row r="2" spans="1:20" ht="15" customHeight="1" x14ac:dyDescent="0.25">
      <c r="A2" t="s">
        <v>3770</v>
      </c>
      <c r="B2" t="s">
        <v>5120</v>
      </c>
      <c r="C2" t="s">
        <v>4416</v>
      </c>
      <c r="D2">
        <v>1</v>
      </c>
      <c r="E2" t="s">
        <v>497</v>
      </c>
      <c r="F2">
        <v>10</v>
      </c>
      <c r="G2">
        <v>15</v>
      </c>
      <c r="H2">
        <v>80</v>
      </c>
      <c r="I2">
        <v>1</v>
      </c>
      <c r="J2" t="s">
        <v>5121</v>
      </c>
      <c r="K2">
        <v>0</v>
      </c>
      <c r="L2" t="s">
        <v>5122</v>
      </c>
      <c r="M2" t="s">
        <v>5123</v>
      </c>
      <c r="N2" t="s">
        <v>4039</v>
      </c>
      <c r="O2" t="s">
        <v>5124</v>
      </c>
      <c r="R2" t="s">
        <v>5125</v>
      </c>
      <c r="T2" t="s">
        <v>3523</v>
      </c>
    </row>
    <row r="3" spans="1:20" ht="15" customHeight="1" x14ac:dyDescent="0.25">
      <c r="A3" t="s">
        <v>5126</v>
      </c>
      <c r="B3" t="s">
        <v>5127</v>
      </c>
      <c r="C3" t="s">
        <v>4416</v>
      </c>
      <c r="D3">
        <v>2</v>
      </c>
      <c r="E3" t="s">
        <v>160</v>
      </c>
      <c r="F3">
        <v>16</v>
      </c>
      <c r="G3">
        <v>20</v>
      </c>
      <c r="H3">
        <v>90</v>
      </c>
      <c r="I3">
        <v>1</v>
      </c>
      <c r="J3" t="s">
        <v>5121</v>
      </c>
      <c r="K3">
        <v>0</v>
      </c>
      <c r="L3" t="s">
        <v>5128</v>
      </c>
      <c r="M3" t="s">
        <v>5129</v>
      </c>
      <c r="N3" t="s">
        <v>4039</v>
      </c>
      <c r="Q3" t="s">
        <v>5130</v>
      </c>
      <c r="R3" t="s">
        <v>5131</v>
      </c>
      <c r="S3" t="s">
        <v>5132</v>
      </c>
    </row>
    <row r="4" spans="1:20" ht="15" customHeight="1" x14ac:dyDescent="0.25">
      <c r="A4" t="s">
        <v>5133</v>
      </c>
      <c r="B4" t="s">
        <v>5134</v>
      </c>
      <c r="C4" t="s">
        <v>4416</v>
      </c>
      <c r="D4">
        <v>0</v>
      </c>
      <c r="E4" t="s">
        <v>160</v>
      </c>
      <c r="F4">
        <v>16</v>
      </c>
      <c r="G4">
        <v>20</v>
      </c>
      <c r="H4">
        <v>60</v>
      </c>
      <c r="I4">
        <v>1</v>
      </c>
      <c r="J4" t="s">
        <v>5135</v>
      </c>
      <c r="K4">
        <v>0</v>
      </c>
      <c r="L4" t="s">
        <v>5136</v>
      </c>
      <c r="M4" t="s">
        <v>5137</v>
      </c>
      <c r="N4" t="s">
        <v>4039</v>
      </c>
      <c r="Q4" t="s">
        <v>5138</v>
      </c>
      <c r="R4" t="s">
        <v>5139</v>
      </c>
    </row>
    <row r="5" spans="1:20" ht="15" customHeight="1" x14ac:dyDescent="0.25">
      <c r="A5" t="s">
        <v>5140</v>
      </c>
      <c r="B5" t="s">
        <v>5141</v>
      </c>
      <c r="C5" t="s">
        <v>4416</v>
      </c>
      <c r="D5">
        <v>2</v>
      </c>
      <c r="E5" t="s">
        <v>160</v>
      </c>
      <c r="F5">
        <v>16</v>
      </c>
      <c r="G5">
        <v>20</v>
      </c>
      <c r="H5">
        <v>0</v>
      </c>
      <c r="I5">
        <v>1</v>
      </c>
      <c r="J5" t="s">
        <v>5142</v>
      </c>
      <c r="K5">
        <v>0</v>
      </c>
      <c r="L5" t="s">
        <v>5143</v>
      </c>
      <c r="M5" t="s">
        <v>5144</v>
      </c>
      <c r="N5" t="s">
        <v>4039</v>
      </c>
      <c r="R5" t="s">
        <v>5145</v>
      </c>
    </row>
    <row r="6" spans="1:20" ht="15" customHeight="1" x14ac:dyDescent="0.25">
      <c r="A6" t="s">
        <v>5135</v>
      </c>
      <c r="B6" t="s">
        <v>5146</v>
      </c>
      <c r="C6" t="s">
        <v>4416</v>
      </c>
      <c r="D6">
        <v>0</v>
      </c>
      <c r="E6" t="s">
        <v>160</v>
      </c>
      <c r="F6">
        <v>16</v>
      </c>
      <c r="G6">
        <v>20</v>
      </c>
      <c r="H6">
        <v>70</v>
      </c>
      <c r="I6">
        <v>1</v>
      </c>
      <c r="J6" t="s">
        <v>5135</v>
      </c>
      <c r="K6">
        <v>0</v>
      </c>
      <c r="L6" t="s">
        <v>5128</v>
      </c>
      <c r="M6" t="s">
        <v>5147</v>
      </c>
      <c r="N6" t="s">
        <v>4039</v>
      </c>
      <c r="Q6" t="s">
        <v>5148</v>
      </c>
      <c r="R6" t="s">
        <v>5149</v>
      </c>
    </row>
    <row r="7" spans="1:20" ht="15" customHeight="1" x14ac:dyDescent="0.25">
      <c r="A7" t="s">
        <v>5150</v>
      </c>
      <c r="B7" t="s">
        <v>5151</v>
      </c>
      <c r="C7" t="s">
        <v>4416</v>
      </c>
      <c r="D7">
        <v>2</v>
      </c>
      <c r="E7" t="s">
        <v>497</v>
      </c>
      <c r="F7">
        <v>12</v>
      </c>
      <c r="G7">
        <v>16</v>
      </c>
      <c r="H7">
        <v>70</v>
      </c>
      <c r="I7">
        <v>1</v>
      </c>
      <c r="J7" t="s">
        <v>5152</v>
      </c>
      <c r="K7">
        <v>6</v>
      </c>
      <c r="L7" t="s">
        <v>5153</v>
      </c>
      <c r="M7" t="s">
        <v>5154</v>
      </c>
      <c r="N7" t="s">
        <v>4039</v>
      </c>
      <c r="O7" t="s">
        <v>5124</v>
      </c>
      <c r="P7" t="s">
        <v>5155</v>
      </c>
      <c r="R7" t="s">
        <v>5125</v>
      </c>
      <c r="T7" t="s">
        <v>3523</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5060</v>
      </c>
      <c r="D1" t="s">
        <v>5156</v>
      </c>
      <c r="E1" t="s">
        <v>3513</v>
      </c>
    </row>
    <row r="2" spans="1:5" ht="15" customHeight="1" x14ac:dyDescent="0.25">
      <c r="A2" t="s">
        <v>5157</v>
      </c>
      <c r="B2" t="s">
        <v>3858</v>
      </c>
      <c r="C2" t="s">
        <v>5158</v>
      </c>
      <c r="D2" t="s">
        <v>3459</v>
      </c>
    </row>
    <row r="3" spans="1:5" ht="15" customHeight="1" x14ac:dyDescent="0.25">
      <c r="A3" t="s">
        <v>5159</v>
      </c>
      <c r="B3" t="s">
        <v>3858</v>
      </c>
      <c r="C3" t="s">
        <v>5160</v>
      </c>
      <c r="D3" t="s">
        <v>3459</v>
      </c>
    </row>
    <row r="4" spans="1:5" ht="15" customHeight="1" x14ac:dyDescent="0.25">
      <c r="A4" t="s">
        <v>5161</v>
      </c>
      <c r="B4" t="s">
        <v>3858</v>
      </c>
      <c r="C4" t="s">
        <v>3965</v>
      </c>
      <c r="D4" t="s">
        <v>5162</v>
      </c>
    </row>
    <row r="5" spans="1:5" ht="15" customHeight="1" x14ac:dyDescent="0.25">
      <c r="A5" t="s">
        <v>5163</v>
      </c>
      <c r="B5" t="s">
        <v>3858</v>
      </c>
      <c r="C5" t="s">
        <v>5164</v>
      </c>
      <c r="D5" t="s">
        <v>3459</v>
      </c>
    </row>
    <row r="6" spans="1:5" ht="15" customHeight="1" x14ac:dyDescent="0.25">
      <c r="A6" t="s">
        <v>5165</v>
      </c>
      <c r="B6" t="s">
        <v>3858</v>
      </c>
      <c r="C6" t="s">
        <v>5166</v>
      </c>
      <c r="D6" t="s">
        <v>3459</v>
      </c>
    </row>
    <row r="7" spans="1:5" ht="15" customHeight="1" x14ac:dyDescent="0.25">
      <c r="A7" t="s">
        <v>5167</v>
      </c>
      <c r="B7" t="s">
        <v>3858</v>
      </c>
      <c r="C7" t="s">
        <v>5168</v>
      </c>
      <c r="D7" t="s">
        <v>5169</v>
      </c>
    </row>
    <row r="8" spans="1:5" ht="15" customHeight="1" x14ac:dyDescent="0.25">
      <c r="A8" t="s">
        <v>5170</v>
      </c>
      <c r="B8" t="s">
        <v>3858</v>
      </c>
      <c r="C8" t="s">
        <v>5171</v>
      </c>
      <c r="D8" t="s">
        <v>5172</v>
      </c>
    </row>
    <row r="9" spans="1:5" ht="15" customHeight="1" x14ac:dyDescent="0.25">
      <c r="A9" t="s">
        <v>5173</v>
      </c>
      <c r="B9" t="s">
        <v>5174</v>
      </c>
      <c r="C9" t="s">
        <v>5175</v>
      </c>
      <c r="D9" t="s">
        <v>3468</v>
      </c>
      <c r="E9" t="s">
        <v>5176</v>
      </c>
    </row>
    <row r="10" spans="1:5" ht="15" customHeight="1" x14ac:dyDescent="0.25">
      <c r="A10" t="s">
        <v>5177</v>
      </c>
      <c r="B10" t="s">
        <v>5174</v>
      </c>
      <c r="C10" t="s">
        <v>5178</v>
      </c>
      <c r="D10" t="s">
        <v>3468</v>
      </c>
      <c r="E10" t="s">
        <v>5179</v>
      </c>
    </row>
    <row r="11" spans="1:5" ht="15" customHeight="1" x14ac:dyDescent="0.25">
      <c r="A11" t="s">
        <v>5180</v>
      </c>
      <c r="B11" t="s">
        <v>5174</v>
      </c>
      <c r="C11" t="s">
        <v>5181</v>
      </c>
      <c r="D11" t="s">
        <v>3468</v>
      </c>
      <c r="E11" t="s">
        <v>5182</v>
      </c>
    </row>
    <row r="12" spans="1:5" ht="15" customHeight="1" x14ac:dyDescent="0.25">
      <c r="A12" t="s">
        <v>5183</v>
      </c>
      <c r="B12" t="s">
        <v>3858</v>
      </c>
      <c r="C12" t="s">
        <v>5184</v>
      </c>
      <c r="D12" t="s">
        <v>5185</v>
      </c>
    </row>
    <row r="13" spans="1:5" ht="15" customHeight="1" x14ac:dyDescent="0.25">
      <c r="A13" t="s">
        <v>5186</v>
      </c>
      <c r="B13" t="s">
        <v>3858</v>
      </c>
      <c r="C13" t="s">
        <v>5187</v>
      </c>
      <c r="D13" t="s">
        <v>3459</v>
      </c>
    </row>
    <row r="14" spans="1:5" ht="15" customHeight="1" x14ac:dyDescent="0.25">
      <c r="A14" t="s">
        <v>5188</v>
      </c>
      <c r="B14" t="s">
        <v>3858</v>
      </c>
      <c r="C14" t="s">
        <v>5189</v>
      </c>
      <c r="D14" t="s">
        <v>4305</v>
      </c>
    </row>
    <row r="15" spans="1:5" ht="15" customHeight="1" x14ac:dyDescent="0.25">
      <c r="A15" t="s">
        <v>5190</v>
      </c>
      <c r="B15" t="s">
        <v>3858</v>
      </c>
      <c r="C15" t="s">
        <v>5191</v>
      </c>
      <c r="D15" t="s">
        <v>3459</v>
      </c>
    </row>
    <row r="16" spans="1:5" ht="15" customHeight="1" x14ac:dyDescent="0.25">
      <c r="A16" t="s">
        <v>5192</v>
      </c>
      <c r="B16" t="s">
        <v>5174</v>
      </c>
      <c r="C16" t="s">
        <v>5193</v>
      </c>
      <c r="D16" t="s">
        <v>3468</v>
      </c>
      <c r="E16" t="s">
        <v>5194</v>
      </c>
    </row>
    <row r="17" spans="1:4" ht="15" customHeight="1" x14ac:dyDescent="0.25">
      <c r="A17" t="s">
        <v>5195</v>
      </c>
      <c r="B17" t="s">
        <v>3858</v>
      </c>
      <c r="C17" t="s">
        <v>5196</v>
      </c>
      <c r="D17" t="s">
        <v>5197</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3462</v>
      </c>
      <c r="C1" t="s">
        <v>167</v>
      </c>
      <c r="D1" t="s">
        <v>4018</v>
      </c>
      <c r="E1" t="s">
        <v>5198</v>
      </c>
      <c r="F1" t="s">
        <v>4311</v>
      </c>
      <c r="G1" t="s">
        <v>5199</v>
      </c>
      <c r="H1" t="s">
        <v>4053</v>
      </c>
      <c r="I1" t="s">
        <v>171</v>
      </c>
      <c r="J1" t="s">
        <v>6</v>
      </c>
      <c r="K1" t="s">
        <v>5200</v>
      </c>
    </row>
    <row r="2" spans="1:11" ht="15" customHeight="1" x14ac:dyDescent="0.25">
      <c r="A2" t="s">
        <v>5201</v>
      </c>
      <c r="B2" t="s">
        <v>5202</v>
      </c>
      <c r="C2" t="s">
        <v>4020</v>
      </c>
      <c r="D2" t="s">
        <v>187</v>
      </c>
      <c r="E2" t="s">
        <v>3468</v>
      </c>
      <c r="F2" t="s">
        <v>4350</v>
      </c>
      <c r="G2" t="s">
        <v>39</v>
      </c>
      <c r="H2" t="s">
        <v>4075</v>
      </c>
      <c r="I2" t="s">
        <v>5201</v>
      </c>
      <c r="J2" t="s">
        <v>3531</v>
      </c>
      <c r="K2" t="s">
        <v>3468</v>
      </c>
    </row>
    <row r="3" spans="1:11" ht="15" customHeight="1" x14ac:dyDescent="0.25">
      <c r="A3" t="s">
        <v>3538</v>
      </c>
      <c r="B3" t="s">
        <v>5203</v>
      </c>
      <c r="C3" t="s">
        <v>3761</v>
      </c>
      <c r="D3" t="s">
        <v>4039</v>
      </c>
      <c r="E3" t="s">
        <v>3468</v>
      </c>
      <c r="F3" t="s">
        <v>4350</v>
      </c>
      <c r="G3" t="s">
        <v>39</v>
      </c>
      <c r="H3" t="s">
        <v>4075</v>
      </c>
      <c r="I3" t="s">
        <v>3538</v>
      </c>
      <c r="J3" t="s">
        <v>3519</v>
      </c>
      <c r="K3" t="s">
        <v>3468</v>
      </c>
    </row>
    <row r="4" spans="1:11" ht="15" customHeight="1" x14ac:dyDescent="0.25">
      <c r="A4" t="s">
        <v>5204</v>
      </c>
      <c r="B4" t="s">
        <v>5205</v>
      </c>
      <c r="C4" t="s">
        <v>4032</v>
      </c>
      <c r="D4" t="s">
        <v>187</v>
      </c>
      <c r="E4" t="s">
        <v>3468</v>
      </c>
      <c r="F4" t="s">
        <v>5206</v>
      </c>
      <c r="G4" t="s">
        <v>39</v>
      </c>
      <c r="H4" t="s">
        <v>4058</v>
      </c>
      <c r="I4" t="s">
        <v>5204</v>
      </c>
      <c r="J4" t="s">
        <v>3531</v>
      </c>
      <c r="K4" t="s">
        <v>3468</v>
      </c>
    </row>
    <row r="5" spans="1:11" ht="15" customHeight="1" x14ac:dyDescent="0.25">
      <c r="A5" t="s">
        <v>5207</v>
      </c>
      <c r="B5" t="s">
        <v>5208</v>
      </c>
      <c r="C5" t="s">
        <v>4020</v>
      </c>
      <c r="D5" t="s">
        <v>187</v>
      </c>
      <c r="E5" t="s">
        <v>3468</v>
      </c>
      <c r="F5" t="s">
        <v>4350</v>
      </c>
      <c r="G5" t="s">
        <v>39</v>
      </c>
      <c r="H5" t="s">
        <v>4075</v>
      </c>
      <c r="I5" t="s">
        <v>5209</v>
      </c>
      <c r="J5" t="s">
        <v>3519</v>
      </c>
      <c r="K5" t="s">
        <v>3468</v>
      </c>
    </row>
    <row r="6" spans="1:11" ht="15" customHeight="1" x14ac:dyDescent="0.25">
      <c r="A6" t="s">
        <v>5210</v>
      </c>
      <c r="B6" t="s">
        <v>5211</v>
      </c>
      <c r="C6" t="s">
        <v>4032</v>
      </c>
      <c r="D6" t="s">
        <v>187</v>
      </c>
      <c r="E6" t="s">
        <v>3468</v>
      </c>
      <c r="F6" t="s">
        <v>5212</v>
      </c>
      <c r="G6" t="s">
        <v>39</v>
      </c>
      <c r="H6" t="s">
        <v>4058</v>
      </c>
      <c r="I6" t="s">
        <v>5210</v>
      </c>
      <c r="J6" t="s">
        <v>41</v>
      </c>
      <c r="K6" t="s">
        <v>3468</v>
      </c>
    </row>
    <row r="7" spans="1:11" ht="15" customHeight="1" x14ac:dyDescent="0.25">
      <c r="A7" t="s">
        <v>5213</v>
      </c>
      <c r="B7" t="s">
        <v>5214</v>
      </c>
      <c r="C7" t="s">
        <v>4020</v>
      </c>
      <c r="D7" t="s">
        <v>187</v>
      </c>
      <c r="E7" t="s">
        <v>3468</v>
      </c>
      <c r="F7" t="s">
        <v>5212</v>
      </c>
      <c r="G7" t="s">
        <v>39</v>
      </c>
      <c r="H7" t="s">
        <v>4075</v>
      </c>
      <c r="I7" t="s">
        <v>5213</v>
      </c>
      <c r="J7" t="s">
        <v>3519</v>
      </c>
      <c r="K7" t="s">
        <v>3468</v>
      </c>
    </row>
    <row r="8" spans="1:11" ht="15" customHeight="1" x14ac:dyDescent="0.25">
      <c r="A8" t="s">
        <v>5215</v>
      </c>
      <c r="B8" t="s">
        <v>5216</v>
      </c>
      <c r="C8" t="s">
        <v>4020</v>
      </c>
      <c r="D8" t="s">
        <v>187</v>
      </c>
      <c r="E8" t="s">
        <v>3468</v>
      </c>
      <c r="F8" t="s">
        <v>4350</v>
      </c>
      <c r="G8" t="s">
        <v>39</v>
      </c>
      <c r="H8" t="s">
        <v>4075</v>
      </c>
      <c r="I8" t="s">
        <v>5215</v>
      </c>
      <c r="J8" t="s">
        <v>41</v>
      </c>
      <c r="K8" t="s">
        <v>3468</v>
      </c>
    </row>
    <row r="9" spans="1:11" ht="15" customHeight="1" x14ac:dyDescent="0.25">
      <c r="A9" t="s">
        <v>5217</v>
      </c>
      <c r="B9" t="s">
        <v>5218</v>
      </c>
      <c r="C9" t="s">
        <v>4032</v>
      </c>
      <c r="D9" t="s">
        <v>187</v>
      </c>
      <c r="E9" t="s">
        <v>3468</v>
      </c>
      <c r="F9" t="s">
        <v>4350</v>
      </c>
      <c r="G9" t="s">
        <v>39</v>
      </c>
      <c r="H9" t="s">
        <v>4058</v>
      </c>
      <c r="I9" t="s">
        <v>5217</v>
      </c>
      <c r="J9" t="s">
        <v>41</v>
      </c>
      <c r="K9" t="s">
        <v>3468</v>
      </c>
    </row>
    <row r="10" spans="1:11" ht="15" customHeight="1" x14ac:dyDescent="0.25">
      <c r="A10" t="s">
        <v>5219</v>
      </c>
      <c r="B10" t="s">
        <v>5220</v>
      </c>
      <c r="C10" t="s">
        <v>4020</v>
      </c>
      <c r="D10" t="s">
        <v>187</v>
      </c>
      <c r="E10" t="s">
        <v>3468</v>
      </c>
      <c r="F10" t="s">
        <v>5221</v>
      </c>
      <c r="G10" t="s">
        <v>39</v>
      </c>
      <c r="H10" t="s">
        <v>4075</v>
      </c>
      <c r="I10" t="s">
        <v>5219</v>
      </c>
      <c r="J10" t="s">
        <v>3519</v>
      </c>
      <c r="K10" t="s">
        <v>3468</v>
      </c>
    </row>
    <row r="11" spans="1:11" ht="15" customHeight="1" x14ac:dyDescent="0.25">
      <c r="A11" t="s">
        <v>4044</v>
      </c>
      <c r="B11" t="s">
        <v>5222</v>
      </c>
      <c r="C11" t="s">
        <v>4032</v>
      </c>
      <c r="D11" t="s">
        <v>187</v>
      </c>
      <c r="E11" t="s">
        <v>3468</v>
      </c>
      <c r="F11" t="s">
        <v>5212</v>
      </c>
      <c r="G11" t="s">
        <v>39</v>
      </c>
      <c r="H11" t="s">
        <v>4058</v>
      </c>
      <c r="I11" t="s">
        <v>4044</v>
      </c>
      <c r="J11" t="s">
        <v>41</v>
      </c>
      <c r="K11" t="s">
        <v>3468</v>
      </c>
    </row>
    <row r="12" spans="1:11" ht="15" customHeight="1" x14ac:dyDescent="0.25">
      <c r="A12" t="s">
        <v>5223</v>
      </c>
      <c r="B12" t="s">
        <v>5224</v>
      </c>
      <c r="C12" t="s">
        <v>4020</v>
      </c>
      <c r="D12" t="s">
        <v>187</v>
      </c>
      <c r="E12" t="s">
        <v>3468</v>
      </c>
      <c r="F12" t="s">
        <v>5225</v>
      </c>
      <c r="G12" t="s">
        <v>5226</v>
      </c>
      <c r="H12" t="s">
        <v>4075</v>
      </c>
      <c r="I12" t="s">
        <v>5223</v>
      </c>
      <c r="J12" t="s">
        <v>3519</v>
      </c>
      <c r="K12" t="s">
        <v>3468</v>
      </c>
    </row>
    <row r="13" spans="1:11" ht="15" customHeight="1" x14ac:dyDescent="0.25">
      <c r="A13" t="s">
        <v>5227</v>
      </c>
      <c r="B13" t="s">
        <v>5228</v>
      </c>
      <c r="C13" t="s">
        <v>4032</v>
      </c>
      <c r="D13" t="s">
        <v>187</v>
      </c>
      <c r="E13" t="s">
        <v>3468</v>
      </c>
      <c r="F13" t="s">
        <v>5225</v>
      </c>
      <c r="G13" t="s">
        <v>5229</v>
      </c>
      <c r="H13" t="s">
        <v>4058</v>
      </c>
      <c r="I13" t="s">
        <v>5227</v>
      </c>
      <c r="J13" t="s">
        <v>3468</v>
      </c>
      <c r="K13" t="s">
        <v>3468</v>
      </c>
    </row>
    <row r="14" spans="1:11" ht="15" customHeight="1" x14ac:dyDescent="0.25">
      <c r="A14" t="s">
        <v>5230</v>
      </c>
      <c r="B14" t="s">
        <v>5231</v>
      </c>
      <c r="C14" t="s">
        <v>4032</v>
      </c>
      <c r="D14" t="s">
        <v>187</v>
      </c>
      <c r="E14" t="s">
        <v>3468</v>
      </c>
      <c r="F14" t="s">
        <v>5212</v>
      </c>
      <c r="G14" t="s">
        <v>5226</v>
      </c>
      <c r="H14" t="s">
        <v>4058</v>
      </c>
      <c r="I14" t="s">
        <v>5230</v>
      </c>
      <c r="J14" t="s">
        <v>3468</v>
      </c>
      <c r="K14" t="s">
        <v>3468</v>
      </c>
    </row>
    <row r="15" spans="1:11" ht="15" customHeight="1" x14ac:dyDescent="0.25">
      <c r="A15" t="s">
        <v>5232</v>
      </c>
      <c r="B15" t="s">
        <v>5233</v>
      </c>
      <c r="C15" t="s">
        <v>4032</v>
      </c>
      <c r="D15" t="s">
        <v>187</v>
      </c>
      <c r="E15" t="s">
        <v>3468</v>
      </c>
      <c r="F15" t="s">
        <v>4350</v>
      </c>
      <c r="G15" t="s">
        <v>5229</v>
      </c>
      <c r="H15" t="s">
        <v>4058</v>
      </c>
      <c r="I15" t="s">
        <v>5234</v>
      </c>
      <c r="J15" t="s">
        <v>3468</v>
      </c>
      <c r="K15" t="s">
        <v>3468</v>
      </c>
    </row>
    <row r="16" spans="1:11" ht="15" customHeight="1" x14ac:dyDescent="0.25">
      <c r="A16" t="s">
        <v>5235</v>
      </c>
      <c r="B16" t="s">
        <v>5236</v>
      </c>
      <c r="C16" t="s">
        <v>3761</v>
      </c>
      <c r="D16" t="s">
        <v>4039</v>
      </c>
      <c r="E16" t="s">
        <v>3468</v>
      </c>
      <c r="F16" t="s">
        <v>4350</v>
      </c>
      <c r="G16" t="s">
        <v>39</v>
      </c>
      <c r="H16" t="s">
        <v>4075</v>
      </c>
      <c r="I16" t="s">
        <v>5237</v>
      </c>
      <c r="J16" t="s">
        <v>3468</v>
      </c>
      <c r="K16" t="s">
        <v>3468</v>
      </c>
    </row>
    <row r="17" spans="1:11" ht="15" customHeight="1" x14ac:dyDescent="0.25">
      <c r="A17" t="s">
        <v>3529</v>
      </c>
      <c r="B17" t="s">
        <v>5238</v>
      </c>
      <c r="C17" t="s">
        <v>4020</v>
      </c>
      <c r="D17" t="s">
        <v>187</v>
      </c>
      <c r="E17" t="s">
        <v>3468</v>
      </c>
      <c r="F17" t="s">
        <v>4350</v>
      </c>
      <c r="G17" t="s">
        <v>39</v>
      </c>
      <c r="H17" t="s">
        <v>4075</v>
      </c>
      <c r="I17" t="s">
        <v>3529</v>
      </c>
      <c r="J17" t="s">
        <v>3531</v>
      </c>
      <c r="K17" t="s">
        <v>3468</v>
      </c>
    </row>
    <row r="18" spans="1:11" ht="15" customHeight="1" x14ac:dyDescent="0.25">
      <c r="A18" t="s">
        <v>5239</v>
      </c>
      <c r="B18" t="s">
        <v>5240</v>
      </c>
      <c r="C18" t="s">
        <v>4020</v>
      </c>
      <c r="D18" t="s">
        <v>187</v>
      </c>
      <c r="E18" t="s">
        <v>3468</v>
      </c>
      <c r="F18" t="s">
        <v>5241</v>
      </c>
      <c r="G18" t="s">
        <v>39</v>
      </c>
      <c r="H18" t="s">
        <v>4075</v>
      </c>
      <c r="I18" t="s">
        <v>5239</v>
      </c>
      <c r="J18" t="s">
        <v>3519</v>
      </c>
      <c r="K18" t="s">
        <v>3468</v>
      </c>
    </row>
    <row r="19" spans="1:11" ht="15" customHeight="1" x14ac:dyDescent="0.25">
      <c r="A19" t="s">
        <v>5242</v>
      </c>
      <c r="B19" t="s">
        <v>5243</v>
      </c>
      <c r="C19" t="s">
        <v>4032</v>
      </c>
      <c r="D19" t="s">
        <v>187</v>
      </c>
      <c r="E19" t="s">
        <v>3468</v>
      </c>
      <c r="F19" t="s">
        <v>4350</v>
      </c>
      <c r="G19" t="s">
        <v>39</v>
      </c>
      <c r="H19" t="s">
        <v>4058</v>
      </c>
      <c r="I19" t="s">
        <v>5242</v>
      </c>
      <c r="J19" t="s">
        <v>3531</v>
      </c>
      <c r="K19" t="s">
        <v>3468</v>
      </c>
    </row>
    <row r="20" spans="1:11" ht="15" customHeight="1" x14ac:dyDescent="0.25">
      <c r="A20" t="s">
        <v>5244</v>
      </c>
      <c r="B20" t="s">
        <v>5245</v>
      </c>
      <c r="C20" t="s">
        <v>4020</v>
      </c>
      <c r="D20" t="s">
        <v>187</v>
      </c>
      <c r="E20" t="s">
        <v>3468</v>
      </c>
      <c r="F20" t="s">
        <v>5212</v>
      </c>
      <c r="G20" t="s">
        <v>5226</v>
      </c>
      <c r="H20" t="s">
        <v>4075</v>
      </c>
      <c r="I20" t="s">
        <v>5246</v>
      </c>
      <c r="J20" t="s">
        <v>3519</v>
      </c>
      <c r="K20" t="s">
        <v>3468</v>
      </c>
    </row>
    <row r="21" spans="1:11" ht="15" customHeight="1" x14ac:dyDescent="0.25">
      <c r="A21" t="s">
        <v>5247</v>
      </c>
      <c r="B21" t="s">
        <v>5248</v>
      </c>
      <c r="C21" t="s">
        <v>4032</v>
      </c>
      <c r="D21" t="s">
        <v>187</v>
      </c>
      <c r="E21" t="s">
        <v>3468</v>
      </c>
      <c r="F21" t="s">
        <v>5212</v>
      </c>
      <c r="G21" t="s">
        <v>39</v>
      </c>
      <c r="H21" t="s">
        <v>4058</v>
      </c>
      <c r="I21" t="s">
        <v>5247</v>
      </c>
      <c r="J21" t="s">
        <v>3519</v>
      </c>
      <c r="K21" t="s">
        <v>3468</v>
      </c>
    </row>
    <row r="22" spans="1:11" ht="15" customHeight="1" x14ac:dyDescent="0.25">
      <c r="A22" t="s">
        <v>5249</v>
      </c>
      <c r="B22" t="s">
        <v>5250</v>
      </c>
      <c r="C22" t="s">
        <v>3761</v>
      </c>
      <c r="D22" t="s">
        <v>187</v>
      </c>
      <c r="E22" t="s">
        <v>3468</v>
      </c>
      <c r="F22" t="s">
        <v>4350</v>
      </c>
      <c r="G22" t="s">
        <v>5226</v>
      </c>
      <c r="H22" t="s">
        <v>4075</v>
      </c>
      <c r="I22" t="s">
        <v>5249</v>
      </c>
      <c r="J22" t="s">
        <v>3468</v>
      </c>
      <c r="K22" t="s">
        <v>3468</v>
      </c>
    </row>
    <row r="23" spans="1:11" ht="15" customHeight="1" x14ac:dyDescent="0.25">
      <c r="A23" t="s">
        <v>5251</v>
      </c>
      <c r="B23" t="s">
        <v>5252</v>
      </c>
      <c r="C23" t="s">
        <v>3761</v>
      </c>
      <c r="D23" t="s">
        <v>187</v>
      </c>
      <c r="E23" t="s">
        <v>3468</v>
      </c>
      <c r="F23" t="s">
        <v>4350</v>
      </c>
      <c r="G23" t="s">
        <v>5226</v>
      </c>
      <c r="H23" t="s">
        <v>4075</v>
      </c>
      <c r="I23" t="s">
        <v>5251</v>
      </c>
      <c r="J23" t="s">
        <v>3468</v>
      </c>
      <c r="K23" t="s">
        <v>3468</v>
      </c>
    </row>
    <row r="24" spans="1:11" ht="15" customHeight="1" x14ac:dyDescent="0.25">
      <c r="A24" t="s">
        <v>5253</v>
      </c>
      <c r="B24" t="s">
        <v>5254</v>
      </c>
      <c r="C24" t="s">
        <v>4032</v>
      </c>
      <c r="D24" t="s">
        <v>187</v>
      </c>
      <c r="E24" t="s">
        <v>3468</v>
      </c>
      <c r="F24" t="s">
        <v>5212</v>
      </c>
      <c r="G24" t="s">
        <v>39</v>
      </c>
      <c r="H24" t="s">
        <v>4058</v>
      </c>
      <c r="I24" t="s">
        <v>5255</v>
      </c>
      <c r="J24" t="s">
        <v>3468</v>
      </c>
      <c r="K24" t="s">
        <v>3468</v>
      </c>
    </row>
    <row r="25" spans="1:11" ht="15" customHeight="1" x14ac:dyDescent="0.25">
      <c r="A25" t="s">
        <v>5256</v>
      </c>
      <c r="B25" t="s">
        <v>5257</v>
      </c>
      <c r="C25" t="s">
        <v>4032</v>
      </c>
      <c r="D25" t="s">
        <v>187</v>
      </c>
      <c r="E25" t="s">
        <v>3468</v>
      </c>
      <c r="F25" t="s">
        <v>5258</v>
      </c>
      <c r="G25" t="s">
        <v>5226</v>
      </c>
      <c r="H25" t="s">
        <v>4058</v>
      </c>
      <c r="I25" t="s">
        <v>5256</v>
      </c>
      <c r="J25" t="s">
        <v>3531</v>
      </c>
      <c r="K25" t="s">
        <v>3468</v>
      </c>
    </row>
    <row r="26" spans="1:11" ht="15" customHeight="1" x14ac:dyDescent="0.25">
      <c r="A26" t="s">
        <v>5259</v>
      </c>
      <c r="B26" t="s">
        <v>5260</v>
      </c>
      <c r="C26" t="s">
        <v>3761</v>
      </c>
      <c r="D26" t="s">
        <v>187</v>
      </c>
      <c r="E26" t="s">
        <v>3468</v>
      </c>
      <c r="F26" t="s">
        <v>4350</v>
      </c>
      <c r="G26" t="s">
        <v>5226</v>
      </c>
      <c r="H26" t="s">
        <v>4075</v>
      </c>
      <c r="I26" t="s">
        <v>5261</v>
      </c>
      <c r="J26" t="s">
        <v>3468</v>
      </c>
      <c r="K26" t="s">
        <v>3468</v>
      </c>
    </row>
    <row r="27" spans="1:11" ht="15" customHeight="1" x14ac:dyDescent="0.25">
      <c r="A27" t="s">
        <v>5262</v>
      </c>
      <c r="B27" t="s">
        <v>5263</v>
      </c>
      <c r="C27" t="s">
        <v>3761</v>
      </c>
      <c r="D27" t="s">
        <v>187</v>
      </c>
      <c r="E27" t="s">
        <v>3468</v>
      </c>
      <c r="F27" t="s">
        <v>4350</v>
      </c>
      <c r="G27" t="s">
        <v>5226</v>
      </c>
      <c r="H27" t="s">
        <v>4075</v>
      </c>
      <c r="I27" t="s">
        <v>5264</v>
      </c>
      <c r="J27" t="s">
        <v>3468</v>
      </c>
      <c r="K27" t="s">
        <v>3468</v>
      </c>
    </row>
    <row r="28" spans="1:11" ht="15" customHeight="1" x14ac:dyDescent="0.25">
      <c r="A28" t="s">
        <v>5265</v>
      </c>
      <c r="B28" t="s">
        <v>5266</v>
      </c>
      <c r="C28" t="s">
        <v>4020</v>
      </c>
      <c r="D28" t="s">
        <v>187</v>
      </c>
      <c r="E28" t="s">
        <v>3468</v>
      </c>
      <c r="F28" t="s">
        <v>5225</v>
      </c>
      <c r="G28" t="s">
        <v>39</v>
      </c>
      <c r="H28" t="s">
        <v>4075</v>
      </c>
      <c r="I28" t="s">
        <v>5267</v>
      </c>
      <c r="J28" t="s">
        <v>3531</v>
      </c>
      <c r="K28" t="s">
        <v>3468</v>
      </c>
    </row>
    <row r="29" spans="1:11" ht="15" customHeight="1" x14ac:dyDescent="0.25">
      <c r="A29" t="s">
        <v>5268</v>
      </c>
      <c r="B29" t="s">
        <v>5269</v>
      </c>
      <c r="C29" t="s">
        <v>3761</v>
      </c>
      <c r="D29" t="s">
        <v>4039</v>
      </c>
      <c r="E29" t="s">
        <v>3468</v>
      </c>
      <c r="F29" t="s">
        <v>5270</v>
      </c>
      <c r="G29" t="s">
        <v>5229</v>
      </c>
      <c r="H29" t="s">
        <v>4058</v>
      </c>
      <c r="I29" t="s">
        <v>5268</v>
      </c>
      <c r="J29" t="s">
        <v>3468</v>
      </c>
      <c r="K29" t="s">
        <v>3468</v>
      </c>
    </row>
    <row r="30" spans="1:11" ht="15" customHeight="1" x14ac:dyDescent="0.25">
      <c r="A30" t="s">
        <v>5271</v>
      </c>
      <c r="B30" t="s">
        <v>5272</v>
      </c>
      <c r="C30" t="s">
        <v>3761</v>
      </c>
      <c r="D30" t="s">
        <v>4039</v>
      </c>
      <c r="E30" t="s">
        <v>3468</v>
      </c>
      <c r="F30" t="s">
        <v>4350</v>
      </c>
      <c r="G30" t="s">
        <v>5229</v>
      </c>
      <c r="H30" t="s">
        <v>4086</v>
      </c>
      <c r="I30" t="s">
        <v>5271</v>
      </c>
      <c r="J30" t="s">
        <v>3468</v>
      </c>
      <c r="K30" t="s">
        <v>3468</v>
      </c>
    </row>
    <row r="31" spans="1:11" ht="15" customHeight="1" x14ac:dyDescent="0.25">
      <c r="A31" t="s">
        <v>5273</v>
      </c>
      <c r="B31" t="s">
        <v>5274</v>
      </c>
      <c r="C31" t="s">
        <v>4032</v>
      </c>
      <c r="D31" t="s">
        <v>187</v>
      </c>
      <c r="E31" t="s">
        <v>3468</v>
      </c>
      <c r="F31" t="s">
        <v>5212</v>
      </c>
      <c r="G31" t="s">
        <v>5226</v>
      </c>
      <c r="H31" t="s">
        <v>4058</v>
      </c>
      <c r="I31" t="s">
        <v>5273</v>
      </c>
      <c r="J31" t="s">
        <v>41</v>
      </c>
      <c r="K31" t="s">
        <v>3468</v>
      </c>
    </row>
    <row r="32" spans="1:11" ht="15" customHeight="1" x14ac:dyDescent="0.25">
      <c r="A32" t="s">
        <v>5275</v>
      </c>
      <c r="B32" t="s">
        <v>5276</v>
      </c>
      <c r="C32" t="s">
        <v>4020</v>
      </c>
      <c r="D32" t="s">
        <v>187</v>
      </c>
      <c r="E32" t="s">
        <v>3468</v>
      </c>
      <c r="F32" t="s">
        <v>5212</v>
      </c>
      <c r="G32" t="s">
        <v>39</v>
      </c>
      <c r="H32" t="s">
        <v>4075</v>
      </c>
      <c r="I32" t="s">
        <v>5275</v>
      </c>
      <c r="J32" t="s">
        <v>3519</v>
      </c>
      <c r="K32" t="s">
        <v>3468</v>
      </c>
    </row>
    <row r="33" spans="1:11" ht="15" customHeight="1" x14ac:dyDescent="0.25">
      <c r="A33" t="s">
        <v>5277</v>
      </c>
      <c r="B33" t="s">
        <v>5278</v>
      </c>
      <c r="C33" t="s">
        <v>4032</v>
      </c>
      <c r="D33" t="s">
        <v>187</v>
      </c>
      <c r="E33" t="s">
        <v>3468</v>
      </c>
      <c r="F33" t="s">
        <v>4350</v>
      </c>
      <c r="G33" t="s">
        <v>39</v>
      </c>
      <c r="H33" t="s">
        <v>4058</v>
      </c>
      <c r="I33" t="s">
        <v>5277</v>
      </c>
      <c r="J33" t="s">
        <v>3531</v>
      </c>
      <c r="K33" t="s">
        <v>3468</v>
      </c>
    </row>
    <row r="34" spans="1:11" ht="15" customHeight="1" x14ac:dyDescent="0.25">
      <c r="A34" t="s">
        <v>5279</v>
      </c>
      <c r="B34" t="s">
        <v>5280</v>
      </c>
      <c r="C34" t="s">
        <v>3761</v>
      </c>
      <c r="D34" t="s">
        <v>4039</v>
      </c>
      <c r="E34" t="s">
        <v>3468</v>
      </c>
      <c r="F34" t="s">
        <v>4350</v>
      </c>
      <c r="G34" t="s">
        <v>5229</v>
      </c>
      <c r="H34" t="s">
        <v>4075</v>
      </c>
      <c r="I34" t="s">
        <v>5281</v>
      </c>
      <c r="J34" t="s">
        <v>3468</v>
      </c>
      <c r="K34" t="s">
        <v>3468</v>
      </c>
    </row>
    <row r="35" spans="1:11" ht="15" customHeight="1" x14ac:dyDescent="0.25">
      <c r="A35" t="s">
        <v>5282</v>
      </c>
      <c r="B35" t="s">
        <v>5283</v>
      </c>
      <c r="C35" t="s">
        <v>4020</v>
      </c>
      <c r="D35" t="s">
        <v>5284</v>
      </c>
      <c r="E35" t="s">
        <v>3468</v>
      </c>
      <c r="F35" t="s">
        <v>5285</v>
      </c>
      <c r="G35" t="s">
        <v>5226</v>
      </c>
      <c r="H35" t="s">
        <v>4075</v>
      </c>
      <c r="I35" t="s">
        <v>5286</v>
      </c>
      <c r="J35" t="s">
        <v>41</v>
      </c>
      <c r="K35" t="s">
        <v>3468</v>
      </c>
    </row>
    <row r="36" spans="1:11" ht="15" customHeight="1" x14ac:dyDescent="0.25">
      <c r="A36" t="s">
        <v>5287</v>
      </c>
      <c r="B36" t="s">
        <v>5288</v>
      </c>
      <c r="C36" t="s">
        <v>4020</v>
      </c>
      <c r="D36" t="s">
        <v>5284</v>
      </c>
      <c r="E36" t="s">
        <v>3468</v>
      </c>
      <c r="F36" t="s">
        <v>5285</v>
      </c>
      <c r="G36" t="s">
        <v>5226</v>
      </c>
      <c r="H36" t="s">
        <v>4075</v>
      </c>
      <c r="I36" t="s">
        <v>5289</v>
      </c>
      <c r="J36" t="s">
        <v>3519</v>
      </c>
      <c r="K36" t="s">
        <v>3468</v>
      </c>
    </row>
    <row r="37" spans="1:11" ht="15" customHeight="1" x14ac:dyDescent="0.25">
      <c r="A37" t="s">
        <v>5290</v>
      </c>
      <c r="B37" t="s">
        <v>5291</v>
      </c>
      <c r="C37" t="s">
        <v>4020</v>
      </c>
      <c r="D37" t="s">
        <v>5284</v>
      </c>
      <c r="E37" t="s">
        <v>3468</v>
      </c>
      <c r="F37" t="s">
        <v>5285</v>
      </c>
      <c r="G37" t="s">
        <v>5226</v>
      </c>
      <c r="H37" t="s">
        <v>4075</v>
      </c>
      <c r="I37" t="s">
        <v>5292</v>
      </c>
      <c r="J37" t="s">
        <v>3519</v>
      </c>
      <c r="K37" t="s">
        <v>3468</v>
      </c>
    </row>
    <row r="38" spans="1:11" ht="15" customHeight="1" x14ac:dyDescent="0.25">
      <c r="A38" t="s">
        <v>5293</v>
      </c>
      <c r="B38" t="s">
        <v>5294</v>
      </c>
      <c r="C38" t="s">
        <v>4032</v>
      </c>
      <c r="D38" t="s">
        <v>4039</v>
      </c>
      <c r="E38" t="s">
        <v>3468</v>
      </c>
      <c r="F38" t="s">
        <v>5212</v>
      </c>
      <c r="G38" t="s">
        <v>5226</v>
      </c>
      <c r="H38" t="s">
        <v>4058</v>
      </c>
      <c r="I38" t="s">
        <v>5295</v>
      </c>
      <c r="J38" t="s">
        <v>3468</v>
      </c>
      <c r="K38" t="s">
        <v>3468</v>
      </c>
    </row>
    <row r="39" spans="1:11" ht="15" customHeight="1" x14ac:dyDescent="0.25">
      <c r="A39" t="s">
        <v>5296</v>
      </c>
      <c r="B39" t="s">
        <v>5297</v>
      </c>
      <c r="C39" t="s">
        <v>4032</v>
      </c>
      <c r="D39" t="s">
        <v>187</v>
      </c>
      <c r="E39" t="s">
        <v>3468</v>
      </c>
      <c r="F39" t="s">
        <v>5212</v>
      </c>
      <c r="G39" t="s">
        <v>39</v>
      </c>
      <c r="H39" t="s">
        <v>4058</v>
      </c>
      <c r="I39" t="s">
        <v>5296</v>
      </c>
      <c r="J39" t="s">
        <v>3468</v>
      </c>
      <c r="K39" t="s">
        <v>3468</v>
      </c>
    </row>
    <row r="40" spans="1:11" ht="15" customHeight="1" x14ac:dyDescent="0.25">
      <c r="A40" t="s">
        <v>5298</v>
      </c>
      <c r="B40" t="s">
        <v>5299</v>
      </c>
      <c r="C40" t="s">
        <v>4020</v>
      </c>
      <c r="D40" t="s">
        <v>187</v>
      </c>
      <c r="E40" t="s">
        <v>3468</v>
      </c>
      <c r="F40" t="s">
        <v>4350</v>
      </c>
      <c r="G40" t="s">
        <v>39</v>
      </c>
      <c r="H40" t="s">
        <v>4075</v>
      </c>
      <c r="I40" t="s">
        <v>5298</v>
      </c>
      <c r="J40" t="s">
        <v>3519</v>
      </c>
      <c r="K40" t="s">
        <v>3468</v>
      </c>
    </row>
    <row r="41" spans="1:11" ht="15" customHeight="1" x14ac:dyDescent="0.25">
      <c r="A41" t="s">
        <v>5300</v>
      </c>
      <c r="B41" t="s">
        <v>5301</v>
      </c>
      <c r="C41" t="s">
        <v>3761</v>
      </c>
      <c r="D41" t="s">
        <v>4039</v>
      </c>
      <c r="E41" t="s">
        <v>3468</v>
      </c>
      <c r="F41" t="s">
        <v>4350</v>
      </c>
      <c r="G41" t="s">
        <v>5229</v>
      </c>
      <c r="H41" t="s">
        <v>4086</v>
      </c>
      <c r="I41" t="s">
        <v>5302</v>
      </c>
      <c r="J41" t="s">
        <v>3468</v>
      </c>
      <c r="K41" t="s">
        <v>3468</v>
      </c>
    </row>
    <row r="42" spans="1:11" ht="15" customHeight="1" x14ac:dyDescent="0.25">
      <c r="A42" t="s">
        <v>5303</v>
      </c>
      <c r="B42" t="s">
        <v>5304</v>
      </c>
      <c r="C42" t="s">
        <v>4020</v>
      </c>
      <c r="D42" t="s">
        <v>187</v>
      </c>
      <c r="E42" t="s">
        <v>3468</v>
      </c>
      <c r="F42" t="s">
        <v>5305</v>
      </c>
      <c r="G42" t="s">
        <v>39</v>
      </c>
      <c r="H42" t="s">
        <v>4075</v>
      </c>
      <c r="I42" t="s">
        <v>5306</v>
      </c>
      <c r="J42" t="s">
        <v>3531</v>
      </c>
      <c r="K42" t="s">
        <v>3468</v>
      </c>
    </row>
    <row r="43" spans="1:11" ht="15" customHeight="1" x14ac:dyDescent="0.25">
      <c r="A43" t="s">
        <v>5307</v>
      </c>
      <c r="B43" t="s">
        <v>5308</v>
      </c>
      <c r="C43" t="s">
        <v>4032</v>
      </c>
      <c r="D43" t="s">
        <v>187</v>
      </c>
      <c r="E43" t="s">
        <v>3468</v>
      </c>
      <c r="F43" t="s">
        <v>5309</v>
      </c>
      <c r="G43" t="s">
        <v>39</v>
      </c>
      <c r="H43" t="s">
        <v>4058</v>
      </c>
      <c r="I43" t="s">
        <v>5307</v>
      </c>
      <c r="J43" t="s">
        <v>41</v>
      </c>
      <c r="K43" t="s">
        <v>3468</v>
      </c>
    </row>
    <row r="44" spans="1:11" ht="15" customHeight="1" x14ac:dyDescent="0.25">
      <c r="A44" t="s">
        <v>4650</v>
      </c>
      <c r="B44" t="s">
        <v>5310</v>
      </c>
      <c r="C44" t="s">
        <v>4020</v>
      </c>
      <c r="D44" t="s">
        <v>187</v>
      </c>
      <c r="E44" t="s">
        <v>3468</v>
      </c>
      <c r="F44" t="s">
        <v>4350</v>
      </c>
      <c r="G44" t="s">
        <v>39</v>
      </c>
      <c r="H44" t="s">
        <v>4075</v>
      </c>
      <c r="I44" t="s">
        <v>4650</v>
      </c>
      <c r="J44" t="s">
        <v>3531</v>
      </c>
      <c r="K44" t="s">
        <v>3468</v>
      </c>
    </row>
    <row r="45" spans="1:11" ht="15" customHeight="1" x14ac:dyDescent="0.25">
      <c r="A45" t="s">
        <v>5311</v>
      </c>
      <c r="B45" t="s">
        <v>5312</v>
      </c>
      <c r="C45" t="s">
        <v>4020</v>
      </c>
      <c r="D45" t="s">
        <v>187</v>
      </c>
      <c r="E45" t="s">
        <v>3468</v>
      </c>
      <c r="F45" t="s">
        <v>5212</v>
      </c>
      <c r="G45" t="s">
        <v>39</v>
      </c>
      <c r="H45" t="s">
        <v>4075</v>
      </c>
      <c r="I45" t="s">
        <v>5311</v>
      </c>
      <c r="J45" t="s">
        <v>3531</v>
      </c>
      <c r="K45" t="s">
        <v>3468</v>
      </c>
    </row>
    <row r="46" spans="1:11" ht="15" customHeight="1" x14ac:dyDescent="0.25">
      <c r="A46" t="s">
        <v>5313</v>
      </c>
      <c r="B46" t="s">
        <v>5314</v>
      </c>
      <c r="C46" t="s">
        <v>3761</v>
      </c>
      <c r="D46" t="s">
        <v>4039</v>
      </c>
      <c r="E46" t="s">
        <v>3468</v>
      </c>
      <c r="F46" t="s">
        <v>4350</v>
      </c>
      <c r="G46" t="s">
        <v>5229</v>
      </c>
      <c r="H46" t="s">
        <v>4086</v>
      </c>
      <c r="I46" t="s">
        <v>5313</v>
      </c>
      <c r="J46" t="s">
        <v>3468</v>
      </c>
      <c r="K46" t="s">
        <v>3468</v>
      </c>
    </row>
    <row r="47" spans="1:11" ht="15" customHeight="1" x14ac:dyDescent="0.25">
      <c r="A47" t="s">
        <v>5315</v>
      </c>
      <c r="B47" t="s">
        <v>5316</v>
      </c>
      <c r="C47" t="s">
        <v>4020</v>
      </c>
      <c r="D47" t="s">
        <v>187</v>
      </c>
      <c r="E47" t="s">
        <v>3468</v>
      </c>
      <c r="F47" t="s">
        <v>4350</v>
      </c>
      <c r="G47" t="s">
        <v>39</v>
      </c>
      <c r="H47" t="s">
        <v>4075</v>
      </c>
      <c r="I47" t="s">
        <v>5315</v>
      </c>
      <c r="J47" t="s">
        <v>3519</v>
      </c>
      <c r="K47" t="s">
        <v>3468</v>
      </c>
    </row>
    <row r="48" spans="1:11" ht="15" customHeight="1" x14ac:dyDescent="0.25">
      <c r="A48" t="s">
        <v>5317</v>
      </c>
      <c r="B48" t="s">
        <v>5318</v>
      </c>
      <c r="C48" t="s">
        <v>4032</v>
      </c>
      <c r="D48" t="s">
        <v>187</v>
      </c>
      <c r="E48" t="s">
        <v>3468</v>
      </c>
      <c r="F48" t="s">
        <v>5319</v>
      </c>
      <c r="G48" t="s">
        <v>39</v>
      </c>
      <c r="H48" t="s">
        <v>4058</v>
      </c>
      <c r="I48" t="s">
        <v>5317</v>
      </c>
      <c r="J48" t="s">
        <v>3468</v>
      </c>
      <c r="K48" t="s">
        <v>3468</v>
      </c>
    </row>
    <row r="49" spans="1:11" ht="15" customHeight="1" x14ac:dyDescent="0.25">
      <c r="A49" t="s">
        <v>5320</v>
      </c>
      <c r="B49" t="s">
        <v>5321</v>
      </c>
      <c r="C49" t="s">
        <v>3761</v>
      </c>
      <c r="D49" t="s">
        <v>4039</v>
      </c>
      <c r="E49" t="s">
        <v>3468</v>
      </c>
      <c r="F49" t="s">
        <v>4350</v>
      </c>
      <c r="G49" t="s">
        <v>5229</v>
      </c>
      <c r="H49" t="s">
        <v>4086</v>
      </c>
      <c r="I49" t="s">
        <v>5320</v>
      </c>
      <c r="J49" t="s">
        <v>3468</v>
      </c>
      <c r="K49" t="s">
        <v>3468</v>
      </c>
    </row>
    <row r="50" spans="1:11" ht="15" customHeight="1" x14ac:dyDescent="0.25">
      <c r="A50" t="s">
        <v>5322</v>
      </c>
      <c r="B50" t="s">
        <v>5323</v>
      </c>
      <c r="C50" t="s">
        <v>4020</v>
      </c>
      <c r="D50" t="s">
        <v>187</v>
      </c>
      <c r="E50" t="s">
        <v>3468</v>
      </c>
      <c r="F50" t="s">
        <v>5285</v>
      </c>
      <c r="G50" t="s">
        <v>39</v>
      </c>
      <c r="H50" t="s">
        <v>4075</v>
      </c>
      <c r="I50" t="s">
        <v>5322</v>
      </c>
      <c r="J50" t="s">
        <v>3468</v>
      </c>
      <c r="K50" t="s">
        <v>3468</v>
      </c>
    </row>
    <row r="51" spans="1:11" ht="15" customHeight="1" x14ac:dyDescent="0.25">
      <c r="A51" t="s">
        <v>5324</v>
      </c>
      <c r="B51" t="s">
        <v>5325</v>
      </c>
      <c r="C51" t="s">
        <v>4032</v>
      </c>
      <c r="D51" t="s">
        <v>4039</v>
      </c>
      <c r="E51" t="s">
        <v>3468</v>
      </c>
      <c r="F51" t="s">
        <v>4350</v>
      </c>
      <c r="G51" t="s">
        <v>39</v>
      </c>
      <c r="H51" t="s">
        <v>4058</v>
      </c>
      <c r="I51" t="s">
        <v>5324</v>
      </c>
      <c r="J51" t="s">
        <v>3468</v>
      </c>
      <c r="K51" t="s">
        <v>3468</v>
      </c>
    </row>
    <row r="52" spans="1:11" ht="15" customHeight="1" x14ac:dyDescent="0.25">
      <c r="A52" t="s">
        <v>5326</v>
      </c>
      <c r="B52" t="s">
        <v>5327</v>
      </c>
      <c r="C52" t="s">
        <v>4032</v>
      </c>
      <c r="D52" t="s">
        <v>4039</v>
      </c>
      <c r="E52" t="s">
        <v>3468</v>
      </c>
      <c r="F52" t="s">
        <v>4350</v>
      </c>
      <c r="G52" t="s">
        <v>39</v>
      </c>
      <c r="H52" t="s">
        <v>4058</v>
      </c>
      <c r="I52" t="s">
        <v>5328</v>
      </c>
      <c r="J52" t="s">
        <v>3519</v>
      </c>
      <c r="K52" t="s">
        <v>3468</v>
      </c>
    </row>
    <row r="53" spans="1:11" ht="15" customHeight="1" x14ac:dyDescent="0.25">
      <c r="A53" t="s">
        <v>5329</v>
      </c>
      <c r="B53" t="s">
        <v>5330</v>
      </c>
      <c r="C53" t="s">
        <v>3761</v>
      </c>
      <c r="D53" t="s">
        <v>4039</v>
      </c>
      <c r="E53" t="s">
        <v>3468</v>
      </c>
      <c r="F53" t="s">
        <v>4350</v>
      </c>
      <c r="G53" t="s">
        <v>5229</v>
      </c>
      <c r="H53" t="s">
        <v>4075</v>
      </c>
      <c r="I53" t="s">
        <v>5329</v>
      </c>
      <c r="J53" t="s">
        <v>3468</v>
      </c>
      <c r="K53" t="s">
        <v>3468</v>
      </c>
    </row>
    <row r="54" spans="1:11" ht="15" customHeight="1" x14ac:dyDescent="0.25">
      <c r="A54" t="s">
        <v>5331</v>
      </c>
      <c r="B54" t="s">
        <v>5332</v>
      </c>
      <c r="C54" t="s">
        <v>3761</v>
      </c>
      <c r="D54" t="s">
        <v>4039</v>
      </c>
      <c r="E54" t="s">
        <v>3468</v>
      </c>
      <c r="F54" t="s">
        <v>4350</v>
      </c>
      <c r="G54" t="s">
        <v>5229</v>
      </c>
      <c r="H54" t="s">
        <v>4058</v>
      </c>
      <c r="I54" t="s">
        <v>5333</v>
      </c>
      <c r="J54" t="s">
        <v>3468</v>
      </c>
      <c r="K54" t="s">
        <v>3468</v>
      </c>
    </row>
    <row r="55" spans="1:11" ht="15" customHeight="1" x14ac:dyDescent="0.25">
      <c r="A55" t="s">
        <v>5333</v>
      </c>
      <c r="B55" t="s">
        <v>5334</v>
      </c>
      <c r="C55" t="s">
        <v>4032</v>
      </c>
      <c r="D55" t="s">
        <v>4039</v>
      </c>
      <c r="E55">
        <v>1</v>
      </c>
      <c r="F55" t="s">
        <v>5212</v>
      </c>
      <c r="G55" t="s">
        <v>5229</v>
      </c>
      <c r="H55" t="s">
        <v>4058</v>
      </c>
      <c r="I55" t="s">
        <v>5333</v>
      </c>
      <c r="J55" t="s">
        <v>3468</v>
      </c>
      <c r="K55" t="s">
        <v>3468</v>
      </c>
    </row>
    <row r="56" spans="1:11" ht="15" customHeight="1" x14ac:dyDescent="0.25">
      <c r="A56" t="s">
        <v>5335</v>
      </c>
      <c r="B56" t="s">
        <v>5336</v>
      </c>
      <c r="C56" t="s">
        <v>4020</v>
      </c>
      <c r="D56" t="s">
        <v>187</v>
      </c>
      <c r="E56" t="s">
        <v>3468</v>
      </c>
      <c r="F56" t="s">
        <v>4350</v>
      </c>
      <c r="G56" t="s">
        <v>39</v>
      </c>
      <c r="H56" t="s">
        <v>4075</v>
      </c>
      <c r="I56" t="s">
        <v>5335</v>
      </c>
      <c r="J56" t="s">
        <v>3531</v>
      </c>
      <c r="K56" t="s">
        <v>3468</v>
      </c>
    </row>
    <row r="57" spans="1:11" ht="15" customHeight="1" x14ac:dyDescent="0.25">
      <c r="A57" t="s">
        <v>5337</v>
      </c>
      <c r="B57" t="s">
        <v>5338</v>
      </c>
      <c r="C57" t="s">
        <v>5339</v>
      </c>
      <c r="D57" t="s">
        <v>4039</v>
      </c>
      <c r="E57" t="s">
        <v>3468</v>
      </c>
      <c r="F57" t="s">
        <v>4350</v>
      </c>
      <c r="G57" t="s">
        <v>5229</v>
      </c>
      <c r="H57" t="s">
        <v>4086</v>
      </c>
      <c r="I57" t="s">
        <v>5337</v>
      </c>
      <c r="J57" t="s">
        <v>3468</v>
      </c>
      <c r="K57" t="s">
        <v>3468</v>
      </c>
    </row>
    <row r="58" spans="1:11" ht="15" customHeight="1" x14ac:dyDescent="0.25">
      <c r="A58" t="s">
        <v>5340</v>
      </c>
      <c r="B58" t="s">
        <v>5341</v>
      </c>
      <c r="C58" t="s">
        <v>4032</v>
      </c>
      <c r="D58" t="s">
        <v>187</v>
      </c>
      <c r="E58" t="s">
        <v>3468</v>
      </c>
      <c r="F58" t="s">
        <v>5212</v>
      </c>
      <c r="G58" t="s">
        <v>39</v>
      </c>
      <c r="H58" t="s">
        <v>4058</v>
      </c>
      <c r="I58" t="s">
        <v>5340</v>
      </c>
      <c r="J58" t="s">
        <v>41</v>
      </c>
      <c r="K58" t="s">
        <v>3468</v>
      </c>
    </row>
    <row r="59" spans="1:11" ht="15" customHeight="1" x14ac:dyDescent="0.25">
      <c r="A59" t="s">
        <v>5342</v>
      </c>
      <c r="B59" t="s">
        <v>5343</v>
      </c>
      <c r="C59" t="s">
        <v>4032</v>
      </c>
      <c r="D59" t="s">
        <v>187</v>
      </c>
      <c r="E59" t="s">
        <v>3468</v>
      </c>
      <c r="F59" t="s">
        <v>5212</v>
      </c>
      <c r="G59" t="s">
        <v>39</v>
      </c>
      <c r="H59" t="s">
        <v>4058</v>
      </c>
      <c r="I59" t="s">
        <v>5342</v>
      </c>
      <c r="J59" t="s">
        <v>41</v>
      </c>
      <c r="K59" t="s">
        <v>3468</v>
      </c>
    </row>
    <row r="60" spans="1:11" ht="15" customHeight="1" x14ac:dyDescent="0.25">
      <c r="A60" t="s">
        <v>5344</v>
      </c>
      <c r="B60" t="s">
        <v>5345</v>
      </c>
      <c r="C60" t="s">
        <v>3761</v>
      </c>
      <c r="D60" t="s">
        <v>187</v>
      </c>
      <c r="E60" t="s">
        <v>3468</v>
      </c>
      <c r="F60" t="s">
        <v>5225</v>
      </c>
      <c r="G60" t="s">
        <v>5226</v>
      </c>
      <c r="H60" t="s">
        <v>4075</v>
      </c>
      <c r="I60" t="s">
        <v>5346</v>
      </c>
      <c r="J60" t="s">
        <v>3468</v>
      </c>
      <c r="K60" t="s">
        <v>3468</v>
      </c>
    </row>
    <row r="61" spans="1:11" ht="15" customHeight="1" x14ac:dyDescent="0.25">
      <c r="A61" t="s">
        <v>5347</v>
      </c>
      <c r="B61" t="s">
        <v>5348</v>
      </c>
      <c r="C61" t="s">
        <v>3761</v>
      </c>
      <c r="D61" t="s">
        <v>187</v>
      </c>
      <c r="E61" t="s">
        <v>3468</v>
      </c>
      <c r="F61" t="s">
        <v>5212</v>
      </c>
      <c r="G61" t="s">
        <v>39</v>
      </c>
      <c r="H61" t="s">
        <v>4086</v>
      </c>
      <c r="I61" t="s">
        <v>5347</v>
      </c>
      <c r="J61" t="s">
        <v>3468</v>
      </c>
      <c r="K61" t="s">
        <v>3468</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3462</v>
      </c>
      <c r="C1" t="s">
        <v>3513</v>
      </c>
      <c r="D1" t="s">
        <v>167</v>
      </c>
      <c r="E1" t="s">
        <v>4018</v>
      </c>
      <c r="F1" t="s">
        <v>5198</v>
      </c>
      <c r="G1" t="s">
        <v>4311</v>
      </c>
      <c r="H1" t="s">
        <v>5199</v>
      </c>
      <c r="I1" t="s">
        <v>4053</v>
      </c>
      <c r="J1" t="s">
        <v>5349</v>
      </c>
      <c r="K1" t="s">
        <v>6</v>
      </c>
      <c r="L1" t="s">
        <v>5350</v>
      </c>
      <c r="M1" t="s">
        <v>5351</v>
      </c>
    </row>
    <row r="2" spans="1:13" ht="15" customHeight="1" x14ac:dyDescent="0.25">
      <c r="A2" t="s">
        <v>5201</v>
      </c>
      <c r="B2" t="s">
        <v>5202</v>
      </c>
      <c r="C2" t="s">
        <v>5352</v>
      </c>
      <c r="D2" t="s">
        <v>4020</v>
      </c>
      <c r="E2" t="s">
        <v>187</v>
      </c>
      <c r="F2" t="s">
        <v>3468</v>
      </c>
      <c r="G2" t="s">
        <v>4350</v>
      </c>
      <c r="H2" t="s">
        <v>39</v>
      </c>
      <c r="I2" t="s">
        <v>4075</v>
      </c>
      <c r="J2" t="s">
        <v>5201</v>
      </c>
      <c r="K2" t="s">
        <v>3531</v>
      </c>
      <c r="L2" t="s">
        <v>187</v>
      </c>
      <c r="M2" t="s">
        <v>3468</v>
      </c>
    </row>
    <row r="3" spans="1:13" ht="15" customHeight="1" x14ac:dyDescent="0.25">
      <c r="A3" t="s">
        <v>5204</v>
      </c>
      <c r="B3" t="s">
        <v>5353</v>
      </c>
      <c r="C3" t="s">
        <v>5354</v>
      </c>
      <c r="D3" t="s">
        <v>4032</v>
      </c>
      <c r="E3" t="s">
        <v>187</v>
      </c>
      <c r="F3" t="s">
        <v>3468</v>
      </c>
      <c r="G3" t="s">
        <v>5355</v>
      </c>
      <c r="H3" t="s">
        <v>39</v>
      </c>
      <c r="I3" t="s">
        <v>4058</v>
      </c>
      <c r="J3" t="s">
        <v>5204</v>
      </c>
      <c r="K3" t="s">
        <v>3531</v>
      </c>
      <c r="L3" t="s">
        <v>4039</v>
      </c>
      <c r="M3" t="s">
        <v>5356</v>
      </c>
    </row>
    <row r="4" spans="1:13" ht="15" customHeight="1" x14ac:dyDescent="0.25">
      <c r="A4" t="s">
        <v>5207</v>
      </c>
      <c r="B4" t="s">
        <v>5357</v>
      </c>
      <c r="C4" t="s">
        <v>5358</v>
      </c>
      <c r="D4" t="s">
        <v>4020</v>
      </c>
      <c r="E4" t="s">
        <v>187</v>
      </c>
      <c r="F4" t="s">
        <v>3468</v>
      </c>
      <c r="G4" t="s">
        <v>4350</v>
      </c>
      <c r="H4" t="s">
        <v>39</v>
      </c>
      <c r="I4" t="s">
        <v>4075</v>
      </c>
      <c r="J4" t="s">
        <v>5209</v>
      </c>
      <c r="K4" t="s">
        <v>3519</v>
      </c>
      <c r="L4" t="s">
        <v>187</v>
      </c>
      <c r="M4" t="s">
        <v>3468</v>
      </c>
    </row>
    <row r="5" spans="1:13" ht="15" customHeight="1" x14ac:dyDescent="0.25">
      <c r="A5" s="5" t="s">
        <v>5210</v>
      </c>
      <c r="B5" s="5" t="s">
        <v>5359</v>
      </c>
      <c r="C5" s="5" t="s">
        <v>5360</v>
      </c>
      <c r="D5" s="5" t="s">
        <v>4032</v>
      </c>
      <c r="E5" s="5" t="s">
        <v>187</v>
      </c>
      <c r="F5" s="5" t="s">
        <v>3468</v>
      </c>
      <c r="G5" s="5" t="s">
        <v>5212</v>
      </c>
      <c r="H5" s="5" t="s">
        <v>39</v>
      </c>
      <c r="I5" s="5" t="s">
        <v>4058</v>
      </c>
      <c r="J5" s="5" t="s">
        <v>5210</v>
      </c>
      <c r="K5" s="5" t="s">
        <v>41</v>
      </c>
      <c r="L5" t="s">
        <v>187</v>
      </c>
      <c r="M5" t="s">
        <v>3468</v>
      </c>
    </row>
    <row r="6" spans="1:13" ht="15" customHeight="1" x14ac:dyDescent="0.25">
      <c r="A6" t="s">
        <v>5217</v>
      </c>
      <c r="B6" t="s">
        <v>5361</v>
      </c>
      <c r="C6" t="s">
        <v>5362</v>
      </c>
      <c r="D6" t="s">
        <v>4032</v>
      </c>
      <c r="E6" t="s">
        <v>187</v>
      </c>
      <c r="F6" t="s">
        <v>3468</v>
      </c>
      <c r="G6" t="s">
        <v>4350</v>
      </c>
      <c r="H6" t="s">
        <v>39</v>
      </c>
      <c r="I6" t="s">
        <v>4058</v>
      </c>
      <c r="J6" t="s">
        <v>5217</v>
      </c>
      <c r="K6" t="s">
        <v>41</v>
      </c>
      <c r="L6" t="s">
        <v>187</v>
      </c>
      <c r="M6" t="s">
        <v>3468</v>
      </c>
    </row>
    <row r="7" spans="1:13" ht="15" customHeight="1" x14ac:dyDescent="0.25">
      <c r="A7" s="6" t="s">
        <v>5219</v>
      </c>
      <c r="B7" s="7" t="s">
        <v>5220</v>
      </c>
      <c r="C7" s="7" t="s">
        <v>5363</v>
      </c>
      <c r="D7" s="7" t="s">
        <v>4020</v>
      </c>
      <c r="E7" s="7" t="s">
        <v>187</v>
      </c>
      <c r="F7" s="7" t="s">
        <v>3468</v>
      </c>
      <c r="G7" s="8" t="s">
        <v>5241</v>
      </c>
      <c r="H7" s="7" t="s">
        <v>39</v>
      </c>
      <c r="I7" s="7" t="s">
        <v>4075</v>
      </c>
      <c r="J7" s="7" t="s">
        <v>5219</v>
      </c>
      <c r="K7" s="7" t="s">
        <v>3519</v>
      </c>
      <c r="L7" t="s">
        <v>187</v>
      </c>
      <c r="M7" t="s">
        <v>3468</v>
      </c>
    </row>
    <row r="8" spans="1:13" ht="15" customHeight="1" x14ac:dyDescent="0.25">
      <c r="A8" t="s">
        <v>4044</v>
      </c>
      <c r="B8" t="s">
        <v>5222</v>
      </c>
      <c r="C8" t="s">
        <v>5364</v>
      </c>
      <c r="D8" t="s">
        <v>4032</v>
      </c>
      <c r="E8" t="s">
        <v>187</v>
      </c>
      <c r="F8" t="s">
        <v>3468</v>
      </c>
      <c r="G8" t="s">
        <v>5212</v>
      </c>
      <c r="H8" t="s">
        <v>39</v>
      </c>
      <c r="I8" t="s">
        <v>4058</v>
      </c>
      <c r="J8" t="s">
        <v>4044</v>
      </c>
      <c r="K8" t="s">
        <v>41</v>
      </c>
      <c r="L8" t="s">
        <v>187</v>
      </c>
      <c r="M8" t="s">
        <v>3468</v>
      </c>
    </row>
    <row r="9" spans="1:13" ht="15" customHeight="1" x14ac:dyDescent="0.25">
      <c r="A9" t="s">
        <v>5230</v>
      </c>
      <c r="B9" s="9" t="s">
        <v>5365</v>
      </c>
      <c r="C9" s="9" t="s">
        <v>5366</v>
      </c>
      <c r="D9" t="s">
        <v>4032</v>
      </c>
      <c r="E9" t="s">
        <v>187</v>
      </c>
      <c r="F9" t="s">
        <v>3468</v>
      </c>
      <c r="G9" t="s">
        <v>5212</v>
      </c>
      <c r="H9" t="s">
        <v>5226</v>
      </c>
      <c r="I9" t="s">
        <v>4058</v>
      </c>
      <c r="J9" t="s">
        <v>5230</v>
      </c>
      <c r="K9" t="s">
        <v>3468</v>
      </c>
      <c r="L9" t="s">
        <v>187</v>
      </c>
      <c r="M9" t="s">
        <v>3468</v>
      </c>
    </row>
    <row r="10" spans="1:13" ht="15" customHeight="1" x14ac:dyDescent="0.25">
      <c r="A10" t="s">
        <v>5367</v>
      </c>
      <c r="B10" t="s">
        <v>5368</v>
      </c>
      <c r="C10" t="s">
        <v>5369</v>
      </c>
      <c r="D10" t="s">
        <v>4020</v>
      </c>
      <c r="E10" t="s">
        <v>187</v>
      </c>
      <c r="F10" t="s">
        <v>3468</v>
      </c>
      <c r="G10" t="s">
        <v>4350</v>
      </c>
      <c r="H10" t="s">
        <v>39</v>
      </c>
      <c r="I10" t="s">
        <v>4075</v>
      </c>
      <c r="J10" t="s">
        <v>5370</v>
      </c>
      <c r="K10" t="s">
        <v>41</v>
      </c>
      <c r="L10" t="s">
        <v>187</v>
      </c>
      <c r="M10" t="s">
        <v>3468</v>
      </c>
    </row>
    <row r="11" spans="1:13" ht="15" customHeight="1" x14ac:dyDescent="0.25">
      <c r="A11" t="s">
        <v>5235</v>
      </c>
      <c r="B11" s="9" t="s">
        <v>5371</v>
      </c>
      <c r="C11" s="9" t="s">
        <v>5372</v>
      </c>
      <c r="D11" t="s">
        <v>3761</v>
      </c>
      <c r="E11" t="s">
        <v>4039</v>
      </c>
      <c r="F11" t="s">
        <v>3468</v>
      </c>
      <c r="G11" t="s">
        <v>4350</v>
      </c>
      <c r="H11" t="s">
        <v>39</v>
      </c>
      <c r="I11" t="s">
        <v>4075</v>
      </c>
      <c r="J11" t="s">
        <v>5237</v>
      </c>
      <c r="K11" t="s">
        <v>3468</v>
      </c>
      <c r="L11" t="s">
        <v>187</v>
      </c>
      <c r="M11" t="s">
        <v>3468</v>
      </c>
    </row>
    <row r="12" spans="1:13" ht="15" customHeight="1" x14ac:dyDescent="0.25">
      <c r="A12" t="s">
        <v>3529</v>
      </c>
      <c r="B12" t="s">
        <v>5238</v>
      </c>
      <c r="C12" t="s">
        <v>5373</v>
      </c>
      <c r="D12" t="s">
        <v>4020</v>
      </c>
      <c r="E12" t="s">
        <v>187</v>
      </c>
      <c r="F12" t="s">
        <v>3468</v>
      </c>
      <c r="G12" t="s">
        <v>4350</v>
      </c>
      <c r="H12" t="s">
        <v>39</v>
      </c>
      <c r="I12" t="s">
        <v>4075</v>
      </c>
      <c r="J12" t="s">
        <v>3529</v>
      </c>
      <c r="K12" t="s">
        <v>3531</v>
      </c>
      <c r="L12" t="s">
        <v>187</v>
      </c>
      <c r="M12" t="s">
        <v>3468</v>
      </c>
    </row>
    <row r="13" spans="1:13" ht="15" customHeight="1" x14ac:dyDescent="0.25">
      <c r="A13" t="s">
        <v>5239</v>
      </c>
      <c r="B13" t="s">
        <v>5240</v>
      </c>
      <c r="C13" t="s">
        <v>5363</v>
      </c>
      <c r="D13" t="s">
        <v>4020</v>
      </c>
      <c r="E13" t="s">
        <v>187</v>
      </c>
      <c r="F13" t="s">
        <v>3468</v>
      </c>
      <c r="G13" t="s">
        <v>5221</v>
      </c>
      <c r="H13" t="s">
        <v>39</v>
      </c>
      <c r="I13" t="s">
        <v>4075</v>
      </c>
      <c r="J13" t="s">
        <v>5239</v>
      </c>
      <c r="K13" t="s">
        <v>3519</v>
      </c>
      <c r="L13" t="s">
        <v>187</v>
      </c>
      <c r="M13" t="s">
        <v>3468</v>
      </c>
    </row>
    <row r="14" spans="1:13" ht="15" customHeight="1" x14ac:dyDescent="0.25">
      <c r="A14" t="s">
        <v>5255</v>
      </c>
      <c r="B14" s="9" t="s">
        <v>5254</v>
      </c>
      <c r="C14" s="9" t="s">
        <v>5374</v>
      </c>
      <c r="D14" t="s">
        <v>4032</v>
      </c>
      <c r="E14" t="s">
        <v>187</v>
      </c>
      <c r="F14" t="s">
        <v>3468</v>
      </c>
      <c r="G14" t="s">
        <v>5212</v>
      </c>
      <c r="H14" t="s">
        <v>39</v>
      </c>
      <c r="I14" t="s">
        <v>4058</v>
      </c>
      <c r="J14" t="s">
        <v>5255</v>
      </c>
      <c r="K14" t="s">
        <v>3468</v>
      </c>
      <c r="L14" t="s">
        <v>187</v>
      </c>
      <c r="M14" t="s">
        <v>3468</v>
      </c>
    </row>
    <row r="15" spans="1:13" ht="15" customHeight="1" x14ac:dyDescent="0.25">
      <c r="A15" t="s">
        <v>5256</v>
      </c>
      <c r="B15" t="s">
        <v>5257</v>
      </c>
      <c r="C15" t="s">
        <v>3468</v>
      </c>
      <c r="D15" t="s">
        <v>4032</v>
      </c>
      <c r="E15" t="s">
        <v>187</v>
      </c>
      <c r="F15" t="s">
        <v>3468</v>
      </c>
      <c r="G15" t="s">
        <v>5258</v>
      </c>
      <c r="H15" t="s">
        <v>5226</v>
      </c>
      <c r="I15" t="s">
        <v>4058</v>
      </c>
      <c r="J15" t="s">
        <v>5256</v>
      </c>
      <c r="K15" t="s">
        <v>3531</v>
      </c>
      <c r="L15" t="s">
        <v>4039</v>
      </c>
      <c r="M15" t="s">
        <v>5375</v>
      </c>
    </row>
    <row r="16" spans="1:13" ht="15" customHeight="1" x14ac:dyDescent="0.25">
      <c r="A16" t="s">
        <v>5273</v>
      </c>
      <c r="B16" t="s">
        <v>5274</v>
      </c>
      <c r="C16" t="s">
        <v>5376</v>
      </c>
      <c r="D16" t="s">
        <v>4032</v>
      </c>
      <c r="E16" t="s">
        <v>187</v>
      </c>
      <c r="F16" t="s">
        <v>3468</v>
      </c>
      <c r="G16" t="s">
        <v>5212</v>
      </c>
      <c r="H16" t="s">
        <v>39</v>
      </c>
      <c r="I16" t="s">
        <v>4058</v>
      </c>
      <c r="J16" t="s">
        <v>5273</v>
      </c>
      <c r="K16" t="s">
        <v>41</v>
      </c>
      <c r="L16" t="s">
        <v>187</v>
      </c>
      <c r="M16" t="s">
        <v>3468</v>
      </c>
    </row>
    <row r="17" spans="1:13" ht="15" customHeight="1" x14ac:dyDescent="0.25">
      <c r="A17" t="s">
        <v>5298</v>
      </c>
      <c r="B17" t="s">
        <v>5299</v>
      </c>
      <c r="C17" t="s">
        <v>5377</v>
      </c>
      <c r="D17" t="s">
        <v>4020</v>
      </c>
      <c r="E17" t="s">
        <v>187</v>
      </c>
      <c r="F17" t="s">
        <v>3468</v>
      </c>
      <c r="G17" t="s">
        <v>4350</v>
      </c>
      <c r="H17" t="s">
        <v>39</v>
      </c>
      <c r="I17" t="s">
        <v>4075</v>
      </c>
      <c r="J17" t="s">
        <v>5298</v>
      </c>
      <c r="K17" t="s">
        <v>3519</v>
      </c>
      <c r="L17" t="s">
        <v>187</v>
      </c>
      <c r="M17" t="s">
        <v>3468</v>
      </c>
    </row>
    <row r="18" spans="1:13" ht="15" customHeight="1" x14ac:dyDescent="0.25">
      <c r="A18" t="s">
        <v>5303</v>
      </c>
      <c r="B18" t="s">
        <v>5304</v>
      </c>
      <c r="C18" t="s">
        <v>5378</v>
      </c>
      <c r="D18" t="s">
        <v>4020</v>
      </c>
      <c r="E18" t="s">
        <v>187</v>
      </c>
      <c r="F18" t="s">
        <v>3468</v>
      </c>
      <c r="G18" s="3" t="s">
        <v>5305</v>
      </c>
      <c r="H18" t="s">
        <v>39</v>
      </c>
      <c r="I18" t="s">
        <v>4075</v>
      </c>
      <c r="J18" t="s">
        <v>5306</v>
      </c>
      <c r="K18" t="s">
        <v>3531</v>
      </c>
      <c r="L18" t="s">
        <v>3468</v>
      </c>
      <c r="M18" t="s">
        <v>3468</v>
      </c>
    </row>
    <row r="19" spans="1:13" ht="15" customHeight="1" x14ac:dyDescent="0.25">
      <c r="A19" t="s">
        <v>5307</v>
      </c>
      <c r="B19" t="s">
        <v>5308</v>
      </c>
      <c r="C19" t="s">
        <v>5379</v>
      </c>
      <c r="D19" t="s">
        <v>4032</v>
      </c>
      <c r="E19" t="s">
        <v>187</v>
      </c>
      <c r="F19" t="s">
        <v>3468</v>
      </c>
      <c r="G19" t="s">
        <v>5309</v>
      </c>
      <c r="H19" t="s">
        <v>39</v>
      </c>
      <c r="I19" t="s">
        <v>4058</v>
      </c>
      <c r="J19" t="s">
        <v>5307</v>
      </c>
      <c r="K19" t="s">
        <v>41</v>
      </c>
      <c r="L19" t="s">
        <v>187</v>
      </c>
      <c r="M19" t="s">
        <v>3468</v>
      </c>
    </row>
    <row r="20" spans="1:13" ht="15" customHeight="1" x14ac:dyDescent="0.25">
      <c r="A20" t="s">
        <v>4650</v>
      </c>
      <c r="B20" t="s">
        <v>5310</v>
      </c>
      <c r="C20" t="s">
        <v>5380</v>
      </c>
      <c r="D20" t="s">
        <v>4020</v>
      </c>
      <c r="E20" t="s">
        <v>187</v>
      </c>
      <c r="F20" t="s">
        <v>3468</v>
      </c>
      <c r="G20" t="s">
        <v>4350</v>
      </c>
      <c r="H20" t="s">
        <v>39</v>
      </c>
      <c r="I20" t="s">
        <v>4075</v>
      </c>
      <c r="J20" t="s">
        <v>4650</v>
      </c>
      <c r="K20" t="s">
        <v>3531</v>
      </c>
      <c r="L20" t="s">
        <v>187</v>
      </c>
      <c r="M20" t="s">
        <v>3468</v>
      </c>
    </row>
    <row r="21" spans="1:13" ht="15" customHeight="1" x14ac:dyDescent="0.25">
      <c r="A21" t="s">
        <v>5311</v>
      </c>
      <c r="B21" t="s">
        <v>5312</v>
      </c>
      <c r="C21" t="s">
        <v>5381</v>
      </c>
      <c r="D21" t="s">
        <v>4020</v>
      </c>
      <c r="E21" t="s">
        <v>187</v>
      </c>
      <c r="F21" t="s">
        <v>3468</v>
      </c>
      <c r="G21" t="s">
        <v>5212</v>
      </c>
      <c r="H21" t="s">
        <v>39</v>
      </c>
      <c r="I21" t="s">
        <v>4075</v>
      </c>
      <c r="J21" t="s">
        <v>5311</v>
      </c>
      <c r="K21" t="s">
        <v>3531</v>
      </c>
      <c r="L21" t="s">
        <v>187</v>
      </c>
      <c r="M21" t="s">
        <v>3468</v>
      </c>
    </row>
    <row r="22" spans="1:13" ht="15" customHeight="1" x14ac:dyDescent="0.25">
      <c r="A22" t="s">
        <v>5315</v>
      </c>
      <c r="B22" s="9" t="s">
        <v>5316</v>
      </c>
      <c r="C22" s="9" t="s">
        <v>5382</v>
      </c>
      <c r="D22" t="s">
        <v>4020</v>
      </c>
      <c r="E22" t="s">
        <v>187</v>
      </c>
      <c r="F22" t="s">
        <v>3468</v>
      </c>
      <c r="G22" t="s">
        <v>4350</v>
      </c>
      <c r="H22" t="s">
        <v>39</v>
      </c>
      <c r="I22" t="s">
        <v>4075</v>
      </c>
      <c r="J22" t="s">
        <v>5315</v>
      </c>
      <c r="K22" t="s">
        <v>3519</v>
      </c>
      <c r="L22" t="s">
        <v>187</v>
      </c>
      <c r="M22" t="s">
        <v>3468</v>
      </c>
    </row>
    <row r="23" spans="1:13" ht="15" customHeight="1" x14ac:dyDescent="0.25">
      <c r="A23" t="s">
        <v>5322</v>
      </c>
      <c r="B23" s="9" t="s">
        <v>5383</v>
      </c>
      <c r="C23" s="9" t="s">
        <v>5384</v>
      </c>
      <c r="D23" t="s">
        <v>4020</v>
      </c>
      <c r="E23" t="s">
        <v>187</v>
      </c>
      <c r="F23" t="s">
        <v>3468</v>
      </c>
      <c r="G23" t="s">
        <v>5285</v>
      </c>
      <c r="H23" t="s">
        <v>39</v>
      </c>
      <c r="I23" t="s">
        <v>4075</v>
      </c>
      <c r="J23" t="s">
        <v>5322</v>
      </c>
      <c r="K23" t="s">
        <v>3468</v>
      </c>
      <c r="L23" t="s">
        <v>187</v>
      </c>
      <c r="M23" t="s">
        <v>3468</v>
      </c>
    </row>
    <row r="24" spans="1:13" ht="15" customHeight="1" x14ac:dyDescent="0.25">
      <c r="A24" t="s">
        <v>5324</v>
      </c>
      <c r="B24" s="9" t="s">
        <v>5385</v>
      </c>
      <c r="C24" s="9" t="s">
        <v>5386</v>
      </c>
      <c r="D24" t="s">
        <v>4032</v>
      </c>
      <c r="E24" t="s">
        <v>4039</v>
      </c>
      <c r="F24" t="s">
        <v>3468</v>
      </c>
      <c r="G24" t="s">
        <v>4350</v>
      </c>
      <c r="H24" t="s">
        <v>39</v>
      </c>
      <c r="I24" t="s">
        <v>4058</v>
      </c>
      <c r="J24" t="s">
        <v>5324</v>
      </c>
      <c r="K24" t="s">
        <v>3468</v>
      </c>
      <c r="L24" t="s">
        <v>187</v>
      </c>
      <c r="M24" t="s">
        <v>3468</v>
      </c>
    </row>
    <row r="25" spans="1:13" ht="15" customHeight="1" x14ac:dyDescent="0.25">
      <c r="A25" t="s">
        <v>5326</v>
      </c>
      <c r="B25" t="s">
        <v>5327</v>
      </c>
      <c r="C25" t="s">
        <v>5387</v>
      </c>
      <c r="D25" t="s">
        <v>4032</v>
      </c>
      <c r="E25" t="s">
        <v>4039</v>
      </c>
      <c r="F25" t="s">
        <v>3468</v>
      </c>
      <c r="G25" t="s">
        <v>4350</v>
      </c>
      <c r="H25" t="s">
        <v>39</v>
      </c>
      <c r="I25" t="s">
        <v>4058</v>
      </c>
      <c r="J25" t="s">
        <v>5328</v>
      </c>
      <c r="K25" t="s">
        <v>3519</v>
      </c>
      <c r="L25" t="s">
        <v>187</v>
      </c>
      <c r="M25" t="s">
        <v>3468</v>
      </c>
    </row>
    <row r="26" spans="1:13" ht="15" customHeight="1" x14ac:dyDescent="0.25">
      <c r="A26" t="s">
        <v>5329</v>
      </c>
      <c r="B26" s="9" t="s">
        <v>5388</v>
      </c>
      <c r="C26" s="9" t="s">
        <v>5389</v>
      </c>
      <c r="D26" t="s">
        <v>3761</v>
      </c>
      <c r="E26" t="s">
        <v>4039</v>
      </c>
      <c r="F26" t="s">
        <v>3468</v>
      </c>
      <c r="G26" t="s">
        <v>4350</v>
      </c>
      <c r="H26" t="s">
        <v>5229</v>
      </c>
      <c r="I26" t="s">
        <v>4075</v>
      </c>
      <c r="J26" t="s">
        <v>5329</v>
      </c>
      <c r="K26" t="s">
        <v>3468</v>
      </c>
      <c r="L26" t="s">
        <v>187</v>
      </c>
      <c r="M26" t="s">
        <v>3468</v>
      </c>
    </row>
    <row r="27" spans="1:13" ht="15" customHeight="1" x14ac:dyDescent="0.25">
      <c r="A27" t="s">
        <v>5335</v>
      </c>
      <c r="B27" t="s">
        <v>5390</v>
      </c>
      <c r="C27" t="s">
        <v>5391</v>
      </c>
      <c r="D27" t="s">
        <v>4020</v>
      </c>
      <c r="E27" t="s">
        <v>187</v>
      </c>
      <c r="F27" t="s">
        <v>3468</v>
      </c>
      <c r="G27" t="s">
        <v>4350</v>
      </c>
      <c r="H27" t="s">
        <v>39</v>
      </c>
      <c r="I27" t="s">
        <v>4075</v>
      </c>
      <c r="J27" t="s">
        <v>5335</v>
      </c>
      <c r="K27" t="s">
        <v>3531</v>
      </c>
      <c r="L27" t="s">
        <v>187</v>
      </c>
      <c r="M27" t="s">
        <v>3468</v>
      </c>
    </row>
    <row r="28" spans="1:13" ht="15" customHeight="1" x14ac:dyDescent="0.25">
      <c r="A28" t="s">
        <v>5340</v>
      </c>
      <c r="B28" t="s">
        <v>5341</v>
      </c>
      <c r="C28" t="s">
        <v>5392</v>
      </c>
      <c r="D28" t="s">
        <v>4032</v>
      </c>
      <c r="E28" t="s">
        <v>187</v>
      </c>
      <c r="F28" t="s">
        <v>3468</v>
      </c>
      <c r="G28" t="s">
        <v>5212</v>
      </c>
      <c r="H28" t="s">
        <v>39</v>
      </c>
      <c r="I28" t="s">
        <v>4058</v>
      </c>
      <c r="J28" t="s">
        <v>5340</v>
      </c>
      <c r="K28" t="s">
        <v>41</v>
      </c>
      <c r="L28" t="s">
        <v>187</v>
      </c>
      <c r="M28" t="s">
        <v>3468</v>
      </c>
    </row>
    <row r="29" spans="1:13" ht="15" customHeight="1" x14ac:dyDescent="0.25">
      <c r="A29" t="s">
        <v>5342</v>
      </c>
      <c r="B29" t="s">
        <v>5343</v>
      </c>
      <c r="C29" t="s">
        <v>5393</v>
      </c>
      <c r="D29" t="s">
        <v>4032</v>
      </c>
      <c r="E29" t="s">
        <v>187</v>
      </c>
      <c r="F29" t="s">
        <v>3468</v>
      </c>
      <c r="G29" t="s">
        <v>5212</v>
      </c>
      <c r="H29" t="s">
        <v>39</v>
      </c>
      <c r="I29" t="s">
        <v>4058</v>
      </c>
      <c r="J29" t="s">
        <v>5342</v>
      </c>
      <c r="K29" t="s">
        <v>41</v>
      </c>
      <c r="L29" t="s">
        <v>187</v>
      </c>
      <c r="M29" t="s">
        <v>3468</v>
      </c>
    </row>
    <row r="30" spans="1:13" ht="15" customHeight="1" x14ac:dyDescent="0.25">
      <c r="A30" t="s">
        <v>5333</v>
      </c>
      <c r="B30" t="s">
        <v>5334</v>
      </c>
      <c r="C30" t="s">
        <v>5394</v>
      </c>
      <c r="D30" t="s">
        <v>4032</v>
      </c>
      <c r="E30" t="s">
        <v>4039</v>
      </c>
      <c r="F30">
        <v>1</v>
      </c>
      <c r="G30" t="s">
        <v>5212</v>
      </c>
      <c r="H30" t="s">
        <v>39</v>
      </c>
      <c r="I30" t="s">
        <v>4058</v>
      </c>
      <c r="J30" t="s">
        <v>5333</v>
      </c>
      <c r="K30" t="s">
        <v>3468</v>
      </c>
      <c r="L30" t="s">
        <v>187</v>
      </c>
      <c r="M30" t="s">
        <v>5395</v>
      </c>
    </row>
    <row r="31" spans="1:13" ht="60" customHeight="1" x14ac:dyDescent="0.25">
      <c r="A31" t="s">
        <v>5290</v>
      </c>
      <c r="B31" s="9" t="s">
        <v>5396</v>
      </c>
      <c r="C31" s="9" t="s">
        <v>5397</v>
      </c>
      <c r="D31" t="s">
        <v>4020</v>
      </c>
      <c r="E31" t="s">
        <v>187</v>
      </c>
      <c r="F31" t="s">
        <v>3468</v>
      </c>
      <c r="G31" t="s">
        <v>5285</v>
      </c>
      <c r="H31" t="s">
        <v>5226</v>
      </c>
      <c r="I31" t="s">
        <v>4075</v>
      </c>
      <c r="J31" t="s">
        <v>5292</v>
      </c>
      <c r="K31" t="s">
        <v>3531</v>
      </c>
      <c r="L31" t="s">
        <v>4039</v>
      </c>
      <c r="M31" s="9" t="s">
        <v>5398</v>
      </c>
    </row>
    <row r="32" spans="1:13" ht="45" customHeight="1" x14ac:dyDescent="0.25">
      <c r="A32" t="s">
        <v>5287</v>
      </c>
      <c r="B32" s="9" t="s">
        <v>5399</v>
      </c>
      <c r="C32" s="9" t="s">
        <v>5400</v>
      </c>
      <c r="D32" t="s">
        <v>4020</v>
      </c>
      <c r="E32" t="s">
        <v>187</v>
      </c>
      <c r="F32" t="s">
        <v>3468</v>
      </c>
      <c r="G32" t="s">
        <v>5285</v>
      </c>
      <c r="H32" t="s">
        <v>5226</v>
      </c>
      <c r="I32" t="s">
        <v>4075</v>
      </c>
      <c r="J32" t="s">
        <v>5289</v>
      </c>
      <c r="K32" t="s">
        <v>3531</v>
      </c>
      <c r="L32" t="s">
        <v>4039</v>
      </c>
      <c r="M32" s="9" t="s">
        <v>5401</v>
      </c>
    </row>
    <row r="33" spans="1:13" ht="60" customHeight="1" x14ac:dyDescent="0.25">
      <c r="A33" t="s">
        <v>5293</v>
      </c>
      <c r="B33" s="9" t="s">
        <v>5402</v>
      </c>
      <c r="C33" s="9" t="s">
        <v>5403</v>
      </c>
      <c r="D33" t="s">
        <v>4032</v>
      </c>
      <c r="E33" t="s">
        <v>187</v>
      </c>
      <c r="F33" t="s">
        <v>3468</v>
      </c>
      <c r="G33" t="s">
        <v>5212</v>
      </c>
      <c r="H33" t="s">
        <v>5226</v>
      </c>
      <c r="I33" t="s">
        <v>4058</v>
      </c>
      <c r="J33" t="s">
        <v>5295</v>
      </c>
      <c r="K33" t="s">
        <v>3468</v>
      </c>
      <c r="L33" t="s">
        <v>4039</v>
      </c>
      <c r="M33" s="9" t="s">
        <v>5404</v>
      </c>
    </row>
    <row r="34" spans="1:13" ht="45" customHeight="1" x14ac:dyDescent="0.25">
      <c r="A34" t="s">
        <v>5275</v>
      </c>
      <c r="B34" s="9" t="s">
        <v>5276</v>
      </c>
      <c r="C34" s="9" t="s">
        <v>5405</v>
      </c>
      <c r="D34" t="s">
        <v>4020</v>
      </c>
      <c r="E34" t="s">
        <v>187</v>
      </c>
      <c r="F34" t="s">
        <v>3468</v>
      </c>
      <c r="G34" t="s">
        <v>5212</v>
      </c>
      <c r="H34" t="s">
        <v>39</v>
      </c>
      <c r="I34" t="s">
        <v>4075</v>
      </c>
      <c r="J34" t="s">
        <v>5275</v>
      </c>
      <c r="K34" t="s">
        <v>3519</v>
      </c>
      <c r="L34" t="s">
        <v>187</v>
      </c>
      <c r="M34" s="9" t="s">
        <v>5406</v>
      </c>
    </row>
    <row r="35" spans="1:13" ht="45" customHeight="1" x14ac:dyDescent="0.25">
      <c r="A35" t="s">
        <v>5227</v>
      </c>
      <c r="B35" s="9" t="s">
        <v>5407</v>
      </c>
      <c r="C35" s="9" t="s">
        <v>5408</v>
      </c>
      <c r="D35" t="s">
        <v>4032</v>
      </c>
      <c r="E35" t="s">
        <v>187</v>
      </c>
      <c r="F35" t="s">
        <v>3468</v>
      </c>
      <c r="G35" t="s">
        <v>5409</v>
      </c>
      <c r="H35" t="s">
        <v>5229</v>
      </c>
      <c r="I35" t="s">
        <v>4058</v>
      </c>
      <c r="J35" t="s">
        <v>5227</v>
      </c>
      <c r="K35" t="s">
        <v>3468</v>
      </c>
      <c r="L35" t="s">
        <v>187</v>
      </c>
      <c r="M35" s="9" t="s">
        <v>5410</v>
      </c>
    </row>
    <row r="36" spans="1:13" x14ac:dyDescent="0.25">
      <c r="A36" t="s">
        <v>5265</v>
      </c>
      <c r="B36" s="9" t="s">
        <v>5411</v>
      </c>
      <c r="C36" s="9" t="s">
        <v>5412</v>
      </c>
      <c r="D36" t="s">
        <v>5413</v>
      </c>
      <c r="E36" t="s">
        <v>187</v>
      </c>
      <c r="F36" t="s">
        <v>3468</v>
      </c>
      <c r="G36" t="s">
        <v>5414</v>
      </c>
      <c r="H36" t="s">
        <v>5226</v>
      </c>
      <c r="I36" t="s">
        <v>4075</v>
      </c>
      <c r="J36" t="s">
        <v>5267</v>
      </c>
      <c r="K36" t="s">
        <v>3531</v>
      </c>
      <c r="L36" t="s">
        <v>4039</v>
      </c>
      <c r="M36" t="s">
        <v>3468</v>
      </c>
    </row>
    <row r="37" spans="1:13" x14ac:dyDescent="0.25">
      <c r="A37" t="s">
        <v>5415</v>
      </c>
      <c r="B37" s="9" t="s">
        <v>5416</v>
      </c>
      <c r="C37" s="9" t="s">
        <v>5412</v>
      </c>
      <c r="D37" t="s">
        <v>5413</v>
      </c>
      <c r="E37" t="s">
        <v>187</v>
      </c>
      <c r="F37" t="s">
        <v>3468</v>
      </c>
      <c r="G37" t="s">
        <v>5414</v>
      </c>
      <c r="H37" t="s">
        <v>5226</v>
      </c>
      <c r="I37" t="s">
        <v>4075</v>
      </c>
      <c r="J37" t="s">
        <v>5415</v>
      </c>
      <c r="K37" t="s">
        <v>3531</v>
      </c>
      <c r="L37" t="s">
        <v>4039</v>
      </c>
      <c r="M37" t="s">
        <v>3468</v>
      </c>
    </row>
    <row r="38" spans="1:13" x14ac:dyDescent="0.25">
      <c r="A38" t="s">
        <v>5417</v>
      </c>
      <c r="B38" s="9" t="s">
        <v>5418</v>
      </c>
      <c r="C38" s="9" t="s">
        <v>5412</v>
      </c>
      <c r="D38" t="s">
        <v>5413</v>
      </c>
      <c r="E38" t="s">
        <v>187</v>
      </c>
      <c r="F38" t="s">
        <v>3468</v>
      </c>
      <c r="G38" t="s">
        <v>5414</v>
      </c>
      <c r="H38" t="s">
        <v>5226</v>
      </c>
      <c r="I38" t="s">
        <v>4075</v>
      </c>
      <c r="J38" t="s">
        <v>5419</v>
      </c>
      <c r="K38" t="s">
        <v>3519</v>
      </c>
      <c r="L38" t="s">
        <v>4039</v>
      </c>
      <c r="M38" t="s">
        <v>3468</v>
      </c>
    </row>
    <row r="39" spans="1:13" x14ac:dyDescent="0.25">
      <c r="A39" t="s">
        <v>5213</v>
      </c>
      <c r="B39" s="9" t="s">
        <v>5420</v>
      </c>
      <c r="C39" s="9" t="s">
        <v>5421</v>
      </c>
      <c r="D39" t="s">
        <v>4020</v>
      </c>
      <c r="E39" t="s">
        <v>187</v>
      </c>
      <c r="F39" t="s">
        <v>3468</v>
      </c>
      <c r="G39" t="s">
        <v>5422</v>
      </c>
      <c r="H39" t="s">
        <v>5226</v>
      </c>
      <c r="I39" t="s">
        <v>4075</v>
      </c>
      <c r="J39" t="s">
        <v>5213</v>
      </c>
      <c r="K39" t="s">
        <v>3531</v>
      </c>
      <c r="L39" t="s">
        <v>4039</v>
      </c>
      <c r="M39" t="s">
        <v>5423</v>
      </c>
    </row>
    <row r="40" spans="1:13" x14ac:dyDescent="0.25">
      <c r="A40" t="s">
        <v>5223</v>
      </c>
      <c r="B40" s="9" t="s">
        <v>5424</v>
      </c>
      <c r="C40" s="9" t="s">
        <v>5412</v>
      </c>
      <c r="D40" t="s">
        <v>5413</v>
      </c>
      <c r="E40" t="s">
        <v>187</v>
      </c>
      <c r="F40" t="s">
        <v>3468</v>
      </c>
      <c r="G40" t="s">
        <v>5414</v>
      </c>
      <c r="H40" t="s">
        <v>5226</v>
      </c>
      <c r="I40" t="s">
        <v>4075</v>
      </c>
      <c r="J40" t="s">
        <v>5223</v>
      </c>
      <c r="K40" t="s">
        <v>3519</v>
      </c>
      <c r="L40" t="s">
        <v>4039</v>
      </c>
      <c r="M40" t="s">
        <v>3468</v>
      </c>
    </row>
    <row r="41" spans="1:13" x14ac:dyDescent="0.25">
      <c r="A41" t="s">
        <v>5282</v>
      </c>
      <c r="B41" s="9" t="s">
        <v>5425</v>
      </c>
      <c r="C41" s="9" t="s">
        <v>5426</v>
      </c>
      <c r="D41" t="s">
        <v>4020</v>
      </c>
      <c r="E41" t="s">
        <v>187</v>
      </c>
      <c r="F41" t="s">
        <v>3468</v>
      </c>
      <c r="G41" t="s">
        <v>5285</v>
      </c>
      <c r="H41" t="s">
        <v>5226</v>
      </c>
      <c r="I41" t="s">
        <v>4075</v>
      </c>
      <c r="J41" t="s">
        <v>5286</v>
      </c>
      <c r="K41" t="s">
        <v>3531</v>
      </c>
      <c r="L41" t="s">
        <v>4039</v>
      </c>
      <c r="M41" t="s">
        <v>5427</v>
      </c>
    </row>
    <row r="42" spans="1:13" x14ac:dyDescent="0.25">
      <c r="A42" t="s">
        <v>5244</v>
      </c>
      <c r="B42" s="9" t="s">
        <v>5428</v>
      </c>
      <c r="C42" s="9" t="s">
        <v>5429</v>
      </c>
      <c r="D42" t="s">
        <v>4020</v>
      </c>
      <c r="E42" t="s">
        <v>187</v>
      </c>
      <c r="F42" t="s">
        <v>3468</v>
      </c>
      <c r="G42" t="s">
        <v>5212</v>
      </c>
      <c r="H42" t="s">
        <v>39</v>
      </c>
      <c r="I42" t="s">
        <v>4075</v>
      </c>
      <c r="J42" t="s">
        <v>5246</v>
      </c>
      <c r="K42" t="s">
        <v>3519</v>
      </c>
      <c r="L42" t="s">
        <v>187</v>
      </c>
      <c r="M42" t="s">
        <v>3468</v>
      </c>
    </row>
    <row r="43" spans="1:13" x14ac:dyDescent="0.25">
      <c r="A43" t="s">
        <v>5232</v>
      </c>
      <c r="B43" s="9" t="s">
        <v>5430</v>
      </c>
      <c r="C43" s="9" t="s">
        <v>5431</v>
      </c>
      <c r="D43" t="s">
        <v>4032</v>
      </c>
      <c r="E43" t="s">
        <v>4039</v>
      </c>
      <c r="F43" t="s">
        <v>3468</v>
      </c>
      <c r="G43" t="s">
        <v>4350</v>
      </c>
      <c r="H43" t="s">
        <v>5229</v>
      </c>
      <c r="I43" t="s">
        <v>4058</v>
      </c>
      <c r="J43" t="s">
        <v>5234</v>
      </c>
      <c r="K43" t="s">
        <v>3519</v>
      </c>
      <c r="L43" t="s">
        <v>4039</v>
      </c>
      <c r="M43" t="s">
        <v>5432</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5433</v>
      </c>
      <c r="C1" t="s">
        <v>5434</v>
      </c>
      <c r="D1" t="s">
        <v>5435</v>
      </c>
      <c r="E1" t="s">
        <v>5114</v>
      </c>
    </row>
    <row r="2" spans="1:5" ht="15" customHeight="1" x14ac:dyDescent="0.25">
      <c r="A2" t="s">
        <v>5436</v>
      </c>
      <c r="B2" t="s">
        <v>5437</v>
      </c>
      <c r="E2" t="s">
        <v>5438</v>
      </c>
    </row>
    <row r="3" spans="1:5" ht="15" customHeight="1" x14ac:dyDescent="0.25">
      <c r="A3" t="s">
        <v>5439</v>
      </c>
      <c r="B3" t="s">
        <v>5440</v>
      </c>
      <c r="E3" t="s">
        <v>5441</v>
      </c>
    </row>
    <row r="4" spans="1:5" ht="15" customHeight="1" x14ac:dyDescent="0.25">
      <c r="A4" t="s">
        <v>5442</v>
      </c>
      <c r="B4" t="s">
        <v>3468</v>
      </c>
      <c r="E4" t="s">
        <v>5443</v>
      </c>
    </row>
    <row r="5" spans="1:5" ht="15" customHeight="1" x14ac:dyDescent="0.25">
      <c r="A5" t="s">
        <v>5444</v>
      </c>
      <c r="B5" t="s">
        <v>5445</v>
      </c>
      <c r="E5" t="s">
        <v>5446</v>
      </c>
    </row>
    <row r="6" spans="1:5" ht="15" customHeight="1" x14ac:dyDescent="0.25">
      <c r="A6" t="s">
        <v>4313</v>
      </c>
      <c r="B6" t="s">
        <v>5447</v>
      </c>
      <c r="E6" t="s">
        <v>5448</v>
      </c>
    </row>
    <row r="7" spans="1:5" ht="15" customHeight="1" x14ac:dyDescent="0.25">
      <c r="A7" t="s">
        <v>5307</v>
      </c>
      <c r="B7" t="s">
        <v>5449</v>
      </c>
      <c r="E7" t="s">
        <v>5450</v>
      </c>
    </row>
    <row r="8" spans="1:5" ht="15" customHeight="1" x14ac:dyDescent="0.25">
      <c r="A8" t="s">
        <v>5451</v>
      </c>
      <c r="B8" t="s">
        <v>5452</v>
      </c>
      <c r="C8" t="s">
        <v>5453</v>
      </c>
      <c r="D8" t="s">
        <v>5454</v>
      </c>
      <c r="E8" t="s">
        <v>5455</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3462</v>
      </c>
      <c r="C1" t="s">
        <v>5456</v>
      </c>
      <c r="D1" t="s">
        <v>5457</v>
      </c>
    </row>
    <row r="2" spans="1:4" ht="15" customHeight="1" x14ac:dyDescent="0.25">
      <c r="A2" t="s">
        <v>5458</v>
      </c>
      <c r="B2" t="s">
        <v>5459</v>
      </c>
      <c r="C2" t="s">
        <v>39</v>
      </c>
      <c r="D2" t="s">
        <v>3468</v>
      </c>
    </row>
    <row r="3" spans="1:4" ht="15" customHeight="1" x14ac:dyDescent="0.25">
      <c r="A3" t="s">
        <v>5460</v>
      </c>
      <c r="B3" t="s">
        <v>5461</v>
      </c>
      <c r="C3" t="s">
        <v>5462</v>
      </c>
      <c r="D3" t="s">
        <v>3468</v>
      </c>
    </row>
    <row r="4" spans="1:4" ht="15" customHeight="1" x14ac:dyDescent="0.25">
      <c r="A4" t="s">
        <v>5463</v>
      </c>
      <c r="B4" t="s">
        <v>5464</v>
      </c>
      <c r="C4" t="s">
        <v>39</v>
      </c>
      <c r="D4" t="s">
        <v>3468</v>
      </c>
    </row>
    <row r="5" spans="1:4" ht="15" customHeight="1" x14ac:dyDescent="0.25">
      <c r="A5" t="s">
        <v>5465</v>
      </c>
      <c r="B5" t="s">
        <v>5466</v>
      </c>
      <c r="C5" t="s">
        <v>5462</v>
      </c>
      <c r="D5" t="s">
        <v>3468</v>
      </c>
    </row>
    <row r="6" spans="1:4" ht="15" customHeight="1" x14ac:dyDescent="0.25">
      <c r="A6" t="s">
        <v>5467</v>
      </c>
      <c r="B6" t="s">
        <v>5468</v>
      </c>
      <c r="C6" t="s">
        <v>5462</v>
      </c>
      <c r="D6" t="s">
        <v>3468</v>
      </c>
    </row>
    <row r="7" spans="1:4" ht="15" customHeight="1" x14ac:dyDescent="0.25">
      <c r="A7" t="s">
        <v>5469</v>
      </c>
      <c r="B7" t="s">
        <v>5470</v>
      </c>
      <c r="C7" t="s">
        <v>39</v>
      </c>
      <c r="D7" t="s">
        <v>3468</v>
      </c>
    </row>
    <row r="8" spans="1:4" ht="15" customHeight="1" x14ac:dyDescent="0.25">
      <c r="A8" t="s">
        <v>5471</v>
      </c>
      <c r="B8" t="s">
        <v>5472</v>
      </c>
      <c r="C8" t="s">
        <v>39</v>
      </c>
      <c r="D8" t="s">
        <v>3468</v>
      </c>
    </row>
    <row r="9" spans="1:4" ht="15" customHeight="1" x14ac:dyDescent="0.25">
      <c r="A9" t="s">
        <v>5473</v>
      </c>
      <c r="B9" t="s">
        <v>5474</v>
      </c>
      <c r="C9" t="s">
        <v>39</v>
      </c>
      <c r="D9" t="s">
        <v>3468</v>
      </c>
    </row>
    <row r="10" spans="1:4" ht="15" customHeight="1" x14ac:dyDescent="0.25">
      <c r="A10" t="s">
        <v>5475</v>
      </c>
      <c r="B10" t="s">
        <v>5476</v>
      </c>
      <c r="C10" t="s">
        <v>5477</v>
      </c>
      <c r="D10" t="s">
        <v>3468</v>
      </c>
    </row>
    <row r="11" spans="1:4" ht="15" customHeight="1" x14ac:dyDescent="0.25">
      <c r="A11" t="s">
        <v>5478</v>
      </c>
      <c r="B11" t="s">
        <v>5479</v>
      </c>
      <c r="C11" t="s">
        <v>4481</v>
      </c>
      <c r="D11" t="s">
        <v>3468</v>
      </c>
    </row>
    <row r="12" spans="1:4" ht="15" customHeight="1" x14ac:dyDescent="0.25">
      <c r="A12" t="s">
        <v>5480</v>
      </c>
      <c r="B12" t="s">
        <v>5481</v>
      </c>
      <c r="C12" t="s">
        <v>4481</v>
      </c>
      <c r="D12" t="s">
        <v>3468</v>
      </c>
    </row>
    <row r="13" spans="1:4" ht="15" customHeight="1" x14ac:dyDescent="0.25">
      <c r="A13" t="s">
        <v>5482</v>
      </c>
      <c r="B13" t="s">
        <v>5483</v>
      </c>
      <c r="C13" t="s">
        <v>5462</v>
      </c>
      <c r="D13" t="s">
        <v>3468</v>
      </c>
    </row>
    <row r="14" spans="1:4" ht="15" customHeight="1" x14ac:dyDescent="0.25">
      <c r="A14" t="s">
        <v>5484</v>
      </c>
      <c r="B14" t="s">
        <v>5485</v>
      </c>
      <c r="C14" t="s">
        <v>39</v>
      </c>
      <c r="D14" t="s">
        <v>3468</v>
      </c>
    </row>
    <row r="15" spans="1:4" ht="15" customHeight="1" x14ac:dyDescent="0.25">
      <c r="A15" t="s">
        <v>5486</v>
      </c>
      <c r="B15" t="s">
        <v>5487</v>
      </c>
      <c r="C15" t="s">
        <v>39</v>
      </c>
      <c r="D15" t="s">
        <v>3468</v>
      </c>
    </row>
    <row r="16" spans="1:4" ht="15" customHeight="1" x14ac:dyDescent="0.25">
      <c r="A16" t="s">
        <v>5488</v>
      </c>
      <c r="B16" t="s">
        <v>5489</v>
      </c>
      <c r="C16" t="s">
        <v>5477</v>
      </c>
      <c r="D16" t="s">
        <v>3468</v>
      </c>
    </row>
    <row r="17" spans="1:4" ht="15" customHeight="1" x14ac:dyDescent="0.25">
      <c r="A17" t="s">
        <v>5490</v>
      </c>
      <c r="B17" t="s">
        <v>5491</v>
      </c>
      <c r="C17" t="s">
        <v>39</v>
      </c>
      <c r="D17" t="s">
        <v>3468</v>
      </c>
    </row>
    <row r="18" spans="1:4" ht="15" customHeight="1" x14ac:dyDescent="0.25">
      <c r="A18" t="s">
        <v>5492</v>
      </c>
      <c r="B18" t="s">
        <v>5493</v>
      </c>
      <c r="C18" t="s">
        <v>5494</v>
      </c>
      <c r="D18" t="s">
        <v>3468</v>
      </c>
    </row>
    <row r="19" spans="1:4" ht="15" customHeight="1" x14ac:dyDescent="0.25">
      <c r="A19" t="s">
        <v>5495</v>
      </c>
      <c r="B19" t="s">
        <v>5496</v>
      </c>
      <c r="C19" t="s">
        <v>39</v>
      </c>
      <c r="D19" t="s">
        <v>3468</v>
      </c>
    </row>
    <row r="20" spans="1:4" ht="15" customHeight="1" x14ac:dyDescent="0.25">
      <c r="A20" t="s">
        <v>5497</v>
      </c>
      <c r="B20" t="s">
        <v>5498</v>
      </c>
      <c r="C20" t="s">
        <v>39</v>
      </c>
      <c r="D20" t="s">
        <v>3468</v>
      </c>
    </row>
    <row r="21" spans="1:4" ht="15" customHeight="1" x14ac:dyDescent="0.25">
      <c r="A21" t="s">
        <v>5499</v>
      </c>
      <c r="B21" t="s">
        <v>5500</v>
      </c>
      <c r="C21" t="s">
        <v>39</v>
      </c>
      <c r="D21" t="s">
        <v>5501</v>
      </c>
    </row>
    <row r="22" spans="1:4" ht="15" customHeight="1" x14ac:dyDescent="0.25">
      <c r="A22" t="s">
        <v>5502</v>
      </c>
      <c r="B22" t="s">
        <v>5503</v>
      </c>
      <c r="C22" t="s">
        <v>5504</v>
      </c>
      <c r="D22" t="s">
        <v>3468</v>
      </c>
    </row>
    <row r="23" spans="1:4" ht="15" customHeight="1" x14ac:dyDescent="0.25">
      <c r="A23" t="s">
        <v>5505</v>
      </c>
      <c r="B23" t="s">
        <v>5506</v>
      </c>
      <c r="C23" t="s">
        <v>5477</v>
      </c>
      <c r="D23" t="s">
        <v>3468</v>
      </c>
    </row>
    <row r="24" spans="1:4" ht="15" customHeight="1" x14ac:dyDescent="0.25">
      <c r="A24" t="s">
        <v>5507</v>
      </c>
      <c r="B24" t="s">
        <v>5508</v>
      </c>
      <c r="C24" t="s">
        <v>5477</v>
      </c>
      <c r="D24" t="s">
        <v>5509</v>
      </c>
    </row>
    <row r="25" spans="1:4" ht="15" customHeight="1" x14ac:dyDescent="0.25">
      <c r="A25" t="s">
        <v>5510</v>
      </c>
      <c r="B25" t="s">
        <v>5511</v>
      </c>
      <c r="C25" t="s">
        <v>5494</v>
      </c>
      <c r="D25" t="s">
        <v>3468</v>
      </c>
    </row>
    <row r="26" spans="1:4" ht="15" customHeight="1" x14ac:dyDescent="0.25">
      <c r="A26" t="s">
        <v>5512</v>
      </c>
      <c r="B26" t="s">
        <v>5513</v>
      </c>
      <c r="C26" t="s">
        <v>5462</v>
      </c>
      <c r="D26" t="s">
        <v>3468</v>
      </c>
    </row>
    <row r="27" spans="1:4" ht="15" customHeight="1" x14ac:dyDescent="0.25">
      <c r="A27" t="s">
        <v>5514</v>
      </c>
      <c r="B27" t="s">
        <v>5515</v>
      </c>
      <c r="C27" t="s">
        <v>5477</v>
      </c>
      <c r="D27" t="s">
        <v>3468</v>
      </c>
    </row>
    <row r="28" spans="1:4" ht="15" customHeight="1" x14ac:dyDescent="0.25">
      <c r="A28" t="s">
        <v>5516</v>
      </c>
      <c r="B28" t="s">
        <v>5517</v>
      </c>
      <c r="C28" t="s">
        <v>5477</v>
      </c>
      <c r="D28" t="s">
        <v>3468</v>
      </c>
    </row>
    <row r="29" spans="1:4" ht="15" customHeight="1" x14ac:dyDescent="0.25">
      <c r="A29" t="s">
        <v>5518</v>
      </c>
      <c r="B29" t="s">
        <v>5519</v>
      </c>
      <c r="C29" t="s">
        <v>5520</v>
      </c>
      <c r="D29" t="s">
        <v>3468</v>
      </c>
    </row>
    <row r="30" spans="1:4" ht="15" customHeight="1" x14ac:dyDescent="0.25">
      <c r="A30" t="s">
        <v>5521</v>
      </c>
      <c r="B30" t="s">
        <v>5522</v>
      </c>
      <c r="C30" t="s">
        <v>39</v>
      </c>
      <c r="D30" t="s">
        <v>3468</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5523</v>
      </c>
      <c r="F1" t="s">
        <v>5524</v>
      </c>
      <c r="G1" t="s">
        <v>5457</v>
      </c>
      <c r="H1" t="s">
        <v>5525</v>
      </c>
      <c r="I1" t="s">
        <v>5526</v>
      </c>
      <c r="J1" t="s">
        <v>5527</v>
      </c>
      <c r="K1" t="s">
        <v>5528</v>
      </c>
      <c r="L1" t="s">
        <v>5529</v>
      </c>
      <c r="M1" t="s">
        <v>5530</v>
      </c>
    </row>
    <row r="2" spans="1:13" ht="15" customHeight="1" x14ac:dyDescent="0.25">
      <c r="A2" t="s">
        <v>5463</v>
      </c>
      <c r="B2" t="s">
        <v>5464</v>
      </c>
      <c r="C2" t="s">
        <v>5531</v>
      </c>
      <c r="D2" t="s">
        <v>5532</v>
      </c>
      <c r="E2" t="s">
        <v>4039</v>
      </c>
      <c r="F2" t="s">
        <v>39</v>
      </c>
      <c r="G2" t="s">
        <v>3468</v>
      </c>
      <c r="H2" t="s">
        <v>5533</v>
      </c>
      <c r="I2" t="s">
        <v>5534</v>
      </c>
      <c r="J2" t="s">
        <v>5535</v>
      </c>
    </row>
    <row r="3" spans="1:13" ht="15" customHeight="1" x14ac:dyDescent="0.25">
      <c r="A3" t="s">
        <v>5469</v>
      </c>
      <c r="B3" t="s">
        <v>5470</v>
      </c>
      <c r="C3" t="s">
        <v>5470</v>
      </c>
      <c r="D3" t="s">
        <v>5470</v>
      </c>
      <c r="E3" t="s">
        <v>4039</v>
      </c>
      <c r="F3" t="s">
        <v>39</v>
      </c>
      <c r="G3" t="s">
        <v>3468</v>
      </c>
      <c r="H3" t="s">
        <v>5536</v>
      </c>
      <c r="I3" t="s">
        <v>5537</v>
      </c>
    </row>
    <row r="4" spans="1:13" ht="15" customHeight="1" x14ac:dyDescent="0.25">
      <c r="A4" t="s">
        <v>5538</v>
      </c>
      <c r="B4" s="9" t="s">
        <v>5539</v>
      </c>
      <c r="C4" s="9" t="s">
        <v>5539</v>
      </c>
      <c r="D4" s="9" t="s">
        <v>5539</v>
      </c>
      <c r="E4" t="s">
        <v>187</v>
      </c>
      <c r="F4" t="s">
        <v>39</v>
      </c>
      <c r="G4" t="s">
        <v>3468</v>
      </c>
      <c r="H4" t="s">
        <v>5540</v>
      </c>
      <c r="I4" t="s">
        <v>5541</v>
      </c>
    </row>
    <row r="5" spans="1:13" ht="15" customHeight="1" x14ac:dyDescent="0.25">
      <c r="A5" t="s">
        <v>5542</v>
      </c>
      <c r="B5" t="s">
        <v>5543</v>
      </c>
      <c r="C5" t="s">
        <v>5543</v>
      </c>
      <c r="D5" t="s">
        <v>5543</v>
      </c>
      <c r="E5" t="s">
        <v>4039</v>
      </c>
      <c r="F5" t="s">
        <v>5477</v>
      </c>
      <c r="G5" t="s">
        <v>3468</v>
      </c>
      <c r="H5" t="s">
        <v>5544</v>
      </c>
      <c r="I5" t="s">
        <v>5537</v>
      </c>
    </row>
    <row r="6" spans="1:13" ht="15" customHeight="1" x14ac:dyDescent="0.25">
      <c r="A6" t="s">
        <v>5475</v>
      </c>
      <c r="B6" t="s">
        <v>5476</v>
      </c>
      <c r="C6" t="s">
        <v>5545</v>
      </c>
      <c r="D6" t="s">
        <v>5476</v>
      </c>
      <c r="E6" t="s">
        <v>4039</v>
      </c>
      <c r="F6" t="s">
        <v>5477</v>
      </c>
      <c r="G6" t="s">
        <v>3468</v>
      </c>
      <c r="H6" t="s">
        <v>5546</v>
      </c>
      <c r="I6" t="s">
        <v>5537</v>
      </c>
      <c r="K6" t="s">
        <v>5547</v>
      </c>
      <c r="L6" t="s">
        <v>5548</v>
      </c>
    </row>
    <row r="7" spans="1:13" ht="15" customHeight="1" x14ac:dyDescent="0.25">
      <c r="A7" t="s">
        <v>5549</v>
      </c>
      <c r="B7" t="s">
        <v>5550</v>
      </c>
      <c r="C7" t="s">
        <v>5551</v>
      </c>
      <c r="D7" t="s">
        <v>5550</v>
      </c>
      <c r="E7" t="s">
        <v>4039</v>
      </c>
      <c r="F7" t="s">
        <v>5477</v>
      </c>
      <c r="G7" t="s">
        <v>3468</v>
      </c>
      <c r="H7" t="s">
        <v>5552</v>
      </c>
      <c r="I7" t="s">
        <v>5537</v>
      </c>
      <c r="K7" t="s">
        <v>5553</v>
      </c>
      <c r="L7" t="s">
        <v>5554</v>
      </c>
    </row>
    <row r="8" spans="1:13" ht="15" customHeight="1" x14ac:dyDescent="0.25">
      <c r="A8" t="s">
        <v>5478</v>
      </c>
      <c r="B8" t="s">
        <v>5555</v>
      </c>
      <c r="C8" t="s">
        <v>5556</v>
      </c>
      <c r="D8" t="s">
        <v>5556</v>
      </c>
      <c r="E8" t="s">
        <v>4039</v>
      </c>
      <c r="F8" t="s">
        <v>4481</v>
      </c>
      <c r="G8" t="s">
        <v>3468</v>
      </c>
      <c r="H8" t="s">
        <v>5557</v>
      </c>
      <c r="I8" t="s">
        <v>5558</v>
      </c>
      <c r="J8" t="s">
        <v>5557</v>
      </c>
    </row>
    <row r="9" spans="1:13" ht="15" customHeight="1" x14ac:dyDescent="0.25">
      <c r="A9" t="s">
        <v>5480</v>
      </c>
      <c r="B9" t="s">
        <v>5481</v>
      </c>
      <c r="C9" t="s">
        <v>5481</v>
      </c>
      <c r="D9" t="s">
        <v>5481</v>
      </c>
      <c r="E9" t="s">
        <v>4039</v>
      </c>
      <c r="F9" t="s">
        <v>39</v>
      </c>
      <c r="G9" t="s">
        <v>3468</v>
      </c>
      <c r="H9" t="s">
        <v>5559</v>
      </c>
      <c r="I9" t="s">
        <v>5560</v>
      </c>
      <c r="J9" t="s">
        <v>3875</v>
      </c>
    </row>
    <row r="10" spans="1:13" ht="15" customHeight="1" x14ac:dyDescent="0.25">
      <c r="A10" t="s">
        <v>5484</v>
      </c>
      <c r="B10" t="s">
        <v>5485</v>
      </c>
      <c r="C10" t="s">
        <v>5561</v>
      </c>
      <c r="D10" t="s">
        <v>5561</v>
      </c>
      <c r="E10" t="s">
        <v>4039</v>
      </c>
      <c r="F10" t="s">
        <v>39</v>
      </c>
      <c r="G10" t="s">
        <v>3468</v>
      </c>
      <c r="H10" t="s">
        <v>5562</v>
      </c>
      <c r="I10" t="s">
        <v>5558</v>
      </c>
      <c r="J10" t="s">
        <v>5562</v>
      </c>
    </row>
    <row r="11" spans="1:13" ht="15" customHeight="1" x14ac:dyDescent="0.25">
      <c r="A11" t="s">
        <v>5563</v>
      </c>
      <c r="B11" t="s">
        <v>5487</v>
      </c>
      <c r="C11" t="s">
        <v>5564</v>
      </c>
      <c r="D11" t="s">
        <v>5487</v>
      </c>
      <c r="E11" t="s">
        <v>187</v>
      </c>
      <c r="F11" t="s">
        <v>39</v>
      </c>
      <c r="G11" t="s">
        <v>3468</v>
      </c>
      <c r="H11" t="s">
        <v>5565</v>
      </c>
      <c r="I11" t="s">
        <v>5541</v>
      </c>
    </row>
    <row r="12" spans="1:13" ht="15" customHeight="1" x14ac:dyDescent="0.25">
      <c r="A12" t="s">
        <v>5488</v>
      </c>
      <c r="B12" t="s">
        <v>5489</v>
      </c>
      <c r="C12" t="s">
        <v>5566</v>
      </c>
      <c r="D12" t="s">
        <v>5489</v>
      </c>
      <c r="E12" t="s">
        <v>4039</v>
      </c>
      <c r="F12" t="s">
        <v>5477</v>
      </c>
      <c r="G12" t="s">
        <v>3468</v>
      </c>
      <c r="H12" t="s">
        <v>5567</v>
      </c>
      <c r="I12" t="s">
        <v>5537</v>
      </c>
      <c r="K12" t="s">
        <v>5568</v>
      </c>
      <c r="L12" t="s">
        <v>5569</v>
      </c>
    </row>
    <row r="13" spans="1:13" ht="15" customHeight="1" x14ac:dyDescent="0.25">
      <c r="A13" t="s">
        <v>5490</v>
      </c>
      <c r="B13" t="s">
        <v>5491</v>
      </c>
      <c r="C13" t="s">
        <v>5491</v>
      </c>
      <c r="D13" t="s">
        <v>5491</v>
      </c>
      <c r="E13" t="s">
        <v>4039</v>
      </c>
      <c r="F13" t="s">
        <v>39</v>
      </c>
      <c r="G13" t="s">
        <v>3468</v>
      </c>
      <c r="H13" t="s">
        <v>5570</v>
      </c>
      <c r="I13" t="s">
        <v>5558</v>
      </c>
      <c r="J13" t="s">
        <v>5570</v>
      </c>
    </row>
    <row r="14" spans="1:13" ht="15" customHeight="1" x14ac:dyDescent="0.25">
      <c r="A14" t="s">
        <v>5495</v>
      </c>
      <c r="B14" t="s">
        <v>5571</v>
      </c>
      <c r="C14" t="s">
        <v>5572</v>
      </c>
      <c r="D14" t="s">
        <v>5572</v>
      </c>
      <c r="E14" t="s">
        <v>4039</v>
      </c>
      <c r="F14" t="s">
        <v>39</v>
      </c>
      <c r="G14" t="s">
        <v>3468</v>
      </c>
      <c r="H14" t="s">
        <v>5573</v>
      </c>
      <c r="I14" t="s">
        <v>5537</v>
      </c>
    </row>
    <row r="15" spans="1:13" ht="15" customHeight="1" x14ac:dyDescent="0.25">
      <c r="A15" t="s">
        <v>5574</v>
      </c>
      <c r="B15" t="s">
        <v>5575</v>
      </c>
      <c r="C15" t="s">
        <v>5575</v>
      </c>
      <c r="D15" t="s">
        <v>5575</v>
      </c>
      <c r="E15" t="s">
        <v>4039</v>
      </c>
      <c r="F15" t="s">
        <v>5576</v>
      </c>
      <c r="G15" t="s">
        <v>3468</v>
      </c>
      <c r="H15" t="s">
        <v>5577</v>
      </c>
      <c r="I15" t="s">
        <v>5577</v>
      </c>
    </row>
    <row r="16" spans="1:13" ht="15" customHeight="1" x14ac:dyDescent="0.25">
      <c r="A16" t="s">
        <v>5578</v>
      </c>
      <c r="B16" t="s">
        <v>5579</v>
      </c>
      <c r="C16" t="s">
        <v>5579</v>
      </c>
      <c r="D16" t="s">
        <v>5579</v>
      </c>
      <c r="E16" t="s">
        <v>187</v>
      </c>
      <c r="F16" t="s">
        <v>5576</v>
      </c>
      <c r="G16" t="s">
        <v>3468</v>
      </c>
      <c r="H16" t="s">
        <v>5580</v>
      </c>
      <c r="I16" t="s">
        <v>5580</v>
      </c>
    </row>
    <row r="17" spans="1:12" ht="15" customHeight="1" x14ac:dyDescent="0.25">
      <c r="A17" t="s">
        <v>5502</v>
      </c>
      <c r="B17" t="s">
        <v>5503</v>
      </c>
      <c r="C17" t="s">
        <v>5581</v>
      </c>
      <c r="D17" t="s">
        <v>5581</v>
      </c>
      <c r="E17" t="s">
        <v>4039</v>
      </c>
      <c r="F17" t="s">
        <v>39</v>
      </c>
      <c r="G17" t="s">
        <v>3468</v>
      </c>
      <c r="H17" t="s">
        <v>5582</v>
      </c>
      <c r="I17" t="s">
        <v>5537</v>
      </c>
    </row>
    <row r="18" spans="1:12" ht="15" customHeight="1" x14ac:dyDescent="0.25">
      <c r="A18" t="s">
        <v>5583</v>
      </c>
      <c r="B18" t="s">
        <v>5584</v>
      </c>
      <c r="C18" t="s">
        <v>5584</v>
      </c>
      <c r="D18" t="s">
        <v>5585</v>
      </c>
      <c r="E18" t="s">
        <v>187</v>
      </c>
      <c r="F18" t="s">
        <v>5477</v>
      </c>
      <c r="G18" t="s">
        <v>3468</v>
      </c>
      <c r="H18" t="s">
        <v>5586</v>
      </c>
      <c r="I18" t="s">
        <v>5587</v>
      </c>
    </row>
    <row r="19" spans="1:12" ht="15" customHeight="1" x14ac:dyDescent="0.25">
      <c r="A19" t="s">
        <v>5505</v>
      </c>
      <c r="B19" t="s">
        <v>5506</v>
      </c>
      <c r="C19" t="s">
        <v>5588</v>
      </c>
      <c r="D19" t="s">
        <v>5506</v>
      </c>
      <c r="E19" t="s">
        <v>4039</v>
      </c>
      <c r="F19" t="s">
        <v>5477</v>
      </c>
      <c r="G19" t="s">
        <v>3468</v>
      </c>
      <c r="H19" t="s">
        <v>5589</v>
      </c>
      <c r="I19" t="s">
        <v>5537</v>
      </c>
    </row>
    <row r="20" spans="1:12" ht="15" customHeight="1" x14ac:dyDescent="0.25">
      <c r="A20" t="s">
        <v>5514</v>
      </c>
      <c r="B20" t="s">
        <v>5590</v>
      </c>
      <c r="C20" t="s">
        <v>5591</v>
      </c>
      <c r="D20" t="s">
        <v>5590</v>
      </c>
      <c r="E20" t="s">
        <v>4039</v>
      </c>
      <c r="F20" t="s">
        <v>5477</v>
      </c>
      <c r="G20" t="s">
        <v>3468</v>
      </c>
      <c r="H20" t="s">
        <v>5592</v>
      </c>
      <c r="I20" t="s">
        <v>5537</v>
      </c>
    </row>
    <row r="21" spans="1:12" ht="15" customHeight="1" x14ac:dyDescent="0.25">
      <c r="A21" t="s">
        <v>5516</v>
      </c>
      <c r="B21" t="s">
        <v>5593</v>
      </c>
      <c r="C21" t="s">
        <v>5545</v>
      </c>
      <c r="D21" t="s">
        <v>5593</v>
      </c>
      <c r="E21" t="s">
        <v>4039</v>
      </c>
      <c r="F21" t="s">
        <v>5477</v>
      </c>
      <c r="G21" t="s">
        <v>3468</v>
      </c>
      <c r="H21" t="s">
        <v>5594</v>
      </c>
      <c r="I21" t="s">
        <v>5537</v>
      </c>
      <c r="K21" t="s">
        <v>5595</v>
      </c>
      <c r="L21" t="s">
        <v>5548</v>
      </c>
    </row>
    <row r="22" spans="1:12" ht="15" customHeight="1" x14ac:dyDescent="0.25">
      <c r="A22" t="s">
        <v>5518</v>
      </c>
      <c r="B22" t="s">
        <v>5596</v>
      </c>
      <c r="C22" t="s">
        <v>5596</v>
      </c>
      <c r="D22" t="s">
        <v>5596</v>
      </c>
      <c r="E22" t="s">
        <v>4039</v>
      </c>
      <c r="F22" t="s">
        <v>4481</v>
      </c>
      <c r="G22" t="s">
        <v>3468</v>
      </c>
      <c r="H22" t="s">
        <v>5597</v>
      </c>
      <c r="I22" t="s">
        <v>5598</v>
      </c>
    </row>
    <row r="23" spans="1:12" ht="15" customHeight="1" x14ac:dyDescent="0.25">
      <c r="A23" t="s">
        <v>5521</v>
      </c>
      <c r="B23" t="s">
        <v>5522</v>
      </c>
      <c r="C23" t="s">
        <v>5522</v>
      </c>
      <c r="D23" t="s">
        <v>5522</v>
      </c>
      <c r="E23" t="s">
        <v>4039</v>
      </c>
      <c r="F23" t="s">
        <v>39</v>
      </c>
      <c r="G23" t="s">
        <v>3468</v>
      </c>
      <c r="H23" t="s">
        <v>5599</v>
      </c>
      <c r="I23" t="s">
        <v>5560</v>
      </c>
      <c r="J23" t="s">
        <v>5600</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5601</v>
      </c>
      <c r="D1" t="s">
        <v>5602</v>
      </c>
      <c r="E1" t="s">
        <v>5603</v>
      </c>
      <c r="F1" t="s">
        <v>5604</v>
      </c>
      <c r="G1" t="s">
        <v>5605</v>
      </c>
      <c r="H1" t="s">
        <v>5606</v>
      </c>
      <c r="I1" t="s">
        <v>5607</v>
      </c>
      <c r="J1" t="s">
        <v>5608</v>
      </c>
      <c r="K1" t="s">
        <v>3514</v>
      </c>
      <c r="L1" t="s">
        <v>4053</v>
      </c>
      <c r="M1" t="s">
        <v>171</v>
      </c>
    </row>
    <row r="2" spans="1:13" ht="15" customHeight="1" x14ac:dyDescent="0.25">
      <c r="A2" t="s">
        <v>5609</v>
      </c>
      <c r="B2" t="s">
        <v>3531</v>
      </c>
      <c r="C2" t="s">
        <v>5610</v>
      </c>
      <c r="D2" t="s">
        <v>101</v>
      </c>
      <c r="E2" t="s">
        <v>5610</v>
      </c>
      <c r="F2" t="s">
        <v>101</v>
      </c>
      <c r="G2" t="s">
        <v>5610</v>
      </c>
      <c r="H2" t="s">
        <v>101</v>
      </c>
      <c r="I2" t="s">
        <v>5610</v>
      </c>
      <c r="J2" t="s">
        <v>101</v>
      </c>
      <c r="K2" t="s">
        <v>2155</v>
      </c>
      <c r="L2" t="s">
        <v>4086</v>
      </c>
    </row>
    <row r="3" spans="1:13" ht="15" customHeight="1" x14ac:dyDescent="0.25">
      <c r="A3" t="s">
        <v>4057</v>
      </c>
      <c r="B3" t="s">
        <v>3531</v>
      </c>
      <c r="C3" t="s">
        <v>5611</v>
      </c>
      <c r="D3" t="s">
        <v>5612</v>
      </c>
      <c r="E3" t="s">
        <v>5613</v>
      </c>
      <c r="F3" t="s">
        <v>5614</v>
      </c>
      <c r="G3" t="s">
        <v>5615</v>
      </c>
      <c r="H3" t="s">
        <v>5616</v>
      </c>
      <c r="I3" t="s">
        <v>5617</v>
      </c>
      <c r="J3" t="s">
        <v>5618</v>
      </c>
      <c r="K3" t="s">
        <v>2155</v>
      </c>
      <c r="L3" t="s">
        <v>4058</v>
      </c>
    </row>
    <row r="4" spans="1:13" ht="15" customHeight="1" x14ac:dyDescent="0.25">
      <c r="A4" t="s">
        <v>4063</v>
      </c>
      <c r="B4" t="s">
        <v>3531</v>
      </c>
      <c r="C4" t="s">
        <v>5619</v>
      </c>
      <c r="D4" t="s">
        <v>5620</v>
      </c>
      <c r="E4" t="s">
        <v>5621</v>
      </c>
      <c r="F4" t="s">
        <v>5622</v>
      </c>
      <c r="G4" t="s">
        <v>5623</v>
      </c>
      <c r="H4" t="s">
        <v>5624</v>
      </c>
      <c r="I4" t="s">
        <v>5625</v>
      </c>
      <c r="J4" t="s">
        <v>5626</v>
      </c>
      <c r="K4" t="s">
        <v>1285</v>
      </c>
      <c r="L4" t="s">
        <v>4058</v>
      </c>
      <c r="M4" t="s">
        <v>4066</v>
      </c>
    </row>
    <row r="5" spans="1:13" ht="15" customHeight="1" x14ac:dyDescent="0.25">
      <c r="A5" t="s">
        <v>5627</v>
      </c>
      <c r="B5" t="s">
        <v>3531</v>
      </c>
      <c r="C5" t="s">
        <v>5628</v>
      </c>
      <c r="D5" t="s">
        <v>5629</v>
      </c>
      <c r="E5" t="s">
        <v>5630</v>
      </c>
      <c r="F5" t="s">
        <v>5631</v>
      </c>
      <c r="G5" t="s">
        <v>5632</v>
      </c>
      <c r="H5" t="s">
        <v>5633</v>
      </c>
      <c r="I5" t="s">
        <v>5634</v>
      </c>
      <c r="J5" t="s">
        <v>5635</v>
      </c>
      <c r="K5" t="s">
        <v>1726</v>
      </c>
      <c r="L5" t="s">
        <v>4075</v>
      </c>
    </row>
    <row r="6" spans="1:13" ht="15" customHeight="1" x14ac:dyDescent="0.25">
      <c r="A6" t="s">
        <v>4069</v>
      </c>
      <c r="B6" t="s">
        <v>41</v>
      </c>
      <c r="C6" t="s">
        <v>5636</v>
      </c>
      <c r="D6" t="s">
        <v>5637</v>
      </c>
      <c r="E6" t="s">
        <v>5638</v>
      </c>
      <c r="F6" t="s">
        <v>5639</v>
      </c>
      <c r="G6" t="s">
        <v>5640</v>
      </c>
      <c r="H6" t="s">
        <v>5641</v>
      </c>
      <c r="I6" t="s">
        <v>5642</v>
      </c>
      <c r="J6" t="s">
        <v>5643</v>
      </c>
      <c r="K6" t="s">
        <v>2155</v>
      </c>
      <c r="L6" t="s">
        <v>4058</v>
      </c>
    </row>
    <row r="7" spans="1:13" ht="15" customHeight="1" x14ac:dyDescent="0.25">
      <c r="A7" t="s">
        <v>5644</v>
      </c>
      <c r="B7" t="s">
        <v>41</v>
      </c>
      <c r="C7" t="s">
        <v>5645</v>
      </c>
      <c r="D7" t="s">
        <v>5646</v>
      </c>
      <c r="E7" t="s">
        <v>5647</v>
      </c>
      <c r="F7" t="s">
        <v>5648</v>
      </c>
      <c r="G7" t="s">
        <v>5649</v>
      </c>
      <c r="H7" t="s">
        <v>5650</v>
      </c>
      <c r="I7" t="s">
        <v>5651</v>
      </c>
      <c r="J7" t="s">
        <v>5652</v>
      </c>
      <c r="K7" t="s">
        <v>2155</v>
      </c>
      <c r="L7" t="s">
        <v>4075</v>
      </c>
      <c r="M7" t="s">
        <v>5653</v>
      </c>
    </row>
    <row r="8" spans="1:13" ht="15" customHeight="1" x14ac:dyDescent="0.25">
      <c r="A8" t="s">
        <v>4092</v>
      </c>
      <c r="B8" t="s">
        <v>3531</v>
      </c>
      <c r="C8" t="s">
        <v>5654</v>
      </c>
      <c r="D8" t="s">
        <v>5655</v>
      </c>
      <c r="E8" t="s">
        <v>5656</v>
      </c>
      <c r="F8" t="s">
        <v>5657</v>
      </c>
      <c r="G8" t="s">
        <v>5658</v>
      </c>
      <c r="H8" t="s">
        <v>5659</v>
      </c>
      <c r="I8" t="s">
        <v>5660</v>
      </c>
      <c r="J8" t="s">
        <v>5661</v>
      </c>
      <c r="K8" t="s">
        <v>1285</v>
      </c>
      <c r="L8" t="s">
        <v>4058</v>
      </c>
    </row>
    <row r="9" spans="1:13" ht="15" customHeight="1" x14ac:dyDescent="0.25">
      <c r="A9" t="s">
        <v>4074</v>
      </c>
      <c r="B9" t="s">
        <v>41</v>
      </c>
      <c r="C9" t="s">
        <v>5662</v>
      </c>
      <c r="D9" t="s">
        <v>5663</v>
      </c>
      <c r="E9" t="s">
        <v>5664</v>
      </c>
      <c r="F9" t="s">
        <v>5665</v>
      </c>
      <c r="G9" t="s">
        <v>5666</v>
      </c>
      <c r="H9" t="s">
        <v>5667</v>
      </c>
      <c r="I9" t="s">
        <v>5668</v>
      </c>
      <c r="J9" t="s">
        <v>5669</v>
      </c>
      <c r="K9" t="s">
        <v>2155</v>
      </c>
      <c r="L9" t="s">
        <v>4075</v>
      </c>
      <c r="M9" t="s">
        <v>4078</v>
      </c>
    </row>
    <row r="10" spans="1:13" ht="15" customHeight="1" x14ac:dyDescent="0.25">
      <c r="A10" t="s">
        <v>4081</v>
      </c>
      <c r="B10" t="s">
        <v>3531</v>
      </c>
      <c r="C10" t="s">
        <v>5670</v>
      </c>
      <c r="D10" t="s">
        <v>5671</v>
      </c>
      <c r="E10" t="s">
        <v>5672</v>
      </c>
      <c r="F10" t="s">
        <v>5673</v>
      </c>
      <c r="G10" t="s">
        <v>5674</v>
      </c>
      <c r="H10" t="s">
        <v>4082</v>
      </c>
      <c r="I10" t="s">
        <v>5675</v>
      </c>
      <c r="J10" t="s">
        <v>5676</v>
      </c>
      <c r="K10" t="s">
        <v>2155</v>
      </c>
      <c r="L10" t="s">
        <v>4075</v>
      </c>
    </row>
    <row r="11" spans="1:13" ht="15" customHeight="1" x14ac:dyDescent="0.25">
      <c r="A11" t="s">
        <v>5677</v>
      </c>
      <c r="B11" t="s">
        <v>3531</v>
      </c>
      <c r="C11" t="s">
        <v>5678</v>
      </c>
      <c r="D11" t="s">
        <v>5679</v>
      </c>
      <c r="E11" t="s">
        <v>5680</v>
      </c>
      <c r="F11" t="s">
        <v>5681</v>
      </c>
      <c r="G11" t="s">
        <v>5682</v>
      </c>
      <c r="H11" t="s">
        <v>5683</v>
      </c>
      <c r="I11" t="s">
        <v>5684</v>
      </c>
      <c r="J11" t="s">
        <v>5685</v>
      </c>
      <c r="K11" t="s">
        <v>2155</v>
      </c>
      <c r="L11" t="s">
        <v>4058</v>
      </c>
    </row>
    <row r="12" spans="1:13" ht="15" customHeight="1" x14ac:dyDescent="0.25">
      <c r="A12" t="s">
        <v>5686</v>
      </c>
      <c r="B12" t="s">
        <v>41</v>
      </c>
      <c r="C12" t="s">
        <v>5687</v>
      </c>
      <c r="D12" t="s">
        <v>5688</v>
      </c>
      <c r="E12" t="s">
        <v>5689</v>
      </c>
      <c r="F12" t="s">
        <v>5690</v>
      </c>
      <c r="G12" t="s">
        <v>5691</v>
      </c>
      <c r="H12" t="s">
        <v>5692</v>
      </c>
      <c r="I12" t="s">
        <v>5693</v>
      </c>
      <c r="J12" t="s">
        <v>5694</v>
      </c>
      <c r="K12" t="s">
        <v>2155</v>
      </c>
      <c r="L12" t="s">
        <v>4086</v>
      </c>
      <c r="M12" t="s">
        <v>4089</v>
      </c>
    </row>
    <row r="13" spans="1:13" ht="15" customHeight="1" x14ac:dyDescent="0.25">
      <c r="A13" t="s">
        <v>5695</v>
      </c>
      <c r="B13" t="s">
        <v>3519</v>
      </c>
      <c r="C13" t="s">
        <v>5696</v>
      </c>
      <c r="D13" t="s">
        <v>5697</v>
      </c>
      <c r="E13" t="s">
        <v>5698</v>
      </c>
      <c r="F13" t="s">
        <v>5699</v>
      </c>
      <c r="G13" t="s">
        <v>5700</v>
      </c>
      <c r="H13" t="s">
        <v>5701</v>
      </c>
      <c r="I13" t="s">
        <v>5702</v>
      </c>
      <c r="J13" t="s">
        <v>5703</v>
      </c>
      <c r="K13" t="s">
        <v>2155</v>
      </c>
      <c r="L13" t="s">
        <v>4075</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3513</v>
      </c>
      <c r="D1" t="s">
        <v>3514</v>
      </c>
      <c r="E1" t="s">
        <v>171</v>
      </c>
    </row>
    <row r="2" spans="1:5" ht="15" customHeight="1" x14ac:dyDescent="0.25">
      <c r="A2" t="s">
        <v>4209</v>
      </c>
      <c r="B2" t="s">
        <v>41</v>
      </c>
      <c r="C2" t="s">
        <v>5704</v>
      </c>
      <c r="D2" t="s">
        <v>90</v>
      </c>
      <c r="E2" t="s">
        <v>4214</v>
      </c>
    </row>
    <row r="3" spans="1:5" ht="15" customHeight="1" x14ac:dyDescent="0.25">
      <c r="A3" t="s">
        <v>4215</v>
      </c>
      <c r="B3" t="s">
        <v>41</v>
      </c>
      <c r="C3" t="s">
        <v>5705</v>
      </c>
      <c r="D3" t="s">
        <v>90</v>
      </c>
      <c r="E3" t="s">
        <v>4218</v>
      </c>
    </row>
    <row r="4" spans="1:5" ht="15" customHeight="1" x14ac:dyDescent="0.25">
      <c r="A4" t="s">
        <v>5706</v>
      </c>
      <c r="B4" t="s">
        <v>41</v>
      </c>
      <c r="C4" t="s">
        <v>5707</v>
      </c>
      <c r="D4" t="s">
        <v>90</v>
      </c>
      <c r="E4" t="s">
        <v>5708</v>
      </c>
    </row>
    <row r="5" spans="1:5" ht="15" customHeight="1" x14ac:dyDescent="0.25">
      <c r="A5" t="s">
        <v>5709</v>
      </c>
      <c r="B5" t="s">
        <v>41</v>
      </c>
      <c r="C5" t="s">
        <v>5710</v>
      </c>
      <c r="D5" t="s">
        <v>90</v>
      </c>
      <c r="E5" t="s">
        <v>5711</v>
      </c>
    </row>
    <row r="6" spans="1:5" ht="15" customHeight="1" x14ac:dyDescent="0.25">
      <c r="A6" t="s">
        <v>5712</v>
      </c>
      <c r="B6" t="s">
        <v>41</v>
      </c>
      <c r="C6" t="s">
        <v>5713</v>
      </c>
      <c r="D6" t="s">
        <v>90</v>
      </c>
      <c r="E6" t="s">
        <v>5714</v>
      </c>
    </row>
    <row r="7" spans="1:5" ht="15" customHeight="1" x14ac:dyDescent="0.25">
      <c r="A7" t="s">
        <v>4219</v>
      </c>
      <c r="B7" t="s">
        <v>41</v>
      </c>
      <c r="C7" t="s">
        <v>5715</v>
      </c>
      <c r="D7" t="s">
        <v>90</v>
      </c>
      <c r="E7" t="s">
        <v>4224</v>
      </c>
    </row>
    <row r="8" spans="1:5" ht="15" customHeight="1" x14ac:dyDescent="0.25">
      <c r="A8" t="s">
        <v>4225</v>
      </c>
      <c r="B8" t="s">
        <v>41</v>
      </c>
      <c r="C8" t="s">
        <v>5716</v>
      </c>
      <c r="D8" t="s">
        <v>90</v>
      </c>
      <c r="E8" t="s">
        <v>4230</v>
      </c>
    </row>
    <row r="9" spans="1:5" ht="15" customHeight="1" x14ac:dyDescent="0.25">
      <c r="A9" t="s">
        <v>4231</v>
      </c>
      <c r="B9" t="s">
        <v>3519</v>
      </c>
      <c r="C9" t="s">
        <v>5717</v>
      </c>
      <c r="D9" t="s">
        <v>90</v>
      </c>
      <c r="E9" t="s">
        <v>4234</v>
      </c>
    </row>
    <row r="10" spans="1:5" ht="15" customHeight="1" x14ac:dyDescent="0.25">
      <c r="A10" t="s">
        <v>4235</v>
      </c>
      <c r="B10" t="s">
        <v>41</v>
      </c>
      <c r="C10" t="s">
        <v>5718</v>
      </c>
      <c r="D10" t="s">
        <v>90</v>
      </c>
      <c r="E10" t="s">
        <v>4240</v>
      </c>
    </row>
    <row r="11" spans="1:5" ht="15" customHeight="1" x14ac:dyDescent="0.25">
      <c r="A11" t="s">
        <v>4241</v>
      </c>
      <c r="B11" t="s">
        <v>41</v>
      </c>
      <c r="C11" t="s">
        <v>5719</v>
      </c>
      <c r="D11" t="s">
        <v>90</v>
      </c>
      <c r="E11" t="s">
        <v>4246</v>
      </c>
    </row>
    <row r="12" spans="1:5" ht="15" customHeight="1" x14ac:dyDescent="0.25">
      <c r="A12" t="s">
        <v>4247</v>
      </c>
      <c r="B12" t="s">
        <v>41</v>
      </c>
      <c r="C12" t="s">
        <v>5720</v>
      </c>
      <c r="D12" t="s">
        <v>90</v>
      </c>
      <c r="E12" t="s">
        <v>4252</v>
      </c>
    </row>
    <row r="13" spans="1:5" ht="15" customHeight="1" x14ac:dyDescent="0.25">
      <c r="A13" t="s">
        <v>5721</v>
      </c>
      <c r="B13" t="s">
        <v>3531</v>
      </c>
      <c r="C13" t="s">
        <v>5722</v>
      </c>
      <c r="D13" t="s">
        <v>90</v>
      </c>
      <c r="E13" t="s">
        <v>5723</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3450</v>
      </c>
      <c r="D1" t="s">
        <v>4586</v>
      </c>
      <c r="E1" t="s">
        <v>5724</v>
      </c>
      <c r="F1" t="s">
        <v>5725</v>
      </c>
      <c r="G1" t="s">
        <v>5726</v>
      </c>
      <c r="H1" t="s">
        <v>5727</v>
      </c>
      <c r="I1" t="s">
        <v>3459</v>
      </c>
      <c r="J1" t="s">
        <v>5728</v>
      </c>
      <c r="K1" t="s">
        <v>3453</v>
      </c>
      <c r="L1" t="s">
        <v>5729</v>
      </c>
      <c r="M1" t="s">
        <v>3866</v>
      </c>
      <c r="N1" t="s">
        <v>5730</v>
      </c>
      <c r="O1" t="s">
        <v>5731</v>
      </c>
      <c r="P1" t="s">
        <v>3460</v>
      </c>
      <c r="Q1" t="s">
        <v>3461</v>
      </c>
      <c r="R1" t="s">
        <v>3462</v>
      </c>
      <c r="S1" t="s">
        <v>5732</v>
      </c>
      <c r="T1" t="s">
        <v>5733</v>
      </c>
      <c r="U1" t="s">
        <v>5734</v>
      </c>
      <c r="V1" t="s">
        <v>5735</v>
      </c>
      <c r="W1" t="s">
        <v>5736</v>
      </c>
      <c r="X1" t="s">
        <v>3463</v>
      </c>
    </row>
    <row r="2" spans="1:24" ht="15" customHeight="1" x14ac:dyDescent="0.25">
      <c r="A2" t="s">
        <v>3501</v>
      </c>
      <c r="B2" t="s">
        <v>2155</v>
      </c>
      <c r="C2">
        <v>75</v>
      </c>
      <c r="D2">
        <v>3</v>
      </c>
      <c r="E2">
        <v>0</v>
      </c>
      <c r="F2">
        <v>0</v>
      </c>
      <c r="G2">
        <v>0</v>
      </c>
      <c r="H2">
        <v>0</v>
      </c>
      <c r="I2">
        <v>2</v>
      </c>
      <c r="J2">
        <v>0</v>
      </c>
      <c r="K2">
        <v>0</v>
      </c>
      <c r="L2">
        <v>0</v>
      </c>
      <c r="M2">
        <v>0</v>
      </c>
      <c r="N2">
        <v>0</v>
      </c>
      <c r="O2">
        <v>0</v>
      </c>
      <c r="P2" t="s">
        <v>3502</v>
      </c>
      <c r="Q2" t="s">
        <v>5737</v>
      </c>
      <c r="R2" t="s">
        <v>3503</v>
      </c>
      <c r="S2" t="s">
        <v>5477</v>
      </c>
      <c r="T2">
        <v>5</v>
      </c>
      <c r="U2">
        <v>5</v>
      </c>
      <c r="X2" t="s">
        <v>3468</v>
      </c>
    </row>
    <row r="3" spans="1:24" ht="15" customHeight="1" x14ac:dyDescent="0.25">
      <c r="A3" t="s">
        <v>3480</v>
      </c>
      <c r="B3" t="s">
        <v>160</v>
      </c>
      <c r="C3">
        <v>75</v>
      </c>
      <c r="D3">
        <v>3</v>
      </c>
      <c r="E3">
        <v>0</v>
      </c>
      <c r="F3">
        <v>0</v>
      </c>
      <c r="G3">
        <v>0</v>
      </c>
      <c r="H3">
        <v>0</v>
      </c>
      <c r="I3">
        <v>0</v>
      </c>
      <c r="J3">
        <v>2</v>
      </c>
      <c r="K3">
        <v>0</v>
      </c>
      <c r="L3">
        <v>0</v>
      </c>
      <c r="M3">
        <v>0</v>
      </c>
      <c r="N3">
        <v>0</v>
      </c>
      <c r="O3">
        <v>0</v>
      </c>
      <c r="P3" t="s">
        <v>5738</v>
      </c>
      <c r="Q3" t="s">
        <v>5739</v>
      </c>
      <c r="R3" t="s">
        <v>3483</v>
      </c>
      <c r="S3" t="s">
        <v>5494</v>
      </c>
      <c r="T3">
        <v>5</v>
      </c>
      <c r="U3">
        <v>4</v>
      </c>
      <c r="V3" t="s">
        <v>5740</v>
      </c>
      <c r="X3" t="s">
        <v>3484</v>
      </c>
    </row>
    <row r="4" spans="1:24" ht="15" customHeight="1" x14ac:dyDescent="0.25">
      <c r="A4" t="s">
        <v>3508</v>
      </c>
      <c r="B4" t="s">
        <v>1323</v>
      </c>
      <c r="C4">
        <v>60</v>
      </c>
      <c r="D4">
        <v>3</v>
      </c>
      <c r="E4">
        <v>0</v>
      </c>
      <c r="F4">
        <v>1</v>
      </c>
      <c r="G4">
        <v>0</v>
      </c>
      <c r="H4">
        <v>0</v>
      </c>
      <c r="I4">
        <v>0</v>
      </c>
      <c r="J4">
        <v>0</v>
      </c>
      <c r="K4">
        <v>1</v>
      </c>
      <c r="L4">
        <v>0</v>
      </c>
      <c r="M4">
        <v>0</v>
      </c>
      <c r="N4">
        <v>0</v>
      </c>
      <c r="O4">
        <v>0</v>
      </c>
      <c r="P4" t="s">
        <v>3509</v>
      </c>
      <c r="Q4" t="s">
        <v>5741</v>
      </c>
      <c r="R4" t="s">
        <v>3511</v>
      </c>
      <c r="S4" t="s">
        <v>4603</v>
      </c>
      <c r="T4">
        <v>5</v>
      </c>
      <c r="U4">
        <v>5</v>
      </c>
      <c r="X4" t="s">
        <v>3468</v>
      </c>
    </row>
    <row r="5" spans="1:24" ht="15" customHeight="1" x14ac:dyDescent="0.25">
      <c r="A5" t="s">
        <v>3489</v>
      </c>
      <c r="B5" t="s">
        <v>1818</v>
      </c>
      <c r="C5">
        <v>60</v>
      </c>
      <c r="D5">
        <v>3</v>
      </c>
      <c r="E5">
        <v>0</v>
      </c>
      <c r="F5">
        <v>0</v>
      </c>
      <c r="G5">
        <v>1</v>
      </c>
      <c r="H5">
        <v>1</v>
      </c>
      <c r="I5">
        <v>0</v>
      </c>
      <c r="J5">
        <v>0</v>
      </c>
      <c r="K5">
        <v>0</v>
      </c>
      <c r="L5">
        <v>0</v>
      </c>
      <c r="M5">
        <v>0</v>
      </c>
      <c r="N5">
        <v>0</v>
      </c>
      <c r="O5">
        <v>0</v>
      </c>
      <c r="P5" t="s">
        <v>3490</v>
      </c>
      <c r="Q5" t="s">
        <v>5742</v>
      </c>
      <c r="R5" t="s">
        <v>3492</v>
      </c>
      <c r="S5" t="s">
        <v>5743</v>
      </c>
      <c r="T5">
        <v>5</v>
      </c>
      <c r="U5">
        <v>5</v>
      </c>
      <c r="X5" t="s">
        <v>3468</v>
      </c>
    </row>
    <row r="6" spans="1:24" ht="15" customHeight="1" x14ac:dyDescent="0.25">
      <c r="A6" t="s">
        <v>3475</v>
      </c>
      <c r="B6" t="s">
        <v>90</v>
      </c>
      <c r="C6">
        <v>80</v>
      </c>
      <c r="D6">
        <v>3</v>
      </c>
      <c r="E6">
        <v>2</v>
      </c>
      <c r="F6">
        <v>0</v>
      </c>
      <c r="G6">
        <v>0</v>
      </c>
      <c r="H6">
        <v>0</v>
      </c>
      <c r="I6">
        <v>0</v>
      </c>
      <c r="J6">
        <v>0</v>
      </c>
      <c r="K6">
        <v>0</v>
      </c>
      <c r="L6">
        <v>0</v>
      </c>
      <c r="M6">
        <v>0</v>
      </c>
      <c r="N6">
        <v>0</v>
      </c>
      <c r="O6">
        <v>0</v>
      </c>
      <c r="P6" t="s">
        <v>5744</v>
      </c>
      <c r="Q6" t="s">
        <v>5745</v>
      </c>
      <c r="R6" t="s">
        <v>3478</v>
      </c>
      <c r="S6" t="s">
        <v>5477</v>
      </c>
      <c r="T6">
        <v>5</v>
      </c>
      <c r="U6">
        <v>4</v>
      </c>
      <c r="V6" t="s">
        <v>3452</v>
      </c>
      <c r="X6" t="s">
        <v>3479</v>
      </c>
    </row>
    <row r="7" spans="1:24" ht="15" customHeight="1" x14ac:dyDescent="0.25">
      <c r="A7" t="s">
        <v>5746</v>
      </c>
      <c r="B7" t="s">
        <v>90</v>
      </c>
      <c r="C7">
        <v>70</v>
      </c>
      <c r="D7">
        <v>3</v>
      </c>
      <c r="E7">
        <v>0</v>
      </c>
      <c r="F7">
        <v>2</v>
      </c>
      <c r="G7">
        <v>0</v>
      </c>
      <c r="H7">
        <v>0</v>
      </c>
      <c r="I7">
        <v>0</v>
      </c>
      <c r="J7">
        <v>0</v>
      </c>
      <c r="K7">
        <v>0</v>
      </c>
      <c r="L7">
        <v>0</v>
      </c>
      <c r="M7">
        <v>0</v>
      </c>
      <c r="N7">
        <v>0</v>
      </c>
      <c r="O7">
        <v>0</v>
      </c>
      <c r="P7" t="s">
        <v>5744</v>
      </c>
      <c r="Q7" t="s">
        <v>5747</v>
      </c>
      <c r="R7" t="s">
        <v>5748</v>
      </c>
      <c r="S7" t="s">
        <v>5477</v>
      </c>
      <c r="T7">
        <v>5</v>
      </c>
      <c r="U7">
        <v>5</v>
      </c>
      <c r="V7" t="s">
        <v>5749</v>
      </c>
      <c r="W7" t="s">
        <v>5750</v>
      </c>
      <c r="X7" t="s">
        <v>4855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5751</v>
      </c>
      <c r="E1" t="s">
        <v>3462</v>
      </c>
      <c r="F1" t="s">
        <v>5752</v>
      </c>
      <c r="G1" t="s">
        <v>5753</v>
      </c>
      <c r="H1" t="s">
        <v>4312</v>
      </c>
      <c r="I1" t="s">
        <v>1</v>
      </c>
      <c r="J1" t="s">
        <v>170</v>
      </c>
    </row>
    <row r="2" spans="1:10" ht="15" customHeight="1" x14ac:dyDescent="0.25">
      <c r="A2" t="s">
        <v>5754</v>
      </c>
      <c r="B2" t="s">
        <v>3531</v>
      </c>
      <c r="C2" t="s">
        <v>4650</v>
      </c>
      <c r="D2">
        <v>1</v>
      </c>
      <c r="E2" t="s">
        <v>5755</v>
      </c>
      <c r="F2" t="s">
        <v>5756</v>
      </c>
      <c r="G2">
        <v>1</v>
      </c>
      <c r="H2" t="s">
        <v>5754</v>
      </c>
      <c r="I2" t="s">
        <v>90</v>
      </c>
      <c r="J2" t="s">
        <v>5757</v>
      </c>
    </row>
    <row r="3" spans="1:10" ht="15" customHeight="1" x14ac:dyDescent="0.25">
      <c r="A3" t="s">
        <v>5758</v>
      </c>
      <c r="B3" t="s">
        <v>41</v>
      </c>
      <c r="C3" t="s">
        <v>5413</v>
      </c>
      <c r="D3">
        <v>1</v>
      </c>
      <c r="E3" t="s">
        <v>5759</v>
      </c>
      <c r="F3" t="s">
        <v>5760</v>
      </c>
      <c r="G3">
        <v>1</v>
      </c>
      <c r="H3" t="s">
        <v>5758</v>
      </c>
      <c r="I3" t="s">
        <v>90</v>
      </c>
      <c r="J3" t="s">
        <v>5761</v>
      </c>
    </row>
    <row r="4" spans="1:10" ht="15" customHeight="1" x14ac:dyDescent="0.25">
      <c r="A4" t="s">
        <v>5762</v>
      </c>
      <c r="B4" t="s">
        <v>3519</v>
      </c>
      <c r="C4" t="s">
        <v>5413</v>
      </c>
      <c r="D4">
        <v>0</v>
      </c>
      <c r="E4" t="s">
        <v>5763</v>
      </c>
      <c r="F4" t="s">
        <v>5764</v>
      </c>
      <c r="G4">
        <v>0</v>
      </c>
      <c r="H4" t="s">
        <v>5762</v>
      </c>
      <c r="I4" t="s">
        <v>90</v>
      </c>
      <c r="J4" t="s">
        <v>5765</v>
      </c>
    </row>
    <row r="5" spans="1:10" ht="15" customHeight="1" x14ac:dyDescent="0.25">
      <c r="A5" t="s">
        <v>5766</v>
      </c>
      <c r="B5" t="s">
        <v>3519</v>
      </c>
      <c r="C5" t="s">
        <v>4650</v>
      </c>
      <c r="D5">
        <v>1</v>
      </c>
      <c r="E5" t="s">
        <v>5767</v>
      </c>
      <c r="F5" t="s">
        <v>5768</v>
      </c>
      <c r="G5">
        <v>1</v>
      </c>
      <c r="H5" t="s">
        <v>5769</v>
      </c>
      <c r="I5" t="s">
        <v>90</v>
      </c>
      <c r="J5" t="s">
        <v>5770</v>
      </c>
    </row>
    <row r="6" spans="1:10" ht="15" customHeight="1" x14ac:dyDescent="0.25">
      <c r="A6" t="s">
        <v>5771</v>
      </c>
      <c r="B6" t="s">
        <v>3519</v>
      </c>
      <c r="C6" t="s">
        <v>5413</v>
      </c>
      <c r="D6">
        <v>1</v>
      </c>
      <c r="E6" t="s">
        <v>5772</v>
      </c>
      <c r="F6" t="s">
        <v>5772</v>
      </c>
      <c r="G6">
        <v>0</v>
      </c>
      <c r="H6" t="s">
        <v>5771</v>
      </c>
      <c r="I6" t="s">
        <v>90</v>
      </c>
      <c r="J6" t="s">
        <v>5773</v>
      </c>
    </row>
    <row r="7" spans="1:10" ht="15" customHeight="1" x14ac:dyDescent="0.25">
      <c r="A7" t="s">
        <v>5774</v>
      </c>
      <c r="B7" t="s">
        <v>3519</v>
      </c>
      <c r="C7" t="s">
        <v>5775</v>
      </c>
      <c r="D7">
        <v>2</v>
      </c>
      <c r="E7" t="s">
        <v>5776</v>
      </c>
      <c r="F7" t="s">
        <v>5777</v>
      </c>
      <c r="G7">
        <v>2</v>
      </c>
      <c r="H7" t="s">
        <v>5778</v>
      </c>
      <c r="I7" t="s">
        <v>90</v>
      </c>
      <c r="J7" t="s">
        <v>5779</v>
      </c>
    </row>
    <row r="8" spans="1:10" ht="15" customHeight="1" x14ac:dyDescent="0.25">
      <c r="A8" t="s">
        <v>5780</v>
      </c>
      <c r="B8" t="s">
        <v>3531</v>
      </c>
      <c r="C8" t="s">
        <v>5775</v>
      </c>
      <c r="D8">
        <v>1</v>
      </c>
      <c r="E8" t="s">
        <v>5781</v>
      </c>
      <c r="F8" t="s">
        <v>5782</v>
      </c>
      <c r="G8">
        <v>1</v>
      </c>
      <c r="H8" t="s">
        <v>5783</v>
      </c>
      <c r="I8" t="s">
        <v>90</v>
      </c>
      <c r="J8" t="s">
        <v>5784</v>
      </c>
    </row>
    <row r="9" spans="1:10" ht="15" customHeight="1" x14ac:dyDescent="0.25">
      <c r="A9" t="s">
        <v>5785</v>
      </c>
      <c r="B9" t="s">
        <v>41</v>
      </c>
      <c r="C9" t="s">
        <v>5775</v>
      </c>
      <c r="D9">
        <v>0</v>
      </c>
      <c r="E9" t="s">
        <v>5786</v>
      </c>
      <c r="F9" t="s">
        <v>5787</v>
      </c>
      <c r="G9">
        <v>0</v>
      </c>
      <c r="H9" t="s">
        <v>5785</v>
      </c>
      <c r="I9" t="s">
        <v>90</v>
      </c>
      <c r="J9" t="s">
        <v>5788</v>
      </c>
    </row>
    <row r="10" spans="1:10" ht="15" customHeight="1" x14ac:dyDescent="0.25">
      <c r="A10" t="s">
        <v>5789</v>
      </c>
      <c r="B10" t="s">
        <v>41</v>
      </c>
      <c r="C10" t="s">
        <v>5413</v>
      </c>
      <c r="D10">
        <v>1</v>
      </c>
      <c r="E10" t="s">
        <v>5790</v>
      </c>
      <c r="F10" t="s">
        <v>5791</v>
      </c>
      <c r="G10">
        <v>1</v>
      </c>
      <c r="H10" t="s">
        <v>5789</v>
      </c>
      <c r="I10" t="s">
        <v>90</v>
      </c>
      <c r="J10" t="s">
        <v>5792</v>
      </c>
    </row>
    <row r="11" spans="1:10" ht="15" customHeight="1" x14ac:dyDescent="0.25">
      <c r="A11" t="s">
        <v>5793</v>
      </c>
      <c r="B11" t="s">
        <v>41</v>
      </c>
      <c r="C11" t="s">
        <v>5413</v>
      </c>
      <c r="D11">
        <v>1</v>
      </c>
      <c r="E11" t="s">
        <v>5794</v>
      </c>
      <c r="F11" t="s">
        <v>5795</v>
      </c>
      <c r="G11">
        <v>1</v>
      </c>
      <c r="H11" t="s">
        <v>5793</v>
      </c>
      <c r="I11" t="s">
        <v>90</v>
      </c>
      <c r="J11" t="s">
        <v>5796</v>
      </c>
    </row>
    <row r="12" spans="1:10" ht="15" customHeight="1" x14ac:dyDescent="0.25">
      <c r="A12" t="s">
        <v>5797</v>
      </c>
      <c r="B12" t="s">
        <v>3531</v>
      </c>
      <c r="C12" t="s">
        <v>5775</v>
      </c>
      <c r="D12">
        <v>0</v>
      </c>
      <c r="E12" t="s">
        <v>5798</v>
      </c>
      <c r="F12" t="s">
        <v>5799</v>
      </c>
      <c r="G12">
        <v>0</v>
      </c>
      <c r="H12" t="s">
        <v>5797</v>
      </c>
      <c r="I12" t="s">
        <v>90</v>
      </c>
      <c r="J12" t="s">
        <v>5800</v>
      </c>
    </row>
    <row r="13" spans="1:10" ht="15" customHeight="1" x14ac:dyDescent="0.25">
      <c r="A13" t="s">
        <v>4480</v>
      </c>
      <c r="B13" t="s">
        <v>3531</v>
      </c>
      <c r="C13" t="s">
        <v>5413</v>
      </c>
      <c r="D13">
        <v>1</v>
      </c>
      <c r="E13" t="s">
        <v>5801</v>
      </c>
      <c r="F13" t="s">
        <v>5801</v>
      </c>
      <c r="G13">
        <v>1</v>
      </c>
      <c r="H13" t="s">
        <v>4485</v>
      </c>
      <c r="I13" t="s">
        <v>1650</v>
      </c>
      <c r="J13" t="s">
        <v>5802</v>
      </c>
    </row>
    <row r="14" spans="1:10" ht="15" customHeight="1" x14ac:dyDescent="0.25">
      <c r="A14" t="s">
        <v>5803</v>
      </c>
      <c r="B14" t="s">
        <v>41</v>
      </c>
      <c r="C14" t="s">
        <v>5775</v>
      </c>
      <c r="D14">
        <v>1</v>
      </c>
      <c r="E14" t="s">
        <v>5804</v>
      </c>
      <c r="F14" t="s">
        <v>5805</v>
      </c>
      <c r="G14">
        <v>1</v>
      </c>
      <c r="H14" t="s">
        <v>5803</v>
      </c>
      <c r="I14" t="s">
        <v>90</v>
      </c>
      <c r="J14" t="s">
        <v>5806</v>
      </c>
    </row>
    <row r="15" spans="1:10" ht="15" customHeight="1" x14ac:dyDescent="0.25">
      <c r="A15" t="s">
        <v>4491</v>
      </c>
      <c r="B15" t="s">
        <v>3531</v>
      </c>
      <c r="C15" t="s">
        <v>5775</v>
      </c>
      <c r="D15">
        <v>1</v>
      </c>
      <c r="E15" t="s">
        <v>5807</v>
      </c>
      <c r="F15" t="s">
        <v>5807</v>
      </c>
      <c r="G15">
        <v>1</v>
      </c>
      <c r="H15" t="s">
        <v>4491</v>
      </c>
      <c r="I15" t="s">
        <v>1047</v>
      </c>
      <c r="J15" t="s">
        <v>5808</v>
      </c>
    </row>
    <row r="16" spans="1:10" ht="15" customHeight="1" x14ac:dyDescent="0.25">
      <c r="A16" t="s">
        <v>3538</v>
      </c>
      <c r="B16" t="s">
        <v>3519</v>
      </c>
      <c r="C16" t="s">
        <v>4650</v>
      </c>
      <c r="D16">
        <v>3</v>
      </c>
      <c r="E16" t="s">
        <v>5809</v>
      </c>
      <c r="F16" t="s">
        <v>5809</v>
      </c>
      <c r="G16">
        <v>2</v>
      </c>
      <c r="H16" t="s">
        <v>3538</v>
      </c>
      <c r="I16" t="s">
        <v>90</v>
      </c>
      <c r="J16" t="s">
        <v>5792</v>
      </c>
    </row>
    <row r="17" spans="1:10" ht="15" customHeight="1" x14ac:dyDescent="0.25">
      <c r="A17" t="s">
        <v>3452</v>
      </c>
      <c r="B17" t="s">
        <v>3564</v>
      </c>
      <c r="C17" t="s">
        <v>5775</v>
      </c>
      <c r="D17">
        <v>2</v>
      </c>
      <c r="E17" t="s">
        <v>5810</v>
      </c>
      <c r="F17" t="s">
        <v>5811</v>
      </c>
      <c r="G17">
        <v>2</v>
      </c>
      <c r="H17" t="s">
        <v>3452</v>
      </c>
      <c r="I17" t="s">
        <v>90</v>
      </c>
      <c r="J17" t="s">
        <v>5788</v>
      </c>
    </row>
    <row r="18" spans="1:10" ht="15" customHeight="1" x14ac:dyDescent="0.25">
      <c r="A18" t="s">
        <v>5812</v>
      </c>
      <c r="B18" t="s">
        <v>3531</v>
      </c>
      <c r="C18" t="s">
        <v>5413</v>
      </c>
      <c r="D18">
        <v>0</v>
      </c>
      <c r="E18" t="s">
        <v>5813</v>
      </c>
      <c r="F18" t="s">
        <v>5814</v>
      </c>
      <c r="G18">
        <v>0</v>
      </c>
      <c r="H18" t="s">
        <v>5815</v>
      </c>
      <c r="I18" t="s">
        <v>90</v>
      </c>
      <c r="J18" t="s">
        <v>5816</v>
      </c>
    </row>
    <row r="19" spans="1:10" ht="15" customHeight="1" x14ac:dyDescent="0.25">
      <c r="A19" t="s">
        <v>5817</v>
      </c>
      <c r="B19" t="s">
        <v>41</v>
      </c>
      <c r="C19" t="s">
        <v>5775</v>
      </c>
      <c r="D19">
        <v>0</v>
      </c>
      <c r="E19" t="s">
        <v>5818</v>
      </c>
      <c r="F19" t="s">
        <v>5819</v>
      </c>
      <c r="G19">
        <v>0</v>
      </c>
      <c r="H19" t="s">
        <v>5820</v>
      </c>
      <c r="I19" t="s">
        <v>90</v>
      </c>
      <c r="J19" t="s">
        <v>5821</v>
      </c>
    </row>
    <row r="20" spans="1:10" ht="15" customHeight="1" x14ac:dyDescent="0.25">
      <c r="A20" t="s">
        <v>5822</v>
      </c>
      <c r="B20" t="s">
        <v>3519</v>
      </c>
      <c r="C20" t="s">
        <v>4650</v>
      </c>
      <c r="D20">
        <v>0</v>
      </c>
      <c r="E20" t="s">
        <v>5823</v>
      </c>
      <c r="F20" t="s">
        <v>5824</v>
      </c>
      <c r="G20">
        <v>0</v>
      </c>
      <c r="H20" t="s">
        <v>5822</v>
      </c>
      <c r="I20" t="s">
        <v>90</v>
      </c>
      <c r="J20" t="s">
        <v>5825</v>
      </c>
    </row>
    <row r="21" spans="1:10" ht="15" customHeight="1" x14ac:dyDescent="0.25">
      <c r="A21" t="s">
        <v>5826</v>
      </c>
      <c r="B21" t="s">
        <v>41</v>
      </c>
      <c r="C21" t="s">
        <v>5413</v>
      </c>
      <c r="D21">
        <v>1</v>
      </c>
      <c r="E21" t="s">
        <v>5827</v>
      </c>
      <c r="F21" t="s">
        <v>5828</v>
      </c>
      <c r="G21">
        <v>1</v>
      </c>
      <c r="H21" t="s">
        <v>5829</v>
      </c>
      <c r="I21" t="s">
        <v>90</v>
      </c>
      <c r="J21" t="s">
        <v>5830</v>
      </c>
    </row>
    <row r="22" spans="1:10" ht="15" customHeight="1" x14ac:dyDescent="0.25">
      <c r="A22" t="s">
        <v>4518</v>
      </c>
      <c r="B22" t="s">
        <v>41</v>
      </c>
      <c r="C22" t="s">
        <v>5775</v>
      </c>
      <c r="D22">
        <v>1</v>
      </c>
      <c r="E22" t="s">
        <v>5831</v>
      </c>
      <c r="F22" t="s">
        <v>5831</v>
      </c>
      <c r="G22">
        <v>1</v>
      </c>
      <c r="H22" t="s">
        <v>4521</v>
      </c>
      <c r="I22" t="s">
        <v>1105</v>
      </c>
      <c r="J22" t="s">
        <v>5808</v>
      </c>
    </row>
    <row r="23" spans="1:10" ht="15" customHeight="1" x14ac:dyDescent="0.25">
      <c r="A23" t="s">
        <v>5832</v>
      </c>
      <c r="B23" t="s">
        <v>3531</v>
      </c>
      <c r="C23" t="s">
        <v>5775</v>
      </c>
      <c r="D23">
        <v>4</v>
      </c>
      <c r="E23" t="s">
        <v>5833</v>
      </c>
      <c r="F23" t="s">
        <v>5834</v>
      </c>
      <c r="G23">
        <v>3</v>
      </c>
      <c r="H23" t="s">
        <v>5835</v>
      </c>
      <c r="I23" t="s">
        <v>90</v>
      </c>
      <c r="J23" t="s">
        <v>5816</v>
      </c>
    </row>
    <row r="24" spans="1:10" ht="15" customHeight="1" x14ac:dyDescent="0.25">
      <c r="A24" t="s">
        <v>4522</v>
      </c>
      <c r="B24" t="s">
        <v>3519</v>
      </c>
      <c r="C24" t="s">
        <v>5775</v>
      </c>
      <c r="D24">
        <v>1</v>
      </c>
      <c r="E24" t="s">
        <v>5836</v>
      </c>
      <c r="F24" t="s">
        <v>5836</v>
      </c>
      <c r="G24">
        <v>1</v>
      </c>
      <c r="H24" t="s">
        <v>4525</v>
      </c>
      <c r="I24" t="s">
        <v>1622</v>
      </c>
      <c r="J24" t="s">
        <v>5808</v>
      </c>
    </row>
    <row r="25" spans="1:10" ht="15" customHeight="1" x14ac:dyDescent="0.25">
      <c r="A25" t="s">
        <v>5837</v>
      </c>
      <c r="B25" t="s">
        <v>3531</v>
      </c>
      <c r="C25" t="s">
        <v>5413</v>
      </c>
      <c r="D25">
        <v>0</v>
      </c>
      <c r="E25" t="s">
        <v>5838</v>
      </c>
      <c r="F25" t="s">
        <v>5839</v>
      </c>
      <c r="G25">
        <v>0</v>
      </c>
      <c r="H25" t="s">
        <v>5837</v>
      </c>
      <c r="I25" t="s">
        <v>90</v>
      </c>
      <c r="J25" t="s">
        <v>5825</v>
      </c>
    </row>
    <row r="26" spans="1:10" ht="15" customHeight="1" x14ac:dyDescent="0.25">
      <c r="A26" t="s">
        <v>5840</v>
      </c>
      <c r="B26" t="s">
        <v>3519</v>
      </c>
      <c r="C26" t="s">
        <v>5775</v>
      </c>
      <c r="D26">
        <v>3</v>
      </c>
      <c r="E26" t="s">
        <v>5841</v>
      </c>
      <c r="F26" t="s">
        <v>5842</v>
      </c>
      <c r="G26">
        <v>3</v>
      </c>
      <c r="H26" t="s">
        <v>5840</v>
      </c>
      <c r="I26" t="s">
        <v>90</v>
      </c>
      <c r="J26" t="s">
        <v>5788</v>
      </c>
    </row>
    <row r="27" spans="1:10" ht="15" customHeight="1" x14ac:dyDescent="0.25">
      <c r="A27" t="s">
        <v>5843</v>
      </c>
      <c r="B27" t="s">
        <v>4350</v>
      </c>
      <c r="C27" t="s">
        <v>3675</v>
      </c>
      <c r="D27">
        <v>1</v>
      </c>
      <c r="E27" t="s">
        <v>5844</v>
      </c>
      <c r="F27" t="s">
        <v>3468</v>
      </c>
      <c r="G27" t="s">
        <v>3468</v>
      </c>
      <c r="H27" t="s">
        <v>5845</v>
      </c>
      <c r="I27" t="s">
        <v>501</v>
      </c>
      <c r="J27" t="s">
        <v>5846</v>
      </c>
    </row>
    <row r="28" spans="1:10" ht="15" customHeight="1" x14ac:dyDescent="0.25">
      <c r="A28" t="s">
        <v>5213</v>
      </c>
      <c r="B28" t="s">
        <v>3531</v>
      </c>
      <c r="C28" t="s">
        <v>5413</v>
      </c>
      <c r="D28">
        <v>1</v>
      </c>
      <c r="E28" t="s">
        <v>5847</v>
      </c>
      <c r="F28" t="s">
        <v>5848</v>
      </c>
      <c r="G28">
        <v>1</v>
      </c>
      <c r="H28" t="s">
        <v>5213</v>
      </c>
      <c r="I28" t="s">
        <v>90</v>
      </c>
      <c r="J28" t="s">
        <v>5770</v>
      </c>
    </row>
    <row r="29" spans="1:10" ht="15" customHeight="1" x14ac:dyDescent="0.25">
      <c r="A29" t="s">
        <v>5849</v>
      </c>
      <c r="B29" t="s">
        <v>41</v>
      </c>
      <c r="C29" t="s">
        <v>5775</v>
      </c>
      <c r="D29">
        <v>1</v>
      </c>
      <c r="E29" t="s">
        <v>5850</v>
      </c>
      <c r="F29" t="s">
        <v>5850</v>
      </c>
      <c r="G29">
        <v>0</v>
      </c>
      <c r="H29" t="s">
        <v>5851</v>
      </c>
      <c r="I29" t="s">
        <v>90</v>
      </c>
      <c r="J29" t="s">
        <v>5788</v>
      </c>
    </row>
    <row r="30" spans="1:10" ht="15" customHeight="1" x14ac:dyDescent="0.25">
      <c r="A30" t="s">
        <v>5852</v>
      </c>
      <c r="B30" t="s">
        <v>3531</v>
      </c>
      <c r="C30" t="s">
        <v>5413</v>
      </c>
      <c r="D30">
        <v>0</v>
      </c>
      <c r="E30" t="s">
        <v>5853</v>
      </c>
      <c r="F30" t="s">
        <v>5854</v>
      </c>
      <c r="G30">
        <v>0</v>
      </c>
      <c r="H30" t="s">
        <v>5855</v>
      </c>
      <c r="I30" t="s">
        <v>90</v>
      </c>
      <c r="J30" t="s">
        <v>5856</v>
      </c>
    </row>
    <row r="31" spans="1:10" ht="15" customHeight="1" x14ac:dyDescent="0.25">
      <c r="A31" t="s">
        <v>5857</v>
      </c>
      <c r="B31" t="s">
        <v>3531</v>
      </c>
      <c r="C31" t="s">
        <v>5858</v>
      </c>
      <c r="D31">
        <v>3</v>
      </c>
      <c r="E31" t="s">
        <v>5859</v>
      </c>
      <c r="F31" t="s">
        <v>5860</v>
      </c>
      <c r="G31">
        <v>3</v>
      </c>
      <c r="H31" t="s">
        <v>5861</v>
      </c>
      <c r="I31" t="s">
        <v>1673</v>
      </c>
    </row>
    <row r="32" spans="1:10" ht="15" customHeight="1" x14ac:dyDescent="0.25">
      <c r="A32" t="s">
        <v>5862</v>
      </c>
      <c r="B32" t="s">
        <v>3531</v>
      </c>
      <c r="C32" t="s">
        <v>5413</v>
      </c>
      <c r="D32">
        <v>2</v>
      </c>
      <c r="E32" t="s">
        <v>5863</v>
      </c>
      <c r="F32" t="s">
        <v>5864</v>
      </c>
      <c r="G32">
        <v>2</v>
      </c>
      <c r="H32" t="s">
        <v>5865</v>
      </c>
      <c r="I32" t="s">
        <v>90</v>
      </c>
      <c r="J32" t="s">
        <v>5866</v>
      </c>
    </row>
    <row r="33" spans="1:10" ht="15" customHeight="1" x14ac:dyDescent="0.25">
      <c r="A33" t="s">
        <v>5867</v>
      </c>
      <c r="B33" t="s">
        <v>3519</v>
      </c>
      <c r="C33" t="s">
        <v>4650</v>
      </c>
      <c r="D33">
        <v>0</v>
      </c>
      <c r="E33" t="s">
        <v>5868</v>
      </c>
      <c r="F33" t="s">
        <v>5869</v>
      </c>
      <c r="G33">
        <v>0</v>
      </c>
      <c r="H33" t="s">
        <v>5867</v>
      </c>
      <c r="I33" t="s">
        <v>90</v>
      </c>
      <c r="J33" t="s">
        <v>5816</v>
      </c>
    </row>
    <row r="34" spans="1:10" ht="15" customHeight="1" x14ac:dyDescent="0.25">
      <c r="A34" t="s">
        <v>5219</v>
      </c>
      <c r="B34" t="s">
        <v>3519</v>
      </c>
      <c r="C34" t="s">
        <v>4650</v>
      </c>
      <c r="D34">
        <v>2</v>
      </c>
      <c r="E34" t="s">
        <v>5870</v>
      </c>
      <c r="F34" t="s">
        <v>5871</v>
      </c>
      <c r="G34">
        <v>2</v>
      </c>
      <c r="H34" t="s">
        <v>5219</v>
      </c>
      <c r="I34" t="s">
        <v>90</v>
      </c>
      <c r="J34" t="s">
        <v>5872</v>
      </c>
    </row>
    <row r="35" spans="1:10" ht="15" customHeight="1" x14ac:dyDescent="0.25">
      <c r="A35" t="s">
        <v>5873</v>
      </c>
      <c r="B35" t="s">
        <v>3519</v>
      </c>
      <c r="C35" t="s">
        <v>5413</v>
      </c>
      <c r="D35">
        <v>3</v>
      </c>
      <c r="E35" t="s">
        <v>5874</v>
      </c>
      <c r="F35" t="s">
        <v>5874</v>
      </c>
      <c r="G35">
        <v>2</v>
      </c>
      <c r="H35" t="s">
        <v>5875</v>
      </c>
      <c r="I35" t="s">
        <v>90</v>
      </c>
      <c r="J35" t="s">
        <v>5876</v>
      </c>
    </row>
    <row r="36" spans="1:10" ht="15" customHeight="1" x14ac:dyDescent="0.25">
      <c r="A36" t="s">
        <v>4044</v>
      </c>
      <c r="B36" t="s">
        <v>4350</v>
      </c>
      <c r="C36" t="s">
        <v>3675</v>
      </c>
      <c r="D36" t="s">
        <v>4039</v>
      </c>
      <c r="E36" t="s">
        <v>5877</v>
      </c>
      <c r="F36" t="s">
        <v>5878</v>
      </c>
      <c r="G36" t="s">
        <v>4039</v>
      </c>
      <c r="H36" t="s">
        <v>4044</v>
      </c>
      <c r="I36" t="s">
        <v>90</v>
      </c>
    </row>
    <row r="37" spans="1:10" ht="15" customHeight="1" x14ac:dyDescent="0.25">
      <c r="A37" t="s">
        <v>5879</v>
      </c>
      <c r="B37" t="s">
        <v>3531</v>
      </c>
      <c r="C37" t="s">
        <v>5413</v>
      </c>
      <c r="D37">
        <v>1</v>
      </c>
      <c r="E37" t="s">
        <v>5880</v>
      </c>
      <c r="F37" t="s">
        <v>5881</v>
      </c>
      <c r="G37">
        <v>1</v>
      </c>
      <c r="H37" t="s">
        <v>5882</v>
      </c>
      <c r="I37" t="s">
        <v>90</v>
      </c>
      <c r="J37" t="s">
        <v>5883</v>
      </c>
    </row>
    <row r="38" spans="1:10" ht="15" customHeight="1" x14ac:dyDescent="0.25">
      <c r="A38" t="s">
        <v>5223</v>
      </c>
      <c r="B38" t="s">
        <v>3519</v>
      </c>
      <c r="C38" t="s">
        <v>5413</v>
      </c>
      <c r="D38">
        <v>1</v>
      </c>
      <c r="E38" t="s">
        <v>5884</v>
      </c>
      <c r="F38" t="s">
        <v>5885</v>
      </c>
      <c r="G38">
        <v>1</v>
      </c>
      <c r="H38" t="s">
        <v>5223</v>
      </c>
      <c r="I38" t="s">
        <v>90</v>
      </c>
      <c r="J38" t="s">
        <v>5876</v>
      </c>
    </row>
    <row r="39" spans="1:10" ht="15" customHeight="1" x14ac:dyDescent="0.25">
      <c r="A39" t="s">
        <v>5886</v>
      </c>
      <c r="B39" t="s">
        <v>3531</v>
      </c>
      <c r="C39" t="s">
        <v>5413</v>
      </c>
      <c r="D39">
        <v>0</v>
      </c>
      <c r="E39" t="s">
        <v>5887</v>
      </c>
      <c r="F39" t="s">
        <v>5888</v>
      </c>
      <c r="G39">
        <v>0</v>
      </c>
      <c r="H39" t="s">
        <v>5889</v>
      </c>
      <c r="I39" t="s">
        <v>90</v>
      </c>
      <c r="J39" t="s">
        <v>5890</v>
      </c>
    </row>
    <row r="40" spans="1:10" ht="15" customHeight="1" x14ac:dyDescent="0.25">
      <c r="A40" t="s">
        <v>5891</v>
      </c>
      <c r="B40" t="s">
        <v>3531</v>
      </c>
      <c r="C40" t="s">
        <v>4650</v>
      </c>
      <c r="D40">
        <v>1</v>
      </c>
      <c r="E40" t="s">
        <v>5722</v>
      </c>
      <c r="F40" t="s">
        <v>5892</v>
      </c>
      <c r="G40">
        <v>1</v>
      </c>
      <c r="H40" t="s">
        <v>5891</v>
      </c>
      <c r="I40" t="s">
        <v>90</v>
      </c>
      <c r="J40" t="s">
        <v>5770</v>
      </c>
    </row>
    <row r="41" spans="1:10" ht="15" customHeight="1" x14ac:dyDescent="0.25">
      <c r="A41" t="s">
        <v>5893</v>
      </c>
      <c r="B41" t="s">
        <v>3531</v>
      </c>
      <c r="C41" t="s">
        <v>5775</v>
      </c>
      <c r="D41">
        <v>2</v>
      </c>
      <c r="E41" t="s">
        <v>5894</v>
      </c>
      <c r="F41" t="s">
        <v>5895</v>
      </c>
      <c r="G41">
        <v>2</v>
      </c>
      <c r="H41" t="s">
        <v>5893</v>
      </c>
      <c r="I41" t="s">
        <v>90</v>
      </c>
      <c r="J41" t="s">
        <v>5788</v>
      </c>
    </row>
    <row r="42" spans="1:10" ht="15" customHeight="1" x14ac:dyDescent="0.25">
      <c r="A42" t="s">
        <v>5896</v>
      </c>
      <c r="B42" t="s">
        <v>3531</v>
      </c>
      <c r="C42" t="s">
        <v>5413</v>
      </c>
      <c r="D42">
        <v>1</v>
      </c>
      <c r="E42" t="s">
        <v>5897</v>
      </c>
      <c r="F42" t="s">
        <v>5898</v>
      </c>
      <c r="G42">
        <v>1</v>
      </c>
      <c r="H42" t="s">
        <v>5896</v>
      </c>
      <c r="I42" t="s">
        <v>90</v>
      </c>
      <c r="J42" t="s">
        <v>5866</v>
      </c>
    </row>
    <row r="43" spans="1:10" ht="15" customHeight="1" x14ac:dyDescent="0.25">
      <c r="A43" t="s">
        <v>5899</v>
      </c>
      <c r="B43" t="s">
        <v>3531</v>
      </c>
      <c r="C43" t="s">
        <v>5775</v>
      </c>
      <c r="D43">
        <v>2</v>
      </c>
      <c r="E43" t="s">
        <v>5900</v>
      </c>
      <c r="F43" t="s">
        <v>5901</v>
      </c>
      <c r="G43">
        <v>2</v>
      </c>
      <c r="H43" t="s">
        <v>5899</v>
      </c>
      <c r="I43" t="s">
        <v>90</v>
      </c>
      <c r="J43" t="s">
        <v>5902</v>
      </c>
    </row>
    <row r="44" spans="1:10" ht="15" customHeight="1" x14ac:dyDescent="0.25">
      <c r="A44" t="s">
        <v>5903</v>
      </c>
      <c r="B44" t="s">
        <v>41</v>
      </c>
      <c r="C44" t="s">
        <v>5775</v>
      </c>
      <c r="D44">
        <v>0</v>
      </c>
      <c r="E44" t="s">
        <v>5904</v>
      </c>
      <c r="F44" t="s">
        <v>5905</v>
      </c>
      <c r="G44">
        <v>0</v>
      </c>
      <c r="H44" t="s">
        <v>5903</v>
      </c>
      <c r="I44" t="s">
        <v>90</v>
      </c>
      <c r="J44" t="s">
        <v>5788</v>
      </c>
    </row>
    <row r="45" spans="1:10" ht="15" customHeight="1" x14ac:dyDescent="0.25">
      <c r="A45" t="s">
        <v>5906</v>
      </c>
      <c r="B45" t="s">
        <v>41</v>
      </c>
      <c r="C45" t="s">
        <v>5775</v>
      </c>
      <c r="D45">
        <v>0</v>
      </c>
      <c r="E45" t="s">
        <v>5907</v>
      </c>
      <c r="F45" t="s">
        <v>5908</v>
      </c>
      <c r="G45">
        <v>0</v>
      </c>
      <c r="H45" t="s">
        <v>5906</v>
      </c>
      <c r="I45" t="s">
        <v>90</v>
      </c>
      <c r="J45" t="s">
        <v>5909</v>
      </c>
    </row>
    <row r="46" spans="1:10" ht="15" customHeight="1" x14ac:dyDescent="0.25">
      <c r="A46" t="s">
        <v>5463</v>
      </c>
      <c r="B46" t="s">
        <v>41</v>
      </c>
      <c r="C46" t="s">
        <v>5775</v>
      </c>
      <c r="D46">
        <v>1</v>
      </c>
      <c r="E46" t="s">
        <v>5910</v>
      </c>
      <c r="F46" t="s">
        <v>5911</v>
      </c>
      <c r="G46">
        <v>1</v>
      </c>
      <c r="H46" t="s">
        <v>5463</v>
      </c>
      <c r="I46" t="s">
        <v>90</v>
      </c>
      <c r="J46" t="s">
        <v>5912</v>
      </c>
    </row>
    <row r="47" spans="1:10" ht="15" customHeight="1" x14ac:dyDescent="0.25">
      <c r="A47" t="s">
        <v>5913</v>
      </c>
      <c r="B47" t="s">
        <v>41</v>
      </c>
      <c r="C47" t="s">
        <v>5413</v>
      </c>
      <c r="D47">
        <v>1</v>
      </c>
      <c r="E47" t="s">
        <v>5914</v>
      </c>
      <c r="F47" t="s">
        <v>5915</v>
      </c>
      <c r="G47">
        <v>1</v>
      </c>
      <c r="H47" t="s">
        <v>5916</v>
      </c>
      <c r="I47" t="s">
        <v>90</v>
      </c>
      <c r="J47" t="s">
        <v>5770</v>
      </c>
    </row>
    <row r="48" spans="1:10" ht="15" customHeight="1" x14ac:dyDescent="0.25">
      <c r="A48" t="s">
        <v>5917</v>
      </c>
      <c r="B48" t="s">
        <v>41</v>
      </c>
      <c r="C48" t="s">
        <v>5775</v>
      </c>
      <c r="D48">
        <v>2</v>
      </c>
      <c r="E48" t="s">
        <v>5918</v>
      </c>
      <c r="F48" t="s">
        <v>5919</v>
      </c>
      <c r="G48">
        <v>2</v>
      </c>
      <c r="H48" t="s">
        <v>5917</v>
      </c>
      <c r="I48" t="s">
        <v>90</v>
      </c>
      <c r="J48" t="s">
        <v>5920</v>
      </c>
    </row>
    <row r="49" spans="1:10" ht="15" customHeight="1" x14ac:dyDescent="0.25">
      <c r="A49" t="s">
        <v>5921</v>
      </c>
      <c r="B49" t="s">
        <v>4350</v>
      </c>
      <c r="C49" t="s">
        <v>4297</v>
      </c>
      <c r="D49" t="s">
        <v>4039</v>
      </c>
      <c r="E49" t="s">
        <v>5922</v>
      </c>
      <c r="F49" t="s">
        <v>3468</v>
      </c>
      <c r="G49" t="s">
        <v>3468</v>
      </c>
      <c r="H49" t="s">
        <v>5921</v>
      </c>
      <c r="I49" t="s">
        <v>90</v>
      </c>
      <c r="J49" t="s">
        <v>5923</v>
      </c>
    </row>
    <row r="50" spans="1:10" ht="15" customHeight="1" x14ac:dyDescent="0.25">
      <c r="A50" t="s">
        <v>5921</v>
      </c>
      <c r="B50" t="s">
        <v>41</v>
      </c>
      <c r="C50" t="s">
        <v>5494</v>
      </c>
      <c r="D50">
        <v>1</v>
      </c>
      <c r="E50" t="s">
        <v>5924</v>
      </c>
      <c r="F50" t="s">
        <v>5925</v>
      </c>
      <c r="G50">
        <v>1</v>
      </c>
      <c r="H50" t="s">
        <v>5921</v>
      </c>
      <c r="I50" t="s">
        <v>5926</v>
      </c>
      <c r="J50" t="s">
        <v>5927</v>
      </c>
    </row>
    <row r="51" spans="1:10" ht="15" customHeight="1" x14ac:dyDescent="0.25">
      <c r="A51" t="s">
        <v>5928</v>
      </c>
      <c r="B51" t="s">
        <v>3531</v>
      </c>
      <c r="C51" t="s">
        <v>4650</v>
      </c>
      <c r="D51">
        <v>1</v>
      </c>
      <c r="E51" t="s">
        <v>5929</v>
      </c>
      <c r="F51" t="s">
        <v>5930</v>
      </c>
      <c r="G51">
        <v>1</v>
      </c>
      <c r="H51" t="s">
        <v>5928</v>
      </c>
      <c r="I51" t="s">
        <v>90</v>
      </c>
      <c r="J51" t="s">
        <v>5788</v>
      </c>
    </row>
    <row r="52" spans="1:10" ht="15" customHeight="1" x14ac:dyDescent="0.25">
      <c r="A52" t="s">
        <v>5931</v>
      </c>
      <c r="B52" t="s">
        <v>3531</v>
      </c>
      <c r="C52" t="s">
        <v>5413</v>
      </c>
      <c r="D52">
        <v>0</v>
      </c>
      <c r="E52" t="s">
        <v>5932</v>
      </c>
      <c r="F52" t="s">
        <v>5933</v>
      </c>
      <c r="G52">
        <v>0</v>
      </c>
      <c r="H52" t="s">
        <v>5931</v>
      </c>
      <c r="I52" t="s">
        <v>90</v>
      </c>
      <c r="J52" t="s">
        <v>5934</v>
      </c>
    </row>
    <row r="53" spans="1:10" ht="15" customHeight="1" x14ac:dyDescent="0.25">
      <c r="A53" t="s">
        <v>5232</v>
      </c>
      <c r="B53" t="s">
        <v>3519</v>
      </c>
      <c r="C53" t="s">
        <v>5413</v>
      </c>
      <c r="D53">
        <v>2</v>
      </c>
      <c r="E53" t="s">
        <v>5935</v>
      </c>
      <c r="F53" t="s">
        <v>5936</v>
      </c>
      <c r="G53">
        <v>2</v>
      </c>
      <c r="H53" t="s">
        <v>5234</v>
      </c>
      <c r="I53" t="s">
        <v>90</v>
      </c>
      <c r="J53" t="s">
        <v>5937</v>
      </c>
    </row>
    <row r="54" spans="1:10" ht="15" customHeight="1" x14ac:dyDescent="0.25">
      <c r="A54" t="s">
        <v>5938</v>
      </c>
      <c r="B54" t="s">
        <v>3519</v>
      </c>
      <c r="C54" t="s">
        <v>4650</v>
      </c>
      <c r="D54">
        <v>3</v>
      </c>
      <c r="E54" t="s">
        <v>5939</v>
      </c>
      <c r="F54" t="s">
        <v>5939</v>
      </c>
      <c r="G54">
        <v>2</v>
      </c>
      <c r="H54" t="s">
        <v>5938</v>
      </c>
      <c r="I54" t="s">
        <v>90</v>
      </c>
      <c r="J54" t="s">
        <v>5825</v>
      </c>
    </row>
    <row r="55" spans="1:10" ht="15" customHeight="1" x14ac:dyDescent="0.25">
      <c r="A55" t="s">
        <v>5940</v>
      </c>
      <c r="B55" t="s">
        <v>3531</v>
      </c>
      <c r="C55" t="s">
        <v>5413</v>
      </c>
      <c r="D55">
        <v>2</v>
      </c>
      <c r="E55" t="s">
        <v>5941</v>
      </c>
      <c r="F55" t="s">
        <v>5942</v>
      </c>
      <c r="G55">
        <v>2</v>
      </c>
      <c r="H55" t="s">
        <v>5943</v>
      </c>
      <c r="I55" t="s">
        <v>90</v>
      </c>
      <c r="J55" t="s">
        <v>5937</v>
      </c>
    </row>
    <row r="56" spans="1:10" ht="15" customHeight="1" x14ac:dyDescent="0.25">
      <c r="A56" t="s">
        <v>5944</v>
      </c>
      <c r="B56" t="s">
        <v>3519</v>
      </c>
      <c r="C56" t="s">
        <v>5494</v>
      </c>
      <c r="D56">
        <v>1</v>
      </c>
      <c r="E56" t="s">
        <v>5924</v>
      </c>
      <c r="F56" t="s">
        <v>5925</v>
      </c>
      <c r="G56">
        <v>1</v>
      </c>
      <c r="H56" t="s">
        <v>5944</v>
      </c>
      <c r="I56" t="s">
        <v>5926</v>
      </c>
      <c r="J56" t="s">
        <v>5927</v>
      </c>
    </row>
    <row r="57" spans="1:10" ht="15" customHeight="1" x14ac:dyDescent="0.25">
      <c r="A57" t="s">
        <v>5945</v>
      </c>
      <c r="B57" t="s">
        <v>41</v>
      </c>
      <c r="C57" t="s">
        <v>5775</v>
      </c>
      <c r="D57">
        <v>1</v>
      </c>
      <c r="E57" t="s">
        <v>5946</v>
      </c>
      <c r="F57" t="s">
        <v>5947</v>
      </c>
      <c r="G57">
        <v>1</v>
      </c>
      <c r="H57" t="s">
        <v>5948</v>
      </c>
      <c r="I57" t="s">
        <v>90</v>
      </c>
      <c r="J57" t="s">
        <v>5949</v>
      </c>
    </row>
    <row r="58" spans="1:10" ht="15" customHeight="1" x14ac:dyDescent="0.25">
      <c r="A58" t="s">
        <v>5950</v>
      </c>
      <c r="B58" t="s">
        <v>41</v>
      </c>
      <c r="C58" t="s">
        <v>5775</v>
      </c>
      <c r="D58">
        <v>1</v>
      </c>
      <c r="E58" t="s">
        <v>5951</v>
      </c>
      <c r="F58" t="s">
        <v>5952</v>
      </c>
      <c r="G58">
        <v>1</v>
      </c>
      <c r="H58" t="s">
        <v>5953</v>
      </c>
      <c r="I58" t="s">
        <v>90</v>
      </c>
      <c r="J58" t="s">
        <v>5954</v>
      </c>
    </row>
    <row r="59" spans="1:10" ht="15" customHeight="1" x14ac:dyDescent="0.25">
      <c r="A59" t="s">
        <v>5955</v>
      </c>
      <c r="B59" t="s">
        <v>3531</v>
      </c>
      <c r="C59" t="s">
        <v>4650</v>
      </c>
      <c r="D59">
        <v>2</v>
      </c>
      <c r="E59" t="s">
        <v>5956</v>
      </c>
      <c r="F59" t="s">
        <v>5956</v>
      </c>
      <c r="G59">
        <v>1</v>
      </c>
      <c r="H59" t="s">
        <v>5957</v>
      </c>
      <c r="I59" t="s">
        <v>90</v>
      </c>
      <c r="J59" t="s">
        <v>5883</v>
      </c>
    </row>
    <row r="60" spans="1:10" ht="15" customHeight="1" x14ac:dyDescent="0.25">
      <c r="A60" t="s">
        <v>3453</v>
      </c>
      <c r="B60" t="s">
        <v>3531</v>
      </c>
      <c r="C60" t="s">
        <v>5775</v>
      </c>
      <c r="D60">
        <v>2</v>
      </c>
      <c r="E60" t="s">
        <v>5958</v>
      </c>
      <c r="F60" t="s">
        <v>5959</v>
      </c>
      <c r="G60">
        <v>2</v>
      </c>
      <c r="H60" t="s">
        <v>3453</v>
      </c>
      <c r="I60" t="s">
        <v>90</v>
      </c>
      <c r="J60" t="s">
        <v>5960</v>
      </c>
    </row>
    <row r="61" spans="1:10" ht="15" customHeight="1" x14ac:dyDescent="0.25">
      <c r="A61" t="s">
        <v>5961</v>
      </c>
      <c r="B61" t="s">
        <v>4350</v>
      </c>
      <c r="C61" t="s">
        <v>3675</v>
      </c>
      <c r="D61" t="s">
        <v>4039</v>
      </c>
      <c r="E61" t="s">
        <v>5962</v>
      </c>
      <c r="F61" t="s">
        <v>3468</v>
      </c>
      <c r="G61" t="s">
        <v>4039</v>
      </c>
      <c r="H61" t="s">
        <v>5961</v>
      </c>
      <c r="I61" t="s">
        <v>90</v>
      </c>
    </row>
    <row r="62" spans="1:10" ht="15" customHeight="1" x14ac:dyDescent="0.25">
      <c r="A62" t="s">
        <v>5963</v>
      </c>
      <c r="B62" t="s">
        <v>41</v>
      </c>
      <c r="C62" t="s">
        <v>5413</v>
      </c>
      <c r="D62">
        <v>1</v>
      </c>
      <c r="E62" t="s">
        <v>5964</v>
      </c>
      <c r="F62" t="s">
        <v>5965</v>
      </c>
      <c r="G62">
        <v>1</v>
      </c>
      <c r="H62" t="s">
        <v>5966</v>
      </c>
      <c r="I62" t="s">
        <v>90</v>
      </c>
      <c r="J62" t="s">
        <v>5866</v>
      </c>
    </row>
    <row r="63" spans="1:10" ht="15" customHeight="1" x14ac:dyDescent="0.25">
      <c r="A63" t="s">
        <v>4311</v>
      </c>
      <c r="B63" t="s">
        <v>4350</v>
      </c>
      <c r="C63" t="s">
        <v>4297</v>
      </c>
      <c r="D63" t="s">
        <v>4039</v>
      </c>
      <c r="E63" t="s">
        <v>5967</v>
      </c>
      <c r="F63" t="s">
        <v>3468</v>
      </c>
      <c r="G63" t="s">
        <v>3468</v>
      </c>
      <c r="H63" t="s">
        <v>4311</v>
      </c>
      <c r="I63" t="s">
        <v>90</v>
      </c>
      <c r="J63" t="s">
        <v>5923</v>
      </c>
    </row>
    <row r="64" spans="1:10" ht="15" customHeight="1" x14ac:dyDescent="0.25">
      <c r="A64" t="s">
        <v>5968</v>
      </c>
      <c r="B64" t="s">
        <v>3564</v>
      </c>
      <c r="C64" t="s">
        <v>5413</v>
      </c>
      <c r="D64">
        <v>1</v>
      </c>
      <c r="E64" t="s">
        <v>5969</v>
      </c>
      <c r="F64" t="s">
        <v>5970</v>
      </c>
      <c r="G64">
        <v>1</v>
      </c>
      <c r="H64" t="s">
        <v>3468</v>
      </c>
      <c r="I64" t="s">
        <v>3468</v>
      </c>
    </row>
    <row r="65" spans="1:10" ht="15" customHeight="1" x14ac:dyDescent="0.25">
      <c r="A65" t="s">
        <v>5971</v>
      </c>
      <c r="B65" t="s">
        <v>41</v>
      </c>
      <c r="C65" t="s">
        <v>5494</v>
      </c>
      <c r="D65">
        <v>1</v>
      </c>
      <c r="E65" t="s">
        <v>5924</v>
      </c>
      <c r="F65" t="s">
        <v>5925</v>
      </c>
      <c r="G65">
        <v>1</v>
      </c>
      <c r="H65" t="s">
        <v>5971</v>
      </c>
      <c r="I65" t="s">
        <v>5926</v>
      </c>
      <c r="J65" t="s">
        <v>5972</v>
      </c>
    </row>
    <row r="66" spans="1:10" ht="15" customHeight="1" x14ac:dyDescent="0.25">
      <c r="A66" t="s">
        <v>5973</v>
      </c>
      <c r="B66" t="s">
        <v>41</v>
      </c>
      <c r="C66" t="s">
        <v>5413</v>
      </c>
      <c r="D66">
        <v>0</v>
      </c>
      <c r="E66" t="s">
        <v>5974</v>
      </c>
      <c r="F66" t="s">
        <v>5975</v>
      </c>
      <c r="G66">
        <v>0</v>
      </c>
      <c r="H66" t="s">
        <v>5973</v>
      </c>
      <c r="I66" t="s">
        <v>90</v>
      </c>
      <c r="J66" t="s">
        <v>5770</v>
      </c>
    </row>
    <row r="67" spans="1:10" ht="15" customHeight="1" x14ac:dyDescent="0.25">
      <c r="A67" t="s">
        <v>5976</v>
      </c>
      <c r="B67" t="s">
        <v>3519</v>
      </c>
      <c r="C67" t="s">
        <v>4650</v>
      </c>
      <c r="D67">
        <v>3</v>
      </c>
      <c r="E67" t="s">
        <v>5977</v>
      </c>
      <c r="F67" t="s">
        <v>5978</v>
      </c>
      <c r="G67">
        <v>3</v>
      </c>
      <c r="H67" t="s">
        <v>5979</v>
      </c>
      <c r="I67" t="s">
        <v>90</v>
      </c>
      <c r="J67" t="s">
        <v>5980</v>
      </c>
    </row>
    <row r="68" spans="1:10" ht="15" customHeight="1" x14ac:dyDescent="0.25">
      <c r="A68" t="s">
        <v>4635</v>
      </c>
      <c r="B68" t="s">
        <v>3531</v>
      </c>
      <c r="C68" t="s">
        <v>5775</v>
      </c>
      <c r="D68">
        <v>0</v>
      </c>
      <c r="E68" t="s">
        <v>5981</v>
      </c>
      <c r="F68" t="s">
        <v>5981</v>
      </c>
      <c r="G68">
        <v>1</v>
      </c>
      <c r="H68" t="s">
        <v>4635</v>
      </c>
      <c r="I68" t="s">
        <v>1622</v>
      </c>
      <c r="J68" t="s">
        <v>5808</v>
      </c>
    </row>
    <row r="69" spans="1:10" ht="15" customHeight="1" x14ac:dyDescent="0.25">
      <c r="A69" t="s">
        <v>5982</v>
      </c>
      <c r="B69" t="s">
        <v>3519</v>
      </c>
      <c r="C69" t="s">
        <v>5775</v>
      </c>
      <c r="D69">
        <v>1</v>
      </c>
      <c r="E69" t="s">
        <v>5983</v>
      </c>
      <c r="F69" t="s">
        <v>5984</v>
      </c>
      <c r="G69">
        <v>1</v>
      </c>
      <c r="H69" t="s">
        <v>5985</v>
      </c>
      <c r="I69" t="s">
        <v>90</v>
      </c>
      <c r="J69" t="s">
        <v>5986</v>
      </c>
    </row>
    <row r="70" spans="1:10" ht="15" customHeight="1" x14ac:dyDescent="0.25">
      <c r="A70" t="s">
        <v>5987</v>
      </c>
      <c r="B70" t="s">
        <v>3531</v>
      </c>
      <c r="C70" t="s">
        <v>5413</v>
      </c>
      <c r="D70">
        <v>1</v>
      </c>
      <c r="E70" t="s">
        <v>5988</v>
      </c>
      <c r="F70" t="s">
        <v>5989</v>
      </c>
      <c r="G70">
        <v>1</v>
      </c>
      <c r="H70" t="s">
        <v>5987</v>
      </c>
      <c r="I70" t="s">
        <v>90</v>
      </c>
      <c r="J70" t="s">
        <v>5990</v>
      </c>
    </row>
    <row r="71" spans="1:10" ht="15" customHeight="1" x14ac:dyDescent="0.25">
      <c r="A71" t="s">
        <v>5991</v>
      </c>
      <c r="B71" t="s">
        <v>3531</v>
      </c>
      <c r="C71" t="s">
        <v>5413</v>
      </c>
      <c r="D71">
        <v>1</v>
      </c>
      <c r="E71" t="s">
        <v>5992</v>
      </c>
      <c r="F71" t="s">
        <v>5992</v>
      </c>
      <c r="G71">
        <v>0</v>
      </c>
      <c r="H71" t="s">
        <v>5991</v>
      </c>
      <c r="I71" t="s">
        <v>90</v>
      </c>
      <c r="J71" t="s">
        <v>5993</v>
      </c>
    </row>
    <row r="72" spans="1:10" ht="15" customHeight="1" x14ac:dyDescent="0.25">
      <c r="A72" t="s">
        <v>5994</v>
      </c>
      <c r="B72" t="s">
        <v>41</v>
      </c>
      <c r="C72" t="s">
        <v>5413</v>
      </c>
      <c r="D72">
        <v>1</v>
      </c>
      <c r="E72" t="s">
        <v>5995</v>
      </c>
      <c r="F72" t="s">
        <v>5996</v>
      </c>
      <c r="G72">
        <v>1</v>
      </c>
      <c r="H72" t="s">
        <v>5997</v>
      </c>
      <c r="I72" t="s">
        <v>90</v>
      </c>
      <c r="J72" t="s">
        <v>5770</v>
      </c>
    </row>
    <row r="73" spans="1:10" ht="15" customHeight="1" x14ac:dyDescent="0.25">
      <c r="A73" t="s">
        <v>5998</v>
      </c>
      <c r="B73" t="s">
        <v>3519</v>
      </c>
      <c r="C73" t="s">
        <v>5413</v>
      </c>
      <c r="D73" t="s">
        <v>5999</v>
      </c>
      <c r="E73" t="s">
        <v>6000</v>
      </c>
      <c r="F73" t="s">
        <v>6001</v>
      </c>
      <c r="G73" t="s">
        <v>5999</v>
      </c>
      <c r="H73" t="s">
        <v>5998</v>
      </c>
      <c r="I73" t="s">
        <v>90</v>
      </c>
      <c r="J73" t="s">
        <v>6002</v>
      </c>
    </row>
    <row r="74" spans="1:10" ht="15" customHeight="1" x14ac:dyDescent="0.25">
      <c r="A74" t="s">
        <v>5417</v>
      </c>
      <c r="B74" t="s">
        <v>3519</v>
      </c>
      <c r="C74" t="s">
        <v>5413</v>
      </c>
      <c r="D74">
        <v>1</v>
      </c>
      <c r="E74" t="s">
        <v>6003</v>
      </c>
      <c r="F74" t="s">
        <v>6004</v>
      </c>
      <c r="G74">
        <v>1</v>
      </c>
      <c r="H74" t="s">
        <v>5419</v>
      </c>
      <c r="I74" t="s">
        <v>90</v>
      </c>
      <c r="J74" t="s">
        <v>6005</v>
      </c>
    </row>
    <row r="75" spans="1:10" ht="15" customHeight="1" x14ac:dyDescent="0.25">
      <c r="A75" t="s">
        <v>6006</v>
      </c>
      <c r="B75" t="s">
        <v>4350</v>
      </c>
      <c r="C75" t="s">
        <v>4297</v>
      </c>
      <c r="D75" t="s">
        <v>4039</v>
      </c>
      <c r="E75" t="s">
        <v>6007</v>
      </c>
      <c r="F75" t="s">
        <v>3468</v>
      </c>
      <c r="G75" t="s">
        <v>3468</v>
      </c>
      <c r="H75" t="s">
        <v>6006</v>
      </c>
      <c r="I75" t="s">
        <v>90</v>
      </c>
      <c r="J75" t="s">
        <v>5923</v>
      </c>
    </row>
    <row r="76" spans="1:10" ht="15" customHeight="1" x14ac:dyDescent="0.25">
      <c r="A76" t="s">
        <v>6008</v>
      </c>
      <c r="B76" t="s">
        <v>3531</v>
      </c>
      <c r="C76" t="s">
        <v>5775</v>
      </c>
      <c r="D76">
        <v>1</v>
      </c>
      <c r="E76" t="s">
        <v>6009</v>
      </c>
      <c r="F76" t="s">
        <v>6010</v>
      </c>
      <c r="G76">
        <v>1</v>
      </c>
      <c r="H76" t="s">
        <v>6008</v>
      </c>
      <c r="I76" t="s">
        <v>90</v>
      </c>
      <c r="J76" t="s">
        <v>6011</v>
      </c>
    </row>
    <row r="77" spans="1:10" ht="15" customHeight="1" x14ac:dyDescent="0.25">
      <c r="A77" t="s">
        <v>6012</v>
      </c>
      <c r="B77" t="s">
        <v>3531</v>
      </c>
      <c r="C77" t="s">
        <v>5494</v>
      </c>
      <c r="D77">
        <v>1</v>
      </c>
      <c r="E77" t="s">
        <v>6013</v>
      </c>
      <c r="F77" t="s">
        <v>6014</v>
      </c>
      <c r="G77">
        <v>1</v>
      </c>
      <c r="H77" t="s">
        <v>6012</v>
      </c>
      <c r="I77" t="s">
        <v>5926</v>
      </c>
      <c r="J77" t="s">
        <v>6015</v>
      </c>
    </row>
    <row r="78" spans="1:10" ht="15" customHeight="1" x14ac:dyDescent="0.25">
      <c r="A78" t="s">
        <v>6016</v>
      </c>
      <c r="B78" t="s">
        <v>3531</v>
      </c>
      <c r="C78" t="s">
        <v>5413</v>
      </c>
      <c r="D78">
        <v>1</v>
      </c>
      <c r="E78" t="s">
        <v>6017</v>
      </c>
      <c r="F78" t="s">
        <v>6018</v>
      </c>
      <c r="G78">
        <v>1</v>
      </c>
      <c r="H78" t="s">
        <v>6019</v>
      </c>
      <c r="I78" t="s">
        <v>90</v>
      </c>
      <c r="J78" t="s">
        <v>5816</v>
      </c>
    </row>
    <row r="79" spans="1:10" ht="15" customHeight="1" x14ac:dyDescent="0.25">
      <c r="A79" t="s">
        <v>6020</v>
      </c>
      <c r="B79" t="s">
        <v>3531</v>
      </c>
      <c r="C79" t="s">
        <v>5775</v>
      </c>
      <c r="D79">
        <v>0</v>
      </c>
      <c r="E79" t="s">
        <v>6021</v>
      </c>
      <c r="F79" t="s">
        <v>6022</v>
      </c>
      <c r="G79">
        <v>0</v>
      </c>
      <c r="H79" t="s">
        <v>6023</v>
      </c>
      <c r="I79" t="s">
        <v>90</v>
      </c>
      <c r="J79" t="s">
        <v>5830</v>
      </c>
    </row>
    <row r="80" spans="1:10" ht="15" customHeight="1" x14ac:dyDescent="0.25">
      <c r="A80" t="s">
        <v>6024</v>
      </c>
      <c r="B80" t="s">
        <v>3531</v>
      </c>
      <c r="C80" t="s">
        <v>5413</v>
      </c>
      <c r="D80">
        <v>2</v>
      </c>
      <c r="E80" t="s">
        <v>6025</v>
      </c>
      <c r="F80" t="s">
        <v>6025</v>
      </c>
      <c r="G80">
        <v>1</v>
      </c>
      <c r="H80" t="s">
        <v>6024</v>
      </c>
      <c r="I80" t="s">
        <v>90</v>
      </c>
      <c r="J80" t="s">
        <v>5792</v>
      </c>
    </row>
    <row r="81" spans="1:10" ht="15" customHeight="1" x14ac:dyDescent="0.25">
      <c r="A81" t="s">
        <v>5249</v>
      </c>
      <c r="B81" t="s">
        <v>3519</v>
      </c>
      <c r="C81" t="s">
        <v>4650</v>
      </c>
      <c r="D81">
        <v>2</v>
      </c>
      <c r="E81" t="s">
        <v>6026</v>
      </c>
      <c r="F81" t="s">
        <v>6026</v>
      </c>
      <c r="G81">
        <v>1</v>
      </c>
      <c r="H81" t="s">
        <v>5249</v>
      </c>
      <c r="I81" t="s">
        <v>90</v>
      </c>
      <c r="J81" t="s">
        <v>5902</v>
      </c>
    </row>
    <row r="82" spans="1:10" ht="15" customHeight="1" x14ac:dyDescent="0.25">
      <c r="A82" t="s">
        <v>6027</v>
      </c>
      <c r="B82" t="s">
        <v>3531</v>
      </c>
      <c r="C82" t="s">
        <v>5413</v>
      </c>
      <c r="D82">
        <v>0</v>
      </c>
      <c r="E82" t="s">
        <v>6028</v>
      </c>
      <c r="F82" t="s">
        <v>6029</v>
      </c>
      <c r="G82">
        <v>0</v>
      </c>
      <c r="H82" t="s">
        <v>6030</v>
      </c>
      <c r="I82" t="s">
        <v>90</v>
      </c>
      <c r="J82" t="s">
        <v>6031</v>
      </c>
    </row>
    <row r="83" spans="1:10" ht="15" customHeight="1" x14ac:dyDescent="0.25">
      <c r="A83" t="s">
        <v>6032</v>
      </c>
      <c r="B83" t="s">
        <v>3531</v>
      </c>
      <c r="C83" t="s">
        <v>5775</v>
      </c>
      <c r="D83">
        <v>3</v>
      </c>
      <c r="E83" t="s">
        <v>6033</v>
      </c>
      <c r="F83" t="s">
        <v>6034</v>
      </c>
      <c r="G83">
        <v>3</v>
      </c>
      <c r="H83" t="s">
        <v>6032</v>
      </c>
      <c r="I83" t="s">
        <v>90</v>
      </c>
      <c r="J83" t="s">
        <v>6035</v>
      </c>
    </row>
    <row r="84" spans="1:10" ht="15" customHeight="1" x14ac:dyDescent="0.25">
      <c r="A84" t="s">
        <v>5251</v>
      </c>
      <c r="B84" t="s">
        <v>3531</v>
      </c>
      <c r="C84" t="s">
        <v>4650</v>
      </c>
      <c r="D84">
        <v>1</v>
      </c>
      <c r="E84" t="s">
        <v>6036</v>
      </c>
      <c r="F84" t="s">
        <v>6037</v>
      </c>
      <c r="G84">
        <v>1</v>
      </c>
      <c r="H84" t="s">
        <v>5251</v>
      </c>
      <c r="I84" t="s">
        <v>90</v>
      </c>
      <c r="J84" t="s">
        <v>6038</v>
      </c>
    </row>
    <row r="85" spans="1:10" ht="15" customHeight="1" x14ac:dyDescent="0.25">
      <c r="A85" t="s">
        <v>6039</v>
      </c>
      <c r="B85" t="s">
        <v>3519</v>
      </c>
      <c r="C85" t="s">
        <v>5413</v>
      </c>
      <c r="D85">
        <v>1</v>
      </c>
      <c r="E85" t="s">
        <v>6040</v>
      </c>
      <c r="F85" t="s">
        <v>6040</v>
      </c>
      <c r="G85">
        <v>0</v>
      </c>
      <c r="H85" t="s">
        <v>6039</v>
      </c>
      <c r="I85" t="s">
        <v>90</v>
      </c>
      <c r="J85" t="s">
        <v>6041</v>
      </c>
    </row>
    <row r="86" spans="1:10" ht="15" customHeight="1" x14ac:dyDescent="0.25">
      <c r="A86" t="s">
        <v>6042</v>
      </c>
      <c r="B86" t="s">
        <v>3531</v>
      </c>
      <c r="C86" t="s">
        <v>5413</v>
      </c>
      <c r="D86">
        <v>1</v>
      </c>
      <c r="E86" t="s">
        <v>6043</v>
      </c>
      <c r="F86" t="s">
        <v>6044</v>
      </c>
      <c r="G86">
        <v>1</v>
      </c>
      <c r="H86" t="s">
        <v>6042</v>
      </c>
      <c r="I86" t="s">
        <v>90</v>
      </c>
      <c r="J86" t="s">
        <v>6045</v>
      </c>
    </row>
    <row r="87" spans="1:10" ht="15" customHeight="1" x14ac:dyDescent="0.25">
      <c r="A87" t="s">
        <v>6046</v>
      </c>
      <c r="B87" t="s">
        <v>3519</v>
      </c>
      <c r="C87" t="s">
        <v>5775</v>
      </c>
      <c r="D87">
        <v>1</v>
      </c>
      <c r="E87" t="s">
        <v>6047</v>
      </c>
      <c r="F87" t="s">
        <v>6048</v>
      </c>
      <c r="G87">
        <v>1</v>
      </c>
      <c r="H87" t="s">
        <v>6046</v>
      </c>
      <c r="I87" t="s">
        <v>90</v>
      </c>
      <c r="J87" t="s">
        <v>6049</v>
      </c>
    </row>
    <row r="88" spans="1:10" ht="15" customHeight="1" x14ac:dyDescent="0.25">
      <c r="A88" t="s">
        <v>5259</v>
      </c>
      <c r="B88" t="s">
        <v>3531</v>
      </c>
      <c r="C88" t="s">
        <v>4650</v>
      </c>
      <c r="D88">
        <v>1</v>
      </c>
      <c r="E88" t="s">
        <v>6050</v>
      </c>
      <c r="F88" t="s">
        <v>6051</v>
      </c>
      <c r="G88">
        <v>1</v>
      </c>
      <c r="H88" t="s">
        <v>5261</v>
      </c>
      <c r="I88" t="s">
        <v>90</v>
      </c>
      <c r="J88" t="s">
        <v>6052</v>
      </c>
    </row>
    <row r="89" spans="1:10" ht="15" customHeight="1" x14ac:dyDescent="0.25">
      <c r="A89" t="s">
        <v>6053</v>
      </c>
      <c r="B89" t="s">
        <v>3519</v>
      </c>
      <c r="C89" t="s">
        <v>5775</v>
      </c>
      <c r="D89">
        <v>2</v>
      </c>
      <c r="E89" t="s">
        <v>6054</v>
      </c>
      <c r="F89" t="s">
        <v>6055</v>
      </c>
      <c r="G89">
        <v>2</v>
      </c>
      <c r="H89" t="s">
        <v>6056</v>
      </c>
      <c r="I89" t="s">
        <v>90</v>
      </c>
      <c r="J89" t="s">
        <v>6057</v>
      </c>
    </row>
    <row r="90" spans="1:10" ht="15" customHeight="1" x14ac:dyDescent="0.25">
      <c r="A90" t="s">
        <v>6058</v>
      </c>
      <c r="B90" t="s">
        <v>41</v>
      </c>
      <c r="C90" t="s">
        <v>5494</v>
      </c>
      <c r="D90">
        <v>1</v>
      </c>
      <c r="E90" t="s">
        <v>5924</v>
      </c>
      <c r="F90" t="s">
        <v>5925</v>
      </c>
      <c r="G90">
        <v>1</v>
      </c>
      <c r="H90" t="s">
        <v>6058</v>
      </c>
      <c r="I90" t="s">
        <v>2362</v>
      </c>
      <c r="J90" t="s">
        <v>6059</v>
      </c>
    </row>
    <row r="91" spans="1:10" ht="15" customHeight="1" x14ac:dyDescent="0.25">
      <c r="A91" t="s">
        <v>6060</v>
      </c>
      <c r="B91" t="s">
        <v>3531</v>
      </c>
      <c r="C91" t="s">
        <v>5775</v>
      </c>
      <c r="D91">
        <v>1</v>
      </c>
      <c r="E91" t="s">
        <v>6061</v>
      </c>
      <c r="F91" t="s">
        <v>6062</v>
      </c>
      <c r="G91">
        <v>1</v>
      </c>
      <c r="H91" t="s">
        <v>6060</v>
      </c>
      <c r="I91" t="s">
        <v>90</v>
      </c>
      <c r="J91" t="s">
        <v>5830</v>
      </c>
    </row>
    <row r="92" spans="1:10" ht="15" customHeight="1" x14ac:dyDescent="0.25">
      <c r="A92" t="s">
        <v>5262</v>
      </c>
      <c r="B92" t="s">
        <v>3531</v>
      </c>
      <c r="C92" t="s">
        <v>4650</v>
      </c>
      <c r="D92">
        <v>1</v>
      </c>
      <c r="E92" t="s">
        <v>6063</v>
      </c>
      <c r="F92" t="s">
        <v>6064</v>
      </c>
      <c r="G92">
        <v>1</v>
      </c>
      <c r="H92" t="s">
        <v>5264</v>
      </c>
      <c r="I92" t="s">
        <v>90</v>
      </c>
      <c r="J92" t="s">
        <v>6065</v>
      </c>
    </row>
    <row r="93" spans="1:10" ht="15" customHeight="1" x14ac:dyDescent="0.25">
      <c r="A93" t="s">
        <v>5265</v>
      </c>
      <c r="B93" t="s">
        <v>3531</v>
      </c>
      <c r="C93" t="s">
        <v>5413</v>
      </c>
      <c r="D93">
        <v>2</v>
      </c>
      <c r="E93" t="s">
        <v>6066</v>
      </c>
      <c r="F93" t="s">
        <v>6067</v>
      </c>
      <c r="G93">
        <v>2</v>
      </c>
      <c r="H93" t="s">
        <v>5267</v>
      </c>
      <c r="I93" t="s">
        <v>90</v>
      </c>
      <c r="J93" t="s">
        <v>5792</v>
      </c>
    </row>
    <row r="94" spans="1:10" ht="15" customHeight="1" x14ac:dyDescent="0.25">
      <c r="A94" t="s">
        <v>6068</v>
      </c>
      <c r="B94" t="s">
        <v>3531</v>
      </c>
      <c r="C94" t="s">
        <v>5775</v>
      </c>
      <c r="D94">
        <v>1</v>
      </c>
      <c r="E94" t="s">
        <v>6069</v>
      </c>
      <c r="F94" t="s">
        <v>6070</v>
      </c>
      <c r="G94">
        <v>1</v>
      </c>
      <c r="H94" t="s">
        <v>6068</v>
      </c>
      <c r="I94" t="s">
        <v>90</v>
      </c>
      <c r="J94" t="s">
        <v>5830</v>
      </c>
    </row>
    <row r="95" spans="1:10" ht="15" customHeight="1" x14ac:dyDescent="0.25">
      <c r="A95" t="s">
        <v>6071</v>
      </c>
      <c r="B95" t="s">
        <v>41</v>
      </c>
      <c r="C95" t="s">
        <v>5413</v>
      </c>
      <c r="D95">
        <v>0</v>
      </c>
      <c r="E95" t="s">
        <v>6072</v>
      </c>
      <c r="F95" t="s">
        <v>6073</v>
      </c>
      <c r="G95">
        <v>0</v>
      </c>
      <c r="H95" t="s">
        <v>6071</v>
      </c>
      <c r="I95" t="s">
        <v>90</v>
      </c>
      <c r="J95" t="s">
        <v>5788</v>
      </c>
    </row>
    <row r="96" spans="1:10" ht="15" customHeight="1" x14ac:dyDescent="0.25">
      <c r="A96" t="s">
        <v>6074</v>
      </c>
      <c r="B96" t="s">
        <v>41</v>
      </c>
      <c r="C96" t="s">
        <v>5775</v>
      </c>
      <c r="D96">
        <v>1</v>
      </c>
      <c r="E96" t="s">
        <v>6075</v>
      </c>
      <c r="F96" t="s">
        <v>6076</v>
      </c>
      <c r="G96">
        <v>1</v>
      </c>
      <c r="H96" t="s">
        <v>6077</v>
      </c>
      <c r="I96" t="s">
        <v>90</v>
      </c>
      <c r="J96" t="s">
        <v>6078</v>
      </c>
    </row>
    <row r="97" spans="1:10" ht="15" customHeight="1" x14ac:dyDescent="0.25">
      <c r="A97" t="s">
        <v>6079</v>
      </c>
      <c r="B97" t="s">
        <v>3531</v>
      </c>
      <c r="C97" t="s">
        <v>4650</v>
      </c>
      <c r="D97">
        <v>1</v>
      </c>
      <c r="E97" t="s">
        <v>5718</v>
      </c>
      <c r="F97" t="s">
        <v>6080</v>
      </c>
      <c r="G97">
        <v>1</v>
      </c>
      <c r="H97" t="s">
        <v>6079</v>
      </c>
      <c r="I97" t="s">
        <v>90</v>
      </c>
      <c r="J97" t="s">
        <v>5770</v>
      </c>
    </row>
    <row r="98" spans="1:10" ht="15" customHeight="1" x14ac:dyDescent="0.25">
      <c r="A98" t="s">
        <v>6081</v>
      </c>
      <c r="B98" t="s">
        <v>3531</v>
      </c>
      <c r="C98" t="s">
        <v>5494</v>
      </c>
      <c r="D98">
        <v>1</v>
      </c>
      <c r="E98" t="s">
        <v>5924</v>
      </c>
      <c r="F98" t="s">
        <v>5925</v>
      </c>
      <c r="G98">
        <v>1</v>
      </c>
      <c r="H98" t="s">
        <v>6081</v>
      </c>
      <c r="I98" t="s">
        <v>2362</v>
      </c>
      <c r="J98" t="s">
        <v>5927</v>
      </c>
    </row>
    <row r="99" spans="1:10" ht="15" customHeight="1" x14ac:dyDescent="0.25">
      <c r="A99" t="s">
        <v>6082</v>
      </c>
      <c r="B99" t="s">
        <v>3531</v>
      </c>
      <c r="C99" t="s">
        <v>5413</v>
      </c>
      <c r="D99">
        <v>1</v>
      </c>
      <c r="E99" t="s">
        <v>6083</v>
      </c>
      <c r="F99" t="s">
        <v>6084</v>
      </c>
      <c r="G99">
        <v>1</v>
      </c>
      <c r="H99" t="s">
        <v>6085</v>
      </c>
      <c r="I99" t="s">
        <v>90</v>
      </c>
      <c r="J99" t="s">
        <v>5792</v>
      </c>
    </row>
    <row r="100" spans="1:10" ht="15" customHeight="1" x14ac:dyDescent="0.25">
      <c r="A100" t="s">
        <v>6086</v>
      </c>
      <c r="B100" t="s">
        <v>3531</v>
      </c>
      <c r="C100" t="s">
        <v>5494</v>
      </c>
      <c r="D100">
        <v>1</v>
      </c>
      <c r="E100" t="s">
        <v>5924</v>
      </c>
      <c r="F100" t="s">
        <v>5925</v>
      </c>
      <c r="G100">
        <v>1</v>
      </c>
      <c r="H100" t="s">
        <v>6086</v>
      </c>
      <c r="I100" t="s">
        <v>2362</v>
      </c>
      <c r="J100" t="s">
        <v>6059</v>
      </c>
    </row>
    <row r="101" spans="1:10" ht="15" customHeight="1" x14ac:dyDescent="0.25">
      <c r="A101" t="s">
        <v>6087</v>
      </c>
      <c r="B101" t="s">
        <v>3519</v>
      </c>
      <c r="C101" t="s">
        <v>5775</v>
      </c>
      <c r="D101">
        <v>1</v>
      </c>
      <c r="E101" t="s">
        <v>6088</v>
      </c>
      <c r="F101" t="s">
        <v>6089</v>
      </c>
      <c r="G101">
        <v>1</v>
      </c>
      <c r="H101" t="s">
        <v>6090</v>
      </c>
      <c r="I101" t="s">
        <v>90</v>
      </c>
      <c r="J101" t="s">
        <v>5830</v>
      </c>
    </row>
    <row r="102" spans="1:10" ht="15" customHeight="1" x14ac:dyDescent="0.25">
      <c r="A102" t="s">
        <v>6091</v>
      </c>
      <c r="B102" t="s">
        <v>41</v>
      </c>
      <c r="C102" t="s">
        <v>5775</v>
      </c>
      <c r="D102">
        <v>0</v>
      </c>
      <c r="E102" t="s">
        <v>6092</v>
      </c>
      <c r="F102" t="s">
        <v>6093</v>
      </c>
      <c r="G102">
        <v>0</v>
      </c>
      <c r="H102" t="s">
        <v>6094</v>
      </c>
      <c r="I102" t="s">
        <v>90</v>
      </c>
      <c r="J102" t="s">
        <v>5821</v>
      </c>
    </row>
    <row r="103" spans="1:10" ht="15" customHeight="1" x14ac:dyDescent="0.25">
      <c r="A103" t="s">
        <v>6095</v>
      </c>
      <c r="B103" t="s">
        <v>3519</v>
      </c>
      <c r="C103" t="s">
        <v>5775</v>
      </c>
      <c r="D103">
        <v>0</v>
      </c>
      <c r="E103" t="s">
        <v>6096</v>
      </c>
      <c r="F103" t="s">
        <v>6097</v>
      </c>
      <c r="G103">
        <v>0</v>
      </c>
      <c r="H103" t="s">
        <v>6098</v>
      </c>
      <c r="I103" t="s">
        <v>90</v>
      </c>
      <c r="J103" t="s">
        <v>5830</v>
      </c>
    </row>
    <row r="104" spans="1:10" ht="15" customHeight="1" x14ac:dyDescent="0.25">
      <c r="A104" t="s">
        <v>5185</v>
      </c>
      <c r="B104" t="s">
        <v>4350</v>
      </c>
      <c r="C104" t="s">
        <v>4297</v>
      </c>
      <c r="D104" t="s">
        <v>4039</v>
      </c>
      <c r="E104" t="s">
        <v>6099</v>
      </c>
      <c r="F104" t="s">
        <v>3468</v>
      </c>
      <c r="G104" t="s">
        <v>3468</v>
      </c>
      <c r="H104" t="s">
        <v>5185</v>
      </c>
      <c r="I104" t="s">
        <v>38</v>
      </c>
      <c r="J104" t="s">
        <v>5923</v>
      </c>
    </row>
    <row r="105" spans="1:10" ht="15" customHeight="1" x14ac:dyDescent="0.25">
      <c r="A105" t="s">
        <v>6100</v>
      </c>
      <c r="B105" t="s">
        <v>41</v>
      </c>
      <c r="C105" t="s">
        <v>5413</v>
      </c>
      <c r="D105">
        <v>1</v>
      </c>
      <c r="E105" t="s">
        <v>6101</v>
      </c>
      <c r="F105" t="s">
        <v>6101</v>
      </c>
      <c r="G105">
        <v>0</v>
      </c>
      <c r="H105" t="s">
        <v>6100</v>
      </c>
      <c r="I105" t="s">
        <v>90</v>
      </c>
      <c r="J105" t="s">
        <v>6057</v>
      </c>
    </row>
    <row r="106" spans="1:10" ht="15" customHeight="1" x14ac:dyDescent="0.25">
      <c r="A106" t="s">
        <v>6102</v>
      </c>
      <c r="B106" t="s">
        <v>41</v>
      </c>
      <c r="C106" t="s">
        <v>5775</v>
      </c>
      <c r="D106">
        <v>1</v>
      </c>
      <c r="E106" t="s">
        <v>6103</v>
      </c>
      <c r="F106" t="s">
        <v>6104</v>
      </c>
      <c r="G106">
        <v>1</v>
      </c>
      <c r="H106" t="s">
        <v>6102</v>
      </c>
      <c r="I106" t="s">
        <v>90</v>
      </c>
      <c r="J106" t="s">
        <v>5788</v>
      </c>
    </row>
    <row r="107" spans="1:10" ht="15" customHeight="1" x14ac:dyDescent="0.25">
      <c r="A107" t="s">
        <v>6105</v>
      </c>
      <c r="B107" t="s">
        <v>41</v>
      </c>
      <c r="C107" t="s">
        <v>5494</v>
      </c>
      <c r="D107">
        <v>1</v>
      </c>
      <c r="E107" t="s">
        <v>6106</v>
      </c>
      <c r="F107" t="s">
        <v>6107</v>
      </c>
      <c r="G107">
        <v>1</v>
      </c>
      <c r="H107" t="s">
        <v>6105</v>
      </c>
      <c r="I107" t="s">
        <v>2362</v>
      </c>
      <c r="J107" t="s">
        <v>6015</v>
      </c>
    </row>
    <row r="108" spans="1:10" ht="15" customHeight="1" x14ac:dyDescent="0.25">
      <c r="A108" t="s">
        <v>6108</v>
      </c>
      <c r="B108" t="s">
        <v>41</v>
      </c>
      <c r="C108" t="s">
        <v>5775</v>
      </c>
      <c r="D108">
        <v>2</v>
      </c>
      <c r="E108" t="s">
        <v>6109</v>
      </c>
      <c r="F108" t="s">
        <v>6110</v>
      </c>
      <c r="G108">
        <v>2</v>
      </c>
      <c r="H108" t="s">
        <v>6111</v>
      </c>
      <c r="I108" t="s">
        <v>90</v>
      </c>
      <c r="J108" t="s">
        <v>6112</v>
      </c>
    </row>
    <row r="109" spans="1:10" ht="15" customHeight="1" x14ac:dyDescent="0.25">
      <c r="A109" t="s">
        <v>6113</v>
      </c>
      <c r="B109" t="s">
        <v>3531</v>
      </c>
      <c r="C109" t="s">
        <v>5775</v>
      </c>
      <c r="D109">
        <v>1</v>
      </c>
      <c r="E109" t="s">
        <v>6114</v>
      </c>
      <c r="F109" t="s">
        <v>6115</v>
      </c>
      <c r="G109">
        <v>1</v>
      </c>
      <c r="H109" t="s">
        <v>6116</v>
      </c>
      <c r="I109" t="s">
        <v>90</v>
      </c>
      <c r="J109" t="s">
        <v>5902</v>
      </c>
    </row>
    <row r="110" spans="1:10" ht="15" customHeight="1" x14ac:dyDescent="0.25">
      <c r="A110" t="s">
        <v>6117</v>
      </c>
      <c r="B110" t="s">
        <v>3531</v>
      </c>
      <c r="C110" t="s">
        <v>5775</v>
      </c>
      <c r="D110">
        <v>1</v>
      </c>
      <c r="E110" t="s">
        <v>6118</v>
      </c>
      <c r="F110" t="s">
        <v>6119</v>
      </c>
      <c r="G110">
        <v>1</v>
      </c>
      <c r="H110" t="s">
        <v>6117</v>
      </c>
      <c r="I110" t="s">
        <v>90</v>
      </c>
      <c r="J110" t="s">
        <v>5788</v>
      </c>
    </row>
    <row r="111" spans="1:10" ht="15" customHeight="1" x14ac:dyDescent="0.25">
      <c r="A111" t="s">
        <v>6120</v>
      </c>
      <c r="B111" t="s">
        <v>41</v>
      </c>
      <c r="C111" t="s">
        <v>5413</v>
      </c>
      <c r="D111">
        <v>1</v>
      </c>
      <c r="E111" t="s">
        <v>6121</v>
      </c>
      <c r="F111" t="s">
        <v>6122</v>
      </c>
      <c r="G111">
        <v>1</v>
      </c>
      <c r="H111" t="s">
        <v>6120</v>
      </c>
      <c r="I111" t="s">
        <v>90</v>
      </c>
      <c r="J111" t="s">
        <v>6123</v>
      </c>
    </row>
    <row r="112" spans="1:10" ht="15" customHeight="1" x14ac:dyDescent="0.25">
      <c r="A112" t="s">
        <v>6124</v>
      </c>
      <c r="B112" t="s">
        <v>3519</v>
      </c>
      <c r="C112" t="s">
        <v>5775</v>
      </c>
      <c r="D112">
        <v>2</v>
      </c>
      <c r="E112" t="s">
        <v>6125</v>
      </c>
      <c r="F112" t="s">
        <v>6126</v>
      </c>
      <c r="G112">
        <v>2</v>
      </c>
      <c r="H112" t="s">
        <v>6124</v>
      </c>
      <c r="I112" t="s">
        <v>90</v>
      </c>
      <c r="J112" t="s">
        <v>5788</v>
      </c>
    </row>
    <row r="113" spans="1:10" ht="15" customHeight="1" x14ac:dyDescent="0.25">
      <c r="A113" t="s">
        <v>6127</v>
      </c>
      <c r="B113" t="s">
        <v>3519</v>
      </c>
      <c r="C113" t="s">
        <v>5413</v>
      </c>
      <c r="D113">
        <v>2</v>
      </c>
      <c r="E113" t="s">
        <v>6128</v>
      </c>
      <c r="F113" t="s">
        <v>6129</v>
      </c>
      <c r="G113">
        <v>2</v>
      </c>
      <c r="H113" t="s">
        <v>6127</v>
      </c>
      <c r="I113" t="s">
        <v>90</v>
      </c>
      <c r="J113" t="s">
        <v>6052</v>
      </c>
    </row>
    <row r="114" spans="1:10" ht="15" customHeight="1" x14ac:dyDescent="0.25">
      <c r="A114" t="s">
        <v>6130</v>
      </c>
      <c r="B114" t="s">
        <v>3531</v>
      </c>
      <c r="C114" t="s">
        <v>5413</v>
      </c>
      <c r="D114">
        <v>1</v>
      </c>
      <c r="E114" t="s">
        <v>6131</v>
      </c>
      <c r="F114" t="s">
        <v>6131</v>
      </c>
      <c r="G114">
        <v>0</v>
      </c>
      <c r="H114" t="s">
        <v>6132</v>
      </c>
      <c r="I114" t="s">
        <v>90</v>
      </c>
      <c r="J114" t="s">
        <v>6133</v>
      </c>
    </row>
    <row r="115" spans="1:10" ht="15" customHeight="1" x14ac:dyDescent="0.25">
      <c r="A115" t="s">
        <v>6134</v>
      </c>
      <c r="B115" t="s">
        <v>3531</v>
      </c>
      <c r="C115" t="s">
        <v>4650</v>
      </c>
      <c r="D115">
        <v>1</v>
      </c>
      <c r="E115" t="s">
        <v>6135</v>
      </c>
      <c r="F115" t="s">
        <v>6136</v>
      </c>
      <c r="G115">
        <v>1</v>
      </c>
      <c r="H115" t="s">
        <v>6137</v>
      </c>
      <c r="I115" t="s">
        <v>90</v>
      </c>
      <c r="J115" t="s">
        <v>5830</v>
      </c>
    </row>
    <row r="116" spans="1:10" ht="15" customHeight="1" x14ac:dyDescent="0.25">
      <c r="A116" t="s">
        <v>6138</v>
      </c>
      <c r="B116" t="s">
        <v>3531</v>
      </c>
      <c r="C116" t="s">
        <v>4650</v>
      </c>
      <c r="D116">
        <v>1</v>
      </c>
      <c r="E116" t="s">
        <v>6139</v>
      </c>
      <c r="F116" t="s">
        <v>6140</v>
      </c>
      <c r="G116">
        <v>1</v>
      </c>
      <c r="H116" t="s">
        <v>6138</v>
      </c>
      <c r="I116" t="s">
        <v>90</v>
      </c>
      <c r="J116" t="s">
        <v>5980</v>
      </c>
    </row>
    <row r="117" spans="1:10" ht="15" customHeight="1" x14ac:dyDescent="0.25">
      <c r="A117" t="s">
        <v>4305</v>
      </c>
      <c r="B117" t="s">
        <v>4350</v>
      </c>
      <c r="C117" t="s">
        <v>4297</v>
      </c>
      <c r="D117" t="s">
        <v>4039</v>
      </c>
      <c r="E117" t="s">
        <v>6141</v>
      </c>
      <c r="F117" t="s">
        <v>3468</v>
      </c>
      <c r="G117" t="s">
        <v>3468</v>
      </c>
      <c r="H117" t="s">
        <v>4305</v>
      </c>
      <c r="I117" t="s">
        <v>90</v>
      </c>
      <c r="J117" t="s">
        <v>5923</v>
      </c>
    </row>
    <row r="118" spans="1:10" ht="15" customHeight="1" x14ac:dyDescent="0.25">
      <c r="A118" t="s">
        <v>6142</v>
      </c>
      <c r="B118" t="s">
        <v>3531</v>
      </c>
      <c r="C118" t="s">
        <v>5413</v>
      </c>
      <c r="D118">
        <v>0</v>
      </c>
      <c r="E118" t="s">
        <v>6143</v>
      </c>
      <c r="F118" t="s">
        <v>6144</v>
      </c>
      <c r="G118">
        <v>0</v>
      </c>
      <c r="H118" t="s">
        <v>6142</v>
      </c>
      <c r="I118" t="s">
        <v>90</v>
      </c>
      <c r="J118" t="s">
        <v>5990</v>
      </c>
    </row>
    <row r="119" spans="1:10" ht="15" customHeight="1" x14ac:dyDescent="0.25">
      <c r="A119" t="s">
        <v>6145</v>
      </c>
      <c r="B119" t="s">
        <v>41</v>
      </c>
      <c r="C119" t="s">
        <v>5775</v>
      </c>
      <c r="D119">
        <v>1</v>
      </c>
      <c r="E119" t="s">
        <v>6146</v>
      </c>
      <c r="F119" t="s">
        <v>6147</v>
      </c>
      <c r="G119">
        <v>1</v>
      </c>
      <c r="H119" t="s">
        <v>6148</v>
      </c>
      <c r="I119" t="s">
        <v>90</v>
      </c>
      <c r="J119" t="s">
        <v>6149</v>
      </c>
    </row>
    <row r="120" spans="1:10" ht="15" customHeight="1" x14ac:dyDescent="0.25">
      <c r="A120" t="s">
        <v>5740</v>
      </c>
      <c r="B120" t="s">
        <v>3564</v>
      </c>
      <c r="C120" t="s">
        <v>5494</v>
      </c>
      <c r="D120">
        <v>1</v>
      </c>
      <c r="E120" s="4" t="s">
        <v>6150</v>
      </c>
      <c r="F120" s="4" t="s">
        <v>6150</v>
      </c>
      <c r="G120" s="4">
        <v>0</v>
      </c>
      <c r="H120" t="s">
        <v>3468</v>
      </c>
      <c r="I120" t="s">
        <v>160</v>
      </c>
    </row>
    <row r="121" spans="1:10" ht="15" customHeight="1" x14ac:dyDescent="0.25">
      <c r="A121" t="s">
        <v>6151</v>
      </c>
      <c r="B121" t="s">
        <v>3531</v>
      </c>
      <c r="C121" t="s">
        <v>5494</v>
      </c>
      <c r="D121">
        <v>1</v>
      </c>
      <c r="E121" t="s">
        <v>6152</v>
      </c>
      <c r="F121" t="s">
        <v>6153</v>
      </c>
      <c r="G121">
        <v>1</v>
      </c>
      <c r="H121" t="s">
        <v>6151</v>
      </c>
      <c r="I121" t="s">
        <v>2362</v>
      </c>
      <c r="J121" t="s">
        <v>6154</v>
      </c>
    </row>
    <row r="122" spans="1:10" ht="15" customHeight="1" x14ac:dyDescent="0.25">
      <c r="A122" t="s">
        <v>6155</v>
      </c>
      <c r="B122" t="s">
        <v>3519</v>
      </c>
      <c r="C122" t="s">
        <v>4650</v>
      </c>
      <c r="D122">
        <v>2</v>
      </c>
      <c r="E122" t="s">
        <v>6156</v>
      </c>
      <c r="F122" t="s">
        <v>6157</v>
      </c>
      <c r="G122">
        <v>2</v>
      </c>
      <c r="H122" t="s">
        <v>6155</v>
      </c>
      <c r="I122" t="s">
        <v>90</v>
      </c>
      <c r="J122" t="s">
        <v>6149</v>
      </c>
    </row>
    <row r="123" spans="1:10" ht="15" customHeight="1" x14ac:dyDescent="0.25">
      <c r="A123" t="s">
        <v>6158</v>
      </c>
      <c r="B123" t="s">
        <v>3531</v>
      </c>
      <c r="C123" t="s">
        <v>5494</v>
      </c>
      <c r="D123">
        <v>1</v>
      </c>
      <c r="E123" t="s">
        <v>5924</v>
      </c>
      <c r="F123" t="s">
        <v>5925</v>
      </c>
      <c r="G123">
        <v>1</v>
      </c>
      <c r="H123" t="s">
        <v>6158</v>
      </c>
      <c r="I123" t="s">
        <v>2362</v>
      </c>
      <c r="J123" t="s">
        <v>5927</v>
      </c>
    </row>
    <row r="124" spans="1:10" ht="15" customHeight="1" x14ac:dyDescent="0.25">
      <c r="A124" t="s">
        <v>6159</v>
      </c>
      <c r="B124" t="s">
        <v>41</v>
      </c>
      <c r="C124" t="s">
        <v>5494</v>
      </c>
      <c r="D124">
        <v>1</v>
      </c>
      <c r="E124" t="s">
        <v>5924</v>
      </c>
      <c r="F124" t="s">
        <v>5925</v>
      </c>
      <c r="G124">
        <v>1</v>
      </c>
      <c r="H124" t="s">
        <v>6159</v>
      </c>
      <c r="I124" t="s">
        <v>2362</v>
      </c>
      <c r="J124" t="s">
        <v>6059</v>
      </c>
    </row>
    <row r="125" spans="1:10" ht="15" customHeight="1" x14ac:dyDescent="0.25">
      <c r="A125" t="s">
        <v>6160</v>
      </c>
      <c r="B125" t="s">
        <v>41</v>
      </c>
      <c r="C125" t="s">
        <v>5413</v>
      </c>
      <c r="D125">
        <v>1</v>
      </c>
      <c r="E125" t="s">
        <v>6161</v>
      </c>
      <c r="F125" t="s">
        <v>6162</v>
      </c>
      <c r="G125">
        <v>1</v>
      </c>
      <c r="H125" t="s">
        <v>6160</v>
      </c>
      <c r="I125" t="s">
        <v>90</v>
      </c>
      <c r="J125" t="s">
        <v>5872</v>
      </c>
    </row>
    <row r="126" spans="1:10" ht="15" customHeight="1" x14ac:dyDescent="0.25">
      <c r="A126" t="s">
        <v>6163</v>
      </c>
      <c r="B126" t="s">
        <v>3531</v>
      </c>
      <c r="C126" t="s">
        <v>5413</v>
      </c>
      <c r="D126">
        <v>2</v>
      </c>
      <c r="E126" t="s">
        <v>6164</v>
      </c>
      <c r="F126" t="s">
        <v>6165</v>
      </c>
      <c r="G126">
        <v>2</v>
      </c>
      <c r="H126" t="s">
        <v>6166</v>
      </c>
      <c r="I126" t="s">
        <v>90</v>
      </c>
      <c r="J126" t="s">
        <v>6167</v>
      </c>
    </row>
    <row r="127" spans="1:10" ht="15" customHeight="1" x14ac:dyDescent="0.25">
      <c r="A127" t="s">
        <v>4746</v>
      </c>
      <c r="B127" t="s">
        <v>41</v>
      </c>
      <c r="C127" t="s">
        <v>5775</v>
      </c>
      <c r="D127">
        <v>1</v>
      </c>
      <c r="E127" t="s">
        <v>6168</v>
      </c>
      <c r="F127" t="s">
        <v>6168</v>
      </c>
      <c r="G127">
        <v>1</v>
      </c>
      <c r="H127" t="s">
        <v>4749</v>
      </c>
      <c r="I127" t="s">
        <v>1047</v>
      </c>
      <c r="J127" t="s">
        <v>5808</v>
      </c>
    </row>
    <row r="128" spans="1:10" ht="15" customHeight="1" x14ac:dyDescent="0.25">
      <c r="A128" t="s">
        <v>6169</v>
      </c>
      <c r="B128" t="s">
        <v>3519</v>
      </c>
      <c r="C128" t="s">
        <v>5413</v>
      </c>
      <c r="D128">
        <v>1</v>
      </c>
      <c r="E128" t="s">
        <v>6170</v>
      </c>
      <c r="F128" t="s">
        <v>6171</v>
      </c>
      <c r="G128">
        <v>1</v>
      </c>
      <c r="H128" t="s">
        <v>6172</v>
      </c>
      <c r="I128" t="s">
        <v>90</v>
      </c>
      <c r="J128" t="s">
        <v>5980</v>
      </c>
    </row>
    <row r="129" spans="1:10" ht="15" customHeight="1" x14ac:dyDescent="0.25">
      <c r="A129" t="s">
        <v>6173</v>
      </c>
      <c r="B129" t="s">
        <v>3519</v>
      </c>
      <c r="C129" t="s">
        <v>4650</v>
      </c>
      <c r="D129">
        <v>1</v>
      </c>
      <c r="E129" t="s">
        <v>6174</v>
      </c>
      <c r="F129" t="s">
        <v>6175</v>
      </c>
      <c r="G129">
        <v>1</v>
      </c>
      <c r="H129" t="s">
        <v>6176</v>
      </c>
      <c r="I129" t="s">
        <v>90</v>
      </c>
      <c r="J129" t="s">
        <v>6177</v>
      </c>
    </row>
    <row r="130" spans="1:10" ht="15" customHeight="1" x14ac:dyDescent="0.25">
      <c r="A130" t="s">
        <v>6178</v>
      </c>
      <c r="B130" t="s">
        <v>41</v>
      </c>
      <c r="C130" t="s">
        <v>5494</v>
      </c>
      <c r="D130">
        <v>1</v>
      </c>
      <c r="E130" t="s">
        <v>6179</v>
      </c>
      <c r="F130" t="s">
        <v>6180</v>
      </c>
      <c r="G130">
        <v>1</v>
      </c>
      <c r="H130" t="s">
        <v>6178</v>
      </c>
      <c r="I130" t="s">
        <v>2362</v>
      </c>
      <c r="J130" t="s">
        <v>6154</v>
      </c>
    </row>
    <row r="131" spans="1:10" ht="15" customHeight="1" x14ac:dyDescent="0.25">
      <c r="A131" t="s">
        <v>6181</v>
      </c>
      <c r="B131" t="s">
        <v>3519</v>
      </c>
      <c r="C131" t="s">
        <v>5413</v>
      </c>
      <c r="D131" t="s">
        <v>5999</v>
      </c>
      <c r="E131" t="s">
        <v>6182</v>
      </c>
      <c r="F131" t="s">
        <v>6183</v>
      </c>
      <c r="G131" t="s">
        <v>5999</v>
      </c>
      <c r="H131" t="s">
        <v>6181</v>
      </c>
      <c r="I131" t="s">
        <v>90</v>
      </c>
      <c r="J131" t="s">
        <v>6184</v>
      </c>
    </row>
    <row r="132" spans="1:10" ht="15" customHeight="1" x14ac:dyDescent="0.25">
      <c r="A132" t="s">
        <v>6185</v>
      </c>
      <c r="B132" t="s">
        <v>3531</v>
      </c>
      <c r="C132" t="s">
        <v>5775</v>
      </c>
      <c r="D132">
        <v>0</v>
      </c>
      <c r="E132" t="s">
        <v>6186</v>
      </c>
      <c r="F132" t="s">
        <v>6187</v>
      </c>
      <c r="G132">
        <v>0</v>
      </c>
      <c r="H132" t="s">
        <v>6188</v>
      </c>
      <c r="I132" t="s">
        <v>90</v>
      </c>
      <c r="J132" t="s">
        <v>5830</v>
      </c>
    </row>
    <row r="133" spans="1:10" ht="15" customHeight="1" x14ac:dyDescent="0.25">
      <c r="A133" t="s">
        <v>6189</v>
      </c>
      <c r="B133" t="s">
        <v>3531</v>
      </c>
      <c r="C133" t="s">
        <v>4650</v>
      </c>
      <c r="D133">
        <v>1</v>
      </c>
      <c r="E133" t="s">
        <v>6190</v>
      </c>
      <c r="F133" t="s">
        <v>6191</v>
      </c>
      <c r="G133">
        <v>1</v>
      </c>
      <c r="H133" t="s">
        <v>6189</v>
      </c>
      <c r="I133" t="s">
        <v>90</v>
      </c>
      <c r="J133" t="s">
        <v>5792</v>
      </c>
    </row>
    <row r="134" spans="1:10" ht="15" customHeight="1" x14ac:dyDescent="0.25">
      <c r="A134" t="s">
        <v>6192</v>
      </c>
      <c r="B134" t="s">
        <v>3519</v>
      </c>
      <c r="C134" t="s">
        <v>5858</v>
      </c>
      <c r="D134">
        <v>5</v>
      </c>
      <c r="E134" t="s">
        <v>6193</v>
      </c>
      <c r="F134" t="s">
        <v>6193</v>
      </c>
      <c r="G134">
        <v>4</v>
      </c>
      <c r="H134" t="s">
        <v>6194</v>
      </c>
      <c r="I134" t="s">
        <v>1673</v>
      </c>
    </row>
    <row r="135" spans="1:10" ht="15" customHeight="1" x14ac:dyDescent="0.25">
      <c r="A135" t="s">
        <v>6195</v>
      </c>
      <c r="B135" t="s">
        <v>41</v>
      </c>
      <c r="C135" t="s">
        <v>5494</v>
      </c>
      <c r="D135">
        <v>1</v>
      </c>
      <c r="E135" t="s">
        <v>6196</v>
      </c>
      <c r="F135" t="s">
        <v>6197</v>
      </c>
      <c r="G135">
        <v>1</v>
      </c>
      <c r="H135" t="s">
        <v>6195</v>
      </c>
      <c r="I135" t="s">
        <v>2362</v>
      </c>
      <c r="J135" t="s">
        <v>6015</v>
      </c>
    </row>
    <row r="136" spans="1:10" ht="15" customHeight="1" x14ac:dyDescent="0.25">
      <c r="A136" t="s">
        <v>5750</v>
      </c>
      <c r="B136" t="s">
        <v>3564</v>
      </c>
      <c r="C136" t="s">
        <v>5775</v>
      </c>
      <c r="D136">
        <v>0</v>
      </c>
      <c r="E136" t="s">
        <v>6198</v>
      </c>
      <c r="F136" t="s">
        <v>6199</v>
      </c>
      <c r="G136">
        <v>0</v>
      </c>
      <c r="H136" t="s">
        <v>5750</v>
      </c>
      <c r="I136" t="s">
        <v>90</v>
      </c>
      <c r="J136" t="s">
        <v>5806</v>
      </c>
    </row>
    <row r="137" spans="1:10" ht="15" customHeight="1" x14ac:dyDescent="0.25">
      <c r="A137" t="s">
        <v>6200</v>
      </c>
      <c r="B137" t="s">
        <v>3519</v>
      </c>
      <c r="C137" t="s">
        <v>5413</v>
      </c>
      <c r="D137">
        <v>3</v>
      </c>
      <c r="E137" t="s">
        <v>6201</v>
      </c>
      <c r="F137" t="s">
        <v>6201</v>
      </c>
      <c r="G137">
        <v>2</v>
      </c>
      <c r="H137" t="s">
        <v>6200</v>
      </c>
      <c r="I137" t="s">
        <v>90</v>
      </c>
      <c r="J137" t="s">
        <v>6045</v>
      </c>
    </row>
    <row r="138" spans="1:10" ht="15" customHeight="1" x14ac:dyDescent="0.25">
      <c r="A138" t="s">
        <v>6202</v>
      </c>
      <c r="B138" t="s">
        <v>3531</v>
      </c>
      <c r="C138" t="s">
        <v>4650</v>
      </c>
      <c r="D138">
        <v>1</v>
      </c>
      <c r="E138" t="s">
        <v>6203</v>
      </c>
      <c r="F138" t="s">
        <v>6204</v>
      </c>
      <c r="G138">
        <v>1</v>
      </c>
      <c r="H138" t="s">
        <v>6205</v>
      </c>
      <c r="I138" t="s">
        <v>90</v>
      </c>
      <c r="J138" t="s">
        <v>5937</v>
      </c>
    </row>
    <row r="139" spans="1:10" ht="15" customHeight="1" x14ac:dyDescent="0.25">
      <c r="A139" t="s">
        <v>6206</v>
      </c>
      <c r="B139" t="s">
        <v>3519</v>
      </c>
      <c r="C139" t="s">
        <v>5413</v>
      </c>
      <c r="D139">
        <v>0</v>
      </c>
      <c r="E139" t="s">
        <v>6207</v>
      </c>
      <c r="F139" t="s">
        <v>6208</v>
      </c>
      <c r="G139">
        <v>0</v>
      </c>
      <c r="H139" t="s">
        <v>6206</v>
      </c>
      <c r="I139" t="s">
        <v>90</v>
      </c>
      <c r="J139" t="s">
        <v>6209</v>
      </c>
    </row>
    <row r="140" spans="1:10" ht="15" customHeight="1" x14ac:dyDescent="0.25">
      <c r="A140" t="s">
        <v>6210</v>
      </c>
      <c r="B140" t="s">
        <v>41</v>
      </c>
      <c r="C140" t="s">
        <v>5413</v>
      </c>
      <c r="D140">
        <v>1</v>
      </c>
      <c r="E140" t="s">
        <v>6211</v>
      </c>
      <c r="F140" t="s">
        <v>6212</v>
      </c>
      <c r="G140">
        <v>1</v>
      </c>
      <c r="H140" t="s">
        <v>6210</v>
      </c>
      <c r="I140" t="s">
        <v>90</v>
      </c>
      <c r="J140" t="s">
        <v>5876</v>
      </c>
    </row>
    <row r="141" spans="1:10" ht="15" customHeight="1" x14ac:dyDescent="0.25">
      <c r="A141" t="s">
        <v>6213</v>
      </c>
      <c r="B141" t="s">
        <v>4350</v>
      </c>
      <c r="C141" t="s">
        <v>4297</v>
      </c>
      <c r="D141" t="s">
        <v>4039</v>
      </c>
      <c r="E141" t="s">
        <v>6214</v>
      </c>
      <c r="F141" t="s">
        <v>3468</v>
      </c>
      <c r="G141" t="s">
        <v>3468</v>
      </c>
      <c r="H141" t="s">
        <v>6213</v>
      </c>
      <c r="I141" t="s">
        <v>90</v>
      </c>
      <c r="J141" t="s">
        <v>5923</v>
      </c>
    </row>
    <row r="142" spans="1:10" ht="15" customHeight="1" x14ac:dyDescent="0.25">
      <c r="A142" t="s">
        <v>6215</v>
      </c>
      <c r="B142" t="s">
        <v>41</v>
      </c>
      <c r="C142" t="s">
        <v>5775</v>
      </c>
      <c r="D142">
        <v>2</v>
      </c>
      <c r="E142" t="s">
        <v>6216</v>
      </c>
      <c r="F142" t="s">
        <v>6217</v>
      </c>
      <c r="G142">
        <v>2</v>
      </c>
      <c r="H142" t="s">
        <v>6218</v>
      </c>
      <c r="I142" t="s">
        <v>90</v>
      </c>
      <c r="J142" t="s">
        <v>5788</v>
      </c>
    </row>
    <row r="143" spans="1:10" ht="15" customHeight="1" x14ac:dyDescent="0.25">
      <c r="A143" t="s">
        <v>6219</v>
      </c>
      <c r="B143" t="s">
        <v>3519</v>
      </c>
      <c r="C143" t="s">
        <v>5413</v>
      </c>
      <c r="D143">
        <v>1</v>
      </c>
      <c r="E143" t="s">
        <v>6220</v>
      </c>
      <c r="F143" t="s">
        <v>6220</v>
      </c>
      <c r="G143">
        <v>0</v>
      </c>
      <c r="H143" t="s">
        <v>6221</v>
      </c>
      <c r="I143" t="s">
        <v>90</v>
      </c>
      <c r="J143" t="s">
        <v>5830</v>
      </c>
    </row>
    <row r="144" spans="1:10" ht="15" customHeight="1" x14ac:dyDescent="0.25">
      <c r="A144" t="s">
        <v>6222</v>
      </c>
      <c r="B144" t="s">
        <v>41</v>
      </c>
      <c r="C144" t="s">
        <v>5413</v>
      </c>
      <c r="D144">
        <v>1</v>
      </c>
      <c r="E144" t="s">
        <v>6223</v>
      </c>
      <c r="F144" t="s">
        <v>6224</v>
      </c>
      <c r="G144">
        <v>1</v>
      </c>
      <c r="H144" t="s">
        <v>6225</v>
      </c>
      <c r="I144" t="s">
        <v>90</v>
      </c>
      <c r="J144" t="s">
        <v>6184</v>
      </c>
    </row>
    <row r="145" spans="1:10" ht="15" customHeight="1" x14ac:dyDescent="0.25">
      <c r="A145" t="s">
        <v>6226</v>
      </c>
      <c r="B145" t="s">
        <v>41</v>
      </c>
      <c r="C145" t="s">
        <v>5775</v>
      </c>
      <c r="D145">
        <v>1</v>
      </c>
      <c r="E145" t="s">
        <v>6227</v>
      </c>
      <c r="F145" t="s">
        <v>6228</v>
      </c>
      <c r="G145">
        <v>1</v>
      </c>
      <c r="H145" t="s">
        <v>6229</v>
      </c>
      <c r="I145" t="s">
        <v>90</v>
      </c>
      <c r="J145" t="s">
        <v>5806</v>
      </c>
    </row>
    <row r="146" spans="1:10" ht="15" customHeight="1" x14ac:dyDescent="0.25">
      <c r="A146" t="s">
        <v>6230</v>
      </c>
      <c r="B146" t="s">
        <v>41</v>
      </c>
      <c r="C146" t="s">
        <v>5775</v>
      </c>
      <c r="D146">
        <v>1</v>
      </c>
      <c r="E146" t="s">
        <v>6231</v>
      </c>
      <c r="F146" t="s">
        <v>6232</v>
      </c>
      <c r="G146">
        <v>1</v>
      </c>
      <c r="H146" t="s">
        <v>6233</v>
      </c>
      <c r="I146" t="s">
        <v>90</v>
      </c>
      <c r="J146" t="s">
        <v>6234</v>
      </c>
    </row>
    <row r="147" spans="1:10" ht="15" customHeight="1" x14ac:dyDescent="0.25">
      <c r="A147" t="s">
        <v>6235</v>
      </c>
      <c r="B147" t="s">
        <v>3531</v>
      </c>
      <c r="C147" t="s">
        <v>5413</v>
      </c>
      <c r="D147">
        <v>1</v>
      </c>
      <c r="E147" t="s">
        <v>6236</v>
      </c>
      <c r="F147" t="s">
        <v>6237</v>
      </c>
      <c r="G147">
        <v>1</v>
      </c>
      <c r="H147" t="s">
        <v>6238</v>
      </c>
      <c r="I147" t="s">
        <v>90</v>
      </c>
      <c r="J147" t="s">
        <v>6239</v>
      </c>
    </row>
    <row r="148" spans="1:10" ht="15" customHeight="1" x14ac:dyDescent="0.25">
      <c r="A148" t="s">
        <v>6240</v>
      </c>
      <c r="B148" t="s">
        <v>3531</v>
      </c>
      <c r="C148" t="s">
        <v>5775</v>
      </c>
      <c r="D148">
        <v>2</v>
      </c>
      <c r="E148" t="s">
        <v>6241</v>
      </c>
      <c r="F148" t="s">
        <v>6242</v>
      </c>
      <c r="G148">
        <v>2</v>
      </c>
      <c r="H148" t="s">
        <v>6240</v>
      </c>
      <c r="I148" t="s">
        <v>90</v>
      </c>
      <c r="J148" t="s">
        <v>6078</v>
      </c>
    </row>
    <row r="149" spans="1:10" ht="15" customHeight="1" x14ac:dyDescent="0.25">
      <c r="A149" t="s">
        <v>6243</v>
      </c>
      <c r="B149" t="s">
        <v>41</v>
      </c>
      <c r="C149" t="s">
        <v>5413</v>
      </c>
      <c r="D149">
        <v>0</v>
      </c>
      <c r="E149" t="s">
        <v>6244</v>
      </c>
      <c r="F149" t="s">
        <v>6245</v>
      </c>
      <c r="G149">
        <v>0</v>
      </c>
      <c r="H149" t="s">
        <v>6243</v>
      </c>
      <c r="I149" t="s">
        <v>90</v>
      </c>
      <c r="J149" t="s">
        <v>5761</v>
      </c>
    </row>
    <row r="150" spans="1:10" ht="15" customHeight="1" x14ac:dyDescent="0.25">
      <c r="A150" t="s">
        <v>6246</v>
      </c>
      <c r="B150" t="s">
        <v>3531</v>
      </c>
      <c r="C150" t="s">
        <v>5775</v>
      </c>
      <c r="D150">
        <v>1</v>
      </c>
      <c r="E150" t="s">
        <v>6247</v>
      </c>
      <c r="F150" t="s">
        <v>6248</v>
      </c>
      <c r="G150">
        <v>1</v>
      </c>
      <c r="H150" t="s">
        <v>6246</v>
      </c>
      <c r="I150" t="s">
        <v>90</v>
      </c>
      <c r="J150" t="s">
        <v>6057</v>
      </c>
    </row>
    <row r="151" spans="1:10" ht="15" customHeight="1" x14ac:dyDescent="0.25">
      <c r="A151" t="s">
        <v>5197</v>
      </c>
      <c r="B151" t="s">
        <v>4350</v>
      </c>
      <c r="C151" t="s">
        <v>4297</v>
      </c>
      <c r="D151" t="s">
        <v>4039</v>
      </c>
      <c r="E151" t="s">
        <v>6249</v>
      </c>
      <c r="F151" t="s">
        <v>3468</v>
      </c>
      <c r="G151" t="s">
        <v>4039</v>
      </c>
      <c r="H151" t="s">
        <v>6250</v>
      </c>
      <c r="I151" t="s">
        <v>1650</v>
      </c>
    </row>
    <row r="152" spans="1:10" ht="15" customHeight="1" x14ac:dyDescent="0.25">
      <c r="A152" t="s">
        <v>6251</v>
      </c>
      <c r="B152" t="s">
        <v>4350</v>
      </c>
      <c r="C152" t="s">
        <v>3675</v>
      </c>
      <c r="D152">
        <v>1</v>
      </c>
      <c r="E152" t="s">
        <v>6252</v>
      </c>
      <c r="F152" t="s">
        <v>3468</v>
      </c>
      <c r="G152" t="s">
        <v>3468</v>
      </c>
      <c r="H152" t="s">
        <v>6253</v>
      </c>
      <c r="I152" t="s">
        <v>501</v>
      </c>
      <c r="J152" t="s">
        <v>5846</v>
      </c>
    </row>
    <row r="153" spans="1:10" ht="15" customHeight="1" x14ac:dyDescent="0.25">
      <c r="A153" t="s">
        <v>6254</v>
      </c>
      <c r="B153" t="s">
        <v>41</v>
      </c>
      <c r="C153" t="s">
        <v>5775</v>
      </c>
      <c r="D153">
        <v>1</v>
      </c>
      <c r="E153" t="s">
        <v>6255</v>
      </c>
      <c r="F153" t="s">
        <v>6256</v>
      </c>
      <c r="G153">
        <v>1</v>
      </c>
      <c r="H153" t="s">
        <v>6257</v>
      </c>
      <c r="I153" t="s">
        <v>90</v>
      </c>
      <c r="J153" t="s">
        <v>6258</v>
      </c>
    </row>
    <row r="154" spans="1:10" ht="15" customHeight="1" x14ac:dyDescent="0.25">
      <c r="A154" t="s">
        <v>5415</v>
      </c>
      <c r="B154" t="s">
        <v>3531</v>
      </c>
      <c r="C154" t="s">
        <v>5413</v>
      </c>
      <c r="D154">
        <v>0</v>
      </c>
      <c r="E154" t="s">
        <v>6259</v>
      </c>
      <c r="F154" t="s">
        <v>6260</v>
      </c>
      <c r="G154">
        <v>0</v>
      </c>
      <c r="H154" t="s">
        <v>5415</v>
      </c>
      <c r="I154" t="s">
        <v>90</v>
      </c>
      <c r="J154" t="s">
        <v>5792</v>
      </c>
    </row>
    <row r="155" spans="1:10" ht="15" customHeight="1" x14ac:dyDescent="0.25">
      <c r="A155" t="s">
        <v>6261</v>
      </c>
      <c r="B155" t="s">
        <v>3531</v>
      </c>
      <c r="C155" t="s">
        <v>5775</v>
      </c>
      <c r="D155">
        <v>1</v>
      </c>
      <c r="E155" t="s">
        <v>6262</v>
      </c>
      <c r="F155" t="s">
        <v>6263</v>
      </c>
      <c r="G155">
        <v>1</v>
      </c>
      <c r="H155" t="s">
        <v>6261</v>
      </c>
      <c r="I155" t="s">
        <v>90</v>
      </c>
      <c r="J155" t="s">
        <v>6112</v>
      </c>
    </row>
    <row r="156" spans="1:10" ht="15" customHeight="1" x14ac:dyDescent="0.25">
      <c r="A156" t="s">
        <v>6264</v>
      </c>
      <c r="B156" t="s">
        <v>3531</v>
      </c>
      <c r="C156" t="s">
        <v>5494</v>
      </c>
      <c r="D156">
        <v>1</v>
      </c>
      <c r="E156" t="s">
        <v>5924</v>
      </c>
      <c r="F156" t="s">
        <v>5925</v>
      </c>
      <c r="G156">
        <v>1</v>
      </c>
      <c r="H156" t="s">
        <v>6264</v>
      </c>
      <c r="I156" t="s">
        <v>2362</v>
      </c>
      <c r="J156" t="s">
        <v>5927</v>
      </c>
    </row>
    <row r="157" spans="1:10" ht="15" customHeight="1" x14ac:dyDescent="0.25">
      <c r="A157" t="s">
        <v>6265</v>
      </c>
      <c r="B157" t="s">
        <v>3519</v>
      </c>
      <c r="C157" t="s">
        <v>5775</v>
      </c>
      <c r="D157">
        <v>2</v>
      </c>
      <c r="E157" t="s">
        <v>6266</v>
      </c>
      <c r="F157" t="s">
        <v>6267</v>
      </c>
      <c r="G157">
        <v>2</v>
      </c>
      <c r="H157" t="s">
        <v>6265</v>
      </c>
      <c r="I157" t="s">
        <v>90</v>
      </c>
      <c r="J157" t="s">
        <v>6049</v>
      </c>
    </row>
    <row r="158" spans="1:10" ht="15" customHeight="1" x14ac:dyDescent="0.25">
      <c r="A158" t="s">
        <v>6268</v>
      </c>
      <c r="B158" t="s">
        <v>3531</v>
      </c>
      <c r="C158" t="s">
        <v>5775</v>
      </c>
      <c r="D158">
        <v>0</v>
      </c>
      <c r="E158" t="s">
        <v>6269</v>
      </c>
      <c r="F158" t="s">
        <v>6270</v>
      </c>
      <c r="G158">
        <v>0</v>
      </c>
      <c r="H158" t="s">
        <v>6271</v>
      </c>
      <c r="I158" t="s">
        <v>90</v>
      </c>
      <c r="J158" t="s">
        <v>6272</v>
      </c>
    </row>
    <row r="159" spans="1:10" ht="15" customHeight="1" x14ac:dyDescent="0.25">
      <c r="A159" t="s">
        <v>6273</v>
      </c>
      <c r="B159" t="s">
        <v>4350</v>
      </c>
      <c r="C159" t="s">
        <v>3675</v>
      </c>
      <c r="D159">
        <v>1</v>
      </c>
      <c r="E159" t="s">
        <v>6274</v>
      </c>
      <c r="F159" t="s">
        <v>3468</v>
      </c>
      <c r="G159" t="s">
        <v>3468</v>
      </c>
      <c r="H159" t="s">
        <v>6275</v>
      </c>
      <c r="I159" t="s">
        <v>501</v>
      </c>
      <c r="J159" t="s">
        <v>5846</v>
      </c>
    </row>
    <row r="160" spans="1:10" ht="15" customHeight="1" x14ac:dyDescent="0.25">
      <c r="A160" t="s">
        <v>6276</v>
      </c>
      <c r="B160" t="s">
        <v>3531</v>
      </c>
      <c r="C160" t="s">
        <v>5413</v>
      </c>
      <c r="D160" t="s">
        <v>4039</v>
      </c>
      <c r="E160" t="s">
        <v>6277</v>
      </c>
      <c r="F160" t="s">
        <v>6278</v>
      </c>
      <c r="G160" t="s">
        <v>4039</v>
      </c>
      <c r="H160" t="s">
        <v>6276</v>
      </c>
      <c r="I160" t="s">
        <v>90</v>
      </c>
      <c r="J160" t="s">
        <v>5890</v>
      </c>
    </row>
    <row r="161" spans="1:10" ht="15" customHeight="1" x14ac:dyDescent="0.25">
      <c r="A161" t="s">
        <v>5162</v>
      </c>
      <c r="B161" t="s">
        <v>4350</v>
      </c>
      <c r="C161" t="s">
        <v>4297</v>
      </c>
      <c r="D161" t="s">
        <v>4039</v>
      </c>
      <c r="E161" t="s">
        <v>6279</v>
      </c>
      <c r="F161" t="s">
        <v>3468</v>
      </c>
      <c r="G161" t="s">
        <v>3468</v>
      </c>
      <c r="H161" t="s">
        <v>5162</v>
      </c>
      <c r="I161" t="s">
        <v>90</v>
      </c>
      <c r="J161" t="s">
        <v>5923</v>
      </c>
    </row>
    <row r="162" spans="1:10" ht="15" customHeight="1" x14ac:dyDescent="0.25">
      <c r="A162" t="s">
        <v>6280</v>
      </c>
      <c r="B162" t="s">
        <v>3531</v>
      </c>
      <c r="C162" t="s">
        <v>5775</v>
      </c>
      <c r="D162">
        <v>2</v>
      </c>
      <c r="E162" t="s">
        <v>6281</v>
      </c>
      <c r="F162" t="s">
        <v>6282</v>
      </c>
      <c r="G162">
        <v>2</v>
      </c>
      <c r="H162" t="s">
        <v>6283</v>
      </c>
      <c r="I162" t="s">
        <v>90</v>
      </c>
      <c r="J162" t="s">
        <v>5830</v>
      </c>
    </row>
    <row r="163" spans="1:10" ht="15" customHeight="1" x14ac:dyDescent="0.25">
      <c r="A163" t="s">
        <v>6284</v>
      </c>
      <c r="B163" t="s">
        <v>3531</v>
      </c>
      <c r="C163" t="s">
        <v>5858</v>
      </c>
      <c r="D163">
        <v>2</v>
      </c>
      <c r="E163" t="s">
        <v>6285</v>
      </c>
      <c r="F163" t="s">
        <v>6286</v>
      </c>
      <c r="G163">
        <v>2</v>
      </c>
      <c r="H163" t="s">
        <v>6287</v>
      </c>
      <c r="I163" t="s">
        <v>1673</v>
      </c>
    </row>
    <row r="164" spans="1:10" ht="15" customHeight="1" x14ac:dyDescent="0.25">
      <c r="A164" t="s">
        <v>6288</v>
      </c>
      <c r="B164" t="s">
        <v>3531</v>
      </c>
      <c r="C164" t="s">
        <v>4650</v>
      </c>
      <c r="D164">
        <v>1</v>
      </c>
      <c r="E164" t="s">
        <v>6289</v>
      </c>
      <c r="F164" t="s">
        <v>6290</v>
      </c>
      <c r="G164">
        <v>1</v>
      </c>
      <c r="H164" t="s">
        <v>6288</v>
      </c>
      <c r="I164" t="s">
        <v>90</v>
      </c>
      <c r="J164" t="s">
        <v>5980</v>
      </c>
    </row>
    <row r="165" spans="1:10" ht="15" customHeight="1" x14ac:dyDescent="0.25">
      <c r="A165" t="s">
        <v>4869</v>
      </c>
      <c r="B165" t="s">
        <v>3531</v>
      </c>
      <c r="C165" t="s">
        <v>5413</v>
      </c>
      <c r="D165">
        <v>1</v>
      </c>
      <c r="E165" t="s">
        <v>6291</v>
      </c>
      <c r="F165" t="s">
        <v>6291</v>
      </c>
      <c r="G165">
        <v>1</v>
      </c>
      <c r="H165" t="s">
        <v>4872</v>
      </c>
      <c r="I165" t="s">
        <v>1650</v>
      </c>
      <c r="J165" t="s">
        <v>5808</v>
      </c>
    </row>
    <row r="166" spans="1:10" ht="15" customHeight="1" x14ac:dyDescent="0.25">
      <c r="A166" t="s">
        <v>6292</v>
      </c>
      <c r="B166" t="s">
        <v>3531</v>
      </c>
      <c r="C166" t="s">
        <v>5775</v>
      </c>
      <c r="D166">
        <v>2</v>
      </c>
      <c r="E166" t="s">
        <v>6293</v>
      </c>
      <c r="F166" t="s">
        <v>3468</v>
      </c>
      <c r="G166">
        <v>2</v>
      </c>
      <c r="H166" t="s">
        <v>6294</v>
      </c>
      <c r="I166" t="s">
        <v>90</v>
      </c>
      <c r="J166" t="s">
        <v>6112</v>
      </c>
    </row>
    <row r="167" spans="1:10" ht="15" customHeight="1" x14ac:dyDescent="0.25">
      <c r="A167" t="s">
        <v>6295</v>
      </c>
      <c r="B167" t="s">
        <v>3531</v>
      </c>
      <c r="C167" t="s">
        <v>5413</v>
      </c>
      <c r="D167">
        <v>1</v>
      </c>
      <c r="E167" t="s">
        <v>6296</v>
      </c>
      <c r="F167" t="s">
        <v>6297</v>
      </c>
      <c r="G167">
        <v>1</v>
      </c>
      <c r="H167" t="s">
        <v>6298</v>
      </c>
      <c r="I167" t="s">
        <v>90</v>
      </c>
      <c r="J167" t="s">
        <v>6052</v>
      </c>
    </row>
    <row r="168" spans="1:10" ht="15" customHeight="1" x14ac:dyDescent="0.25">
      <c r="A168" t="s">
        <v>6299</v>
      </c>
      <c r="B168" t="s">
        <v>3531</v>
      </c>
      <c r="C168" t="s">
        <v>5413</v>
      </c>
      <c r="D168">
        <v>1</v>
      </c>
      <c r="E168" t="s">
        <v>6300</v>
      </c>
      <c r="F168" t="s">
        <v>6300</v>
      </c>
      <c r="G168">
        <v>0</v>
      </c>
      <c r="H168" t="s">
        <v>6301</v>
      </c>
      <c r="I168" t="s">
        <v>90</v>
      </c>
      <c r="J168" t="s">
        <v>6302</v>
      </c>
    </row>
    <row r="169" spans="1:10" ht="15" customHeight="1" x14ac:dyDescent="0.25">
      <c r="A169" t="s">
        <v>6303</v>
      </c>
      <c r="B169" t="s">
        <v>3519</v>
      </c>
      <c r="C169" t="s">
        <v>5413</v>
      </c>
      <c r="D169">
        <v>0</v>
      </c>
      <c r="E169" t="s">
        <v>6304</v>
      </c>
      <c r="F169" t="s">
        <v>6305</v>
      </c>
      <c r="G169">
        <v>0</v>
      </c>
      <c r="H169" t="s">
        <v>6303</v>
      </c>
      <c r="I169" t="s">
        <v>90</v>
      </c>
      <c r="J169" t="s">
        <v>6306</v>
      </c>
    </row>
    <row r="170" spans="1:10" ht="15" customHeight="1" x14ac:dyDescent="0.25">
      <c r="A170" t="s">
        <v>6307</v>
      </c>
      <c r="B170" t="s">
        <v>3531</v>
      </c>
      <c r="C170" t="s">
        <v>5413</v>
      </c>
      <c r="D170">
        <v>1</v>
      </c>
      <c r="E170" t="s">
        <v>6308</v>
      </c>
      <c r="F170" t="s">
        <v>6309</v>
      </c>
      <c r="G170">
        <v>1</v>
      </c>
      <c r="H170" t="s">
        <v>6307</v>
      </c>
      <c r="I170" t="s">
        <v>90</v>
      </c>
      <c r="J170" t="s">
        <v>6052</v>
      </c>
    </row>
    <row r="171" spans="1:10" ht="15" customHeight="1" x14ac:dyDescent="0.25">
      <c r="A171" t="s">
        <v>6310</v>
      </c>
      <c r="B171" t="s">
        <v>3531</v>
      </c>
      <c r="C171" t="s">
        <v>5413</v>
      </c>
      <c r="D171">
        <v>1</v>
      </c>
      <c r="E171" t="s">
        <v>6311</v>
      </c>
      <c r="F171" t="s">
        <v>6311</v>
      </c>
      <c r="G171">
        <v>0</v>
      </c>
      <c r="H171" t="s">
        <v>6310</v>
      </c>
      <c r="I171" t="s">
        <v>90</v>
      </c>
      <c r="J171" t="s">
        <v>5876</v>
      </c>
    </row>
    <row r="172" spans="1:10" ht="15" customHeight="1" x14ac:dyDescent="0.25">
      <c r="A172" t="s">
        <v>6312</v>
      </c>
      <c r="B172" t="s">
        <v>3531</v>
      </c>
      <c r="C172" t="s">
        <v>5775</v>
      </c>
      <c r="D172">
        <v>2</v>
      </c>
      <c r="E172" t="s">
        <v>6313</v>
      </c>
      <c r="F172" t="s">
        <v>6314</v>
      </c>
      <c r="G172">
        <v>2</v>
      </c>
      <c r="H172" t="s">
        <v>6315</v>
      </c>
      <c r="I172" t="s">
        <v>90</v>
      </c>
      <c r="J172" t="s">
        <v>6057</v>
      </c>
    </row>
    <row r="173" spans="1:10" ht="15" customHeight="1" x14ac:dyDescent="0.25">
      <c r="A173" t="s">
        <v>6316</v>
      </c>
      <c r="B173" t="s">
        <v>4350</v>
      </c>
      <c r="C173" t="s">
        <v>4297</v>
      </c>
      <c r="D173" t="s">
        <v>4039</v>
      </c>
      <c r="E173" t="s">
        <v>6317</v>
      </c>
      <c r="F173" t="s">
        <v>3468</v>
      </c>
      <c r="G173" t="s">
        <v>3468</v>
      </c>
      <c r="H173" t="s">
        <v>6316</v>
      </c>
      <c r="I173" t="s">
        <v>90</v>
      </c>
      <c r="J173" t="s">
        <v>5923</v>
      </c>
    </row>
    <row r="174" spans="1:10" ht="15" customHeight="1" x14ac:dyDescent="0.25">
      <c r="A174" t="s">
        <v>6318</v>
      </c>
      <c r="B174" t="s">
        <v>4350</v>
      </c>
      <c r="C174" t="s">
        <v>5775</v>
      </c>
      <c r="D174">
        <v>0</v>
      </c>
      <c r="E174" t="s">
        <v>6319</v>
      </c>
      <c r="F174" t="s">
        <v>6320</v>
      </c>
      <c r="G174">
        <v>0</v>
      </c>
      <c r="H174" t="s">
        <v>6318</v>
      </c>
      <c r="I174" t="s">
        <v>90</v>
      </c>
    </row>
    <row r="175" spans="1:10" ht="15" customHeight="1" x14ac:dyDescent="0.25">
      <c r="A175" t="s">
        <v>6321</v>
      </c>
      <c r="B175" t="s">
        <v>3531</v>
      </c>
      <c r="C175" t="s">
        <v>5413</v>
      </c>
      <c r="D175">
        <v>2</v>
      </c>
      <c r="E175" t="s">
        <v>6322</v>
      </c>
      <c r="F175" t="s">
        <v>6323</v>
      </c>
      <c r="G175">
        <v>2</v>
      </c>
      <c r="H175" t="s">
        <v>6321</v>
      </c>
      <c r="I175" t="s">
        <v>90</v>
      </c>
      <c r="J175" t="s">
        <v>5990</v>
      </c>
    </row>
    <row r="176" spans="1:10" ht="15" customHeight="1" x14ac:dyDescent="0.25">
      <c r="A176" t="s">
        <v>6324</v>
      </c>
      <c r="B176" t="s">
        <v>41</v>
      </c>
      <c r="C176" t="s">
        <v>5413</v>
      </c>
      <c r="D176">
        <v>1</v>
      </c>
      <c r="E176" t="s">
        <v>6325</v>
      </c>
      <c r="F176" t="s">
        <v>6326</v>
      </c>
      <c r="G176">
        <v>1</v>
      </c>
      <c r="H176" t="s">
        <v>6327</v>
      </c>
      <c r="I176" t="s">
        <v>90</v>
      </c>
      <c r="J176" t="s">
        <v>6328</v>
      </c>
    </row>
    <row r="177" spans="1:10" ht="15" customHeight="1" x14ac:dyDescent="0.25">
      <c r="A177" t="s">
        <v>6329</v>
      </c>
      <c r="B177" t="s">
        <v>3531</v>
      </c>
      <c r="C177" t="s">
        <v>5775</v>
      </c>
      <c r="D177" t="s">
        <v>5999</v>
      </c>
      <c r="E177" t="s">
        <v>6330</v>
      </c>
      <c r="F177" t="s">
        <v>6331</v>
      </c>
      <c r="G177" t="s">
        <v>5999</v>
      </c>
      <c r="H177" t="s">
        <v>6329</v>
      </c>
      <c r="I177" t="s">
        <v>90</v>
      </c>
      <c r="J177" t="s">
        <v>5830</v>
      </c>
    </row>
    <row r="178" spans="1:10" ht="15" customHeight="1" x14ac:dyDescent="0.25">
      <c r="A178" t="s">
        <v>6332</v>
      </c>
      <c r="B178" t="s">
        <v>41</v>
      </c>
      <c r="C178" t="s">
        <v>5775</v>
      </c>
      <c r="D178">
        <v>0</v>
      </c>
      <c r="E178" t="s">
        <v>6333</v>
      </c>
      <c r="F178" t="s">
        <v>6334</v>
      </c>
      <c r="G178">
        <v>0</v>
      </c>
      <c r="H178" t="s">
        <v>6332</v>
      </c>
      <c r="I178" t="s">
        <v>90</v>
      </c>
      <c r="J178" t="s">
        <v>5830</v>
      </c>
    </row>
    <row r="179" spans="1:10" ht="15" customHeight="1" x14ac:dyDescent="0.25">
      <c r="A179" t="s">
        <v>6335</v>
      </c>
      <c r="B179" t="s">
        <v>4350</v>
      </c>
      <c r="C179" t="s">
        <v>3675</v>
      </c>
      <c r="D179">
        <v>1</v>
      </c>
      <c r="E179" t="s">
        <v>6336</v>
      </c>
      <c r="F179" t="s">
        <v>3468</v>
      </c>
      <c r="G179" t="s">
        <v>3468</v>
      </c>
      <c r="H179" t="s">
        <v>6335</v>
      </c>
      <c r="I179" t="s">
        <v>90</v>
      </c>
    </row>
    <row r="180" spans="1:10" ht="15" customHeight="1" x14ac:dyDescent="0.25">
      <c r="A180" t="s">
        <v>6337</v>
      </c>
      <c r="B180" t="s">
        <v>41</v>
      </c>
      <c r="C180" t="s">
        <v>5775</v>
      </c>
      <c r="D180">
        <v>2</v>
      </c>
      <c r="E180" t="s">
        <v>6338</v>
      </c>
      <c r="F180" t="s">
        <v>6339</v>
      </c>
      <c r="G180">
        <v>2</v>
      </c>
      <c r="H180" t="s">
        <v>6340</v>
      </c>
      <c r="I180" t="s">
        <v>90</v>
      </c>
      <c r="J180" t="s">
        <v>6078</v>
      </c>
    </row>
    <row r="181" spans="1:10" ht="15" customHeight="1" x14ac:dyDescent="0.25">
      <c r="A181" t="s">
        <v>6341</v>
      </c>
      <c r="B181" t="s">
        <v>3531</v>
      </c>
      <c r="C181" t="s">
        <v>5494</v>
      </c>
      <c r="D181">
        <v>1</v>
      </c>
      <c r="E181" t="s">
        <v>5924</v>
      </c>
      <c r="F181" t="s">
        <v>5925</v>
      </c>
      <c r="G181">
        <v>1</v>
      </c>
      <c r="H181" t="s">
        <v>6341</v>
      </c>
      <c r="I181" t="s">
        <v>2362</v>
      </c>
      <c r="J181" t="s">
        <v>6059</v>
      </c>
    </row>
    <row r="182" spans="1:10" ht="15" customHeight="1" x14ac:dyDescent="0.25">
      <c r="A182" t="s">
        <v>6342</v>
      </c>
      <c r="B182" t="s">
        <v>3531</v>
      </c>
      <c r="C182" t="s">
        <v>5413</v>
      </c>
      <c r="D182">
        <v>1</v>
      </c>
      <c r="E182" t="s">
        <v>6343</v>
      </c>
      <c r="F182" t="s">
        <v>6344</v>
      </c>
      <c r="G182">
        <v>1</v>
      </c>
      <c r="H182" t="s">
        <v>6345</v>
      </c>
      <c r="I182" t="s">
        <v>90</v>
      </c>
      <c r="J182" t="s">
        <v>5980</v>
      </c>
    </row>
    <row r="183" spans="1:10" ht="15" customHeight="1" x14ac:dyDescent="0.25">
      <c r="A183" t="s">
        <v>6346</v>
      </c>
      <c r="B183" t="s">
        <v>3519</v>
      </c>
      <c r="C183" t="s">
        <v>5413</v>
      </c>
      <c r="D183">
        <v>1</v>
      </c>
      <c r="E183" t="s">
        <v>6347</v>
      </c>
      <c r="F183" t="s">
        <v>6348</v>
      </c>
      <c r="G183">
        <v>1</v>
      </c>
      <c r="H183" t="s">
        <v>6349</v>
      </c>
      <c r="I183" t="s">
        <v>90</v>
      </c>
      <c r="J183" t="s">
        <v>6350</v>
      </c>
    </row>
    <row r="184" spans="1:10" ht="15" customHeight="1" x14ac:dyDescent="0.25">
      <c r="A184" t="s">
        <v>6351</v>
      </c>
      <c r="B184" t="s">
        <v>3564</v>
      </c>
      <c r="C184" t="s">
        <v>5775</v>
      </c>
      <c r="D184">
        <v>1</v>
      </c>
      <c r="E184" t="s">
        <v>6333</v>
      </c>
      <c r="F184" t="s">
        <v>6334</v>
      </c>
      <c r="G184">
        <v>1</v>
      </c>
      <c r="H184" t="s">
        <v>3468</v>
      </c>
      <c r="I184" t="s">
        <v>3468</v>
      </c>
    </row>
    <row r="185" spans="1:10" ht="15" customHeight="1" x14ac:dyDescent="0.25">
      <c r="A185" t="s">
        <v>6352</v>
      </c>
      <c r="B185" t="s">
        <v>41</v>
      </c>
      <c r="C185" t="s">
        <v>5775</v>
      </c>
      <c r="D185">
        <v>1</v>
      </c>
      <c r="E185" t="s">
        <v>6353</v>
      </c>
      <c r="F185" t="s">
        <v>6354</v>
      </c>
      <c r="G185">
        <v>1</v>
      </c>
      <c r="H185" t="s">
        <v>6355</v>
      </c>
      <c r="I185" t="s">
        <v>90</v>
      </c>
      <c r="J185" t="s">
        <v>5806</v>
      </c>
    </row>
    <row r="186" spans="1:10" ht="15" customHeight="1" x14ac:dyDescent="0.25">
      <c r="A186" t="s">
        <v>5749</v>
      </c>
      <c r="B186" t="s">
        <v>3564</v>
      </c>
      <c r="C186" t="s">
        <v>5413</v>
      </c>
      <c r="D186">
        <v>1</v>
      </c>
      <c r="E186" t="s">
        <v>6356</v>
      </c>
      <c r="F186" t="s">
        <v>6357</v>
      </c>
      <c r="G186">
        <v>1</v>
      </c>
      <c r="H186" t="s">
        <v>5749</v>
      </c>
      <c r="I186" t="s">
        <v>90</v>
      </c>
      <c r="J186" t="s">
        <v>6358</v>
      </c>
    </row>
    <row r="187" spans="1:10" ht="15" customHeight="1" x14ac:dyDescent="0.25">
      <c r="A187" t="s">
        <v>6359</v>
      </c>
      <c r="B187" t="s">
        <v>41</v>
      </c>
      <c r="C187" t="s">
        <v>5775</v>
      </c>
      <c r="D187">
        <v>1</v>
      </c>
      <c r="E187" t="s">
        <v>6360</v>
      </c>
      <c r="F187" t="s">
        <v>6361</v>
      </c>
      <c r="G187">
        <v>1</v>
      </c>
      <c r="H187" t="s">
        <v>6362</v>
      </c>
      <c r="I187" t="s">
        <v>90</v>
      </c>
      <c r="J187" t="s">
        <v>6363</v>
      </c>
    </row>
    <row r="188" spans="1:10" ht="15" customHeight="1" x14ac:dyDescent="0.25">
      <c r="A188" t="s">
        <v>6364</v>
      </c>
      <c r="B188" t="s">
        <v>41</v>
      </c>
      <c r="C188" t="s">
        <v>5775</v>
      </c>
      <c r="D188">
        <v>1</v>
      </c>
      <c r="E188" t="s">
        <v>6365</v>
      </c>
      <c r="F188" t="s">
        <v>6366</v>
      </c>
      <c r="G188">
        <v>1</v>
      </c>
      <c r="H188" t="s">
        <v>6367</v>
      </c>
      <c r="I188" t="s">
        <v>90</v>
      </c>
      <c r="J188" t="s">
        <v>5788</v>
      </c>
    </row>
    <row r="189" spans="1:10" ht="15" customHeight="1" x14ac:dyDescent="0.25">
      <c r="A189" t="s">
        <v>6368</v>
      </c>
      <c r="B189" t="s">
        <v>3531</v>
      </c>
      <c r="C189" t="s">
        <v>5413</v>
      </c>
      <c r="D189" t="s">
        <v>4039</v>
      </c>
      <c r="E189" t="s">
        <v>6369</v>
      </c>
      <c r="F189" t="s">
        <v>6370</v>
      </c>
      <c r="G189" t="s">
        <v>4039</v>
      </c>
      <c r="H189" t="s">
        <v>6368</v>
      </c>
      <c r="I189" t="s">
        <v>90</v>
      </c>
      <c r="J189" t="s">
        <v>6371</v>
      </c>
    </row>
    <row r="190" spans="1:10" ht="15" customHeight="1" x14ac:dyDescent="0.25">
      <c r="A190" t="s">
        <v>6372</v>
      </c>
      <c r="B190" t="s">
        <v>3531</v>
      </c>
      <c r="C190" t="s">
        <v>5858</v>
      </c>
      <c r="D190">
        <v>3</v>
      </c>
      <c r="E190" t="s">
        <v>6373</v>
      </c>
      <c r="F190" t="s">
        <v>6374</v>
      </c>
      <c r="G190">
        <v>3</v>
      </c>
      <c r="H190" t="s">
        <v>6375</v>
      </c>
      <c r="I190" t="s">
        <v>1673</v>
      </c>
    </row>
    <row r="191" spans="1:10" ht="15" customHeight="1" x14ac:dyDescent="0.25">
      <c r="A191" t="s">
        <v>6376</v>
      </c>
      <c r="B191" t="s">
        <v>3531</v>
      </c>
      <c r="C191" t="s">
        <v>5413</v>
      </c>
      <c r="D191">
        <v>1</v>
      </c>
      <c r="E191" t="s">
        <v>6377</v>
      </c>
      <c r="F191" t="s">
        <v>6377</v>
      </c>
      <c r="G191">
        <v>0</v>
      </c>
      <c r="H191" t="s">
        <v>6376</v>
      </c>
      <c r="I191" t="s">
        <v>90</v>
      </c>
      <c r="J191" t="s">
        <v>6184</v>
      </c>
    </row>
    <row r="192" spans="1:10" ht="15" customHeight="1" x14ac:dyDescent="0.25">
      <c r="A192" t="s">
        <v>6378</v>
      </c>
      <c r="B192" t="s">
        <v>41</v>
      </c>
      <c r="C192" t="s">
        <v>5775</v>
      </c>
      <c r="D192">
        <v>1</v>
      </c>
      <c r="E192" t="s">
        <v>6379</v>
      </c>
      <c r="F192" t="s">
        <v>6380</v>
      </c>
      <c r="G192">
        <v>1</v>
      </c>
      <c r="H192" t="s">
        <v>6378</v>
      </c>
      <c r="I192" t="s">
        <v>90</v>
      </c>
      <c r="J192" t="s">
        <v>5920</v>
      </c>
    </row>
    <row r="193" spans="1:10" ht="15" customHeight="1" x14ac:dyDescent="0.25">
      <c r="A193" t="s">
        <v>6381</v>
      </c>
      <c r="B193" t="s">
        <v>3519</v>
      </c>
      <c r="C193" t="s">
        <v>4650</v>
      </c>
      <c r="D193">
        <v>1</v>
      </c>
      <c r="E193" t="s">
        <v>6382</v>
      </c>
      <c r="F193" t="s">
        <v>6382</v>
      </c>
      <c r="G193">
        <v>0</v>
      </c>
      <c r="H193" t="s">
        <v>6383</v>
      </c>
      <c r="I193" t="s">
        <v>90</v>
      </c>
      <c r="J193" t="s">
        <v>5761</v>
      </c>
    </row>
    <row r="194" spans="1:10" ht="15" customHeight="1" x14ac:dyDescent="0.25">
      <c r="A194" t="s">
        <v>6384</v>
      </c>
      <c r="B194" t="s">
        <v>41</v>
      </c>
      <c r="C194" t="s">
        <v>5413</v>
      </c>
      <c r="D194">
        <v>1</v>
      </c>
      <c r="E194" t="s">
        <v>6385</v>
      </c>
      <c r="F194" t="s">
        <v>6386</v>
      </c>
      <c r="G194">
        <v>1</v>
      </c>
      <c r="H194" t="s">
        <v>6387</v>
      </c>
      <c r="I194" t="s">
        <v>90</v>
      </c>
      <c r="J194" t="s">
        <v>6052</v>
      </c>
    </row>
    <row r="195" spans="1:10" ht="15" customHeight="1" x14ac:dyDescent="0.25">
      <c r="A195" t="s">
        <v>6388</v>
      </c>
      <c r="B195" t="s">
        <v>41</v>
      </c>
      <c r="C195" t="s">
        <v>5775</v>
      </c>
      <c r="D195">
        <v>1</v>
      </c>
      <c r="E195" t="s">
        <v>6389</v>
      </c>
      <c r="F195" t="s">
        <v>6390</v>
      </c>
      <c r="G195">
        <v>1</v>
      </c>
      <c r="H195" t="s">
        <v>6391</v>
      </c>
      <c r="I195" t="s">
        <v>90</v>
      </c>
      <c r="J195" t="s">
        <v>5788</v>
      </c>
    </row>
    <row r="196" spans="1:10" ht="15" customHeight="1" x14ac:dyDescent="0.25">
      <c r="A196" t="s">
        <v>6392</v>
      </c>
      <c r="B196" t="s">
        <v>3519</v>
      </c>
      <c r="C196" t="s">
        <v>5775</v>
      </c>
      <c r="D196">
        <v>1</v>
      </c>
      <c r="E196" t="s">
        <v>6393</v>
      </c>
      <c r="F196" t="s">
        <v>6394</v>
      </c>
      <c r="G196">
        <v>1</v>
      </c>
      <c r="H196" t="s">
        <v>6392</v>
      </c>
      <c r="I196" t="s">
        <v>90</v>
      </c>
      <c r="J196" t="s">
        <v>6035</v>
      </c>
    </row>
    <row r="197" spans="1:10" ht="15" customHeight="1" x14ac:dyDescent="0.25">
      <c r="A197" t="s">
        <v>6395</v>
      </c>
      <c r="B197" t="s">
        <v>3531</v>
      </c>
      <c r="C197" t="s">
        <v>5775</v>
      </c>
      <c r="D197">
        <v>2</v>
      </c>
      <c r="E197" t="s">
        <v>6396</v>
      </c>
      <c r="F197" t="s">
        <v>6397</v>
      </c>
      <c r="G197">
        <v>2</v>
      </c>
      <c r="H197" t="s">
        <v>6395</v>
      </c>
      <c r="I197" t="s">
        <v>90</v>
      </c>
      <c r="J197" t="s">
        <v>5920</v>
      </c>
    </row>
    <row r="198" spans="1:10" ht="15" customHeight="1" x14ac:dyDescent="0.25">
      <c r="A198" t="s">
        <v>6398</v>
      </c>
      <c r="B198" t="s">
        <v>3519</v>
      </c>
      <c r="C198" t="s">
        <v>5494</v>
      </c>
      <c r="D198">
        <v>1</v>
      </c>
      <c r="E198" t="s">
        <v>5924</v>
      </c>
      <c r="F198" t="s">
        <v>5925</v>
      </c>
      <c r="G198">
        <v>1</v>
      </c>
      <c r="H198" t="s">
        <v>6398</v>
      </c>
      <c r="I198" t="s">
        <v>2362</v>
      </c>
      <c r="J198" t="s">
        <v>6059</v>
      </c>
    </row>
    <row r="199" spans="1:10" ht="15" customHeight="1" x14ac:dyDescent="0.25">
      <c r="A199" t="s">
        <v>6399</v>
      </c>
      <c r="B199" t="s">
        <v>41</v>
      </c>
      <c r="C199" t="s">
        <v>5413</v>
      </c>
      <c r="D199">
        <v>0</v>
      </c>
      <c r="E199" t="s">
        <v>6400</v>
      </c>
      <c r="F199" t="s">
        <v>6401</v>
      </c>
      <c r="G199">
        <v>0</v>
      </c>
      <c r="H199" t="s">
        <v>6399</v>
      </c>
      <c r="I199" t="s">
        <v>90</v>
      </c>
      <c r="J199" t="s">
        <v>5816</v>
      </c>
    </row>
    <row r="200" spans="1:10" ht="15" customHeight="1" x14ac:dyDescent="0.25">
      <c r="A200" t="s">
        <v>6402</v>
      </c>
      <c r="B200" t="s">
        <v>3531</v>
      </c>
      <c r="C200" t="s">
        <v>5494</v>
      </c>
      <c r="D200">
        <v>1</v>
      </c>
      <c r="E200" t="s">
        <v>5924</v>
      </c>
      <c r="F200" t="s">
        <v>5925</v>
      </c>
      <c r="G200">
        <v>1</v>
      </c>
      <c r="H200" t="s">
        <v>6402</v>
      </c>
      <c r="I200" t="s">
        <v>2362</v>
      </c>
      <c r="J200" t="s">
        <v>5972</v>
      </c>
    </row>
    <row r="201" spans="1:10" ht="15" customHeight="1" x14ac:dyDescent="0.25">
      <c r="A201" t="s">
        <v>5344</v>
      </c>
      <c r="B201" t="s">
        <v>3531</v>
      </c>
      <c r="C201" t="s">
        <v>4650</v>
      </c>
      <c r="D201">
        <v>1</v>
      </c>
      <c r="E201" t="s">
        <v>6403</v>
      </c>
      <c r="F201" t="s">
        <v>6404</v>
      </c>
      <c r="G201">
        <v>1</v>
      </c>
      <c r="H201" t="s">
        <v>5346</v>
      </c>
      <c r="I201" t="s">
        <v>90</v>
      </c>
      <c r="J201" t="s">
        <v>6045</v>
      </c>
    </row>
    <row r="202" spans="1:10" ht="15" customHeight="1" x14ac:dyDescent="0.25">
      <c r="A202" t="s">
        <v>6405</v>
      </c>
      <c r="B202" t="s">
        <v>3531</v>
      </c>
      <c r="C202" t="s">
        <v>5775</v>
      </c>
      <c r="D202" t="s">
        <v>5999</v>
      </c>
      <c r="E202" t="s">
        <v>6406</v>
      </c>
      <c r="F202" t="s">
        <v>6407</v>
      </c>
      <c r="G202" t="s">
        <v>5999</v>
      </c>
      <c r="H202" t="s">
        <v>6405</v>
      </c>
      <c r="I202" t="s">
        <v>90</v>
      </c>
      <c r="J202" t="s">
        <v>5788</v>
      </c>
    </row>
    <row r="203" spans="1:10" ht="15" customHeight="1" x14ac:dyDescent="0.25">
      <c r="A203" t="s">
        <v>6408</v>
      </c>
      <c r="B203" t="s">
        <v>3531</v>
      </c>
      <c r="C203" t="s">
        <v>5413</v>
      </c>
      <c r="D203">
        <v>1</v>
      </c>
      <c r="E203" t="s">
        <v>6409</v>
      </c>
      <c r="F203" t="s">
        <v>6409</v>
      </c>
      <c r="G203">
        <v>0</v>
      </c>
      <c r="H203" t="s">
        <v>6410</v>
      </c>
      <c r="I203" t="s">
        <v>90</v>
      </c>
      <c r="J203" t="s">
        <v>6411</v>
      </c>
    </row>
    <row r="204" spans="1:10" ht="15" customHeight="1" x14ac:dyDescent="0.25">
      <c r="A204" t="s">
        <v>6412</v>
      </c>
      <c r="B204" t="s">
        <v>41</v>
      </c>
      <c r="C204" t="s">
        <v>5775</v>
      </c>
      <c r="D204">
        <v>1</v>
      </c>
      <c r="E204" t="s">
        <v>6413</v>
      </c>
      <c r="F204" t="s">
        <v>6414</v>
      </c>
      <c r="G204">
        <v>1</v>
      </c>
      <c r="H204" t="s">
        <v>6415</v>
      </c>
      <c r="I204" t="s">
        <v>90</v>
      </c>
      <c r="J204" t="s">
        <v>6038</v>
      </c>
    </row>
    <row r="205" spans="1:10" ht="15" customHeight="1" x14ac:dyDescent="0.25">
      <c r="A205" t="s">
        <v>6416</v>
      </c>
      <c r="B205" t="s">
        <v>4350</v>
      </c>
      <c r="C205" t="s">
        <v>3675</v>
      </c>
      <c r="D205" t="s">
        <v>4039</v>
      </c>
      <c r="E205" t="s">
        <v>6141</v>
      </c>
      <c r="F205" t="s">
        <v>3468</v>
      </c>
      <c r="G205" t="s">
        <v>4039</v>
      </c>
      <c r="H205" t="s">
        <v>6416</v>
      </c>
      <c r="I205" t="s">
        <v>90</v>
      </c>
    </row>
    <row r="206" spans="1:10" ht="15" customHeight="1" x14ac:dyDescent="0.25">
      <c r="A206" t="s">
        <v>6417</v>
      </c>
      <c r="B206" t="s">
        <v>3519</v>
      </c>
      <c r="C206" t="s">
        <v>4650</v>
      </c>
      <c r="D206">
        <v>3</v>
      </c>
      <c r="E206" t="s">
        <v>6418</v>
      </c>
      <c r="F206" t="s">
        <v>6419</v>
      </c>
      <c r="G206">
        <v>3</v>
      </c>
      <c r="H206" t="s">
        <v>6420</v>
      </c>
      <c r="I206" t="s">
        <v>90</v>
      </c>
      <c r="J206" t="s">
        <v>5770</v>
      </c>
    </row>
    <row r="207" spans="1:10" ht="15" customHeight="1" x14ac:dyDescent="0.25">
      <c r="A207" t="s">
        <v>6421</v>
      </c>
      <c r="B207" t="s">
        <v>4350</v>
      </c>
      <c r="C207" t="s">
        <v>4297</v>
      </c>
      <c r="D207" t="s">
        <v>4039</v>
      </c>
      <c r="E207" t="s">
        <v>6422</v>
      </c>
      <c r="F207" t="s">
        <v>3468</v>
      </c>
      <c r="G207" t="s">
        <v>3468</v>
      </c>
      <c r="H207" t="s">
        <v>6421</v>
      </c>
      <c r="I207" t="s">
        <v>90</v>
      </c>
      <c r="J207" t="s">
        <v>5923</v>
      </c>
    </row>
    <row r="208" spans="1:10" ht="15" customHeight="1" x14ac:dyDescent="0.25">
      <c r="A208" t="s">
        <v>6423</v>
      </c>
      <c r="B208" t="s">
        <v>4350</v>
      </c>
      <c r="C208" t="s">
        <v>3675</v>
      </c>
      <c r="D208">
        <v>1</v>
      </c>
      <c r="E208" t="s">
        <v>6424</v>
      </c>
      <c r="F208" t="s">
        <v>3468</v>
      </c>
      <c r="G208" t="s">
        <v>3468</v>
      </c>
      <c r="H208" t="s">
        <v>6425</v>
      </c>
      <c r="I208" t="s">
        <v>501</v>
      </c>
      <c r="J208" t="s">
        <v>5846</v>
      </c>
    </row>
    <row r="209" spans="1:10" ht="15" customHeight="1" x14ac:dyDescent="0.25">
      <c r="A209" t="s">
        <v>4755</v>
      </c>
      <c r="B209" t="s">
        <v>41</v>
      </c>
      <c r="C209" t="s">
        <v>5775</v>
      </c>
      <c r="D209">
        <v>1</v>
      </c>
      <c r="E209" t="s">
        <v>6168</v>
      </c>
      <c r="F209" t="s">
        <v>6168</v>
      </c>
      <c r="G209">
        <v>1</v>
      </c>
      <c r="H209" t="s">
        <v>4758</v>
      </c>
      <c r="I209" t="s">
        <v>1047</v>
      </c>
      <c r="J209" t="s">
        <v>5808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5751</v>
      </c>
      <c r="E1" t="s">
        <v>3462</v>
      </c>
      <c r="F1" t="s">
        <v>6426</v>
      </c>
      <c r="G1" t="s">
        <v>6427</v>
      </c>
      <c r="H1" t="s">
        <v>6428</v>
      </c>
      <c r="I1" t="s">
        <v>6429</v>
      </c>
      <c r="J1" t="s">
        <v>5775</v>
      </c>
      <c r="K1" t="s">
        <v>4312</v>
      </c>
      <c r="L1" t="s">
        <v>1</v>
      </c>
      <c r="M1" t="s">
        <v>6430</v>
      </c>
      <c r="N1" t="s">
        <v>6431</v>
      </c>
      <c r="O1" t="s">
        <v>170</v>
      </c>
    </row>
    <row r="2" spans="1:15" ht="15" customHeight="1" x14ac:dyDescent="0.25">
      <c r="A2" t="s">
        <v>5754</v>
      </c>
      <c r="B2" t="s">
        <v>3531</v>
      </c>
      <c r="C2" t="s">
        <v>4650</v>
      </c>
      <c r="D2">
        <v>1</v>
      </c>
      <c r="E2" t="s">
        <v>5755</v>
      </c>
      <c r="F2" t="s">
        <v>6432</v>
      </c>
      <c r="G2" t="s">
        <v>5756</v>
      </c>
      <c r="H2" t="s">
        <v>6433</v>
      </c>
      <c r="I2">
        <v>1</v>
      </c>
      <c r="J2" t="s">
        <v>3468</v>
      </c>
      <c r="K2" t="s">
        <v>5754</v>
      </c>
      <c r="L2" t="s">
        <v>90</v>
      </c>
      <c r="M2" t="s">
        <v>3468</v>
      </c>
      <c r="N2" t="s">
        <v>3468</v>
      </c>
      <c r="O2" t="s">
        <v>5757</v>
      </c>
    </row>
    <row r="3" spans="1:15" ht="15" customHeight="1" x14ac:dyDescent="0.25">
      <c r="A3" t="s">
        <v>5758</v>
      </c>
      <c r="B3" t="s">
        <v>41</v>
      </c>
      <c r="C3" t="s">
        <v>5413</v>
      </c>
      <c r="D3">
        <v>1</v>
      </c>
      <c r="E3" t="s">
        <v>5759</v>
      </c>
      <c r="F3" t="s">
        <v>6434</v>
      </c>
      <c r="G3" t="s">
        <v>5760</v>
      </c>
      <c r="H3" t="s">
        <v>6435</v>
      </c>
      <c r="I3">
        <v>1</v>
      </c>
      <c r="J3" t="s">
        <v>3468</v>
      </c>
      <c r="K3" t="s">
        <v>5758</v>
      </c>
      <c r="L3" t="s">
        <v>90</v>
      </c>
      <c r="M3" t="s">
        <v>3468</v>
      </c>
      <c r="N3" t="s">
        <v>3468</v>
      </c>
      <c r="O3" t="s">
        <v>5761</v>
      </c>
    </row>
    <row r="4" spans="1:15" ht="15" customHeight="1" x14ac:dyDescent="0.25">
      <c r="A4" t="s">
        <v>5762</v>
      </c>
      <c r="B4" t="s">
        <v>3519</v>
      </c>
      <c r="C4" t="s">
        <v>5413</v>
      </c>
      <c r="D4">
        <v>0</v>
      </c>
      <c r="E4" t="s">
        <v>5763</v>
      </c>
      <c r="F4" t="s">
        <v>6436</v>
      </c>
      <c r="G4" t="s">
        <v>5764</v>
      </c>
      <c r="H4" t="s">
        <v>6437</v>
      </c>
      <c r="I4">
        <v>0</v>
      </c>
      <c r="J4" t="s">
        <v>3468</v>
      </c>
      <c r="K4" t="s">
        <v>5762</v>
      </c>
      <c r="L4" t="s">
        <v>90</v>
      </c>
      <c r="M4" t="s">
        <v>5549</v>
      </c>
      <c r="N4" t="s">
        <v>3468</v>
      </c>
      <c r="O4" t="s">
        <v>5765</v>
      </c>
    </row>
    <row r="5" spans="1:15" ht="15" customHeight="1" x14ac:dyDescent="0.25">
      <c r="A5" t="s">
        <v>5766</v>
      </c>
      <c r="B5" t="s">
        <v>3519</v>
      </c>
      <c r="C5" t="s">
        <v>4650</v>
      </c>
      <c r="D5">
        <v>1</v>
      </c>
      <c r="E5" t="s">
        <v>5767</v>
      </c>
      <c r="F5" t="s">
        <v>6438</v>
      </c>
      <c r="G5" t="s">
        <v>5768</v>
      </c>
      <c r="H5" t="s">
        <v>6438</v>
      </c>
      <c r="I5">
        <v>1</v>
      </c>
      <c r="J5" t="s">
        <v>3468</v>
      </c>
      <c r="K5" t="s">
        <v>5769</v>
      </c>
      <c r="L5" t="s">
        <v>90</v>
      </c>
      <c r="M5" t="s">
        <v>5488</v>
      </c>
      <c r="N5" t="s">
        <v>3468</v>
      </c>
      <c r="O5" t="s">
        <v>5770</v>
      </c>
    </row>
    <row r="6" spans="1:15" ht="15" customHeight="1" x14ac:dyDescent="0.25">
      <c r="A6" t="s">
        <v>5771</v>
      </c>
      <c r="B6" t="s">
        <v>3519</v>
      </c>
      <c r="C6" t="s">
        <v>5413</v>
      </c>
      <c r="D6">
        <v>1</v>
      </c>
      <c r="E6" t="s">
        <v>5772</v>
      </c>
      <c r="F6" t="s">
        <v>6439</v>
      </c>
      <c r="G6" t="s">
        <v>5772</v>
      </c>
      <c r="H6" t="s">
        <v>6439</v>
      </c>
      <c r="I6">
        <v>0</v>
      </c>
      <c r="J6" t="s">
        <v>3468</v>
      </c>
      <c r="K6" t="s">
        <v>5771</v>
      </c>
      <c r="L6" t="s">
        <v>90</v>
      </c>
      <c r="M6" t="s">
        <v>5549</v>
      </c>
      <c r="N6" t="s">
        <v>3468</v>
      </c>
      <c r="O6" t="s">
        <v>6440</v>
      </c>
    </row>
    <row r="7" spans="1:15" ht="15" customHeight="1" x14ac:dyDescent="0.25">
      <c r="A7" t="s">
        <v>5774</v>
      </c>
      <c r="B7" t="s">
        <v>3519</v>
      </c>
      <c r="C7" t="s">
        <v>5775</v>
      </c>
      <c r="D7">
        <v>2</v>
      </c>
      <c r="E7" t="s">
        <v>6441</v>
      </c>
      <c r="F7" t="s">
        <v>6442</v>
      </c>
      <c r="G7" t="s">
        <v>6443</v>
      </c>
      <c r="H7" t="s">
        <v>6444</v>
      </c>
      <c r="I7">
        <v>2</v>
      </c>
      <c r="J7" t="s">
        <v>6445</v>
      </c>
      <c r="K7" t="s">
        <v>5778</v>
      </c>
      <c r="L7" t="s">
        <v>90</v>
      </c>
      <c r="M7" t="s">
        <v>3468</v>
      </c>
      <c r="N7" t="s">
        <v>3468</v>
      </c>
      <c r="O7" t="s">
        <v>5779</v>
      </c>
    </row>
    <row r="8" spans="1:15" ht="15" customHeight="1" x14ac:dyDescent="0.25">
      <c r="A8" t="s">
        <v>5780</v>
      </c>
      <c r="B8" t="s">
        <v>3531</v>
      </c>
      <c r="C8" t="s">
        <v>5775</v>
      </c>
      <c r="D8">
        <v>1</v>
      </c>
      <c r="E8" t="s">
        <v>6446</v>
      </c>
      <c r="F8" t="s">
        <v>6447</v>
      </c>
      <c r="G8" t="s">
        <v>6448</v>
      </c>
      <c r="H8" t="s">
        <v>6449</v>
      </c>
      <c r="I8">
        <v>1</v>
      </c>
      <c r="J8" t="s">
        <v>6450</v>
      </c>
      <c r="K8" t="s">
        <v>5783</v>
      </c>
      <c r="L8" t="s">
        <v>90</v>
      </c>
      <c r="M8" t="s">
        <v>3468</v>
      </c>
      <c r="N8" t="s">
        <v>3468</v>
      </c>
      <c r="O8" t="s">
        <v>5784</v>
      </c>
    </row>
    <row r="9" spans="1:15" ht="15" customHeight="1" x14ac:dyDescent="0.25">
      <c r="A9" t="s">
        <v>5785</v>
      </c>
      <c r="B9" t="s">
        <v>41</v>
      </c>
      <c r="C9" t="s">
        <v>5775</v>
      </c>
      <c r="D9">
        <v>0</v>
      </c>
      <c r="E9" t="s">
        <v>5786</v>
      </c>
      <c r="F9" t="s">
        <v>6451</v>
      </c>
      <c r="G9" t="s">
        <v>5787</v>
      </c>
      <c r="H9" t="s">
        <v>6452</v>
      </c>
      <c r="I9">
        <v>0</v>
      </c>
      <c r="J9" t="s">
        <v>6453</v>
      </c>
      <c r="K9" t="s">
        <v>5785</v>
      </c>
      <c r="L9" t="s">
        <v>90</v>
      </c>
      <c r="M9" t="s">
        <v>3468</v>
      </c>
      <c r="N9" t="s">
        <v>3468</v>
      </c>
      <c r="O9" t="s">
        <v>5788</v>
      </c>
    </row>
    <row r="10" spans="1:15" ht="15" customHeight="1" x14ac:dyDescent="0.25">
      <c r="A10" t="s">
        <v>5789</v>
      </c>
      <c r="B10" t="s">
        <v>41</v>
      </c>
      <c r="C10" t="s">
        <v>5413</v>
      </c>
      <c r="D10">
        <v>1</v>
      </c>
      <c r="E10" t="s">
        <v>5790</v>
      </c>
      <c r="F10" t="s">
        <v>6454</v>
      </c>
      <c r="G10" t="s">
        <v>5791</v>
      </c>
      <c r="H10" t="s">
        <v>6455</v>
      </c>
      <c r="I10">
        <v>1</v>
      </c>
      <c r="J10" t="s">
        <v>3468</v>
      </c>
      <c r="K10" t="s">
        <v>5789</v>
      </c>
      <c r="L10" t="s">
        <v>90</v>
      </c>
      <c r="M10" t="s">
        <v>3468</v>
      </c>
      <c r="N10" t="s">
        <v>3468</v>
      </c>
      <c r="O10" t="s">
        <v>5792</v>
      </c>
    </row>
    <row r="11" spans="1:15" ht="15" customHeight="1" x14ac:dyDescent="0.25">
      <c r="A11" t="s">
        <v>5793</v>
      </c>
      <c r="B11" t="s">
        <v>41</v>
      </c>
      <c r="C11" t="s">
        <v>5413</v>
      </c>
      <c r="D11">
        <v>1</v>
      </c>
      <c r="E11" t="s">
        <v>5794</v>
      </c>
      <c r="F11" t="s">
        <v>6456</v>
      </c>
      <c r="G11" t="s">
        <v>5795</v>
      </c>
      <c r="H11" t="s">
        <v>6457</v>
      </c>
      <c r="I11">
        <v>1</v>
      </c>
      <c r="J11" t="s">
        <v>3468</v>
      </c>
      <c r="K11" t="s">
        <v>5793</v>
      </c>
      <c r="L11" t="s">
        <v>90</v>
      </c>
      <c r="M11" t="s">
        <v>3468</v>
      </c>
      <c r="N11" t="s">
        <v>3468</v>
      </c>
      <c r="O11" t="s">
        <v>5796</v>
      </c>
    </row>
    <row r="12" spans="1:15" ht="15" customHeight="1" x14ac:dyDescent="0.25">
      <c r="A12" t="s">
        <v>5797</v>
      </c>
      <c r="B12" t="s">
        <v>3531</v>
      </c>
      <c r="C12" t="s">
        <v>5775</v>
      </c>
      <c r="D12">
        <v>0</v>
      </c>
      <c r="E12" t="s">
        <v>5798</v>
      </c>
      <c r="F12" t="s">
        <v>6458</v>
      </c>
      <c r="G12" t="s">
        <v>5799</v>
      </c>
      <c r="H12" t="s">
        <v>6459</v>
      </c>
      <c r="I12">
        <v>0</v>
      </c>
      <c r="J12" t="s">
        <v>6445</v>
      </c>
      <c r="K12" t="s">
        <v>5797</v>
      </c>
      <c r="L12" t="s">
        <v>90</v>
      </c>
      <c r="M12" t="s">
        <v>6460</v>
      </c>
      <c r="N12" t="s">
        <v>3468</v>
      </c>
      <c r="O12" t="s">
        <v>5800</v>
      </c>
    </row>
    <row r="13" spans="1:15" ht="15" customHeight="1" x14ac:dyDescent="0.25">
      <c r="A13" t="s">
        <v>4480</v>
      </c>
      <c r="B13" t="s">
        <v>3531</v>
      </c>
      <c r="C13" t="s">
        <v>5413</v>
      </c>
      <c r="D13">
        <v>1</v>
      </c>
      <c r="E13" t="s">
        <v>5801</v>
      </c>
      <c r="F13" t="s">
        <v>6461</v>
      </c>
      <c r="G13" t="s">
        <v>5801</v>
      </c>
      <c r="H13" t="s">
        <v>6461</v>
      </c>
      <c r="I13">
        <v>1</v>
      </c>
      <c r="J13" t="s">
        <v>6462</v>
      </c>
      <c r="K13" t="s">
        <v>4485</v>
      </c>
      <c r="L13" t="s">
        <v>1650</v>
      </c>
      <c r="M13" t="s">
        <v>3468</v>
      </c>
      <c r="N13" t="s">
        <v>3468</v>
      </c>
      <c r="O13" t="s">
        <v>6463</v>
      </c>
    </row>
    <row r="14" spans="1:15" ht="15" customHeight="1" x14ac:dyDescent="0.25">
      <c r="A14" t="s">
        <v>5803</v>
      </c>
      <c r="B14" t="s">
        <v>41</v>
      </c>
      <c r="C14" t="s">
        <v>5775</v>
      </c>
      <c r="D14">
        <v>1</v>
      </c>
      <c r="E14" t="s">
        <v>6464</v>
      </c>
      <c r="F14" t="s">
        <v>6465</v>
      </c>
      <c r="G14" t="s">
        <v>6466</v>
      </c>
      <c r="H14" t="s">
        <v>6467</v>
      </c>
      <c r="I14">
        <v>1</v>
      </c>
      <c r="J14" t="s">
        <v>6462</v>
      </c>
      <c r="K14" t="s">
        <v>5803</v>
      </c>
      <c r="L14" t="s">
        <v>90</v>
      </c>
      <c r="M14" t="s">
        <v>3468</v>
      </c>
      <c r="N14" t="s">
        <v>3468</v>
      </c>
      <c r="O14" t="s">
        <v>6468</v>
      </c>
    </row>
    <row r="15" spans="1:15" ht="15" customHeight="1" x14ac:dyDescent="0.25">
      <c r="A15" t="s">
        <v>4491</v>
      </c>
      <c r="B15" t="s">
        <v>3531</v>
      </c>
      <c r="C15" t="s">
        <v>5775</v>
      </c>
      <c r="D15">
        <v>1</v>
      </c>
      <c r="E15" t="s">
        <v>5807</v>
      </c>
      <c r="F15" t="s">
        <v>6469</v>
      </c>
      <c r="G15" t="s">
        <v>5807</v>
      </c>
      <c r="H15" t="s">
        <v>6469</v>
      </c>
      <c r="I15">
        <v>1</v>
      </c>
      <c r="J15" t="s">
        <v>6470</v>
      </c>
      <c r="K15" t="s">
        <v>4491</v>
      </c>
      <c r="L15" t="s">
        <v>1047</v>
      </c>
      <c r="M15" t="s">
        <v>5480</v>
      </c>
      <c r="N15" t="s">
        <v>3468</v>
      </c>
      <c r="O15" t="s">
        <v>5808</v>
      </c>
    </row>
    <row r="16" spans="1:15" ht="15" customHeight="1" x14ac:dyDescent="0.25">
      <c r="A16" t="s">
        <v>3538</v>
      </c>
      <c r="B16" t="s">
        <v>3519</v>
      </c>
      <c r="C16" t="s">
        <v>4650</v>
      </c>
      <c r="D16">
        <v>3</v>
      </c>
      <c r="E16" s="9" t="s">
        <v>6471</v>
      </c>
      <c r="F16" t="s">
        <v>6472</v>
      </c>
      <c r="G16" s="9" t="s">
        <v>6471</v>
      </c>
      <c r="H16" t="s">
        <v>6472</v>
      </c>
      <c r="I16">
        <v>2</v>
      </c>
      <c r="J16" t="s">
        <v>3468</v>
      </c>
      <c r="K16" t="s">
        <v>3538</v>
      </c>
      <c r="L16" t="s">
        <v>90</v>
      </c>
      <c r="M16" t="s">
        <v>3468</v>
      </c>
      <c r="N16" t="s">
        <v>3468</v>
      </c>
      <c r="O16" t="s">
        <v>6473</v>
      </c>
    </row>
    <row r="17" spans="1:15" ht="15" customHeight="1" x14ac:dyDescent="0.25">
      <c r="A17" t="s">
        <v>3452</v>
      </c>
      <c r="B17" t="s">
        <v>3564</v>
      </c>
      <c r="C17" t="s">
        <v>5775</v>
      </c>
      <c r="D17">
        <v>2</v>
      </c>
      <c r="E17" t="s">
        <v>5810</v>
      </c>
      <c r="F17" t="s">
        <v>6474</v>
      </c>
      <c r="G17" t="s">
        <v>5811</v>
      </c>
      <c r="H17" t="s">
        <v>6475</v>
      </c>
      <c r="I17">
        <v>2</v>
      </c>
      <c r="J17" t="s">
        <v>6476</v>
      </c>
      <c r="K17" t="s">
        <v>3452</v>
      </c>
      <c r="L17" t="s">
        <v>90</v>
      </c>
      <c r="M17" t="s">
        <v>3468</v>
      </c>
      <c r="N17" t="s">
        <v>3468</v>
      </c>
      <c r="O17" t="s">
        <v>5788</v>
      </c>
    </row>
    <row r="18" spans="1:15" ht="15" customHeight="1" x14ac:dyDescent="0.25">
      <c r="A18" t="s">
        <v>5812</v>
      </c>
      <c r="B18" t="s">
        <v>3531</v>
      </c>
      <c r="C18" t="s">
        <v>5413</v>
      </c>
      <c r="D18">
        <v>0</v>
      </c>
      <c r="E18" s="9" t="s">
        <v>6477</v>
      </c>
      <c r="F18" t="s">
        <v>6478</v>
      </c>
      <c r="G18" s="9" t="s">
        <v>6479</v>
      </c>
      <c r="H18" t="s">
        <v>6480</v>
      </c>
      <c r="I18" t="s">
        <v>3468</v>
      </c>
      <c r="J18" t="s">
        <v>3468</v>
      </c>
      <c r="K18" t="s">
        <v>5815</v>
      </c>
      <c r="L18" t="s">
        <v>90</v>
      </c>
      <c r="M18" t="s">
        <v>3468</v>
      </c>
      <c r="N18" t="s">
        <v>3468</v>
      </c>
      <c r="O18" t="s">
        <v>5816</v>
      </c>
    </row>
    <row r="19" spans="1:15" ht="15" customHeight="1" x14ac:dyDescent="0.25">
      <c r="A19" t="s">
        <v>5817</v>
      </c>
      <c r="B19" t="s">
        <v>41</v>
      </c>
      <c r="C19" t="s">
        <v>5775</v>
      </c>
      <c r="D19">
        <v>0</v>
      </c>
      <c r="E19" t="s">
        <v>5818</v>
      </c>
      <c r="F19" t="s">
        <v>6481</v>
      </c>
      <c r="G19" t="s">
        <v>5819</v>
      </c>
      <c r="H19" t="s">
        <v>6482</v>
      </c>
      <c r="I19">
        <v>0</v>
      </c>
      <c r="J19" t="s">
        <v>6483</v>
      </c>
      <c r="K19" t="s">
        <v>5820</v>
      </c>
      <c r="L19" t="s">
        <v>90</v>
      </c>
      <c r="M19" t="s">
        <v>3468</v>
      </c>
      <c r="N19" t="s">
        <v>3468</v>
      </c>
      <c r="O19" t="s">
        <v>5821</v>
      </c>
    </row>
    <row r="20" spans="1:15" ht="15" customHeight="1" x14ac:dyDescent="0.25">
      <c r="A20" t="s">
        <v>5826</v>
      </c>
      <c r="B20" t="s">
        <v>41</v>
      </c>
      <c r="C20" t="s">
        <v>5413</v>
      </c>
      <c r="D20">
        <v>1</v>
      </c>
      <c r="E20" t="s">
        <v>5827</v>
      </c>
      <c r="F20" t="s">
        <v>6484</v>
      </c>
      <c r="G20" t="s">
        <v>5828</v>
      </c>
      <c r="H20" t="s">
        <v>6485</v>
      </c>
      <c r="I20">
        <v>1</v>
      </c>
      <c r="J20" t="s">
        <v>3468</v>
      </c>
      <c r="K20" t="s">
        <v>5829</v>
      </c>
      <c r="L20" t="s">
        <v>90</v>
      </c>
      <c r="M20" t="s">
        <v>3468</v>
      </c>
      <c r="N20" t="s">
        <v>3468</v>
      </c>
      <c r="O20" t="s">
        <v>5830</v>
      </c>
    </row>
    <row r="21" spans="1:15" ht="15" customHeight="1" x14ac:dyDescent="0.25">
      <c r="A21" t="s">
        <v>4518</v>
      </c>
      <c r="B21" t="s">
        <v>41</v>
      </c>
      <c r="C21" t="s">
        <v>5775</v>
      </c>
      <c r="D21">
        <v>1</v>
      </c>
      <c r="E21" t="s">
        <v>5831</v>
      </c>
      <c r="F21" t="s">
        <v>6486</v>
      </c>
      <c r="G21" t="s">
        <v>5831</v>
      </c>
      <c r="H21" t="s">
        <v>6486</v>
      </c>
      <c r="I21">
        <v>1</v>
      </c>
      <c r="J21" t="s">
        <v>6470</v>
      </c>
      <c r="K21" t="s">
        <v>4521</v>
      </c>
      <c r="L21" t="s">
        <v>1105</v>
      </c>
      <c r="M21" t="s">
        <v>5521</v>
      </c>
      <c r="N21" t="s">
        <v>3468</v>
      </c>
      <c r="O21" t="s">
        <v>5808</v>
      </c>
    </row>
    <row r="22" spans="1:15" ht="15" customHeight="1" x14ac:dyDescent="0.25">
      <c r="A22" t="s">
        <v>5832</v>
      </c>
      <c r="B22" t="s">
        <v>3531</v>
      </c>
      <c r="C22" t="s">
        <v>5775</v>
      </c>
      <c r="D22">
        <v>4</v>
      </c>
      <c r="E22" s="9" t="s">
        <v>5833</v>
      </c>
      <c r="F22" t="s">
        <v>6487</v>
      </c>
      <c r="G22" s="9" t="s">
        <v>5834</v>
      </c>
      <c r="H22" t="s">
        <v>6488</v>
      </c>
      <c r="I22">
        <v>3</v>
      </c>
      <c r="J22" t="s">
        <v>6453</v>
      </c>
      <c r="K22" t="s">
        <v>5835</v>
      </c>
      <c r="L22" t="s">
        <v>90</v>
      </c>
      <c r="M22" t="s">
        <v>3468</v>
      </c>
      <c r="N22" t="s">
        <v>3468</v>
      </c>
      <c r="O22" t="s">
        <v>5816</v>
      </c>
    </row>
    <row r="23" spans="1:15" ht="15" customHeight="1" x14ac:dyDescent="0.25">
      <c r="A23" t="s">
        <v>4522</v>
      </c>
      <c r="B23" t="s">
        <v>3519</v>
      </c>
      <c r="C23" t="s">
        <v>5775</v>
      </c>
      <c r="D23">
        <v>1</v>
      </c>
      <c r="E23" t="s">
        <v>6489</v>
      </c>
      <c r="F23" t="s">
        <v>6490</v>
      </c>
      <c r="G23" t="s">
        <v>6489</v>
      </c>
      <c r="H23" t="s">
        <v>6490</v>
      </c>
      <c r="I23">
        <v>1</v>
      </c>
      <c r="J23" t="s">
        <v>6491</v>
      </c>
      <c r="K23" t="s">
        <v>4525</v>
      </c>
      <c r="L23" t="s">
        <v>1622</v>
      </c>
      <c r="M23" t="s">
        <v>5484</v>
      </c>
      <c r="N23" t="s">
        <v>5436</v>
      </c>
      <c r="O23" t="s">
        <v>5808</v>
      </c>
    </row>
    <row r="24" spans="1:15" ht="15" customHeight="1" x14ac:dyDescent="0.25">
      <c r="A24" t="s">
        <v>5837</v>
      </c>
      <c r="B24" t="s">
        <v>41</v>
      </c>
      <c r="C24" t="s">
        <v>5413</v>
      </c>
      <c r="D24">
        <v>0</v>
      </c>
      <c r="E24" t="s">
        <v>5838</v>
      </c>
      <c r="F24" t="s">
        <v>6492</v>
      </c>
      <c r="G24" t="s">
        <v>5839</v>
      </c>
      <c r="H24" t="s">
        <v>6493</v>
      </c>
      <c r="I24">
        <v>0</v>
      </c>
      <c r="J24" t="s">
        <v>3468</v>
      </c>
      <c r="K24" t="s">
        <v>5837</v>
      </c>
      <c r="L24" t="s">
        <v>90</v>
      </c>
      <c r="M24" t="s">
        <v>3468</v>
      </c>
      <c r="N24" t="s">
        <v>3468</v>
      </c>
      <c r="O24" t="s">
        <v>5825</v>
      </c>
    </row>
    <row r="25" spans="1:15" ht="15" customHeight="1" x14ac:dyDescent="0.25">
      <c r="A25" t="s">
        <v>5840</v>
      </c>
      <c r="B25" t="s">
        <v>3519</v>
      </c>
      <c r="C25" t="s">
        <v>5775</v>
      </c>
      <c r="D25">
        <v>3</v>
      </c>
      <c r="E25" t="s">
        <v>5841</v>
      </c>
      <c r="F25" t="s">
        <v>6494</v>
      </c>
      <c r="G25" t="s">
        <v>5842</v>
      </c>
      <c r="H25" t="s">
        <v>6495</v>
      </c>
      <c r="I25">
        <v>3</v>
      </c>
      <c r="J25" t="s">
        <v>6496</v>
      </c>
      <c r="K25" t="s">
        <v>5840</v>
      </c>
      <c r="L25" t="s">
        <v>90</v>
      </c>
      <c r="M25" t="s">
        <v>3468</v>
      </c>
      <c r="N25" t="s">
        <v>3468</v>
      </c>
      <c r="O25" t="s">
        <v>5788</v>
      </c>
    </row>
    <row r="26" spans="1:15" ht="15" customHeight="1" x14ac:dyDescent="0.25">
      <c r="A26" t="s">
        <v>5213</v>
      </c>
      <c r="B26" t="s">
        <v>3531</v>
      </c>
      <c r="C26" t="s">
        <v>5413</v>
      </c>
      <c r="D26">
        <v>1</v>
      </c>
      <c r="E26" s="9" t="s">
        <v>6497</v>
      </c>
      <c r="F26" t="s">
        <v>6498</v>
      </c>
      <c r="G26" s="9" t="s">
        <v>6499</v>
      </c>
      <c r="H26" t="s">
        <v>6500</v>
      </c>
      <c r="I26">
        <v>1</v>
      </c>
      <c r="J26" t="s">
        <v>3468</v>
      </c>
      <c r="K26" t="s">
        <v>5213</v>
      </c>
      <c r="L26" t="s">
        <v>90</v>
      </c>
      <c r="M26" t="s">
        <v>3468</v>
      </c>
      <c r="N26" t="s">
        <v>3468</v>
      </c>
      <c r="O26" t="s">
        <v>5770</v>
      </c>
    </row>
    <row r="27" spans="1:15" ht="15" customHeight="1" x14ac:dyDescent="0.25">
      <c r="A27" t="s">
        <v>5849</v>
      </c>
      <c r="B27" t="s">
        <v>41</v>
      </c>
      <c r="C27" t="s">
        <v>5775</v>
      </c>
      <c r="D27">
        <v>1</v>
      </c>
      <c r="E27" t="s">
        <v>6501</v>
      </c>
      <c r="F27" t="s">
        <v>6502</v>
      </c>
      <c r="G27" t="s">
        <v>6501</v>
      </c>
      <c r="H27" t="s">
        <v>6502</v>
      </c>
      <c r="I27">
        <v>0</v>
      </c>
      <c r="J27" t="s">
        <v>6503</v>
      </c>
      <c r="K27" t="s">
        <v>5851</v>
      </c>
      <c r="L27" t="s">
        <v>90</v>
      </c>
      <c r="M27" t="s">
        <v>3468</v>
      </c>
      <c r="N27" t="s">
        <v>3468</v>
      </c>
      <c r="O27" t="s">
        <v>5788</v>
      </c>
    </row>
    <row r="28" spans="1:15" ht="15" customHeight="1" x14ac:dyDescent="0.25">
      <c r="A28" t="s">
        <v>5852</v>
      </c>
      <c r="B28" t="s">
        <v>3531</v>
      </c>
      <c r="C28" t="s">
        <v>5413</v>
      </c>
      <c r="D28">
        <v>0</v>
      </c>
      <c r="E28" t="s">
        <v>5853</v>
      </c>
      <c r="F28" t="s">
        <v>6504</v>
      </c>
      <c r="G28" t="s">
        <v>5854</v>
      </c>
      <c r="H28" t="s">
        <v>6505</v>
      </c>
      <c r="I28">
        <v>0</v>
      </c>
      <c r="J28" t="s">
        <v>3468</v>
      </c>
      <c r="K28" t="s">
        <v>5855</v>
      </c>
      <c r="L28" t="s">
        <v>90</v>
      </c>
      <c r="M28" t="s">
        <v>6460</v>
      </c>
      <c r="N28" t="s">
        <v>3468</v>
      </c>
      <c r="O28" t="s">
        <v>5856</v>
      </c>
    </row>
    <row r="29" spans="1:15" ht="15" customHeight="1" x14ac:dyDescent="0.25">
      <c r="A29" t="s">
        <v>5862</v>
      </c>
      <c r="B29" t="s">
        <v>3531</v>
      </c>
      <c r="C29" t="s">
        <v>5413</v>
      </c>
      <c r="D29">
        <v>2</v>
      </c>
      <c r="E29" t="s">
        <v>5863</v>
      </c>
      <c r="F29" t="s">
        <v>6506</v>
      </c>
      <c r="G29" t="s">
        <v>5864</v>
      </c>
      <c r="H29" t="s">
        <v>6507</v>
      </c>
      <c r="I29">
        <v>2</v>
      </c>
      <c r="J29" t="s">
        <v>6508</v>
      </c>
      <c r="K29" t="s">
        <v>5865</v>
      </c>
      <c r="L29" t="s">
        <v>90</v>
      </c>
      <c r="M29" t="s">
        <v>5484</v>
      </c>
      <c r="N29" t="s">
        <v>5307</v>
      </c>
      <c r="O29" t="s">
        <v>6509</v>
      </c>
    </row>
    <row r="30" spans="1:15" ht="15" customHeight="1" x14ac:dyDescent="0.25">
      <c r="A30" t="s">
        <v>5873</v>
      </c>
      <c r="B30" t="s">
        <v>3519</v>
      </c>
      <c r="C30" t="s">
        <v>5413</v>
      </c>
      <c r="D30">
        <v>3</v>
      </c>
      <c r="E30" s="9" t="s">
        <v>5874</v>
      </c>
      <c r="F30" t="s">
        <v>6510</v>
      </c>
      <c r="G30" s="9" t="s">
        <v>5874</v>
      </c>
      <c r="H30" t="s">
        <v>6510</v>
      </c>
      <c r="I30">
        <v>2</v>
      </c>
      <c r="J30" t="s">
        <v>3468</v>
      </c>
      <c r="K30" t="s">
        <v>5875</v>
      </c>
      <c r="L30" t="s">
        <v>90</v>
      </c>
      <c r="M30" t="s">
        <v>3468</v>
      </c>
      <c r="N30" t="s">
        <v>3468</v>
      </c>
      <c r="O30" t="s">
        <v>5876</v>
      </c>
    </row>
    <row r="31" spans="1:15" ht="15" customHeight="1" x14ac:dyDescent="0.25">
      <c r="A31" t="s">
        <v>4044</v>
      </c>
      <c r="B31" t="s">
        <v>4350</v>
      </c>
      <c r="C31" t="s">
        <v>3675</v>
      </c>
      <c r="D31" t="s">
        <v>4039</v>
      </c>
      <c r="E31" s="9" t="s">
        <v>5877</v>
      </c>
      <c r="F31" t="s">
        <v>6511</v>
      </c>
      <c r="G31" s="9" t="s">
        <v>3468</v>
      </c>
      <c r="H31" t="s">
        <v>3468</v>
      </c>
      <c r="I31" t="s">
        <v>3468</v>
      </c>
      <c r="J31" t="s">
        <v>3468</v>
      </c>
      <c r="K31" t="s">
        <v>4044</v>
      </c>
      <c r="L31" t="s">
        <v>90</v>
      </c>
      <c r="M31" t="s">
        <v>5516</v>
      </c>
      <c r="N31" t="s">
        <v>3468</v>
      </c>
      <c r="O31" t="s">
        <v>6512</v>
      </c>
    </row>
    <row r="32" spans="1:15" ht="15" customHeight="1" x14ac:dyDescent="0.25">
      <c r="A32" t="s">
        <v>5879</v>
      </c>
      <c r="B32" t="s">
        <v>3531</v>
      </c>
      <c r="C32" t="s">
        <v>5413</v>
      </c>
      <c r="D32">
        <v>1</v>
      </c>
      <c r="E32" t="s">
        <v>5880</v>
      </c>
      <c r="F32" t="s">
        <v>6513</v>
      </c>
      <c r="G32" t="s">
        <v>5881</v>
      </c>
      <c r="H32" t="s">
        <v>6514</v>
      </c>
      <c r="I32">
        <v>1</v>
      </c>
      <c r="J32" t="s">
        <v>3468</v>
      </c>
      <c r="K32" t="s">
        <v>5882</v>
      </c>
      <c r="L32" t="s">
        <v>90</v>
      </c>
      <c r="M32" t="s">
        <v>5549</v>
      </c>
      <c r="N32" t="s">
        <v>3468</v>
      </c>
      <c r="O32" t="s">
        <v>5883</v>
      </c>
    </row>
    <row r="33" spans="1:15" ht="15" customHeight="1" x14ac:dyDescent="0.25">
      <c r="A33" t="s">
        <v>5223</v>
      </c>
      <c r="B33" t="s">
        <v>3519</v>
      </c>
      <c r="C33" t="s">
        <v>5413</v>
      </c>
      <c r="D33">
        <v>1</v>
      </c>
      <c r="E33" s="9" t="s">
        <v>6515</v>
      </c>
      <c r="F33" t="s">
        <v>6516</v>
      </c>
      <c r="G33" s="9" t="s">
        <v>6517</v>
      </c>
      <c r="H33" t="s">
        <v>6518</v>
      </c>
      <c r="I33">
        <v>1</v>
      </c>
      <c r="J33" t="s">
        <v>3468</v>
      </c>
      <c r="K33" t="s">
        <v>5223</v>
      </c>
      <c r="L33" t="s">
        <v>90</v>
      </c>
      <c r="M33" t="s">
        <v>3468</v>
      </c>
      <c r="N33" t="s">
        <v>3468</v>
      </c>
      <c r="O33" t="s">
        <v>5876</v>
      </c>
    </row>
    <row r="34" spans="1:15" ht="15" customHeight="1" x14ac:dyDescent="0.25">
      <c r="A34" t="s">
        <v>5886</v>
      </c>
      <c r="B34" t="s">
        <v>3531</v>
      </c>
      <c r="C34" t="s">
        <v>5413</v>
      </c>
      <c r="D34">
        <v>0</v>
      </c>
      <c r="E34" s="9" t="s">
        <v>6519</v>
      </c>
      <c r="F34" t="s">
        <v>6520</v>
      </c>
      <c r="G34" s="9" t="s">
        <v>6521</v>
      </c>
      <c r="H34" t="s">
        <v>6522</v>
      </c>
      <c r="I34">
        <v>0</v>
      </c>
      <c r="J34" t="s">
        <v>3468</v>
      </c>
      <c r="K34" t="s">
        <v>5889</v>
      </c>
      <c r="L34" t="s">
        <v>90</v>
      </c>
      <c r="M34" t="s">
        <v>3468</v>
      </c>
      <c r="N34" t="s">
        <v>3468</v>
      </c>
      <c r="O34" t="s">
        <v>5890</v>
      </c>
    </row>
    <row r="35" spans="1:15" ht="15" customHeight="1" x14ac:dyDescent="0.25">
      <c r="A35" t="s">
        <v>5893</v>
      </c>
      <c r="B35" t="s">
        <v>3531</v>
      </c>
      <c r="C35" t="s">
        <v>5775</v>
      </c>
      <c r="D35">
        <v>2</v>
      </c>
      <c r="E35" t="s">
        <v>6523</v>
      </c>
      <c r="F35" t="s">
        <v>6524</v>
      </c>
      <c r="G35" t="s">
        <v>5895</v>
      </c>
      <c r="H35" t="s">
        <v>6525</v>
      </c>
      <c r="I35">
        <v>2</v>
      </c>
      <c r="J35" t="s">
        <v>6476</v>
      </c>
      <c r="K35" t="s">
        <v>5893</v>
      </c>
      <c r="L35" t="s">
        <v>90</v>
      </c>
      <c r="M35" t="s">
        <v>5475</v>
      </c>
      <c r="N35" t="s">
        <v>3468</v>
      </c>
      <c r="O35" t="s">
        <v>5788</v>
      </c>
    </row>
    <row r="36" spans="1:15" ht="15" customHeight="1" x14ac:dyDescent="0.25">
      <c r="A36" t="s">
        <v>5896</v>
      </c>
      <c r="B36" t="s">
        <v>3531</v>
      </c>
      <c r="C36" t="s">
        <v>5413</v>
      </c>
      <c r="D36">
        <v>1</v>
      </c>
      <c r="E36" s="9" t="s">
        <v>6526</v>
      </c>
      <c r="F36" t="s">
        <v>6527</v>
      </c>
      <c r="G36" s="9" t="s">
        <v>6528</v>
      </c>
      <c r="H36" t="s">
        <v>6529</v>
      </c>
      <c r="I36">
        <v>1</v>
      </c>
      <c r="J36" t="s">
        <v>3468</v>
      </c>
      <c r="K36" t="s">
        <v>5896</v>
      </c>
      <c r="L36" t="s">
        <v>90</v>
      </c>
      <c r="M36" t="s">
        <v>5549</v>
      </c>
      <c r="N36" t="s">
        <v>3468</v>
      </c>
      <c r="O36" t="s">
        <v>6530</v>
      </c>
    </row>
    <row r="37" spans="1:15" ht="15" customHeight="1" x14ac:dyDescent="0.25">
      <c r="A37" t="s">
        <v>5899</v>
      </c>
      <c r="B37" t="s">
        <v>3531</v>
      </c>
      <c r="C37" t="s">
        <v>5775</v>
      </c>
      <c r="D37">
        <v>2</v>
      </c>
      <c r="E37" s="9" t="s">
        <v>5900</v>
      </c>
      <c r="F37" t="s">
        <v>6531</v>
      </c>
      <c r="G37" s="9" t="s">
        <v>5901</v>
      </c>
      <c r="H37" t="s">
        <v>6532</v>
      </c>
      <c r="I37">
        <v>2</v>
      </c>
      <c r="J37" t="s">
        <v>6453</v>
      </c>
      <c r="K37" t="s">
        <v>5899</v>
      </c>
      <c r="L37" t="s">
        <v>90</v>
      </c>
      <c r="M37" t="s">
        <v>3468</v>
      </c>
      <c r="N37" t="s">
        <v>3468</v>
      </c>
      <c r="O37" t="s">
        <v>5902</v>
      </c>
    </row>
    <row r="38" spans="1:15" ht="15" customHeight="1" x14ac:dyDescent="0.25">
      <c r="A38" t="s">
        <v>5903</v>
      </c>
      <c r="B38" t="s">
        <v>41</v>
      </c>
      <c r="C38" t="s">
        <v>5775</v>
      </c>
      <c r="D38">
        <v>0</v>
      </c>
      <c r="E38" s="9" t="s">
        <v>6533</v>
      </c>
      <c r="F38" t="s">
        <v>6534</v>
      </c>
      <c r="G38" s="9" t="s">
        <v>6535</v>
      </c>
      <c r="H38" t="s">
        <v>6536</v>
      </c>
      <c r="I38">
        <v>0</v>
      </c>
      <c r="J38" t="s">
        <v>6537</v>
      </c>
      <c r="K38" t="s">
        <v>5903</v>
      </c>
      <c r="L38" t="s">
        <v>90</v>
      </c>
      <c r="M38" t="s">
        <v>3468</v>
      </c>
      <c r="N38" t="s">
        <v>3468</v>
      </c>
      <c r="O38" t="s">
        <v>5788</v>
      </c>
    </row>
    <row r="39" spans="1:15" ht="15" customHeight="1" x14ac:dyDescent="0.25">
      <c r="A39" t="s">
        <v>5906</v>
      </c>
      <c r="B39" t="s">
        <v>41</v>
      </c>
      <c r="C39" t="s">
        <v>5775</v>
      </c>
      <c r="D39">
        <v>0</v>
      </c>
      <c r="E39" t="s">
        <v>5907</v>
      </c>
      <c r="F39" t="s">
        <v>6538</v>
      </c>
      <c r="G39" t="s">
        <v>5908</v>
      </c>
      <c r="H39" t="s">
        <v>6539</v>
      </c>
      <c r="I39">
        <v>0</v>
      </c>
      <c r="J39" t="s">
        <v>6537</v>
      </c>
      <c r="K39" t="s">
        <v>5906</v>
      </c>
      <c r="L39" t="s">
        <v>90</v>
      </c>
      <c r="M39" t="s">
        <v>3468</v>
      </c>
      <c r="N39" t="s">
        <v>3468</v>
      </c>
      <c r="O39" t="s">
        <v>5909</v>
      </c>
    </row>
    <row r="40" spans="1:15" ht="15" customHeight="1" x14ac:dyDescent="0.25">
      <c r="A40" t="s">
        <v>5463</v>
      </c>
      <c r="B40" t="s">
        <v>41</v>
      </c>
      <c r="C40" t="s">
        <v>5775</v>
      </c>
      <c r="D40">
        <v>1</v>
      </c>
      <c r="E40" t="s">
        <v>5910</v>
      </c>
      <c r="F40" t="s">
        <v>6540</v>
      </c>
      <c r="G40" t="s">
        <v>5911</v>
      </c>
      <c r="H40" t="s">
        <v>6541</v>
      </c>
      <c r="I40">
        <v>1</v>
      </c>
      <c r="J40" t="s">
        <v>6542</v>
      </c>
      <c r="K40" t="s">
        <v>5463</v>
      </c>
      <c r="L40" t="s">
        <v>90</v>
      </c>
      <c r="M40" t="s">
        <v>3468</v>
      </c>
      <c r="N40" t="s">
        <v>3468</v>
      </c>
      <c r="O40" t="s">
        <v>6543</v>
      </c>
    </row>
    <row r="41" spans="1:15" ht="15" customHeight="1" x14ac:dyDescent="0.25">
      <c r="A41" t="s">
        <v>5913</v>
      </c>
      <c r="B41" t="s">
        <v>41</v>
      </c>
      <c r="C41" t="s">
        <v>5413</v>
      </c>
      <c r="D41">
        <v>1</v>
      </c>
      <c r="E41" t="s">
        <v>5914</v>
      </c>
      <c r="F41" t="s">
        <v>6544</v>
      </c>
      <c r="G41" t="s">
        <v>5915</v>
      </c>
      <c r="H41" t="s">
        <v>6545</v>
      </c>
      <c r="I41">
        <v>1</v>
      </c>
      <c r="J41" t="s">
        <v>3468</v>
      </c>
      <c r="K41" t="s">
        <v>5916</v>
      </c>
      <c r="L41" t="s">
        <v>90</v>
      </c>
      <c r="M41" t="s">
        <v>3468</v>
      </c>
      <c r="N41" t="s">
        <v>3468</v>
      </c>
      <c r="O41" t="s">
        <v>5770</v>
      </c>
    </row>
    <row r="42" spans="1:15" ht="15" customHeight="1" x14ac:dyDescent="0.25">
      <c r="A42" t="s">
        <v>5917</v>
      </c>
      <c r="B42" t="s">
        <v>41</v>
      </c>
      <c r="C42" t="s">
        <v>5775</v>
      </c>
      <c r="D42">
        <v>2</v>
      </c>
      <c r="E42" s="9" t="s">
        <v>6546</v>
      </c>
      <c r="F42" t="s">
        <v>6547</v>
      </c>
      <c r="G42" s="9" t="s">
        <v>6548</v>
      </c>
      <c r="H42" t="s">
        <v>6549</v>
      </c>
      <c r="I42" t="s">
        <v>3468</v>
      </c>
      <c r="J42" t="s">
        <v>6462</v>
      </c>
      <c r="K42" t="s">
        <v>5917</v>
      </c>
      <c r="L42" t="s">
        <v>90</v>
      </c>
      <c r="M42" t="s">
        <v>3468</v>
      </c>
      <c r="N42" t="s">
        <v>3468</v>
      </c>
      <c r="O42" t="s">
        <v>5920</v>
      </c>
    </row>
    <row r="43" spans="1:15" ht="15" customHeight="1" x14ac:dyDescent="0.25">
      <c r="A43" t="s">
        <v>5921</v>
      </c>
      <c r="B43" t="s">
        <v>4350</v>
      </c>
      <c r="C43" t="s">
        <v>4297</v>
      </c>
      <c r="D43" t="s">
        <v>4039</v>
      </c>
      <c r="E43" t="s">
        <v>5922</v>
      </c>
      <c r="F43" t="s">
        <v>4267</v>
      </c>
      <c r="G43" t="s">
        <v>3468</v>
      </c>
      <c r="H43" t="s">
        <v>3468</v>
      </c>
      <c r="I43" t="s">
        <v>3468</v>
      </c>
      <c r="J43" t="s">
        <v>3468</v>
      </c>
      <c r="K43" t="s">
        <v>5921</v>
      </c>
      <c r="L43" t="s">
        <v>90</v>
      </c>
      <c r="M43" t="s">
        <v>6550</v>
      </c>
      <c r="N43" t="s">
        <v>3468</v>
      </c>
      <c r="O43" t="s">
        <v>5923</v>
      </c>
    </row>
    <row r="44" spans="1:15" ht="15" customHeight="1" x14ac:dyDescent="0.25">
      <c r="A44" t="s">
        <v>5931</v>
      </c>
      <c r="B44" t="s">
        <v>3531</v>
      </c>
      <c r="C44" t="s">
        <v>5413</v>
      </c>
      <c r="D44">
        <v>0</v>
      </c>
      <c r="E44" s="9" t="s">
        <v>6551</v>
      </c>
      <c r="F44" t="s">
        <v>6552</v>
      </c>
      <c r="G44" s="9" t="s">
        <v>6553</v>
      </c>
      <c r="H44" t="s">
        <v>6554</v>
      </c>
      <c r="I44" t="s">
        <v>3468</v>
      </c>
      <c r="J44" t="s">
        <v>3468</v>
      </c>
      <c r="K44" t="s">
        <v>5931</v>
      </c>
      <c r="L44" t="s">
        <v>90</v>
      </c>
      <c r="M44" t="s">
        <v>3468</v>
      </c>
      <c r="N44" t="s">
        <v>3468</v>
      </c>
      <c r="O44" t="s">
        <v>6555</v>
      </c>
    </row>
    <row r="45" spans="1:15" ht="15" customHeight="1" x14ac:dyDescent="0.25">
      <c r="A45" t="s">
        <v>5232</v>
      </c>
      <c r="B45" t="s">
        <v>3519</v>
      </c>
      <c r="C45" t="s">
        <v>5413</v>
      </c>
      <c r="D45">
        <v>2</v>
      </c>
      <c r="E45" s="9" t="s">
        <v>5935</v>
      </c>
      <c r="F45" t="s">
        <v>6556</v>
      </c>
      <c r="G45" s="9" t="s">
        <v>5936</v>
      </c>
      <c r="H45" t="s">
        <v>6557</v>
      </c>
      <c r="I45">
        <v>2</v>
      </c>
      <c r="J45" t="s">
        <v>6558</v>
      </c>
      <c r="K45" t="s">
        <v>5234</v>
      </c>
      <c r="L45" t="s">
        <v>90</v>
      </c>
      <c r="M45" t="s">
        <v>3468</v>
      </c>
      <c r="N45" t="s">
        <v>3468</v>
      </c>
      <c r="O45" t="s">
        <v>6559</v>
      </c>
    </row>
    <row r="46" spans="1:15" ht="15" customHeight="1" x14ac:dyDescent="0.25">
      <c r="A46" t="s">
        <v>5940</v>
      </c>
      <c r="B46" t="s">
        <v>3531</v>
      </c>
      <c r="C46" t="s">
        <v>5413</v>
      </c>
      <c r="D46">
        <v>0</v>
      </c>
      <c r="E46" s="9" t="s">
        <v>6560</v>
      </c>
      <c r="F46" t="s">
        <v>6561</v>
      </c>
      <c r="G46" s="9" t="s">
        <v>6562</v>
      </c>
      <c r="H46" t="s">
        <v>6563</v>
      </c>
      <c r="I46" t="s">
        <v>3468</v>
      </c>
      <c r="J46" t="s">
        <v>6564</v>
      </c>
      <c r="K46" t="s">
        <v>5943</v>
      </c>
      <c r="L46" t="s">
        <v>90</v>
      </c>
      <c r="M46" t="s">
        <v>5549</v>
      </c>
      <c r="N46" t="s">
        <v>3468</v>
      </c>
      <c r="O46" t="s">
        <v>6565</v>
      </c>
    </row>
    <row r="47" spans="1:15" ht="15" customHeight="1" x14ac:dyDescent="0.25">
      <c r="A47" t="s">
        <v>5945</v>
      </c>
      <c r="B47" t="s">
        <v>41</v>
      </c>
      <c r="C47" t="s">
        <v>5775</v>
      </c>
      <c r="D47">
        <v>1</v>
      </c>
      <c r="E47" t="s">
        <v>5946</v>
      </c>
      <c r="F47" t="s">
        <v>6566</v>
      </c>
      <c r="G47" t="s">
        <v>5947</v>
      </c>
      <c r="H47" t="s">
        <v>6567</v>
      </c>
      <c r="I47">
        <v>1</v>
      </c>
      <c r="J47" t="s">
        <v>6568</v>
      </c>
      <c r="K47" t="s">
        <v>5948</v>
      </c>
      <c r="L47" t="s">
        <v>90</v>
      </c>
      <c r="M47" t="s">
        <v>3468</v>
      </c>
      <c r="N47" t="s">
        <v>3468</v>
      </c>
      <c r="O47" t="s">
        <v>5949</v>
      </c>
    </row>
    <row r="48" spans="1:15" ht="15" customHeight="1" x14ac:dyDescent="0.25">
      <c r="A48" t="s">
        <v>5950</v>
      </c>
      <c r="B48" t="s">
        <v>41</v>
      </c>
      <c r="C48" t="s">
        <v>5775</v>
      </c>
      <c r="D48">
        <v>1</v>
      </c>
      <c r="E48" t="s">
        <v>5951</v>
      </c>
      <c r="F48" t="s">
        <v>6569</v>
      </c>
      <c r="G48" t="s">
        <v>5952</v>
      </c>
      <c r="H48" t="s">
        <v>6570</v>
      </c>
      <c r="I48">
        <v>1</v>
      </c>
      <c r="J48" t="s">
        <v>6470</v>
      </c>
      <c r="K48" t="s">
        <v>5953</v>
      </c>
      <c r="L48" t="s">
        <v>90</v>
      </c>
      <c r="M48" t="s">
        <v>3468</v>
      </c>
      <c r="N48" t="s">
        <v>3468</v>
      </c>
      <c r="O48" t="s">
        <v>5954</v>
      </c>
    </row>
    <row r="49" spans="1:15" ht="15" customHeight="1" x14ac:dyDescent="0.25">
      <c r="A49" t="s">
        <v>3453</v>
      </c>
      <c r="B49" t="s">
        <v>3531</v>
      </c>
      <c r="C49" t="s">
        <v>5775</v>
      </c>
      <c r="D49">
        <v>2</v>
      </c>
      <c r="E49" s="9" t="s">
        <v>5958</v>
      </c>
      <c r="F49" t="s">
        <v>6571</v>
      </c>
      <c r="G49" s="9" t="s">
        <v>5959</v>
      </c>
      <c r="H49" t="s">
        <v>6572</v>
      </c>
      <c r="I49">
        <v>2</v>
      </c>
      <c r="J49" t="s">
        <v>6445</v>
      </c>
      <c r="K49" t="s">
        <v>3453</v>
      </c>
      <c r="L49" t="s">
        <v>90</v>
      </c>
      <c r="M49" t="s">
        <v>3468</v>
      </c>
      <c r="N49" t="s">
        <v>3468</v>
      </c>
      <c r="O49" t="s">
        <v>5960</v>
      </c>
    </row>
    <row r="50" spans="1:15" ht="15" customHeight="1" x14ac:dyDescent="0.25">
      <c r="A50" t="s">
        <v>5961</v>
      </c>
      <c r="B50" t="s">
        <v>4350</v>
      </c>
      <c r="C50" t="s">
        <v>3675</v>
      </c>
      <c r="D50" t="s">
        <v>4039</v>
      </c>
      <c r="E50" s="9" t="s">
        <v>6573</v>
      </c>
      <c r="F50" t="s">
        <v>4267</v>
      </c>
      <c r="G50" s="9" t="s">
        <v>3468</v>
      </c>
      <c r="H50" t="s">
        <v>3468</v>
      </c>
      <c r="I50" t="s">
        <v>3468</v>
      </c>
      <c r="J50" t="s">
        <v>3468</v>
      </c>
      <c r="K50" t="s">
        <v>5961</v>
      </c>
      <c r="L50" t="s">
        <v>90</v>
      </c>
      <c r="M50" t="s">
        <v>5475</v>
      </c>
      <c r="N50" t="s">
        <v>3468</v>
      </c>
      <c r="O50" t="s">
        <v>6512</v>
      </c>
    </row>
    <row r="51" spans="1:15" ht="15" customHeight="1" x14ac:dyDescent="0.25">
      <c r="A51" t="s">
        <v>5963</v>
      </c>
      <c r="B51" t="s">
        <v>41</v>
      </c>
      <c r="C51" t="s">
        <v>5413</v>
      </c>
      <c r="D51">
        <v>1</v>
      </c>
      <c r="E51" s="9" t="s">
        <v>5964</v>
      </c>
      <c r="F51" t="s">
        <v>6574</v>
      </c>
      <c r="G51" s="9" t="s">
        <v>5965</v>
      </c>
      <c r="H51" t="s">
        <v>6575</v>
      </c>
      <c r="I51">
        <v>1</v>
      </c>
      <c r="J51" t="s">
        <v>3468</v>
      </c>
      <c r="K51" t="s">
        <v>5966</v>
      </c>
      <c r="L51" t="s">
        <v>90</v>
      </c>
      <c r="M51" t="s">
        <v>3468</v>
      </c>
      <c r="N51" t="s">
        <v>3468</v>
      </c>
      <c r="O51" t="s">
        <v>6509</v>
      </c>
    </row>
    <row r="52" spans="1:15" ht="15" customHeight="1" x14ac:dyDescent="0.25">
      <c r="A52" t="s">
        <v>4311</v>
      </c>
      <c r="B52" t="s">
        <v>4350</v>
      </c>
      <c r="C52" t="s">
        <v>4297</v>
      </c>
      <c r="D52" t="s">
        <v>4039</v>
      </c>
      <c r="E52" t="s">
        <v>5967</v>
      </c>
      <c r="F52" t="s">
        <v>6511</v>
      </c>
      <c r="G52" t="s">
        <v>3468</v>
      </c>
      <c r="H52" t="s">
        <v>3468</v>
      </c>
      <c r="I52" t="s">
        <v>3468</v>
      </c>
      <c r="J52" t="s">
        <v>3468</v>
      </c>
      <c r="K52" t="s">
        <v>4311</v>
      </c>
      <c r="L52" t="s">
        <v>90</v>
      </c>
      <c r="M52" t="s">
        <v>5516</v>
      </c>
      <c r="N52" t="s">
        <v>3468</v>
      </c>
      <c r="O52" t="s">
        <v>5923</v>
      </c>
    </row>
    <row r="53" spans="1:15" ht="15" customHeight="1" x14ac:dyDescent="0.25">
      <c r="A53" t="s">
        <v>6576</v>
      </c>
      <c r="B53" t="s">
        <v>3564</v>
      </c>
      <c r="C53" t="s">
        <v>5413</v>
      </c>
      <c r="D53">
        <v>1</v>
      </c>
      <c r="E53" t="s">
        <v>5969</v>
      </c>
      <c r="F53" t="s">
        <v>6577</v>
      </c>
      <c r="G53" t="s">
        <v>5970</v>
      </c>
      <c r="H53" t="s">
        <v>6578</v>
      </c>
      <c r="I53">
        <v>1</v>
      </c>
      <c r="J53" t="s">
        <v>3468</v>
      </c>
      <c r="K53" t="s">
        <v>6579</v>
      </c>
      <c r="L53" t="s">
        <v>90</v>
      </c>
      <c r="M53" t="s">
        <v>3468</v>
      </c>
      <c r="N53" t="s">
        <v>3468</v>
      </c>
      <c r="O53" t="s">
        <v>6580</v>
      </c>
    </row>
    <row r="54" spans="1:15" ht="15" customHeight="1" x14ac:dyDescent="0.25">
      <c r="A54" t="s">
        <v>6581</v>
      </c>
      <c r="B54" t="s">
        <v>3564</v>
      </c>
      <c r="C54" t="s">
        <v>5413</v>
      </c>
      <c r="D54">
        <v>1</v>
      </c>
      <c r="E54" t="s">
        <v>5969</v>
      </c>
      <c r="F54" t="s">
        <v>6577</v>
      </c>
      <c r="G54" t="s">
        <v>5970</v>
      </c>
      <c r="H54" t="s">
        <v>6578</v>
      </c>
      <c r="I54">
        <v>1</v>
      </c>
      <c r="J54" t="s">
        <v>3468</v>
      </c>
      <c r="K54" t="s">
        <v>6582</v>
      </c>
      <c r="L54" t="s">
        <v>90</v>
      </c>
      <c r="M54" t="s">
        <v>3468</v>
      </c>
      <c r="N54" t="s">
        <v>3468</v>
      </c>
      <c r="O54" t="s">
        <v>6580</v>
      </c>
    </row>
    <row r="55" spans="1:15" ht="15" customHeight="1" x14ac:dyDescent="0.25">
      <c r="A55" t="s">
        <v>5973</v>
      </c>
      <c r="B55" t="s">
        <v>41</v>
      </c>
      <c r="C55" t="s">
        <v>5413</v>
      </c>
      <c r="D55">
        <v>0</v>
      </c>
      <c r="E55" s="9" t="s">
        <v>5974</v>
      </c>
      <c r="F55" t="s">
        <v>6583</v>
      </c>
      <c r="G55" s="9" t="s">
        <v>6584</v>
      </c>
      <c r="H55" t="s">
        <v>6585</v>
      </c>
      <c r="I55">
        <v>0</v>
      </c>
      <c r="J55" t="s">
        <v>3468</v>
      </c>
      <c r="K55" t="s">
        <v>5973</v>
      </c>
      <c r="L55" t="s">
        <v>90</v>
      </c>
      <c r="M55" t="s">
        <v>3468</v>
      </c>
      <c r="N55" t="s">
        <v>3468</v>
      </c>
      <c r="O55" t="s">
        <v>5770</v>
      </c>
    </row>
    <row r="56" spans="1:15" ht="15" customHeight="1" x14ac:dyDescent="0.25">
      <c r="A56" t="s">
        <v>4635</v>
      </c>
      <c r="B56" t="s">
        <v>3531</v>
      </c>
      <c r="C56" t="s">
        <v>5775</v>
      </c>
      <c r="D56">
        <v>1</v>
      </c>
      <c r="E56" t="s">
        <v>6586</v>
      </c>
      <c r="F56" t="s">
        <v>6587</v>
      </c>
      <c r="G56" t="s">
        <v>6586</v>
      </c>
      <c r="H56" t="s">
        <v>6587</v>
      </c>
      <c r="I56">
        <v>1</v>
      </c>
      <c r="J56" t="s">
        <v>6445</v>
      </c>
      <c r="K56" t="s">
        <v>4635</v>
      </c>
      <c r="L56" t="s">
        <v>1622</v>
      </c>
      <c r="M56" t="s">
        <v>5478</v>
      </c>
      <c r="N56" t="s">
        <v>3468</v>
      </c>
      <c r="O56" t="s">
        <v>5808</v>
      </c>
    </row>
    <row r="57" spans="1:15" ht="15" customHeight="1" x14ac:dyDescent="0.25">
      <c r="A57" t="s">
        <v>5982</v>
      </c>
      <c r="B57" t="s">
        <v>3519</v>
      </c>
      <c r="C57" t="s">
        <v>5775</v>
      </c>
      <c r="D57">
        <v>1</v>
      </c>
      <c r="E57" t="s">
        <v>5983</v>
      </c>
      <c r="F57" t="s">
        <v>6588</v>
      </c>
      <c r="G57" t="s">
        <v>5984</v>
      </c>
      <c r="H57" t="s">
        <v>6589</v>
      </c>
      <c r="I57">
        <v>1</v>
      </c>
      <c r="J57" t="s">
        <v>6590</v>
      </c>
      <c r="K57" t="s">
        <v>5985</v>
      </c>
      <c r="L57" t="s">
        <v>90</v>
      </c>
      <c r="M57" t="s">
        <v>5549</v>
      </c>
      <c r="N57" t="s">
        <v>3468</v>
      </c>
      <c r="O57" t="s">
        <v>5986</v>
      </c>
    </row>
    <row r="58" spans="1:15" ht="15" customHeight="1" x14ac:dyDescent="0.25">
      <c r="A58" t="s">
        <v>5987</v>
      </c>
      <c r="B58" t="s">
        <v>3531</v>
      </c>
      <c r="C58" t="s">
        <v>5413</v>
      </c>
      <c r="D58">
        <v>1</v>
      </c>
      <c r="E58" s="9" t="s">
        <v>5988</v>
      </c>
      <c r="F58" t="s">
        <v>6591</v>
      </c>
      <c r="G58" s="9" t="s">
        <v>5989</v>
      </c>
      <c r="H58" t="s">
        <v>6592</v>
      </c>
      <c r="I58">
        <v>1</v>
      </c>
      <c r="J58" t="s">
        <v>3468</v>
      </c>
      <c r="K58" t="s">
        <v>5987</v>
      </c>
      <c r="L58" t="s">
        <v>90</v>
      </c>
      <c r="M58" t="s">
        <v>5549</v>
      </c>
      <c r="N58" t="s">
        <v>3468</v>
      </c>
      <c r="O58" t="s">
        <v>5990</v>
      </c>
    </row>
    <row r="59" spans="1:15" ht="15" customHeight="1" x14ac:dyDescent="0.25">
      <c r="A59" t="s">
        <v>5991</v>
      </c>
      <c r="B59" t="s">
        <v>3531</v>
      </c>
      <c r="C59" t="s">
        <v>5413</v>
      </c>
      <c r="D59">
        <v>1</v>
      </c>
      <c r="E59" s="9" t="s">
        <v>5992</v>
      </c>
      <c r="F59" t="s">
        <v>6593</v>
      </c>
      <c r="G59" s="9" t="s">
        <v>5992</v>
      </c>
      <c r="H59" t="s">
        <v>6593</v>
      </c>
      <c r="I59">
        <v>0</v>
      </c>
      <c r="J59" t="s">
        <v>3468</v>
      </c>
      <c r="K59" t="s">
        <v>5991</v>
      </c>
      <c r="L59" t="s">
        <v>90</v>
      </c>
      <c r="M59" t="s">
        <v>5549</v>
      </c>
      <c r="N59" t="s">
        <v>3468</v>
      </c>
      <c r="O59" t="s">
        <v>5993</v>
      </c>
    </row>
    <row r="60" spans="1:15" ht="15" customHeight="1" x14ac:dyDescent="0.25">
      <c r="A60" t="s">
        <v>5994</v>
      </c>
      <c r="B60" t="s">
        <v>41</v>
      </c>
      <c r="C60" t="s">
        <v>5413</v>
      </c>
      <c r="D60">
        <v>1</v>
      </c>
      <c r="E60" s="9" t="s">
        <v>6594</v>
      </c>
      <c r="F60" t="s">
        <v>6595</v>
      </c>
      <c r="G60" s="9" t="s">
        <v>6596</v>
      </c>
      <c r="H60" t="s">
        <v>6597</v>
      </c>
      <c r="I60">
        <v>1</v>
      </c>
      <c r="J60" t="s">
        <v>3468</v>
      </c>
      <c r="K60" t="s">
        <v>5997</v>
      </c>
      <c r="L60" t="s">
        <v>90</v>
      </c>
      <c r="M60" t="s">
        <v>3468</v>
      </c>
      <c r="N60" t="s">
        <v>3468</v>
      </c>
      <c r="O60" t="s">
        <v>5770</v>
      </c>
    </row>
    <row r="61" spans="1:15" ht="15" customHeight="1" x14ac:dyDescent="0.25">
      <c r="A61" t="s">
        <v>5998</v>
      </c>
      <c r="B61" t="s">
        <v>3519</v>
      </c>
      <c r="C61" t="s">
        <v>5413</v>
      </c>
      <c r="D61" t="s">
        <v>5999</v>
      </c>
      <c r="E61" s="9" t="s">
        <v>6598</v>
      </c>
      <c r="F61" t="s">
        <v>6599</v>
      </c>
      <c r="G61" s="9" t="s">
        <v>6600</v>
      </c>
      <c r="H61" t="s">
        <v>6601</v>
      </c>
      <c r="I61" t="s">
        <v>3468</v>
      </c>
      <c r="J61" t="s">
        <v>3468</v>
      </c>
      <c r="K61" t="s">
        <v>5998</v>
      </c>
      <c r="L61" t="s">
        <v>90</v>
      </c>
      <c r="M61" t="s">
        <v>5549</v>
      </c>
      <c r="N61" t="s">
        <v>3468</v>
      </c>
      <c r="O61" t="s">
        <v>6002</v>
      </c>
    </row>
    <row r="62" spans="1:15" ht="15" customHeight="1" x14ac:dyDescent="0.25">
      <c r="A62" t="s">
        <v>5417</v>
      </c>
      <c r="B62" t="s">
        <v>3519</v>
      </c>
      <c r="C62" t="s">
        <v>5413</v>
      </c>
      <c r="D62">
        <v>1</v>
      </c>
      <c r="E62" s="9" t="s">
        <v>6003</v>
      </c>
      <c r="F62" t="s">
        <v>6602</v>
      </c>
      <c r="G62" s="9" t="s">
        <v>6004</v>
      </c>
      <c r="H62" t="s">
        <v>6603</v>
      </c>
      <c r="I62">
        <v>1</v>
      </c>
      <c r="J62" t="s">
        <v>3468</v>
      </c>
      <c r="K62" t="s">
        <v>5419</v>
      </c>
      <c r="L62" t="s">
        <v>90</v>
      </c>
      <c r="M62" t="s">
        <v>3468</v>
      </c>
      <c r="N62" t="s">
        <v>3468</v>
      </c>
      <c r="O62" t="s">
        <v>5788</v>
      </c>
    </row>
    <row r="63" spans="1:15" ht="15" customHeight="1" x14ac:dyDescent="0.25">
      <c r="A63" t="s">
        <v>6006</v>
      </c>
      <c r="B63" t="s">
        <v>4350</v>
      </c>
      <c r="C63" t="s">
        <v>4297</v>
      </c>
      <c r="D63" t="s">
        <v>4039</v>
      </c>
      <c r="E63" t="s">
        <v>6007</v>
      </c>
      <c r="F63" t="s">
        <v>6604</v>
      </c>
      <c r="G63" t="s">
        <v>3468</v>
      </c>
      <c r="H63" t="s">
        <v>3468</v>
      </c>
      <c r="I63" t="s">
        <v>3468</v>
      </c>
      <c r="J63" t="s">
        <v>3468</v>
      </c>
      <c r="K63" t="s">
        <v>6006</v>
      </c>
      <c r="L63" t="s">
        <v>90</v>
      </c>
      <c r="M63" t="s">
        <v>5516</v>
      </c>
      <c r="N63" t="s">
        <v>3468</v>
      </c>
      <c r="O63" t="s">
        <v>5923</v>
      </c>
    </row>
    <row r="64" spans="1:15" ht="15" customHeight="1" x14ac:dyDescent="0.25">
      <c r="A64" t="s">
        <v>6008</v>
      </c>
      <c r="B64" t="s">
        <v>3531</v>
      </c>
      <c r="C64" t="s">
        <v>5775</v>
      </c>
      <c r="D64">
        <v>1</v>
      </c>
      <c r="E64" s="9" t="s">
        <v>6605</v>
      </c>
      <c r="F64" t="s">
        <v>6606</v>
      </c>
      <c r="G64" s="9" t="s">
        <v>6607</v>
      </c>
      <c r="H64" t="s">
        <v>6608</v>
      </c>
      <c r="I64">
        <v>1</v>
      </c>
      <c r="J64" t="s">
        <v>6445</v>
      </c>
      <c r="K64" t="s">
        <v>6008</v>
      </c>
      <c r="L64" t="s">
        <v>90</v>
      </c>
      <c r="M64" t="s">
        <v>3468</v>
      </c>
      <c r="N64" t="s">
        <v>3468</v>
      </c>
      <c r="O64" t="s">
        <v>6011</v>
      </c>
    </row>
    <row r="65" spans="1:15" ht="15" customHeight="1" x14ac:dyDescent="0.25">
      <c r="A65" t="s">
        <v>6016</v>
      </c>
      <c r="B65" t="s">
        <v>3531</v>
      </c>
      <c r="C65" t="s">
        <v>5413</v>
      </c>
      <c r="D65">
        <v>1</v>
      </c>
      <c r="E65" s="9" t="s">
        <v>6017</v>
      </c>
      <c r="F65" t="s">
        <v>6609</v>
      </c>
      <c r="G65" s="9" t="s">
        <v>6018</v>
      </c>
      <c r="H65" t="s">
        <v>6610</v>
      </c>
      <c r="I65">
        <v>1</v>
      </c>
      <c r="J65" t="s">
        <v>3468</v>
      </c>
      <c r="K65" t="s">
        <v>6019</v>
      </c>
      <c r="L65" t="s">
        <v>90</v>
      </c>
      <c r="M65" t="s">
        <v>3468</v>
      </c>
      <c r="N65" t="s">
        <v>3468</v>
      </c>
      <c r="O65" t="s">
        <v>5816</v>
      </c>
    </row>
    <row r="66" spans="1:15" ht="15" customHeight="1" x14ac:dyDescent="0.25">
      <c r="A66" t="s">
        <v>6020</v>
      </c>
      <c r="B66" t="s">
        <v>3531</v>
      </c>
      <c r="C66" t="s">
        <v>5775</v>
      </c>
      <c r="D66">
        <v>0</v>
      </c>
      <c r="E66" s="9" t="s">
        <v>6611</v>
      </c>
      <c r="F66" t="s">
        <v>6612</v>
      </c>
      <c r="G66" s="9" t="s">
        <v>6613</v>
      </c>
      <c r="H66" t="s">
        <v>6614</v>
      </c>
      <c r="I66">
        <v>0</v>
      </c>
      <c r="J66" t="s">
        <v>6503</v>
      </c>
      <c r="K66" t="s">
        <v>6023</v>
      </c>
      <c r="L66" t="s">
        <v>90</v>
      </c>
      <c r="M66" t="s">
        <v>5549</v>
      </c>
      <c r="N66" t="s">
        <v>3468</v>
      </c>
      <c r="O66" t="s">
        <v>5830</v>
      </c>
    </row>
    <row r="67" spans="1:15" x14ac:dyDescent="0.25">
      <c r="A67" t="s">
        <v>6024</v>
      </c>
      <c r="B67" t="s">
        <v>3531</v>
      </c>
      <c r="C67" t="s">
        <v>5413</v>
      </c>
      <c r="D67">
        <v>2</v>
      </c>
      <c r="E67" s="9" t="s">
        <v>6025</v>
      </c>
      <c r="F67" t="s">
        <v>6615</v>
      </c>
      <c r="G67" s="9" t="s">
        <v>6025</v>
      </c>
      <c r="H67" t="s">
        <v>6615</v>
      </c>
      <c r="I67">
        <v>1</v>
      </c>
      <c r="J67" t="s">
        <v>3468</v>
      </c>
      <c r="K67" t="s">
        <v>6024</v>
      </c>
      <c r="L67" t="s">
        <v>90</v>
      </c>
      <c r="M67" t="s">
        <v>3468</v>
      </c>
      <c r="N67" t="s">
        <v>3468</v>
      </c>
      <c r="O67" t="s">
        <v>5792</v>
      </c>
    </row>
    <row r="68" spans="1:15" x14ac:dyDescent="0.25">
      <c r="A68" t="s">
        <v>5249</v>
      </c>
      <c r="B68" t="s">
        <v>3519</v>
      </c>
      <c r="C68" t="s">
        <v>4650</v>
      </c>
      <c r="D68">
        <v>2</v>
      </c>
      <c r="E68" s="9" t="s">
        <v>6616</v>
      </c>
      <c r="F68" t="s">
        <v>6617</v>
      </c>
      <c r="G68" s="9" t="s">
        <v>6616</v>
      </c>
      <c r="H68" t="s">
        <v>6617</v>
      </c>
      <c r="I68">
        <v>1</v>
      </c>
      <c r="J68" t="s">
        <v>3468</v>
      </c>
      <c r="K68" t="s">
        <v>5249</v>
      </c>
      <c r="L68" t="s">
        <v>90</v>
      </c>
      <c r="M68" t="s">
        <v>3468</v>
      </c>
      <c r="N68" t="s">
        <v>3468</v>
      </c>
      <c r="O68" t="s">
        <v>6618</v>
      </c>
    </row>
    <row r="69" spans="1:15" x14ac:dyDescent="0.25">
      <c r="A69" t="s">
        <v>6027</v>
      </c>
      <c r="B69" t="s">
        <v>3531</v>
      </c>
      <c r="C69" t="s">
        <v>5413</v>
      </c>
      <c r="D69">
        <v>0</v>
      </c>
      <c r="E69" s="9" t="s">
        <v>6028</v>
      </c>
      <c r="F69" t="s">
        <v>6619</v>
      </c>
      <c r="G69" s="9" t="s">
        <v>6029</v>
      </c>
      <c r="H69" t="s">
        <v>6620</v>
      </c>
      <c r="I69">
        <v>0</v>
      </c>
      <c r="J69" t="s">
        <v>3468</v>
      </c>
      <c r="K69" t="s">
        <v>6030</v>
      </c>
      <c r="L69" t="s">
        <v>90</v>
      </c>
      <c r="M69" t="s">
        <v>3468</v>
      </c>
      <c r="N69" t="s">
        <v>3468</v>
      </c>
      <c r="O69" t="s">
        <v>6031</v>
      </c>
    </row>
    <row r="70" spans="1:15" x14ac:dyDescent="0.25">
      <c r="A70" t="s">
        <v>6032</v>
      </c>
      <c r="B70" t="s">
        <v>3531</v>
      </c>
      <c r="C70" t="s">
        <v>5775</v>
      </c>
      <c r="D70">
        <v>3</v>
      </c>
      <c r="E70" s="9" t="s">
        <v>6621</v>
      </c>
      <c r="F70" t="s">
        <v>6622</v>
      </c>
      <c r="G70" s="9" t="s">
        <v>6623</v>
      </c>
      <c r="H70" t="s">
        <v>6624</v>
      </c>
      <c r="I70">
        <v>3</v>
      </c>
      <c r="J70" t="s">
        <v>6453</v>
      </c>
      <c r="K70" t="s">
        <v>6032</v>
      </c>
      <c r="L70" t="s">
        <v>90</v>
      </c>
      <c r="M70" t="s">
        <v>3468</v>
      </c>
      <c r="N70" t="s">
        <v>3468</v>
      </c>
      <c r="O70" t="s">
        <v>6035</v>
      </c>
    </row>
    <row r="71" spans="1:15" x14ac:dyDescent="0.25">
      <c r="A71" t="s">
        <v>5251</v>
      </c>
      <c r="B71" t="s">
        <v>3531</v>
      </c>
      <c r="C71" t="s">
        <v>4650</v>
      </c>
      <c r="D71">
        <v>1</v>
      </c>
      <c r="E71" s="9" t="s">
        <v>6625</v>
      </c>
      <c r="F71" t="s">
        <v>6626</v>
      </c>
      <c r="G71" s="9" t="s">
        <v>6627</v>
      </c>
      <c r="H71" t="s">
        <v>6628</v>
      </c>
      <c r="I71">
        <v>1</v>
      </c>
      <c r="J71" t="s">
        <v>3468</v>
      </c>
      <c r="K71" t="s">
        <v>5251</v>
      </c>
      <c r="L71" t="s">
        <v>90</v>
      </c>
      <c r="M71" t="s">
        <v>3468</v>
      </c>
      <c r="N71" t="s">
        <v>3468</v>
      </c>
      <c r="O71" t="s">
        <v>6038</v>
      </c>
    </row>
    <row r="72" spans="1:15" x14ac:dyDescent="0.25">
      <c r="A72" t="s">
        <v>6039</v>
      </c>
      <c r="B72" t="s">
        <v>3519</v>
      </c>
      <c r="C72" t="s">
        <v>5413</v>
      </c>
      <c r="D72">
        <v>1</v>
      </c>
      <c r="E72" s="9" t="s">
        <v>6040</v>
      </c>
      <c r="F72" t="s">
        <v>6629</v>
      </c>
      <c r="G72" s="9" t="s">
        <v>6040</v>
      </c>
      <c r="H72" t="s">
        <v>6629</v>
      </c>
      <c r="I72">
        <v>0</v>
      </c>
      <c r="J72" t="s">
        <v>3468</v>
      </c>
      <c r="K72" t="s">
        <v>6039</v>
      </c>
      <c r="L72" t="s">
        <v>90</v>
      </c>
      <c r="M72" t="s">
        <v>5549</v>
      </c>
      <c r="N72" t="s">
        <v>3468</v>
      </c>
      <c r="O72" t="s">
        <v>6041</v>
      </c>
    </row>
    <row r="73" spans="1:15" x14ac:dyDescent="0.25">
      <c r="A73" t="s">
        <v>6042</v>
      </c>
      <c r="B73" t="s">
        <v>3531</v>
      </c>
      <c r="C73" t="s">
        <v>5413</v>
      </c>
      <c r="D73">
        <v>1</v>
      </c>
      <c r="E73" s="9" t="s">
        <v>6630</v>
      </c>
      <c r="F73" t="s">
        <v>6631</v>
      </c>
      <c r="G73" s="9" t="s">
        <v>6632</v>
      </c>
      <c r="H73" t="s">
        <v>6633</v>
      </c>
      <c r="I73">
        <v>1</v>
      </c>
      <c r="J73" t="s">
        <v>3468</v>
      </c>
      <c r="K73" t="s">
        <v>6042</v>
      </c>
      <c r="L73" t="s">
        <v>90</v>
      </c>
      <c r="M73" t="s">
        <v>3468</v>
      </c>
      <c r="N73" t="s">
        <v>3468</v>
      </c>
      <c r="O73" t="s">
        <v>6045</v>
      </c>
    </row>
    <row r="74" spans="1:15" x14ac:dyDescent="0.25">
      <c r="A74" t="s">
        <v>6046</v>
      </c>
      <c r="B74" t="s">
        <v>3519</v>
      </c>
      <c r="C74" t="s">
        <v>5775</v>
      </c>
      <c r="D74">
        <v>1</v>
      </c>
      <c r="E74" s="9" t="s">
        <v>6634</v>
      </c>
      <c r="F74" t="s">
        <v>6635</v>
      </c>
      <c r="G74" s="9" t="s">
        <v>6636</v>
      </c>
      <c r="H74" t="s">
        <v>6637</v>
      </c>
      <c r="I74" t="s">
        <v>3468</v>
      </c>
      <c r="J74" t="s">
        <v>6453</v>
      </c>
      <c r="K74" t="s">
        <v>6046</v>
      </c>
      <c r="L74" t="s">
        <v>90</v>
      </c>
      <c r="M74" t="s">
        <v>5549</v>
      </c>
      <c r="N74" t="s">
        <v>3468</v>
      </c>
      <c r="O74" t="s">
        <v>6049</v>
      </c>
    </row>
    <row r="75" spans="1:15" x14ac:dyDescent="0.25">
      <c r="A75" t="s">
        <v>5259</v>
      </c>
      <c r="B75" t="s">
        <v>3531</v>
      </c>
      <c r="C75" t="s">
        <v>4650</v>
      </c>
      <c r="D75">
        <v>1</v>
      </c>
      <c r="E75" s="9" t="s">
        <v>6638</v>
      </c>
      <c r="F75" t="s">
        <v>6639</v>
      </c>
      <c r="G75" s="9" t="s">
        <v>6640</v>
      </c>
      <c r="H75" t="s">
        <v>6641</v>
      </c>
      <c r="I75">
        <v>1</v>
      </c>
      <c r="J75" t="s">
        <v>3468</v>
      </c>
      <c r="K75" t="s">
        <v>5261</v>
      </c>
      <c r="L75" t="s">
        <v>90</v>
      </c>
      <c r="M75" t="s">
        <v>3468</v>
      </c>
      <c r="N75" t="s">
        <v>3468</v>
      </c>
      <c r="O75" t="s">
        <v>6052</v>
      </c>
    </row>
    <row r="76" spans="1:15" x14ac:dyDescent="0.25">
      <c r="A76" t="s">
        <v>6053</v>
      </c>
      <c r="B76" t="s">
        <v>3519</v>
      </c>
      <c r="C76" t="s">
        <v>5775</v>
      </c>
      <c r="D76">
        <v>2</v>
      </c>
      <c r="E76" s="9" t="s">
        <v>6642</v>
      </c>
      <c r="F76" t="s">
        <v>6643</v>
      </c>
      <c r="G76" s="9" t="s">
        <v>6644</v>
      </c>
      <c r="H76" t="s">
        <v>6645</v>
      </c>
      <c r="I76">
        <v>2</v>
      </c>
      <c r="J76" t="s">
        <v>6470</v>
      </c>
      <c r="K76" t="s">
        <v>6056</v>
      </c>
      <c r="L76" t="s">
        <v>90</v>
      </c>
      <c r="M76" t="s">
        <v>5549</v>
      </c>
      <c r="N76" t="s">
        <v>4313</v>
      </c>
      <c r="O76" t="s">
        <v>6057</v>
      </c>
    </row>
    <row r="77" spans="1:15" x14ac:dyDescent="0.25">
      <c r="A77" t="s">
        <v>6060</v>
      </c>
      <c r="B77" t="s">
        <v>3531</v>
      </c>
      <c r="C77" t="s">
        <v>5775</v>
      </c>
      <c r="D77">
        <v>1</v>
      </c>
      <c r="E77" s="9" t="s">
        <v>6646</v>
      </c>
      <c r="F77" t="s">
        <v>6647</v>
      </c>
      <c r="G77" s="9" t="s">
        <v>6648</v>
      </c>
      <c r="H77" t="s">
        <v>6649</v>
      </c>
      <c r="I77" t="s">
        <v>3468</v>
      </c>
      <c r="J77" t="s">
        <v>6445</v>
      </c>
      <c r="K77" t="s">
        <v>6060</v>
      </c>
      <c r="L77" t="s">
        <v>90</v>
      </c>
      <c r="M77" t="s">
        <v>3468</v>
      </c>
      <c r="N77" t="s">
        <v>3468</v>
      </c>
      <c r="O77" t="s">
        <v>6650</v>
      </c>
    </row>
    <row r="78" spans="1:15" x14ac:dyDescent="0.25">
      <c r="A78" t="s">
        <v>5262</v>
      </c>
      <c r="B78" t="s">
        <v>3531</v>
      </c>
      <c r="C78" t="s">
        <v>4650</v>
      </c>
      <c r="D78">
        <v>1</v>
      </c>
      <c r="E78" s="9" t="s">
        <v>6651</v>
      </c>
      <c r="F78" t="s">
        <v>6652</v>
      </c>
      <c r="G78" s="9" t="s">
        <v>6653</v>
      </c>
      <c r="H78" t="s">
        <v>6654</v>
      </c>
      <c r="I78">
        <v>1</v>
      </c>
      <c r="J78" t="s">
        <v>3468</v>
      </c>
      <c r="K78" t="s">
        <v>5264</v>
      </c>
      <c r="L78" t="s">
        <v>90</v>
      </c>
      <c r="M78" t="s">
        <v>3468</v>
      </c>
      <c r="N78" t="s">
        <v>3468</v>
      </c>
      <c r="O78" t="s">
        <v>6065</v>
      </c>
    </row>
    <row r="79" spans="1:15" x14ac:dyDescent="0.25">
      <c r="A79" t="s">
        <v>5265</v>
      </c>
      <c r="B79" t="s">
        <v>3531</v>
      </c>
      <c r="C79" t="s">
        <v>5413</v>
      </c>
      <c r="D79">
        <v>2</v>
      </c>
      <c r="E79" s="9" t="s">
        <v>6655</v>
      </c>
      <c r="F79" t="s">
        <v>6656</v>
      </c>
      <c r="G79" s="9" t="s">
        <v>6657</v>
      </c>
      <c r="H79" t="s">
        <v>6658</v>
      </c>
      <c r="I79">
        <v>2</v>
      </c>
      <c r="J79" t="s">
        <v>3468</v>
      </c>
      <c r="K79" t="s">
        <v>5267</v>
      </c>
      <c r="L79" t="s">
        <v>90</v>
      </c>
      <c r="M79" t="s">
        <v>3468</v>
      </c>
      <c r="N79" t="s">
        <v>4313</v>
      </c>
      <c r="O79" t="s">
        <v>5792</v>
      </c>
    </row>
    <row r="80" spans="1:15" x14ac:dyDescent="0.25">
      <c r="A80" t="s">
        <v>6068</v>
      </c>
      <c r="B80" t="s">
        <v>3531</v>
      </c>
      <c r="C80" t="s">
        <v>5775</v>
      </c>
      <c r="D80">
        <v>1</v>
      </c>
      <c r="E80" s="9" t="s">
        <v>6659</v>
      </c>
      <c r="F80" t="s">
        <v>6660</v>
      </c>
      <c r="G80" s="9" t="s">
        <v>6661</v>
      </c>
      <c r="H80" t="s">
        <v>6662</v>
      </c>
      <c r="I80">
        <v>1</v>
      </c>
      <c r="J80" t="s">
        <v>6470</v>
      </c>
      <c r="K80" t="s">
        <v>6068</v>
      </c>
      <c r="L80" t="s">
        <v>90</v>
      </c>
      <c r="M80" t="s">
        <v>3468</v>
      </c>
      <c r="N80" t="s">
        <v>3468</v>
      </c>
      <c r="O80" t="s">
        <v>6650</v>
      </c>
    </row>
    <row r="81" spans="1:15" x14ac:dyDescent="0.25">
      <c r="A81" t="s">
        <v>6071</v>
      </c>
      <c r="B81" t="s">
        <v>41</v>
      </c>
      <c r="C81" t="s">
        <v>5413</v>
      </c>
      <c r="D81">
        <v>0</v>
      </c>
      <c r="E81" s="9" t="s">
        <v>6663</v>
      </c>
      <c r="F81" t="s">
        <v>6664</v>
      </c>
      <c r="G81" s="9" t="s">
        <v>6665</v>
      </c>
      <c r="H81" t="s">
        <v>6666</v>
      </c>
      <c r="I81" t="s">
        <v>3468</v>
      </c>
      <c r="J81" t="s">
        <v>3468</v>
      </c>
      <c r="K81" t="s">
        <v>6071</v>
      </c>
      <c r="L81" t="s">
        <v>90</v>
      </c>
      <c r="M81" t="s">
        <v>3468</v>
      </c>
      <c r="N81" t="s">
        <v>3468</v>
      </c>
      <c r="O81" t="s">
        <v>6112</v>
      </c>
    </row>
    <row r="82" spans="1:15" x14ac:dyDescent="0.25">
      <c r="A82" t="s">
        <v>6074</v>
      </c>
      <c r="B82" t="s">
        <v>41</v>
      </c>
      <c r="C82" t="s">
        <v>5775</v>
      </c>
      <c r="D82">
        <v>1</v>
      </c>
      <c r="E82" s="9" t="s">
        <v>6667</v>
      </c>
      <c r="F82" t="s">
        <v>6668</v>
      </c>
      <c r="G82" s="9" t="s">
        <v>6669</v>
      </c>
      <c r="H82" t="s">
        <v>6670</v>
      </c>
      <c r="I82" t="s">
        <v>3468</v>
      </c>
      <c r="J82" t="s">
        <v>6445</v>
      </c>
      <c r="K82" t="s">
        <v>6077</v>
      </c>
      <c r="L82" t="s">
        <v>90</v>
      </c>
      <c r="M82" t="s">
        <v>3468</v>
      </c>
      <c r="N82" t="s">
        <v>3468</v>
      </c>
      <c r="O82" t="s">
        <v>6078</v>
      </c>
    </row>
    <row r="83" spans="1:15" x14ac:dyDescent="0.25">
      <c r="A83" t="s">
        <v>6082</v>
      </c>
      <c r="B83" t="s">
        <v>3531</v>
      </c>
      <c r="C83" t="s">
        <v>5413</v>
      </c>
      <c r="D83">
        <v>1</v>
      </c>
      <c r="E83" s="9" t="s">
        <v>6671</v>
      </c>
      <c r="F83" t="s">
        <v>6504</v>
      </c>
      <c r="G83" s="9" t="s">
        <v>6672</v>
      </c>
      <c r="H83" t="s">
        <v>6505</v>
      </c>
      <c r="I83" t="s">
        <v>3468</v>
      </c>
      <c r="J83" t="s">
        <v>3468</v>
      </c>
      <c r="K83" t="s">
        <v>6085</v>
      </c>
      <c r="L83" t="s">
        <v>90</v>
      </c>
      <c r="M83" t="s">
        <v>5475</v>
      </c>
      <c r="N83" t="s">
        <v>3468</v>
      </c>
      <c r="O83" t="s">
        <v>5792</v>
      </c>
    </row>
    <row r="84" spans="1:15" x14ac:dyDescent="0.25">
      <c r="A84" t="s">
        <v>6087</v>
      </c>
      <c r="B84" t="s">
        <v>3519</v>
      </c>
      <c r="C84" t="s">
        <v>5775</v>
      </c>
      <c r="D84">
        <v>1</v>
      </c>
      <c r="E84" s="9" t="s">
        <v>6673</v>
      </c>
      <c r="F84" t="s">
        <v>6674</v>
      </c>
      <c r="G84" s="9" t="s">
        <v>6675</v>
      </c>
      <c r="H84" t="s">
        <v>6676</v>
      </c>
      <c r="I84" t="s">
        <v>3468</v>
      </c>
      <c r="J84" t="s">
        <v>6470</v>
      </c>
      <c r="K84" t="s">
        <v>6090</v>
      </c>
      <c r="L84" t="s">
        <v>90</v>
      </c>
      <c r="M84" t="s">
        <v>3468</v>
      </c>
      <c r="N84" t="s">
        <v>3468</v>
      </c>
      <c r="O84" t="s">
        <v>5830</v>
      </c>
    </row>
    <row r="85" spans="1:15" x14ac:dyDescent="0.25">
      <c r="A85" t="s">
        <v>6091</v>
      </c>
      <c r="B85" t="s">
        <v>41</v>
      </c>
      <c r="C85" t="s">
        <v>5775</v>
      </c>
      <c r="D85">
        <v>0</v>
      </c>
      <c r="E85" s="9" t="s">
        <v>6677</v>
      </c>
      <c r="F85" t="s">
        <v>6678</v>
      </c>
      <c r="G85" s="9" t="s">
        <v>6679</v>
      </c>
      <c r="H85" t="s">
        <v>6680</v>
      </c>
      <c r="I85">
        <v>0</v>
      </c>
      <c r="J85" t="s">
        <v>6537</v>
      </c>
      <c r="K85" t="s">
        <v>6094</v>
      </c>
      <c r="L85" t="s">
        <v>90</v>
      </c>
      <c r="M85" t="s">
        <v>3468</v>
      </c>
      <c r="N85" t="s">
        <v>3468</v>
      </c>
      <c r="O85" t="s">
        <v>5821</v>
      </c>
    </row>
    <row r="86" spans="1:15" x14ac:dyDescent="0.25">
      <c r="A86" t="s">
        <v>6095</v>
      </c>
      <c r="B86" t="s">
        <v>3519</v>
      </c>
      <c r="C86" t="s">
        <v>5775</v>
      </c>
      <c r="D86">
        <v>0</v>
      </c>
      <c r="E86" s="9" t="s">
        <v>6681</v>
      </c>
      <c r="F86" t="s">
        <v>6682</v>
      </c>
      <c r="G86" s="9" t="s">
        <v>6683</v>
      </c>
      <c r="H86" t="s">
        <v>6684</v>
      </c>
      <c r="I86">
        <v>0</v>
      </c>
      <c r="J86" t="s">
        <v>6685</v>
      </c>
      <c r="K86" t="s">
        <v>6098</v>
      </c>
      <c r="L86" t="s">
        <v>90</v>
      </c>
      <c r="M86" t="s">
        <v>3468</v>
      </c>
      <c r="N86" t="s">
        <v>3468</v>
      </c>
      <c r="O86" t="s">
        <v>5949</v>
      </c>
    </row>
    <row r="87" spans="1:15" x14ac:dyDescent="0.25">
      <c r="A87" t="s">
        <v>5169</v>
      </c>
      <c r="B87" t="s">
        <v>4350</v>
      </c>
      <c r="C87" t="s">
        <v>4297</v>
      </c>
      <c r="D87" t="s">
        <v>4039</v>
      </c>
      <c r="E87" t="s">
        <v>6686</v>
      </c>
      <c r="F87" t="s">
        <v>4267</v>
      </c>
      <c r="G87" t="s">
        <v>3468</v>
      </c>
      <c r="H87" t="s">
        <v>3468</v>
      </c>
      <c r="I87" t="s">
        <v>3468</v>
      </c>
      <c r="J87" t="s">
        <v>3468</v>
      </c>
      <c r="K87" t="s">
        <v>5169</v>
      </c>
      <c r="L87" t="s">
        <v>38</v>
      </c>
      <c r="M87" t="s">
        <v>6687</v>
      </c>
      <c r="N87" t="s">
        <v>3468</v>
      </c>
    </row>
    <row r="88" spans="1:15" x14ac:dyDescent="0.25">
      <c r="A88" t="s">
        <v>5185</v>
      </c>
      <c r="B88" t="s">
        <v>4350</v>
      </c>
      <c r="C88" t="s">
        <v>4297</v>
      </c>
      <c r="D88" t="s">
        <v>4039</v>
      </c>
      <c r="E88" t="s">
        <v>6688</v>
      </c>
      <c r="F88" t="s">
        <v>6689</v>
      </c>
      <c r="G88" t="s">
        <v>3468</v>
      </c>
      <c r="H88" t="s">
        <v>3468</v>
      </c>
      <c r="I88" t="s">
        <v>3468</v>
      </c>
      <c r="J88" t="s">
        <v>3468</v>
      </c>
      <c r="K88" t="s">
        <v>5185</v>
      </c>
      <c r="L88" t="s">
        <v>38</v>
      </c>
      <c r="M88" t="s">
        <v>5516</v>
      </c>
      <c r="N88" t="s">
        <v>3468</v>
      </c>
      <c r="O88" t="s">
        <v>5923</v>
      </c>
    </row>
    <row r="89" spans="1:15" x14ac:dyDescent="0.25">
      <c r="A89" t="s">
        <v>6100</v>
      </c>
      <c r="B89" t="s">
        <v>41</v>
      </c>
      <c r="C89" t="s">
        <v>5413</v>
      </c>
      <c r="D89">
        <v>1</v>
      </c>
      <c r="E89" s="9" t="s">
        <v>6101</v>
      </c>
      <c r="F89" t="s">
        <v>6690</v>
      </c>
      <c r="G89" s="9" t="s">
        <v>6101</v>
      </c>
      <c r="H89" t="s">
        <v>6690</v>
      </c>
      <c r="I89">
        <v>0</v>
      </c>
      <c r="J89" t="s">
        <v>3468</v>
      </c>
      <c r="K89" t="s">
        <v>6100</v>
      </c>
      <c r="L89" t="s">
        <v>90</v>
      </c>
      <c r="M89" t="s">
        <v>3468</v>
      </c>
      <c r="N89" t="s">
        <v>3468</v>
      </c>
      <c r="O89" t="s">
        <v>6057</v>
      </c>
    </row>
    <row r="90" spans="1:15" x14ac:dyDescent="0.25">
      <c r="A90" t="s">
        <v>6102</v>
      </c>
      <c r="B90" t="s">
        <v>41</v>
      </c>
      <c r="C90" t="s">
        <v>5775</v>
      </c>
      <c r="D90">
        <v>1</v>
      </c>
      <c r="E90" s="9" t="s">
        <v>6103</v>
      </c>
      <c r="F90" t="s">
        <v>6691</v>
      </c>
      <c r="G90" s="9" t="s">
        <v>6104</v>
      </c>
      <c r="H90" t="s">
        <v>6692</v>
      </c>
      <c r="I90">
        <v>1</v>
      </c>
      <c r="J90" t="s">
        <v>6453</v>
      </c>
      <c r="K90" t="s">
        <v>6102</v>
      </c>
      <c r="L90" t="s">
        <v>90</v>
      </c>
      <c r="M90" t="s">
        <v>3468</v>
      </c>
      <c r="N90" t="s">
        <v>3468</v>
      </c>
      <c r="O90" t="s">
        <v>5788</v>
      </c>
    </row>
    <row r="91" spans="1:15" x14ac:dyDescent="0.25">
      <c r="A91" t="s">
        <v>6108</v>
      </c>
      <c r="B91" t="s">
        <v>41</v>
      </c>
      <c r="C91" t="s">
        <v>5775</v>
      </c>
      <c r="D91">
        <v>2</v>
      </c>
      <c r="E91" t="s">
        <v>6109</v>
      </c>
      <c r="F91" t="s">
        <v>6693</v>
      </c>
      <c r="G91" t="s">
        <v>6110</v>
      </c>
      <c r="H91" t="s">
        <v>6694</v>
      </c>
      <c r="I91">
        <v>2</v>
      </c>
      <c r="J91" t="s">
        <v>6476</v>
      </c>
      <c r="K91" t="s">
        <v>6111</v>
      </c>
      <c r="L91" t="s">
        <v>90</v>
      </c>
      <c r="M91" t="s">
        <v>3468</v>
      </c>
      <c r="N91" t="s">
        <v>3468</v>
      </c>
      <c r="O91" t="s">
        <v>6112</v>
      </c>
    </row>
    <row r="92" spans="1:15" x14ac:dyDescent="0.25">
      <c r="A92" t="s">
        <v>6113</v>
      </c>
      <c r="B92" t="s">
        <v>3531</v>
      </c>
      <c r="C92" t="s">
        <v>5775</v>
      </c>
      <c r="D92">
        <v>1</v>
      </c>
      <c r="E92" s="9" t="s">
        <v>6695</v>
      </c>
      <c r="F92" t="s">
        <v>6696</v>
      </c>
      <c r="G92" s="9" t="s">
        <v>6697</v>
      </c>
      <c r="H92" t="s">
        <v>6698</v>
      </c>
      <c r="I92">
        <v>1</v>
      </c>
      <c r="J92" t="s">
        <v>6453</v>
      </c>
      <c r="K92" t="s">
        <v>6116</v>
      </c>
      <c r="L92" t="s">
        <v>90</v>
      </c>
      <c r="M92" t="s">
        <v>3468</v>
      </c>
      <c r="N92" t="s">
        <v>3468</v>
      </c>
      <c r="O92" t="s">
        <v>6699</v>
      </c>
    </row>
    <row r="93" spans="1:15" x14ac:dyDescent="0.25">
      <c r="A93" t="s">
        <v>6117</v>
      </c>
      <c r="B93" t="s">
        <v>3531</v>
      </c>
      <c r="C93" t="s">
        <v>5775</v>
      </c>
      <c r="D93">
        <v>1</v>
      </c>
      <c r="E93" s="9" t="s">
        <v>6118</v>
      </c>
      <c r="F93" t="s">
        <v>6700</v>
      </c>
      <c r="G93" s="9" t="s">
        <v>6119</v>
      </c>
      <c r="H93" t="s">
        <v>6701</v>
      </c>
      <c r="I93">
        <v>1</v>
      </c>
      <c r="J93" t="s">
        <v>6470</v>
      </c>
      <c r="K93" t="s">
        <v>6117</v>
      </c>
      <c r="L93" t="s">
        <v>90</v>
      </c>
      <c r="M93" t="s">
        <v>3468</v>
      </c>
      <c r="N93" t="s">
        <v>5436</v>
      </c>
      <c r="O93" t="s">
        <v>6702</v>
      </c>
    </row>
    <row r="94" spans="1:15" x14ac:dyDescent="0.25">
      <c r="A94" t="s">
        <v>6120</v>
      </c>
      <c r="B94" t="s">
        <v>41</v>
      </c>
      <c r="C94" t="s">
        <v>5413</v>
      </c>
      <c r="D94">
        <v>1</v>
      </c>
      <c r="E94" s="9" t="s">
        <v>6703</v>
      </c>
      <c r="F94" t="s">
        <v>6704</v>
      </c>
      <c r="G94" s="9" t="s">
        <v>6705</v>
      </c>
      <c r="H94" t="s">
        <v>6706</v>
      </c>
      <c r="I94">
        <v>1</v>
      </c>
      <c r="J94" t="s">
        <v>3468</v>
      </c>
      <c r="K94" t="s">
        <v>6120</v>
      </c>
      <c r="L94" t="s">
        <v>90</v>
      </c>
      <c r="M94" t="s">
        <v>3468</v>
      </c>
      <c r="N94" t="s">
        <v>3468</v>
      </c>
      <c r="O94" t="s">
        <v>6123</v>
      </c>
    </row>
    <row r="95" spans="1:15" x14ac:dyDescent="0.25">
      <c r="A95" t="s">
        <v>6124</v>
      </c>
      <c r="B95" t="s">
        <v>3519</v>
      </c>
      <c r="C95" t="s">
        <v>5775</v>
      </c>
      <c r="D95">
        <v>2</v>
      </c>
      <c r="E95" s="9" t="s">
        <v>6125</v>
      </c>
      <c r="F95" t="s">
        <v>6707</v>
      </c>
      <c r="G95" s="9" t="s">
        <v>6126</v>
      </c>
      <c r="H95" t="s">
        <v>6708</v>
      </c>
      <c r="I95">
        <v>2</v>
      </c>
      <c r="J95" t="s">
        <v>6709</v>
      </c>
      <c r="K95" t="s">
        <v>6124</v>
      </c>
      <c r="L95" t="s">
        <v>90</v>
      </c>
      <c r="M95" t="s">
        <v>3468</v>
      </c>
      <c r="N95" t="s">
        <v>4313</v>
      </c>
      <c r="O95" t="s">
        <v>5912</v>
      </c>
    </row>
    <row r="96" spans="1:15" x14ac:dyDescent="0.25">
      <c r="A96" t="s">
        <v>6127</v>
      </c>
      <c r="B96" t="s">
        <v>3519</v>
      </c>
      <c r="C96" t="s">
        <v>5413</v>
      </c>
      <c r="D96">
        <v>2</v>
      </c>
      <c r="E96" s="9" t="s">
        <v>6128</v>
      </c>
      <c r="F96" t="s">
        <v>6710</v>
      </c>
      <c r="G96" s="9" t="s">
        <v>6129</v>
      </c>
      <c r="H96" t="s">
        <v>6711</v>
      </c>
      <c r="I96">
        <v>2</v>
      </c>
      <c r="J96" t="s">
        <v>3468</v>
      </c>
      <c r="K96" t="s">
        <v>6127</v>
      </c>
      <c r="L96" t="s">
        <v>90</v>
      </c>
      <c r="M96" t="s">
        <v>5549</v>
      </c>
      <c r="N96" t="s">
        <v>3468</v>
      </c>
      <c r="O96" t="s">
        <v>6052</v>
      </c>
    </row>
    <row r="97" spans="1:15" x14ac:dyDescent="0.25">
      <c r="A97" t="s">
        <v>6130</v>
      </c>
      <c r="B97" t="s">
        <v>3531</v>
      </c>
      <c r="C97" t="s">
        <v>5413</v>
      </c>
      <c r="D97">
        <v>1</v>
      </c>
      <c r="E97" s="9" t="s">
        <v>6131</v>
      </c>
      <c r="F97" t="s">
        <v>6712</v>
      </c>
      <c r="G97" s="9" t="s">
        <v>6131</v>
      </c>
      <c r="H97" t="s">
        <v>6712</v>
      </c>
      <c r="I97">
        <v>0</v>
      </c>
      <c r="J97" t="s">
        <v>3468</v>
      </c>
      <c r="K97" t="s">
        <v>6132</v>
      </c>
      <c r="L97" t="s">
        <v>90</v>
      </c>
      <c r="M97" t="s">
        <v>5549</v>
      </c>
      <c r="N97" t="s">
        <v>3468</v>
      </c>
      <c r="O97" t="s">
        <v>6133</v>
      </c>
    </row>
    <row r="98" spans="1:15" x14ac:dyDescent="0.25">
      <c r="A98" t="s">
        <v>6138</v>
      </c>
      <c r="B98" t="s">
        <v>3531</v>
      </c>
      <c r="C98" t="s">
        <v>4650</v>
      </c>
      <c r="D98">
        <v>1</v>
      </c>
      <c r="E98" t="s">
        <v>6139</v>
      </c>
      <c r="F98" t="s">
        <v>6713</v>
      </c>
      <c r="G98" t="s">
        <v>6140</v>
      </c>
      <c r="H98" t="s">
        <v>6714</v>
      </c>
      <c r="I98">
        <v>1</v>
      </c>
      <c r="J98" t="s">
        <v>3468</v>
      </c>
      <c r="K98" t="s">
        <v>6138</v>
      </c>
      <c r="L98" t="s">
        <v>90</v>
      </c>
      <c r="M98" t="s">
        <v>3468</v>
      </c>
      <c r="N98" t="s">
        <v>3468</v>
      </c>
      <c r="O98" t="s">
        <v>5980</v>
      </c>
    </row>
    <row r="99" spans="1:15" x14ac:dyDescent="0.25">
      <c r="A99" t="s">
        <v>4305</v>
      </c>
      <c r="B99" t="s">
        <v>4350</v>
      </c>
      <c r="C99" t="s">
        <v>4297</v>
      </c>
      <c r="D99" t="s">
        <v>4039</v>
      </c>
      <c r="E99" t="s">
        <v>6141</v>
      </c>
      <c r="F99" t="s">
        <v>4267</v>
      </c>
      <c r="G99" t="s">
        <v>3468</v>
      </c>
      <c r="H99" t="s">
        <v>3468</v>
      </c>
      <c r="I99" t="s">
        <v>3468</v>
      </c>
      <c r="J99" t="s">
        <v>3468</v>
      </c>
      <c r="K99" t="s">
        <v>4305</v>
      </c>
      <c r="L99" t="s">
        <v>90</v>
      </c>
      <c r="M99" t="s">
        <v>5516</v>
      </c>
      <c r="N99" t="s">
        <v>3468</v>
      </c>
      <c r="O99" t="s">
        <v>5923</v>
      </c>
    </row>
    <row r="100" spans="1:15" x14ac:dyDescent="0.25">
      <c r="A100" t="s">
        <v>6142</v>
      </c>
      <c r="B100" t="s">
        <v>3531</v>
      </c>
      <c r="C100" t="s">
        <v>5413</v>
      </c>
      <c r="D100">
        <v>0</v>
      </c>
      <c r="E100" s="9" t="s">
        <v>6143</v>
      </c>
      <c r="F100" t="s">
        <v>6715</v>
      </c>
      <c r="G100" s="9" t="s">
        <v>6144</v>
      </c>
      <c r="H100" t="s">
        <v>6716</v>
      </c>
      <c r="I100">
        <v>0</v>
      </c>
      <c r="J100" t="s">
        <v>3468</v>
      </c>
      <c r="K100" t="s">
        <v>6142</v>
      </c>
      <c r="L100" t="s">
        <v>90</v>
      </c>
      <c r="M100" t="s">
        <v>5549</v>
      </c>
      <c r="N100" t="s">
        <v>3468</v>
      </c>
      <c r="O100" t="s">
        <v>5990</v>
      </c>
    </row>
    <row r="101" spans="1:15" x14ac:dyDescent="0.25">
      <c r="A101" t="s">
        <v>6145</v>
      </c>
      <c r="B101" t="s">
        <v>41</v>
      </c>
      <c r="C101" t="s">
        <v>5775</v>
      </c>
      <c r="D101">
        <v>1</v>
      </c>
      <c r="E101" t="s">
        <v>6146</v>
      </c>
      <c r="F101" t="s">
        <v>6717</v>
      </c>
      <c r="G101" t="s">
        <v>6147</v>
      </c>
      <c r="H101" t="s">
        <v>6718</v>
      </c>
      <c r="I101">
        <v>1</v>
      </c>
      <c r="J101" t="s">
        <v>6719</v>
      </c>
      <c r="K101" t="s">
        <v>6148</v>
      </c>
      <c r="L101" t="s">
        <v>90</v>
      </c>
      <c r="M101" t="s">
        <v>3468</v>
      </c>
      <c r="N101" t="s">
        <v>3468</v>
      </c>
      <c r="O101" t="s">
        <v>6149</v>
      </c>
    </row>
    <row r="102" spans="1:15" x14ac:dyDescent="0.25">
      <c r="A102" t="s">
        <v>6160</v>
      </c>
      <c r="B102" t="s">
        <v>41</v>
      </c>
      <c r="C102" t="s">
        <v>5413</v>
      </c>
      <c r="D102">
        <v>1</v>
      </c>
      <c r="E102" t="s">
        <v>6161</v>
      </c>
      <c r="F102" t="s">
        <v>6720</v>
      </c>
      <c r="G102" t="s">
        <v>6162</v>
      </c>
      <c r="H102" t="s">
        <v>6721</v>
      </c>
      <c r="I102">
        <v>1</v>
      </c>
      <c r="J102" t="s">
        <v>3468</v>
      </c>
      <c r="K102" t="s">
        <v>6160</v>
      </c>
      <c r="L102" t="s">
        <v>90</v>
      </c>
      <c r="M102" t="s">
        <v>3468</v>
      </c>
      <c r="N102" t="s">
        <v>3468</v>
      </c>
      <c r="O102" t="s">
        <v>5872</v>
      </c>
    </row>
    <row r="103" spans="1:15" x14ac:dyDescent="0.25">
      <c r="A103" t="s">
        <v>6163</v>
      </c>
      <c r="B103" t="s">
        <v>3531</v>
      </c>
      <c r="C103" t="s">
        <v>5413</v>
      </c>
      <c r="D103">
        <v>2</v>
      </c>
      <c r="E103" s="9" t="s">
        <v>6722</v>
      </c>
      <c r="F103" t="s">
        <v>6723</v>
      </c>
      <c r="G103" s="9" t="s">
        <v>6724</v>
      </c>
      <c r="H103" t="s">
        <v>6725</v>
      </c>
      <c r="I103">
        <v>2</v>
      </c>
      <c r="J103" t="s">
        <v>3468</v>
      </c>
      <c r="K103" t="s">
        <v>6166</v>
      </c>
      <c r="L103" t="s">
        <v>90</v>
      </c>
      <c r="M103" t="s">
        <v>3468</v>
      </c>
      <c r="N103" t="s">
        <v>3468</v>
      </c>
      <c r="O103" t="s">
        <v>6167</v>
      </c>
    </row>
    <row r="104" spans="1:15" x14ac:dyDescent="0.25">
      <c r="A104" t="s">
        <v>4746</v>
      </c>
      <c r="B104" t="s">
        <v>41</v>
      </c>
      <c r="C104" t="s">
        <v>5775</v>
      </c>
      <c r="D104">
        <v>2</v>
      </c>
      <c r="E104" t="s">
        <v>6726</v>
      </c>
      <c r="F104" t="s">
        <v>6727</v>
      </c>
      <c r="G104" t="s">
        <v>6726</v>
      </c>
      <c r="H104" t="s">
        <v>6727</v>
      </c>
      <c r="I104">
        <v>2</v>
      </c>
      <c r="J104" t="s">
        <v>6728</v>
      </c>
      <c r="K104" t="s">
        <v>4749</v>
      </c>
      <c r="L104" t="s">
        <v>1047</v>
      </c>
      <c r="M104" t="s">
        <v>3468</v>
      </c>
      <c r="N104" t="s">
        <v>4313</v>
      </c>
      <c r="O104" t="s">
        <v>5808</v>
      </c>
    </row>
    <row r="105" spans="1:15" x14ac:dyDescent="0.25">
      <c r="A105" t="s">
        <v>6169</v>
      </c>
      <c r="B105" t="s">
        <v>3519</v>
      </c>
      <c r="C105" t="s">
        <v>5413</v>
      </c>
      <c r="D105">
        <v>1</v>
      </c>
      <c r="E105" s="9" t="s">
        <v>6170</v>
      </c>
      <c r="F105" t="s">
        <v>6729</v>
      </c>
      <c r="G105" s="9" t="s">
        <v>6171</v>
      </c>
      <c r="H105" t="s">
        <v>6730</v>
      </c>
      <c r="I105">
        <v>1</v>
      </c>
      <c r="J105" t="s">
        <v>3468</v>
      </c>
      <c r="K105" t="s">
        <v>6172</v>
      </c>
      <c r="L105" t="s">
        <v>90</v>
      </c>
      <c r="M105" t="s">
        <v>3468</v>
      </c>
      <c r="N105" t="s">
        <v>3468</v>
      </c>
      <c r="O105" t="s">
        <v>5980</v>
      </c>
    </row>
    <row r="106" spans="1:15" x14ac:dyDescent="0.25">
      <c r="A106" t="s">
        <v>4755</v>
      </c>
      <c r="B106" t="s">
        <v>41</v>
      </c>
      <c r="C106" t="s">
        <v>5775</v>
      </c>
      <c r="D106">
        <v>1</v>
      </c>
      <c r="E106" s="9" t="s">
        <v>6731</v>
      </c>
      <c r="F106" t="s">
        <v>6732</v>
      </c>
      <c r="G106" s="9" t="s">
        <v>6731</v>
      </c>
      <c r="H106" t="s">
        <v>6732</v>
      </c>
      <c r="I106">
        <v>1</v>
      </c>
      <c r="J106" t="s">
        <v>6470</v>
      </c>
      <c r="K106" t="s">
        <v>4758</v>
      </c>
      <c r="L106" t="s">
        <v>1047</v>
      </c>
      <c r="M106" t="s">
        <v>3468</v>
      </c>
      <c r="N106" t="s">
        <v>3468</v>
      </c>
      <c r="O106" t="s">
        <v>5808</v>
      </c>
    </row>
    <row r="107" spans="1:15" x14ac:dyDescent="0.25">
      <c r="A107" t="s">
        <v>6181</v>
      </c>
      <c r="B107" t="s">
        <v>3519</v>
      </c>
      <c r="C107" t="s">
        <v>5413</v>
      </c>
      <c r="D107" t="s">
        <v>5999</v>
      </c>
      <c r="E107" s="9" t="s">
        <v>6733</v>
      </c>
      <c r="F107" t="s">
        <v>6734</v>
      </c>
      <c r="G107" s="9" t="s">
        <v>6735</v>
      </c>
      <c r="H107" t="s">
        <v>6736</v>
      </c>
      <c r="I107" t="s">
        <v>5999</v>
      </c>
      <c r="J107" t="s">
        <v>3468</v>
      </c>
      <c r="K107" t="s">
        <v>6181</v>
      </c>
      <c r="L107" t="s">
        <v>90</v>
      </c>
      <c r="M107" t="s">
        <v>5549</v>
      </c>
      <c r="N107" t="s">
        <v>3468</v>
      </c>
      <c r="O107" t="s">
        <v>6184</v>
      </c>
    </row>
    <row r="108" spans="1:15" x14ac:dyDescent="0.25">
      <c r="A108" t="s">
        <v>6185</v>
      </c>
      <c r="B108" t="s">
        <v>3531</v>
      </c>
      <c r="C108" t="s">
        <v>5775</v>
      </c>
      <c r="D108">
        <v>0</v>
      </c>
      <c r="E108" s="9" t="s">
        <v>6186</v>
      </c>
      <c r="F108" t="s">
        <v>6737</v>
      </c>
      <c r="G108" s="9" t="s">
        <v>6187</v>
      </c>
      <c r="H108" t="s">
        <v>6738</v>
      </c>
      <c r="I108">
        <v>0</v>
      </c>
      <c r="J108" t="s">
        <v>6445</v>
      </c>
      <c r="K108" t="s">
        <v>6188</v>
      </c>
      <c r="L108" t="s">
        <v>90</v>
      </c>
      <c r="M108" t="s">
        <v>3468</v>
      </c>
      <c r="N108" t="s">
        <v>3468</v>
      </c>
      <c r="O108" t="s">
        <v>5830</v>
      </c>
    </row>
    <row r="109" spans="1:15" x14ac:dyDescent="0.25">
      <c r="A109" t="s">
        <v>5750</v>
      </c>
      <c r="B109" t="s">
        <v>3564</v>
      </c>
      <c r="C109" t="s">
        <v>5775</v>
      </c>
      <c r="D109">
        <v>0</v>
      </c>
      <c r="E109" t="s">
        <v>6198</v>
      </c>
      <c r="F109" t="s">
        <v>6739</v>
      </c>
      <c r="G109" t="s">
        <v>6199</v>
      </c>
      <c r="H109" t="s">
        <v>6740</v>
      </c>
      <c r="I109">
        <v>0</v>
      </c>
      <c r="J109" t="s">
        <v>6453</v>
      </c>
      <c r="K109" t="s">
        <v>5750</v>
      </c>
      <c r="L109" t="s">
        <v>90</v>
      </c>
      <c r="M109" t="s">
        <v>3468</v>
      </c>
      <c r="N109" t="s">
        <v>3468</v>
      </c>
      <c r="O109" t="s">
        <v>5806</v>
      </c>
    </row>
    <row r="110" spans="1:15" x14ac:dyDescent="0.25">
      <c r="A110" t="s">
        <v>6200</v>
      </c>
      <c r="B110" t="s">
        <v>3519</v>
      </c>
      <c r="C110" t="s">
        <v>5413</v>
      </c>
      <c r="D110">
        <v>3</v>
      </c>
      <c r="E110" s="9" t="s">
        <v>6741</v>
      </c>
      <c r="F110" t="s">
        <v>6742</v>
      </c>
      <c r="G110" s="9" t="s">
        <v>6741</v>
      </c>
      <c r="H110" t="s">
        <v>6742</v>
      </c>
      <c r="I110">
        <v>2</v>
      </c>
      <c r="J110" t="s">
        <v>3468</v>
      </c>
      <c r="K110" t="s">
        <v>6200</v>
      </c>
      <c r="L110" t="s">
        <v>90</v>
      </c>
      <c r="M110" t="s">
        <v>3468</v>
      </c>
      <c r="N110" t="s">
        <v>3468</v>
      </c>
      <c r="O110" t="s">
        <v>6045</v>
      </c>
    </row>
    <row r="111" spans="1:15" x14ac:dyDescent="0.25">
      <c r="A111" t="s">
        <v>6206</v>
      </c>
      <c r="B111" t="s">
        <v>3519</v>
      </c>
      <c r="C111" t="s">
        <v>5413</v>
      </c>
      <c r="D111">
        <v>0</v>
      </c>
      <c r="E111" s="9" t="s">
        <v>6207</v>
      </c>
      <c r="F111" t="s">
        <v>6743</v>
      </c>
      <c r="G111" s="9" t="s">
        <v>6208</v>
      </c>
      <c r="H111" t="s">
        <v>6744</v>
      </c>
      <c r="I111">
        <v>0</v>
      </c>
      <c r="J111" t="s">
        <v>3468</v>
      </c>
      <c r="K111" t="s">
        <v>6206</v>
      </c>
      <c r="L111" t="s">
        <v>90</v>
      </c>
      <c r="M111" t="s">
        <v>5549</v>
      </c>
      <c r="N111" t="s">
        <v>3468</v>
      </c>
      <c r="O111" t="s">
        <v>6209</v>
      </c>
    </row>
    <row r="112" spans="1:15" x14ac:dyDescent="0.25">
      <c r="A112" t="s">
        <v>6210</v>
      </c>
      <c r="B112" t="s">
        <v>41</v>
      </c>
      <c r="C112" t="s">
        <v>5413</v>
      </c>
      <c r="D112">
        <v>1</v>
      </c>
      <c r="E112" s="9" t="s">
        <v>6211</v>
      </c>
      <c r="F112" t="s">
        <v>6745</v>
      </c>
      <c r="G112" s="9" t="s">
        <v>6212</v>
      </c>
      <c r="H112" t="s">
        <v>6746</v>
      </c>
      <c r="I112">
        <v>1</v>
      </c>
      <c r="J112" t="s">
        <v>3468</v>
      </c>
      <c r="K112" t="s">
        <v>6210</v>
      </c>
      <c r="L112" t="s">
        <v>90</v>
      </c>
      <c r="M112" t="s">
        <v>3468</v>
      </c>
      <c r="N112" t="s">
        <v>3468</v>
      </c>
      <c r="O112" t="s">
        <v>5876</v>
      </c>
    </row>
    <row r="113" spans="1:15" x14ac:dyDescent="0.25">
      <c r="A113" t="s">
        <v>6213</v>
      </c>
      <c r="B113" t="s">
        <v>4350</v>
      </c>
      <c r="C113" t="s">
        <v>4297</v>
      </c>
      <c r="D113" t="s">
        <v>4039</v>
      </c>
      <c r="E113" t="s">
        <v>6214</v>
      </c>
      <c r="F113" t="s">
        <v>6747</v>
      </c>
      <c r="G113" t="s">
        <v>3468</v>
      </c>
      <c r="H113" t="s">
        <v>3468</v>
      </c>
      <c r="I113" t="s">
        <v>3468</v>
      </c>
      <c r="J113" t="s">
        <v>3468</v>
      </c>
      <c r="K113" t="s">
        <v>6213</v>
      </c>
      <c r="L113" t="s">
        <v>90</v>
      </c>
      <c r="M113" t="s">
        <v>5516</v>
      </c>
      <c r="N113" t="s">
        <v>3468</v>
      </c>
      <c r="O113" t="s">
        <v>5923</v>
      </c>
    </row>
    <row r="114" spans="1:15" x14ac:dyDescent="0.25">
      <c r="A114" t="s">
        <v>6215</v>
      </c>
      <c r="B114" t="s">
        <v>41</v>
      </c>
      <c r="C114" t="s">
        <v>5775</v>
      </c>
      <c r="D114">
        <v>2</v>
      </c>
      <c r="E114" s="9" t="s">
        <v>6216</v>
      </c>
      <c r="F114" t="s">
        <v>6748</v>
      </c>
      <c r="G114" s="9" t="s">
        <v>6217</v>
      </c>
      <c r="H114" t="s">
        <v>6749</v>
      </c>
      <c r="I114">
        <v>2</v>
      </c>
      <c r="J114" t="s">
        <v>6462</v>
      </c>
      <c r="K114" t="s">
        <v>6218</v>
      </c>
      <c r="L114" t="s">
        <v>90</v>
      </c>
      <c r="M114" t="s">
        <v>3468</v>
      </c>
      <c r="N114" t="s">
        <v>3468</v>
      </c>
      <c r="O114" t="s">
        <v>6112</v>
      </c>
    </row>
    <row r="115" spans="1:15" x14ac:dyDescent="0.25">
      <c r="A115" t="s">
        <v>6219</v>
      </c>
      <c r="B115" t="s">
        <v>3519</v>
      </c>
      <c r="C115" t="s">
        <v>5413</v>
      </c>
      <c r="D115">
        <v>1</v>
      </c>
      <c r="E115" s="9" t="s">
        <v>6220</v>
      </c>
      <c r="F115" t="s">
        <v>6750</v>
      </c>
      <c r="G115" s="9" t="s">
        <v>6220</v>
      </c>
      <c r="H115" t="s">
        <v>6750</v>
      </c>
      <c r="I115">
        <v>0</v>
      </c>
      <c r="J115" t="s">
        <v>3468</v>
      </c>
      <c r="K115" t="s">
        <v>6221</v>
      </c>
      <c r="L115" t="s">
        <v>90</v>
      </c>
      <c r="M115" t="s">
        <v>3468</v>
      </c>
      <c r="N115" t="s">
        <v>3468</v>
      </c>
      <c r="O115" t="s">
        <v>5830</v>
      </c>
    </row>
    <row r="116" spans="1:15" x14ac:dyDescent="0.25">
      <c r="A116" t="s">
        <v>6222</v>
      </c>
      <c r="B116" t="s">
        <v>41</v>
      </c>
      <c r="C116" t="s">
        <v>5413</v>
      </c>
      <c r="D116">
        <v>1</v>
      </c>
      <c r="E116" s="9" t="s">
        <v>6751</v>
      </c>
      <c r="F116" t="s">
        <v>6752</v>
      </c>
      <c r="G116" s="9" t="s">
        <v>6753</v>
      </c>
      <c r="H116" t="s">
        <v>6754</v>
      </c>
      <c r="I116">
        <v>1</v>
      </c>
      <c r="J116" t="s">
        <v>3468</v>
      </c>
      <c r="K116" t="s">
        <v>6225</v>
      </c>
      <c r="L116" t="s">
        <v>90</v>
      </c>
      <c r="M116" t="s">
        <v>5549</v>
      </c>
      <c r="N116" t="s">
        <v>3468</v>
      </c>
      <c r="O116" t="s">
        <v>6184</v>
      </c>
    </row>
    <row r="117" spans="1:15" x14ac:dyDescent="0.25">
      <c r="A117" t="s">
        <v>6226</v>
      </c>
      <c r="B117" t="s">
        <v>41</v>
      </c>
      <c r="C117" t="s">
        <v>5775</v>
      </c>
      <c r="D117">
        <v>1</v>
      </c>
      <c r="E117" s="9" t="s">
        <v>6227</v>
      </c>
      <c r="F117" t="s">
        <v>6755</v>
      </c>
      <c r="G117" s="9" t="s">
        <v>6228</v>
      </c>
      <c r="H117" t="s">
        <v>6756</v>
      </c>
      <c r="I117">
        <v>1</v>
      </c>
      <c r="J117" t="s">
        <v>6453</v>
      </c>
      <c r="K117" t="s">
        <v>6229</v>
      </c>
      <c r="L117" t="s">
        <v>90</v>
      </c>
      <c r="M117" t="s">
        <v>3468</v>
      </c>
      <c r="N117" t="s">
        <v>5307</v>
      </c>
      <c r="O117" t="s">
        <v>5806</v>
      </c>
    </row>
    <row r="118" spans="1:15" x14ac:dyDescent="0.25">
      <c r="A118" t="s">
        <v>6230</v>
      </c>
      <c r="B118" t="s">
        <v>41</v>
      </c>
      <c r="C118" t="s">
        <v>5775</v>
      </c>
      <c r="D118">
        <v>1</v>
      </c>
      <c r="E118" t="s">
        <v>6231</v>
      </c>
      <c r="F118" t="s">
        <v>6757</v>
      </c>
      <c r="G118" t="s">
        <v>6232</v>
      </c>
      <c r="H118" t="s">
        <v>6758</v>
      </c>
      <c r="I118">
        <v>1</v>
      </c>
      <c r="J118" t="s">
        <v>6462</v>
      </c>
      <c r="K118" t="s">
        <v>6233</v>
      </c>
      <c r="L118" t="s">
        <v>90</v>
      </c>
      <c r="M118" t="s">
        <v>3468</v>
      </c>
      <c r="N118" t="s">
        <v>3468</v>
      </c>
      <c r="O118" t="s">
        <v>6759</v>
      </c>
    </row>
    <row r="119" spans="1:15" x14ac:dyDescent="0.25">
      <c r="A119" t="s">
        <v>6235</v>
      </c>
      <c r="B119" t="s">
        <v>3531</v>
      </c>
      <c r="C119" t="s">
        <v>5413</v>
      </c>
      <c r="D119">
        <v>1</v>
      </c>
      <c r="E119" s="9" t="s">
        <v>6236</v>
      </c>
      <c r="F119" t="s">
        <v>6760</v>
      </c>
      <c r="G119" s="9" t="s">
        <v>6237</v>
      </c>
      <c r="H119" t="s">
        <v>6761</v>
      </c>
      <c r="I119">
        <v>1</v>
      </c>
      <c r="J119" t="s">
        <v>3468</v>
      </c>
      <c r="K119" t="s">
        <v>6238</v>
      </c>
      <c r="L119" t="s">
        <v>90</v>
      </c>
      <c r="M119" t="s">
        <v>3468</v>
      </c>
      <c r="N119" t="s">
        <v>3468</v>
      </c>
      <c r="O119" t="s">
        <v>6239</v>
      </c>
    </row>
    <row r="120" spans="1:15" x14ac:dyDescent="0.25">
      <c r="A120" t="s">
        <v>6240</v>
      </c>
      <c r="B120" t="s">
        <v>41</v>
      </c>
      <c r="C120" t="s">
        <v>5775</v>
      </c>
      <c r="D120">
        <v>2</v>
      </c>
      <c r="E120" s="9" t="s">
        <v>6762</v>
      </c>
      <c r="F120" t="s">
        <v>6763</v>
      </c>
      <c r="G120" s="9" t="s">
        <v>6764</v>
      </c>
      <c r="H120" t="s">
        <v>6765</v>
      </c>
      <c r="I120" t="s">
        <v>3468</v>
      </c>
      <c r="J120" t="s">
        <v>6445</v>
      </c>
      <c r="K120" t="s">
        <v>6240</v>
      </c>
      <c r="L120" t="s">
        <v>90</v>
      </c>
      <c r="M120" t="s">
        <v>3468</v>
      </c>
      <c r="N120" t="s">
        <v>3468</v>
      </c>
      <c r="O120" t="s">
        <v>6258</v>
      </c>
    </row>
    <row r="121" spans="1:15" x14ac:dyDescent="0.25">
      <c r="A121" t="s">
        <v>6243</v>
      </c>
      <c r="B121" t="s">
        <v>41</v>
      </c>
      <c r="C121" t="s">
        <v>5413</v>
      </c>
      <c r="D121">
        <v>0</v>
      </c>
      <c r="E121" s="9" t="s">
        <v>6244</v>
      </c>
      <c r="F121" t="s">
        <v>6766</v>
      </c>
      <c r="G121" s="9" t="s">
        <v>6245</v>
      </c>
      <c r="H121" t="s">
        <v>6767</v>
      </c>
      <c r="I121" t="s">
        <v>3468</v>
      </c>
      <c r="J121" t="s">
        <v>3468</v>
      </c>
      <c r="K121" t="s">
        <v>6243</v>
      </c>
      <c r="L121" t="s">
        <v>90</v>
      </c>
      <c r="M121" t="s">
        <v>3468</v>
      </c>
      <c r="N121" t="s">
        <v>3468</v>
      </c>
      <c r="O121" t="s">
        <v>5761</v>
      </c>
    </row>
    <row r="122" spans="1:15" x14ac:dyDescent="0.25">
      <c r="A122" t="s">
        <v>5172</v>
      </c>
      <c r="B122" t="s">
        <v>4350</v>
      </c>
      <c r="C122" t="s">
        <v>4297</v>
      </c>
      <c r="D122">
        <v>1</v>
      </c>
      <c r="E122" s="4" t="s">
        <v>6768</v>
      </c>
      <c r="F122" t="s">
        <v>6769</v>
      </c>
      <c r="G122" t="s">
        <v>3468</v>
      </c>
      <c r="H122" t="s">
        <v>3468</v>
      </c>
      <c r="I122" t="s">
        <v>3468</v>
      </c>
      <c r="J122" t="s">
        <v>3468</v>
      </c>
      <c r="K122" t="s">
        <v>5172</v>
      </c>
      <c r="L122" t="s">
        <v>90</v>
      </c>
      <c r="M122" t="s">
        <v>6460</v>
      </c>
      <c r="N122" t="s">
        <v>3468</v>
      </c>
      <c r="O122" t="s">
        <v>5923</v>
      </c>
    </row>
    <row r="123" spans="1:15" x14ac:dyDescent="0.25">
      <c r="A123" t="s">
        <v>6246</v>
      </c>
      <c r="B123" t="s">
        <v>3531</v>
      </c>
      <c r="C123" t="s">
        <v>5775</v>
      </c>
      <c r="D123">
        <v>1</v>
      </c>
      <c r="E123" s="9" t="s">
        <v>6247</v>
      </c>
      <c r="F123" t="s">
        <v>6770</v>
      </c>
      <c r="G123" s="9" t="s">
        <v>6248</v>
      </c>
      <c r="H123" t="s">
        <v>6771</v>
      </c>
      <c r="I123">
        <v>1</v>
      </c>
      <c r="J123" t="s">
        <v>6453</v>
      </c>
      <c r="K123" t="s">
        <v>6246</v>
      </c>
      <c r="L123" t="s">
        <v>90</v>
      </c>
      <c r="M123" t="s">
        <v>5549</v>
      </c>
      <c r="N123" t="s">
        <v>3468</v>
      </c>
      <c r="O123" t="s">
        <v>6057</v>
      </c>
    </row>
    <row r="124" spans="1:15" x14ac:dyDescent="0.25">
      <c r="A124" t="s">
        <v>5197</v>
      </c>
      <c r="B124" t="s">
        <v>4350</v>
      </c>
      <c r="C124" t="s">
        <v>4297</v>
      </c>
      <c r="D124" t="s">
        <v>4039</v>
      </c>
      <c r="E124" t="s">
        <v>6249</v>
      </c>
      <c r="F124" t="s">
        <v>6772</v>
      </c>
      <c r="G124" t="s">
        <v>3468</v>
      </c>
      <c r="H124" t="s">
        <v>3468</v>
      </c>
      <c r="I124" t="s">
        <v>3468</v>
      </c>
      <c r="J124" t="s">
        <v>3468</v>
      </c>
      <c r="K124" t="s">
        <v>6250</v>
      </c>
      <c r="L124" t="s">
        <v>1650</v>
      </c>
      <c r="M124" t="s">
        <v>5516</v>
      </c>
      <c r="N124" t="s">
        <v>3468</v>
      </c>
    </row>
    <row r="125" spans="1:15" x14ac:dyDescent="0.25">
      <c r="A125" t="s">
        <v>6254</v>
      </c>
      <c r="B125" t="s">
        <v>41</v>
      </c>
      <c r="C125" t="s">
        <v>5775</v>
      </c>
      <c r="D125">
        <v>1</v>
      </c>
      <c r="E125" s="9" t="s">
        <v>6255</v>
      </c>
      <c r="F125" t="s">
        <v>6773</v>
      </c>
      <c r="G125" s="9" t="s">
        <v>6256</v>
      </c>
      <c r="H125" t="s">
        <v>6774</v>
      </c>
      <c r="I125">
        <v>1</v>
      </c>
      <c r="J125" t="s">
        <v>6537</v>
      </c>
      <c r="K125" t="s">
        <v>6257</v>
      </c>
      <c r="L125" t="s">
        <v>90</v>
      </c>
      <c r="M125" t="s">
        <v>3468</v>
      </c>
      <c r="N125" t="s">
        <v>3468</v>
      </c>
      <c r="O125" t="s">
        <v>6258</v>
      </c>
    </row>
    <row r="126" spans="1:15" x14ac:dyDescent="0.25">
      <c r="A126" t="s">
        <v>5415</v>
      </c>
      <c r="B126" t="s">
        <v>3531</v>
      </c>
      <c r="C126" t="s">
        <v>5413</v>
      </c>
      <c r="D126">
        <v>0</v>
      </c>
      <c r="E126" s="9" t="s">
        <v>6259</v>
      </c>
      <c r="F126" t="s">
        <v>6775</v>
      </c>
      <c r="G126" s="9" t="s">
        <v>6260</v>
      </c>
      <c r="H126" t="s">
        <v>6776</v>
      </c>
      <c r="I126">
        <v>0</v>
      </c>
      <c r="J126" t="s">
        <v>3468</v>
      </c>
      <c r="K126" t="s">
        <v>5415</v>
      </c>
      <c r="L126" t="s">
        <v>90</v>
      </c>
      <c r="M126" t="s">
        <v>3468</v>
      </c>
      <c r="N126" t="s">
        <v>3468</v>
      </c>
      <c r="O126" t="s">
        <v>5792</v>
      </c>
    </row>
    <row r="127" spans="1:15" x14ac:dyDescent="0.25">
      <c r="A127" t="s">
        <v>6261</v>
      </c>
      <c r="B127" t="s">
        <v>3531</v>
      </c>
      <c r="C127" t="s">
        <v>5775</v>
      </c>
      <c r="D127">
        <v>1</v>
      </c>
      <c r="E127" s="9" t="s">
        <v>6262</v>
      </c>
      <c r="F127" t="s">
        <v>6777</v>
      </c>
      <c r="G127" s="9" t="s">
        <v>6263</v>
      </c>
      <c r="H127" t="s">
        <v>6778</v>
      </c>
      <c r="I127">
        <v>1</v>
      </c>
      <c r="J127" t="s">
        <v>6537</v>
      </c>
      <c r="K127" t="s">
        <v>6261</v>
      </c>
      <c r="L127" t="s">
        <v>90</v>
      </c>
      <c r="M127" t="s">
        <v>3468</v>
      </c>
      <c r="N127" t="s">
        <v>3468</v>
      </c>
      <c r="O127" t="s">
        <v>6112</v>
      </c>
    </row>
    <row r="128" spans="1:15" x14ac:dyDescent="0.25">
      <c r="A128" t="s">
        <v>6265</v>
      </c>
      <c r="B128" t="s">
        <v>3519</v>
      </c>
      <c r="C128" t="s">
        <v>5775</v>
      </c>
      <c r="D128">
        <v>2</v>
      </c>
      <c r="E128" t="s">
        <v>6266</v>
      </c>
      <c r="F128" t="s">
        <v>6779</v>
      </c>
      <c r="G128" t="s">
        <v>6267</v>
      </c>
      <c r="H128" t="s">
        <v>6780</v>
      </c>
      <c r="I128">
        <v>2</v>
      </c>
      <c r="J128" t="s">
        <v>6542</v>
      </c>
      <c r="K128" t="s">
        <v>6265</v>
      </c>
      <c r="L128" t="s">
        <v>90</v>
      </c>
      <c r="M128" t="s">
        <v>6781</v>
      </c>
      <c r="N128" t="s">
        <v>3468</v>
      </c>
      <c r="O128" t="s">
        <v>6049</v>
      </c>
    </row>
    <row r="129" spans="1:15" x14ac:dyDescent="0.25">
      <c r="A129" t="s">
        <v>6268</v>
      </c>
      <c r="B129" t="s">
        <v>3531</v>
      </c>
      <c r="C129" t="s">
        <v>5775</v>
      </c>
      <c r="D129">
        <v>0</v>
      </c>
      <c r="E129" s="9" t="s">
        <v>6782</v>
      </c>
      <c r="F129" t="s">
        <v>6783</v>
      </c>
      <c r="G129" s="9" t="s">
        <v>6784</v>
      </c>
      <c r="H129" t="s">
        <v>6785</v>
      </c>
      <c r="I129">
        <v>0</v>
      </c>
      <c r="J129" t="s">
        <v>6503</v>
      </c>
      <c r="K129" t="s">
        <v>6271</v>
      </c>
      <c r="L129" t="s">
        <v>90</v>
      </c>
      <c r="M129" t="s">
        <v>3468</v>
      </c>
      <c r="N129" t="s">
        <v>3468</v>
      </c>
      <c r="O129" t="s">
        <v>6272</v>
      </c>
    </row>
    <row r="130" spans="1:15" x14ac:dyDescent="0.25">
      <c r="A130" t="s">
        <v>6276</v>
      </c>
      <c r="B130" t="s">
        <v>3531</v>
      </c>
      <c r="C130" t="s">
        <v>5413</v>
      </c>
      <c r="D130" t="s">
        <v>4039</v>
      </c>
      <c r="E130" t="s">
        <v>6277</v>
      </c>
      <c r="F130" t="s">
        <v>6786</v>
      </c>
      <c r="G130" t="s">
        <v>6278</v>
      </c>
      <c r="H130" t="s">
        <v>6787</v>
      </c>
      <c r="I130" t="s">
        <v>4039</v>
      </c>
      <c r="J130" t="s">
        <v>3468</v>
      </c>
      <c r="K130" t="s">
        <v>6276</v>
      </c>
      <c r="L130" t="s">
        <v>90</v>
      </c>
      <c r="M130" t="s">
        <v>5514</v>
      </c>
      <c r="N130" t="s">
        <v>3468</v>
      </c>
      <c r="O130" t="s">
        <v>5890</v>
      </c>
    </row>
    <row r="131" spans="1:15" x14ac:dyDescent="0.25">
      <c r="A131" t="s">
        <v>5162</v>
      </c>
      <c r="B131" t="s">
        <v>4350</v>
      </c>
      <c r="C131" t="s">
        <v>4297</v>
      </c>
      <c r="D131" t="s">
        <v>4039</v>
      </c>
      <c r="E131" t="s">
        <v>6279</v>
      </c>
      <c r="F131" t="s">
        <v>6788</v>
      </c>
      <c r="G131" t="s">
        <v>3468</v>
      </c>
      <c r="H131" t="s">
        <v>3468</v>
      </c>
      <c r="I131" t="s">
        <v>3468</v>
      </c>
      <c r="J131" t="s">
        <v>3468</v>
      </c>
      <c r="K131" t="s">
        <v>5162</v>
      </c>
      <c r="L131" t="s">
        <v>90</v>
      </c>
      <c r="M131" t="s">
        <v>5516</v>
      </c>
      <c r="N131" t="s">
        <v>3468</v>
      </c>
      <c r="O131" t="s">
        <v>5923</v>
      </c>
    </row>
    <row r="132" spans="1:15" x14ac:dyDescent="0.25">
      <c r="A132" t="s">
        <v>6280</v>
      </c>
      <c r="B132" t="s">
        <v>3531</v>
      </c>
      <c r="C132" t="s">
        <v>5775</v>
      </c>
      <c r="D132">
        <v>2</v>
      </c>
      <c r="E132" s="9" t="s">
        <v>6281</v>
      </c>
      <c r="F132" t="s">
        <v>6789</v>
      </c>
      <c r="G132" s="9" t="s">
        <v>6282</v>
      </c>
      <c r="H132" t="s">
        <v>6790</v>
      </c>
      <c r="I132" t="s">
        <v>3468</v>
      </c>
      <c r="J132" t="s">
        <v>6453</v>
      </c>
      <c r="K132" t="s">
        <v>6283</v>
      </c>
      <c r="L132" t="s">
        <v>90</v>
      </c>
      <c r="M132" t="s">
        <v>3468</v>
      </c>
      <c r="N132" t="s">
        <v>3468</v>
      </c>
      <c r="O132" t="s">
        <v>5830</v>
      </c>
    </row>
    <row r="133" spans="1:15" x14ac:dyDescent="0.25">
      <c r="A133" t="s">
        <v>4869</v>
      </c>
      <c r="B133" t="s">
        <v>3531</v>
      </c>
      <c r="C133" t="s">
        <v>5413</v>
      </c>
      <c r="D133">
        <v>1</v>
      </c>
      <c r="E133" s="9" t="s">
        <v>6291</v>
      </c>
      <c r="F133" t="s">
        <v>6791</v>
      </c>
      <c r="G133" s="9" t="s">
        <v>6291</v>
      </c>
      <c r="H133" t="s">
        <v>6791</v>
      </c>
      <c r="I133">
        <v>1</v>
      </c>
      <c r="J133" t="s">
        <v>6537</v>
      </c>
      <c r="K133" t="s">
        <v>4872</v>
      </c>
      <c r="L133" t="s">
        <v>1650</v>
      </c>
      <c r="M133" t="s">
        <v>3468</v>
      </c>
      <c r="N133" t="s">
        <v>3468</v>
      </c>
      <c r="O133" t="s">
        <v>6792</v>
      </c>
    </row>
    <row r="134" spans="1:15" x14ac:dyDescent="0.25">
      <c r="A134" t="s">
        <v>6292</v>
      </c>
      <c r="B134" t="s">
        <v>3531</v>
      </c>
      <c r="C134" t="s">
        <v>5775</v>
      </c>
      <c r="D134">
        <v>2</v>
      </c>
      <c r="E134" s="9" t="s">
        <v>6793</v>
      </c>
      <c r="F134" t="s">
        <v>6794</v>
      </c>
      <c r="G134" s="9" t="s">
        <v>3468</v>
      </c>
      <c r="H134" t="s">
        <v>3468</v>
      </c>
      <c r="I134" t="s">
        <v>3468</v>
      </c>
      <c r="J134" t="s">
        <v>6462</v>
      </c>
      <c r="K134" t="s">
        <v>6294</v>
      </c>
      <c r="L134" t="s">
        <v>90</v>
      </c>
      <c r="M134" t="s">
        <v>3468</v>
      </c>
      <c r="N134" t="s">
        <v>4313</v>
      </c>
      <c r="O134" t="s">
        <v>6112</v>
      </c>
    </row>
    <row r="135" spans="1:15" x14ac:dyDescent="0.25">
      <c r="A135" t="s">
        <v>6295</v>
      </c>
      <c r="B135" t="s">
        <v>3531</v>
      </c>
      <c r="C135" t="s">
        <v>5413</v>
      </c>
      <c r="D135">
        <v>1</v>
      </c>
      <c r="E135" s="9" t="s">
        <v>6296</v>
      </c>
      <c r="F135" t="s">
        <v>6795</v>
      </c>
      <c r="G135" s="9" t="s">
        <v>6297</v>
      </c>
      <c r="H135" t="s">
        <v>6796</v>
      </c>
      <c r="I135">
        <v>1</v>
      </c>
      <c r="J135" t="s">
        <v>3468</v>
      </c>
      <c r="K135" t="s">
        <v>6298</v>
      </c>
      <c r="L135" t="s">
        <v>90</v>
      </c>
      <c r="M135" t="s">
        <v>3468</v>
      </c>
      <c r="N135" t="s">
        <v>3468</v>
      </c>
      <c r="O135" t="s">
        <v>6052</v>
      </c>
    </row>
    <row r="136" spans="1:15" x14ac:dyDescent="0.25">
      <c r="A136" t="s">
        <v>6299</v>
      </c>
      <c r="B136" t="s">
        <v>3531</v>
      </c>
      <c r="C136" t="s">
        <v>5413</v>
      </c>
      <c r="D136">
        <v>1</v>
      </c>
      <c r="E136" s="9" t="s">
        <v>6300</v>
      </c>
      <c r="F136" t="s">
        <v>6797</v>
      </c>
      <c r="G136" s="9" t="s">
        <v>6300</v>
      </c>
      <c r="H136" t="s">
        <v>6797</v>
      </c>
      <c r="I136">
        <v>0</v>
      </c>
      <c r="J136" t="s">
        <v>3468</v>
      </c>
      <c r="K136" t="s">
        <v>6301</v>
      </c>
      <c r="L136" t="s">
        <v>90</v>
      </c>
      <c r="M136" t="s">
        <v>5549</v>
      </c>
      <c r="N136" t="s">
        <v>3468</v>
      </c>
      <c r="O136" t="s">
        <v>6302</v>
      </c>
    </row>
    <row r="137" spans="1:15" x14ac:dyDescent="0.25">
      <c r="A137" t="s">
        <v>6303</v>
      </c>
      <c r="B137" t="s">
        <v>3519</v>
      </c>
      <c r="C137" t="s">
        <v>5413</v>
      </c>
      <c r="D137">
        <v>0</v>
      </c>
      <c r="E137" s="9" t="s">
        <v>6798</v>
      </c>
      <c r="F137" t="s">
        <v>6799</v>
      </c>
      <c r="G137" s="9" t="s">
        <v>6800</v>
      </c>
      <c r="H137" t="s">
        <v>6801</v>
      </c>
      <c r="I137">
        <v>0</v>
      </c>
      <c r="J137" t="s">
        <v>3468</v>
      </c>
      <c r="K137" t="s">
        <v>6303</v>
      </c>
      <c r="L137" t="s">
        <v>90</v>
      </c>
      <c r="M137" t="s">
        <v>5549</v>
      </c>
      <c r="N137" t="s">
        <v>3468</v>
      </c>
      <c r="O137" t="s">
        <v>6306</v>
      </c>
    </row>
    <row r="138" spans="1:15" x14ac:dyDescent="0.25">
      <c r="A138" t="s">
        <v>6307</v>
      </c>
      <c r="B138" t="s">
        <v>3531</v>
      </c>
      <c r="C138" t="s">
        <v>5413</v>
      </c>
      <c r="D138">
        <v>1</v>
      </c>
      <c r="E138" s="9" t="s">
        <v>6308</v>
      </c>
      <c r="F138" t="s">
        <v>6802</v>
      </c>
      <c r="G138" s="9" t="s">
        <v>6309</v>
      </c>
      <c r="H138" t="s">
        <v>6803</v>
      </c>
      <c r="I138">
        <v>1</v>
      </c>
      <c r="J138" t="s">
        <v>3468</v>
      </c>
      <c r="K138" t="s">
        <v>6307</v>
      </c>
      <c r="L138" t="s">
        <v>90</v>
      </c>
      <c r="M138" t="s">
        <v>3468</v>
      </c>
      <c r="N138" t="s">
        <v>3468</v>
      </c>
      <c r="O138" t="s">
        <v>6052</v>
      </c>
    </row>
    <row r="139" spans="1:15" x14ac:dyDescent="0.25">
      <c r="A139" t="s">
        <v>6310</v>
      </c>
      <c r="B139" t="s">
        <v>3531</v>
      </c>
      <c r="C139" t="s">
        <v>5413</v>
      </c>
      <c r="D139">
        <v>1</v>
      </c>
      <c r="E139" s="9" t="s">
        <v>6804</v>
      </c>
      <c r="F139" t="s">
        <v>6805</v>
      </c>
      <c r="G139" s="9" t="s">
        <v>6804</v>
      </c>
      <c r="H139" t="s">
        <v>6805</v>
      </c>
      <c r="I139">
        <v>0</v>
      </c>
      <c r="J139" t="s">
        <v>3468</v>
      </c>
      <c r="K139" t="s">
        <v>6310</v>
      </c>
      <c r="L139" t="s">
        <v>90</v>
      </c>
      <c r="M139" t="s">
        <v>3468</v>
      </c>
      <c r="N139" t="s">
        <v>3468</v>
      </c>
      <c r="O139" t="s">
        <v>5876</v>
      </c>
    </row>
    <row r="140" spans="1:15" x14ac:dyDescent="0.25">
      <c r="A140" t="s">
        <v>6312</v>
      </c>
      <c r="B140" t="s">
        <v>3531</v>
      </c>
      <c r="C140" t="s">
        <v>5775</v>
      </c>
      <c r="D140">
        <v>2</v>
      </c>
      <c r="E140" s="9" t="s">
        <v>6806</v>
      </c>
      <c r="F140" t="s">
        <v>6807</v>
      </c>
      <c r="G140" s="9" t="s">
        <v>6808</v>
      </c>
      <c r="H140" t="s">
        <v>6809</v>
      </c>
      <c r="I140">
        <v>2</v>
      </c>
      <c r="J140" t="s">
        <v>6537</v>
      </c>
      <c r="K140" t="s">
        <v>6315</v>
      </c>
      <c r="L140" t="s">
        <v>90</v>
      </c>
      <c r="M140" t="s">
        <v>3468</v>
      </c>
      <c r="N140" t="s">
        <v>3468</v>
      </c>
      <c r="O140" t="s">
        <v>6057</v>
      </c>
    </row>
    <row r="141" spans="1:15" x14ac:dyDescent="0.25">
      <c r="A141" t="s">
        <v>6316</v>
      </c>
      <c r="B141" t="s">
        <v>4350</v>
      </c>
      <c r="C141" t="s">
        <v>4297</v>
      </c>
      <c r="D141" t="s">
        <v>4039</v>
      </c>
      <c r="E141" t="s">
        <v>6317</v>
      </c>
      <c r="F141" t="s">
        <v>6810</v>
      </c>
      <c r="G141" t="s">
        <v>3468</v>
      </c>
      <c r="H141" t="s">
        <v>3468</v>
      </c>
      <c r="I141" t="s">
        <v>3468</v>
      </c>
      <c r="J141" t="s">
        <v>3468</v>
      </c>
      <c r="K141" t="s">
        <v>6316</v>
      </c>
      <c r="L141" t="s">
        <v>90</v>
      </c>
      <c r="M141" t="s">
        <v>5516</v>
      </c>
      <c r="N141" t="s">
        <v>3468</v>
      </c>
      <c r="O141" t="s">
        <v>5923</v>
      </c>
    </row>
    <row r="142" spans="1:15" x14ac:dyDescent="0.25">
      <c r="A142" t="s">
        <v>6318</v>
      </c>
      <c r="B142" t="s">
        <v>4350</v>
      </c>
      <c r="C142" t="s">
        <v>5775</v>
      </c>
      <c r="D142">
        <v>0</v>
      </c>
      <c r="E142" t="s">
        <v>6319</v>
      </c>
      <c r="F142" t="s">
        <v>6811</v>
      </c>
      <c r="G142" t="s">
        <v>6320</v>
      </c>
      <c r="H142" t="s">
        <v>6469</v>
      </c>
      <c r="I142">
        <v>0</v>
      </c>
      <c r="J142" t="s">
        <v>6470</v>
      </c>
      <c r="K142" t="s">
        <v>6318</v>
      </c>
      <c r="L142" t="s">
        <v>90</v>
      </c>
      <c r="M142" t="s">
        <v>5549</v>
      </c>
      <c r="N142" t="s">
        <v>3468</v>
      </c>
      <c r="O142" t="s">
        <v>6812</v>
      </c>
    </row>
    <row r="143" spans="1:15" x14ac:dyDescent="0.25">
      <c r="A143" t="s">
        <v>6321</v>
      </c>
      <c r="B143" t="s">
        <v>3531</v>
      </c>
      <c r="C143" t="s">
        <v>5413</v>
      </c>
      <c r="D143">
        <v>2</v>
      </c>
      <c r="E143" s="9" t="s">
        <v>6322</v>
      </c>
      <c r="F143" t="s">
        <v>6813</v>
      </c>
      <c r="G143" s="9" t="s">
        <v>6323</v>
      </c>
      <c r="H143" t="s">
        <v>6814</v>
      </c>
      <c r="I143">
        <v>2</v>
      </c>
      <c r="J143" t="s">
        <v>3468</v>
      </c>
      <c r="K143" t="s">
        <v>6321</v>
      </c>
      <c r="L143" t="s">
        <v>90</v>
      </c>
      <c r="M143" t="s">
        <v>5549</v>
      </c>
      <c r="N143" t="s">
        <v>3468</v>
      </c>
      <c r="O143" t="s">
        <v>5990</v>
      </c>
    </row>
    <row r="144" spans="1:15" x14ac:dyDescent="0.25">
      <c r="A144" t="s">
        <v>6324</v>
      </c>
      <c r="B144" t="s">
        <v>41</v>
      </c>
      <c r="C144" t="s">
        <v>5413</v>
      </c>
      <c r="D144">
        <v>1</v>
      </c>
      <c r="E144" t="s">
        <v>6325</v>
      </c>
      <c r="F144" t="s">
        <v>6815</v>
      </c>
      <c r="G144" t="s">
        <v>6326</v>
      </c>
      <c r="H144" t="s">
        <v>6816</v>
      </c>
      <c r="I144">
        <v>1</v>
      </c>
      <c r="J144" t="s">
        <v>3468</v>
      </c>
      <c r="K144" t="s">
        <v>6327</v>
      </c>
      <c r="L144" t="s">
        <v>90</v>
      </c>
      <c r="M144" t="s">
        <v>3468</v>
      </c>
      <c r="N144" t="s">
        <v>3468</v>
      </c>
      <c r="O144" t="s">
        <v>6328</v>
      </c>
    </row>
    <row r="145" spans="1:15" x14ac:dyDescent="0.25">
      <c r="A145" t="s">
        <v>6329</v>
      </c>
      <c r="B145" t="s">
        <v>3531</v>
      </c>
      <c r="C145" t="s">
        <v>5775</v>
      </c>
      <c r="D145" t="s">
        <v>5999</v>
      </c>
      <c r="E145" t="s">
        <v>6330</v>
      </c>
      <c r="F145" t="s">
        <v>6817</v>
      </c>
      <c r="G145" t="s">
        <v>6331</v>
      </c>
      <c r="H145" t="s">
        <v>6818</v>
      </c>
      <c r="I145" t="s">
        <v>5999</v>
      </c>
      <c r="J145" t="s">
        <v>6819</v>
      </c>
      <c r="K145" t="s">
        <v>6329</v>
      </c>
      <c r="L145" t="s">
        <v>90</v>
      </c>
      <c r="M145" t="s">
        <v>3468</v>
      </c>
      <c r="N145" t="s">
        <v>3468</v>
      </c>
      <c r="O145" t="s">
        <v>5830</v>
      </c>
    </row>
    <row r="146" spans="1:15" x14ac:dyDescent="0.25">
      <c r="A146" t="s">
        <v>6332</v>
      </c>
      <c r="B146" t="s">
        <v>41</v>
      </c>
      <c r="C146" t="s">
        <v>5775</v>
      </c>
      <c r="D146">
        <v>0</v>
      </c>
      <c r="E146" s="9" t="s">
        <v>6333</v>
      </c>
      <c r="F146" t="s">
        <v>6820</v>
      </c>
      <c r="G146" s="9" t="s">
        <v>6334</v>
      </c>
      <c r="H146" t="s">
        <v>6821</v>
      </c>
      <c r="I146">
        <v>0</v>
      </c>
      <c r="J146" t="s">
        <v>6537</v>
      </c>
      <c r="K146" t="s">
        <v>6332</v>
      </c>
      <c r="L146" t="s">
        <v>90</v>
      </c>
      <c r="M146" t="s">
        <v>3468</v>
      </c>
      <c r="N146" t="s">
        <v>3468</v>
      </c>
      <c r="O146" t="s">
        <v>5830</v>
      </c>
    </row>
    <row r="147" spans="1:15" x14ac:dyDescent="0.25">
      <c r="A147" t="s">
        <v>6335</v>
      </c>
      <c r="B147" t="s">
        <v>4350</v>
      </c>
      <c r="C147" t="s">
        <v>3675</v>
      </c>
      <c r="D147">
        <v>1</v>
      </c>
      <c r="E147" t="s">
        <v>6336</v>
      </c>
      <c r="F147" t="s">
        <v>6822</v>
      </c>
      <c r="G147" t="s">
        <v>3468</v>
      </c>
      <c r="H147" t="s">
        <v>3468</v>
      </c>
      <c r="I147" t="s">
        <v>3468</v>
      </c>
      <c r="J147" t="s">
        <v>3468</v>
      </c>
      <c r="K147" t="s">
        <v>6335</v>
      </c>
      <c r="L147" t="s">
        <v>90</v>
      </c>
      <c r="M147" t="s">
        <v>5549</v>
      </c>
      <c r="N147" t="s">
        <v>3468</v>
      </c>
      <c r="O147" t="s">
        <v>6512</v>
      </c>
    </row>
    <row r="148" spans="1:15" x14ac:dyDescent="0.25">
      <c r="A148" t="s">
        <v>6337</v>
      </c>
      <c r="B148" t="s">
        <v>41</v>
      </c>
      <c r="C148" t="s">
        <v>5775</v>
      </c>
      <c r="D148">
        <v>2</v>
      </c>
      <c r="E148" s="9" t="s">
        <v>6338</v>
      </c>
      <c r="F148" t="s">
        <v>6823</v>
      </c>
      <c r="G148" s="9" t="s">
        <v>6339</v>
      </c>
      <c r="H148" t="s">
        <v>6824</v>
      </c>
      <c r="I148">
        <v>2</v>
      </c>
      <c r="J148" t="s">
        <v>6453</v>
      </c>
      <c r="K148" t="s">
        <v>6340</v>
      </c>
      <c r="L148" t="s">
        <v>90</v>
      </c>
      <c r="M148" t="s">
        <v>3468</v>
      </c>
      <c r="N148" t="s">
        <v>3468</v>
      </c>
      <c r="O148" t="s">
        <v>6078</v>
      </c>
    </row>
    <row r="149" spans="1:15" x14ac:dyDescent="0.25">
      <c r="A149" t="s">
        <v>6342</v>
      </c>
      <c r="B149" t="s">
        <v>3531</v>
      </c>
      <c r="C149" t="s">
        <v>5413</v>
      </c>
      <c r="D149">
        <v>1</v>
      </c>
      <c r="E149" s="9" t="s">
        <v>6343</v>
      </c>
      <c r="F149" t="s">
        <v>6825</v>
      </c>
      <c r="G149" s="9" t="s">
        <v>6344</v>
      </c>
      <c r="H149" t="s">
        <v>6826</v>
      </c>
      <c r="I149">
        <v>1</v>
      </c>
      <c r="J149" t="s">
        <v>3468</v>
      </c>
      <c r="K149" t="s">
        <v>6345</v>
      </c>
      <c r="L149" t="s">
        <v>90</v>
      </c>
      <c r="M149" t="s">
        <v>3468</v>
      </c>
      <c r="N149" t="s">
        <v>3468</v>
      </c>
      <c r="O149" t="s">
        <v>5980</v>
      </c>
    </row>
    <row r="150" spans="1:15" x14ac:dyDescent="0.25">
      <c r="A150" t="s">
        <v>6346</v>
      </c>
      <c r="B150" t="s">
        <v>3519</v>
      </c>
      <c r="C150" t="s">
        <v>5413</v>
      </c>
      <c r="D150">
        <v>1</v>
      </c>
      <c r="E150" t="s">
        <v>6347</v>
      </c>
      <c r="F150" t="s">
        <v>6827</v>
      </c>
      <c r="G150" t="s">
        <v>6348</v>
      </c>
      <c r="H150" t="s">
        <v>6828</v>
      </c>
      <c r="I150">
        <v>1</v>
      </c>
      <c r="J150" t="s">
        <v>3468</v>
      </c>
      <c r="K150" t="s">
        <v>6349</v>
      </c>
      <c r="L150" t="s">
        <v>90</v>
      </c>
      <c r="M150" t="s">
        <v>3468</v>
      </c>
      <c r="N150" t="s">
        <v>3468</v>
      </c>
      <c r="O150" t="s">
        <v>6350</v>
      </c>
    </row>
    <row r="151" spans="1:15" x14ac:dyDescent="0.25">
      <c r="A151" t="s">
        <v>6829</v>
      </c>
      <c r="B151" t="s">
        <v>3564</v>
      </c>
      <c r="C151" t="s">
        <v>5775</v>
      </c>
      <c r="D151">
        <v>1</v>
      </c>
      <c r="E151" t="s">
        <v>6333</v>
      </c>
      <c r="F151" t="s">
        <v>6820</v>
      </c>
      <c r="G151" t="s">
        <v>6334</v>
      </c>
      <c r="H151" t="s">
        <v>6821</v>
      </c>
      <c r="I151">
        <v>1</v>
      </c>
      <c r="J151" t="s">
        <v>6462</v>
      </c>
      <c r="K151" t="s">
        <v>6830</v>
      </c>
      <c r="L151" t="s">
        <v>90</v>
      </c>
      <c r="M151" t="s">
        <v>3468</v>
      </c>
      <c r="N151" t="s">
        <v>3468</v>
      </c>
      <c r="O151" t="s">
        <v>6831</v>
      </c>
    </row>
    <row r="152" spans="1:15" x14ac:dyDescent="0.25">
      <c r="A152" t="s">
        <v>6832</v>
      </c>
      <c r="B152" t="s">
        <v>3564</v>
      </c>
      <c r="C152" t="s">
        <v>5775</v>
      </c>
      <c r="D152">
        <v>1</v>
      </c>
      <c r="E152" t="s">
        <v>6333</v>
      </c>
      <c r="F152" t="s">
        <v>6820</v>
      </c>
      <c r="G152" t="s">
        <v>6334</v>
      </c>
      <c r="H152" t="s">
        <v>6821</v>
      </c>
      <c r="I152">
        <v>1</v>
      </c>
      <c r="J152" t="s">
        <v>6445</v>
      </c>
      <c r="K152" t="s">
        <v>6833</v>
      </c>
      <c r="L152" t="s">
        <v>90</v>
      </c>
      <c r="M152" t="s">
        <v>3468</v>
      </c>
      <c r="N152" t="s">
        <v>3468</v>
      </c>
      <c r="O152" t="s">
        <v>6831</v>
      </c>
    </row>
    <row r="153" spans="1:15" x14ac:dyDescent="0.25">
      <c r="A153" t="s">
        <v>6352</v>
      </c>
      <c r="B153" t="s">
        <v>41</v>
      </c>
      <c r="C153" t="s">
        <v>5775</v>
      </c>
      <c r="D153">
        <v>1</v>
      </c>
      <c r="E153" t="s">
        <v>6353</v>
      </c>
      <c r="F153" t="s">
        <v>6834</v>
      </c>
      <c r="G153" t="s">
        <v>6354</v>
      </c>
      <c r="H153" t="s">
        <v>6835</v>
      </c>
      <c r="I153">
        <v>1</v>
      </c>
      <c r="J153" t="s">
        <v>6445</v>
      </c>
      <c r="K153" t="s">
        <v>6355</v>
      </c>
      <c r="L153" t="s">
        <v>90</v>
      </c>
      <c r="M153" t="s">
        <v>3468</v>
      </c>
      <c r="N153" t="s">
        <v>3468</v>
      </c>
      <c r="O153" t="s">
        <v>5806</v>
      </c>
    </row>
    <row r="154" spans="1:15" x14ac:dyDescent="0.25">
      <c r="A154" t="s">
        <v>5749</v>
      </c>
      <c r="B154" t="s">
        <v>3564</v>
      </c>
      <c r="C154" t="s">
        <v>5413</v>
      </c>
      <c r="D154">
        <v>1</v>
      </c>
      <c r="E154" t="s">
        <v>6356</v>
      </c>
      <c r="F154" t="s">
        <v>6836</v>
      </c>
      <c r="G154" t="s">
        <v>6357</v>
      </c>
      <c r="H154" t="s">
        <v>6837</v>
      </c>
      <c r="I154">
        <v>1</v>
      </c>
      <c r="J154" t="s">
        <v>3468</v>
      </c>
      <c r="K154" t="s">
        <v>5749</v>
      </c>
      <c r="L154" t="s">
        <v>90</v>
      </c>
      <c r="M154" t="s">
        <v>3468</v>
      </c>
      <c r="N154" t="s">
        <v>3468</v>
      </c>
      <c r="O154" t="s">
        <v>6358</v>
      </c>
    </row>
    <row r="155" spans="1:15" x14ac:dyDescent="0.25">
      <c r="A155" t="s">
        <v>6359</v>
      </c>
      <c r="B155" t="s">
        <v>41</v>
      </c>
      <c r="C155" t="s">
        <v>5775</v>
      </c>
      <c r="D155">
        <v>1</v>
      </c>
      <c r="E155" t="s">
        <v>6360</v>
      </c>
      <c r="F155" t="s">
        <v>6838</v>
      </c>
      <c r="G155" t="s">
        <v>6361</v>
      </c>
      <c r="H155" t="s">
        <v>6839</v>
      </c>
      <c r="I155">
        <v>1</v>
      </c>
      <c r="J155" t="s">
        <v>6840</v>
      </c>
      <c r="K155" t="s">
        <v>6362</v>
      </c>
      <c r="L155" t="s">
        <v>90</v>
      </c>
      <c r="M155" t="s">
        <v>3468</v>
      </c>
      <c r="N155" t="s">
        <v>3468</v>
      </c>
      <c r="O155" t="s">
        <v>6363</v>
      </c>
    </row>
    <row r="156" spans="1:15" x14ac:dyDescent="0.25">
      <c r="A156" t="s">
        <v>6364</v>
      </c>
      <c r="B156" t="s">
        <v>41</v>
      </c>
      <c r="C156" t="s">
        <v>5775</v>
      </c>
      <c r="D156">
        <v>1</v>
      </c>
      <c r="E156" t="s">
        <v>6841</v>
      </c>
      <c r="F156" t="s">
        <v>6842</v>
      </c>
      <c r="G156" t="s">
        <v>6843</v>
      </c>
      <c r="H156" t="s">
        <v>6844</v>
      </c>
      <c r="I156">
        <v>1</v>
      </c>
      <c r="J156" t="s">
        <v>6845</v>
      </c>
      <c r="K156" t="s">
        <v>6367</v>
      </c>
      <c r="L156" t="s">
        <v>90</v>
      </c>
      <c r="M156" t="s">
        <v>5484</v>
      </c>
      <c r="N156" t="s">
        <v>3468</v>
      </c>
      <c r="O156" t="s">
        <v>5788</v>
      </c>
    </row>
    <row r="157" spans="1:15" x14ac:dyDescent="0.25">
      <c r="A157" t="s">
        <v>6368</v>
      </c>
      <c r="B157" t="s">
        <v>3531</v>
      </c>
      <c r="C157" t="s">
        <v>5413</v>
      </c>
      <c r="D157" t="s">
        <v>4039</v>
      </c>
      <c r="E157" t="s">
        <v>6369</v>
      </c>
      <c r="F157" t="s">
        <v>6846</v>
      </c>
      <c r="G157" t="s">
        <v>6370</v>
      </c>
      <c r="H157" t="s">
        <v>6797</v>
      </c>
      <c r="I157" t="s">
        <v>4039</v>
      </c>
      <c r="J157" t="s">
        <v>3468</v>
      </c>
      <c r="K157" t="s">
        <v>6368</v>
      </c>
      <c r="L157" t="s">
        <v>90</v>
      </c>
      <c r="M157" t="s">
        <v>5514</v>
      </c>
      <c r="N157" t="s">
        <v>3468</v>
      </c>
      <c r="O157" t="s">
        <v>6371</v>
      </c>
    </row>
    <row r="158" spans="1:15" x14ac:dyDescent="0.25">
      <c r="A158" t="s">
        <v>6376</v>
      </c>
      <c r="B158" t="s">
        <v>3531</v>
      </c>
      <c r="C158" t="s">
        <v>5413</v>
      </c>
      <c r="D158">
        <v>1</v>
      </c>
      <c r="E158" t="s">
        <v>6377</v>
      </c>
      <c r="F158" t="s">
        <v>6847</v>
      </c>
      <c r="G158" t="s">
        <v>6377</v>
      </c>
      <c r="H158" t="s">
        <v>6847</v>
      </c>
      <c r="I158">
        <v>0</v>
      </c>
      <c r="J158" t="s">
        <v>6503</v>
      </c>
      <c r="K158" t="s">
        <v>6376</v>
      </c>
      <c r="L158" t="s">
        <v>90</v>
      </c>
      <c r="M158" t="s">
        <v>5549</v>
      </c>
      <c r="N158" t="s">
        <v>3468</v>
      </c>
      <c r="O158" t="s">
        <v>6184</v>
      </c>
    </row>
    <row r="159" spans="1:15" x14ac:dyDescent="0.25">
      <c r="A159" t="s">
        <v>6378</v>
      </c>
      <c r="B159" t="s">
        <v>41</v>
      </c>
      <c r="C159" t="s">
        <v>5775</v>
      </c>
      <c r="D159">
        <v>1</v>
      </c>
      <c r="E159" t="s">
        <v>6848</v>
      </c>
      <c r="F159" t="s">
        <v>6849</v>
      </c>
      <c r="G159" t="s">
        <v>6850</v>
      </c>
      <c r="H159" t="s">
        <v>6851</v>
      </c>
      <c r="I159">
        <v>1</v>
      </c>
      <c r="J159" t="s">
        <v>6852</v>
      </c>
      <c r="K159" t="s">
        <v>6378</v>
      </c>
      <c r="L159" t="s">
        <v>90</v>
      </c>
      <c r="M159" t="s">
        <v>3468</v>
      </c>
      <c r="N159" t="s">
        <v>5444</v>
      </c>
      <c r="O159" t="s">
        <v>6853</v>
      </c>
    </row>
    <row r="160" spans="1:15" x14ac:dyDescent="0.25">
      <c r="A160" t="s">
        <v>6384</v>
      </c>
      <c r="B160" t="s">
        <v>41</v>
      </c>
      <c r="C160" t="s">
        <v>5413</v>
      </c>
      <c r="D160">
        <v>1</v>
      </c>
      <c r="E160" s="9" t="s">
        <v>6385</v>
      </c>
      <c r="F160" t="s">
        <v>6854</v>
      </c>
      <c r="G160" s="9" t="s">
        <v>6386</v>
      </c>
      <c r="H160" t="s">
        <v>6855</v>
      </c>
      <c r="I160">
        <v>1</v>
      </c>
      <c r="J160" t="s">
        <v>3468</v>
      </c>
      <c r="K160" t="s">
        <v>6387</v>
      </c>
      <c r="L160" t="s">
        <v>90</v>
      </c>
      <c r="M160" t="s">
        <v>3468</v>
      </c>
      <c r="N160" t="s">
        <v>3468</v>
      </c>
      <c r="O160" t="s">
        <v>6052</v>
      </c>
    </row>
    <row r="161" spans="1:15" x14ac:dyDescent="0.25">
      <c r="A161" t="s">
        <v>6388</v>
      </c>
      <c r="B161" t="s">
        <v>41</v>
      </c>
      <c r="C161" t="s">
        <v>5775</v>
      </c>
      <c r="D161">
        <v>1</v>
      </c>
      <c r="E161" t="s">
        <v>6389</v>
      </c>
      <c r="F161" t="s">
        <v>6856</v>
      </c>
      <c r="G161" t="s">
        <v>6390</v>
      </c>
      <c r="H161" t="s">
        <v>6857</v>
      </c>
      <c r="I161">
        <v>1</v>
      </c>
      <c r="J161" t="s">
        <v>6462</v>
      </c>
      <c r="K161" t="s">
        <v>6391</v>
      </c>
      <c r="L161" t="s">
        <v>90</v>
      </c>
      <c r="M161" t="s">
        <v>3468</v>
      </c>
      <c r="N161" t="s">
        <v>3468</v>
      </c>
      <c r="O161" t="s">
        <v>6858</v>
      </c>
    </row>
    <row r="162" spans="1:15" x14ac:dyDescent="0.25">
      <c r="A162" t="s">
        <v>6392</v>
      </c>
      <c r="B162" t="s">
        <v>3519</v>
      </c>
      <c r="C162" t="s">
        <v>5775</v>
      </c>
      <c r="D162">
        <v>1</v>
      </c>
      <c r="E162" s="9" t="s">
        <v>6393</v>
      </c>
      <c r="F162" t="s">
        <v>6859</v>
      </c>
      <c r="G162" s="9" t="s">
        <v>6394</v>
      </c>
      <c r="H162" t="s">
        <v>6860</v>
      </c>
      <c r="I162">
        <v>1</v>
      </c>
      <c r="J162" t="s">
        <v>6568</v>
      </c>
      <c r="K162" t="s">
        <v>6392</v>
      </c>
      <c r="L162" t="s">
        <v>90</v>
      </c>
      <c r="M162" t="s">
        <v>3468</v>
      </c>
      <c r="N162" t="s">
        <v>3468</v>
      </c>
      <c r="O162" t="s">
        <v>6035</v>
      </c>
    </row>
    <row r="163" spans="1:15" x14ac:dyDescent="0.25">
      <c r="A163" t="s">
        <v>6395</v>
      </c>
      <c r="B163" t="s">
        <v>3531</v>
      </c>
      <c r="C163" t="s">
        <v>5775</v>
      </c>
      <c r="D163">
        <v>2</v>
      </c>
      <c r="E163" t="s">
        <v>6396</v>
      </c>
      <c r="F163" t="s">
        <v>6861</v>
      </c>
      <c r="G163" t="s">
        <v>6397</v>
      </c>
      <c r="H163" t="s">
        <v>6862</v>
      </c>
      <c r="I163">
        <v>2</v>
      </c>
      <c r="J163" t="s">
        <v>6445</v>
      </c>
      <c r="K163" t="s">
        <v>6395</v>
      </c>
      <c r="L163" t="s">
        <v>90</v>
      </c>
      <c r="M163" t="s">
        <v>3468</v>
      </c>
      <c r="N163" t="s">
        <v>3468</v>
      </c>
      <c r="O163" t="s">
        <v>5920</v>
      </c>
    </row>
    <row r="164" spans="1:15" x14ac:dyDescent="0.25">
      <c r="A164" t="s">
        <v>6399</v>
      </c>
      <c r="B164" t="s">
        <v>41</v>
      </c>
      <c r="C164" t="s">
        <v>5413</v>
      </c>
      <c r="D164">
        <v>0</v>
      </c>
      <c r="E164" t="s">
        <v>6400</v>
      </c>
      <c r="F164" t="s">
        <v>6863</v>
      </c>
      <c r="G164" t="s">
        <v>6401</v>
      </c>
      <c r="H164" t="s">
        <v>6864</v>
      </c>
      <c r="I164">
        <v>0</v>
      </c>
      <c r="J164" t="s">
        <v>3468</v>
      </c>
      <c r="K164" t="s">
        <v>6399</v>
      </c>
      <c r="L164" t="s">
        <v>90</v>
      </c>
      <c r="M164" t="s">
        <v>5549</v>
      </c>
      <c r="N164" t="s">
        <v>3468</v>
      </c>
      <c r="O164" t="s">
        <v>5816</v>
      </c>
    </row>
    <row r="165" spans="1:15" x14ac:dyDescent="0.25">
      <c r="A165" t="s">
        <v>5344</v>
      </c>
      <c r="B165" t="s">
        <v>3531</v>
      </c>
      <c r="C165" t="s">
        <v>4650</v>
      </c>
      <c r="D165">
        <v>1</v>
      </c>
      <c r="E165" s="9" t="s">
        <v>6865</v>
      </c>
      <c r="F165" t="s">
        <v>6866</v>
      </c>
      <c r="G165" s="9" t="s">
        <v>6867</v>
      </c>
      <c r="H165" t="s">
        <v>6868</v>
      </c>
      <c r="I165">
        <v>1</v>
      </c>
      <c r="J165" t="s">
        <v>3468</v>
      </c>
      <c r="K165" t="s">
        <v>5346</v>
      </c>
      <c r="L165" t="s">
        <v>90</v>
      </c>
      <c r="M165" t="s">
        <v>3468</v>
      </c>
      <c r="N165" t="s">
        <v>3468</v>
      </c>
      <c r="O165" t="s">
        <v>6869</v>
      </c>
    </row>
    <row r="166" spans="1:15" x14ac:dyDescent="0.25">
      <c r="A166" t="s">
        <v>6405</v>
      </c>
      <c r="B166" t="s">
        <v>3531</v>
      </c>
      <c r="C166" t="s">
        <v>5775</v>
      </c>
      <c r="D166" t="s">
        <v>5999</v>
      </c>
      <c r="E166" t="s">
        <v>6870</v>
      </c>
      <c r="F166" t="s">
        <v>6871</v>
      </c>
      <c r="G166" t="s">
        <v>6872</v>
      </c>
      <c r="H166" t="s">
        <v>6873</v>
      </c>
      <c r="I166" t="s">
        <v>5999</v>
      </c>
      <c r="J166" t="s">
        <v>6542</v>
      </c>
      <c r="K166" t="s">
        <v>6405</v>
      </c>
      <c r="L166" t="s">
        <v>90</v>
      </c>
      <c r="M166" t="s">
        <v>3468</v>
      </c>
      <c r="N166" t="s">
        <v>3468</v>
      </c>
      <c r="O166" t="s">
        <v>5912</v>
      </c>
    </row>
    <row r="167" spans="1:15" x14ac:dyDescent="0.25">
      <c r="A167" t="s">
        <v>6408</v>
      </c>
      <c r="B167" t="s">
        <v>3531</v>
      </c>
      <c r="C167" t="s">
        <v>5413</v>
      </c>
      <c r="D167">
        <v>1</v>
      </c>
      <c r="E167" s="9" t="s">
        <v>6409</v>
      </c>
      <c r="F167" t="s">
        <v>6874</v>
      </c>
      <c r="G167" s="9" t="s">
        <v>6409</v>
      </c>
      <c r="H167" t="s">
        <v>6874</v>
      </c>
      <c r="I167">
        <v>0</v>
      </c>
      <c r="J167" t="s">
        <v>3468</v>
      </c>
      <c r="K167" t="s">
        <v>6410</v>
      </c>
      <c r="L167" t="s">
        <v>90</v>
      </c>
      <c r="M167" t="s">
        <v>5549</v>
      </c>
      <c r="N167" t="s">
        <v>3468</v>
      </c>
      <c r="O167" t="s">
        <v>6875</v>
      </c>
    </row>
    <row r="168" spans="1:15" x14ac:dyDescent="0.25">
      <c r="A168" t="s">
        <v>6412</v>
      </c>
      <c r="B168" t="s">
        <v>41</v>
      </c>
      <c r="C168" t="s">
        <v>5775</v>
      </c>
      <c r="D168">
        <v>1</v>
      </c>
      <c r="E168" s="9" t="s">
        <v>6413</v>
      </c>
      <c r="F168" t="s">
        <v>6876</v>
      </c>
      <c r="G168" s="9" t="s">
        <v>6414</v>
      </c>
      <c r="H168" t="s">
        <v>6877</v>
      </c>
      <c r="I168">
        <v>1</v>
      </c>
      <c r="J168" t="s">
        <v>6503</v>
      </c>
      <c r="K168" t="s">
        <v>6415</v>
      </c>
      <c r="L168" t="s">
        <v>90</v>
      </c>
      <c r="M168" t="s">
        <v>3468</v>
      </c>
      <c r="N168" t="s">
        <v>3468</v>
      </c>
      <c r="O168" t="s">
        <v>6272</v>
      </c>
    </row>
    <row r="169" spans="1:15" x14ac:dyDescent="0.25">
      <c r="A169" t="s">
        <v>6416</v>
      </c>
      <c r="B169" t="s">
        <v>4350</v>
      </c>
      <c r="C169" t="s">
        <v>3675</v>
      </c>
      <c r="D169" t="s">
        <v>4039</v>
      </c>
      <c r="E169" s="9" t="s">
        <v>6141</v>
      </c>
      <c r="F169" t="s">
        <v>4267</v>
      </c>
      <c r="G169" s="9" t="s">
        <v>3468</v>
      </c>
      <c r="H169" t="s">
        <v>3468</v>
      </c>
      <c r="I169" t="s">
        <v>3468</v>
      </c>
      <c r="J169" t="s">
        <v>3468</v>
      </c>
      <c r="K169" t="s">
        <v>6416</v>
      </c>
      <c r="L169" t="s">
        <v>90</v>
      </c>
      <c r="M169" t="s">
        <v>3468</v>
      </c>
      <c r="N169" t="s">
        <v>3468</v>
      </c>
      <c r="O169" t="s">
        <v>6512</v>
      </c>
    </row>
    <row r="170" spans="1:15" x14ac:dyDescent="0.25">
      <c r="A170" t="s">
        <v>6417</v>
      </c>
      <c r="B170" t="s">
        <v>3519</v>
      </c>
      <c r="C170" t="s">
        <v>4650</v>
      </c>
      <c r="D170">
        <v>3</v>
      </c>
      <c r="E170" s="9" t="s">
        <v>6878</v>
      </c>
      <c r="F170" t="s">
        <v>6879</v>
      </c>
      <c r="G170" s="9" t="s">
        <v>6880</v>
      </c>
      <c r="H170" t="s">
        <v>6881</v>
      </c>
      <c r="I170" t="s">
        <v>3468</v>
      </c>
      <c r="J170" t="s">
        <v>3468</v>
      </c>
      <c r="K170" t="s">
        <v>6420</v>
      </c>
      <c r="L170" t="s">
        <v>90</v>
      </c>
      <c r="M170" t="s">
        <v>3468</v>
      </c>
      <c r="N170" t="s">
        <v>3468</v>
      </c>
      <c r="O170" t="s">
        <v>5770</v>
      </c>
    </row>
    <row r="171" spans="1:15" x14ac:dyDescent="0.25">
      <c r="A171" t="s">
        <v>6421</v>
      </c>
      <c r="B171" t="s">
        <v>4350</v>
      </c>
      <c r="C171" t="s">
        <v>4297</v>
      </c>
      <c r="D171" t="s">
        <v>4039</v>
      </c>
      <c r="E171" t="s">
        <v>6422</v>
      </c>
      <c r="F171" t="s">
        <v>4267</v>
      </c>
      <c r="G171" t="s">
        <v>3468</v>
      </c>
      <c r="H171" t="s">
        <v>3468</v>
      </c>
      <c r="I171" t="s">
        <v>3468</v>
      </c>
      <c r="J171" t="s">
        <v>3468</v>
      </c>
      <c r="K171" t="s">
        <v>6421</v>
      </c>
      <c r="L171" t="s">
        <v>90</v>
      </c>
      <c r="M171" t="s">
        <v>5516</v>
      </c>
      <c r="N171" t="s">
        <v>3468</v>
      </c>
      <c r="O171" t="s">
        <v>5923</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6882</v>
      </c>
      <c r="C1" t="s">
        <v>6883</v>
      </c>
      <c r="D1" t="s">
        <v>3462</v>
      </c>
      <c r="E1" t="s">
        <v>3513</v>
      </c>
      <c r="F1" t="s">
        <v>6884</v>
      </c>
    </row>
    <row r="2" spans="1:6" ht="15" customHeight="1" x14ac:dyDescent="0.25">
      <c r="A2" t="s">
        <v>6885</v>
      </c>
      <c r="B2" t="s">
        <v>4746</v>
      </c>
      <c r="C2" t="s">
        <v>6886</v>
      </c>
      <c r="D2" t="s">
        <v>6887</v>
      </c>
      <c r="E2" t="s">
        <v>6888</v>
      </c>
      <c r="F2" t="s">
        <v>6889</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3462</v>
      </c>
      <c r="C1" t="s">
        <v>6890</v>
      </c>
      <c r="D1" t="s">
        <v>171</v>
      </c>
      <c r="E1" t="s">
        <v>4502</v>
      </c>
      <c r="F1" t="s">
        <v>6</v>
      </c>
    </row>
    <row r="2" spans="1:6" ht="15" customHeight="1" x14ac:dyDescent="0.25">
      <c r="A2" t="s">
        <v>6891</v>
      </c>
      <c r="B2" t="s">
        <v>6892</v>
      </c>
      <c r="C2" t="s">
        <v>5226</v>
      </c>
      <c r="D2" t="s">
        <v>3675</v>
      </c>
      <c r="E2" t="s">
        <v>3468</v>
      </c>
      <c r="F2" t="s">
        <v>3468</v>
      </c>
    </row>
    <row r="3" spans="1:6" ht="15" customHeight="1" x14ac:dyDescent="0.25">
      <c r="A3" t="s">
        <v>6893</v>
      </c>
      <c r="B3" t="s">
        <v>6894</v>
      </c>
      <c r="C3" t="s">
        <v>6895</v>
      </c>
      <c r="D3" t="s">
        <v>3675</v>
      </c>
      <c r="E3" t="s">
        <v>3468</v>
      </c>
      <c r="F3" t="s">
        <v>3468</v>
      </c>
    </row>
    <row r="4" spans="1:6" ht="15" customHeight="1" x14ac:dyDescent="0.25">
      <c r="A4" t="s">
        <v>6896</v>
      </c>
      <c r="B4" t="s">
        <v>6897</v>
      </c>
      <c r="C4" t="s">
        <v>5229</v>
      </c>
      <c r="D4" t="s">
        <v>6896</v>
      </c>
      <c r="E4" t="s">
        <v>4019</v>
      </c>
      <c r="F4" t="s">
        <v>3519</v>
      </c>
    </row>
    <row r="5" spans="1:6" ht="15" customHeight="1" x14ac:dyDescent="0.25">
      <c r="A5" t="s">
        <v>6898</v>
      </c>
      <c r="B5" t="s">
        <v>6899</v>
      </c>
      <c r="C5" t="s">
        <v>6900</v>
      </c>
      <c r="D5" t="s">
        <v>3529</v>
      </c>
      <c r="E5" t="s">
        <v>4041</v>
      </c>
      <c r="F5" t="s">
        <v>41</v>
      </c>
    </row>
    <row r="6" spans="1:6" ht="15" customHeight="1" x14ac:dyDescent="0.25">
      <c r="A6" t="s">
        <v>6901</v>
      </c>
      <c r="B6" t="s">
        <v>6902</v>
      </c>
      <c r="C6" t="s">
        <v>6900</v>
      </c>
      <c r="D6" t="s">
        <v>3675</v>
      </c>
      <c r="E6" t="s">
        <v>3468</v>
      </c>
      <c r="F6" t="s">
        <v>3531</v>
      </c>
    </row>
    <row r="7" spans="1:6" ht="15" customHeight="1" x14ac:dyDescent="0.25">
      <c r="A7" t="s">
        <v>6903</v>
      </c>
      <c r="B7" t="s">
        <v>6904</v>
      </c>
      <c r="C7" t="s">
        <v>6895</v>
      </c>
      <c r="D7" t="s">
        <v>3675</v>
      </c>
      <c r="E7" t="s">
        <v>3468</v>
      </c>
    </row>
    <row r="8" spans="1:6" ht="15" customHeight="1" x14ac:dyDescent="0.25">
      <c r="A8" t="s">
        <v>6905</v>
      </c>
      <c r="B8" t="s">
        <v>6906</v>
      </c>
      <c r="C8" t="s">
        <v>5226</v>
      </c>
      <c r="D8" t="s">
        <v>3675</v>
      </c>
      <c r="E8" t="s">
        <v>3468</v>
      </c>
      <c r="F8" t="s">
        <v>3468</v>
      </c>
    </row>
    <row r="9" spans="1:6" ht="15" customHeight="1" x14ac:dyDescent="0.25">
      <c r="A9" t="s">
        <v>6907</v>
      </c>
      <c r="B9" t="s">
        <v>6908</v>
      </c>
      <c r="C9" t="s">
        <v>5229</v>
      </c>
      <c r="D9" t="s">
        <v>5775</v>
      </c>
      <c r="E9" t="s">
        <v>4019</v>
      </c>
      <c r="F9" t="s">
        <v>41</v>
      </c>
    </row>
    <row r="10" spans="1:6" ht="15" customHeight="1" x14ac:dyDescent="0.25">
      <c r="A10" t="s">
        <v>6909</v>
      </c>
      <c r="B10" t="s">
        <v>6910</v>
      </c>
      <c r="C10" t="s">
        <v>6895</v>
      </c>
      <c r="D10" t="s">
        <v>3675</v>
      </c>
      <c r="E10" t="s">
        <v>5076</v>
      </c>
      <c r="F10" t="s">
        <v>41</v>
      </c>
    </row>
    <row r="11" spans="1:6" ht="15" customHeight="1" x14ac:dyDescent="0.25">
      <c r="A11" t="s">
        <v>6911</v>
      </c>
      <c r="B11" t="s">
        <v>6912</v>
      </c>
      <c r="C11" t="s">
        <v>6900</v>
      </c>
      <c r="D11" t="s">
        <v>3450</v>
      </c>
      <c r="E11" t="s">
        <v>3468</v>
      </c>
      <c r="F11" t="s">
        <v>3531</v>
      </c>
    </row>
    <row r="12" spans="1:6" ht="15" customHeight="1" x14ac:dyDescent="0.25">
      <c r="A12" t="s">
        <v>6913</v>
      </c>
      <c r="B12" t="s">
        <v>6914</v>
      </c>
      <c r="C12" t="s">
        <v>5229</v>
      </c>
      <c r="D12" t="s">
        <v>3675</v>
      </c>
      <c r="E12" t="s">
        <v>5076</v>
      </c>
      <c r="F12" t="s">
        <v>41</v>
      </c>
    </row>
    <row r="13" spans="1:6" ht="15" customHeight="1" x14ac:dyDescent="0.25">
      <c r="A13" t="s">
        <v>6915</v>
      </c>
      <c r="B13" t="s">
        <v>6916</v>
      </c>
      <c r="C13" t="s">
        <v>6895</v>
      </c>
      <c r="D13" t="s">
        <v>3675</v>
      </c>
      <c r="E13" t="s">
        <v>3468</v>
      </c>
      <c r="F13" t="s">
        <v>3468</v>
      </c>
    </row>
    <row r="14" spans="1:6" ht="15" customHeight="1" x14ac:dyDescent="0.25">
      <c r="A14" t="s">
        <v>6917</v>
      </c>
      <c r="B14" t="s">
        <v>6918</v>
      </c>
      <c r="C14" t="s">
        <v>6895</v>
      </c>
      <c r="D14" t="s">
        <v>3675</v>
      </c>
      <c r="E14" t="s">
        <v>3468</v>
      </c>
      <c r="F14" t="s">
        <v>3468</v>
      </c>
    </row>
    <row r="15" spans="1:6" ht="15" customHeight="1" x14ac:dyDescent="0.25">
      <c r="A15" t="s">
        <v>6919</v>
      </c>
      <c r="B15" t="s">
        <v>6920</v>
      </c>
      <c r="C15" t="s">
        <v>5229</v>
      </c>
      <c r="D15" t="s">
        <v>5775</v>
      </c>
      <c r="E15" t="s">
        <v>6921</v>
      </c>
      <c r="F15" t="s">
        <v>3519</v>
      </c>
    </row>
    <row r="16" spans="1:6" ht="15" customHeight="1" x14ac:dyDescent="0.25">
      <c r="A16" t="s">
        <v>6922</v>
      </c>
      <c r="B16" t="s">
        <v>6923</v>
      </c>
      <c r="C16" t="s">
        <v>6895</v>
      </c>
      <c r="D16" t="s">
        <v>6922</v>
      </c>
      <c r="E16" t="s">
        <v>3468</v>
      </c>
      <c r="F16" t="s">
        <v>41</v>
      </c>
    </row>
    <row r="17" spans="1:6" ht="15" customHeight="1" x14ac:dyDescent="0.25">
      <c r="A17" t="s">
        <v>6213</v>
      </c>
      <c r="B17" t="s">
        <v>6924</v>
      </c>
      <c r="C17" t="s">
        <v>6895</v>
      </c>
      <c r="D17" t="s">
        <v>3675</v>
      </c>
      <c r="E17" t="s">
        <v>4019</v>
      </c>
      <c r="F17" t="s">
        <v>3468</v>
      </c>
    </row>
    <row r="18" spans="1:6" ht="15" customHeight="1" x14ac:dyDescent="0.25">
      <c r="A18" t="s">
        <v>5728</v>
      </c>
      <c r="B18" t="s">
        <v>6925</v>
      </c>
      <c r="C18" t="s">
        <v>6895</v>
      </c>
      <c r="D18" t="s">
        <v>3675</v>
      </c>
      <c r="E18" t="s">
        <v>5076</v>
      </c>
      <c r="F18" t="s">
        <v>3519</v>
      </c>
    </row>
    <row r="19" spans="1:6" ht="15" customHeight="1" x14ac:dyDescent="0.25">
      <c r="A19" t="s">
        <v>6926</v>
      </c>
      <c r="B19" t="s">
        <v>6927</v>
      </c>
      <c r="C19" t="s">
        <v>6895</v>
      </c>
      <c r="D19" t="s">
        <v>3675</v>
      </c>
      <c r="E19" t="s">
        <v>3468</v>
      </c>
      <c r="F19" t="s">
        <v>3468</v>
      </c>
    </row>
    <row r="20" spans="1:6" ht="15" customHeight="1" x14ac:dyDescent="0.25">
      <c r="A20" t="s">
        <v>6928</v>
      </c>
      <c r="B20" t="s">
        <v>6929</v>
      </c>
      <c r="C20" t="s">
        <v>5226</v>
      </c>
      <c r="D20" t="s">
        <v>3675</v>
      </c>
      <c r="E20" t="s">
        <v>3468</v>
      </c>
      <c r="F20" t="s">
        <v>3468</v>
      </c>
    </row>
    <row r="21" spans="1:6" ht="15" customHeight="1" x14ac:dyDescent="0.25">
      <c r="A21" t="s">
        <v>6930</v>
      </c>
      <c r="B21" t="s">
        <v>6931</v>
      </c>
      <c r="C21" t="s">
        <v>6900</v>
      </c>
      <c r="D21" t="s">
        <v>6930</v>
      </c>
      <c r="E21" t="s">
        <v>6921</v>
      </c>
      <c r="F21" t="s">
        <v>3519</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5751</v>
      </c>
      <c r="C1" t="s">
        <v>6</v>
      </c>
      <c r="D1" t="s">
        <v>3462</v>
      </c>
      <c r="E1" t="s">
        <v>6430</v>
      </c>
      <c r="F1" t="s">
        <v>6932</v>
      </c>
      <c r="G1" t="s">
        <v>1</v>
      </c>
      <c r="H1" t="s">
        <v>6431</v>
      </c>
      <c r="I1" t="s">
        <v>171</v>
      </c>
    </row>
    <row r="2" spans="1:9" ht="15" customHeight="1" x14ac:dyDescent="0.25">
      <c r="A2" t="s">
        <v>6933</v>
      </c>
      <c r="B2">
        <v>6</v>
      </c>
      <c r="C2" t="s">
        <v>3519</v>
      </c>
      <c r="D2" t="s">
        <v>6934</v>
      </c>
      <c r="E2" t="s">
        <v>3468</v>
      </c>
      <c r="F2" t="s">
        <v>4039</v>
      </c>
      <c r="G2" t="s">
        <v>2362</v>
      </c>
      <c r="H2" t="s">
        <v>5439</v>
      </c>
      <c r="I2" t="s">
        <v>6933</v>
      </c>
    </row>
    <row r="3" spans="1:9" ht="15" customHeight="1" x14ac:dyDescent="0.25">
      <c r="A3" t="s">
        <v>6935</v>
      </c>
      <c r="B3">
        <v>3</v>
      </c>
      <c r="C3" t="s">
        <v>3531</v>
      </c>
      <c r="D3" t="s">
        <v>6936</v>
      </c>
      <c r="E3" t="s">
        <v>3468</v>
      </c>
      <c r="F3" t="s">
        <v>187</v>
      </c>
      <c r="G3" t="s">
        <v>2362</v>
      </c>
      <c r="H3" t="s">
        <v>3468</v>
      </c>
      <c r="I3" t="s">
        <v>6935</v>
      </c>
    </row>
    <row r="4" spans="1:9" ht="15" customHeight="1" x14ac:dyDescent="0.25">
      <c r="A4" t="s">
        <v>6937</v>
      </c>
      <c r="B4">
        <v>3</v>
      </c>
      <c r="C4" t="s">
        <v>3519</v>
      </c>
      <c r="D4" t="s">
        <v>6938</v>
      </c>
      <c r="E4" t="s">
        <v>5467</v>
      </c>
      <c r="F4" t="s">
        <v>187</v>
      </c>
      <c r="G4" t="s">
        <v>2362</v>
      </c>
      <c r="H4" t="s">
        <v>3468</v>
      </c>
      <c r="I4" t="s">
        <v>6937</v>
      </c>
    </row>
    <row r="5" spans="1:9" ht="15" customHeight="1" x14ac:dyDescent="0.25">
      <c r="A5" t="s">
        <v>6939</v>
      </c>
      <c r="B5">
        <v>6</v>
      </c>
      <c r="C5" t="s">
        <v>3519</v>
      </c>
      <c r="D5" t="s">
        <v>6940</v>
      </c>
      <c r="E5" t="s">
        <v>3468</v>
      </c>
      <c r="F5" t="s">
        <v>187</v>
      </c>
      <c r="G5" t="s">
        <v>2362</v>
      </c>
      <c r="H5" t="s">
        <v>4313</v>
      </c>
      <c r="I5" t="s">
        <v>6939</v>
      </c>
    </row>
    <row r="6" spans="1:9" ht="15" customHeight="1" x14ac:dyDescent="0.25">
      <c r="A6" t="s">
        <v>4044</v>
      </c>
      <c r="B6">
        <v>1</v>
      </c>
      <c r="C6" t="s">
        <v>3531</v>
      </c>
      <c r="D6" t="s">
        <v>6941</v>
      </c>
      <c r="E6" t="s">
        <v>3468</v>
      </c>
      <c r="F6" t="s">
        <v>187</v>
      </c>
      <c r="G6" t="s">
        <v>2362</v>
      </c>
      <c r="H6" t="s">
        <v>4313</v>
      </c>
      <c r="I6" t="s">
        <v>4044</v>
      </c>
    </row>
    <row r="7" spans="1:9" ht="15" customHeight="1" x14ac:dyDescent="0.25">
      <c r="A7" t="s">
        <v>6942</v>
      </c>
      <c r="B7">
        <v>3</v>
      </c>
      <c r="C7" t="s">
        <v>3519</v>
      </c>
      <c r="D7" t="s">
        <v>6943</v>
      </c>
      <c r="E7" t="s">
        <v>3468</v>
      </c>
      <c r="F7" t="s">
        <v>187</v>
      </c>
      <c r="G7" t="s">
        <v>2362</v>
      </c>
      <c r="H7" t="s">
        <v>3468</v>
      </c>
      <c r="I7" t="s">
        <v>6942</v>
      </c>
    </row>
    <row r="8" spans="1:9" ht="15" customHeight="1" x14ac:dyDescent="0.25">
      <c r="A8" t="s">
        <v>6944</v>
      </c>
      <c r="B8">
        <v>1</v>
      </c>
      <c r="C8" t="s">
        <v>3531</v>
      </c>
      <c r="D8" t="s">
        <v>6945</v>
      </c>
      <c r="E8" t="s">
        <v>5465</v>
      </c>
      <c r="F8" t="s">
        <v>187</v>
      </c>
      <c r="G8" t="s">
        <v>2362</v>
      </c>
      <c r="H8" t="s">
        <v>3468</v>
      </c>
      <c r="I8" t="s">
        <v>6944</v>
      </c>
    </row>
    <row r="9" spans="1:9" ht="15" customHeight="1" x14ac:dyDescent="0.25">
      <c r="A9" t="s">
        <v>6946</v>
      </c>
      <c r="B9">
        <v>2</v>
      </c>
      <c r="C9" t="s">
        <v>41</v>
      </c>
      <c r="D9" t="s">
        <v>4611</v>
      </c>
      <c r="E9" t="s">
        <v>5482</v>
      </c>
      <c r="F9" t="s">
        <v>4039</v>
      </c>
      <c r="G9" t="s">
        <v>2362</v>
      </c>
      <c r="H9" t="s">
        <v>3468</v>
      </c>
      <c r="I9" t="s">
        <v>6946</v>
      </c>
    </row>
    <row r="10" spans="1:9" ht="15" customHeight="1" x14ac:dyDescent="0.25">
      <c r="A10" t="s">
        <v>6947</v>
      </c>
      <c r="B10">
        <v>1</v>
      </c>
      <c r="C10" t="s">
        <v>3519</v>
      </c>
      <c r="D10" t="s">
        <v>6948</v>
      </c>
      <c r="E10" t="s">
        <v>5465</v>
      </c>
      <c r="F10" t="s">
        <v>4039</v>
      </c>
      <c r="G10" t="s">
        <v>2362</v>
      </c>
      <c r="H10" t="s">
        <v>5436</v>
      </c>
      <c r="I10" t="s">
        <v>6947</v>
      </c>
    </row>
    <row r="11" spans="1:9" ht="15" customHeight="1" x14ac:dyDescent="0.25">
      <c r="A11" t="s">
        <v>6949</v>
      </c>
      <c r="B11">
        <v>15</v>
      </c>
      <c r="C11" t="s">
        <v>3519</v>
      </c>
      <c r="D11" t="s">
        <v>6950</v>
      </c>
      <c r="E11" t="s">
        <v>3468</v>
      </c>
      <c r="F11" t="s">
        <v>4039</v>
      </c>
      <c r="G11" t="s">
        <v>2362</v>
      </c>
      <c r="H11" t="s">
        <v>5439</v>
      </c>
      <c r="I11" t="s">
        <v>6949</v>
      </c>
    </row>
    <row r="12" spans="1:9" ht="15" customHeight="1" x14ac:dyDescent="0.25">
      <c r="A12" t="s">
        <v>6951</v>
      </c>
      <c r="B12">
        <v>2</v>
      </c>
      <c r="C12" t="s">
        <v>41</v>
      </c>
      <c r="D12" t="s">
        <v>6952</v>
      </c>
      <c r="E12" t="s">
        <v>3468</v>
      </c>
      <c r="F12" t="s">
        <v>4039</v>
      </c>
      <c r="G12" t="s">
        <v>2362</v>
      </c>
      <c r="H12" t="s">
        <v>5436</v>
      </c>
      <c r="I12" t="s">
        <v>6951</v>
      </c>
    </row>
    <row r="13" spans="1:9" ht="15" customHeight="1" x14ac:dyDescent="0.25">
      <c r="A13" t="s">
        <v>6953</v>
      </c>
      <c r="B13">
        <v>3</v>
      </c>
      <c r="C13" t="s">
        <v>3519</v>
      </c>
      <c r="D13" t="s">
        <v>6954</v>
      </c>
      <c r="E13" t="s">
        <v>3468</v>
      </c>
      <c r="F13" t="s">
        <v>187</v>
      </c>
      <c r="G13" t="s">
        <v>2362</v>
      </c>
      <c r="H13" t="s">
        <v>5307</v>
      </c>
      <c r="I13" t="s">
        <v>6953</v>
      </c>
    </row>
    <row r="14" spans="1:9" ht="15" customHeight="1" x14ac:dyDescent="0.25">
      <c r="A14" t="s">
        <v>6955</v>
      </c>
      <c r="B14">
        <v>1</v>
      </c>
      <c r="C14" t="s">
        <v>41</v>
      </c>
      <c r="D14" t="s">
        <v>6956</v>
      </c>
      <c r="E14" t="s">
        <v>5465</v>
      </c>
      <c r="F14" t="s">
        <v>187</v>
      </c>
      <c r="G14" t="s">
        <v>2362</v>
      </c>
      <c r="H14" t="s">
        <v>3468</v>
      </c>
      <c r="I14" t="s">
        <v>6955</v>
      </c>
    </row>
    <row r="15" spans="1:9" ht="15" customHeight="1" x14ac:dyDescent="0.25">
      <c r="A15" t="s">
        <v>6957</v>
      </c>
      <c r="B15">
        <v>2</v>
      </c>
      <c r="C15" t="s">
        <v>41</v>
      </c>
      <c r="D15" t="s">
        <v>6958</v>
      </c>
      <c r="E15" t="s">
        <v>5512</v>
      </c>
      <c r="F15" t="s">
        <v>187</v>
      </c>
      <c r="G15" t="s">
        <v>2362</v>
      </c>
      <c r="H15" t="s">
        <v>5442</v>
      </c>
      <c r="I15" t="s">
        <v>6957</v>
      </c>
    </row>
    <row r="16" spans="1:9" ht="15" customHeight="1" x14ac:dyDescent="0.25">
      <c r="A16" t="s">
        <v>6959</v>
      </c>
      <c r="B16">
        <v>2</v>
      </c>
      <c r="C16" t="s">
        <v>41</v>
      </c>
      <c r="D16" t="s">
        <v>6960</v>
      </c>
      <c r="E16" t="s">
        <v>5512</v>
      </c>
      <c r="F16" t="s">
        <v>187</v>
      </c>
      <c r="G16" t="s">
        <v>2362</v>
      </c>
      <c r="H16" t="s">
        <v>5442</v>
      </c>
      <c r="I16" t="s">
        <v>6959</v>
      </c>
    </row>
    <row r="17" spans="1:9" ht="15" customHeight="1" x14ac:dyDescent="0.25">
      <c r="A17" t="s">
        <v>6961</v>
      </c>
      <c r="B17">
        <v>3</v>
      </c>
      <c r="C17" t="s">
        <v>3531</v>
      </c>
      <c r="D17" t="s">
        <v>6962</v>
      </c>
      <c r="E17" t="s">
        <v>3468</v>
      </c>
      <c r="F17" t="s">
        <v>187</v>
      </c>
      <c r="G17" t="s">
        <v>2362</v>
      </c>
      <c r="H17" t="s">
        <v>5451</v>
      </c>
      <c r="I17" t="s">
        <v>6961</v>
      </c>
    </row>
    <row r="18" spans="1:9" ht="15" customHeight="1" x14ac:dyDescent="0.25">
      <c r="A18" t="s">
        <v>6963</v>
      </c>
      <c r="B18">
        <v>3</v>
      </c>
      <c r="C18" t="s">
        <v>41</v>
      </c>
      <c r="D18" t="s">
        <v>6964</v>
      </c>
      <c r="E18" t="s">
        <v>5512</v>
      </c>
      <c r="F18" t="s">
        <v>187</v>
      </c>
      <c r="G18" t="s">
        <v>2362</v>
      </c>
      <c r="H18" t="s">
        <v>4313</v>
      </c>
      <c r="I18" t="s">
        <v>6963</v>
      </c>
    </row>
    <row r="19" spans="1:9" ht="15" customHeight="1" x14ac:dyDescent="0.25">
      <c r="A19" t="s">
        <v>6965</v>
      </c>
      <c r="B19">
        <v>4</v>
      </c>
      <c r="C19" t="s">
        <v>41</v>
      </c>
      <c r="D19" t="s">
        <v>6966</v>
      </c>
      <c r="E19" t="s">
        <v>5460</v>
      </c>
      <c r="F19" t="s">
        <v>187</v>
      </c>
      <c r="G19" t="s">
        <v>2362</v>
      </c>
      <c r="H19" t="s">
        <v>5442</v>
      </c>
      <c r="I19" t="s">
        <v>6965</v>
      </c>
    </row>
    <row r="20" spans="1:9" ht="15" customHeight="1" x14ac:dyDescent="0.25">
      <c r="A20" t="s">
        <v>6967</v>
      </c>
      <c r="B20">
        <v>2</v>
      </c>
      <c r="C20" t="s">
        <v>3531</v>
      </c>
      <c r="D20" t="s">
        <v>6968</v>
      </c>
      <c r="E20" t="s">
        <v>5465</v>
      </c>
      <c r="F20" t="s">
        <v>4039</v>
      </c>
      <c r="G20" t="s">
        <v>2362</v>
      </c>
      <c r="H20" t="s">
        <v>5444</v>
      </c>
      <c r="I20" t="s">
        <v>6967</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6969</v>
      </c>
      <c r="D1" t="s">
        <v>1</v>
      </c>
      <c r="E1" t="s">
        <v>7</v>
      </c>
    </row>
    <row r="2" spans="1:5" ht="15" customHeight="1" x14ac:dyDescent="0.25">
      <c r="A2" t="s">
        <v>6970</v>
      </c>
      <c r="B2" t="s">
        <v>41</v>
      </c>
      <c r="C2" t="s">
        <v>4428</v>
      </c>
      <c r="D2" t="s">
        <v>1295</v>
      </c>
      <c r="E2" t="s">
        <v>6971</v>
      </c>
    </row>
    <row r="3" spans="1:5" ht="15" customHeight="1" x14ac:dyDescent="0.25">
      <c r="A3" t="s">
        <v>6972</v>
      </c>
      <c r="B3" t="s">
        <v>3531</v>
      </c>
      <c r="C3" t="s">
        <v>4428</v>
      </c>
      <c r="D3" t="s">
        <v>1295</v>
      </c>
      <c r="E3" t="s">
        <v>6973</v>
      </c>
    </row>
    <row r="4" spans="1:5" ht="15" customHeight="1" x14ac:dyDescent="0.25">
      <c r="A4" t="s">
        <v>6974</v>
      </c>
      <c r="B4" t="s">
        <v>3519</v>
      </c>
      <c r="C4" t="s">
        <v>4428</v>
      </c>
      <c r="D4" t="s">
        <v>1295</v>
      </c>
      <c r="E4" t="s">
        <v>6975</v>
      </c>
    </row>
    <row r="5" spans="1:5" ht="15" customHeight="1" x14ac:dyDescent="0.25">
      <c r="A5" t="s">
        <v>6976</v>
      </c>
      <c r="B5" t="s">
        <v>41</v>
      </c>
      <c r="C5" t="s">
        <v>4426</v>
      </c>
      <c r="D5" t="s">
        <v>1295</v>
      </c>
      <c r="E5" t="s">
        <v>6977</v>
      </c>
    </row>
    <row r="6" spans="1:5" ht="15" customHeight="1" x14ac:dyDescent="0.25">
      <c r="A6" t="s">
        <v>6978</v>
      </c>
      <c r="B6" t="s">
        <v>3531</v>
      </c>
      <c r="C6" t="s">
        <v>4426</v>
      </c>
      <c r="D6" t="s">
        <v>1295</v>
      </c>
      <c r="E6" t="s">
        <v>6979</v>
      </c>
    </row>
    <row r="7" spans="1:5" ht="15" customHeight="1" x14ac:dyDescent="0.25">
      <c r="A7" t="s">
        <v>6980</v>
      </c>
      <c r="B7" t="s">
        <v>3519</v>
      </c>
      <c r="C7" t="s">
        <v>4426</v>
      </c>
      <c r="D7" t="s">
        <v>1295</v>
      </c>
      <c r="E7" t="s">
        <v>6981</v>
      </c>
    </row>
    <row r="8" spans="1:5" ht="15" customHeight="1" x14ac:dyDescent="0.25">
      <c r="A8" t="s">
        <v>6982</v>
      </c>
      <c r="B8" t="s">
        <v>41</v>
      </c>
      <c r="C8" t="s">
        <v>4435</v>
      </c>
      <c r="D8" t="s">
        <v>1295</v>
      </c>
      <c r="E8" t="s">
        <v>6983</v>
      </c>
    </row>
    <row r="9" spans="1:5" ht="15" customHeight="1" x14ac:dyDescent="0.25">
      <c r="A9" t="s">
        <v>6984</v>
      </c>
      <c r="B9" t="s">
        <v>3531</v>
      </c>
      <c r="C9" t="s">
        <v>4435</v>
      </c>
      <c r="D9" t="s">
        <v>1295</v>
      </c>
      <c r="E9" t="s">
        <v>6985</v>
      </c>
    </row>
    <row r="10" spans="1:5" ht="15" customHeight="1" x14ac:dyDescent="0.25">
      <c r="A10" t="s">
        <v>6986</v>
      </c>
      <c r="B10" t="s">
        <v>3519</v>
      </c>
      <c r="C10" t="s">
        <v>4435</v>
      </c>
      <c r="D10" t="s">
        <v>1295</v>
      </c>
      <c r="E10" t="s">
        <v>6987</v>
      </c>
    </row>
    <row r="11" spans="1:5" ht="15" customHeight="1" x14ac:dyDescent="0.25">
      <c r="A11" t="s">
        <v>6988</v>
      </c>
      <c r="B11" t="s">
        <v>41</v>
      </c>
      <c r="C11" t="s">
        <v>4417</v>
      </c>
      <c r="D11" t="s">
        <v>1295</v>
      </c>
      <c r="E11" t="s">
        <v>6989</v>
      </c>
    </row>
    <row r="12" spans="1:5" ht="15" customHeight="1" x14ac:dyDescent="0.25">
      <c r="A12" t="s">
        <v>6990</v>
      </c>
      <c r="B12" t="s">
        <v>3531</v>
      </c>
      <c r="C12" t="s">
        <v>4417</v>
      </c>
      <c r="D12" t="s">
        <v>1295</v>
      </c>
      <c r="E12" t="s">
        <v>6991</v>
      </c>
    </row>
    <row r="13" spans="1:5" ht="15" customHeight="1" x14ac:dyDescent="0.25">
      <c r="A13" t="s">
        <v>6992</v>
      </c>
      <c r="B13" t="s">
        <v>3519</v>
      </c>
      <c r="C13" t="s">
        <v>4417</v>
      </c>
      <c r="D13" t="s">
        <v>1295</v>
      </c>
      <c r="E13" t="s">
        <v>6993</v>
      </c>
    </row>
    <row r="14" spans="1:5" ht="15" customHeight="1" x14ac:dyDescent="0.25">
      <c r="A14" t="s">
        <v>6994</v>
      </c>
      <c r="B14" t="s">
        <v>41</v>
      </c>
      <c r="C14" t="s">
        <v>4442</v>
      </c>
      <c r="D14" t="s">
        <v>1295</v>
      </c>
      <c r="E14" t="s">
        <v>6995</v>
      </c>
    </row>
    <row r="15" spans="1:5" ht="15" customHeight="1" x14ac:dyDescent="0.25">
      <c r="A15" t="s">
        <v>6996</v>
      </c>
      <c r="B15" t="s">
        <v>3531</v>
      </c>
      <c r="C15" t="s">
        <v>4442</v>
      </c>
      <c r="D15" t="s">
        <v>1295</v>
      </c>
      <c r="E15" t="s">
        <v>6997</v>
      </c>
    </row>
    <row r="16" spans="1:5" ht="15" customHeight="1" x14ac:dyDescent="0.25">
      <c r="A16" t="s">
        <v>6998</v>
      </c>
      <c r="B16" t="s">
        <v>3519</v>
      </c>
      <c r="C16" t="s">
        <v>4442</v>
      </c>
      <c r="D16" t="s">
        <v>1295</v>
      </c>
      <c r="E16" t="s">
        <v>6999</v>
      </c>
    </row>
    <row r="17" spans="1:5" ht="15" customHeight="1" x14ac:dyDescent="0.25">
      <c r="A17" t="s">
        <v>7000</v>
      </c>
      <c r="B17" t="s">
        <v>41</v>
      </c>
      <c r="C17" t="s">
        <v>4449</v>
      </c>
      <c r="D17" t="s">
        <v>1295</v>
      </c>
      <c r="E17" t="s">
        <v>7001</v>
      </c>
    </row>
    <row r="18" spans="1:5" ht="15" customHeight="1" x14ac:dyDescent="0.25">
      <c r="A18" t="s">
        <v>7002</v>
      </c>
      <c r="B18" t="s">
        <v>3531</v>
      </c>
      <c r="C18" t="s">
        <v>4449</v>
      </c>
      <c r="D18" t="s">
        <v>1295</v>
      </c>
      <c r="E18" t="s">
        <v>7003</v>
      </c>
    </row>
    <row r="19" spans="1:5" ht="15" customHeight="1" x14ac:dyDescent="0.25">
      <c r="A19" t="s">
        <v>7004</v>
      </c>
      <c r="B19" t="s">
        <v>3519</v>
      </c>
      <c r="C19" t="s">
        <v>4449</v>
      </c>
      <c r="D19" t="s">
        <v>1295</v>
      </c>
      <c r="E19" t="s">
        <v>7005</v>
      </c>
    </row>
    <row r="20" spans="1:5" ht="15" customHeight="1" x14ac:dyDescent="0.25">
      <c r="A20" t="s">
        <v>7006</v>
      </c>
      <c r="B20" t="s">
        <v>41</v>
      </c>
      <c r="C20" t="s">
        <v>4449</v>
      </c>
      <c r="D20" t="s">
        <v>709</v>
      </c>
      <c r="E20" t="s">
        <v>7007</v>
      </c>
    </row>
    <row r="21" spans="1:5" ht="15" customHeight="1" x14ac:dyDescent="0.25">
      <c r="A21" t="s">
        <v>7008</v>
      </c>
      <c r="B21" t="s">
        <v>41</v>
      </c>
      <c r="C21" t="s">
        <v>4449</v>
      </c>
      <c r="D21" t="s">
        <v>709</v>
      </c>
      <c r="E21" t="s">
        <v>7009</v>
      </c>
    </row>
    <row r="22" spans="1:5" ht="15" customHeight="1" x14ac:dyDescent="0.25">
      <c r="A22" t="s">
        <v>7010</v>
      </c>
      <c r="B22" t="s">
        <v>3531</v>
      </c>
      <c r="C22" t="s">
        <v>4449</v>
      </c>
      <c r="D22" t="s">
        <v>709</v>
      </c>
      <c r="E22" t="s">
        <v>7011</v>
      </c>
    </row>
    <row r="23" spans="1:5" ht="15" customHeight="1" x14ac:dyDescent="0.25">
      <c r="A23" t="s">
        <v>7012</v>
      </c>
      <c r="B23" t="s">
        <v>3531</v>
      </c>
      <c r="C23" t="s">
        <v>4449</v>
      </c>
      <c r="D23" t="s">
        <v>709</v>
      </c>
      <c r="E23" t="s">
        <v>7013</v>
      </c>
    </row>
    <row r="24" spans="1:5" ht="15" customHeight="1" x14ac:dyDescent="0.25">
      <c r="A24" t="s">
        <v>7014</v>
      </c>
      <c r="B24" t="s">
        <v>3519</v>
      </c>
      <c r="C24" t="s">
        <v>4449</v>
      </c>
      <c r="D24" t="s">
        <v>709</v>
      </c>
      <c r="E24" t="s">
        <v>7015</v>
      </c>
    </row>
    <row r="25" spans="1:5" ht="15" customHeight="1" x14ac:dyDescent="0.25">
      <c r="A25" t="s">
        <v>7016</v>
      </c>
      <c r="B25" t="s">
        <v>3519</v>
      </c>
      <c r="C25" t="s">
        <v>4449</v>
      </c>
      <c r="D25" t="s">
        <v>709</v>
      </c>
      <c r="E25" t="s">
        <v>7017</v>
      </c>
    </row>
    <row r="26" spans="1:5" ht="15" customHeight="1" x14ac:dyDescent="0.25">
      <c r="A26" t="s">
        <v>7018</v>
      </c>
      <c r="B26" t="s">
        <v>3519</v>
      </c>
      <c r="C26" t="s">
        <v>4449</v>
      </c>
      <c r="D26" t="s">
        <v>709</v>
      </c>
      <c r="E26" t="s">
        <v>7019</v>
      </c>
    </row>
    <row r="27" spans="1:5" ht="15" customHeight="1" x14ac:dyDescent="0.25">
      <c r="A27" t="s">
        <v>7020</v>
      </c>
      <c r="B27" t="s">
        <v>3519</v>
      </c>
      <c r="C27" t="s">
        <v>4449</v>
      </c>
      <c r="D27" t="s">
        <v>709</v>
      </c>
      <c r="E27" t="s">
        <v>7021</v>
      </c>
    </row>
    <row r="28" spans="1:5" ht="15" customHeight="1" x14ac:dyDescent="0.25">
      <c r="A28" t="s">
        <v>7022</v>
      </c>
      <c r="B28" t="s">
        <v>3519</v>
      </c>
      <c r="C28" t="s">
        <v>4449</v>
      </c>
      <c r="D28" t="s">
        <v>709</v>
      </c>
      <c r="E28" t="s">
        <v>7023</v>
      </c>
    </row>
    <row r="29" spans="1:5" ht="15" customHeight="1" x14ac:dyDescent="0.25">
      <c r="A29" t="s">
        <v>7024</v>
      </c>
      <c r="B29" t="s">
        <v>3531</v>
      </c>
      <c r="C29" t="s">
        <v>4426</v>
      </c>
      <c r="D29" t="s">
        <v>919</v>
      </c>
      <c r="E29" t="s">
        <v>7025</v>
      </c>
    </row>
    <row r="30" spans="1:5" ht="15" customHeight="1" x14ac:dyDescent="0.25">
      <c r="A30" t="s">
        <v>7026</v>
      </c>
      <c r="B30" t="s">
        <v>3531</v>
      </c>
      <c r="C30" t="s">
        <v>7027</v>
      </c>
      <c r="D30" t="s">
        <v>919</v>
      </c>
      <c r="E30" t="s">
        <v>7028</v>
      </c>
    </row>
    <row r="31" spans="1:5" ht="15" customHeight="1" x14ac:dyDescent="0.25">
      <c r="A31" t="s">
        <v>7029</v>
      </c>
      <c r="B31" t="s">
        <v>41</v>
      </c>
      <c r="C31" t="s">
        <v>4455</v>
      </c>
      <c r="D31" t="s">
        <v>919</v>
      </c>
      <c r="E31" t="s">
        <v>7030</v>
      </c>
    </row>
    <row r="32" spans="1:5" ht="15" customHeight="1" x14ac:dyDescent="0.25">
      <c r="A32" t="s">
        <v>7031</v>
      </c>
      <c r="B32" t="s">
        <v>3519</v>
      </c>
      <c r="C32" t="s">
        <v>4449</v>
      </c>
      <c r="D32" t="s">
        <v>919</v>
      </c>
      <c r="E32" t="s">
        <v>7032</v>
      </c>
    </row>
    <row r="33" spans="1:5" ht="15" customHeight="1" x14ac:dyDescent="0.25">
      <c r="A33" t="s">
        <v>7033</v>
      </c>
      <c r="B33" t="s">
        <v>41</v>
      </c>
      <c r="C33" t="s">
        <v>4455</v>
      </c>
      <c r="D33" t="s">
        <v>919</v>
      </c>
      <c r="E33" t="s">
        <v>7034</v>
      </c>
    </row>
    <row r="34" spans="1:5" ht="15" customHeight="1" x14ac:dyDescent="0.25">
      <c r="A34" t="s">
        <v>7035</v>
      </c>
      <c r="B34" t="s">
        <v>3531</v>
      </c>
      <c r="C34" t="s">
        <v>4449</v>
      </c>
      <c r="D34" t="s">
        <v>919</v>
      </c>
      <c r="E34" t="s">
        <v>7036</v>
      </c>
    </row>
    <row r="35" spans="1:5" ht="15" customHeight="1" x14ac:dyDescent="0.25">
      <c r="A35" t="s">
        <v>7037</v>
      </c>
      <c r="B35" t="s">
        <v>41</v>
      </c>
      <c r="C35" t="s">
        <v>4449</v>
      </c>
      <c r="D35" t="s">
        <v>919</v>
      </c>
      <c r="E35" t="s">
        <v>7038</v>
      </c>
    </row>
    <row r="36" spans="1:5" ht="15" customHeight="1" x14ac:dyDescent="0.25">
      <c r="A36" t="s">
        <v>7039</v>
      </c>
      <c r="B36" t="s">
        <v>41</v>
      </c>
      <c r="C36" t="s">
        <v>4449</v>
      </c>
      <c r="D36" t="s">
        <v>919</v>
      </c>
      <c r="E36" t="s">
        <v>7040</v>
      </c>
    </row>
    <row r="37" spans="1:5" ht="15" customHeight="1" x14ac:dyDescent="0.25">
      <c r="A37" t="s">
        <v>7041</v>
      </c>
      <c r="B37" t="s">
        <v>41</v>
      </c>
      <c r="C37" t="s">
        <v>4428</v>
      </c>
      <c r="D37" t="s">
        <v>1299</v>
      </c>
      <c r="E37" t="s">
        <v>7042</v>
      </c>
    </row>
    <row r="38" spans="1:5" ht="15" customHeight="1" x14ac:dyDescent="0.25">
      <c r="A38" t="s">
        <v>7043</v>
      </c>
      <c r="B38" t="s">
        <v>3531</v>
      </c>
      <c r="C38" t="s">
        <v>4428</v>
      </c>
      <c r="D38" t="s">
        <v>1299</v>
      </c>
      <c r="E38" t="s">
        <v>7044</v>
      </c>
    </row>
    <row r="39" spans="1:5" ht="15" customHeight="1" x14ac:dyDescent="0.25">
      <c r="A39" t="s">
        <v>7045</v>
      </c>
      <c r="B39" t="s">
        <v>3519</v>
      </c>
      <c r="C39" t="s">
        <v>4428</v>
      </c>
      <c r="D39" t="s">
        <v>1299</v>
      </c>
      <c r="E39" t="s">
        <v>7046</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3756</v>
      </c>
      <c r="D1" t="s">
        <v>5070</v>
      </c>
      <c r="E1" s="10" t="s">
        <v>5071</v>
      </c>
      <c r="F1" s="10" t="s">
        <v>5072</v>
      </c>
      <c r="G1" t="s">
        <v>3761</v>
      </c>
      <c r="H1" t="s">
        <v>1</v>
      </c>
      <c r="I1" t="s">
        <v>5073</v>
      </c>
      <c r="J1" t="s">
        <v>7047</v>
      </c>
      <c r="K1" t="s">
        <v>171</v>
      </c>
      <c r="L1" t="s">
        <v>5075</v>
      </c>
      <c r="M1" t="s">
        <v>3762</v>
      </c>
    </row>
    <row r="2" spans="1:13" ht="15" customHeight="1" x14ac:dyDescent="0.25">
      <c r="A2" t="s">
        <v>7048</v>
      </c>
      <c r="B2" t="s">
        <v>4019</v>
      </c>
      <c r="C2" t="s">
        <v>4416</v>
      </c>
      <c r="D2">
        <v>2</v>
      </c>
      <c r="E2" s="10">
        <v>30</v>
      </c>
      <c r="F2" s="10">
        <v>34</v>
      </c>
      <c r="G2" t="s">
        <v>7049</v>
      </c>
      <c r="H2" t="s">
        <v>2133</v>
      </c>
      <c r="I2" t="s">
        <v>4449</v>
      </c>
      <c r="J2" t="s">
        <v>7050</v>
      </c>
      <c r="K2" t="s">
        <v>7048</v>
      </c>
      <c r="L2" t="s">
        <v>3468</v>
      </c>
    </row>
    <row r="3" spans="1:13" ht="15" customHeight="1" x14ac:dyDescent="0.25">
      <c r="A3" t="s">
        <v>7051</v>
      </c>
      <c r="B3" t="s">
        <v>4019</v>
      </c>
      <c r="C3" t="s">
        <v>4420</v>
      </c>
      <c r="D3">
        <v>2</v>
      </c>
      <c r="E3" s="10">
        <v>64</v>
      </c>
      <c r="F3" s="10">
        <v>70</v>
      </c>
      <c r="G3" t="s">
        <v>7049</v>
      </c>
      <c r="H3" t="s">
        <v>2133</v>
      </c>
      <c r="I3" t="s">
        <v>4449</v>
      </c>
      <c r="J3" t="s">
        <v>7052</v>
      </c>
      <c r="K3" t="s">
        <v>7053</v>
      </c>
      <c r="L3" t="s">
        <v>3468</v>
      </c>
    </row>
    <row r="4" spans="1:13" ht="15" customHeight="1" x14ac:dyDescent="0.25">
      <c r="A4" t="s">
        <v>7054</v>
      </c>
      <c r="B4" t="s">
        <v>4019</v>
      </c>
      <c r="C4" t="s">
        <v>5079</v>
      </c>
      <c r="D4">
        <v>7</v>
      </c>
      <c r="E4" s="10">
        <v>150</v>
      </c>
      <c r="F4" s="10">
        <v>160</v>
      </c>
      <c r="G4" t="s">
        <v>7049</v>
      </c>
      <c r="H4" t="s">
        <v>2133</v>
      </c>
      <c r="I4" t="s">
        <v>4449</v>
      </c>
      <c r="J4" t="s">
        <v>7055</v>
      </c>
      <c r="K4" t="s">
        <v>7056</v>
      </c>
      <c r="L4" t="s">
        <v>3468</v>
      </c>
    </row>
    <row r="5" spans="1:13" ht="15" customHeight="1" x14ac:dyDescent="0.25">
      <c r="A5" t="s">
        <v>5135</v>
      </c>
      <c r="B5" t="s">
        <v>4019</v>
      </c>
      <c r="C5" t="s">
        <v>4416</v>
      </c>
      <c r="D5" t="s">
        <v>3468</v>
      </c>
      <c r="E5" s="10">
        <v>20</v>
      </c>
      <c r="F5" s="10">
        <v>24</v>
      </c>
      <c r="G5" t="s">
        <v>3468</v>
      </c>
      <c r="H5" t="s">
        <v>160</v>
      </c>
      <c r="I5" t="s">
        <v>4449</v>
      </c>
      <c r="J5" t="s">
        <v>7057</v>
      </c>
      <c r="K5" t="s">
        <v>5135</v>
      </c>
      <c r="L5" t="s">
        <v>3468</v>
      </c>
    </row>
    <row r="6" spans="1:13" ht="15" customHeight="1" x14ac:dyDescent="0.25">
      <c r="A6" t="s">
        <v>5126</v>
      </c>
      <c r="B6" t="s">
        <v>4019</v>
      </c>
      <c r="C6" t="s">
        <v>4416</v>
      </c>
      <c r="D6">
        <v>2</v>
      </c>
      <c r="E6" s="10">
        <v>20</v>
      </c>
      <c r="F6" s="10">
        <v>24</v>
      </c>
      <c r="G6" t="s">
        <v>7058</v>
      </c>
      <c r="H6" t="s">
        <v>160</v>
      </c>
      <c r="I6" t="s">
        <v>4449</v>
      </c>
      <c r="J6" t="s">
        <v>7059</v>
      </c>
      <c r="K6" t="s">
        <v>5126</v>
      </c>
      <c r="L6" t="s">
        <v>3468</v>
      </c>
    </row>
    <row r="7" spans="1:13" ht="15" customHeight="1" x14ac:dyDescent="0.25">
      <c r="A7" t="s">
        <v>5133</v>
      </c>
      <c r="B7" t="s">
        <v>4019</v>
      </c>
      <c r="C7" t="s">
        <v>4416</v>
      </c>
      <c r="D7" t="s">
        <v>3468</v>
      </c>
      <c r="E7" s="10">
        <v>20</v>
      </c>
      <c r="F7" s="10">
        <v>24</v>
      </c>
      <c r="G7" t="s">
        <v>3468</v>
      </c>
      <c r="H7" t="s">
        <v>160</v>
      </c>
      <c r="I7" t="s">
        <v>4449</v>
      </c>
      <c r="J7" t="s">
        <v>7060</v>
      </c>
      <c r="K7" t="s">
        <v>5133</v>
      </c>
      <c r="L7" t="s">
        <v>3468</v>
      </c>
    </row>
    <row r="8" spans="1:13" ht="15" customHeight="1" x14ac:dyDescent="0.25">
      <c r="A8" t="s">
        <v>7061</v>
      </c>
      <c r="B8" t="s">
        <v>4019</v>
      </c>
      <c r="C8" t="s">
        <v>4420</v>
      </c>
      <c r="D8">
        <v>3</v>
      </c>
      <c r="E8" s="10">
        <v>48</v>
      </c>
      <c r="F8" s="10">
        <v>54</v>
      </c>
      <c r="G8" t="s">
        <v>3468</v>
      </c>
      <c r="H8" t="s">
        <v>160</v>
      </c>
      <c r="I8" t="s">
        <v>4449</v>
      </c>
      <c r="J8" t="s">
        <v>7062</v>
      </c>
      <c r="K8" t="s">
        <v>7063</v>
      </c>
      <c r="L8" t="s">
        <v>3468</v>
      </c>
    </row>
    <row r="9" spans="1:13" ht="15" customHeight="1" x14ac:dyDescent="0.25">
      <c r="A9" t="s">
        <v>7064</v>
      </c>
      <c r="B9" t="s">
        <v>4019</v>
      </c>
      <c r="C9" t="s">
        <v>5079</v>
      </c>
      <c r="D9">
        <v>7</v>
      </c>
      <c r="E9" s="10">
        <v>130</v>
      </c>
      <c r="F9" s="10">
        <v>140</v>
      </c>
      <c r="G9" t="s">
        <v>7065</v>
      </c>
      <c r="H9" t="s">
        <v>160</v>
      </c>
      <c r="I9" t="s">
        <v>4449</v>
      </c>
      <c r="J9" t="s">
        <v>7066</v>
      </c>
      <c r="K9" t="s">
        <v>7067</v>
      </c>
      <c r="L9" t="s">
        <v>3468</v>
      </c>
      <c r="M9" t="s">
        <v>4686</v>
      </c>
    </row>
    <row r="10" spans="1:13" ht="15" customHeight="1" x14ac:dyDescent="0.25">
      <c r="A10" t="s">
        <v>3873</v>
      </c>
      <c r="B10" t="s">
        <v>6921</v>
      </c>
      <c r="C10" t="s">
        <v>4416</v>
      </c>
      <c r="D10">
        <v>1</v>
      </c>
      <c r="E10" s="10">
        <v>20</v>
      </c>
      <c r="F10" s="10">
        <v>24</v>
      </c>
      <c r="G10" t="s">
        <v>5300</v>
      </c>
      <c r="H10" t="s">
        <v>501</v>
      </c>
      <c r="I10" t="s">
        <v>4452</v>
      </c>
      <c r="J10" t="s">
        <v>7068</v>
      </c>
      <c r="K10" t="s">
        <v>3873</v>
      </c>
      <c r="L10" t="s">
        <v>3468</v>
      </c>
    </row>
    <row r="11" spans="1:13" ht="15" customHeight="1" x14ac:dyDescent="0.25">
      <c r="A11" t="s">
        <v>7069</v>
      </c>
      <c r="B11" t="s">
        <v>6921</v>
      </c>
      <c r="C11" t="s">
        <v>4416</v>
      </c>
      <c r="D11">
        <v>2</v>
      </c>
      <c r="E11" s="10">
        <v>30</v>
      </c>
      <c r="F11" s="10">
        <v>34</v>
      </c>
      <c r="G11" t="s">
        <v>5300</v>
      </c>
      <c r="H11" t="s">
        <v>501</v>
      </c>
      <c r="I11" t="s">
        <v>4452</v>
      </c>
      <c r="J11" t="s">
        <v>7070</v>
      </c>
      <c r="K11" t="s">
        <v>7071</v>
      </c>
      <c r="L11" t="s">
        <v>3468</v>
      </c>
    </row>
    <row r="12" spans="1:13" ht="15" customHeight="1" x14ac:dyDescent="0.25">
      <c r="A12" t="s">
        <v>7072</v>
      </c>
      <c r="B12" t="s">
        <v>6921</v>
      </c>
      <c r="C12" t="s">
        <v>4416</v>
      </c>
      <c r="D12">
        <v>3</v>
      </c>
      <c r="E12" s="10">
        <v>40</v>
      </c>
      <c r="F12" s="10">
        <v>44</v>
      </c>
      <c r="G12" t="s">
        <v>7073</v>
      </c>
      <c r="H12" t="s">
        <v>501</v>
      </c>
      <c r="I12" t="s">
        <v>4452</v>
      </c>
      <c r="J12" t="s">
        <v>7074</v>
      </c>
      <c r="K12" t="s">
        <v>7075</v>
      </c>
      <c r="L12" t="s">
        <v>3468</v>
      </c>
    </row>
    <row r="13" spans="1:13" ht="15" customHeight="1" x14ac:dyDescent="0.25">
      <c r="A13" t="s">
        <v>7076</v>
      </c>
      <c r="B13" t="s">
        <v>6921</v>
      </c>
      <c r="C13" t="s">
        <v>4416</v>
      </c>
      <c r="D13" t="s">
        <v>3468</v>
      </c>
      <c r="E13" s="10">
        <v>12</v>
      </c>
      <c r="F13" s="10">
        <v>14</v>
      </c>
      <c r="G13" t="s">
        <v>5300</v>
      </c>
      <c r="H13" t="s">
        <v>501</v>
      </c>
      <c r="I13" t="s">
        <v>4452</v>
      </c>
      <c r="J13" t="s">
        <v>7077</v>
      </c>
      <c r="K13" t="s">
        <v>7076</v>
      </c>
      <c r="L13" t="s">
        <v>3468</v>
      </c>
    </row>
    <row r="14" spans="1:13" ht="15" customHeight="1" x14ac:dyDescent="0.25">
      <c r="A14" t="s">
        <v>3881</v>
      </c>
      <c r="B14" t="s">
        <v>6921</v>
      </c>
      <c r="C14" t="s">
        <v>4420</v>
      </c>
      <c r="D14">
        <v>3</v>
      </c>
      <c r="E14" s="10">
        <v>130</v>
      </c>
      <c r="F14" s="10">
        <v>140</v>
      </c>
      <c r="G14" t="s">
        <v>7078</v>
      </c>
      <c r="H14" t="s">
        <v>501</v>
      </c>
      <c r="I14" t="s">
        <v>4435</v>
      </c>
      <c r="J14" t="s">
        <v>7079</v>
      </c>
      <c r="K14" t="s">
        <v>3881</v>
      </c>
      <c r="L14" t="s">
        <v>3468</v>
      </c>
    </row>
    <row r="15" spans="1:13" ht="15" customHeight="1" x14ac:dyDescent="0.25">
      <c r="A15" t="s">
        <v>7080</v>
      </c>
      <c r="B15" t="s">
        <v>6921</v>
      </c>
      <c r="C15" t="s">
        <v>4420</v>
      </c>
      <c r="D15" t="s">
        <v>3468</v>
      </c>
      <c r="E15" s="10">
        <v>130</v>
      </c>
      <c r="F15" s="10">
        <v>140</v>
      </c>
      <c r="G15" t="s">
        <v>7078</v>
      </c>
      <c r="H15" t="s">
        <v>501</v>
      </c>
      <c r="I15" t="s">
        <v>4435</v>
      </c>
      <c r="J15" t="s">
        <v>7081</v>
      </c>
      <c r="K15" t="s">
        <v>7082</v>
      </c>
      <c r="L15" t="s">
        <v>3881</v>
      </c>
    </row>
    <row r="16" spans="1:13" ht="15" customHeight="1" x14ac:dyDescent="0.25">
      <c r="A16" t="s">
        <v>7083</v>
      </c>
      <c r="B16" t="s">
        <v>6921</v>
      </c>
      <c r="C16" t="s">
        <v>5079</v>
      </c>
      <c r="D16">
        <v>5</v>
      </c>
      <c r="E16" s="10">
        <v>100</v>
      </c>
      <c r="F16" s="10">
        <v>110</v>
      </c>
      <c r="G16" t="s">
        <v>7084</v>
      </c>
      <c r="H16" t="s">
        <v>501</v>
      </c>
      <c r="I16" t="s">
        <v>4442</v>
      </c>
      <c r="J16" t="s">
        <v>7085</v>
      </c>
      <c r="K16" t="s">
        <v>7086</v>
      </c>
      <c r="L16" t="s">
        <v>3468</v>
      </c>
    </row>
    <row r="17" spans="1:13" ht="15" customHeight="1" x14ac:dyDescent="0.25">
      <c r="A17" t="s">
        <v>7087</v>
      </c>
      <c r="B17" t="s">
        <v>4041</v>
      </c>
      <c r="C17" t="s">
        <v>4416</v>
      </c>
      <c r="D17">
        <v>1</v>
      </c>
      <c r="E17" s="10">
        <v>30</v>
      </c>
      <c r="F17" s="10">
        <v>34</v>
      </c>
      <c r="G17" t="s">
        <v>5313</v>
      </c>
      <c r="H17" t="s">
        <v>2155</v>
      </c>
      <c r="I17" t="s">
        <v>4449</v>
      </c>
      <c r="J17" t="s">
        <v>7088</v>
      </c>
      <c r="K17" t="s">
        <v>7087</v>
      </c>
      <c r="L17" t="s">
        <v>3468</v>
      </c>
      <c r="M17" t="s">
        <v>3872</v>
      </c>
    </row>
    <row r="18" spans="1:13" ht="15" customHeight="1" x14ac:dyDescent="0.25">
      <c r="A18" t="s">
        <v>7089</v>
      </c>
      <c r="B18" t="s">
        <v>4041</v>
      </c>
      <c r="C18" t="s">
        <v>4420</v>
      </c>
      <c r="D18">
        <v>3</v>
      </c>
      <c r="E18" s="10">
        <v>40</v>
      </c>
      <c r="F18" s="10">
        <v>46</v>
      </c>
      <c r="G18" t="s">
        <v>7090</v>
      </c>
      <c r="H18" t="s">
        <v>2155</v>
      </c>
      <c r="I18" t="s">
        <v>4449</v>
      </c>
      <c r="J18" t="s">
        <v>7091</v>
      </c>
      <c r="K18" t="s">
        <v>7089</v>
      </c>
      <c r="L18" t="s">
        <v>3468</v>
      </c>
    </row>
    <row r="19" spans="1:13" ht="15" customHeight="1" x14ac:dyDescent="0.25">
      <c r="A19" t="s">
        <v>7092</v>
      </c>
      <c r="B19" t="s">
        <v>4041</v>
      </c>
      <c r="C19" t="s">
        <v>4420</v>
      </c>
      <c r="D19">
        <v>4</v>
      </c>
      <c r="E19" s="10">
        <v>60</v>
      </c>
      <c r="F19" s="10">
        <v>66</v>
      </c>
      <c r="G19" t="s">
        <v>5313</v>
      </c>
      <c r="H19" t="s">
        <v>2155</v>
      </c>
      <c r="I19" t="s">
        <v>4449</v>
      </c>
      <c r="J19" t="s">
        <v>7093</v>
      </c>
      <c r="K19" t="s">
        <v>7092</v>
      </c>
      <c r="L19" t="s">
        <v>3468</v>
      </c>
    </row>
    <row r="20" spans="1:13" ht="15" customHeight="1" x14ac:dyDescent="0.25">
      <c r="A20" t="s">
        <v>4008</v>
      </c>
      <c r="B20" t="s">
        <v>4041</v>
      </c>
      <c r="C20" t="s">
        <v>5079</v>
      </c>
      <c r="D20">
        <v>9</v>
      </c>
      <c r="E20" s="10">
        <v>250</v>
      </c>
      <c r="F20" s="10">
        <v>270</v>
      </c>
      <c r="G20" t="s">
        <v>7094</v>
      </c>
      <c r="H20" t="s">
        <v>2155</v>
      </c>
      <c r="I20" t="s">
        <v>4449</v>
      </c>
      <c r="J20" t="s">
        <v>7095</v>
      </c>
      <c r="K20" t="s">
        <v>4008</v>
      </c>
      <c r="L20" t="s">
        <v>3468</v>
      </c>
      <c r="M20" t="s">
        <v>7096</v>
      </c>
    </row>
    <row r="21" spans="1:13" ht="15" customHeight="1" x14ac:dyDescent="0.25">
      <c r="A21" t="s">
        <v>3828</v>
      </c>
      <c r="B21" t="s">
        <v>5076</v>
      </c>
      <c r="C21" t="s">
        <v>4416</v>
      </c>
      <c r="D21">
        <v>2</v>
      </c>
      <c r="E21" s="10">
        <v>48</v>
      </c>
      <c r="F21" s="10">
        <v>54</v>
      </c>
      <c r="G21" t="s">
        <v>3468</v>
      </c>
      <c r="H21" t="s">
        <v>90</v>
      </c>
      <c r="I21" t="s">
        <v>4449</v>
      </c>
      <c r="J21" t="s">
        <v>7097</v>
      </c>
      <c r="K21" t="s">
        <v>3828</v>
      </c>
      <c r="L21" t="s">
        <v>3468</v>
      </c>
    </row>
    <row r="22" spans="1:13" ht="15" customHeight="1" x14ac:dyDescent="0.25">
      <c r="A22" t="s">
        <v>3857</v>
      </c>
      <c r="B22" t="s">
        <v>5076</v>
      </c>
      <c r="C22" t="s">
        <v>4420</v>
      </c>
      <c r="D22">
        <v>6</v>
      </c>
      <c r="E22" s="10">
        <v>114</v>
      </c>
      <c r="F22" s="10">
        <v>120</v>
      </c>
      <c r="G22" t="s">
        <v>3468</v>
      </c>
      <c r="H22" t="s">
        <v>90</v>
      </c>
      <c r="I22" t="s">
        <v>4449</v>
      </c>
      <c r="J22" t="s">
        <v>7098</v>
      </c>
      <c r="K22" t="s">
        <v>3857</v>
      </c>
      <c r="L22" t="s">
        <v>3468</v>
      </c>
    </row>
    <row r="23" spans="1:13" ht="15" customHeight="1" x14ac:dyDescent="0.25">
      <c r="A23" t="s">
        <v>3865</v>
      </c>
      <c r="B23" t="s">
        <v>5076</v>
      </c>
      <c r="C23" t="s">
        <v>5079</v>
      </c>
      <c r="D23">
        <v>9</v>
      </c>
      <c r="E23" s="10">
        <v>999</v>
      </c>
      <c r="F23" s="10">
        <v>999</v>
      </c>
      <c r="G23" t="s">
        <v>5080</v>
      </c>
      <c r="H23" t="s">
        <v>90</v>
      </c>
      <c r="I23" t="s">
        <v>4449</v>
      </c>
      <c r="J23" t="s">
        <v>7099</v>
      </c>
      <c r="K23" t="s">
        <v>3865</v>
      </c>
      <c r="L23" t="s">
        <v>3468</v>
      </c>
    </row>
    <row r="24" spans="1:13" ht="15" customHeight="1" x14ac:dyDescent="0.25">
      <c r="A24" t="s">
        <v>7100</v>
      </c>
      <c r="B24" t="s">
        <v>6921</v>
      </c>
      <c r="C24" t="s">
        <v>4416</v>
      </c>
      <c r="D24">
        <v>1</v>
      </c>
      <c r="E24" s="10">
        <v>20</v>
      </c>
      <c r="F24" s="10">
        <v>24</v>
      </c>
      <c r="G24" t="s">
        <v>7101</v>
      </c>
      <c r="H24" t="s">
        <v>2362</v>
      </c>
      <c r="I24" t="s">
        <v>4428</v>
      </c>
      <c r="J24" t="s">
        <v>7102</v>
      </c>
      <c r="K24" t="s">
        <v>7100</v>
      </c>
      <c r="L24" t="s">
        <v>3468</v>
      </c>
      <c r="M24" t="s">
        <v>3786</v>
      </c>
    </row>
    <row r="25" spans="1:13" ht="15" customHeight="1" x14ac:dyDescent="0.25">
      <c r="A25" t="s">
        <v>7103</v>
      </c>
      <c r="B25" t="s">
        <v>6921</v>
      </c>
      <c r="C25" t="s">
        <v>4420</v>
      </c>
      <c r="D25">
        <v>3</v>
      </c>
      <c r="E25" s="10">
        <v>48</v>
      </c>
      <c r="F25" s="10">
        <v>54</v>
      </c>
      <c r="G25" t="s">
        <v>3468</v>
      </c>
      <c r="H25" t="s">
        <v>2362</v>
      </c>
      <c r="I25" t="s">
        <v>4449</v>
      </c>
      <c r="J25" t="s">
        <v>7104</v>
      </c>
      <c r="K25" t="s">
        <v>7103</v>
      </c>
      <c r="L25" t="s">
        <v>3468</v>
      </c>
    </row>
    <row r="26" spans="1:13" ht="15" customHeight="1" x14ac:dyDescent="0.25">
      <c r="A26" t="s">
        <v>7105</v>
      </c>
      <c r="B26" t="s">
        <v>6921</v>
      </c>
      <c r="C26" t="s">
        <v>5079</v>
      </c>
      <c r="D26">
        <v>3</v>
      </c>
      <c r="E26" s="10">
        <v>60</v>
      </c>
      <c r="F26" s="10">
        <v>66</v>
      </c>
      <c r="G26" t="s">
        <v>7106</v>
      </c>
      <c r="H26" t="s">
        <v>2362</v>
      </c>
      <c r="I26" t="s">
        <v>4449</v>
      </c>
      <c r="J26" t="s">
        <v>7107</v>
      </c>
      <c r="K26" t="s">
        <v>7105</v>
      </c>
      <c r="L26" t="s">
        <v>3468</v>
      </c>
    </row>
    <row r="27" spans="1:13" ht="15" customHeight="1" x14ac:dyDescent="0.25">
      <c r="A27" t="s">
        <v>5082</v>
      </c>
      <c r="B27" t="s">
        <v>5076</v>
      </c>
      <c r="C27" t="s">
        <v>4416</v>
      </c>
      <c r="D27">
        <v>3</v>
      </c>
      <c r="E27" s="10">
        <v>40</v>
      </c>
      <c r="F27" s="10">
        <v>44</v>
      </c>
      <c r="G27" t="s">
        <v>3468</v>
      </c>
      <c r="H27" t="s">
        <v>90</v>
      </c>
      <c r="I27" t="s">
        <v>4449</v>
      </c>
      <c r="J27" t="s">
        <v>7108</v>
      </c>
      <c r="K27" t="s">
        <v>5084</v>
      </c>
      <c r="L27" t="s">
        <v>3468</v>
      </c>
    </row>
    <row r="28" spans="1:13" ht="15" customHeight="1" x14ac:dyDescent="0.25">
      <c r="A28" t="s">
        <v>5085</v>
      </c>
      <c r="B28" t="s">
        <v>5076</v>
      </c>
      <c r="C28" t="s">
        <v>4416</v>
      </c>
      <c r="D28">
        <v>1</v>
      </c>
      <c r="E28" s="10">
        <v>10</v>
      </c>
      <c r="F28" s="10">
        <v>15</v>
      </c>
      <c r="G28" t="s">
        <v>5086</v>
      </c>
      <c r="H28" t="s">
        <v>90</v>
      </c>
      <c r="I28" t="s">
        <v>4449</v>
      </c>
      <c r="J28" t="s">
        <v>7109</v>
      </c>
      <c r="K28" t="s">
        <v>5088</v>
      </c>
      <c r="L28" t="s">
        <v>3468</v>
      </c>
      <c r="M28" t="s">
        <v>4686</v>
      </c>
    </row>
    <row r="29" spans="1:13" ht="15" customHeight="1" x14ac:dyDescent="0.25">
      <c r="A29" t="s">
        <v>5089</v>
      </c>
      <c r="B29" t="s">
        <v>5076</v>
      </c>
      <c r="C29" t="s">
        <v>4416</v>
      </c>
      <c r="D29">
        <v>1</v>
      </c>
      <c r="E29" s="10">
        <v>11</v>
      </c>
      <c r="F29" s="10">
        <v>17</v>
      </c>
      <c r="G29" t="s">
        <v>5086</v>
      </c>
      <c r="H29" t="s">
        <v>90</v>
      </c>
      <c r="I29" t="s">
        <v>4449</v>
      </c>
      <c r="J29" t="s">
        <v>7110</v>
      </c>
      <c r="K29" t="s">
        <v>5091</v>
      </c>
      <c r="L29" t="s">
        <v>3468</v>
      </c>
      <c r="M29" t="s">
        <v>4686</v>
      </c>
    </row>
    <row r="30" spans="1:13" ht="15" customHeight="1" x14ac:dyDescent="0.25">
      <c r="A30" t="s">
        <v>5092</v>
      </c>
      <c r="B30" t="s">
        <v>5076</v>
      </c>
      <c r="C30" t="s">
        <v>4416</v>
      </c>
      <c r="D30">
        <v>4</v>
      </c>
      <c r="E30" s="10">
        <v>65</v>
      </c>
      <c r="F30" s="10">
        <v>69</v>
      </c>
      <c r="G30" t="s">
        <v>5093</v>
      </c>
      <c r="H30" t="s">
        <v>90</v>
      </c>
      <c r="I30" t="s">
        <v>4449</v>
      </c>
      <c r="J30" t="s">
        <v>7111</v>
      </c>
      <c r="K30" t="s">
        <v>5095</v>
      </c>
      <c r="L30" t="s">
        <v>3468</v>
      </c>
      <c r="M30" t="s">
        <v>3853</v>
      </c>
    </row>
    <row r="31" spans="1:13" ht="15" customHeight="1" x14ac:dyDescent="0.25">
      <c r="A31" t="s">
        <v>5096</v>
      </c>
      <c r="B31" t="s">
        <v>5076</v>
      </c>
      <c r="C31" t="s">
        <v>4416</v>
      </c>
      <c r="D31">
        <v>2</v>
      </c>
      <c r="E31" s="10">
        <v>28</v>
      </c>
      <c r="F31" s="10">
        <v>32</v>
      </c>
      <c r="G31" t="s">
        <v>3468</v>
      </c>
      <c r="H31" t="s">
        <v>90</v>
      </c>
      <c r="I31" t="s">
        <v>4449</v>
      </c>
      <c r="J31" t="s">
        <v>7112</v>
      </c>
      <c r="K31" t="s">
        <v>5098</v>
      </c>
      <c r="L31" t="s">
        <v>3468</v>
      </c>
      <c r="M31" t="s">
        <v>3853</v>
      </c>
    </row>
    <row r="32" spans="1:13" ht="15" customHeight="1" x14ac:dyDescent="0.25">
      <c r="A32" t="s">
        <v>5099</v>
      </c>
      <c r="B32" t="s">
        <v>5076</v>
      </c>
      <c r="C32" t="s">
        <v>4416</v>
      </c>
      <c r="D32">
        <v>1</v>
      </c>
      <c r="E32" s="10">
        <v>8</v>
      </c>
      <c r="F32" s="10">
        <v>12</v>
      </c>
      <c r="G32" t="s">
        <v>3468</v>
      </c>
      <c r="H32" t="s">
        <v>90</v>
      </c>
      <c r="I32" t="s">
        <v>4449</v>
      </c>
      <c r="J32" t="s">
        <v>7113</v>
      </c>
      <c r="K32" t="s">
        <v>5101</v>
      </c>
      <c r="L32" t="s">
        <v>3468</v>
      </c>
      <c r="M32" t="s">
        <v>3853</v>
      </c>
    </row>
    <row r="33" spans="1:13" ht="15" customHeight="1" x14ac:dyDescent="0.25">
      <c r="A33" t="s">
        <v>3850</v>
      </c>
      <c r="B33" t="s">
        <v>5076</v>
      </c>
      <c r="C33" t="s">
        <v>4416</v>
      </c>
      <c r="D33">
        <v>4</v>
      </c>
      <c r="E33" s="10">
        <v>64</v>
      </c>
      <c r="F33" s="10">
        <v>70</v>
      </c>
      <c r="G33" t="s">
        <v>5102</v>
      </c>
      <c r="H33" t="s">
        <v>90</v>
      </c>
      <c r="I33" t="s">
        <v>4449</v>
      </c>
      <c r="J33" t="s">
        <v>7114</v>
      </c>
      <c r="K33" t="s">
        <v>3852</v>
      </c>
      <c r="L33" t="s">
        <v>3468</v>
      </c>
      <c r="M33" t="s">
        <v>3853</v>
      </c>
    </row>
    <row r="34" spans="1:13" ht="15" customHeight="1" x14ac:dyDescent="0.25">
      <c r="A34" t="s">
        <v>5104</v>
      </c>
      <c r="B34" t="s">
        <v>5076</v>
      </c>
      <c r="C34" t="s">
        <v>4416</v>
      </c>
      <c r="D34">
        <v>2</v>
      </c>
      <c r="E34" s="10">
        <v>28</v>
      </c>
      <c r="F34" s="10">
        <v>32</v>
      </c>
      <c r="G34" t="s">
        <v>3468</v>
      </c>
      <c r="H34" t="s">
        <v>90</v>
      </c>
      <c r="I34" t="s">
        <v>4449</v>
      </c>
      <c r="J34" t="s">
        <v>7115</v>
      </c>
      <c r="K34" t="s">
        <v>5106</v>
      </c>
      <c r="L34" t="s">
        <v>3468</v>
      </c>
      <c r="M34" t="s">
        <v>3853</v>
      </c>
    </row>
    <row r="35" spans="1:13" ht="15" customHeight="1" x14ac:dyDescent="0.25">
      <c r="A35" t="s">
        <v>5107</v>
      </c>
      <c r="B35" t="s">
        <v>5076</v>
      </c>
      <c r="C35" t="s">
        <v>4416</v>
      </c>
      <c r="D35">
        <v>1</v>
      </c>
      <c r="E35" s="10">
        <v>10</v>
      </c>
      <c r="F35" s="10">
        <v>14</v>
      </c>
      <c r="G35" t="s">
        <v>3468</v>
      </c>
      <c r="H35" t="s">
        <v>90</v>
      </c>
      <c r="I35" t="s">
        <v>4449</v>
      </c>
      <c r="J35" t="s">
        <v>7116</v>
      </c>
      <c r="K35" t="s">
        <v>5109</v>
      </c>
      <c r="L35" t="s">
        <v>3468</v>
      </c>
      <c r="M35" t="s">
        <v>3853</v>
      </c>
    </row>
    <row r="36" spans="1:13" ht="15" customHeight="1" x14ac:dyDescent="0.25">
      <c r="A36" t="s">
        <v>7117</v>
      </c>
      <c r="B36" t="s">
        <v>6921</v>
      </c>
      <c r="C36" t="s">
        <v>5079</v>
      </c>
      <c r="D36">
        <v>1</v>
      </c>
      <c r="E36" s="10">
        <v>20</v>
      </c>
      <c r="F36" s="10">
        <v>24</v>
      </c>
      <c r="G36" t="s">
        <v>3468</v>
      </c>
      <c r="H36" t="s">
        <v>1650</v>
      </c>
      <c r="I36" t="s">
        <v>4428</v>
      </c>
      <c r="J36" t="s">
        <v>7118</v>
      </c>
      <c r="K36" t="s">
        <v>7117</v>
      </c>
      <c r="L36" t="s">
        <v>3468</v>
      </c>
      <c r="M36" t="s">
        <v>7119</v>
      </c>
    </row>
    <row r="37" spans="1:13" ht="15" customHeight="1" x14ac:dyDescent="0.25">
      <c r="A37" t="s">
        <v>7120</v>
      </c>
      <c r="B37" t="s">
        <v>6921</v>
      </c>
      <c r="C37" t="s">
        <v>4416</v>
      </c>
      <c r="D37">
        <v>0.5</v>
      </c>
      <c r="E37" s="10">
        <v>4</v>
      </c>
      <c r="F37" s="10">
        <v>6</v>
      </c>
      <c r="G37" t="s">
        <v>3468</v>
      </c>
      <c r="H37" t="s">
        <v>1650</v>
      </c>
      <c r="I37" t="s">
        <v>3468</v>
      </c>
      <c r="J37" t="s">
        <v>7121</v>
      </c>
      <c r="K37" t="s">
        <v>7120</v>
      </c>
      <c r="L37" t="s">
        <v>3468</v>
      </c>
      <c r="M37" t="s">
        <v>4686</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5110</v>
      </c>
      <c r="C1" t="s">
        <v>3756</v>
      </c>
      <c r="D1" t="s">
        <v>5070</v>
      </c>
      <c r="E1" t="s">
        <v>1</v>
      </c>
      <c r="F1" t="s">
        <v>3762</v>
      </c>
      <c r="G1" t="s">
        <v>5071</v>
      </c>
      <c r="H1" t="s">
        <v>5072</v>
      </c>
      <c r="I1" t="s">
        <v>4024</v>
      </c>
      <c r="J1" t="s">
        <v>7122</v>
      </c>
      <c r="K1" t="s">
        <v>5114</v>
      </c>
      <c r="L1" t="s">
        <v>171</v>
      </c>
      <c r="M1" t="s">
        <v>7123</v>
      </c>
      <c r="N1" t="s">
        <v>7124</v>
      </c>
      <c r="O1" t="s">
        <v>3451</v>
      </c>
      <c r="P1" t="s">
        <v>7125</v>
      </c>
      <c r="Q1" t="s">
        <v>3761</v>
      </c>
    </row>
    <row r="2" spans="1:17" ht="15" customHeight="1" x14ac:dyDescent="0.25">
      <c r="A2" t="s">
        <v>7087</v>
      </c>
      <c r="B2" t="s">
        <v>7126</v>
      </c>
      <c r="C2" t="s">
        <v>4416</v>
      </c>
      <c r="D2">
        <v>2</v>
      </c>
      <c r="E2" t="s">
        <v>2155</v>
      </c>
      <c r="G2">
        <v>20</v>
      </c>
      <c r="H2">
        <v>24</v>
      </c>
      <c r="I2">
        <v>0</v>
      </c>
      <c r="J2" t="s">
        <v>7127</v>
      </c>
      <c r="K2" t="s">
        <v>7128</v>
      </c>
      <c r="M2">
        <v>1</v>
      </c>
      <c r="N2">
        <v>3</v>
      </c>
      <c r="O2" t="s">
        <v>7129</v>
      </c>
      <c r="P2" t="s">
        <v>7130</v>
      </c>
    </row>
    <row r="3" spans="1:17" ht="15" customHeight="1" x14ac:dyDescent="0.25">
      <c r="A3" t="s">
        <v>7131</v>
      </c>
      <c r="B3" t="s">
        <v>7132</v>
      </c>
      <c r="C3" t="s">
        <v>4420</v>
      </c>
      <c r="D3">
        <v>2</v>
      </c>
      <c r="E3" t="s">
        <v>2155</v>
      </c>
      <c r="F3" t="s">
        <v>5001</v>
      </c>
      <c r="G3">
        <v>12</v>
      </c>
      <c r="H3">
        <v>18</v>
      </c>
      <c r="I3">
        <v>4</v>
      </c>
      <c r="J3" t="s">
        <v>7133</v>
      </c>
      <c r="K3" t="s">
        <v>7134</v>
      </c>
      <c r="M3">
        <v>2</v>
      </c>
      <c r="N3">
        <v>3</v>
      </c>
      <c r="O3" t="s">
        <v>7135</v>
      </c>
      <c r="P3" t="s">
        <v>7136</v>
      </c>
    </row>
    <row r="4" spans="1:17" ht="15" customHeight="1" x14ac:dyDescent="0.25">
      <c r="A4" t="s">
        <v>7137</v>
      </c>
      <c r="B4" t="s">
        <v>7138</v>
      </c>
      <c r="C4" t="s">
        <v>4416</v>
      </c>
      <c r="D4">
        <v>1</v>
      </c>
      <c r="E4" t="s">
        <v>1796</v>
      </c>
      <c r="F4" t="s">
        <v>7139</v>
      </c>
      <c r="G4">
        <v>5</v>
      </c>
      <c r="H4">
        <v>5</v>
      </c>
      <c r="I4">
        <v>4</v>
      </c>
      <c r="J4" t="s">
        <v>7133</v>
      </c>
      <c r="K4" t="s">
        <v>7140</v>
      </c>
      <c r="L4" t="s">
        <v>7137</v>
      </c>
      <c r="M4">
        <v>1</v>
      </c>
      <c r="N4">
        <v>4</v>
      </c>
      <c r="O4" t="s">
        <v>7141</v>
      </c>
      <c r="P4" t="s">
        <v>7142</v>
      </c>
    </row>
    <row r="5" spans="1:17" ht="15" customHeight="1" x14ac:dyDescent="0.25">
      <c r="A5" t="s">
        <v>7143</v>
      </c>
      <c r="B5" t="s">
        <v>5001</v>
      </c>
      <c r="C5" t="s">
        <v>4416</v>
      </c>
      <c r="D5">
        <v>1</v>
      </c>
      <c r="E5" t="s">
        <v>2155</v>
      </c>
      <c r="F5" t="s">
        <v>5001</v>
      </c>
      <c r="G5">
        <v>8</v>
      </c>
      <c r="H5">
        <v>11</v>
      </c>
      <c r="I5">
        <v>4</v>
      </c>
      <c r="J5" t="s">
        <v>7144</v>
      </c>
      <c r="K5" t="s">
        <v>7145</v>
      </c>
      <c r="M5">
        <v>1</v>
      </c>
      <c r="N5">
        <v>4</v>
      </c>
      <c r="O5" t="s">
        <v>7146</v>
      </c>
      <c r="P5" t="s">
        <v>7147</v>
      </c>
    </row>
    <row r="6" spans="1:17" ht="15" customHeight="1" x14ac:dyDescent="0.25">
      <c r="A6" t="s">
        <v>7092</v>
      </c>
      <c r="B6" t="s">
        <v>7148</v>
      </c>
      <c r="C6" t="s">
        <v>4420</v>
      </c>
      <c r="D6">
        <v>5</v>
      </c>
      <c r="E6" t="s">
        <v>2155</v>
      </c>
      <c r="G6">
        <v>60</v>
      </c>
      <c r="H6">
        <v>66</v>
      </c>
      <c r="I6">
        <v>-4</v>
      </c>
      <c r="J6" t="s">
        <v>7149</v>
      </c>
      <c r="K6" t="s">
        <v>7150</v>
      </c>
      <c r="M6">
        <v>4</v>
      </c>
      <c r="N6">
        <v>1</v>
      </c>
      <c r="O6" t="s">
        <v>7151</v>
      </c>
      <c r="P6" t="s">
        <v>7152</v>
      </c>
      <c r="Q6" t="s">
        <v>7153</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7154</v>
      </c>
      <c r="C1" t="s">
        <v>7155</v>
      </c>
      <c r="D1" t="s">
        <v>7156</v>
      </c>
      <c r="E1" t="s">
        <v>7157</v>
      </c>
      <c r="F1" t="s">
        <v>7158</v>
      </c>
      <c r="G1" t="s">
        <v>7159</v>
      </c>
      <c r="H1" t="s">
        <v>7160</v>
      </c>
      <c r="I1" t="s">
        <v>1</v>
      </c>
    </row>
    <row r="2" spans="1:9" ht="15" customHeight="1" x14ac:dyDescent="0.25">
      <c r="A2" t="s">
        <v>5921</v>
      </c>
      <c r="B2">
        <v>6</v>
      </c>
      <c r="C2" t="s">
        <v>7161</v>
      </c>
      <c r="D2" t="s">
        <v>7162</v>
      </c>
      <c r="E2" t="s">
        <v>7163</v>
      </c>
      <c r="F2" t="s">
        <v>7163</v>
      </c>
      <c r="G2" t="s">
        <v>7161</v>
      </c>
      <c r="H2" t="s">
        <v>7162</v>
      </c>
      <c r="I2" t="s">
        <v>2362</v>
      </c>
    </row>
    <row r="3" spans="1:9" ht="15" customHeight="1" x14ac:dyDescent="0.25">
      <c r="A3" t="s">
        <v>5944</v>
      </c>
      <c r="B3">
        <v>6</v>
      </c>
      <c r="C3" t="s">
        <v>7164</v>
      </c>
      <c r="D3" t="s">
        <v>7165</v>
      </c>
      <c r="E3" t="s">
        <v>7166</v>
      </c>
      <c r="F3" t="s">
        <v>7166</v>
      </c>
      <c r="G3" t="s">
        <v>7167</v>
      </c>
      <c r="H3" t="s">
        <v>4269</v>
      </c>
      <c r="I3" t="s">
        <v>2362</v>
      </c>
    </row>
    <row r="4" spans="1:9" ht="15" customHeight="1" x14ac:dyDescent="0.25">
      <c r="A4" t="s">
        <v>5971</v>
      </c>
      <c r="B4">
        <v>6</v>
      </c>
      <c r="C4" t="s">
        <v>7168</v>
      </c>
      <c r="D4" t="s">
        <v>7169</v>
      </c>
      <c r="E4" t="s">
        <v>7170</v>
      </c>
      <c r="F4" t="s">
        <v>7170</v>
      </c>
      <c r="G4" t="s">
        <v>7171</v>
      </c>
      <c r="H4" t="s">
        <v>5999</v>
      </c>
      <c r="I4" t="s">
        <v>2362</v>
      </c>
    </row>
    <row r="5" spans="1:9" ht="15" customHeight="1" x14ac:dyDescent="0.25">
      <c r="A5" t="s">
        <v>6012</v>
      </c>
      <c r="B5">
        <v>6</v>
      </c>
      <c r="C5" t="s">
        <v>7172</v>
      </c>
      <c r="D5" t="s">
        <v>7173</v>
      </c>
      <c r="E5" t="s">
        <v>7174</v>
      </c>
      <c r="F5" t="s">
        <v>7174</v>
      </c>
      <c r="G5" t="s">
        <v>7175</v>
      </c>
      <c r="H5" t="s">
        <v>5999</v>
      </c>
      <c r="I5" t="s">
        <v>2362</v>
      </c>
    </row>
    <row r="6" spans="1:9" ht="15" customHeight="1" x14ac:dyDescent="0.25">
      <c r="A6" t="s">
        <v>6058</v>
      </c>
      <c r="B6">
        <v>6</v>
      </c>
      <c r="C6" t="s">
        <v>7176</v>
      </c>
      <c r="D6" t="s">
        <v>7176</v>
      </c>
      <c r="E6" t="s">
        <v>7170</v>
      </c>
      <c r="F6" t="s">
        <v>7170</v>
      </c>
      <c r="G6" t="s">
        <v>7171</v>
      </c>
      <c r="H6" t="s">
        <v>7171</v>
      </c>
      <c r="I6" t="s">
        <v>2362</v>
      </c>
    </row>
    <row r="7" spans="1:9" ht="15" customHeight="1" x14ac:dyDescent="0.25">
      <c r="A7" t="s">
        <v>6081</v>
      </c>
      <c r="B7">
        <v>6</v>
      </c>
      <c r="C7" t="s">
        <v>7177</v>
      </c>
      <c r="D7" t="s">
        <v>7165</v>
      </c>
      <c r="E7" t="s">
        <v>5999</v>
      </c>
      <c r="F7" t="s">
        <v>5999</v>
      </c>
      <c r="G7" t="s">
        <v>7178</v>
      </c>
      <c r="H7" t="s">
        <v>5999</v>
      </c>
      <c r="I7" t="s">
        <v>2362</v>
      </c>
    </row>
    <row r="8" spans="1:9" ht="15" customHeight="1" x14ac:dyDescent="0.25">
      <c r="A8" t="s">
        <v>6086</v>
      </c>
      <c r="B8">
        <v>6</v>
      </c>
      <c r="C8" t="s">
        <v>7179</v>
      </c>
      <c r="D8" t="s">
        <v>7180</v>
      </c>
      <c r="E8" t="s">
        <v>7181</v>
      </c>
      <c r="F8" t="s">
        <v>7181</v>
      </c>
      <c r="G8" t="s">
        <v>7169</v>
      </c>
      <c r="H8" t="s">
        <v>5999</v>
      </c>
      <c r="I8" t="s">
        <v>2362</v>
      </c>
    </row>
    <row r="9" spans="1:9" ht="15" customHeight="1" x14ac:dyDescent="0.25">
      <c r="A9" t="s">
        <v>6105</v>
      </c>
      <c r="B9">
        <v>6</v>
      </c>
      <c r="C9" t="s">
        <v>7174</v>
      </c>
      <c r="D9" t="s">
        <v>7182</v>
      </c>
      <c r="E9" t="s">
        <v>7183</v>
      </c>
      <c r="F9" t="s">
        <v>7183</v>
      </c>
      <c r="G9" t="s">
        <v>7182</v>
      </c>
      <c r="H9" t="s">
        <v>5999</v>
      </c>
      <c r="I9" t="s">
        <v>2362</v>
      </c>
    </row>
    <row r="10" spans="1:9" ht="15" customHeight="1" x14ac:dyDescent="0.25">
      <c r="A10" t="s">
        <v>5740</v>
      </c>
      <c r="B10">
        <v>6</v>
      </c>
      <c r="C10" t="s">
        <v>7184</v>
      </c>
      <c r="D10" t="s">
        <v>7185</v>
      </c>
      <c r="E10" t="s">
        <v>7186</v>
      </c>
      <c r="F10" t="s">
        <v>7187</v>
      </c>
      <c r="G10" t="s">
        <v>7188</v>
      </c>
      <c r="H10" t="s">
        <v>7189</v>
      </c>
      <c r="I10" t="s">
        <v>160</v>
      </c>
    </row>
    <row r="11" spans="1:9" ht="15" customHeight="1" x14ac:dyDescent="0.25">
      <c r="A11" t="s">
        <v>6151</v>
      </c>
      <c r="B11">
        <v>6</v>
      </c>
      <c r="C11" t="s">
        <v>7164</v>
      </c>
      <c r="D11" t="s">
        <v>7190</v>
      </c>
      <c r="E11" t="s">
        <v>7191</v>
      </c>
      <c r="F11" t="s">
        <v>7191</v>
      </c>
      <c r="G11" t="s">
        <v>7192</v>
      </c>
      <c r="H11" t="s">
        <v>5999</v>
      </c>
      <c r="I11" t="s">
        <v>2362</v>
      </c>
    </row>
    <row r="12" spans="1:9" ht="15" customHeight="1" x14ac:dyDescent="0.25">
      <c r="A12" t="s">
        <v>6158</v>
      </c>
      <c r="B12">
        <v>6</v>
      </c>
      <c r="C12" t="s">
        <v>7193</v>
      </c>
      <c r="D12" t="s">
        <v>7193</v>
      </c>
      <c r="E12" t="s">
        <v>7161</v>
      </c>
      <c r="F12" t="s">
        <v>7161</v>
      </c>
      <c r="G12" t="s">
        <v>7162</v>
      </c>
      <c r="H12" t="s">
        <v>5999</v>
      </c>
      <c r="I12" t="s">
        <v>2362</v>
      </c>
    </row>
    <row r="13" spans="1:9" ht="15" customHeight="1" x14ac:dyDescent="0.25">
      <c r="A13" t="s">
        <v>6159</v>
      </c>
      <c r="B13">
        <v>6</v>
      </c>
      <c r="C13" t="s">
        <v>7165</v>
      </c>
      <c r="D13" t="s">
        <v>5705</v>
      </c>
      <c r="E13" t="s">
        <v>5999</v>
      </c>
      <c r="F13" t="s">
        <v>5999</v>
      </c>
      <c r="G13" t="s">
        <v>5999</v>
      </c>
      <c r="H13" t="s">
        <v>5999</v>
      </c>
      <c r="I13" t="s">
        <v>2362</v>
      </c>
    </row>
    <row r="14" spans="1:9" ht="15" customHeight="1" x14ac:dyDescent="0.25">
      <c r="A14" t="s">
        <v>6178</v>
      </c>
      <c r="B14">
        <v>6</v>
      </c>
      <c r="C14" t="s">
        <v>7174</v>
      </c>
      <c r="D14" t="s">
        <v>7174</v>
      </c>
      <c r="E14" t="s">
        <v>7182</v>
      </c>
      <c r="F14" t="s">
        <v>7182</v>
      </c>
      <c r="G14" t="s">
        <v>5999</v>
      </c>
      <c r="H14" t="s">
        <v>5999</v>
      </c>
      <c r="I14" t="s">
        <v>2362</v>
      </c>
    </row>
    <row r="15" spans="1:9" ht="15" customHeight="1" x14ac:dyDescent="0.25">
      <c r="A15" t="s">
        <v>6195</v>
      </c>
      <c r="B15">
        <v>6</v>
      </c>
      <c r="C15" t="s">
        <v>7194</v>
      </c>
      <c r="D15" t="s">
        <v>7195</v>
      </c>
      <c r="E15" t="s">
        <v>7195</v>
      </c>
      <c r="F15" t="s">
        <v>7195</v>
      </c>
      <c r="G15" t="s">
        <v>7182</v>
      </c>
      <c r="H15" t="s">
        <v>5999</v>
      </c>
      <c r="I15" t="s">
        <v>2362</v>
      </c>
    </row>
    <row r="16" spans="1:9" ht="15" customHeight="1" x14ac:dyDescent="0.25">
      <c r="A16" t="s">
        <v>6264</v>
      </c>
      <c r="B16">
        <v>6</v>
      </c>
      <c r="C16" t="s">
        <v>7196</v>
      </c>
      <c r="D16" t="s">
        <v>7197</v>
      </c>
      <c r="E16" t="s">
        <v>7197</v>
      </c>
      <c r="F16" t="s">
        <v>7197</v>
      </c>
      <c r="G16" t="s">
        <v>7198</v>
      </c>
      <c r="H16" t="s">
        <v>5999</v>
      </c>
      <c r="I16" t="s">
        <v>2362</v>
      </c>
    </row>
    <row r="17" spans="1:9" ht="15" customHeight="1" x14ac:dyDescent="0.25">
      <c r="A17" t="s">
        <v>6341</v>
      </c>
      <c r="B17">
        <v>6</v>
      </c>
      <c r="C17" t="s">
        <v>7166</v>
      </c>
      <c r="D17" t="s">
        <v>7166</v>
      </c>
      <c r="E17" t="s">
        <v>7176</v>
      </c>
      <c r="F17" t="s">
        <v>7176</v>
      </c>
      <c r="G17" t="s">
        <v>7169</v>
      </c>
      <c r="H17" t="s">
        <v>7169</v>
      </c>
      <c r="I17" t="s">
        <v>2362</v>
      </c>
    </row>
    <row r="18" spans="1:9" ht="15" customHeight="1" x14ac:dyDescent="0.25">
      <c r="A18" t="s">
        <v>6398</v>
      </c>
      <c r="B18">
        <v>6</v>
      </c>
      <c r="C18" t="s">
        <v>7165</v>
      </c>
      <c r="D18" t="s">
        <v>7165</v>
      </c>
      <c r="E18" t="s">
        <v>7166</v>
      </c>
      <c r="F18" t="s">
        <v>7166</v>
      </c>
      <c r="G18" t="s">
        <v>7168</v>
      </c>
      <c r="H18" t="s">
        <v>7168</v>
      </c>
      <c r="I18" t="s">
        <v>2362</v>
      </c>
    </row>
    <row r="19" spans="1:9" ht="15" customHeight="1" x14ac:dyDescent="0.25">
      <c r="A19" t="s">
        <v>6402</v>
      </c>
      <c r="B19">
        <v>6</v>
      </c>
      <c r="C19" t="s">
        <v>5705</v>
      </c>
      <c r="D19" t="s">
        <v>7168</v>
      </c>
      <c r="E19" t="s">
        <v>7176</v>
      </c>
      <c r="F19" t="s">
        <v>7176</v>
      </c>
      <c r="G19" t="s">
        <v>7169</v>
      </c>
      <c r="H19" t="s">
        <v>7171</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7199</v>
      </c>
      <c r="D1" t="s">
        <v>171</v>
      </c>
      <c r="E1" t="s">
        <v>7200</v>
      </c>
    </row>
    <row r="2" spans="1:5" ht="15" customHeight="1" x14ac:dyDescent="0.25">
      <c r="A2" t="s">
        <v>7201</v>
      </c>
      <c r="B2">
        <v>2022</v>
      </c>
      <c r="C2" t="s">
        <v>2620</v>
      </c>
      <c r="D2" t="s">
        <v>7202</v>
      </c>
    </row>
    <row r="3" spans="1:5" ht="15" customHeight="1" x14ac:dyDescent="0.25">
      <c r="A3" t="s">
        <v>7203</v>
      </c>
      <c r="B3">
        <v>2022</v>
      </c>
      <c r="C3" t="s">
        <v>90</v>
      </c>
      <c r="D3" t="s">
        <v>7204</v>
      </c>
    </row>
    <row r="4" spans="1:5" ht="15" customHeight="1" x14ac:dyDescent="0.25">
      <c r="A4" t="s">
        <v>7205</v>
      </c>
      <c r="B4">
        <v>2024</v>
      </c>
      <c r="C4" t="s">
        <v>353</v>
      </c>
      <c r="D4" t="s">
        <v>7206</v>
      </c>
    </row>
    <row r="5" spans="1:5" ht="15" customHeight="1" x14ac:dyDescent="0.25">
      <c r="A5" t="s">
        <v>7207</v>
      </c>
      <c r="B5">
        <v>2020</v>
      </c>
      <c r="C5" t="s">
        <v>2133</v>
      </c>
      <c r="D5" t="s">
        <v>7208</v>
      </c>
    </row>
    <row r="6" spans="1:5" ht="15" customHeight="1" x14ac:dyDescent="0.25">
      <c r="A6" t="s">
        <v>7209</v>
      </c>
      <c r="B6">
        <v>2021</v>
      </c>
      <c r="C6" t="s">
        <v>2137</v>
      </c>
      <c r="D6" t="s">
        <v>7210</v>
      </c>
    </row>
    <row r="7" spans="1:5" ht="15" customHeight="1" x14ac:dyDescent="0.25">
      <c r="A7" t="s">
        <v>7211</v>
      </c>
      <c r="B7">
        <v>2024</v>
      </c>
      <c r="C7" t="s">
        <v>353</v>
      </c>
      <c r="D7" t="s">
        <v>7212</v>
      </c>
    </row>
    <row r="8" spans="1:5" x14ac:dyDescent="0.25">
      <c r="A8" t="s">
        <v>7213</v>
      </c>
      <c r="B8">
        <v>2024</v>
      </c>
      <c r="C8" t="s">
        <v>353</v>
      </c>
      <c r="E8" s="11" t="s">
        <v>7214</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3462</v>
      </c>
      <c r="C1" t="s">
        <v>167</v>
      </c>
    </row>
    <row r="2" spans="1:3" ht="15" customHeight="1" x14ac:dyDescent="0.25">
      <c r="A2" t="s">
        <v>7215</v>
      </c>
      <c r="B2" t="s">
        <v>7216</v>
      </c>
      <c r="C2" t="s">
        <v>4058</v>
      </c>
    </row>
    <row r="3" spans="1:3" ht="15" customHeight="1" x14ac:dyDescent="0.25">
      <c r="A3" t="s">
        <v>7217</v>
      </c>
      <c r="B3" t="s">
        <v>7218</v>
      </c>
      <c r="C3" t="s">
        <v>4058</v>
      </c>
    </row>
    <row r="4" spans="1:3" ht="15" customHeight="1" x14ac:dyDescent="0.25">
      <c r="A4" t="s">
        <v>4440</v>
      </c>
      <c r="B4" t="s">
        <v>7219</v>
      </c>
      <c r="C4" t="s">
        <v>4075</v>
      </c>
    </row>
    <row r="5" spans="1:3" ht="15" customHeight="1" x14ac:dyDescent="0.25">
      <c r="A5" t="s">
        <v>4031</v>
      </c>
      <c r="B5" t="s">
        <v>7220</v>
      </c>
      <c r="C5" t="s">
        <v>4058</v>
      </c>
    </row>
    <row r="6" spans="1:3" ht="15" customHeight="1" x14ac:dyDescent="0.25">
      <c r="A6" t="s">
        <v>7221</v>
      </c>
      <c r="B6" t="s">
        <v>7222</v>
      </c>
      <c r="C6" t="s">
        <v>4075</v>
      </c>
    </row>
    <row r="7" spans="1:3" ht="15" customHeight="1" x14ac:dyDescent="0.25">
      <c r="A7" t="s">
        <v>7223</v>
      </c>
      <c r="B7" t="s">
        <v>7224</v>
      </c>
      <c r="C7" t="s">
        <v>4058</v>
      </c>
    </row>
    <row r="8" spans="1:3" ht="15" customHeight="1" x14ac:dyDescent="0.25">
      <c r="A8" t="s">
        <v>7225</v>
      </c>
      <c r="B8" t="s">
        <v>7226</v>
      </c>
      <c r="C8" t="s">
        <v>4058</v>
      </c>
    </row>
    <row r="9" spans="1:3" ht="15" customHeight="1" x14ac:dyDescent="0.25">
      <c r="A9" t="s">
        <v>7227</v>
      </c>
      <c r="B9" t="s">
        <v>7228</v>
      </c>
      <c r="C9" t="s">
        <v>4058</v>
      </c>
    </row>
    <row r="10" spans="1:3" ht="15" customHeight="1" x14ac:dyDescent="0.25">
      <c r="A10" t="s">
        <v>7229</v>
      </c>
      <c r="B10" t="s">
        <v>7230</v>
      </c>
      <c r="C10" t="s">
        <v>4086</v>
      </c>
    </row>
    <row r="11" spans="1:3" ht="15" customHeight="1" x14ac:dyDescent="0.25">
      <c r="A11" t="s">
        <v>7231</v>
      </c>
      <c r="B11" t="s">
        <v>7232</v>
      </c>
      <c r="C11" t="s">
        <v>4058</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7233</v>
      </c>
      <c r="C1" t="s">
        <v>4650</v>
      </c>
      <c r="D1" t="s">
        <v>7234</v>
      </c>
      <c r="E1" t="s">
        <v>3462</v>
      </c>
      <c r="F1" t="s">
        <v>167</v>
      </c>
    </row>
    <row r="2" spans="1:6" ht="15" customHeight="1" x14ac:dyDescent="0.25">
      <c r="A2" t="s">
        <v>7235</v>
      </c>
      <c r="B2" t="s">
        <v>5076</v>
      </c>
      <c r="C2" t="s">
        <v>4416</v>
      </c>
      <c r="D2" t="s">
        <v>7236</v>
      </c>
      <c r="E2" t="s">
        <v>7237</v>
      </c>
      <c r="F2" t="s">
        <v>7238</v>
      </c>
    </row>
    <row r="3" spans="1:6" ht="15" customHeight="1" x14ac:dyDescent="0.25">
      <c r="A3" t="s">
        <v>7239</v>
      </c>
      <c r="B3" t="s">
        <v>5076</v>
      </c>
      <c r="C3" t="s">
        <v>4420</v>
      </c>
      <c r="D3" t="s">
        <v>7236</v>
      </c>
      <c r="E3" t="s">
        <v>7240</v>
      </c>
      <c r="F3" t="s">
        <v>7238</v>
      </c>
    </row>
    <row r="4" spans="1:6" ht="15" customHeight="1" x14ac:dyDescent="0.25">
      <c r="A4" t="s">
        <v>7241</v>
      </c>
      <c r="B4" t="s">
        <v>5076</v>
      </c>
      <c r="C4" t="s">
        <v>5079</v>
      </c>
      <c r="D4" t="s">
        <v>7236</v>
      </c>
      <c r="E4" t="s">
        <v>7242</v>
      </c>
      <c r="F4" t="s">
        <v>7238</v>
      </c>
    </row>
    <row r="5" spans="1:6" ht="15" customHeight="1" x14ac:dyDescent="0.25">
      <c r="A5" t="s">
        <v>7243</v>
      </c>
      <c r="B5" t="s">
        <v>5076</v>
      </c>
      <c r="C5" t="s">
        <v>4416</v>
      </c>
      <c r="D5" t="s">
        <v>7236</v>
      </c>
      <c r="E5" t="s">
        <v>7244</v>
      </c>
      <c r="F5" t="s">
        <v>7238</v>
      </c>
    </row>
    <row r="6" spans="1:6" ht="15" customHeight="1" x14ac:dyDescent="0.25">
      <c r="A6" t="s">
        <v>7245</v>
      </c>
      <c r="B6" t="s">
        <v>5076</v>
      </c>
      <c r="C6" t="s">
        <v>4420</v>
      </c>
      <c r="D6" t="s">
        <v>7236</v>
      </c>
      <c r="E6" t="s">
        <v>7246</v>
      </c>
      <c r="F6" t="s">
        <v>7238</v>
      </c>
    </row>
    <row r="7" spans="1:6" ht="15" customHeight="1" x14ac:dyDescent="0.25">
      <c r="A7" t="s">
        <v>7247</v>
      </c>
      <c r="B7" t="s">
        <v>5076</v>
      </c>
      <c r="C7" t="s">
        <v>5079</v>
      </c>
      <c r="D7" t="s">
        <v>7236</v>
      </c>
      <c r="E7" t="s">
        <v>7248</v>
      </c>
      <c r="F7" t="s">
        <v>7238</v>
      </c>
    </row>
    <row r="8" spans="1:6" ht="15" customHeight="1" x14ac:dyDescent="0.25">
      <c r="A8" t="s">
        <v>7249</v>
      </c>
      <c r="B8" t="s">
        <v>5076</v>
      </c>
      <c r="C8" t="s">
        <v>4416</v>
      </c>
      <c r="D8" t="s">
        <v>7250</v>
      </c>
      <c r="E8" t="s">
        <v>7251</v>
      </c>
      <c r="F8" t="s">
        <v>7238</v>
      </c>
    </row>
    <row r="9" spans="1:6" ht="15" customHeight="1" x14ac:dyDescent="0.25">
      <c r="A9" t="s">
        <v>7252</v>
      </c>
      <c r="B9" t="s">
        <v>5076</v>
      </c>
      <c r="C9" t="s">
        <v>4420</v>
      </c>
      <c r="D9" t="s">
        <v>7236</v>
      </c>
      <c r="E9" t="s">
        <v>7251</v>
      </c>
      <c r="F9" t="s">
        <v>7238</v>
      </c>
    </row>
    <row r="10" spans="1:6" ht="15" customHeight="1" x14ac:dyDescent="0.25">
      <c r="A10" t="s">
        <v>7253</v>
      </c>
      <c r="B10" t="s">
        <v>5076</v>
      </c>
      <c r="C10" t="s">
        <v>5079</v>
      </c>
      <c r="D10" t="s">
        <v>7254</v>
      </c>
      <c r="E10" t="s">
        <v>7251</v>
      </c>
      <c r="F10" t="s">
        <v>7238</v>
      </c>
    </row>
    <row r="11" spans="1:6" ht="15" customHeight="1" x14ac:dyDescent="0.25">
      <c r="A11" t="s">
        <v>7255</v>
      </c>
      <c r="B11" t="s">
        <v>4041</v>
      </c>
      <c r="C11" t="s">
        <v>4416</v>
      </c>
      <c r="D11" t="s">
        <v>7250</v>
      </c>
      <c r="E11" t="s">
        <v>7256</v>
      </c>
      <c r="F11" t="s">
        <v>7238</v>
      </c>
    </row>
    <row r="12" spans="1:6" ht="15" customHeight="1" x14ac:dyDescent="0.25">
      <c r="A12" t="s">
        <v>7257</v>
      </c>
      <c r="B12" t="s">
        <v>4041</v>
      </c>
      <c r="C12" t="s">
        <v>4420</v>
      </c>
      <c r="D12" t="s">
        <v>7250</v>
      </c>
      <c r="E12" t="s">
        <v>7258</v>
      </c>
      <c r="F12" t="s">
        <v>7238</v>
      </c>
    </row>
    <row r="13" spans="1:6" ht="15" customHeight="1" x14ac:dyDescent="0.25">
      <c r="A13" t="s">
        <v>7259</v>
      </c>
      <c r="B13" t="s">
        <v>4041</v>
      </c>
      <c r="C13" t="s">
        <v>5079</v>
      </c>
      <c r="D13" t="s">
        <v>7250</v>
      </c>
      <c r="E13" t="s">
        <v>7260</v>
      </c>
      <c r="F13" t="s">
        <v>7238</v>
      </c>
    </row>
    <row r="14" spans="1:6" ht="15" customHeight="1" x14ac:dyDescent="0.25">
      <c r="A14" t="s">
        <v>7261</v>
      </c>
      <c r="B14" t="s">
        <v>6921</v>
      </c>
      <c r="C14" t="s">
        <v>4416</v>
      </c>
      <c r="D14" t="s">
        <v>7262</v>
      </c>
      <c r="E14" t="s">
        <v>7263</v>
      </c>
      <c r="F14" t="s">
        <v>3858</v>
      </c>
    </row>
    <row r="15" spans="1:6" ht="15" customHeight="1" x14ac:dyDescent="0.25">
      <c r="A15" t="s">
        <v>7264</v>
      </c>
      <c r="B15" t="s">
        <v>6921</v>
      </c>
      <c r="C15" t="s">
        <v>4420</v>
      </c>
      <c r="D15" t="s">
        <v>7265</v>
      </c>
      <c r="E15" t="s">
        <v>7263</v>
      </c>
      <c r="F15" t="s">
        <v>3858</v>
      </c>
    </row>
    <row r="16" spans="1:6" ht="15" customHeight="1" x14ac:dyDescent="0.25">
      <c r="A16" t="s">
        <v>7266</v>
      </c>
      <c r="B16" t="s">
        <v>6921</v>
      </c>
      <c r="C16" t="s">
        <v>5079</v>
      </c>
      <c r="D16" t="s">
        <v>7267</v>
      </c>
      <c r="E16" t="s">
        <v>7263</v>
      </c>
      <c r="F16" t="s">
        <v>3858</v>
      </c>
    </row>
    <row r="17" spans="1:6" ht="15" customHeight="1" x14ac:dyDescent="0.25">
      <c r="A17" t="s">
        <v>7268</v>
      </c>
      <c r="B17" t="s">
        <v>6921</v>
      </c>
      <c r="C17" t="s">
        <v>4416</v>
      </c>
      <c r="D17" t="s">
        <v>7269</v>
      </c>
      <c r="E17" t="s">
        <v>7270</v>
      </c>
      <c r="F17" t="s">
        <v>7271</v>
      </c>
    </row>
    <row r="18" spans="1:6" ht="15" customHeight="1" x14ac:dyDescent="0.25">
      <c r="A18" t="s">
        <v>7272</v>
      </c>
      <c r="B18" t="s">
        <v>6921</v>
      </c>
      <c r="C18" t="s">
        <v>4420</v>
      </c>
      <c r="D18" t="s">
        <v>7269</v>
      </c>
      <c r="E18" t="s">
        <v>7273</v>
      </c>
      <c r="F18" t="s">
        <v>7271</v>
      </c>
    </row>
    <row r="19" spans="1:6" ht="15" customHeight="1" x14ac:dyDescent="0.25">
      <c r="A19" t="s">
        <v>7274</v>
      </c>
      <c r="B19" t="s">
        <v>6921</v>
      </c>
      <c r="C19" t="s">
        <v>5079</v>
      </c>
      <c r="D19" t="s">
        <v>7269</v>
      </c>
      <c r="E19" t="s">
        <v>7275</v>
      </c>
      <c r="F19" t="s">
        <v>7271</v>
      </c>
    </row>
    <row r="20" spans="1:6" ht="15" customHeight="1" x14ac:dyDescent="0.25">
      <c r="A20" t="s">
        <v>7276</v>
      </c>
      <c r="B20" t="s">
        <v>6921</v>
      </c>
      <c r="C20" t="s">
        <v>4416</v>
      </c>
      <c r="D20" t="s">
        <v>7277</v>
      </c>
      <c r="E20" t="s">
        <v>7278</v>
      </c>
      <c r="F20" t="s">
        <v>7271</v>
      </c>
    </row>
    <row r="21" spans="1:6" ht="15" customHeight="1" x14ac:dyDescent="0.25">
      <c r="A21" t="s">
        <v>7279</v>
      </c>
      <c r="B21" t="s">
        <v>6921</v>
      </c>
      <c r="C21" t="s">
        <v>4420</v>
      </c>
      <c r="D21" t="s">
        <v>7280</v>
      </c>
      <c r="E21" t="s">
        <v>7278</v>
      </c>
      <c r="F21" t="s">
        <v>7271</v>
      </c>
    </row>
    <row r="22" spans="1:6" ht="15" customHeight="1" x14ac:dyDescent="0.25">
      <c r="A22" t="s">
        <v>7281</v>
      </c>
      <c r="B22" t="s">
        <v>6921</v>
      </c>
      <c r="C22" t="s">
        <v>5079</v>
      </c>
      <c r="D22" t="s">
        <v>7282</v>
      </c>
      <c r="E22" t="s">
        <v>7278</v>
      </c>
      <c r="F22" t="s">
        <v>7271</v>
      </c>
    </row>
    <row r="23" spans="1:6" ht="15" customHeight="1" x14ac:dyDescent="0.25">
      <c r="A23" t="s">
        <v>7283</v>
      </c>
      <c r="B23" t="s">
        <v>4019</v>
      </c>
      <c r="C23" t="s">
        <v>4416</v>
      </c>
      <c r="D23" t="s">
        <v>7262</v>
      </c>
      <c r="E23" t="s">
        <v>7284</v>
      </c>
      <c r="F23" t="s">
        <v>3858</v>
      </c>
    </row>
    <row r="24" spans="1:6" ht="15" customHeight="1" x14ac:dyDescent="0.25">
      <c r="A24" t="s">
        <v>7285</v>
      </c>
      <c r="B24" t="s">
        <v>4019</v>
      </c>
      <c r="C24" t="s">
        <v>4420</v>
      </c>
      <c r="D24" t="s">
        <v>7262</v>
      </c>
      <c r="E24" t="s">
        <v>7286</v>
      </c>
      <c r="F24" t="s">
        <v>3858</v>
      </c>
    </row>
    <row r="25" spans="1:6" ht="15" customHeight="1" x14ac:dyDescent="0.25">
      <c r="A25" t="s">
        <v>7287</v>
      </c>
      <c r="B25" t="s">
        <v>4019</v>
      </c>
      <c r="C25" t="s">
        <v>5079</v>
      </c>
      <c r="D25" t="s">
        <v>7262</v>
      </c>
      <c r="E25" t="s">
        <v>7288</v>
      </c>
      <c r="F25" t="s">
        <v>3858</v>
      </c>
    </row>
    <row r="26" spans="1:6" ht="15" customHeight="1" x14ac:dyDescent="0.25">
      <c r="A26" t="s">
        <v>7289</v>
      </c>
      <c r="B26" t="s">
        <v>4019</v>
      </c>
      <c r="C26" t="s">
        <v>4416</v>
      </c>
      <c r="D26" t="s">
        <v>7290</v>
      </c>
      <c r="E26" t="s">
        <v>7291</v>
      </c>
      <c r="F26" t="s">
        <v>7271</v>
      </c>
    </row>
    <row r="27" spans="1:6" ht="15" customHeight="1" x14ac:dyDescent="0.25">
      <c r="A27" t="s">
        <v>7292</v>
      </c>
      <c r="B27" t="s">
        <v>4019</v>
      </c>
      <c r="C27" t="s">
        <v>4420</v>
      </c>
      <c r="D27" t="s">
        <v>7293</v>
      </c>
      <c r="E27" t="s">
        <v>7291</v>
      </c>
      <c r="F27" t="s">
        <v>7271</v>
      </c>
    </row>
    <row r="28" spans="1:6" ht="15" customHeight="1" x14ac:dyDescent="0.25">
      <c r="A28" t="s">
        <v>7294</v>
      </c>
      <c r="B28" t="s">
        <v>4019</v>
      </c>
      <c r="C28" t="s">
        <v>5079</v>
      </c>
      <c r="D28" t="s">
        <v>7295</v>
      </c>
      <c r="E28" t="s">
        <v>7291</v>
      </c>
      <c r="F28" t="s">
        <v>7271</v>
      </c>
    </row>
    <row r="29" spans="1:6" ht="15" customHeight="1" x14ac:dyDescent="0.25">
      <c r="A29" t="s">
        <v>7296</v>
      </c>
      <c r="B29" t="s">
        <v>4019</v>
      </c>
      <c r="C29" t="s">
        <v>4416</v>
      </c>
      <c r="D29" t="s">
        <v>7297</v>
      </c>
      <c r="E29" t="s">
        <v>7298</v>
      </c>
      <c r="F29" t="s">
        <v>7271</v>
      </c>
    </row>
    <row r="30" spans="1:6" ht="15" customHeight="1" x14ac:dyDescent="0.25">
      <c r="A30" t="s">
        <v>7299</v>
      </c>
      <c r="B30" t="s">
        <v>4019</v>
      </c>
      <c r="C30" t="s">
        <v>4420</v>
      </c>
      <c r="D30" t="s">
        <v>7300</v>
      </c>
      <c r="E30" t="s">
        <v>7298</v>
      </c>
      <c r="F30" t="s">
        <v>7271</v>
      </c>
    </row>
    <row r="31" spans="1:6" ht="15" customHeight="1" x14ac:dyDescent="0.25">
      <c r="A31" t="s">
        <v>7301</v>
      </c>
      <c r="B31" t="s">
        <v>4019</v>
      </c>
      <c r="C31" t="s">
        <v>5079</v>
      </c>
      <c r="D31" t="s">
        <v>7302</v>
      </c>
      <c r="E31" t="s">
        <v>7298</v>
      </c>
      <c r="F31" t="s">
        <v>7271</v>
      </c>
    </row>
    <row r="32" spans="1:6" ht="15" customHeight="1" x14ac:dyDescent="0.25">
      <c r="A32" t="s">
        <v>7303</v>
      </c>
      <c r="B32" t="s">
        <v>4041</v>
      </c>
      <c r="C32" t="s">
        <v>4416</v>
      </c>
      <c r="D32" t="s">
        <v>7304</v>
      </c>
      <c r="E32" t="s">
        <v>7305</v>
      </c>
      <c r="F32" t="s">
        <v>7271</v>
      </c>
    </row>
    <row r="33" spans="1:6" ht="15" customHeight="1" x14ac:dyDescent="0.25">
      <c r="A33" t="s">
        <v>7306</v>
      </c>
      <c r="B33" t="s">
        <v>4041</v>
      </c>
      <c r="C33" t="s">
        <v>4420</v>
      </c>
      <c r="D33" t="s">
        <v>7304</v>
      </c>
      <c r="E33" t="s">
        <v>7305</v>
      </c>
      <c r="F33" t="s">
        <v>7271</v>
      </c>
    </row>
    <row r="34" spans="1:6" ht="15" customHeight="1" x14ac:dyDescent="0.25">
      <c r="A34" t="s">
        <v>7307</v>
      </c>
      <c r="B34" t="s">
        <v>4041</v>
      </c>
      <c r="C34" t="s">
        <v>5079</v>
      </c>
      <c r="D34" t="s">
        <v>7304</v>
      </c>
      <c r="E34" t="s">
        <v>7305</v>
      </c>
      <c r="F34" t="s">
        <v>7271</v>
      </c>
    </row>
    <row r="35" spans="1:6" ht="15" customHeight="1" x14ac:dyDescent="0.25">
      <c r="A35" t="s">
        <v>7308</v>
      </c>
      <c r="B35" t="s">
        <v>5076</v>
      </c>
      <c r="C35" t="s">
        <v>4416</v>
      </c>
      <c r="D35" t="s">
        <v>7250</v>
      </c>
      <c r="E35" t="s">
        <v>7309</v>
      </c>
      <c r="F35" t="s">
        <v>7238</v>
      </c>
    </row>
    <row r="36" spans="1:6" ht="15" customHeight="1" x14ac:dyDescent="0.25">
      <c r="A36" t="s">
        <v>7310</v>
      </c>
      <c r="B36" t="s">
        <v>5076</v>
      </c>
      <c r="C36" t="s">
        <v>4420</v>
      </c>
      <c r="D36" t="s">
        <v>7236</v>
      </c>
      <c r="E36" t="s">
        <v>7309</v>
      </c>
      <c r="F36" t="s">
        <v>7238</v>
      </c>
    </row>
    <row r="37" spans="1:6" ht="15" customHeight="1" x14ac:dyDescent="0.25">
      <c r="A37" t="s">
        <v>7311</v>
      </c>
      <c r="B37" t="s">
        <v>5076</v>
      </c>
      <c r="C37" t="s">
        <v>5079</v>
      </c>
      <c r="D37" t="s">
        <v>7254</v>
      </c>
      <c r="E37" t="s">
        <v>7309</v>
      </c>
      <c r="F37" t="s">
        <v>7238</v>
      </c>
    </row>
    <row r="38" spans="1:6" ht="15" customHeight="1" x14ac:dyDescent="0.25">
      <c r="A38" t="s">
        <v>7312</v>
      </c>
      <c r="B38" t="s">
        <v>4041</v>
      </c>
      <c r="C38" t="s">
        <v>4416</v>
      </c>
      <c r="D38" t="s">
        <v>7250</v>
      </c>
      <c r="E38" t="s">
        <v>7313</v>
      </c>
      <c r="F38" t="s">
        <v>7238</v>
      </c>
    </row>
    <row r="39" spans="1:6" ht="15" customHeight="1" x14ac:dyDescent="0.25">
      <c r="A39" t="s">
        <v>7314</v>
      </c>
      <c r="B39" t="s">
        <v>4041</v>
      </c>
      <c r="C39" t="s">
        <v>4420</v>
      </c>
      <c r="D39" t="s">
        <v>7236</v>
      </c>
      <c r="E39" t="s">
        <v>7313</v>
      </c>
      <c r="F39" t="s">
        <v>7238</v>
      </c>
    </row>
    <row r="40" spans="1:6" ht="15" customHeight="1" x14ac:dyDescent="0.25">
      <c r="A40" t="s">
        <v>7315</v>
      </c>
      <c r="B40" t="s">
        <v>4041</v>
      </c>
      <c r="C40" t="s">
        <v>5079</v>
      </c>
      <c r="D40" t="s">
        <v>7254</v>
      </c>
      <c r="E40" t="s">
        <v>7313</v>
      </c>
      <c r="F40" t="s">
        <v>7238</v>
      </c>
    </row>
    <row r="41" spans="1:6" ht="15" customHeight="1" x14ac:dyDescent="0.25">
      <c r="A41" t="s">
        <v>7316</v>
      </c>
      <c r="B41" t="s">
        <v>5076</v>
      </c>
      <c r="C41" t="s">
        <v>4416</v>
      </c>
      <c r="D41" t="s">
        <v>7254</v>
      </c>
      <c r="E41" t="s">
        <v>7317</v>
      </c>
      <c r="F41" t="s">
        <v>7238</v>
      </c>
    </row>
    <row r="42" spans="1:6" ht="15" customHeight="1" x14ac:dyDescent="0.25">
      <c r="A42" t="s">
        <v>7318</v>
      </c>
      <c r="B42" t="s">
        <v>5076</v>
      </c>
      <c r="C42" t="s">
        <v>4420</v>
      </c>
      <c r="D42" t="s">
        <v>7254</v>
      </c>
      <c r="E42" t="s">
        <v>7319</v>
      </c>
      <c r="F42" t="s">
        <v>7238</v>
      </c>
    </row>
    <row r="43" spans="1:6" ht="15" customHeight="1" x14ac:dyDescent="0.25">
      <c r="A43" t="s">
        <v>7320</v>
      </c>
      <c r="B43" t="s">
        <v>5076</v>
      </c>
      <c r="C43" t="s">
        <v>5079</v>
      </c>
      <c r="D43" t="s">
        <v>7254</v>
      </c>
      <c r="E43" t="s">
        <v>7321</v>
      </c>
      <c r="F43" t="s">
        <v>7238</v>
      </c>
    </row>
    <row r="44" spans="1:6" ht="15" customHeight="1" x14ac:dyDescent="0.25">
      <c r="A44" t="s">
        <v>7322</v>
      </c>
      <c r="B44" t="s">
        <v>6921</v>
      </c>
      <c r="C44" t="s">
        <v>4416</v>
      </c>
      <c r="D44" t="s">
        <v>7250</v>
      </c>
      <c r="E44" t="s">
        <v>7323</v>
      </c>
      <c r="F44" t="s">
        <v>7238</v>
      </c>
    </row>
    <row r="45" spans="1:6" ht="15" customHeight="1" x14ac:dyDescent="0.25">
      <c r="A45" t="s">
        <v>7324</v>
      </c>
      <c r="B45" t="s">
        <v>6921</v>
      </c>
      <c r="C45" t="s">
        <v>4420</v>
      </c>
      <c r="D45" t="s">
        <v>7236</v>
      </c>
      <c r="E45" t="s">
        <v>7323</v>
      </c>
      <c r="F45" t="s">
        <v>7238</v>
      </c>
    </row>
    <row r="46" spans="1:6" ht="15" customHeight="1" x14ac:dyDescent="0.25">
      <c r="A46" t="s">
        <v>7325</v>
      </c>
      <c r="B46" t="s">
        <v>6921</v>
      </c>
      <c r="C46" t="s">
        <v>5079</v>
      </c>
      <c r="D46" t="s">
        <v>7254</v>
      </c>
      <c r="E46" t="s">
        <v>7323</v>
      </c>
      <c r="F46" t="s">
        <v>7238</v>
      </c>
    </row>
    <row r="47" spans="1:6" ht="15" customHeight="1" x14ac:dyDescent="0.25">
      <c r="A47" t="s">
        <v>7326</v>
      </c>
      <c r="B47" t="s">
        <v>4019</v>
      </c>
      <c r="C47" t="s">
        <v>4416</v>
      </c>
      <c r="D47" t="s">
        <v>7297</v>
      </c>
      <c r="E47" t="s">
        <v>7327</v>
      </c>
      <c r="F47" t="s">
        <v>7271</v>
      </c>
    </row>
    <row r="48" spans="1:6" ht="15" customHeight="1" x14ac:dyDescent="0.25">
      <c r="A48" t="s">
        <v>7328</v>
      </c>
      <c r="B48" t="s">
        <v>4019</v>
      </c>
      <c r="C48" t="s">
        <v>4420</v>
      </c>
      <c r="D48" t="s">
        <v>7300</v>
      </c>
      <c r="E48" t="s">
        <v>7329</v>
      </c>
      <c r="F48" t="s">
        <v>7271</v>
      </c>
    </row>
    <row r="49" spans="1:6" ht="15" customHeight="1" x14ac:dyDescent="0.25">
      <c r="A49" t="s">
        <v>7330</v>
      </c>
      <c r="B49" t="s">
        <v>4019</v>
      </c>
      <c r="C49" t="s">
        <v>5079</v>
      </c>
      <c r="D49" t="s">
        <v>7302</v>
      </c>
      <c r="E49" t="s">
        <v>7331</v>
      </c>
      <c r="F49" t="s">
        <v>7271</v>
      </c>
    </row>
    <row r="50" spans="1:6" ht="15" customHeight="1" x14ac:dyDescent="0.25">
      <c r="A50" t="s">
        <v>7332</v>
      </c>
      <c r="B50" t="s">
        <v>4041</v>
      </c>
      <c r="C50" t="s">
        <v>4416</v>
      </c>
      <c r="D50" t="s">
        <v>7250</v>
      </c>
      <c r="E50" t="s">
        <v>7333</v>
      </c>
      <c r="F50" t="s">
        <v>7238</v>
      </c>
    </row>
    <row r="51" spans="1:6" ht="15" customHeight="1" x14ac:dyDescent="0.25">
      <c r="A51" t="s">
        <v>7334</v>
      </c>
      <c r="B51" t="s">
        <v>4041</v>
      </c>
      <c r="C51" t="s">
        <v>4420</v>
      </c>
      <c r="D51" t="s">
        <v>7236</v>
      </c>
      <c r="E51" t="s">
        <v>7333</v>
      </c>
      <c r="F51" t="s">
        <v>7238</v>
      </c>
    </row>
    <row r="52" spans="1:6" ht="15" customHeight="1" x14ac:dyDescent="0.25">
      <c r="A52" t="s">
        <v>7335</v>
      </c>
      <c r="B52" t="s">
        <v>4041</v>
      </c>
      <c r="C52" t="s">
        <v>5079</v>
      </c>
      <c r="D52" t="s">
        <v>7254</v>
      </c>
      <c r="E52" t="s">
        <v>7333</v>
      </c>
      <c r="F52" t="s">
        <v>7238</v>
      </c>
    </row>
    <row r="53" spans="1:6" ht="15" customHeight="1" x14ac:dyDescent="0.25">
      <c r="A53" t="s">
        <v>7336</v>
      </c>
      <c r="B53" t="s">
        <v>4019</v>
      </c>
      <c r="C53" t="s">
        <v>4416</v>
      </c>
      <c r="D53" t="s">
        <v>7337</v>
      </c>
      <c r="E53" t="s">
        <v>7338</v>
      </c>
      <c r="F53" t="s">
        <v>7271</v>
      </c>
    </row>
    <row r="54" spans="1:6" ht="15" customHeight="1" x14ac:dyDescent="0.25">
      <c r="A54" t="s">
        <v>7339</v>
      </c>
      <c r="B54" t="s">
        <v>4019</v>
      </c>
      <c r="C54" t="s">
        <v>4420</v>
      </c>
      <c r="D54" t="s">
        <v>7340</v>
      </c>
      <c r="E54" t="s">
        <v>7338</v>
      </c>
      <c r="F54" t="s">
        <v>7271</v>
      </c>
    </row>
    <row r="55" spans="1:6" ht="15" customHeight="1" x14ac:dyDescent="0.25">
      <c r="A55" t="s">
        <v>7341</v>
      </c>
      <c r="B55" t="s">
        <v>4019</v>
      </c>
      <c r="C55" t="s">
        <v>5079</v>
      </c>
      <c r="D55" t="s">
        <v>7342</v>
      </c>
      <c r="E55" t="s">
        <v>7338</v>
      </c>
      <c r="F55" t="s">
        <v>7271</v>
      </c>
    </row>
    <row r="56" spans="1:6" ht="15" customHeight="1" x14ac:dyDescent="0.25">
      <c r="A56" t="s">
        <v>7343</v>
      </c>
      <c r="B56" t="s">
        <v>5076</v>
      </c>
      <c r="C56" t="s">
        <v>4416</v>
      </c>
      <c r="D56" t="s">
        <v>7344</v>
      </c>
      <c r="E56" t="s">
        <v>7345</v>
      </c>
      <c r="F56" t="s">
        <v>7271</v>
      </c>
    </row>
    <row r="57" spans="1:6" ht="15" customHeight="1" x14ac:dyDescent="0.25">
      <c r="A57" t="s">
        <v>7346</v>
      </c>
      <c r="B57" t="s">
        <v>5076</v>
      </c>
      <c r="C57" t="s">
        <v>4420</v>
      </c>
      <c r="D57" t="s">
        <v>7347</v>
      </c>
      <c r="E57" t="s">
        <v>7345</v>
      </c>
      <c r="F57" t="s">
        <v>7271</v>
      </c>
    </row>
    <row r="58" spans="1:6" ht="15" customHeight="1" x14ac:dyDescent="0.25">
      <c r="A58" t="s">
        <v>7348</v>
      </c>
      <c r="B58" t="s">
        <v>5076</v>
      </c>
      <c r="C58" t="s">
        <v>5079</v>
      </c>
      <c r="D58" t="s">
        <v>7349</v>
      </c>
      <c r="E58" t="s">
        <v>7345</v>
      </c>
      <c r="F58" t="s">
        <v>7271</v>
      </c>
    </row>
    <row r="59" spans="1:6" ht="15" customHeight="1" x14ac:dyDescent="0.25">
      <c r="A59" t="s">
        <v>7350</v>
      </c>
      <c r="B59" t="s">
        <v>5076</v>
      </c>
      <c r="C59" t="s">
        <v>4416</v>
      </c>
      <c r="D59" t="s">
        <v>7250</v>
      </c>
      <c r="E59" t="s">
        <v>7351</v>
      </c>
      <c r="F59" t="s">
        <v>3858</v>
      </c>
    </row>
    <row r="60" spans="1:6" ht="15" customHeight="1" x14ac:dyDescent="0.25">
      <c r="A60" t="s">
        <v>7352</v>
      </c>
      <c r="B60" t="s">
        <v>5076</v>
      </c>
      <c r="C60" t="s">
        <v>4420</v>
      </c>
      <c r="D60" t="s">
        <v>7236</v>
      </c>
      <c r="E60" t="s">
        <v>7351</v>
      </c>
      <c r="F60" t="s">
        <v>3858</v>
      </c>
    </row>
    <row r="61" spans="1:6" ht="15" customHeight="1" x14ac:dyDescent="0.25">
      <c r="A61" t="s">
        <v>7353</v>
      </c>
      <c r="B61" t="s">
        <v>5076</v>
      </c>
      <c r="C61" t="s">
        <v>5079</v>
      </c>
      <c r="D61" t="s">
        <v>7254</v>
      </c>
      <c r="E61" t="s">
        <v>7351</v>
      </c>
      <c r="F61" t="s">
        <v>3858</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3760</v>
      </c>
      <c r="B1" t="s">
        <v>3756</v>
      </c>
    </row>
    <row r="2" spans="1:2" ht="15" customHeight="1" x14ac:dyDescent="0.25">
      <c r="A2" t="s">
        <v>7354</v>
      </c>
      <c r="B2" t="s">
        <v>4998</v>
      </c>
    </row>
    <row r="3" spans="1:2" ht="15" customHeight="1" x14ac:dyDescent="0.25">
      <c r="A3" t="s">
        <v>7355</v>
      </c>
      <c r="B3" t="s">
        <v>4998</v>
      </c>
    </row>
    <row r="4" spans="1:2" ht="15" customHeight="1" x14ac:dyDescent="0.25">
      <c r="A4" t="s">
        <v>7356</v>
      </c>
      <c r="B4" t="s">
        <v>4998</v>
      </c>
    </row>
    <row r="5" spans="1:2" ht="15" customHeight="1" x14ac:dyDescent="0.25">
      <c r="A5" t="s">
        <v>7357</v>
      </c>
      <c r="B5" t="s">
        <v>4998</v>
      </c>
    </row>
    <row r="6" spans="1:2" ht="15" customHeight="1" x14ac:dyDescent="0.25">
      <c r="A6" t="s">
        <v>3993</v>
      </c>
      <c r="B6" t="s">
        <v>4998</v>
      </c>
    </row>
    <row r="7" spans="1:2" ht="15" customHeight="1" x14ac:dyDescent="0.25">
      <c r="A7" t="s">
        <v>7358</v>
      </c>
      <c r="B7" t="s">
        <v>4998</v>
      </c>
    </row>
    <row r="8" spans="1:2" ht="15" customHeight="1" x14ac:dyDescent="0.25">
      <c r="A8" t="s">
        <v>7359</v>
      </c>
      <c r="B8" t="s">
        <v>4998</v>
      </c>
    </row>
    <row r="9" spans="1:2" ht="15" customHeight="1" x14ac:dyDescent="0.25">
      <c r="A9" t="s">
        <v>7360</v>
      </c>
      <c r="B9" t="s">
        <v>4998</v>
      </c>
    </row>
    <row r="10" spans="1:2" ht="15" customHeight="1" x14ac:dyDescent="0.25">
      <c r="A10" t="s">
        <v>7361</v>
      </c>
      <c r="B10" t="s">
        <v>4998</v>
      </c>
    </row>
    <row r="11" spans="1:2" ht="15" customHeight="1" x14ac:dyDescent="0.25">
      <c r="A11" t="s">
        <v>7362</v>
      </c>
      <c r="B11" t="s">
        <v>4998</v>
      </c>
    </row>
    <row r="12" spans="1:2" ht="15" customHeight="1" x14ac:dyDescent="0.25">
      <c r="A12" t="s">
        <v>7363</v>
      </c>
      <c r="B12" t="s">
        <v>4425</v>
      </c>
    </row>
    <row r="13" spans="1:2" ht="15" customHeight="1" x14ac:dyDescent="0.25">
      <c r="A13" t="s">
        <v>7364</v>
      </c>
      <c r="B13" t="s">
        <v>4425</v>
      </c>
    </row>
    <row r="14" spans="1:2" ht="15" customHeight="1" x14ac:dyDescent="0.25">
      <c r="A14" t="s">
        <v>7365</v>
      </c>
      <c r="B14" t="s">
        <v>4425</v>
      </c>
    </row>
    <row r="15" spans="1:2" ht="15" customHeight="1" x14ac:dyDescent="0.25">
      <c r="A15" t="s">
        <v>7366</v>
      </c>
      <c r="B15" t="s">
        <v>4425</v>
      </c>
    </row>
    <row r="16" spans="1:2" ht="15" customHeight="1" x14ac:dyDescent="0.25">
      <c r="A16" t="s">
        <v>7367</v>
      </c>
      <c r="B16" t="s">
        <v>4425</v>
      </c>
    </row>
    <row r="17" spans="1:2" ht="15" customHeight="1" x14ac:dyDescent="0.25">
      <c r="A17" t="s">
        <v>7368</v>
      </c>
      <c r="B17" t="s">
        <v>4425</v>
      </c>
    </row>
    <row r="18" spans="1:2" ht="15" customHeight="1" x14ac:dyDescent="0.25">
      <c r="A18" t="s">
        <v>7369</v>
      </c>
      <c r="B18" t="s">
        <v>7370</v>
      </c>
    </row>
    <row r="19" spans="1:2" ht="15" customHeight="1" x14ac:dyDescent="0.25">
      <c r="A19" t="s">
        <v>7371</v>
      </c>
      <c r="B19" t="s">
        <v>7370</v>
      </c>
    </row>
    <row r="20" spans="1:2" ht="15" customHeight="1" x14ac:dyDescent="0.25">
      <c r="A20" t="s">
        <v>7372</v>
      </c>
      <c r="B20" t="s">
        <v>7370</v>
      </c>
    </row>
    <row r="21" spans="1:2" ht="15" customHeight="1" x14ac:dyDescent="0.25">
      <c r="A21" t="s">
        <v>7373</v>
      </c>
      <c r="B21" t="s">
        <v>7370</v>
      </c>
    </row>
    <row r="22" spans="1:2" ht="15" customHeight="1" x14ac:dyDescent="0.25">
      <c r="A22" t="s">
        <v>7374</v>
      </c>
      <c r="B22" t="s">
        <v>7370</v>
      </c>
    </row>
    <row r="23" spans="1:2" ht="15" customHeight="1" x14ac:dyDescent="0.25">
      <c r="A23" t="s">
        <v>3990</v>
      </c>
      <c r="B23" t="s">
        <v>7370</v>
      </c>
    </row>
    <row r="24" spans="1:2" ht="15" customHeight="1" x14ac:dyDescent="0.25">
      <c r="A24" t="s">
        <v>7375</v>
      </c>
      <c r="B24" t="s">
        <v>7370</v>
      </c>
    </row>
    <row r="25" spans="1:2" ht="15" customHeight="1" x14ac:dyDescent="0.25">
      <c r="A25" t="s">
        <v>7376</v>
      </c>
      <c r="B25" t="s">
        <v>7370</v>
      </c>
    </row>
    <row r="26" spans="1:2" ht="15" customHeight="1" x14ac:dyDescent="0.25">
      <c r="A26" t="s">
        <v>7377</v>
      </c>
      <c r="B26" t="s">
        <v>7370</v>
      </c>
    </row>
    <row r="27" spans="1:2" ht="15" customHeight="1" x14ac:dyDescent="0.25">
      <c r="A27" t="s">
        <v>7378</v>
      </c>
      <c r="B27" t="s">
        <v>7370</v>
      </c>
    </row>
    <row r="28" spans="1:2" ht="15" customHeight="1" x14ac:dyDescent="0.25">
      <c r="A28" t="s">
        <v>7379</v>
      </c>
      <c r="B28" t="s">
        <v>7370</v>
      </c>
    </row>
    <row r="29" spans="1:2" ht="15" customHeight="1" x14ac:dyDescent="0.25">
      <c r="A29" t="s">
        <v>7380</v>
      </c>
      <c r="B29" t="s">
        <v>7370</v>
      </c>
    </row>
    <row r="30" spans="1:2" ht="15" customHeight="1" x14ac:dyDescent="0.25">
      <c r="A30" t="s">
        <v>7381</v>
      </c>
      <c r="B30" t="s">
        <v>7370</v>
      </c>
    </row>
    <row r="31" spans="1:2" ht="15" customHeight="1" x14ac:dyDescent="0.25">
      <c r="A31" t="s">
        <v>7382</v>
      </c>
      <c r="B31" t="s">
        <v>7370</v>
      </c>
    </row>
    <row r="32" spans="1:2" ht="15" customHeight="1" x14ac:dyDescent="0.25">
      <c r="A32" t="s">
        <v>7383</v>
      </c>
      <c r="B32" t="s">
        <v>7370</v>
      </c>
    </row>
    <row r="33" spans="1:2" ht="15" customHeight="1" x14ac:dyDescent="0.25">
      <c r="A33" t="s">
        <v>7384</v>
      </c>
      <c r="B33" t="s">
        <v>7370</v>
      </c>
    </row>
    <row r="34" spans="1:2" ht="15" customHeight="1" x14ac:dyDescent="0.25">
      <c r="A34" t="s">
        <v>7385</v>
      </c>
      <c r="B34" t="s">
        <v>7370</v>
      </c>
    </row>
    <row r="35" spans="1:2" ht="15" customHeight="1" x14ac:dyDescent="0.25">
      <c r="A35" t="s">
        <v>7386</v>
      </c>
      <c r="B35" t="s">
        <v>7370</v>
      </c>
    </row>
    <row r="36" spans="1:2" ht="15" customHeight="1" x14ac:dyDescent="0.25">
      <c r="A36" t="s">
        <v>7387</v>
      </c>
      <c r="B36" t="s">
        <v>7370</v>
      </c>
    </row>
    <row r="37" spans="1:2" ht="15" customHeight="1" x14ac:dyDescent="0.25">
      <c r="A37" t="s">
        <v>7388</v>
      </c>
      <c r="B37" t="s">
        <v>7370</v>
      </c>
    </row>
    <row r="38" spans="1:2" ht="15" customHeight="1" x14ac:dyDescent="0.25">
      <c r="A38" t="s">
        <v>7389</v>
      </c>
      <c r="B38" t="s">
        <v>7370</v>
      </c>
    </row>
    <row r="39" spans="1:2" ht="15" customHeight="1" x14ac:dyDescent="0.25">
      <c r="A39" t="s">
        <v>7390</v>
      </c>
      <c r="B39" t="s">
        <v>4425</v>
      </c>
    </row>
    <row r="40" spans="1:2" ht="15" customHeight="1" x14ac:dyDescent="0.25">
      <c r="A40" t="s">
        <v>7391</v>
      </c>
      <c r="B40" t="s">
        <v>7370</v>
      </c>
    </row>
    <row r="41" spans="1:2" ht="15" customHeight="1" x14ac:dyDescent="0.25">
      <c r="A41" t="s">
        <v>7392</v>
      </c>
      <c r="B41" t="s">
        <v>7370</v>
      </c>
    </row>
    <row r="42" spans="1:2" ht="15" customHeight="1" x14ac:dyDescent="0.25">
      <c r="A42" t="s">
        <v>7393</v>
      </c>
      <c r="B42" t="s">
        <v>7370</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4360</v>
      </c>
      <c r="E1" s="16" t="s">
        <v>7394</v>
      </c>
      <c r="F1" s="16" t="s">
        <v>7395</v>
      </c>
      <c r="G1" s="16" t="s">
        <v>7396</v>
      </c>
      <c r="H1" s="16" t="s">
        <v>7397</v>
      </c>
      <c r="I1" s="16" t="s">
        <v>7398</v>
      </c>
      <c r="J1" s="16" t="s">
        <v>7399</v>
      </c>
      <c r="K1" s="16" t="s">
        <v>7400</v>
      </c>
      <c r="L1" s="16" t="s">
        <v>7401</v>
      </c>
      <c r="M1" s="16" t="s">
        <v>7402</v>
      </c>
      <c r="N1" s="16" t="s">
        <v>7403</v>
      </c>
      <c r="O1" s="16" t="s">
        <v>7404</v>
      </c>
      <c r="P1" s="16" t="s">
        <v>172</v>
      </c>
      <c r="Q1" s="16" t="s">
        <v>7405</v>
      </c>
      <c r="R1" s="16" t="s">
        <v>4362</v>
      </c>
      <c r="T1" s="16" t="s">
        <v>7406</v>
      </c>
      <c r="U1" s="16" t="s">
        <v>7407</v>
      </c>
      <c r="V1" s="16" t="s">
        <v>7408</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179</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Yes</v>
      </c>
      <c r="Q107">
        <f t="shared" si="24"/>
        <v>2.0001069999999999</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Yes</v>
      </c>
      <c r="Q108">
        <f t="shared" si="24"/>
        <v>1.000108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Yes</v>
      </c>
      <c r="Q494">
        <f t="shared" si="102"/>
        <v>1.000494</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2026-08-30T22:57:21Z</dcterms:modified>
  <dc:language>en-US</dc:language>
</cp:coreProperties>
</file>