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3F19FA5-27A5-45AC-A644-B3196828775D}" xr6:coauthVersionLast="47" xr6:coauthVersionMax="47" xr10:uidLastSave="{00000000-0000-0000-0000-000000000000}"/>
  <bookViews>
    <workbookView xWindow="-120" yWindow="-120" windowWidth="38640" windowHeight="21120" tabRatio="842"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O583" i="47" s="1"/>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O114" i="47" s="1"/>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O208" i="47" s="1"/>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O507" i="47" s="1"/>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P842" i="47"/>
  <c r="D842" i="47"/>
  <c r="Q842" i="47" s="1"/>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O814" i="47" s="1"/>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46" i="47"/>
  <c r="Q447" i="47"/>
  <c r="Q265" i="47"/>
  <c r="Q34" i="47"/>
  <c r="Q152" i="47"/>
  <c r="Q160" i="47"/>
  <c r="Q374" i="47"/>
  <c r="Q320" i="47"/>
  <c r="Q295" i="47"/>
  <c r="Q275" i="47"/>
  <c r="Q268" i="47"/>
  <c r="Q26" i="47"/>
  <c r="O306" i="47"/>
  <c r="Q154" i="47"/>
  <c r="O274"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L33" i="47"/>
  <c r="P36" i="47"/>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Q173" i="47"/>
  <c r="F174" i="47"/>
  <c r="H174" i="47" s="1"/>
  <c r="E174" i="47"/>
  <c r="M174" i="47"/>
  <c r="G174" i="47"/>
  <c r="Q177" i="47"/>
  <c r="F178" i="47"/>
  <c r="H178" i="47" s="1"/>
  <c r="E178" i="47"/>
  <c r="M178" i="47"/>
  <c r="G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P864" i="47"/>
  <c r="L902" i="47"/>
  <c r="P912" i="47"/>
  <c r="F912" i="47"/>
  <c r="C912" i="47"/>
  <c r="J912" i="47" s="1"/>
  <c r="B912" i="47"/>
  <c r="D912" i="47"/>
  <c r="O912" i="47" s="1"/>
  <c r="B860" i="47"/>
  <c r="Q864" i="47"/>
  <c r="B866" i="47"/>
  <c r="Q866" i="47"/>
  <c r="M882" i="47"/>
  <c r="E814" i="47"/>
  <c r="M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36" i="47" l="1"/>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<sst xmlns="http://schemas.openxmlformats.org/spreadsheetml/2006/main" count="38235" uniqueCount="14226">
  <si>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</si>
  <si>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</si>
  <si>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</si>
  <si>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</si>
  <si>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</si>
  <si>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</si>
  <si>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</si>
  <si>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</si>
  <si>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</si>
  <si>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</si>
  <si>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</si>
  <si>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</si>
  <si>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</si>
  <si>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</si>
  <si>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</si>
  <si>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</si>
  <si>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</si>
  <si>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</si>
  <si>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</si>
  <si>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</si>
  <si>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</si>
  <si>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</si>
  <si>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</si>
  <si>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</si>
  <si>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</si>
  <si>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</si>
  <si>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</si>
  <si>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</si>
  <si>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</si>
  <si>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</si>
  <si>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</si>
  <si>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</si>
  <si>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</si>
  <si>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</si>
  <si>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</si>
  <si>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</si>
  <si>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</si>
  <si>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</si>
  <si>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</si>
  <si>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</si>
  <si>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</si>
  <si>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</si>
  <si>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</si>
  <si>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</si>
  <si>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</si>
  <si>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</si>
  <si>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</si>
  <si>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</si>
  <si>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</si>
  <si>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</si>
  <si>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</si>
  <si>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</si>
  <si>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</si>
  <si>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</si>
  <si>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</si>
  <si>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</si>
  <si>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</si>
  <si>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</si>
  <si>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</si>
  <si>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</si>
  <si>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</si>
  <si>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</si>
  <si>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</si>
  <si>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</si>
  <si>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</si>
  <si>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</si>
  <si>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</si>
  <si>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</si>
  <si>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</si>
  <si>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</si>
  <si>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</si>
  <si>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</si>
  <si>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</si>
  <si>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</si>
  <si>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</si>
  <si>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</si>
  <si>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</si>
  <si>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</si>
  <si>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</si>
  <si>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</si>
  <si>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</si>
  <si>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</si>
  <si>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</si>
  <si>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</si>
  <si>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</si>
  <si>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</si>
  <si>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</si>
  <si>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</si>
  <si>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</si>
  <si>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</si>
  <si>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</si>
  <si>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</si>
  <si>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</si>
  <si>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</si>
  <si>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</si>
  <si>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</si>
  <si>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</si>
  <si>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</si>
  <si>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</si>
  <si>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</si>
  <si>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</si>
  <si>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</si>
  <si>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</si>
  <si>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</si>
  <si>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</si>
  <si>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</si>
  <si>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</si>
  <si>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</si>
  <si>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</si>
  <si>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</si>
  <si>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</si>
  <si>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</si>
  <si>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</si>
  <si>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</si>
  <si>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</si>
  <si>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</si>
  <si>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</si>
  <si>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</si>
  <si>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</si>
  <si>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</si>
  <si>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</si>
  <si>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</si>
  <si>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</si>
  <si>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</si>
  <si>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</si>
  <si>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</si>
  <si>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</si>
  <si>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</si>
  <si>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</si>
  <si>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</si>
  <si>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</si>
  <si>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</si>
  <si>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</si>
  <si>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</si>
  <si>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</si>
  <si>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</si>
  <si>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</si>
  <si>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</si>
  <si>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</si>
  <si>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</si>
  <si>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</si>
  <si>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</si>
  <si>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</si>
  <si>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</si>
  <si>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</si>
  <si>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</si>
  <si>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</si>
  <si>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</si>
  <si>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</si>
  <si>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</si>
  <si>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</si>
  <si>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</si>
  <si>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</si>
  <si>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</si>
  <si>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</si>
  <si>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</si>
  <si>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</si>
  <si>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</si>
  <si>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</si>
  <si>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</si>
  <si>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</si>
  <si>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</si>
  <si>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</si>
  <si>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</si>
  <si>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</si>
  <si>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</si>
  <si>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</si>
  <si>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</si>
  <si>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</si>
  <si>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</si>
  <si>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</si>
  <si>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</si>
  <si>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</si>
  <si>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</si>
  <si>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</si>
  <si>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</si>
  <si>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</si>
  <si>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</si>
  <si>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</si>
  <si>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</si>
  <si>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</si>
  <si>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</si>
  <si>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</si>
  <si>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</si>
  <si>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</si>
  <si>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</si>
  <si>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</si>
  <si>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</si>
  <si>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</si>
  <si>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</si>
  <si>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</si>
  <si>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</si>
  <si>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</si>
  <si>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</si>
  <si>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</si>
  <si>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</si>
  <si>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</si>
  <si>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</si>
  <si>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</si>
  <si>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</si>
  <si>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</si>
  <si>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</si>
  <si>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</si>
  <si>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</si>
  <si>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</si>
  <si>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</si>
  <si>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</si>
  <si>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</si>
  <si>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</si>
  <si>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</si>
  <si>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</si>
  <si>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</si>
  <si>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</si>
  <si>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</si>
  <si>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</si>
  <si>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</si>
  <si>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</si>
  <si>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</si>
  <si>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</si>
  <si>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</si>
  <si>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</si>
  <si>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</si>
  <si>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</si>
  <si>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</si>
  <si>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</si>
  <si>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</si>
  <si>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</si>
  <si>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</si>
  <si>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</si>
  <si>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</si>
  <si>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</si>
  <si>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</si>
  <si>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</si>
  <si>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</si>
  <si>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</si>
  <si>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</si>
  <si>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</si>
  <si>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</si>
  <si>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</si>
  <si>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</si>
  <si>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</si>
  <si>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</si>
  <si>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</si>
  <si>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</si>
  <si>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</si>
  <si>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</si>
  <si>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</si>
  <si>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</si>
  <si>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</si>
  <si>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</si>
  <si>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</si>
  <si>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</si>
  <si>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</si>
  <si>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</si>
  <si>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</si>
  <si>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</si>
  <si>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</si>
  <si>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</si>
  <si>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</si>
  <si>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</si>
  <si>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</si>
  <si>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</si>
  <si>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</si>
  <si>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</si>
  <si>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</si>
  <si>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</si>
  <si>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</si>
  <si>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</si>
  <si>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</si>
  <si>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</si>
  <si>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</si>
  <si>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</si>
  <si>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</si>
  <si>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</si>
  <si>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</si>
  <si>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</si>
  <si>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</si>
  <si>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</si>
  <si>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</si>
  <si>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</si>
  <si>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</si>
  <si>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</si>
  <si>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</si>
  <si>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</si>
  <si>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</si>
  <si>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</si>
  <si>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</si>
  <si>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</si>
  <si>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</si>
  <si>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</si>
  <si>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</si>
  <si>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</si>
  <si>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</si>
  <si>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</si>
  <si>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</si>
  <si>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</si>
  <si>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</si>
  <si>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</si>
  <si>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</si>
  <si>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</si>
  <si>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</si>
  <si>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</si>
  <si>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</si>
  <si>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</si>
  <si>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</si>
  <si>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</si>
  <si>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</si>
  <si>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</si>
  <si>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</si>
  <si>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</si>
  <si>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</si>
  <si>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</si>
  <si>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</si>
  <si>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</si>
  <si>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</si>
  <si>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</si>
  <si>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</si>
  <si>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</si>
  <si>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</si>
  <si>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</si>
  <si>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</si>
  <si>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</si>
  <si>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</si>
  <si>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</si>
  <si>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</si>
  <si>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</si>
  <si>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</si>
  <si>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</si>
  <si>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</si>
  <si>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</si>
  <si>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</si>
  <si>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</si>
  <si>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</si>
  <si>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</si>
  <si>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</si>
  <si>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</si>
  <si>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</si>
  <si>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</si>
  <si>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</si>
  <si>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</si>
  <si>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</si>
  <si>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</si>
  <si>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</si>
  <si>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</si>
  <si>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</si>
  <si>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</si>
  <si>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</si>
  <si>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</si>
  <si>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</si>
  <si>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</si>
  <si>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</si>
  <si>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</si>
  <si>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</si>
  <si>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</si>
  <si>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</si>
  <si>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</si>
  <si>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</si>
  <si>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</si>
  <si>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</si>
  <si>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</si>
  <si>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</si>
  <si>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</si>
  <si>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</si>
  <si>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</si>
  <si>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</si>
  <si>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</si>
  <si>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</si>
  <si>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</si>
  <si>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</si>
  <si>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</si>
  <si>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</si>
  <si>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</si>
  <si>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</si>
  <si>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</si>
  <si>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</si>
  <si>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</si>
  <si>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</si>
  <si>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</si>
  <si>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</si>
  <si>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</si>
  <si>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</si>
  <si>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</si>
  <si>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</si>
  <si>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</si>
  <si>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</si>
  <si>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</si>
  <si>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</si>
  <si>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</si>
  <si>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</si>
  <si>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</si>
  <si>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</si>
  <si>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</si>
  <si>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</si>
  <si>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</si>
  <si>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</si>
  <si>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</si>
  <si>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</si>
  <si>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</si>
  <si>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</si>
  <si>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</si>
  <si>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</si>
  <si>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</si>
  <si>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</si>
  <si>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</si>
  <si>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</si>
  <si>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</si>
  <si>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</si>
  <si>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</si>
  <si>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</si>
  <si>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</si>
  <si>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</si>
  <si>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</si>
  <si>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</si>
  <si>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</si>
  <si>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</si>
  <si>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</si>
  <si>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</si>
  <si>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</si>
  <si>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</si>
  <si>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</si>
  <si>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</si>
  <si>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</si>
  <si>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</si>
  <si>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</si>
  <si>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</si>
  <si>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</si>
  <si>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</si>
  <si>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</si>
  <si>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</si>
  <si>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</si>
  <si>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</si>
  <si>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</si>
  <si>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</si>
  <si>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</si>
  <si>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</si>
  <si>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</si>
  <si>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</si>
  <si>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</si>
  <si>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</si>
  <si>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</si>
  <si>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</si>
  <si>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</si>
  <si>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</si>
  <si>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</si>
  <si>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</si>
  <si>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</si>
  <si>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</si>
  <si>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</si>
  <si>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</si>
  <si>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</si>
  <si>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</si>
  <si>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</si>
  <si>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</si>
  <si>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</si>
  <si>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</si>
  <si>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</si>
  <si>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</si>
  <si>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</si>
  <si>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</si>
  <si>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</si>
  <si>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</si>
  <si>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</si>
  <si>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</si>
  <si>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</si>
  <si>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</si>
  <si>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</si>
  <si>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</si>
  <si>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</si>
  <si>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</si>
  <si>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</si>
  <si>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</si>
  <si>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</si>
  <si>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</si>
  <si>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</si>
  <si>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</si>
  <si>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</si>
  <si>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</si>
  <si>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</si>
  <si>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</si>
  <si>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</si>
  <si>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</si>
  <si>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</si>
  <si>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</si>
  <si>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</si>
  <si>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</si>
  <si>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</si>
  <si>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</si>
  <si>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</si>
  <si>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</si>
  <si>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</si>
  <si>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</si>
  <si>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</si>
  <si>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</si>
  <si>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</si>
  <si>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</si>
  <si>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</si>
  <si>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</si>
  <si>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</si>
  <si>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</si>
  <si>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</si>
  <si>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</si>
  <si>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</si>
  <si>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</si>
  <si>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</si>
  <si>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</si>
  <si>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</si>
  <si>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</si>
  <si>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</si>
  <si>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</si>
  <si>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</si>
  <si>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</si>
  <si>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</si>
  <si>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</si>
  <si>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</si>
  <si>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</si>
  <si>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</si>
  <si>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</si>
  <si>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</si>
  <si>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</si>
  <si>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</si>
  <si>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</si>
  <si>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</si>
  <si>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</si>
  <si>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</si>
  <si>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</si>
  <si>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</si>
  <si>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</si>
  <si>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</si>
  <si>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</si>
  <si>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</si>
  <si>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</si>
  <si>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</si>
  <si>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</si>
  <si>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</si>
  <si>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</si>
  <si>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</si>
  <si>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</si>
  <si>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</si>
  <si>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</si>
  <si>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</si>
  <si>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</si>
  <si>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</si>
  <si>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</si>
  <si>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</si>
  <si>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</si>
  <si>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</si>
  <si>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</si>
  <si>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</si>
  <si>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</si>
  <si>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</si>
  <si>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</si>
  <si>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</si>
  <si>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</si>
  <si>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</si>
  <si>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</si>
  <si>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</si>
  <si>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</si>
  <si>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</si>
  <si>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</si>
  <si>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</si>
  <si>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</si>
  <si>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</si>
  <si>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</si>
  <si>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</si>
  <si>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</si>
  <si>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</si>
  <si>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</si>
  <si>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</si>
  <si>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</si>
  <si>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</si>
  <si>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</si>
  <si>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</si>
  <si>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</si>
  <si>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</si>
  <si>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</si>
  <si>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</si>
  <si>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</si>
  <si>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</si>
  <si>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</si>
  <si>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</si>
  <si>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</si>
  <si>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</si>
  <si>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</si>
  <si>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</si>
  <si>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</si>
  <si>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</si>
  <si>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</si>
  <si>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</si>
  <si>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</si>
  <si>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</si>
  <si>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</si>
  <si>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</si>
  <si>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</si>
  <si>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</si>
  <si>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</si>
  <si>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</si>
  <si>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</si>
  <si>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</si>
  <si>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</si>
  <si>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</si>
  <si>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</si>
  <si>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</si>
  <si>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</si>
  <si>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</si>
  <si>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</si>
  <si>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</si>
  <si>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</si>
  <si>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</si>
  <si>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</si>
  <si>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</si>
  <si>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</si>
  <si>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</si>
  <si>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</si>
  <si>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</si>
  <si>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</si>
  <si>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</si>
  <si>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</si>
  <si>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</si>
  <si>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</si>
  <si>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</si>
  <si>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</si>
  <si>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</si>
  <si>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</si>
  <si>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</si>
  <si>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</si>
  <si>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</si>
  <si>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</si>
  <si>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</si>
  <si>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</si>
  <si>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</si>
  <si>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</si>
  <si>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</si>
  <si>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</si>
  <si>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</si>
  <si>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</si>
  <si>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</si>
  <si>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</si>
  <si>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</si>
  <si>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</si>
  <si>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</si>
  <si>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</si>
  <si>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</si>
  <si>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</si>
  <si>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</si>
  <si>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</si>
  <si>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</si>
  <si>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</si>
  <si>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</si>
  <si>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</si>
  <si>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</si>
  <si>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</si>
  <si>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</si>
  <si>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</si>
  <si>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</si>
  <si>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</si>
  <si>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</si>
  <si>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</si>
  <si>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</si>
  <si>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</si>
  <si>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</si>
  <si>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</si>
  <si>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</si>
  <si>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</si>
  <si>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</si>
  <si>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</si>
  <si>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</si>
  <si>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</si>
  <si>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</si>
  <si>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</si>
  <si>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</si>
  <si>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</si>
  <si>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</si>
  <si>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</si>
  <si>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</si>
  <si>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</si>
  <si>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</si>
  <si>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</si>
  <si>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</si>
  <si>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</si>
  <si>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</si>
  <si>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</si>
  <si>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</si>
  <si>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</si>
  <si>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</si>
  <si>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</si>
  <si>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</si>
  <si>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</si>
  <si>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</si>
  <si>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</si>
  <si>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</si>
  <si>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</si>
  <si>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</si>
  <si>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</si>
  <si>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</si>
  <si>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</si>
  <si>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</si>
  <si>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</si>
  <si>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</si>
  <si>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</si>
  <si>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</si>
  <si>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</si>
  <si>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</si>
  <si>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</si>
  <si>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</si>
  <si>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</si>
  <si>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</si>
  <si>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</si>
  <si>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</si>
  <si>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</si>
  <si>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</si>
  <si>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</si>
  <si>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</si>
  <si>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</si>
  <si>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</si>
  <si>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</si>
  <si>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</si>
  <si>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</si>
  <si>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</si>
  <si>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</si>
  <si>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</si>
  <si>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</si>
  <si>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</si>
  <si>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</si>
  <si>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</si>
  <si>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</si>
  <si>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</si>
  <si>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</si>
  <si>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</si>
  <si>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</si>
  <si>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</si>
  <si>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</si>
  <si>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</si>
  <si>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</si>
  <si>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</si>
  <si>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</si>
  <si>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</si>
  <si>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</si>
  <si>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</si>
  <si>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</si>
  <si>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</si>
  <si>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</si>
  <si>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</si>
  <si>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</si>
  <si>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</si>
  <si>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</si>
  <si>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</si>
  <si>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</si>
  <si>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</si>
  <si>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</si>
  <si>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</si>
  <si>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</si>
  <si>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</si>
  <si>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</si>
  <si>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</si>
  <si>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</si>
  <si>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</si>
  <si>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</si>
  <si>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</si>
  <si>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</si>
  <si>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</si>
  <si>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</si>
  <si>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</si>
  <si>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</si>
  <si>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</si>
  <si>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</si>
  <si>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</si>
  <si>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</si>
  <si>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</si>
  <si>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</si>
  <si>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</si>
  <si>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</si>
  <si>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</si>
  <si>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</si>
  <si>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</si>
  <si>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</si>
  <si>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</si>
  <si>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</si>
  <si>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</si>
  <si>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</si>
  <si>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</si>
  <si>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</si>
  <si>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</si>
  <si>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</si>
  <si>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</si>
  <si>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</si>
  <si>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</si>
  <si>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</si>
  <si>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</si>
  <si>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</si>
  <si>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</si>
  <si>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</si>
  <si>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</si>
  <si>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</si>
  <si>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</si>
  <si>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</si>
  <si>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</si>
  <si>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</si>
  <si>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</si>
  <si>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</si>
  <si>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</si>
  <si>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</si>
  <si>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</si>
  <si>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</si>
  <si>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</si>
  <si>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</si>
  <si>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</si>
  <si>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</si>
  <si>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</si>
  <si>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</si>
  <si>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</si>
  <si>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</si>
  <si>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</si>
  <si>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</si>
  <si>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</si>
  <si>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</si>
  <si>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</si>
  <si>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</si>
  <si>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</si>
  <si>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</si>
  <si>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</si>
  <si>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</si>
  <si>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</si>
  <si>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</si>
  <si>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</si>
  <si>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</si>
  <si>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</si>
  <si>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</si>
  <si>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</si>
  <si>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</si>
  <si>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</si>
  <si>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</si>
  <si>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</si>
  <si>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</si>
  <si>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</si>
  <si>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</si>
  <si>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</si>
  <si>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</si>
  <si>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</si>
  <si>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</si>
  <si>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</si>
  <si>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</si>
  <si>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</si>
  <si>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</si>
  <si>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</si>
  <si>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</si>
  <si>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</si>
  <si>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</si>
  <si>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</si>
  <si>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</si>
  <si>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</si>
  <si>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</si>
  <si>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</si>
  <si>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</si>
  <si>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</si>
  <si>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</si>
  <si>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</si>
  <si>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</si>
  <si>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</si>
  <si>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</si>
  <si>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</si>
  <si>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</si>
  <si>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</si>
  <si>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</si>
  <si>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</si>
  <si>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</si>
  <si>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</si>
  <si>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</si>
  <si>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</si>
  <si>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</si>
  <si>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</si>
  <si>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</si>
  <si>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</si>
  <si>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</si>
  <si>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</si>
  <si>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</si>
  <si>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</si>
  <si>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</si>
  <si>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</si>
  <si>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</si>
  <si>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</si>
  <si>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</si>
  <si>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</si>
  <si>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</si>
  <si>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</si>
  <si>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</si>
  <si>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</si>
  <si>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</si>
  <si>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</si>
  <si>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</si>
  <si>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</si>
  <si>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</si>
  <si>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</si>
  <si>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</si>
  <si>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</si>
  <si>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</si>
  <si>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</si>
  <si>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</si>
  <si>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</si>
  <si>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</si>
  <si>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</si>
  <si>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</si>
  <si>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</si>
  <si>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</si>
  <si>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</si>
  <si>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</si>
  <si>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</si>
  <si>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</si>
  <si>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</si>
  <si>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</si>
  <si>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</si>
  <si>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</si>
  <si>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</si>
  <si>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</si>
  <si>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</si>
  <si>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</si>
  <si>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</si>
  <si>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</si>
  <si>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</si>
  <si>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</si>
  <si>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</si>
  <si>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</si>
  <si>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</si>
  <si>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</si>
  <si>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</si>
  <si>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</si>
  <si>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</si>
  <si>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</si>
  <si>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</si>
  <si>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</si>
  <si>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</si>
  <si>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</si>
  <si>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</si>
  <si>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</si>
  <si>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</si>
  <si>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</si>
  <si>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</si>
  <si>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</si>
  <si>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</si>
  <si>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</si>
  <si>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</si>
  <si>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</si>
  <si>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</si>
  <si>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</si>
  <si>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</si>
  <si>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</si>
  <si>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</si>
  <si>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</si>
  <si>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</si>
  <si>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</si>
  <si>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</si>
  <si>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</si>
  <si>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</si>
  <si>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</si>
  <si>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</si>
  <si>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</si>
  <si>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</si>
  <si>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</si>
  <si>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</si>
  <si>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</si>
  <si>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</si>
  <si>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</si>
  <si>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</si>
  <si>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</si>
  <si>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</si>
  <si>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</si>
  <si>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</si>
  <si>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</si>
  <si>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</si>
  <si>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</si>
  <si>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</si>
  <si>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</si>
  <si>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</si>
  <si>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</si>
  <si>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</si>
  <si>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</si>
  <si>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</si>
  <si>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</si>
  <si>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</si>
  <si>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</si>
  <si>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</si>
  <si>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</si>
  <si>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</si>
  <si>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</si>
  <si>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</si>
  <si>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</si>
  <si>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</si>
  <si>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</si>
  <si>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</si>
  <si>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</si>
  <si>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</si>
  <si>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</si>
  <si>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</si>
  <si>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</si>
  <si>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</si>
  <si>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</si>
  <si>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</si>
  <si>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</si>
  <si>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</si>
  <si>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</si>
  <si>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</si>
  <si>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</si>
  <si>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</si>
  <si>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</si>
  <si>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</si>
  <si>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</si>
  <si>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</si>
  <si>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</si>
  <si>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</si>
  <si>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</si>
  <si>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</si>
  <si>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</si>
  <si>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</si>
  <si>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</si>
  <si>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</si>
  <si>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</si>
  <si>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</si>
  <si>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</si>
  <si>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</si>
  <si>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</si>
  <si>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</si>
  <si>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</si>
  <si>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</si>
  <si>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</si>
  <si>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</si>
  <si>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</si>
  <si>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</si>
  <si>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</si>
  <si>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</si>
  <si>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</si>
  <si>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</si>
  <si>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</si>
  <si>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</si>
  <si>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</si>
  <si>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</si>
  <si>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</si>
  <si>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</si>
  <si>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</si>
  <si>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</si>
  <si>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</si>
  <si>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</si>
  <si>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</si>
  <si>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</si>
  <si>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</si>
  <si>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</si>
  <si>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</si>
  <si>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</si>
  <si>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</si>
  <si>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</si>
  <si>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</si>
  <si>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</si>
  <si>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</si>
  <si>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</si>
  <si>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</si>
  <si>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</si>
  <si>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</si>
  <si>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</si>
  <si>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</si>
  <si>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</si>
  <si>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</si>
  <si>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</si>
  <si>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</si>
  <si>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</si>
  <si>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</si>
  <si>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</si>
  <si>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</si>
  <si>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</si>
  <si>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</si>
  <si>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</si>
  <si>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</si>
  <si>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</si>
  <si>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</si>
  <si>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</si>
  <si>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</si>
  <si>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</si>
  <si>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</si>
  <si>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</si>
  <si>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</si>
  <si>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</si>
  <si>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</si>
  <si>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</si>
  <si>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</si>
  <si>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</si>
  <si>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</si>
  <si>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</si>
  <si>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</si>
  <si>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</si>
  <si>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</si>
  <si>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</si>
  <si>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</si>
  <si>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</si>
  <si>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</si>
  <si>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</si>
  <si>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</si>
  <si>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</si>
  <si>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</si>
  <si>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</si>
  <si>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</si>
  <si>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</si>
  <si>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</si>
  <si>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</si>
  <si>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</si>
  <si>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</si>
  <si>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</si>
  <si>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</si>
  <si>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</si>
  <si>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</si>
  <si>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</si>
  <si>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</si>
  <si>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</si>
  <si>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</si>
  <si>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</si>
  <si>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</si>
  <si>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</si>
  <si>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</si>
  <si>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</si>
  <si>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</si>
  <si>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</si>
  <si>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</si>
  <si>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</si>
  <si>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</si>
  <si>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</si>
  <si>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</si>
  <si>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</si>
  <si>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</si>
  <si>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</si>
  <si>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</si>
  <si>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</si>
  <si>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</si>
  <si>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</si>
  <si>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</si>
  <si>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</si>
  <si>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</si>
  <si>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</si>
  <si>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</si>
  <si>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</si>
  <si>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</si>
  <si>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</si>
  <si>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</si>
  <si>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</si>
  <si>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</si>
  <si>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</si>
  <si>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</si>
  <si>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</si>
  <si>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</si>
  <si>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</si>
  <si>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</si>
  <si>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</si>
  <si>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</si>
  <si>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</si>
  <si>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</si>
  <si>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</si>
  <si>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</si>
  <si>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</si>
  <si>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</si>
  <si>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</si>
  <si>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</si>
  <si>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</si>
  <si>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</si>
  <si>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</si>
  <si>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</si>
  <si>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</si>
  <si>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</si>
  <si>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</si>
  <si>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</si>
  <si>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</si>
  <si>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</si>
  <si>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</si>
  <si>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</si>
  <si>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</si>
  <si>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</si>
  <si>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</si>
  <si>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</si>
  <si>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</si>
  <si>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</si>
  <si>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</si>
  <si>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</si>
  <si>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</si>
  <si>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</si>
  <si>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</si>
  <si>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</si>
  <si>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</si>
  <si>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</si>
  <si>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</si>
  <si>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</si>
  <si>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</si>
  <si>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</si>
  <si>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</si>
  <si>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</si>
  <si>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</si>
  <si>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</si>
  <si>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</si>
  <si>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</si>
  <si>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</si>
  <si>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</si>
  <si>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</si>
  <si>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</si>
  <si>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</si>
  <si>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</si>
  <si>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</si>
  <si>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</si>
  <si>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</si>
  <si>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</si>
  <si>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</si>
  <si>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</si>
  <si>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</si>
  <si>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</si>
  <si>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</si>
  <si>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</si>
  <si>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</si>
  <si>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</si>
  <si>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</si>
  <si>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</si>
  <si>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</si>
  <si>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</si>
  <si>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</si>
  <si>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</si>
  <si>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</si>
  <si>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</si>
  <si>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</si>
  <si>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</si>
  <si>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</si>
  <si>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</si>
  <si>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</si>
  <si>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</si>
  <si>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</si>
  <si>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</si>
  <si>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</si>
  <si>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</si>
  <si>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</si>
  <si>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</si>
  <si>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</si>
  <si>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</si>
  <si>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</si>
  <si>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</si>
  <si>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</si>
  <si>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</si>
  <si>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</si>
  <si>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</si>
  <si>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</si>
  <si>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</si>
  <si>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</si>
  <si>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</si>
  <si>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</si>
  <si>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</si>
  <si>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</si>
  <si>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</si>
  <si>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</si>
  <si>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</si>
  <si>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</si>
  <si>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</si>
  <si>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</si>
  <si>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</si>
  <si>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</si>
  <si>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</si>
  <si>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</si>
  <si>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</si>
  <si>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</si>
  <si>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</si>
  <si>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</si>
  <si>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</si>
  <si>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</si>
  <si>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</si>
  <si>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</si>
  <si>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</si>
  <si>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</si>
  <si>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</si>
  <si>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</si>
  <si>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</si>
  <si>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</si>
  <si>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</si>
  <si>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</si>
  <si>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</si>
  <si>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</si>
  <si>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</si>
  <si>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</si>
  <si>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</si>
  <si>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</si>
  <si>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</si>
  <si>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</si>
  <si>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</si>
  <si>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</si>
  <si>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</si>
  <si>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</si>
  <si>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</si>
  <si>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</si>
  <si>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</si>
  <si>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</si>
  <si>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</si>
  <si>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</si>
  <si>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</si>
  <si>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</si>
  <si>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</si>
  <si>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</si>
  <si>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</si>
  <si>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</si>
  <si>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</si>
  <si>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</si>
  <si>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</si>
  <si>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</si>
  <si>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</si>
  <si>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</si>
  <si>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</si>
  <si>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</si>
  <si>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</si>
  <si>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</si>
  <si>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</si>
  <si>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</si>
  <si>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</si>
  <si>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</si>
  <si>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</si>
  <si>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</si>
  <si>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</si>
  <si>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</si>
  <si>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</si>
  <si>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</si>
  <si>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</si>
  <si>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</si>
  <si>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</si>
  <si>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</si>
  <si>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</si>
  <si>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</si>
  <si>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</si>
  <si>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</si>
  <si>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</si>
  <si>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</si>
  <si>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</si>
  <si>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</si>
  <si>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</si>
  <si>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</si>
  <si>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</si>
  <si>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</si>
  <si>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</si>
  <si>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</si>
  <si>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</si>
  <si>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</si>
  <si>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</si>
  <si>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</si>
  <si>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</si>
  <si>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</si>
  <si>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</si>
  <si>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</si>
  <si>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</si>
  <si>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</si>
  <si>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</si>
  <si>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</si>
  <si>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</si>
  <si>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</si>
  <si>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</si>
  <si>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</si>
  <si>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</si>
  <si>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</si>
  <si>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</si>
  <si>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</si>
  <si>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</si>
  <si>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</si>
  <si>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</si>
  <si>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</si>
  <si>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</si>
  <si>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</si>
  <si>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</si>
  <si>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</si>
  <si>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</si>
  <si>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</si>
  <si>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</si>
  <si>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</si>
  <si>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</si>
  <si>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</si>
  <si>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</si>
  <si>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</si>
  <si>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</si>
  <si>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</si>
  <si>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</si>
  <si>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</si>
  <si>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</si>
  <si>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</si>
  <si>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</si>
  <si>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</si>
  <si>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</si>
  <si>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</si>
  <si>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</si>
  <si>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</si>
  <si>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</si>
  <si>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</si>
  <si>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</si>
  <si>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</si>
  <si>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</si>
  <si>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</si>
  <si>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</si>
  <si>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</si>
  <si>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</si>
  <si>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</si>
  <si>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</si>
  <si>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</si>
  <si>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</si>
  <si>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</si>
  <si>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</si>
  <si>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</si>
  <si>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</si>
  <si>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</si>
  <si>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</si>
  <si>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</si>
  <si>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</si>
  <si>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</si>
  <si>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</si>
  <si>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</si>
  <si>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</si>
  <si>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</si>
  <si>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</si>
  <si>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</si>
  <si>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</si>
  <si>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</si>
  <si>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</si>
  <si>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</si>
  <si>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</si>
  <si>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</si>
  <si>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</si>
  <si>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</si>
  <si>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</si>
  <si>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</si>
  <si>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</si>
  <si>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</si>
  <si>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</si>
  <si>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</si>
  <si>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</si>
  <si>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</si>
  <si>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</si>
  <si>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</si>
  <si>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</si>
  <si>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</si>
  <si>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</si>
  <si>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</si>
  <si>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</si>
  <si>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</si>
  <si>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</si>
  <si>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</si>
  <si>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</si>
  <si>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</si>
  <si>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</si>
  <si>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</si>
  <si>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</si>
  <si>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</si>
  <si>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</si>
  <si>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</si>
  <si>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</si>
  <si>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</si>
  <si>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</si>
  <si>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</si>
  <si>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</si>
  <si>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</si>
  <si>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</si>
  <si>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</si>
  <si>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</si>
  <si>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</si>
  <si>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</si>
  <si>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</si>
  <si>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</si>
  <si>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</si>
  <si>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</si>
  <si>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</si>
  <si>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</si>
  <si>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</si>
  <si>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</si>
  <si>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</si>
  <si>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</si>
  <si>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</si>
  <si>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</si>
  <si>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</si>
  <si>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</si>
  <si>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</si>
  <si>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</si>
  <si>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</si>
  <si>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</si>
  <si>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</si>
  <si>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</si>
  <si>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</si>
  <si>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</si>
  <si>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</si>
  <si>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</si>
  <si>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</si>
  <si>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</si>
  <si>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</si>
  <si>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</si>
  <si>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</si>
  <si>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</si>
  <si>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</si>
  <si>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</si>
  <si>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</si>
  <si>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</si>
  <si>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</si>
  <si>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</si>
  <si>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</si>
  <si>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</si>
  <si>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</si>
  <si>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</si>
  <si>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</si>
  <si>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</si>
  <si>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</si>
  <si>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</si>
  <si>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</si>
  <si>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</si>
  <si>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</si>
  <si>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</si>
  <si>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</si>
  <si>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</si>
  <si>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</si>
  <si>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</si>
  <si>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</si>
  <si>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</si>
  <si>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</si>
  <si>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</si>
  <si>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</si>
  <si>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</si>
  <si>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</si>
  <si>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</si>
  <si>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</si>
  <si>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</si>
  <si>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</si>
  <si>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</si>
  <si>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</si>
  <si>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</si>
  <si>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</si>
  <si>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</si>
  <si>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</si>
  <si>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</si>
  <si>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</si>
  <si>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</si>
  <si>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</si>
  <si>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</si>
  <si>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</si>
  <si>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</si>
  <si>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</si>
  <si>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</si>
  <si>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</si>
  <si>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</si>
  <si>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</si>
  <si>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</si>
  <si>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</si>
  <si>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</si>
  <si>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</si>
  <si>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</si>
  <si>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</si>
  <si>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</si>
  <si>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</si>
  <si>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</si>
  <si>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</si>
  <si>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</si>
  <si>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</si>
  <si>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</si>
  <si>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</si>
  <si>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</si>
  <si>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</si>
  <si>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</si>
  <si>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</si>
  <si>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</si>
  <si>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</si>
  <si>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</si>
  <si>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</si>
  <si>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</si>
  <si>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</si>
  <si>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</si>
  <si>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</si>
  <si>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</si>
  <si>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</si>
  <si>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</si>
  <si>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</si>
  <si>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</si>
  <si>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</si>
  <si>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</si>
  <si>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</si>
  <si>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</si>
  <si>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</si>
  <si>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</si>
  <si>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</si>
  <si>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</si>
  <si>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</si>
  <si>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</si>
  <si>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</si>
  <si>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</si>
  <si>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</si>
  <si>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</si>
  <si>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</si>
  <si>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</si>
  <si>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</si>
  <si>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</si>
  <si>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</si>
  <si>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</si>
  <si>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</si>
  <si>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</si>
  <si>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</si>
  <si>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</si>
  <si>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</si>
  <si>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</si>
  <si>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</si>
  <si>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</si>
  <si>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</si>
  <si>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</si>
  <si>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</si>
  <si>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</si>
  <si>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</si>
  <si>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</si>
  <si>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</si>
  <si>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</si>
  <si>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</si>
  <si>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</si>
  <si>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</si>
  <si>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</si>
  <si>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</si>
  <si>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</si>
  <si>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</si>
  <si>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</si>
  <si>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</si>
  <si>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</si>
  <si>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</si>
  <si>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</si>
  <si>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</si>
  <si>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</si>
  <si>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</si>
  <si>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</si>
  <si>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</si>
  <si>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</si>
  <si>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</si>
  <si>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</si>
  <si>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</si>
  <si>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</si>
  <si>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</si>
  <si>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</si>
  <si>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</si>
  <si>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</si>
  <si>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</si>
  <si>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</si>
  <si>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</si>
  <si>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</si>
  <si>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</si>
  <si>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</si>
  <si>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</si>
  <si>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</si>
  <si>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</si>
  <si>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</si>
  <si>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</si>
  <si>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</si>
  <si>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</si>
  <si>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</si>
  <si>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</si>
  <si>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</si>
  <si>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</si>
  <si>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</si>
  <si>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</si>
  <si>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</si>
  <si>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</si>
  <si>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</si>
  <si>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</si>
  <si>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</si>
  <si>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</si>
  <si>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</si>
  <si>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</si>
  <si>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</si>
  <si>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</si>
  <si>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</si>
  <si>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</si>
  <si>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</si>
  <si>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</si>
  <si>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</si>
  <si>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</si>
  <si>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</si>
  <si>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</si>
  <si>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</si>
  <si>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</si>
  <si>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</si>
  <si>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</si>
  <si>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</si>
  <si>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</si>
  <si>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</si>
  <si>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</si>
  <si>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</si>
  <si>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</si>
  <si>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</si>
  <si>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</si>
  <si>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</si>
  <si>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</si>
  <si>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</si>
  <si>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</si>
  <si>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</si>
  <si>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</si>
  <si>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</si>
  <si>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</si>
  <si>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</si>
  <si>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</si>
  <si>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</si>
  <si>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</si>
  <si>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</si>
  <si>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</si>
  <si>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</si>
  <si>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</si>
  <si>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</si>
  <si>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</si>
  <si>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</si>
  <si>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</si>
  <si>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</si>
  <si>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</si>
  <si>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</si>
  <si>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</si>
  <si>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</si>
  <si>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</si>
  <si>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</si>
  <si>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</si>
  <si>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</si>
  <si>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</si>
  <si>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</si>
  <si>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</si>
  <si>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</si>
  <si>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</si>
  <si>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</si>
  <si>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</si>
  <si>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</si>
  <si>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</si>
  <si>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</si>
  <si>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</si>
  <si>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</si>
  <si>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</si>
  <si>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</si>
  <si>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</si>
  <si>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</si>
  <si>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</si>
  <si>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</si>
  <si>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</si>
  <si>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</si>
  <si>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</si>
  <si>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</si>
  <si>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</si>
  <si>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</si>
  <si>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</si>
  <si>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</si>
  <si>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</si>
  <si>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</si>
  <si>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</si>
  <si>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</si>
  <si>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</si>
  <si>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</si>
  <si>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</si>
  <si>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</si>
  <si>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</si>
  <si>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</si>
  <si>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</si>
  <si>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</si>
  <si>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</si>
  <si>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</si>
  <si>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</si>
  <si>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</si>
  <si>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</si>
  <si>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</si>
  <si>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</si>
  <si>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</si>
  <si>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</si>
  <si>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</si>
  <si>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</si>
  <si>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</si>
  <si>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</si>
  <si>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</si>
  <si>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</si>
  <si>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</si>
  <si>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</si>
  <si>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</si>
  <si>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</si>
  <si>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</si>
  <si>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</si>
  <si>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</si>
  <si>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</si>
  <si>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</si>
  <si>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</si>
  <si>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</si>
  <si>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</si>
  <si>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</si>
  <si>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</si>
  <si>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</si>
  <si>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</si>
  <si>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</si>
  <si>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</si>
  <si>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</si>
  <si>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</si>
  <si>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</si>
  <si>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</si>
  <si>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</si>
  <si>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</si>
  <si>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</si>
  <si>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</si>
  <si>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</si>
  <si>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</si>
  <si>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</si>
  <si>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</si>
  <si>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</si>
  <si>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</si>
  <si>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</si>
  <si>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</si>
  <si>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</si>
  <si>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</si>
  <si>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</si>
  <si>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</si>
  <si>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</si>
  <si>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</si>
  <si>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</si>
  <si>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</si>
  <si>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</si>
  <si>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</si>
  <si>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</si>
  <si>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</si>
  <si>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</si>
  <si>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</si>
  <si>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</si>
  <si>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</si>
  <si>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</si>
  <si>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</si>
  <si>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</si>
  <si>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</si>
  <si>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</si>
  <si>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</si>
  <si>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</si>
  <si>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</si>
  <si>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</si>
  <si>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</si>
  <si>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</si>
  <si>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</si>
  <si>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</si>
  <si>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</si>
  <si>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</si>
  <si>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</si>
  <si>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</si>
  <si>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</si>
  <si>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</si>
  <si>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</si>
  <si>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</si>
  <si>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</si>
  <si>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</si>
  <si>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</si>
  <si>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</si>
  <si>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</si>
  <si>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</si>
  <si>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</si>
  <si>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</si>
  <si>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</si>
  <si>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</si>
  <si>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</si>
  <si>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</si>
  <si>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</si>
  <si>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</si>
  <si>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</si>
  <si>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</si>
  <si>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</si>
  <si>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</si>
  <si>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</si>
  <si>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</si>
  <si>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</si>
  <si>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</si>
  <si>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</si>
  <si>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</si>
  <si>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</si>
  <si>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</si>
  <si>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</si>
  <si>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</si>
  <si>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</si>
  <si>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</si>
  <si>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</si>
  <si>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</si>
  <si>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</si>
  <si>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</si>
  <si>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</si>
  <si>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</si>
  <si>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</si>
  <si>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</si>
  <si>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</si>
  <si>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</si>
  <si>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</si>
  <si>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</si>
  <si>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</si>
  <si>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</si>
  <si>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</si>
  <si>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</si>
  <si>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</si>
  <si>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</si>
  <si>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</si>
  <si>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</si>
  <si>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</si>
  <si>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</si>
  <si>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</si>
  <si>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</si>
  <si>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</si>
  <si>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</si>
  <si>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</si>
  <si>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</si>
  <si>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</si>
  <si>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</si>
  <si>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</si>
  <si>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</si>
  <si>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</si>
  <si>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</si>
  <si>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</si>
  <si>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</si>
  <si>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</si>
  <si>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</si>
  <si>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</si>
  <si>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</si>
  <si>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</si>
  <si>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</si>
  <si>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</si>
  <si>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</si>
  <si>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</si>
  <si>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</si>
  <si>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</si>
  <si>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</si>
  <si>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</si>
  <si>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</si>
  <si>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</si>
  <si>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</si>
  <si>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</si>
  <si>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</si>
  <si>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</si>
  <si>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</si>
  <si>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</si>
  <si>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</si>
  <si>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</si>
  <si>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</si>
  <si>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</si>
  <si>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</si>
  <si>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</si>
  <si>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</si>
  <si>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</si>
  <si>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</si>
  <si>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</si>
  <si>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</si>
  <si>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</si>
  <si>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</si>
  <si>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</si>
  <si>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</si>
  <si>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</si>
  <si>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</si>
  <si>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</si>
  <si>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</si>
  <si>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</si>
  <si>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</si>
  <si>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</si>
  <si>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</si>
  <si>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</si>
  <si>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</si>
  <si>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</si>
  <si>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</si>
  <si>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</si>
  <si>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</si>
  <si>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</si>
  <si>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</si>
  <si>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</si>
  <si>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</si>
  <si>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</si>
  <si>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</si>
  <si>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</si>
  <si>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</si>
  <si>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</si>
  <si>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</si>
  <si>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</si>
  <si>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</si>
  <si>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</si>
  <si>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</si>
  <si>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</si>
  <si>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</si>
  <si>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</si>
  <si>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</si>
  <si>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</si>
  <si>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</si>
  <si>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</si>
  <si>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</si>
  <si>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</si>
  <si>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</si>
  <si>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</si>
  <si>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</si>
  <si>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</si>
  <si>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</si>
  <si>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</si>
  <si>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</si>
  <si>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</si>
  <si>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</si>
  <si>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</si>
  <si>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</si>
  <si>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</si>
  <si>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</si>
  <si>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</si>
  <si>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</si>
  <si>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</si>
  <si>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</si>
  <si>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</si>
  <si>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</si>
  <si>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</si>
  <si>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</si>
  <si>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</si>
  <si>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</si>
  <si>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</si>
  <si>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</si>
  <si>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</si>
  <si>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</si>
  <si>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</si>
  <si>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</si>
  <si>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</si>
  <si>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</si>
  <si>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</si>
  <si>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</si>
  <si>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</si>
  <si>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</si>
  <si>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</si>
  <si>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</si>
  <si>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</si>
  <si>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</si>
  <si>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</si>
  <si>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</si>
  <si>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</si>
  <si>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</si>
  <si>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</si>
  <si>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</si>
  <si>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</si>
  <si>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</si>
  <si>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</si>
  <si>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</si>
  <si>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</si>
  <si>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</si>
  <si>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</si>
  <si>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</si>
  <si>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</si>
  <si>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</si>
  <si>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</si>
  <si>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</si>
  <si>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</si>
  <si>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</si>
  <si>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</si>
  <si>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</si>
  <si>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</si>
  <si>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</si>
  <si>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</si>
  <si>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</si>
  <si>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</si>
  <si>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</si>
  <si>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</si>
  <si>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</si>
  <si>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</si>
  <si>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</si>
  <si>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</si>
  <si>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</si>
  <si>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</si>
  <si>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</si>
  <si>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</si>
  <si>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</si>
  <si>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</si>
  <si>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</si>
  <si>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</si>
  <si>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</si>
  <si>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</si>
  <si>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</si>
  <si>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</si>
  <si>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</si>
  <si>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</si>
  <si>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</si>
  <si>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</si>
  <si>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</si>
  <si>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</si>
  <si>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</si>
  <si>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</si>
  <si>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</si>
  <si>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</si>
  <si>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</si>
  <si>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</si>
  <si>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</si>
  <si>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</si>
  <si>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</si>
  <si>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</si>
  <si>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</si>
  <si>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</si>
  <si>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</si>
  <si>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</si>
  <si>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</si>
  <si>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</si>
  <si>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</si>
  <si>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</si>
  <si>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</si>
  <si>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</si>
  <si>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</si>
  <si>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</si>
  <si>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</si>
  <si>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</si>
  <si>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</si>
  <si>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</si>
  <si>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</si>
  <si>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</si>
  <si>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</si>
  <si>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</si>
  <si>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</si>
  <si>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</si>
  <si>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</si>
  <si>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</si>
  <si>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</si>
  <si>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</si>
  <si>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</si>
  <si>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</si>
  <si>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</si>
  <si>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</si>
  <si>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</si>
  <si>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</si>
  <si>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</si>
  <si>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</si>
  <si>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</si>
  <si>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</si>
  <si>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</si>
  <si>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</si>
  <si>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</si>
  <si>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</si>
  <si>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</si>
  <si>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</si>
  <si>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</si>
  <si>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</si>
  <si>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</si>
  <si>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</si>
  <si>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</si>
  <si>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</si>
  <si>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</si>
  <si>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</si>
  <si>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</si>
  <si>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</si>
  <si>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</si>
  <si>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</si>
  <si>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</si>
  <si>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</si>
  <si>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</si>
  <si>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</si>
  <si>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</si>
  <si>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</si>
  <si>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</si>
  <si>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</si>
  <si>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</si>
  <si>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</si>
  <si>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</si>
  <si>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</si>
  <si>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</si>
  <si>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</si>
  <si>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</si>
  <si>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</si>
  <si>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</si>
  <si>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</si>
  <si>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</si>
  <si>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</si>
  <si>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</si>
  <si>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</si>
  <si>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</si>
  <si>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</si>
  <si>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</si>
  <si>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</si>
  <si>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</si>
  <si>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</si>
  <si>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</si>
  <si>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</si>
  <si>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</si>
  <si>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</si>
  <si>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</si>
  <si>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</si>
  <si>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</si>
  <si>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</si>
  <si>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</si>
  <si>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</si>
  <si>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</si>
  <si>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</si>
  <si>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</si>
  <si>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</si>
  <si>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</si>
  <si>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</si>
  <si>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</si>
  <si>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</si>
  <si>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</si>
  <si>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</si>
  <si>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</si>
  <si>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</si>
  <si>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</si>
  <si>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</si>
  <si>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</si>
  <si>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</si>
  <si>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</si>
  <si>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</si>
  <si>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</si>
  <si>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</si>
  <si>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</si>
  <si>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</si>
  <si>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</si>
  <si>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</si>
  <si>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</si>
  <si>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</si>
  <si>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</si>
  <si>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</si>
  <si>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</si>
  <si>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</si>
  <si>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</si>
  <si>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</si>
  <si>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</si>
  <si>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</si>
  <si>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</si>
  <si>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</si>
  <si>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</si>
  <si>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</si>
  <si>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</si>
  <si>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</si>
  <si>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</si>
  <si>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</si>
  <si>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</si>
  <si>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</si>
  <si>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</si>
  <si>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</si>
  <si>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</si>
  <si>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</si>
  <si>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</si>
  <si>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</si>
  <si>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</si>
  <si>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</si>
  <si>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</si>
  <si>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</si>
  <si>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</si>
  <si>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</si>
  <si>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</si>
  <si>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</si>
  <si>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</si>
  <si>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</si>
  <si>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</si>
  <si>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</si>
  <si>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</si>
  <si>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</si>
  <si>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</si>
  <si>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</si>
  <si>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</si>
  <si>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</si>
  <si>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</si>
  <si>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</si>
  <si>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</si>
  <si>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</si>
  <si>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</si>
  <si>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</si>
  <si>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</si>
  <si>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</si>
  <si>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</si>
  <si>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</si>
  <si>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</si>
  <si>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</si>
  <si>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</si>
  <si>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</si>
  <si>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</si>
  <si>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</si>
  <si>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</si>
  <si>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</si>
  <si>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</si>
  <si>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</si>
  <si>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</si>
  <si>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</si>
  <si>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</si>
  <si>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</si>
  <si>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</si>
  <si>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</si>
  <si>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</si>
  <si>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</si>
  <si>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</si>
  <si>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</si>
  <si>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</si>
  <si>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</si>
  <si>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</si>
  <si>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</si>
  <si>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</si>
  <si>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</si>
  <si>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</si>
  <si>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</si>
  <si>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</si>
  <si>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</si>
  <si>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</si>
  <si>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</si>
  <si>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</si>
  <si>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</si>
  <si>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</si>
  <si>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</si>
  <si>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</si>
  <si>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</si>
  <si>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</si>
  <si>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</si>
  <si>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</si>
  <si>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</si>
  <si>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</si>
  <si>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</si>
  <si>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</si>
  <si>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</si>
  <si>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</si>
  <si>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</si>
  <si>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</si>
  <si>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</si>
  <si>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</si>
  <si>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</si>
  <si>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</si>
  <si>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</si>
  <si>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</si>
  <si>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</si>
  <si>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</si>
  <si>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</si>
  <si>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</si>
  <si>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</si>
  <si>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</si>
  <si>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</si>
  <si>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</si>
  <si>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</si>
  <si>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</si>
  <si>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</si>
  <si>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</si>
  <si>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</si>
  <si>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</si>
  <si>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</si>
  <si>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</si>
  <si>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</si>
  <si>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</si>
  <si>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</si>
  <si>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</si>
  <si>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</si>
  <si>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</si>
  <si>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</si>
  <si>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</si>
  <si>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</si>
  <si>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</si>
  <si>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</si>
  <si>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</si>
  <si>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</si>
  <si>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</si>
  <si>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</si>
  <si>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</si>
  <si>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</si>
  <si>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</si>
  <si>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</si>
  <si>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</si>
  <si>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</si>
  <si>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</si>
  <si>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</si>
  <si>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</si>
  <si>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</si>
  <si>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</si>
  <si>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</si>
  <si>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</si>
  <si>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</si>
  <si>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</si>
  <si>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</si>
  <si>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</si>
  <si>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</si>
  <si>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</si>
  <si>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</si>
  <si>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</si>
  <si>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</si>
  <si>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</si>
  <si>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</si>
  <si>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</si>
  <si>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</si>
  <si>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</si>
  <si>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</si>
  <si>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</si>
  <si>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</si>
  <si>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</si>
  <si>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</si>
  <si>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</si>
  <si>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</si>
  <si>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</si>
  <si>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</si>
  <si>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</si>
  <si>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</si>
  <si>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</si>
  <si>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</si>
  <si>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</si>
  <si>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</si>
  <si>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</si>
  <si>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</si>
  <si>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</si>
  <si>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</si>
  <si>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</si>
  <si>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</si>
  <si>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</si>
  <si>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</si>
  <si>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</si>
  <si>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</si>
  <si>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</si>
  <si>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</si>
  <si>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</si>
  <si>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</si>
  <si>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</si>
  <si>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</si>
  <si>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</si>
  <si>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</si>
  <si>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</si>
  <si>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</si>
  <si>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</si>
  <si>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</si>
  <si>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</si>
  <si>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</si>
  <si>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</si>
  <si>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</si>
  <si>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</si>
  <si>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</si>
  <si>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</si>
  <si>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</si>
  <si>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</si>
  <si>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</si>
  <si>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</si>
  <si>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</si>
  <si>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</si>
  <si>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</si>
  <si>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</si>
  <si>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</si>
  <si>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</si>
  <si>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</si>
  <si>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</si>
  <si>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</si>
  <si>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</si>
  <si>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</si>
  <si>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</si>
  <si>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</si>
  <si>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</si>
  <si>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</si>
  <si>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</si>
  <si>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</si>
  <si>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</si>
  <si>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</si>
  <si>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</si>
  <si>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</si>
  <si>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</si>
  <si>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</si>
  <si>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</si>
  <si>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</si>
  <si>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</si>
  <si>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</si>
  <si>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</si>
  <si>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</si>
  <si>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</si>
  <si>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</si>
  <si>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</si>
  <si>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</si>
  <si>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</si>
  <si>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</si>
  <si>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</si>
  <si>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</si>
  <si>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</si>
  <si>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</si>
  <si>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</si>
  <si>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</si>
  <si>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</si>
  <si>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</si>
  <si>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</si>
  <si>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</si>
  <si>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</si>
  <si>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</si>
  <si>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</si>
  <si>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</si>
  <si>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</si>
  <si>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</si>
  <si>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</si>
  <si>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</si>
  <si>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</si>
  <si>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</si>
  <si>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</si>
  <si>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</si>
  <si>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</si>
  <si>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</si>
  <si>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</si>
  <si>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</si>
  <si>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</si>
  <si>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</si>
  <si>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</si>
  <si>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</si>
  <si>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</si>
  <si>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</si>
  <si>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</si>
  <si>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</si>
  <si>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</si>
  <si>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</si>
  <si>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</si>
  <si>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</si>
  <si>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</si>
  <si>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</si>
  <si>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</si>
  <si>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</si>
  <si>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</si>
  <si>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</si>
  <si>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</si>
  <si>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</si>
  <si>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</si>
  <si>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</si>
  <si>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</si>
  <si>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</si>
  <si>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</si>
  <si>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</si>
  <si>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</si>
  <si>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</si>
  <si>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</si>
  <si>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</si>
  <si>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</si>
  <si>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</si>
  <si>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</si>
  <si>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</si>
  <si>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</si>
  <si>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</si>
  <si>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</si>
  <si>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</si>
  <si>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</si>
  <si>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</si>
  <si>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</si>
  <si>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</si>
  <si>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</si>
  <si>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</si>
  <si>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</si>
  <si>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</si>
  <si>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</si>
  <si>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</si>
  <si>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</si>
  <si>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</si>
  <si>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</si>
  <si>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</si>
  <si>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</si>
  <si>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</si>
  <si>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</si>
  <si>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</si>
  <si>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</si>
  <si>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</si>
  <si>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</si>
  <si>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</si>
  <si>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</si>
  <si>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</si>
  <si>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</si>
  <si>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</si>
  <si>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</si>
  <si>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</si>
  <si>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</si>
  <si>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</si>
  <si>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</si>
  <si>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</si>
  <si>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</si>
  <si>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</si>
  <si>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</si>
  <si>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</si>
  <si>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</si>
  <si>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</si>
  <si>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</si>
  <si>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</si>
  <si>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</si>
  <si>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</si>
  <si>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</si>
  <si>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</si>
  <si>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</si>
  <si>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</si>
  <si>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</si>
  <si>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</si>
  <si>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</si>
  <si>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</si>
  <si>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</si>
  <si>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</si>
  <si>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</si>
  <si>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</si>
  <si>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</si>
  <si>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</si>
  <si>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</si>
  <si>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</si>
  <si>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</si>
  <si>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</si>
  <si>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</si>
  <si>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</si>
  <si>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</si>
  <si>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</si>
  <si>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</si>
  <si>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</si>
  <si>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</si>
  <si>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</si>
  <si>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</si>
  <si>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</si>
  <si>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</si>
  <si>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</si>
  <si>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</si>
  <si>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</si>
  <si>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</si>
  <si>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</si>
  <si>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</si>
  <si>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</si>
  <si>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</si>
  <si>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</si>
  <si>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</si>
  <si>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</si>
  <si>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</si>
  <si>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</si>
  <si>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</si>
  <si>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</si>
  <si>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</si>
  <si>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</si>
  <si>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</si>
  <si>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</si>
  <si>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</si>
  <si>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</si>
  <si>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</si>
  <si>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</si>
  <si>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</si>
  <si>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</si>
  <si>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</si>
  <si>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</si>
  <si>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</si>
  <si>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</si>
  <si>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</si>
  <si>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</si>
  <si>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</si>
  <si>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</si>
  <si>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</si>
  <si>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</si>
  <si>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</si>
  <si>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</si>
  <si>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</si>
  <si>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</si>
  <si>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</si>
  <si>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</si>
  <si>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</si>
  <si>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</si>
  <si>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</si>
  <si>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</si>
  <si>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</si>
  <si>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</si>
  <si>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</si>
  <si>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</si>
  <si>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</si>
  <si>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</si>
  <si>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</si>
  <si>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</si>
  <si>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</si>
  <si>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</si>
  <si>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</si>
  <si>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</si>
  <si>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</si>
  <si>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</si>
  <si>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</si>
  <si>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</si>
  <si>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</si>
  <si>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</si>
  <si>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</si>
  <si>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</si>
  <si>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</si>
  <si>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</si>
  <si>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</si>
  <si>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</si>
  <si>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</si>
  <si>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</si>
  <si>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</si>
  <si>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</si>
  <si>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</si>
  <si>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</si>
  <si>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</si>
  <si>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</si>
  <si>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</si>
  <si>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</si>
  <si>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</si>
  <si>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</si>
  <si>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</si>
  <si>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</si>
  <si>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</si>
  <si>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</si>
  <si>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</si>
  <si>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</si>
  <si>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</si>
  <si>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</si>
  <si>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</si>
  <si>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</si>
  <si>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</si>
  <si>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</si>
  <si>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</si>
  <si>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</si>
  <si>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</si>
  <si>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</si>
  <si>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</si>
  <si>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</si>
  <si>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</si>
  <si>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</si>
  <si>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</si>
  <si>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</si>
  <si>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</si>
  <si>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</si>
  <si>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</si>
  <si>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</si>
  <si>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</si>
  <si>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</si>
  <si>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</si>
  <si>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</si>
  <si>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</si>
  <si>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</si>
  <si>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</si>
  <si>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</si>
  <si>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</si>
  <si>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</si>
  <si>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</si>
  <si>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</si>
  <si>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</si>
  <si>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</si>
  <si>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</si>
  <si>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</si>
  <si>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</si>
  <si>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</si>
  <si>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</si>
  <si>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</si>
  <si>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</si>
  <si>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</si>
  <si>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</si>
  <si>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</si>
  <si>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</si>
  <si>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</si>
  <si>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</si>
  <si>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</si>
  <si>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</si>
  <si>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</si>
  <si>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</si>
  <si>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</si>
  <si>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</si>
  <si>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</si>
  <si>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</si>
  <si>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</si>
  <si>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</si>
  <si>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</si>
  <si>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</si>
  <si>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</si>
  <si>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</si>
  <si>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</si>
  <si>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</si>
  <si>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</si>
  <si>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</si>
  <si>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</si>
  <si>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</si>
  <si>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</si>
  <si>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</si>
  <si>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</si>
  <si>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</si>
  <si>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</si>
  <si>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</si>
  <si>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</si>
  <si>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</si>
  <si>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</si>
  <si>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</si>
  <si>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</si>
  <si>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</si>
  <si>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</si>
  <si>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</si>
  <si>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</si>
  <si>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</si>
  <si>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</si>
  <si>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</si>
  <si>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</si>
  <si>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</si>
  <si>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</si>
  <si>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</si>
  <si>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</si>
  <si>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</si>
  <si>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</si>
  <si>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</si>
  <si>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</si>
  <si>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</si>
  <si>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</si>
  <si>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</si>
  <si>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</si>
  <si>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</si>
  <si>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</si>
  <si>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</si>
  <si>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</si>
  <si>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</si>
  <si>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</si>
  <si>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</si>
  <si>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</si>
  <si>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</si>
  <si>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</si>
  <si>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</si>
  <si>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</si>
  <si>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</si>
  <si>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</si>
  <si>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</si>
  <si>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</si>
  <si>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</si>
  <si>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</si>
  <si>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</si>
  <si>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</si>
  <si>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</si>
  <si>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</si>
  <si>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</si>
  <si>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</si>
  <si>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</si>
  <si>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</si>
  <si>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</si>
  <si>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</si>
  <si>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</si>
  <si>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</si>
  <si>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</si>
  <si>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</si>
  <si>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</si>
  <si>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</si>
  <si>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</si>
  <si>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</si>
  <si>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</si>
  <si>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</si>
  <si>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</si>
  <si>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</si>
  <si>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</si>
  <si>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</si>
  <si>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</si>
  <si>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</si>
  <si>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</si>
  <si>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</si>
  <si>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</si>
  <si>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</si>
  <si>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</si>
  <si>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</si>
  <si>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</si>
  <si>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</si>
  <si>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</si>
  <si>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</si>
  <si>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</si>
  <si>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</si>
  <si>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</si>
  <si>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</si>
  <si>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</si>
  <si>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</si>
  <si>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</si>
  <si>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</si>
  <si>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</si>
  <si>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</si>
  <si>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</si>
  <si>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</si>
  <si>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</si>
  <si>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</si>
  <si>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</si>
  <si>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</si>
  <si>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</si>
  <si>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</si>
  <si>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</si>
  <si>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</si>
  <si>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</si>
  <si>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</si>
  <si>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</si>
  <si>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</si>
  <si>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</si>
  <si>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</si>
  <si>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</si>
  <si>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</si>
  <si>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</si>
  <si>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</si>
  <si>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</si>
  <si>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</si>
  <si>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</si>
  <si>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</si>
  <si>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</si>
  <si>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</si>
  <si>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</si>
  <si>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</si>
  <si>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</si>
  <si>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</si>
  <si>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</si>
  <si>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</si>
  <si>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</si>
  <si>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</si>
  <si>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</si>
  <si>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</si>
  <si>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</si>
  <si>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</si>
  <si>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</si>
  <si>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</si>
  <si>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</si>
  <si>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</si>
  <si>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</si>
  <si>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</si>
  <si>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</si>
  <si>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</si>
  <si>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</si>
  <si>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</si>
  <si>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</si>
  <si>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</si>
  <si>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</si>
  <si>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</si>
  <si>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</si>
  <si>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</si>
  <si>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</si>
  <si>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</si>
  <si>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</si>
  <si>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</si>
  <si>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</si>
  <si>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</si>
  <si>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</si>
  <si>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</si>
  <si>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</si>
  <si>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</si>
  <si>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</si>
  <si>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</si>
  <si>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</si>
  <si>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</si>
  <si>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</si>
  <si>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</si>
  <si>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</si>
  <si>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</si>
  <si>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</si>
  <si>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</si>
  <si>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</si>
  <si>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</si>
  <si>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</si>
  <si>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</si>
  <si>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</si>
  <si>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</si>
  <si>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</si>
  <si>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</si>
  <si>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</si>
  <si>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</si>
  <si>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</si>
  <si>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</si>
  <si>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</si>
  <si>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</si>
  <si>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</si>
  <si>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</si>
  <si>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</si>
  <si>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</si>
  <si>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</si>
  <si>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</si>
  <si>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</si>
  <si>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</si>
  <si>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</si>
  <si>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</si>
  <si>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</si>
  <si>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</si>
  <si>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</si>
  <si>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</si>
  <si>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</si>
  <si>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</si>
  <si>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</si>
  <si>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</si>
  <si>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</si>
  <si>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</si>
  <si>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</si>
  <si>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</si>
  <si>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</si>
  <si>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</si>
  <si>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</si>
  <si>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</si>
  <si>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</si>
  <si>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</si>
  <si>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</si>
  <si>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</si>
  <si>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</si>
  <si>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</si>
  <si>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</si>
  <si>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</si>
  <si>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</si>
  <si>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</si>
  <si>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</si>
  <si>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</si>
  <si>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</si>
  <si>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</si>
  <si>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</si>
  <si>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</si>
  <si>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</si>
  <si>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</si>
  <si>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</si>
  <si>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</si>
  <si>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</si>
  <si>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</si>
  <si>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</si>
  <si>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</si>
  <si>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</si>
  <si>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</si>
  <si>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</si>
  <si>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</si>
  <si>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</si>
  <si>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</si>
  <si>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</si>
  <si>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</si>
  <si>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</si>
  <si>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</si>
  <si>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</si>
  <si>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</si>
  <si>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</si>
  <si>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</si>
  <si>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</si>
  <si>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</si>
  <si>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</si>
  <si>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</si>
  <si>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</si>
  <si>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</si>
  <si>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</si>
  <si>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</si>
  <si>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</si>
  <si>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</si>
  <si>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</si>
  <si>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</si>
  <si>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</si>
  <si>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</si>
  <si>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</si>
  <si>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</si>
  <si>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</si>
  <si>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</si>
  <si>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</si>
  <si>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</si>
  <si>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</si>
  <si>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</si>
  <si>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</si>
  <si>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</si>
  <si>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</si>
  <si>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</si>
  <si>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</si>
  <si>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</si>
  <si>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</si>
  <si>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</si>
  <si>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</si>
  <si>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</si>
  <si>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</si>
  <si>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</si>
  <si>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</si>
  <si>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</si>
  <si>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</si>
  <si>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</si>
  <si>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</si>
  <si>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</si>
  <si>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</si>
  <si>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</si>
  <si>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</si>
  <si>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</si>
  <si>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</si>
  <si>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</si>
  <si>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</si>
  <si>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</si>
  <si>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</si>
  <si>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</si>
  <si>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</si>
  <si>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</si>
  <si>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</si>
  <si>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</si>
  <si>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</si>
  <si>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</si>
  <si>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</si>
  <si>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</si>
  <si>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</si>
  <si>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</si>
  <si>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</si>
  <si>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</si>
  <si>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</si>
  <si>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</si>
  <si>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</si>
  <si>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</si>
  <si>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</si>
  <si>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</si>
  <si>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</si>
  <si>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</si>
  <si>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</si>
  <si>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</si>
  <si>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</si>
  <si>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</si>
  <si>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</si>
  <si>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</si>
  <si>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</si>
  <si>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</si>
  <si>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</si>
  <si>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</si>
  <si>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</si>
  <si>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</si>
  <si>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</si>
  <si>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</si>
  <si>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</si>
  <si>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</si>
  <si>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</si>
  <si>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</si>
  <si>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</si>
  <si>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</si>
  <si>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</si>
  <si>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</si>
  <si>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</si>
  <si>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</si>
  <si>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</si>
  <si>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</si>
  <si>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</si>
  <si>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</si>
  <si>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</si>
  <si>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</si>
  <si>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</si>
  <si>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</si>
  <si>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</si>
  <si>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</si>
  <si>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</si>
  <si>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</si>
  <si>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</si>
  <si>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</si>
  <si>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</si>
  <si>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</si>
  <si>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</si>
  <si>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</si>
  <si>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</si>
  <si>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</si>
  <si>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</si>
  <si>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</si>
  <si>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</si>
  <si>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</si>
  <si>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</si>
  <si>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</si>
  <si>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</si>
  <si>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</si>
  <si>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</si>
  <si>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</si>
  <si>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</si>
  <si>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</si>
  <si>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</si>
  <si>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</si>
  <si>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</si>
  <si>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</si>
  <si>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</si>
  <si>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</si>
  <si>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</si>
  <si>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</si>
  <si>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</si>
  <si>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</si>
  <si>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</si>
  <si>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</si>
  <si>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</si>
  <si>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</si>
  <si>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</si>
  <si>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</si>
  <si>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</si>
  <si>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</si>
  <si>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</si>
  <si>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</si>
  <si>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</si>
  <si>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</si>
  <si>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</si>
  <si>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</si>
  <si>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</si>
  <si>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</si>
  <si>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</si>
  <si>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</si>
  <si>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</si>
  <si>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</si>
  <si>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</si>
  <si>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</si>
  <si>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</si>
  <si>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</si>
  <si>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</si>
  <si>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</si>
  <si>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</si>
  <si>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</si>
  <si>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</si>
  <si>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</si>
  <si>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</si>
  <si>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</si>
  <si>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</si>
  <si>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</si>
  <si>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</si>
  <si>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</si>
  <si>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</si>
  <si>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</si>
  <si>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</si>
  <si>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</si>
  <si>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</si>
  <si>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</si>
  <si>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</si>
  <si>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</si>
  <si>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</si>
  <si>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</si>
  <si>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</si>
  <si>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</si>
  <si>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</si>
  <si>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</si>
  <si>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</si>
  <si>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</si>
  <si>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</si>
  <si>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</si>
  <si>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</si>
  <si>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</si>
  <si>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</si>
  <si>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</si>
  <si>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</si>
  <si>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</si>
  <si>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</si>
  <si>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</si>
  <si>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</si>
  <si>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</si>
  <si>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</si>
  <si>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</si>
  <si>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</si>
  <si>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</si>
  <si>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</si>
  <si>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</si>
  <si>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</si>
  <si>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</si>
  <si>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</si>
  <si>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</si>
  <si>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</si>
  <si>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</si>
  <si>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</si>
  <si>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</si>
  <si>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</si>
  <si>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</si>
  <si>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</si>
  <si>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</si>
  <si>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</si>
  <si>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</si>
  <si>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</si>
  <si>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</si>
  <si>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</si>
  <si>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</si>
  <si>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</si>
  <si>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</si>
  <si>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</si>
  <si>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</si>
  <si>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</si>
  <si>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</si>
  <si>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</si>
  <si>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</si>
  <si>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</si>
  <si>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</si>
  <si>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</si>
  <si>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</si>
  <si>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</si>
  <si>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</si>
  <si>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</si>
  <si>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</si>
  <si>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</si>
  <si>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</si>
  <si>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</si>
  <si>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</si>
  <si>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</si>
  <si>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</si>
  <si>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</si>
  <si>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</si>
  <si>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</si>
  <si>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</si>
  <si>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</si>
  <si>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</si>
  <si>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</si>
  <si>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</si>
  <si>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</si>
  <si>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</si>
  <si>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</si>
  <si>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</si>
  <si>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</si>
  <si>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</si>
  <si>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</si>
  <si>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</si>
  <si>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</si>
  <si>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</si>
  <si>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</si>
  <si>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</si>
  <si>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</si>
  <si>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</si>
  <si>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</si>
  <si>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</si>
  <si>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</si>
  <si>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</si>
  <si>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</si>
  <si>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</si>
  <si>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</si>
  <si>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</si>
  <si>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</si>
  <si>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</si>
  <si>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</si>
  <si>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</si>
  <si>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</si>
  <si>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</si>
  <si>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</si>
  <si>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</si>
  <si>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</si>
  <si>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</si>
  <si>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</si>
  <si>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</si>
  <si>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</si>
  <si>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</si>
  <si>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</si>
  <si>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</si>
  <si>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</si>
  <si>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</si>
  <si>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</si>
  <si>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</si>
  <si>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</si>
  <si>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</si>
  <si>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</si>
  <si>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</si>
  <si>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</si>
  <si>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</si>
  <si>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</si>
  <si>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</si>
  <si>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</si>
  <si>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</si>
  <si>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</si>
  <si>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</si>
  <si>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</si>
  <si>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</si>
  <si>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</si>
  <si>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</si>
  <si>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</si>
  <si>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</si>
  <si>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</si>
  <si>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</si>
  <si>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</si>
  <si>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</si>
  <si>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</si>
  <si>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</si>
  <si>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</si>
  <si>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</si>
  <si>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</si>
  <si>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</si>
  <si>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</si>
  <si>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</si>
  <si>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</si>
  <si>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</si>
  <si>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</si>
  <si>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</si>
  <si>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</si>
  <si>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</si>
  <si>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</si>
  <si>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</si>
  <si>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</si>
  <si>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</si>
  <si>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</si>
  <si>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</si>
  <si>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</si>
  <si>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</si>
  <si>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</si>
  <si>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</si>
  <si>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</si>
  <si>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</si>
  <si>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</si>
  <si>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</si>
  <si>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</si>
  <si>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</si>
  <si>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</si>
  <si>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</si>
  <si>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</si>
  <si>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</si>
  <si>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</si>
  <si>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</si>
  <si>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</si>
  <si>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</si>
  <si>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</si>
  <si>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</si>
  <si>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</si>
  <si>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</si>
  <si>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</si>
  <si>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</si>
  <si>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</si>
  <si>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</si>
  <si>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</si>
  <si>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</si>
  <si>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</si>
  <si>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</si>
  <si>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</si>
  <si>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</si>
  <si>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</si>
  <si>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</si>
  <si>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</si>
  <si>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</si>
  <si>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</si>
  <si>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</si>
  <si>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</si>
  <si>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</si>
  <si>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</si>
  <si>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</si>
  <si>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</si>
  <si>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</si>
  <si>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</si>
  <si>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</si>
  <si>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</si>
  <si>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</si>
  <si>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</si>
  <si>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</si>
  <si>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</si>
  <si>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</si>
  <si>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</si>
  <si>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</si>
  <si>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</si>
  <si>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</si>
  <si>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</si>
  <si>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</si>
  <si>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</si>
  <si>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</si>
  <si>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</si>
  <si>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</si>
  <si>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</si>
  <si>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</si>
  <si>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</si>
  <si>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</si>
  <si>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</si>
  <si>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</si>
  <si>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</si>
  <si>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</si>
  <si>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</si>
  <si>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</si>
  <si>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</si>
  <si>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</si>
  <si>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</si>
  <si>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</si>
  <si>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</si>
  <si>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</si>
  <si>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</si>
  <si>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</si>
  <si>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</si>
  <si>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</si>
  <si>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</si>
  <si>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</si>
  <si>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</si>
  <si>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</si>
  <si>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</si>
  <si>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</si>
  <si>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</si>
  <si>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</si>
  <si>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</si>
  <si>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</si>
  <si>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</si>
  <si>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</si>
  <si>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</si>
  <si>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</si>
  <si>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</si>
  <si>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</si>
  <si>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</si>
  <si>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</si>
  <si>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</si>
  <si>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</si>
  <si>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</si>
  <si>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</si>
  <si>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</si>
  <si>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</si>
  <si>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</si>
  <si>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</si>
  <si>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</si>
  <si>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</si>
  <si>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</si>
  <si>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</si>
  <si>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</si>
  <si>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</si>
  <si>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</si>
  <si>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</si>
  <si>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</si>
  <si>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</si>
  <si>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</si>
  <si>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</si>
  <si>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</si>
  <si>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</si>
  <si>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</si>
  <si>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</si>
  <si>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</si>
  <si>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</si>
  <si>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</si>
  <si>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</si>
  <si>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</si>
  <si>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</si>
  <si>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</si>
  <si>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</si>
  <si>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</si>
  <si>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</si>
  <si>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</si>
  <si>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</si>
  <si>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</si>
  <si>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</si>
  <si>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</si>
  <si>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</si>
  <si>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</si>
  <si>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</si>
  <si>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</si>
  <si>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</si>
  <si>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</si>
  <si>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</si>
  <si>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</si>
  <si>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</si>
  <si>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</si>
  <si>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</si>
  <si>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</si>
  <si>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</si>
  <si>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</si>
  <si>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</si>
  <si>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</si>
  <si>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</si>
  <si>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</si>
  <si>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</si>
  <si>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</si>
  <si>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</si>
  <si>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</si>
  <si>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</si>
  <si>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</si>
  <si>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</si>
  <si>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</si>
  <si>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</si>
  <si>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</si>
  <si>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</si>
  <si>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</si>
  <si>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</si>
  <si>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</si>
  <si>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</si>
  <si>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</si>
  <si>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</si>
  <si>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</si>
  <si>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</si>
  <si>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</si>
  <si>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</si>
  <si>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</si>
  <si>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</si>
  <si>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</si>
  <si>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</si>
  <si>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</si>
  <si>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</si>
  <si>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</si>
  <si>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</si>
  <si>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</si>
  <si>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</si>
  <si>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</si>
  <si>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</si>
  <si>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</si>
  <si>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</si>
  <si>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</si>
  <si>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</si>
  <si>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</si>
  <si>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</si>
  <si>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</si>
  <si>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</si>
  <si>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</si>
  <si>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</si>
  <si>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</si>
  <si>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</si>
  <si>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</si>
  <si>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</si>
  <si>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</si>
  <si>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</si>
  <si>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</si>
  <si>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</si>
  <si>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</si>
  <si>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</si>
  <si>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</si>
  <si>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</si>
  <si>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</si>
  <si>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</si>
  <si>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</si>
  <si>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</si>
  <si>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</si>
  <si>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</si>
  <si>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</si>
  <si>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</si>
  <si>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</si>
  <si>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</si>
  <si>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</si>
  <si>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</si>
  <si>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</si>
  <si>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</si>
  <si>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</si>
  <si>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</si>
  <si>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</si>
  <si>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</si>
  <si>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</si>
  <si>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</si>
  <si>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</si>
  <si>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</si>
  <si>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</si>
  <si>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</si>
  <si>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</si>
  <si>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</si>
  <si>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</si>
  <si>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</si>
  <si>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</si>
  <si>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</si>
  <si>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</si>
  <si>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</si>
  <si>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</si>
  <si>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</si>
  <si>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</si>
  <si>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</si>
  <si>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</si>
  <si>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</si>
  <si>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</si>
  <si>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</si>
  <si>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</si>
  <si>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</si>
  <si>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</si>
  <si>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</si>
  <si>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</si>
  <si>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</si>
  <si>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</si>
  <si>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</si>
  <si>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</si>
  <si>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</si>
  <si>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</si>
  <si>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</si>
  <si>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</si>
  <si>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</si>
  <si>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</si>
  <si>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</si>
  <si>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</si>
  <si>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</si>
  <si>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</si>
  <si>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</si>
  <si>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</si>
  <si>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</si>
  <si>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</si>
  <si>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</si>
  <si>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</si>
  <si>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</si>
  <si>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</si>
  <si>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</si>
  <si>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</si>
  <si>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</si>
  <si>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</si>
  <si>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</si>
  <si>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</si>
  <si>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</si>
  <si>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</si>
  <si>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</si>
  <si>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</si>
  <si>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</si>
  <si>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</si>
  <si>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</si>
  <si>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</si>
  <si>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</si>
  <si>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</si>
  <si>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</si>
  <si>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</si>
  <si>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</si>
  <si>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</si>
  <si>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</si>
  <si>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</si>
  <si>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</si>
  <si>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</si>
  <si>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</si>
  <si>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</si>
  <si>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</si>
  <si>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</si>
  <si>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</si>
  <si>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</si>
  <si>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</si>
  <si>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</si>
  <si>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</si>
  <si>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</si>
  <si>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</si>
  <si>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</si>
  <si>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</si>
  <si>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</si>
  <si>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</si>
  <si>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</si>
  <si>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</si>
  <si>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</si>
  <si>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</si>
  <si>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</si>
  <si>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</si>
  <si>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</si>
  <si>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</si>
  <si>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</si>
  <si>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</si>
  <si>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</si>
  <si>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</si>
  <si>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</si>
  <si>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</si>
  <si>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</si>
  <si>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</si>
  <si>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</si>
  <si>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</si>
  <si>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</si>
  <si>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</si>
  <si>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</si>
  <si>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</si>
  <si>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</si>
  <si>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</si>
  <si>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</si>
  <si>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</si>
  <si>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</si>
  <si>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</si>
  <si>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</si>
  <si>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</si>
  <si>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</si>
  <si>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</si>
  <si>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</si>
  <si>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</si>
  <si>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</si>
  <si>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</si>
  <si>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</si>
  <si>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</si>
  <si>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</si>
  <si>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</si>
  <si>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</si>
  <si>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</si>
  <si>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</si>
  <si>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</si>
  <si>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</si>
  <si>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</si>
  <si>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</si>
  <si>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</si>
  <si>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</si>
  <si>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</si>
  <si>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</si>
  <si>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</si>
  <si>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</si>
  <si>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</si>
  <si>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</si>
  <si>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</si>
  <si>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</si>
  <si>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</si>
  <si>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</si>
  <si>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</si>
  <si>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</si>
  <si>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</si>
  <si>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</si>
  <si>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</si>
  <si>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</si>
  <si>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</si>
  <si>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</si>
  <si>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</si>
  <si>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</si>
  <si>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</si>
  <si>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</si>
  <si>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</si>
  <si>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</si>
  <si>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</si>
  <si>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</si>
  <si>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</si>
  <si>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</si>
  <si>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</si>
  <si>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</si>
  <si>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</si>
  <si>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</si>
  <si>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</si>
  <si>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</si>
  <si>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</si>
  <si>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</si>
  <si>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</si>
  <si>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</si>
  <si>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</si>
  <si>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</si>
  <si>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</si>
  <si>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</si>
  <si>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</si>
  <si>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</si>
  <si>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</si>
  <si>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</si>
  <si>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</si>
  <si>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</si>
  <si>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</si>
  <si>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</si>
  <si>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</si>
  <si>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</si>
  <si>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</si>
  <si>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</si>
  <si>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</si>
  <si>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</si>
  <si>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</si>
  <si>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</si>
  <si>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</si>
  <si>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</si>
  <si>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</si>
  <si>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</si>
  <si>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</si>
  <si>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</si>
  <si>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</si>
  <si>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</si>
  <si>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</si>
  <si>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</si>
  <si>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</si>
  <si>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</si>
  <si>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</si>
  <si>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</si>
  <si>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</si>
  <si>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</si>
  <si>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</si>
  <si>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</si>
  <si>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</si>
  <si>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</si>
  <si>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</si>
  <si>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</si>
  <si>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</si>
  <si>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</si>
  <si>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</si>
  <si>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</si>
  <si>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</si>
  <si>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</si>
  <si>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</si>
  <si>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</si>
  <si>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</si>
  <si>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</si>
  <si>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</si>
  <si>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</si>
  <si>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</si>
  <si>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</si>
  <si>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</si>
  <si>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</si>
  <si>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</si>
  <si>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</si>
  <si>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</si>
  <si>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</si>
  <si>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</si>
  <si>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</si>
  <si>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</si>
  <si>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</si>
  <si>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</si>
  <si>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</si>
  <si>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</si>
  <si>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</si>
  <si>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</si>
  <si>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</si>
  <si>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</si>
  <si>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</si>
  <si>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</si>
  <si>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</si>
  <si>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</si>
  <si>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</si>
  <si>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</si>
  <si>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</si>
  <si>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</si>
  <si>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</si>
  <si>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</si>
  <si>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</si>
  <si>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</si>
  <si>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</si>
  <si>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</si>
  <si>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</si>
  <si>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</si>
  <si>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</si>
  <si>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</si>
  <si>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</si>
  <si>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</si>
  <si>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</si>
  <si>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</si>
  <si>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</si>
  <si>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</si>
  <si>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</si>
  <si>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</si>
  <si>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</si>
  <si>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</si>
  <si>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</si>
  <si>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</si>
  <si>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</si>
  <si>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</si>
  <si>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</si>
  <si>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</si>
  <si>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</si>
  <si>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</si>
  <si>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</si>
  <si>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</si>
  <si>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</si>
  <si>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</si>
  <si>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</si>
  <si>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</si>
  <si>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</si>
  <si>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</si>
  <si>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</si>
  <si>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</si>
  <si>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</si>
  <si>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</si>
  <si>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</si>
  <si>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</si>
  <si>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</si>
  <si>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</si>
  <si>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</si>
  <si>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</si>
  <si>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</si>
  <si>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</si>
  <si>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</si>
  <si>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</si>
  <si>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</si>
  <si>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</si>
  <si>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</si>
  <si>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</si>
  <si>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</si>
  <si>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</si>
  <si>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</si>
  <si>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</si>
  <si>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</si>
  <si>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</si>
  <si>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</si>
  <si>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</si>
  <si>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</si>
  <si>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</si>
  <si>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</si>
  <si>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</si>
  <si>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</si>
  <si>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</si>
  <si>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</si>
  <si>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</si>
  <si>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</si>
  <si>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</si>
  <si>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</si>
  <si>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</si>
  <si>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</si>
  <si>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</si>
  <si>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</si>
  <si>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</si>
  <si>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</si>
  <si>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</si>
  <si>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</si>
  <si>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</si>
  <si>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</si>
  <si>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</si>
  <si>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</si>
  <si>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</si>
  <si>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</si>
  <si>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</si>
  <si>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</si>
  <si>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</si>
  <si>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</si>
  <si>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</si>
  <si>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</si>
  <si>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</si>
  <si>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</si>
  <si>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</si>
  <si>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</si>
  <si>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</si>
  <si>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</si>
  <si>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</si>
  <si>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</si>
  <si>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</si>
  <si>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</si>
  <si>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</si>
  <si>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</si>
  <si>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</si>
  <si>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</si>
  <si>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</si>
  <si>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</si>
  <si>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</si>
  <si>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</si>
  <si>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</si>
  <si>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</si>
  <si>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</si>
  <si>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</si>
  <si>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</si>
  <si>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</si>
  <si>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</si>
  <si>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</si>
  <si>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</si>
  <si>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</si>
  <si>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</si>
  <si>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</si>
  <si>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</si>
  <si>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</si>
  <si>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</si>
  <si>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</si>
  <si>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</si>
  <si>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</si>
  <si>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</si>
  <si>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</si>
  <si>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</si>
  <si>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</si>
  <si>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</si>
  <si>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</si>
  <si>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</si>
  <si>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</si>
  <si>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</si>
  <si>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</si>
  <si>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</si>
  <si>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</si>
  <si>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</si>
  <si>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</si>
  <si>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</si>
  <si>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</si>
  <si>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</si>
  <si>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</si>
  <si>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</si>
  <si>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</si>
  <si>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</si>
  <si>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</si>
  <si>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</si>
  <si>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</si>
  <si>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</si>
  <si>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</si>
  <si>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</si>
  <si>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</si>
  <si>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</si>
  <si>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</si>
  <si>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</si>
  <si>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</si>
  <si>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</si>
  <si>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</si>
  <si>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</si>
  <si>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</si>
  <si>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</si>
  <si>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</si>
  <si>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</si>
  <si>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</si>
  <si>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</si>
  <si>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</si>
  <si>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</si>
  <si>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</si>
  <si>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</si>
  <si>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</si>
  <si>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</si>
  <si>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</si>
  <si>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</si>
  <si>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</si>
  <si>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</si>
  <si>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</si>
  <si>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</si>
  <si>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</si>
  <si>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</si>
  <si>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</si>
  <si>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</si>
  <si>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</si>
  <si>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</si>
  <si>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</si>
  <si>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</si>
  <si>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</si>
  <si>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</si>
  <si>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</si>
  <si>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</si>
  <si>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</si>
  <si>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</si>
  <si>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</si>
  <si>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</si>
  <si>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</si>
  <si>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</si>
  <si>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</si>
  <si>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</si>
  <si>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</si>
  <si>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</si>
  <si>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</si>
  <si>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</si>
  <si>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</si>
  <si>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</si>
  <si>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</si>
  <si>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</si>
  <si>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</si>
  <si>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</si>
  <si>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</si>
  <si>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</si>
  <si>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</si>
  <si>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</si>
  <si>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</si>
  <si>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</si>
  <si>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</si>
  <si>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</si>
  <si>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</si>
  <si>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</si>
  <si>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</si>
  <si>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</si>
  <si>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</si>
  <si>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</si>
  <si>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</si>
  <si>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</si>
  <si>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</si>
  <si>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</si>
  <si>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</si>
  <si>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</si>
  <si>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</si>
  <si>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</si>
  <si>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</si>
  <si>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</si>
  <si>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</si>
  <si>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</si>
  <si>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</si>
  <si>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</si>
  <si>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</si>
  <si>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</si>
  <si>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</si>
  <si>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</si>
  <si>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</si>
  <si>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</si>
  <si>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</si>
  <si>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</si>
  <si>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</si>
  <si>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</si>
  <si>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</si>
  <si>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</si>
  <si>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</si>
  <si>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</si>
  <si>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</si>
  <si>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</si>
  <si>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</si>
  <si>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</si>
  <si>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</si>
  <si>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</si>
  <si>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</si>
  <si>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</si>
  <si>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</si>
  <si>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</si>
  <si>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</si>
  <si>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</si>
  <si>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</si>
  <si>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</si>
  <si>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</si>
  <si>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</si>
  <si>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</si>
  <si>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</si>
  <si>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</si>
  <si>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</si>
  <si>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</si>
  <si>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</si>
  <si>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</si>
  <si>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</si>
  <si>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</si>
  <si>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</si>
  <si>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</si>
  <si>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</si>
  <si>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</si>
  <si>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</si>
  <si>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</si>
  <si>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</si>
  <si>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</si>
  <si>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</si>
  <si>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</si>
  <si>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</si>
  <si>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</si>
  <si>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</si>
  <si>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</si>
  <si>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</si>
  <si>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</si>
  <si>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</si>
  <si>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</si>
  <si>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</si>
  <si>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</si>
  <si>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</si>
  <si>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</si>
  <si>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</si>
  <si>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</si>
  <si>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</si>
  <si>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</si>
  <si>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</si>
  <si>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</si>
  <si>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</si>
  <si>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</si>
  <si>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</si>
  <si>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</si>
  <si>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</si>
  <si>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</si>
  <si>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</si>
  <si>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</si>
  <si>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</si>
  <si>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</si>
  <si>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</si>
  <si>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</si>
  <si>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</si>
  <si>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</si>
  <si>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</si>
  <si>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</si>
  <si>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</si>
  <si>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</si>
  <si>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</si>
  <si>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</si>
  <si>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</si>
  <si>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</si>
  <si>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</si>
  <si>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</si>
  <si>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</si>
  <si>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</si>
  <si>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</si>
  <si>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</si>
  <si>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</si>
  <si>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</si>
  <si>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</si>
  <si>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</si>
  <si>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</si>
  <si>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</si>
  <si>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</si>
  <si>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</si>
  <si>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</si>
  <si>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</si>
  <si>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</si>
  <si>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</si>
  <si>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</si>
  <si>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</si>
  <si>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</si>
  <si>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</si>
  <si>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</si>
  <si>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</si>
  <si>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</si>
  <si>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</si>
  <si>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</si>
  <si>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</si>
  <si>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</si>
  <si>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</si>
  <si>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</si>
  <si>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</si>
  <si>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</si>
  <si>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</si>
  <si>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</si>
  <si>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</si>
  <si>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</si>
  <si>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</si>
  <si>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</si>
  <si>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</si>
  <si>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</si>
  <si>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</si>
  <si>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</si>
  <si>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</si>
  <si>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</si>
  <si>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</si>
  <si>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</si>
  <si>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</si>
  <si>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</si>
  <si>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</si>
  <si>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</si>
  <si>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</si>
  <si>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</si>
  <si>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</si>
  <si>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</si>
  <si>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</si>
  <si>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</si>
  <si>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</si>
  <si>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</si>
  <si>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</si>
  <si>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</si>
  <si>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</si>
  <si>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</si>
  <si>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</si>
  <si>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</si>
  <si>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</si>
  <si>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</si>
  <si>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</si>
  <si>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</si>
  <si>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</si>
  <si>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</si>
  <si>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</si>
  <si>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</si>
  <si>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</si>
  <si>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</si>
  <si>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</si>
  <si>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</si>
  <si>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</si>
  <si>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</si>
  <si>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</si>
  <si>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</si>
  <si>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</si>
  <si>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</si>
  <si>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</si>
  <si>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</si>
  <si>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</si>
  <si>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</si>
  <si>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</si>
  <si>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</si>
  <si>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</si>
  <si>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</si>
  <si>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</si>
  <si>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</si>
  <si>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</si>
  <si>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</si>
  <si>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</si>
  <si>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</si>
  <si>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</si>
  <si>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</si>
  <si>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</si>
  <si>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</si>
  <si>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</si>
  <si>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</si>
  <si>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</si>
  <si>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</si>
  <si>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</si>
  <si>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</si>
  <si>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</si>
  <si>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</si>
  <si>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</si>
  <si>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</si>
  <si>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</si>
  <si>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</si>
  <si>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</si>
  <si>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</si>
  <si>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</si>
  <si>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</si>
  <si>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</si>
  <si>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</si>
  <si>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</si>
  <si>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</si>
  <si>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</si>
  <si>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</si>
  <si>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</si>
  <si>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</si>
  <si>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</si>
  <si>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</si>
  <si>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</si>
  <si>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</si>
  <si>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</si>
  <si>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</si>
  <si>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</si>
  <si>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</si>
  <si>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</si>
  <si>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</si>
  <si>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</si>
  <si>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</si>
  <si>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</si>
  <si>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</si>
  <si>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</si>
  <si>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</si>
  <si>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</si>
  <si>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</si>
  <si>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</si>
  <si>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</si>
  <si>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</si>
  <si>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</si>
  <si>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</si>
  <si>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</si>
  <si>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</si>
  <si>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</si>
  <si>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</si>
  <si>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</si>
  <si>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</si>
  <si>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</si>
  <si>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</si>
  <si>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</si>
  <si>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</si>
  <si>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</si>
  <si>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</si>
  <si>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</si>
  <si>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</si>
  <si>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</si>
  <si>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</si>
  <si>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</si>
  <si>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</si>
  <si>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</si>
  <si>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</si>
  <si>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</si>
  <si>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</si>
  <si>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</si>
  <si>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</si>
  <si>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</si>
  <si>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</si>
  <si>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</si>
  <si>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</si>
  <si>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</si>
  <si>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</si>
  <si>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</si>
  <si>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</si>
  <si>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</si>
  <si>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</si>
  <si>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</si>
  <si>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</si>
  <si>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</si>
  <si>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</si>
  <si>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</si>
  <si>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</si>
  <si>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</si>
  <si>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</si>
  <si>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</si>
  <si>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</si>
  <si>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</si>
  <si>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</si>
  <si>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</si>
  <si>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</si>
  <si>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</si>
  <si>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</si>
  <si>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</si>
  <si>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</si>
  <si>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</si>
  <si>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</si>
  <si>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</si>
  <si>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</si>
  <si>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</si>
  <si>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</si>
  <si>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</si>
  <si>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</si>
  <si>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</si>
  <si>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</si>
  <si>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</si>
  <si>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</si>
  <si>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</si>
  <si>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</si>
  <si>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</si>
  <si>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</si>
  <si>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</si>
  <si>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</si>
  <si>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</si>
  <si>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</si>
  <si>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</si>
  <si>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</si>
  <si>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</si>
  <si>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</si>
  <si>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</si>
  <si>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</si>
  <si>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</si>
  <si>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</si>
  <si>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</si>
  <si>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</si>
  <si>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</si>
  <si>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</si>
  <si>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</si>
  <si>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</si>
  <si>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</si>
  <si>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</si>
  <si>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</si>
  <si>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</si>
  <si>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</si>
  <si>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</si>
  <si>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</si>
  <si>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</si>
  <si>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</si>
  <si>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</si>
  <si>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</si>
  <si>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</si>
  <si>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</si>
  <si>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</si>
  <si>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</si>
  <si>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</si>
  <si>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</si>
  <si>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</si>
  <si>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</si>
  <si>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</si>
  <si>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</si>
  <si>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</si>
  <si>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</si>
  <si>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</si>
  <si>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</si>
  <si>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</si>
  <si>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</si>
  <si>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</si>
  <si>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</si>
  <si>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</si>
  <si>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</si>
  <si>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</si>
  <si>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</si>
  <si>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</si>
  <si>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</si>
  <si>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</si>
  <si>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</si>
  <si>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</si>
  <si>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</si>
  <si>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</si>
  <si>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</si>
  <si>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</si>
  <si>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</si>
  <si>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</si>
  <si>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</si>
  <si>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</si>
  <si>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</si>
  <si>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</si>
  <si>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</si>
  <si>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</si>
  <si>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</si>
  <si>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</si>
  <si>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</si>
  <si>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</si>
  <si>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</si>
  <si>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</si>
  <si>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</si>
  <si>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</si>
  <si>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</si>
  <si>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</si>
  <si>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</si>
  <si>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</si>
  <si>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</si>
  <si>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</si>
  <si>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</si>
  <si>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</si>
  <si>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</si>
  <si>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</si>
  <si>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</si>
  <si>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</si>
  <si>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</si>
  <si>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</si>
  <si>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</si>
  <si>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</si>
  <si>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</si>
  <si>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</si>
  <si>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</si>
  <si>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</si>
  <si>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</si>
  <si>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</si>
  <si>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</si>
  <si>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</si>
  <si>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</si>
  <si>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</si>
  <si>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</si>
  <si>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</si>
  <si>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</si>
  <si>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</si>
  <si>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</si>
  <si>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</si>
  <si>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</si>
  <si>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</si>
  <si>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</si>
  <si>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</si>
  <si>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</si>
  <si>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</si>
  <si>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</si>
  <si>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</si>
  <si>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</si>
  <si>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</si>
  <si>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</si>
  <si>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</si>
  <si>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</si>
  <si>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</si>
  <si>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</si>
  <si>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</si>
  <si>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</si>
  <si>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</si>
  <si>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</si>
  <si>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</si>
  <si>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</si>
  <si>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</si>
  <si>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</si>
  <si>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</si>
  <si>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</si>
  <si>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</si>
  <si>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</si>
  <si>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</si>
  <si>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</si>
  <si>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</si>
  <si>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</si>
  <si>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</si>
  <si>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</si>
  <si>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</si>
  <si>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</si>
  <si>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</si>
  <si>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</si>
  <si>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</si>
  <si>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</si>
  <si>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</si>
  <si>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</si>
  <si>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</si>
  <si>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</si>
  <si>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</si>
  <si>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</si>
  <si>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</si>
  <si>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</si>
  <si>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</si>
  <si>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</si>
  <si>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</si>
  <si>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</si>
  <si>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</si>
  <si>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</si>
  <si>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</si>
  <si>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</si>
  <si>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</si>
  <si>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</si>
  <si>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</si>
  <si>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</si>
  <si>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</si>
  <si>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</si>
  <si>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</si>
  <si>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</si>
  <si>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</si>
  <si>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</si>
  <si>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</si>
  <si>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</si>
  <si>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</si>
  <si>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</si>
  <si>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</si>
  <si>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</si>
  <si>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</si>
  <si>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</si>
  <si>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</si>
  <si>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</si>
  <si>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</si>
  <si>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</si>
  <si>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</si>
  <si>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</si>
  <si>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</si>
  <si>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</si>
  <si>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</si>
  <si>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</si>
  <si>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</si>
  <si>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</si>
  <si>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</si>
  <si>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</si>
  <si>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</si>
  <si>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</si>
  <si>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</si>
  <si>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</si>
  <si>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</si>
  <si>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</si>
  <si>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</si>
  <si>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</si>
  <si>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</si>
  <si>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</si>
  <si>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</si>
  <si>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</si>
  <si>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</si>
  <si>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</si>
  <si>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</si>
  <si>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</si>
  <si>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</si>
  <si>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</si>
  <si>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</si>
  <si>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</si>
  <si>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</si>
  <si>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</si>
  <si>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</si>
  <si>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</si>
  <si>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</si>
  <si>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</si>
  <si>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</si>
  <si>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</si>
  <si>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</si>
  <si>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</si>
  <si>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</si>
  <si>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</si>
  <si>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</si>
  <si>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</si>
  <si>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</si>
  <si>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</si>
  <si>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</si>
  <si>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</si>
  <si>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</si>
  <si>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</si>
  <si>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</si>
  <si>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</si>
  <si>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</si>
  <si>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</si>
  <si>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</si>
  <si>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</si>
  <si>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</si>
  <si>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</si>
  <si>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</si>
  <si>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</si>
  <si>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</si>
  <si>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</si>
  <si>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</si>
  <si>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</si>
  <si>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</si>
  <si>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</si>
  <si>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</si>
  <si>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</si>
  <si>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</si>
  <si>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</si>
  <si>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</si>
  <si>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</si>
  <si>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</si>
  <si>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</si>
  <si>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</si>
  <si>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</si>
  <si>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</si>
  <si>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</si>
  <si>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</si>
  <si>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</si>
  <si>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</si>
  <si>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</si>
  <si>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</si>
  <si>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</si>
  <si>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</si>
  <si>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</si>
  <si>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</si>
  <si>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</si>
  <si>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</si>
  <si>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</si>
  <si>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</si>
  <si>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</si>
  <si>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</si>
  <si>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</si>
  <si>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</si>
  <si>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</si>
  <si>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</si>
  <si>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</si>
  <si>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</si>
  <si>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</si>
  <si>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</si>
  <si>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</si>
  <si>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</si>
  <si>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</si>
  <si>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</si>
  <si>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</si>
  <si>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</si>
  <si>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</si>
  <si>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</si>
  <si>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</si>
  <si>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</si>
  <si>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</si>
  <si>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</si>
  <si>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</si>
  <si>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</si>
  <si>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</si>
  <si>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</si>
  <si>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</si>
  <si>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</si>
  <si>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</si>
  <si>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</si>
  <si>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</si>
  <si>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</si>
  <si>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</si>
  <si>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</si>
  <si>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</si>
  <si>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</si>
  <si>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</si>
  <si>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</si>
  <si>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</si>
  <si>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</si>
  <si>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</si>
  <si>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</si>
  <si>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</si>
  <si>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</si>
  <si>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</si>
  <si>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</si>
  <si>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</si>
  <si>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</si>
  <si>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</si>
  <si>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</si>
  <si>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</si>
  <si>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</si>
  <si>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</si>
  <si>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</si>
  <si>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</si>
  <si>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</si>
  <si>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</si>
  <si>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</si>
  <si>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</si>
  <si>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</si>
  <si>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</si>
  <si>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</si>
  <si>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</si>
  <si>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</si>
  <si>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</si>
  <si>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</si>
  <si>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</si>
  <si>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</si>
  <si>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</si>
  <si>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</si>
  <si>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</si>
  <si>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</si>
  <si>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</si>
  <si>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</si>
  <si>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</si>
  <si>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</si>
  <si>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</si>
  <si>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</si>
  <si>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</si>
  <si>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</si>
  <si>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</si>
  <si>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</si>
  <si>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</si>
  <si>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</si>
  <si>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</si>
  <si>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</si>
  <si>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</si>
  <si>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</si>
  <si>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</si>
  <si>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</si>
  <si>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</si>
  <si>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</si>
  <si>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</si>
  <si>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</si>
  <si>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</si>
  <si>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</si>
  <si>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</si>
  <si>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</si>
  <si>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</si>
  <si>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</si>
  <si>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</si>
  <si>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</si>
  <si>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</si>
  <si>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</si>
  <si>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</si>
  <si>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</si>
  <si>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</si>
  <si>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</si>
  <si>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</si>
  <si>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</si>
  <si>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</si>
  <si>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</si>
  <si>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</si>
  <si>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</si>
  <si>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</si>
  <si>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</si>
  <si>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</si>
  <si>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</si>
  <si>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</si>
  <si>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</si>
  <si>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</si>
  <si>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</si>
  <si>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</si>
  <si>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</si>
  <si>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</si>
  <si>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</si>
  <si>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</si>
  <si>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</si>
  <si>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</si>
  <si>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</si>
  <si>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</si>
  <si>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</si>
  <si>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</si>
  <si>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</si>
  <si>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</si>
  <si>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</si>
  <si>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</si>
  <si>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</si>
  <si>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</si>
  <si>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</si>
  <si>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</si>
  <si>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</si>
  <si>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</si>
  <si>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</si>
  <si>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</si>
  <si>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</si>
  <si>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</si>
  <si>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</si>
  <si>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</si>
  <si>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</si>
  <si>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</si>
  <si>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</si>
  <si>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</si>
  <si>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</si>
  <si>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</si>
  <si>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</si>
  <si>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</si>
  <si>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</si>
  <si>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</si>
  <si>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</si>
  <si>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</si>
  <si>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</si>
  <si>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</si>
  <si>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</si>
  <si>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</si>
  <si>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</si>
  <si>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</si>
  <si>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</si>
  <si>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</si>
  <si>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</si>
  <si>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</si>
  <si>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</si>
  <si>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</si>
  <si>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</si>
  <si>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</si>
  <si>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</si>
  <si>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</si>
  <si>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</si>
  <si>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</si>
  <si>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</si>
  <si>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</si>
  <si>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</si>
  <si>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</si>
  <si>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</si>
  <si>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</si>
  <si>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</si>
  <si>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</si>
  <si>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</si>
  <si>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</si>
  <si>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</si>
  <si>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</si>
  <si>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</si>
  <si>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</si>
  <si>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</si>
  <si>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</si>
  <si>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</si>
  <si>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</si>
  <si>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</si>
  <si>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</si>
  <si>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</si>
  <si>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</si>
  <si>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</si>
  <si>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</si>
  <si>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</si>
  <si>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</si>
  <si>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</si>
  <si>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</si>
  <si>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</si>
  <si>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</si>
  <si>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</si>
  <si>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</si>
  <si>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</si>
  <si>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</si>
  <si>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</si>
  <si>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</si>
  <si>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</si>
  <si>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</si>
  <si>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</si>
  <si>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</si>
  <si>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</si>
  <si>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</si>
  <si>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</si>
  <si>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</si>
  <si>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</si>
  <si>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</si>
  <si>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</si>
  <si>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</si>
  <si>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</si>
  <si>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</si>
  <si>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</si>
  <si>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</si>
  <si>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</si>
  <si>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</si>
  <si>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</si>
  <si>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</si>
  <si>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</si>
  <si>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</si>
  <si>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</si>
  <si>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</si>
  <si>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</si>
  <si>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</si>
  <si>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</si>
  <si>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</si>
  <si>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</si>
  <si>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</si>
  <si>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</si>
  <si>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</si>
  <si>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</si>
  <si>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</si>
  <si>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</si>
  <si>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</si>
  <si>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</si>
  <si>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</si>
  <si>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</si>
  <si>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</si>
  <si>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</si>
  <si>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</si>
  <si>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</si>
  <si>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</si>
  <si>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</si>
  <si>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</si>
  <si>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</si>
  <si>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</si>
  <si>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</si>
  <si>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</si>
  <si>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</si>
  <si>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</si>
  <si>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</si>
  <si>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</si>
  <si>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</si>
  <si>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</si>
  <si>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</si>
  <si>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</si>
  <si>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</si>
  <si>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</si>
  <si>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</si>
  <si>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</si>
  <si>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</si>
  <si>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</si>
  <si>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</si>
  <si>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</si>
  <si>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</si>
  <si>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</si>
  <si>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</si>
  <si>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</si>
  <si>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</si>
  <si>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</si>
  <si>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</si>
  <si>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</si>
  <si>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</si>
  <si>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</si>
  <si>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</si>
  <si>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</si>
  <si>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</si>
  <si>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</si>
  <si>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</si>
  <si>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</si>
  <si>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</si>
  <si>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</si>
  <si>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</si>
  <si>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</si>
  <si>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</si>
  <si>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</si>
  <si>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</si>
  <si>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</si>
  <si>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</si>
  <si>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</si>
  <si>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</si>
  <si>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</si>
  <si>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</si>
  <si>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</si>
  <si>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</si>
  <si>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</si>
  <si>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</si>
  <si>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</si>
  <si>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</si>
  <si>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</si>
  <si>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</si>
  <si>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</si>
  <si>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</si>
  <si>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</si>
  <si>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</si>
  <si>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</si>
  <si>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</si>
  <si>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</si>
  <si>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</si>
  <si>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</si>
  <si>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</si>
  <si>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</si>
  <si>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</si>
  <si>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</si>
  <si>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</si>
  <si>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</si>
  <si>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</si>
  <si>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</si>
  <si>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</si>
  <si>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</si>
  <si>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</si>
  <si>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</si>
  <si>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</si>
  <si>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</si>
  <si>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</si>
  <si>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</si>
  <si>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</si>
  <si>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</si>
  <si>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</si>
  <si>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</si>
  <si>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</si>
  <si>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</si>
  <si>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</si>
  <si>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</si>
  <si>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</si>
  <si>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</si>
  <si>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</si>
  <si>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</si>
  <si>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</si>
  <si>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</si>
  <si>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</si>
  <si>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</si>
  <si>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</si>
  <si>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</si>
  <si>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</si>
  <si>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</si>
  <si>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</si>
  <si>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</si>
  <si>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</si>
  <si>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</si>
  <si>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</si>
  <si>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</si>
  <si>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</si>
  <si>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</si>
  <si>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</si>
  <si>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</si>
  <si>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</si>
  <si>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</si>
  <si>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</si>
  <si>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</si>
  <si>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</si>
  <si>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</si>
  <si>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</si>
  <si>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</si>
  <si>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</si>
  <si>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</si>
  <si>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</si>
  <si>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</si>
  <si>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</si>
  <si>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</si>
  <si>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</si>
  <si>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</si>
  <si>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</si>
  <si>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</si>
  <si>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</si>
  <si>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</si>
  <si>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</si>
  <si>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</si>
  <si>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</si>
  <si>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</si>
  <si>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</si>
  <si>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</si>
  <si>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</si>
  <si>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</si>
  <si>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</si>
  <si>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</si>
  <si>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</si>
  <si>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</si>
  <si>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</si>
  <si>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</si>
  <si>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</si>
  <si>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</si>
  <si>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</si>
  <si>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</si>
  <si>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</si>
  <si>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</si>
  <si>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</si>
  <si>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</si>
  <si>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</si>
  <si>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</si>
  <si>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</si>
  <si>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</si>
  <si>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</si>
  <si>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</si>
  <si>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</si>
  <si>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</si>
  <si>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</si>
  <si>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</si>
  <si>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</si>
  <si>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</si>
  <si>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</si>
  <si>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</si>
  <si>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</si>
  <si>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</si>
  <si>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</si>
  <si>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</si>
  <si>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</si>
  <si>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</si>
  <si>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</si>
  <si>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</si>
  <si>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</si>
  <si>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</si>
  <si>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</si>
  <si>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</si>
  <si>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</si>
  <si>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</si>
  <si>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</si>
  <si>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</si>
  <si>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</si>
  <si>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</si>
  <si>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</si>
  <si>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</si>
  <si>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</si>
  <si>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</si>
  <si>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</si>
  <si>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</si>
  <si>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</si>
  <si>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</si>
  <si>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</si>
  <si>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</si>
  <si>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</si>
  <si>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</si>
  <si>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</si>
  <si>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</si>
  <si>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</si>
  <si>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</si>
  <si>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</si>
  <si>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</si>
  <si>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</si>
  <si>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</si>
  <si>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</si>
  <si>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</si>
  <si>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</si>
  <si>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</si>
  <si>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</si>
  <si>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</si>
  <si>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</si>
  <si>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</si>
  <si>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</si>
  <si>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</si>
  <si>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</si>
  <si>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</si>
  <si>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</si>
  <si>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</si>
  <si>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</si>
  <si>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</si>
  <si>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</si>
  <si>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</si>
  <si>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</si>
  <si>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</si>
  <si>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</si>
  <si>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</si>
  <si>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</si>
  <si>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</si>
  <si>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</si>
  <si>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</si>
  <si>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</si>
  <si>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</si>
  <si>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</si>
  <si>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</si>
  <si>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</si>
  <si>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</si>
  <si>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</si>
  <si>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</si>
  <si>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</si>
  <si>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</si>
  <si>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</si>
  <si>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</si>
  <si>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</si>
  <si>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</si>
  <si>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</si>
  <si>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</si>
  <si>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</si>
  <si>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</si>
  <si>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</si>
  <si>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</si>
  <si>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</si>
  <si>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</si>
  <si>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</si>
  <si>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</si>
  <si>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</si>
  <si>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</si>
  <si>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</si>
  <si>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</si>
  <si>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</si>
  <si>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</si>
  <si>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</si>
  <si>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</si>
  <si>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</si>
  <si>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</si>
  <si>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</si>
  <si>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</si>
  <si>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</si>
  <si>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</si>
  <si>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</si>
  <si>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</si>
  <si>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</si>
  <si>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</si>
  <si>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</si>
  <si>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</si>
  <si>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</si>
  <si>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</si>
  <si>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</si>
  <si>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</si>
  <si>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</si>
  <si>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</si>
  <si>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</si>
  <si>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</si>
  <si>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</si>
  <si>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</si>
  <si>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</si>
  <si>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</si>
  <si>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</si>
  <si>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</si>
  <si>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</si>
  <si>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</si>
  <si>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</si>
  <si>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</si>
  <si>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</si>
  <si>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</si>
  <si>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</si>
  <si>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</si>
  <si>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</si>
  <si>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</si>
  <si>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</si>
  <si>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</si>
  <si>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</si>
  <si>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</si>
  <si>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</si>
  <si>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</si>
  <si>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</si>
  <si>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</si>
  <si>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</si>
  <si>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</si>
  <si>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</si>
  <si>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</si>
  <si>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</si>
  <si>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</si>
  <si>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</si>
  <si>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</si>
  <si>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</si>
  <si>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</si>
  <si>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</si>
  <si>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</si>
  <si>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</si>
  <si>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</si>
  <si>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</si>
  <si>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</si>
  <si>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</si>
  <si>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</si>
  <si>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</si>
  <si>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</si>
  <si>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</si>
  <si>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</si>
  <si>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</si>
  <si>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</si>
  <si>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</si>
  <si>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</si>
  <si>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</si>
  <si>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</si>
  <si>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</si>
  <si>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</si>
  <si>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</si>
  <si>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</si>
  <si>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</si>
  <si>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</si>
  <si>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</si>
  <si>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</si>
  <si>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</si>
  <si>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</si>
  <si>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</si>
  <si>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</si>
  <si>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</si>
  <si>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</si>
  <si>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</si>
  <si>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</si>
  <si>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</si>
  <si>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</si>
  <si>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</si>
  <si>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</si>
  <si>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</si>
  <si>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</si>
  <si>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</si>
  <si>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</si>
  <si>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</si>
  <si>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</si>
  <si>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</si>
  <si>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</si>
  <si>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</si>
  <si>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</si>
  <si>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</si>
  <si>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</si>
  <si>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</si>
  <si>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</si>
  <si>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</si>
  <si>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</si>
  <si>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</si>
  <si>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</si>
  <si>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</si>
  <si>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</si>
  <si>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</si>
  <si>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</si>
  <si>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</si>
  <si>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</si>
  <si>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</si>
  <si>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</si>
  <si>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</si>
  <si>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</si>
  <si>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</si>
  <si>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</si>
  <si>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</si>
  <si>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</si>
  <si>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</si>
  <si>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</si>
  <si>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</si>
  <si>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</si>
  <si>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</si>
  <si>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</si>
  <si>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</si>
  <si>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</si>
  <si>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</si>
  <si>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</si>
  <si>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</si>
  <si>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</si>
  <si>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</si>
  <si>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</si>
  <si>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</si>
  <si>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</si>
  <si>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</si>
  <si>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</si>
  <si>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</si>
  <si>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</si>
  <si>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</si>
  <si>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</si>
  <si>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</si>
  <si>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</si>
  <si>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</si>
  <si>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</si>
  <si>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</si>
  <si>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</si>
  <si>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</si>
  <si>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</si>
  <si>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</si>
  <si>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</si>
  <si>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</si>
  <si>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</si>
  <si>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</si>
  <si>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</si>
  <si>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</si>
  <si>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</si>
  <si>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</si>
  <si>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</si>
  <si>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</si>
  <si>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</si>
  <si>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</si>
  <si>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</si>
  <si>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</si>
  <si>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</si>
  <si>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</si>
  <si>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</si>
  <si>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</si>
  <si>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</si>
  <si>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</si>
  <si>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</si>
  <si>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</si>
  <si>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</si>
  <si>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</si>
  <si>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</si>
  <si>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</si>
  <si>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</si>
  <si>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</si>
  <si>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</si>
  <si>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</si>
  <si>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</si>
  <si>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</si>
  <si>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</si>
  <si>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</si>
  <si>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</si>
  <si>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</si>
  <si>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</si>
  <si>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</si>
  <si>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</si>
  <si>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</si>
  <si>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</si>
  <si>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</si>
  <si>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</si>
  <si>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</si>
  <si>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</si>
  <si>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</si>
  <si>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</si>
  <si>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</si>
  <si>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</si>
  <si>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</si>
  <si>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</si>
  <si>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</si>
  <si>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</si>
  <si>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</si>
  <si>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</si>
  <si>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</si>
  <si>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</si>
  <si>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</si>
  <si>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</si>
  <si>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</si>
  <si>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</si>
  <si>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</si>
  <si>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</si>
  <si>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</si>
  <si>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</si>
  <si>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</si>
  <si>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</si>
  <si>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</si>
  <si>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</si>
  <si>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</si>
  <si>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</si>
  <si>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</si>
  <si>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</si>
  <si>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</si>
  <si>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</si>
  <si>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</si>
  <si>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</si>
  <si>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</si>
  <si>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</si>
  <si>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</si>
  <si>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</si>
  <si>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</si>
  <si>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</si>
  <si>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</si>
  <si>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</si>
  <si>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</si>
  <si>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</si>
  <si>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</si>
  <si>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</si>
  <si>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</si>
  <si>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</si>
  <si>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</si>
  <si>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</si>
  <si>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</si>
  <si>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</si>
  <si>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</si>
  <si>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</si>
  <si>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</si>
  <si>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</si>
  <si>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</si>
  <si>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</si>
  <si>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</si>
  <si>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</si>
  <si>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</si>
  <si>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</si>
  <si>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</si>
  <si>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</si>
  <si>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</si>
  <si>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</si>
  <si>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</si>
  <si>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</si>
  <si>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</si>
  <si>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</si>
  <si>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</si>
  <si>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</si>
  <si>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</si>
  <si>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</si>
  <si>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</si>
  <si>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</si>
  <si>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</si>
  <si>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</si>
  <si>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</si>
  <si>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</si>
  <si>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</si>
  <si>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</si>
  <si>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</si>
  <si>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</si>
  <si>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</si>
  <si>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</si>
  <si>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</si>
  <si>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</si>
  <si>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</si>
  <si>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</si>
  <si>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</si>
  <si>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</si>
  <si>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</si>
  <si>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</si>
  <si>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</si>
  <si>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</si>
  <si>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</si>
  <si>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</si>
  <si>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</si>
  <si>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</si>
  <si>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</si>
  <si>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</si>
  <si>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</si>
  <si>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</si>
  <si>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</si>
  <si>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</si>
  <si>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</si>
  <si>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</si>
  <si>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</si>
  <si>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</si>
  <si>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</si>
  <si>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</si>
  <si>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</si>
  <si>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</si>
  <si>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</si>
  <si>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</si>
  <si>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</si>
  <si>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</si>
  <si>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</si>
  <si>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</si>
  <si>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</si>
  <si>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</si>
  <si>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</si>
  <si>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</si>
  <si>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</si>
  <si>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</si>
  <si>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</si>
  <si>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</si>
  <si>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</si>
  <si>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</si>
  <si>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</si>
  <si>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</si>
  <si>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</si>
  <si>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</si>
  <si>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</si>
  <si>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</si>
  <si>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</si>
  <si>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</si>
  <si>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</si>
  <si>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</si>
  <si>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</si>
  <si>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</si>
  <si>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</si>
  <si>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</si>
  <si>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</si>
  <si>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</si>
  <si>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</si>
  <si>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</si>
  <si>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</si>
  <si>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</si>
  <si>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</si>
  <si>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</si>
  <si>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</si>
  <si>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</si>
  <si>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</si>
  <si>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</si>
  <si>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</si>
  <si>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</si>
  <si>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</si>
  <si>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</si>
  <si>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</si>
  <si>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</si>
  <si>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</si>
  <si>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</si>
  <si>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</si>
  <si>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</si>
  <si>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</si>
  <si>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</si>
  <si>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</si>
  <si>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</si>
  <si>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</si>
  <si>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</si>
  <si>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</si>
  <si>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</si>
  <si>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</si>
  <si>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</si>
  <si>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</si>
  <si>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</si>
  <si>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</si>
  <si>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</si>
  <si>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</si>
  <si>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</si>
  <si>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</si>
  <si>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</si>
  <si>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</si>
  <si>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</si>
  <si>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</si>
  <si>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</si>
  <si>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</si>
  <si>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</si>
  <si>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</si>
  <si>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</si>
  <si>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</si>
  <si>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</si>
  <si>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</si>
  <si>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</si>
  <si>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</si>
  <si>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</si>
  <si>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</si>
  <si>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</si>
  <si>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</si>
  <si>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</si>
  <si>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</si>
  <si>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</si>
  <si>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</si>
  <si>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</si>
  <si>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</si>
  <si>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</si>
  <si>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</si>
  <si>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</si>
  <si>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</si>
  <si>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</si>
  <si>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</si>
  <si>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</si>
  <si>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</si>
  <si>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</si>
  <si>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</si>
  <si>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</si>
  <si>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</si>
  <si>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</si>
  <si>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</si>
  <si>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</si>
  <si>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</si>
  <si>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</si>
  <si>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</si>
  <si>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</si>
  <si>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</si>
  <si>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</si>
  <si>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</si>
  <si>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</si>
  <si>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</si>
  <si>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</si>
  <si>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</si>
  <si>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</si>
  <si>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</si>
  <si>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</si>
  <si>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</si>
  <si>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</si>
  <si>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</si>
  <si>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</si>
  <si>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</si>
  <si>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</si>
  <si>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</si>
  <si>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</si>
  <si>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</si>
  <si>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</si>
  <si>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</si>
  <si>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</si>
  <si>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</si>
  <si>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</si>
  <si>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</si>
  <si>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</si>
  <si>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</si>
  <si>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</si>
  <si>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</si>
  <si>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</si>
  <si>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</si>
  <si>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</si>
  <si>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</si>
  <si>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</si>
  <si>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</si>
  <si>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</si>
  <si>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</si>
  <si>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</si>
  <si>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</si>
  <si>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</si>
  <si>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</si>
  <si>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</si>
  <si>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</si>
  <si>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</si>
  <si>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</si>
  <si>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</si>
  <si>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</si>
  <si>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</si>
  <si>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</si>
  <si>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</si>
  <si>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</si>
  <si>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</si>
  <si>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</si>
  <si>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</si>
  <si>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</si>
  <si>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</si>
  <si>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</si>
  <si>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</si>
  <si>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</si>
  <si>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</si>
  <si>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</si>
  <si>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</si>
  <si>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</si>
  <si>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</si>
  <si>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</si>
  <si>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</si>
  <si>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</si>
  <si>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</si>
  <si>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</si>
  <si>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</si>
  <si>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</si>
  <si>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</si>
  <si>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</si>
  <si>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</si>
  <si>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</si>
  <si>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</si>
  <si>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</si>
  <si>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</si>
  <si>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</si>
  <si>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</si>
  <si>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</si>
  <si>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</si>
  <si>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</si>
  <si>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</si>
  <si>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</si>
  <si>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</si>
  <si>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</si>
  <si>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</si>
  <si>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</si>
  <si>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</si>
  <si>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</si>
  <si>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</si>
  <si>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</si>
  <si>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</si>
  <si>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</si>
  <si>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</si>
  <si>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</si>
  <si>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</si>
  <si>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</si>
  <si>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</si>
  <si>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</si>
  <si>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</si>
  <si>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</si>
  <si>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</si>
  <si>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</si>
  <si>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</si>
  <si>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</si>
  <si>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</si>
  <si>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</si>
  <si>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</si>
  <si>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</si>
  <si>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</si>
  <si>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</si>
  <si>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</si>
  <si>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</si>
  <si>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</si>
  <si>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</si>
  <si>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</si>
  <si>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</si>
  <si>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</si>
  <si>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</si>
  <si>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</si>
  <si>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</si>
  <si>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</si>
  <si>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</si>
  <si>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</si>
  <si>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</si>
  <si>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</si>
  <si>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</si>
  <si>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</si>
  <si>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</si>
  <si>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</si>
  <si>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</si>
  <si>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</si>
  <si>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</si>
  <si>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</si>
  <si>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</si>
  <si>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</si>
  <si>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</si>
  <si>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</si>
  <si>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</si>
  <si>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</si>
  <si>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</si>
  <si>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</si>
  <si>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</si>
  <si>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</si>
  <si>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</si>
  <si>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</si>
  <si>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</si>
  <si>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</si>
  <si>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</si>
  <si>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</si>
  <si>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</si>
  <si>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</si>
  <si>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</si>
  <si>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</si>
  <si>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</si>
  <si>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</si>
  <si>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</si>
  <si>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</si>
  <si>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</si>
  <si>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</si>
  <si>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</si>
  <si>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</si>
  <si>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</si>
  <si>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</si>
  <si>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</si>
  <si>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</si>
  <si>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</si>
  <si>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</si>
  <si>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</si>
  <si>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</si>
  <si>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</si>
  <si>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</si>
  <si>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</si>
  <si>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</si>
  <si>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</si>
  <si>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</si>
  <si>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</si>
  <si>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</si>
  <si>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</si>
  <si>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</si>
  <si>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</si>
  <si>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</si>
  <si>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</si>
  <si>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</si>
  <si>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</si>
  <si>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</si>
  <si>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</si>
  <si>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</si>
  <si>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</si>
  <si>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</si>
  <si>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</si>
  <si>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</si>
  <si>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</si>
  <si>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</si>
  <si>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</si>
  <si>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</si>
  <si>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</si>
  <si>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</si>
  <si>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</si>
  <si>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</si>
  <si>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</si>
  <si>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</si>
  <si>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</si>
  <si>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</si>
  <si>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</si>
  <si>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</si>
  <si>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</si>
  <si>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</si>
  <si>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</si>
  <si>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</si>
  <si>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</si>
  <si>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</si>
  <si>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</si>
  <si>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</si>
  <si>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</si>
  <si>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</si>
  <si>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</si>
  <si>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</si>
  <si>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</si>
  <si>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</si>
  <si>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</si>
  <si>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</si>
  <si>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</si>
  <si>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</si>
  <si>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</si>
  <si>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</si>
  <si>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</si>
  <si>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</si>
  <si>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</si>
  <si>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</si>
  <si>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</si>
  <si>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</si>
  <si>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</si>
  <si>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</si>
  <si>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</si>
  <si>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</si>
  <si>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</si>
  <si>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</si>
  <si>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</si>
  <si>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</si>
  <si>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</si>
  <si>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</si>
  <si>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</si>
  <si>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</si>
  <si>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</si>
  <si>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</si>
  <si>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</si>
  <si>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</si>
  <si>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</si>
  <si>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</si>
  <si>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</si>
  <si>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</si>
  <si>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</si>
  <si>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</si>
  <si>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</si>
  <si>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</si>
  <si>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</si>
  <si>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</si>
  <si>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</si>
  <si>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</si>
  <si>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</si>
  <si>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</si>
  <si>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</si>
  <si>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</si>
  <si>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</si>
  <si>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</si>
  <si>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</si>
  <si>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</si>
  <si>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</si>
  <si>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</si>
  <si>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</si>
  <si>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</si>
  <si>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</si>
  <si>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</si>
  <si>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</si>
  <si>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</si>
  <si>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</si>
  <si>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</si>
  <si>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</si>
  <si>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</si>
  <si>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</si>
  <si>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</si>
  <si>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</si>
  <si>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</si>
  <si>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</si>
  <si>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</si>
  <si>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</si>
  <si>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</si>
  <si>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</si>
  <si>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</si>
  <si>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</si>
  <si>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</si>
  <si>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</si>
  <si>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</si>
  <si>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</si>
  <si>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</si>
  <si>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</si>
  <si>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</si>
  <si>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</si>
  <si>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</si>
  <si>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</si>
  <si>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</si>
  <si>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</si>
  <si>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</si>
  <si>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</si>
  <si>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</si>
  <si>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</si>
  <si>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</si>
  <si>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</si>
  <si>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</si>
  <si>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</si>
  <si>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</si>
  <si>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</si>
  <si>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</si>
  <si>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</si>
  <si>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</si>
  <si>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</si>
  <si>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</si>
  <si>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</si>
  <si>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</si>
  <si>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</si>
  <si>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</si>
  <si>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</si>
  <si>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</si>
  <si>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</si>
  <si>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</si>
  <si>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</si>
  <si>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</si>
  <si>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</si>
  <si>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</si>
  <si>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</si>
  <si>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</si>
  <si>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</si>
  <si>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</si>
  <si>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</si>
  <si>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</si>
  <si>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</si>
  <si>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</si>
  <si>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</si>
  <si>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</si>
  <si>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</si>
  <si>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</si>
  <si>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</si>
  <si>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</si>
  <si>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</si>
  <si>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</si>
  <si>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</si>
  <si>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</si>
  <si>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</si>
  <si>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</si>
  <si>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</si>
  <si>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</si>
  <si>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</si>
  <si>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</si>
  <si>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</si>
  <si>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</si>
  <si>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</si>
  <si>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</si>
  <si>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</si>
  <si>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</si>
  <si>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</si>
  <si>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</si>
  <si>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</si>
  <si>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</si>
  <si>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</si>
  <si>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</si>
  <si>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</si>
  <si>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</si>
  <si>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</si>
  <si>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</si>
  <si>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</si>
  <si>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</si>
  <si>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</si>
  <si>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</si>
  <si>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</si>
  <si>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</si>
  <si>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</si>
  <si>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</si>
  <si>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</si>
  <si>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</si>
  <si>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</si>
  <si>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</si>
  <si>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</si>
  <si>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</si>
  <si>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</si>
  <si>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</si>
  <si>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</si>
  <si>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</si>
  <si>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</si>
  <si>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</si>
  <si>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</si>
  <si>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</si>
  <si>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</si>
  <si>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</si>
  <si>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</si>
  <si>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</si>
  <si>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</si>
  <si>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</si>
  <si>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</si>
  <si>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</si>
  <si>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</si>
  <si>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</si>
  <si>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</si>
  <si>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</si>
  <si>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</si>
  <si>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</si>
  <si>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</si>
  <si>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</si>
  <si>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</si>
  <si>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</si>
  <si>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</si>
  <si>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</si>
  <si>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</si>
  <si>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</si>
  <si>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</si>
  <si>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</si>
  <si>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</si>
  <si>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</si>
  <si>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</si>
  <si>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</si>
  <si>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</si>
  <si>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</si>
  <si>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</si>
  <si>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</si>
  <si>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</si>
  <si>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</si>
  <si>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</si>
  <si>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</si>
  <si>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</si>
  <si>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</si>
  <si>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</si>
  <si>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</si>
  <si>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</si>
  <si>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</si>
  <si>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</si>
  <si>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</si>
  <si>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</si>
  <si>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</si>
  <si>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</si>
  <si>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</si>
  <si>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</si>
  <si>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</si>
  <si>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</si>
  <si>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</si>
  <si>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</si>
  <si>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</si>
  <si>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</si>
  <si>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</si>
  <si>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</si>
  <si>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</si>
  <si>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</si>
  <si>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</si>
  <si>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</si>
  <si>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</si>
  <si>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</si>
  <si>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</si>
  <si>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</si>
  <si>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</si>
  <si>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</si>
  <si>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</si>
  <si>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</si>
  <si>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</si>
  <si>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</si>
  <si>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</si>
  <si>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</si>
  <si>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</si>
  <si>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</si>
  <si>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</si>
  <si>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</si>
  <si>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</si>
  <si>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</si>
  <si>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</si>
  <si>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</si>
  <si>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</si>
  <si>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</si>
  <si>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</si>
  <si>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</si>
  <si>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</si>
  <si>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</si>
  <si>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</si>
  <si>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</si>
  <si>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</si>
  <si>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</si>
  <si>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</si>
  <si>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</si>
  <si>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</si>
  <si>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</si>
  <si>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</si>
  <si>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</si>
  <si>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</si>
  <si>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</si>
  <si>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</si>
  <si>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</si>
  <si>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</si>
  <si>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</si>
  <si>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</si>
  <si>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</si>
  <si>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</si>
  <si>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</si>
  <si>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</si>
  <si>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</si>
  <si>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</si>
  <si>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</si>
  <si>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</si>
  <si>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</si>
  <si>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</si>
  <si>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</si>
  <si>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</si>
  <si>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</si>
  <si>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</si>
  <si>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</si>
  <si>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</si>
  <si>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</si>
  <si>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</si>
  <si>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</si>
  <si>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</si>
  <si>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</si>
  <si>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</si>
  <si>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</si>
  <si>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</si>
  <si>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</si>
  <si>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</si>
  <si>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</si>
  <si>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</si>
  <si>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</si>
  <si>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</si>
  <si>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</si>
  <si>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</si>
  <si>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</si>
  <si>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</si>
  <si>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</si>
  <si>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</si>
  <si>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</si>
  <si>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</si>
  <si>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</si>
  <si>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</si>
  <si>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</si>
  <si>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</si>
  <si>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</si>
  <si>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</si>
  <si>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</si>
  <si>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</si>
  <si>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</si>
  <si>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</si>
  <si>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</si>
  <si>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</si>
  <si>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</si>
  <si>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</si>
  <si>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</si>
  <si>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</si>
  <si>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</si>
  <si>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</si>
  <si>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</si>
  <si>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</si>
  <si>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</si>
  <si>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</si>
  <si>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</si>
  <si>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</si>
  <si>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</si>
  <si>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</si>
  <si>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</si>
  <si>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</si>
  <si>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</si>
  <si>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</si>
  <si>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</si>
  <si>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</si>
  <si>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</si>
  <si>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</si>
  <si>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</si>
  <si>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</si>
  <si>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</si>
  <si>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</si>
  <si>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</si>
  <si>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</si>
  <si>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</si>
  <si>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</si>
  <si>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</si>
  <si>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</si>
  <si>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</si>
  <si>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</si>
  <si>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</si>
  <si>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</si>
  <si>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</si>
  <si>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</si>
  <si>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</si>
  <si>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</si>
  <si>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</si>
  <si>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</si>
  <si>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</si>
  <si>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</si>
  <si>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</si>
  <si>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</si>
  <si>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</si>
  <si>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</si>
  <si>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</si>
  <si>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</si>
  <si>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</si>
  <si>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</si>
  <si>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</si>
  <si>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</si>
  <si>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</si>
  <si>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</si>
  <si>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</si>
  <si>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</si>
  <si>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</si>
  <si>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</si>
  <si>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</si>
  <si>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</si>
  <si>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</si>
  <si>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</si>
  <si>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</si>
  <si>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</si>
  <si>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</si>
  <si>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</si>
  <si>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</si>
  <si>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</si>
  <si>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</si>
  <si>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</si>
  <si>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</si>
  <si>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</si>
  <si>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</si>
  <si>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</si>
  <si>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</si>
  <si>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</si>
  <si>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</si>
  <si>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</si>
  <si>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</si>
  <si>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</si>
  <si>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</si>
  <si>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</si>
  <si>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</si>
  <si>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</si>
  <si>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</si>
  <si>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</si>
  <si>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</si>
  <si>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</si>
  <si>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</si>
  <si>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</si>
  <si>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</si>
  <si>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</si>
  <si>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</si>
  <si>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</si>
  <si>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</si>
  <si>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</si>
  <si>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</si>
  <si>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</si>
  <si>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</si>
  <si>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</si>
  <si>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</si>
  <si>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</si>
  <si>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</si>
  <si>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</si>
  <si>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</si>
  <si>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</si>
  <si>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</si>
  <si>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</si>
  <si>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</si>
  <si>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</si>
  <si>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</si>
  <si>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</si>
  <si>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</si>
  <si>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</si>
  <si>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</si>
  <si>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</si>
  <si>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</si>
  <si>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</si>
  <si>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</si>
  <si>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</si>
  <si>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</si>
  <si>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</si>
  <si>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</si>
  <si>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</si>
  <si>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</si>
  <si>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</si>
  <si>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</si>
  <si>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</si>
  <si>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</si>
  <si>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</si>
  <si>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</si>
  <si>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</si>
  <si>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</si>
  <si>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</si>
  <si>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</si>
  <si>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</si>
  <si>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</si>
  <si>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</si>
  <si>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</si>
  <si>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</si>
  <si>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</si>
  <si>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</si>
  <si>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</si>
  <si>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</si>
  <si>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</si>
  <si>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</si>
  <si>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</si>
  <si>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</si>
  <si>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</si>
  <si>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</si>
  <si>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</si>
  <si>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</si>
  <si>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</si>
  <si>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</si>
  <si>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</si>
  <si>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</si>
  <si>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</si>
  <si>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</si>
  <si>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</si>
  <si>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</si>
  <si>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</si>
  <si>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</si>
  <si>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</si>
  <si>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</si>
  <si>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</si>
  <si>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</si>
  <si>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</si>
  <si>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</si>
  <si>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</si>
  <si>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</si>
  <si>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</si>
  <si>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</si>
  <si>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</si>
  <si>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</si>
  <si>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</si>
  <si>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</si>
  <si>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</si>
  <si>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</si>
  <si>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</si>
  <si>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</si>
  <si>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</si>
  <si>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</si>
  <si>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</si>
  <si>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</si>
  <si>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</si>
  <si>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</si>
  <si>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</si>
  <si>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</si>
  <si>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</si>
  <si>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</si>
  <si>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</si>
  <si>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</si>
  <si>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</si>
  <si>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</si>
  <si>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</si>
  <si>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</si>
  <si>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</si>
  <si>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</si>
  <si>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</si>
  <si>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</si>
  <si>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</si>
  <si>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</si>
  <si>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</si>
  <si>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</si>
  <si>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</si>
  <si>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</si>
  <si>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</si>
  <si>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</si>
  <si>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</si>
  <si>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</si>
  <si>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</si>
  <si>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</si>
  <si>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</si>
  <si>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</si>
  <si>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</si>
  <si>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</si>
  <si>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</si>
  <si>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</si>
  <si>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</si>
  <si>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</si>
  <si>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</si>
  <si>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</si>
  <si>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</si>
  <si>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</si>
  <si>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</si>
  <si>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</si>
  <si>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</si>
  <si>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</si>
  <si>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</si>
  <si>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</si>
  <si>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</si>
  <si>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</si>
  <si>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</si>
  <si>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</si>
  <si>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</si>
  <si>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</si>
  <si>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</si>
  <si>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</si>
  <si>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</si>
  <si>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</si>
  <si>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</si>
  <si>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</si>
  <si>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</si>
  <si>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</si>
  <si>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</si>
  <si>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</si>
  <si>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</si>
  <si>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</si>
  <si>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</si>
  <si>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</si>
  <si>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</si>
  <si>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</si>
  <si>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</si>
  <si>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</si>
  <si>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</si>
  <si>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</si>
  <si>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</si>
  <si>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</si>
  <si>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</si>
  <si>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</si>
  <si>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</si>
  <si>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</si>
  <si>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</si>
  <si>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</si>
  <si>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</si>
  <si>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</si>
  <si>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</si>
  <si>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</si>
  <si>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</si>
  <si>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</si>
  <si>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</si>
  <si>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</si>
  <si>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</si>
  <si>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</si>
  <si>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</si>
  <si>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</si>
  <si>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</si>
  <si>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</si>
  <si>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</si>
  <si>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</si>
  <si>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</si>
  <si>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</si>
  <si>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</si>
  <si>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</si>
  <si>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</si>
  <si>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</si>
  <si>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</si>
  <si>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</si>
  <si>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</si>
  <si>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</si>
  <si>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</si>
  <si>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</si>
  <si>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</si>
  <si>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</si>
  <si>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</si>
  <si>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</si>
  <si>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</si>
  <si>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</si>
  <si>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</si>
  <si>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</si>
  <si>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</si>
  <si>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</si>
  <si>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</si>
  <si>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</si>
  <si>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</si>
  <si>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</si>
  <si>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</si>
  <si>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</si>
  <si>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</si>
  <si>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</si>
  <si>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</si>
  <si>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</si>
  <si>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</si>
  <si>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</si>
  <si>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</si>
  <si>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</si>
  <si>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</si>
  <si>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</si>
  <si>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</si>
  <si>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</si>
  <si>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</si>
  <si>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</si>
  <si>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</si>
  <si>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</si>
  <si>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</si>
  <si>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</si>
  <si>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</si>
  <si>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</si>
  <si>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</si>
  <si>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</si>
  <si>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</si>
  <si>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</si>
  <si>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</si>
  <si>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</si>
  <si>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</si>
  <si>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</si>
  <si>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</si>
  <si>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</si>
  <si>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</si>
  <si>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</si>
  <si>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</si>
  <si>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</si>
  <si>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</si>
  <si>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</si>
  <si>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</si>
  <si>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</si>
  <si>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</si>
  <si>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</si>
  <si>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</si>
  <si>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</si>
  <si>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</si>
  <si>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</si>
  <si>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</si>
  <si>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</si>
  <si>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</si>
  <si>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</si>
  <si>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</si>
  <si>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</si>
  <si>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</si>
  <si>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</si>
  <si>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</si>
  <si>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</si>
  <si>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</si>
  <si>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</si>
  <si>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</si>
  <si>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</si>
  <si>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</si>
  <si>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</si>
  <si>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</si>
  <si>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</si>
  <si>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</si>
  <si>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</si>
  <si>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</si>
  <si>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</si>
  <si>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</si>
  <si>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</si>
  <si>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</si>
  <si>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</si>
  <si>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</si>
  <si>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</si>
  <si>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</si>
  <si>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</si>
  <si>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</si>
  <si>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</si>
  <si>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</si>
  <si>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</si>
  <si>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</si>
  <si>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</si>
  <si>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</si>
  <si>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</si>
  <si>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</si>
  <si>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</si>
  <si>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</si>
  <si>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</si>
  <si>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</si>
  <si>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</si>
  <si>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</si>
  <si>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</si>
  <si>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</si>
  <si>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</si>
  <si>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</si>
  <si>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</si>
  <si>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</si>
  <si>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</si>
  <si>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</si>
  <si>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</si>
  <si>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</si>
  <si>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</si>
  <si>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</si>
  <si>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</si>
  <si>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</si>
  <si>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</si>
  <si>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</si>
  <si>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</si>
  <si>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</si>
  <si>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</si>
  <si>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</si>
  <si>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</si>
  <si>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</si>
  <si>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</si>
  <si>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</si>
  <si>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</si>
  <si>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</si>
  <si>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</si>
  <si>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</si>
  <si>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</si>
  <si>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</si>
  <si>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</si>
  <si>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</si>
  <si>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</si>
  <si>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</si>
  <si>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</si>
  <si>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</si>
  <si>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</si>
  <si>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</si>
  <si>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</si>
  <si>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</si>
  <si>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</si>
  <si>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</si>
  <si>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</si>
  <si>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</si>
  <si>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</si>
  <si>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</si>
  <si>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</si>
  <si>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</si>
  <si>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</si>
  <si>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</si>
  <si>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</si>
  <si>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</si>
  <si>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</si>
  <si>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</si>
  <si>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</si>
  <si>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</si>
  <si>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</si>
  <si>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</si>
  <si>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</si>
  <si>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</si>
  <si>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</si>
  <si>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</si>
  <si>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</si>
  <si>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</si>
  <si>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</si>
  <si>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</si>
  <si>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</si>
  <si>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</si>
  <si>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</si>
  <si>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</si>
  <si>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</si>
  <si>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</si>
  <si>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</si>
  <si>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</si>
  <si>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</si>
  <si>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</si>
  <si>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</si>
  <si>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</si>
  <si>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</si>
  <si>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</si>
  <si>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</si>
  <si>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</si>
  <si>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</si>
  <si>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</si>
  <si>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</si>
  <si>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</si>
  <si>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</si>
  <si>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</si>
  <si>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</si>
  <si>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</si>
  <si>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</si>
  <si>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</si>
  <si>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</si>
  <si>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</si>
  <si>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</si>
  <si>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</si>
  <si>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</si>
  <si>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</si>
  <si>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</si>
  <si>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</si>
  <si>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</si>
  <si>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</si>
  <si>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</si>
  <si>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</si>
  <si>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</si>
  <si>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</si>
  <si>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</si>
  <si>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</si>
  <si>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</si>
  <si>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</si>
  <si>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</si>
  <si>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</si>
  <si>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</si>
  <si>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</si>
  <si>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</si>
  <si>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</si>
  <si>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</si>
  <si>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</si>
  <si>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</si>
  <si>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</si>
  <si>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</si>
  <si>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</si>
  <si>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</si>
  <si>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</si>
  <si>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</si>
  <si>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</si>
  <si>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</si>
  <si>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</si>
  <si>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</si>
  <si>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</si>
  <si>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</si>
  <si>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</si>
  <si>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</si>
  <si>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</si>
  <si>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</si>
  <si>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</si>
  <si>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</si>
  <si>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</si>
  <si>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</si>
  <si>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</si>
  <si>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</si>
  <si>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</si>
  <si>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</si>
  <si>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</si>
  <si>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</si>
  <si>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</si>
  <si>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</si>
  <si>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</si>
  <si>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</si>
  <si>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</si>
  <si>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</si>
  <si>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</si>
  <si>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</si>
  <si>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</si>
  <si>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</si>
  <si>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</si>
  <si>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</si>
  <si>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</si>
  <si>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</si>
  <si>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</si>
  <si>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</si>
  <si>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</si>
  <si>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</si>
  <si>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</si>
  <si>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</si>
  <si>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</si>
  <si>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</si>
  <si>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</si>
  <si>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</si>
  <si>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</si>
  <si>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</si>
  <si>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</si>
  <si>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</si>
  <si>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</si>
  <si>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</si>
  <si>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</si>
  <si>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</si>
  <si>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</si>
  <si>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</si>
  <si>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</si>
  <si>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</si>
  <si>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</si>
  <si>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</si>
  <si>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</si>
  <si>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</si>
  <si>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</si>
  <si>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</si>
  <si>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</si>
  <si>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</si>
  <si>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</si>
  <si>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</si>
  <si>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</si>
  <si>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</si>
  <si>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</si>
  <si>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</si>
  <si>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</si>
  <si>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</si>
  <si>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</si>
  <si>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</si>
  <si>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</si>
  <si>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</si>
  <si>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</si>
  <si>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</si>
  <si>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</si>
  <si>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</si>
  <si>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</si>
  <si>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</si>
  <si>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</si>
  <si>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</si>
  <si>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</si>
  <si>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</si>
  <si>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</si>
  <si>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</si>
  <si>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</si>
  <si>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</si>
  <si>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</si>
  <si>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</si>
  <si>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</si>
  <si>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</si>
  <si>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</si>
  <si>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</si>
  <si>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</si>
  <si>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</si>
  <si>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</si>
  <si>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</si>
  <si>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</si>
  <si>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</si>
  <si>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</si>
  <si>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</si>
  <si>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</si>
  <si>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</si>
  <si>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</si>
  <si>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</si>
  <si>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</si>
  <si>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</si>
  <si>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</si>
  <si>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</si>
  <si>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</si>
  <si>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</si>
  <si>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</si>
  <si>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</si>
  <si>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</si>
  <si>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</si>
  <si>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</si>
  <si>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</si>
  <si>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</si>
  <si>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</si>
  <si>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</si>
  <si>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</si>
  <si>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</si>
  <si>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</si>
  <si>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</si>
  <si>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</si>
  <si>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</si>
  <si>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</si>
  <si>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</si>
  <si>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</si>
  <si>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</si>
  <si>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</si>
  <si>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</si>
  <si>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</si>
  <si>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</si>
  <si>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</si>
  <si>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</si>
  <si>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</si>
  <si>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</si>
  <si>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</si>
  <si>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</si>
  <si>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</si>
  <si>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</si>
  <si>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</si>
  <si>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</si>
  <si>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</si>
  <si>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</si>
  <si>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</si>
  <si>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</si>
  <si>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</si>
  <si>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</si>
  <si>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</si>
  <si>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</si>
  <si>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</si>
  <si>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</si>
  <si>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</si>
  <si>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</si>
  <si>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</si>
  <si>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</si>
  <si>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</si>
  <si>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</si>
  <si>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</si>
  <si>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</si>
  <si>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</si>
  <si>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</si>
  <si>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</si>
  <si>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</si>
  <si>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</si>
  <si>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</si>
  <si>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</si>
  <si>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</si>
  <si>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</si>
  <si>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</si>
  <si>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</si>
  <si>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</si>
  <si>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</si>
  <si>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</si>
  <si>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</si>
  <si>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</si>
  <si>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</si>
  <si>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</si>
  <si>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</si>
  <si>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</si>
  <si>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</si>
  <si>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</si>
  <si>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</si>
  <si>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</si>
  <si>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</si>
  <si>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</si>
  <si>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</si>
  <si>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</si>
  <si>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</si>
  <si>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</si>
  <si>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</si>
  <si>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</si>
  <si>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</si>
  <si>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</si>
  <si>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</si>
  <si>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</si>
  <si>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</si>
  <si>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</si>
  <si>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</si>
  <si>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</si>
  <si>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</si>
  <si>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</si>
  <si>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</si>
  <si>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</si>
  <si>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</si>
  <si>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</si>
  <si>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</si>
  <si>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</si>
  <si>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</si>
  <si>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</si>
  <si>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</si>
  <si>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</si>
  <si>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</si>
  <si>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</si>
  <si>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</si>
  <si>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</si>
  <si>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</si>
  <si>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</si>
  <si>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</si>
  <si>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</si>
  <si>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</si>
  <si>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</si>
  <si>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</si>
  <si>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</si>
  <si>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</si>
  <si>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</si>
  <si>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</si>
  <si>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</si>
  <si>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</si>
  <si>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</si>
  <si>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</si>
  <si>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</si>
  <si>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</si>
  <si>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</si>
  <si>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</si>
  <si>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</si>
  <si>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</si>
  <si>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</si>
  <si>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</si>
  <si>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</si>
  <si>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</si>
  <si>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</si>
  <si>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</si>
  <si>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</si>
  <si>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</si>
  <si>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</si>
  <si>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</si>
  <si>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</si>
  <si>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</si>
  <si>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</si>
  <si>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</si>
  <si>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</si>
  <si>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</si>
  <si>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</si>
  <si>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</si>
  <si>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</si>
  <si>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</si>
  <si>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</si>
  <si>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</si>
  <si>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</si>
  <si>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</si>
  <si>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</si>
  <si>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</si>
  <si>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</si>
  <si>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</si>
  <si>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</si>
  <si>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</si>
  <si>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</si>
  <si>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</si>
  <si>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</si>
  <si>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</si>
  <si>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</si>
  <si>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</si>
  <si>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</si>
  <si>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</si>
  <si>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</si>
  <si>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</si>
  <si>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</si>
  <si>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</si>
  <si>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</si>
  <si>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</si>
  <si>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</si>
  <si>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</si>
  <si>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</si>
  <si>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</si>
  <si>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</si>
  <si>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</si>
  <si>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</si>
  <si>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</si>
  <si>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</si>
  <si>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</si>
  <si>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</si>
  <si>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</si>
  <si>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</si>
  <si>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</si>
  <si>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</si>
  <si>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</si>
  <si>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</si>
  <si>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</si>
  <si>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</si>
  <si>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</si>
  <si>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</si>
  <si>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</si>
  <si>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</si>
  <si>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</si>
  <si>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</si>
  <si>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</si>
  <si>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</si>
  <si>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</si>
  <si>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</si>
  <si>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</si>
  <si>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</si>
  <si>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</si>
  <si>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</si>
  <si>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</si>
  <si>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</si>
  <si>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</si>
  <si>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</si>
  <si>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</si>
  <si>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</si>
  <si>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</si>
  <si>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</si>
  <si>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</si>
  <si>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</si>
  <si>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</si>
  <si>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</si>
  <si>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</si>
  <si>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</si>
  <si>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</si>
  <si>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</si>
  <si>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</si>
  <si>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</si>
  <si>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</si>
  <si>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</si>
  <si>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</si>
  <si>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</si>
  <si>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</si>
  <si>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</si>
  <si>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</si>
  <si>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</si>
  <si>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</si>
  <si>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</si>
  <si>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</si>
  <si>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</si>
  <si>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</si>
  <si>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</si>
  <si>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</si>
  <si>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</si>
  <si>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</si>
  <si>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</si>
  <si>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</si>
  <si>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</si>
  <si>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</si>
  <si>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</si>
  <si>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</si>
  <si>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</si>
  <si>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</si>
  <si>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</si>
  <si>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</si>
  <si>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</si>
  <si>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</si>
  <si>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</si>
  <si>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</si>
  <si>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</si>
  <si>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</si>
  <si>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</si>
  <si>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</si>
  <si>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</si>
  <si>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</si>
  <si>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</si>
  <si>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</si>
  <si>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</si>
  <si>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</si>
  <si>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</si>
  <si>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</si>
  <si>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</si>
  <si>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</si>
  <si>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</si>
  <si>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</si>
  <si>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</si>
  <si>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</si>
  <si>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</si>
  <si>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</si>
  <si>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</si>
  <si>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</si>
  <si>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</si>
  <si>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</si>
  <si>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</si>
  <si>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</si>
  <si>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</si>
  <si>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</si>
  <si>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</si>
  <si>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</si>
  <si>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</si>
  <si>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</si>
  <si>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</si>
  <si>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</si>
  <si>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</si>
  <si>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</si>
  <si>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</si>
  <si>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</si>
  <si>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</si>
  <si>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</si>
  <si>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</si>
  <si>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</si>
  <si>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</si>
  <si>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</si>
  <si>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</si>
  <si>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</si>
  <si>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</si>
  <si>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</si>
  <si>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</si>
  <si>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</si>
  <si>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</si>
  <si>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</si>
  <si>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</si>
  <si>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</si>
  <si>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</si>
  <si>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</si>
  <si>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</si>
  <si>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</si>
  <si>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</si>
  <si>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</si>
  <si>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</si>
  <si>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</si>
  <si>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</si>
  <si>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</si>
  <si>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</si>
  <si>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</si>
  <si>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</si>
  <si>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</si>
  <si>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</si>
  <si>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</si>
  <si>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</si>
  <si>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</si>
  <si>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</si>
  <si>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</si>
  <si>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</si>
  <si>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</si>
  <si>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</si>
  <si>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</si>
  <si>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</si>
  <si>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</si>
  <si>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</si>
  <si>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</si>
  <si>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</si>
  <si>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</si>
  <si>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</si>
  <si>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</si>
  <si>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</si>
  <si>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</si>
  <si>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</si>
  <si>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</si>
  <si>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</si>
  <si>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</si>
  <si>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</si>
  <si>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</si>
  <si>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</si>
  <si>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</si>
  <si>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</si>
  <si>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</si>
  <si>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</si>
  <si>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</si>
  <si>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</si>
  <si>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</si>
  <si>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</si>
  <si>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</si>
  <si>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</si>
  <si>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</si>
  <si>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</si>
  <si>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</si>
  <si>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</si>
  <si>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</si>
  <si>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</si>
  <si>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</si>
  <si>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</si>
  <si>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</si>
  <si>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</si>
  <si>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</si>
  <si>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</si>
  <si>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</si>
  <si>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</si>
  <si>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</si>
  <si>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</si>
  <si>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</si>
  <si>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</si>
  <si>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</si>
  <si>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</si>
  <si>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</si>
  <si>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</si>
  <si>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</si>
  <si>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</si>
  <si>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</si>
  <si>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</si>
  <si>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</si>
  <si>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</si>
  <si>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</si>
  <si>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</si>
  <si>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</si>
  <si>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</si>
  <si>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</si>
  <si>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</si>
  <si>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</si>
  <si>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</si>
  <si>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</si>
  <si>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</si>
  <si>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</si>
  <si>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</si>
  <si>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</si>
  <si>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</si>
  <si>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</si>
  <si>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</si>
  <si>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</si>
  <si>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</si>
  <si>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</si>
  <si>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</si>
  <si>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</si>
  <si>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</si>
  <si>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</si>
  <si>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</si>
  <si>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</si>
  <si>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</si>
  <si>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</si>
  <si>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</si>
  <si>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</si>
  <si>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</si>
  <si>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</si>
  <si>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</si>
  <si>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</si>
  <si>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</si>
  <si>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</si>
  <si>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</si>
  <si>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</si>
  <si>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</si>
  <si>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</si>
  <si>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</si>
  <si>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</si>
  <si>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</si>
  <si>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</si>
  <si>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</si>
  <si>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</si>
  <si>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</si>
  <si>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</si>
  <si>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</si>
  <si>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</si>
  <si>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</si>
  <si>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</si>
  <si>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</si>
  <si>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</si>
  <si>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</si>
  <si>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</si>
  <si>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</si>
  <si>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</si>
  <si>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</si>
  <si>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</si>
  <si>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</si>
  <si>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</si>
  <si>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</si>
  <si>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</si>
  <si>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</si>
  <si>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</si>
  <si>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</si>
  <si>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</si>
  <si>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</si>
  <si>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</si>
  <si>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</si>
  <si>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</si>
  <si>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</si>
  <si>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</si>
  <si>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</si>
  <si>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</si>
  <si>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</si>
  <si>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</si>
  <si>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</si>
  <si>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</si>
  <si>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</si>
  <si>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</si>
  <si>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</si>
  <si>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</si>
  <si>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</si>
  <si>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</si>
  <si>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</si>
  <si>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</si>
  <si>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</si>
  <si>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</si>
  <si>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</si>
  <si>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</si>
  <si>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</si>
  <si>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</si>
  <si>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</si>
  <si>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</si>
  <si>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</si>
  <si>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</si>
  <si>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</si>
  <si>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</si>
  <si>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</si>
  <si>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</si>
  <si>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</si>
  <si>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</si>
  <si>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</si>
  <si>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</si>
  <si>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</si>
  <si>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</si>
  <si>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</si>
  <si>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</si>
  <si>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</si>
  <si>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</si>
  <si>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</si>
  <si>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</si>
  <si>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</si>
  <si>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</si>
  <si>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</si>
  <si>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</si>
  <si>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</si>
  <si>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</si>
  <si>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</si>
  <si>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</si>
  <si>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</si>
  <si>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</si>
  <si>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</si>
  <si>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</si>
  <si>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</si>
  <si>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</si>
  <si>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</si>
  <si>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</si>
  <si>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</si>
  <si>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</si>
  <si>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</si>
  <si>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</si>
  <si>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</si>
  <si>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</si>
  <si>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</si>
  <si>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</si>
  <si>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</si>
  <si>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</si>
  <si>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</si>
  <si>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</si>
  <si>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</si>
  <si>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</si>
  <si>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</si>
  <si>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</si>
  <si>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</si>
  <si>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</si>
  <si>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</si>
  <si>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</si>
  <si>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</si>
  <si>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</si>
  <si>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</si>
  <si>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</si>
  <si>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</si>
  <si>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</si>
  <si>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</si>
  <si>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</si>
  <si>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</si>
  <si>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</si>
  <si>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</si>
  <si>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</si>
  <si>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</si>
  <si>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</si>
  <si>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</si>
  <si>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</si>
  <si>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</si>
  <si>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</si>
  <si>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</si>
  <si>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</si>
  <si>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</si>
  <si>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</si>
  <si>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</si>
  <si>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</si>
  <si>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</si>
  <si>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</si>
  <si>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</si>
  <si>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</si>
  <si>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</si>
  <si>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</si>
  <si>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</si>
  <si>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</si>
  <si>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</si>
  <si>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</si>
  <si>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</si>
  <si>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</si>
  <si>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</si>
  <si>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</si>
  <si>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</si>
  <si>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</si>
  <si>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</si>
  <si>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</si>
  <si>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</si>
  <si>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</si>
  <si>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</si>
  <si>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</si>
  <si>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</si>
  <si>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</si>
  <si>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</si>
  <si>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</si>
  <si>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</si>
  <si>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</si>
  <si>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</si>
  <si>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</si>
  <si>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</si>
  <si>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</si>
  <si>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</si>
  <si>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</si>
  <si>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</si>
  <si>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</si>
  <si>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</si>
  <si>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</si>
  <si>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</si>
  <si>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</si>
  <si>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</si>
  <si>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</si>
  <si>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</si>
  <si>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</si>
  <si>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</si>
  <si>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</si>
  <si>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</si>
  <si>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</si>
  <si>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</si>
  <si>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</si>
  <si>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</si>
  <si>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</si>
  <si>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</si>
  <si>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</si>
  <si>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</si>
  <si>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</si>
  <si>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</si>
  <si>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</si>
  <si>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</si>
  <si>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</si>
  <si>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</si>
  <si>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</si>
  <si>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</si>
  <si>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</si>
  <si>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</si>
  <si>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</si>
  <si>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</si>
  <si>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</si>
  <si>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</si>
  <si>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</si>
  <si>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</si>
  <si>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</si>
  <si>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</si>
  <si>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</si>
  <si>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</si>
  <si>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</si>
  <si>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</si>
  <si>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</si>
  <si>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</si>
  <si>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</si>
  <si>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</si>
  <si>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</si>
  <si>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</si>
  <si>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</si>
  <si>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</si>
  <si>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</si>
  <si>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</si>
  <si>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</si>
  <si>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</si>
  <si>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</si>
  <si>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</si>
  <si>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</si>
  <si>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</si>
  <si>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</si>
  <si>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</si>
  <si>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</si>
  <si>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</si>
  <si>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</si>
  <si>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</si>
  <si>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</si>
  <si>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</si>
  <si>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</si>
  <si>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</si>
  <si>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</si>
  <si>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</si>
  <si>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</si>
  <si>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</si>
  <si>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</si>
  <si>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</si>
  <si>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</si>
  <si>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</si>
  <si>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</si>
  <si>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</si>
  <si>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</si>
  <si>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</si>
  <si>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</si>
  <si>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</si>
  <si>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</si>
  <si>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</si>
  <si>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</si>
  <si>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</si>
  <si>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</si>
  <si>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</si>
  <si>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</si>
  <si>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</si>
  <si>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</si>
  <si>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</si>
  <si>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</si>
  <si>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</si>
  <si>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</si>
  <si>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</si>
  <si>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</si>
  <si>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</si>
  <si>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</si>
  <si>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</si>
  <si>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</si>
  <si>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</si>
  <si>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</si>
  <si>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</si>
  <si>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</si>
  <si>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</si>
  <si>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</si>
  <si>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</si>
  <si>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</si>
  <si>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</si>
  <si>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</si>
  <si>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</si>
  <si>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</si>
  <si>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</si>
  <si>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</si>
  <si>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</si>
  <si>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</si>
  <si>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</si>
  <si>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</si>
  <si>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</si>
  <si>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</si>
  <si>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</si>
  <si>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</si>
  <si>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</si>
  <si>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</si>
  <si>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</si>
  <si>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</si>
  <si>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</si>
  <si>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</si>
  <si>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</si>
  <si>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</si>
  <si>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</si>
  <si>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</si>
  <si>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</si>
  <si>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</si>
  <si>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</si>
  <si>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</si>
  <si>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</si>
  <si>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</si>
  <si>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</si>
  <si>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</si>
  <si>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</si>
  <si>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</si>
  <si>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</si>
  <si>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</si>
  <si>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</si>
  <si>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</si>
  <si>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</si>
  <si>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</si>
  <si>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</si>
  <si>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</si>
  <si>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</si>
  <si>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</si>
  <si>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</si>
  <si>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</si>
  <si>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</si>
  <si>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</si>
  <si>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</si>
  <si>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</si>
  <si>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</si>
  <si>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</si>
  <si>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</si>
  <si>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</si>
  <si>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</si>
  <si>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</si>
  <si>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</si>
  <si>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</si>
  <si>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</si>
  <si>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</si>
  <si>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</si>
  <si>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</si>
  <si>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</si>
  <si>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</si>
  <si>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</si>
  <si>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</si>
  <si>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</si>
  <si>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</si>
  <si>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</si>
  <si>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</si>
  <si>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</si>
  <si>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</si>
  <si>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</si>
  <si>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</si>
  <si>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</si>
  <si>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</si>
  <si>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</si>
  <si>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</si>
  <si>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</si>
  <si>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</si>
  <si>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</si>
  <si>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</si>
  <si>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</si>
  <si>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</si>
  <si>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</si>
  <si>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</si>
  <si>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</si>
  <si>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</si>
  <si>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</si>
  <si>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</si>
  <si>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</si>
  <si>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</si>
  <si>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</si>
  <si>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</si>
  <si>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</si>
  <si>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</si>
  <si>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</si>
  <si>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</si>
  <si>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</si>
  <si>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</si>
  <si>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</si>
  <si>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</si>
  <si>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</si>
  <si>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</si>
  <si>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</si>
  <si>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</si>
  <si>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</si>
  <si>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</si>
  <si>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</si>
  <si>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</si>
  <si>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</si>
  <si>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</si>
  <si>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</si>
  <si>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</si>
  <si>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</si>
  <si>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</si>
  <si>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</si>
  <si>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</si>
  <si>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</si>
  <si>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</si>
  <si>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</si>
  <si>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</si>
  <si>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</si>
  <si>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</si>
  <si>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</si>
  <si>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</si>
  <si>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</si>
  <si>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</si>
  <si>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</si>
  <si>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</si>
  <si>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</si>
  <si>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</si>
  <si>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</si>
  <si>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</si>
  <si>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</si>
  <si>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</si>
  <si>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</si>
  <si>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</si>
  <si>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</si>
  <si>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</si>
  <si>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</si>
  <si>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</si>
  <si>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</si>
  <si>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</si>
  <si>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</si>
  <si>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</si>
  <si>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</si>
  <si>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</si>
  <si>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</si>
  <si>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</si>
  <si>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</si>
  <si>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</si>
  <si>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</si>
  <si>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</si>
  <si>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</si>
  <si>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</si>
  <si>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</si>
  <si>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</si>
  <si>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</si>
  <si>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</si>
  <si>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</si>
  <si>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</si>
  <si>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</si>
  <si>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</si>
  <si>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</si>
  <si>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</si>
  <si>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</si>
  <si>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</si>
  <si>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</si>
  <si>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</si>
  <si>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</si>
  <si>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</si>
  <si>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</si>
  <si>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</si>
  <si>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</si>
  <si>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</si>
  <si>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</si>
  <si>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</si>
  <si>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</si>
  <si>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</si>
  <si>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</si>
  <si>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</si>
  <si>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</si>
  <si>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</si>
  <si>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</si>
  <si>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</si>
  <si>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</si>
  <si>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</si>
  <si>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</si>
  <si>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</si>
  <si>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</si>
  <si>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</si>
  <si>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</si>
  <si>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</si>
  <si>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</si>
  <si>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</si>
  <si>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</si>
  <si>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</si>
  <si>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</si>
  <si>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</si>
  <si>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</si>
  <si>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</si>
  <si>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</si>
  <si>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</si>
  <si>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</si>
  <si>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</si>
  <si>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</si>
  <si>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</si>
  <si>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</si>
  <si>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</si>
  <si>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</si>
  <si>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</si>
  <si>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</si>
  <si>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</si>
  <si>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</si>
  <si>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</si>
  <si>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</si>
  <si>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</si>
  <si>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</si>
  <si>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</si>
  <si>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</si>
  <si>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</si>
  <si>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</si>
  <si>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</si>
  <si>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</si>
  <si>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</si>
  <si>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</si>
  <si>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</si>
  <si>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</si>
  <si>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</si>
  <si>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</si>
  <si>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</si>
  <si>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</si>
  <si>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</si>
  <si>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</si>
  <si>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</si>
  <si>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</si>
  <si>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</si>
  <si>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</si>
  <si>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</si>
  <si>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</si>
  <si>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</si>
  <si>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</si>
  <si>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</si>
  <si>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</si>
  <si>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</si>
  <si>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</si>
  <si>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</si>
  <si>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</si>
  <si>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</si>
  <si>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</si>
  <si>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</si>
  <si>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</si>
  <si>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</si>
  <si>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</si>
  <si>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</si>
  <si>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</si>
  <si>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</si>
  <si>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</si>
  <si>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</si>
  <si>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</si>
  <si>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</si>
  <si>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</si>
  <si>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</si>
  <si>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</si>
  <si>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</si>
  <si>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</si>
  <si>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</si>
  <si>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</si>
  <si>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</si>
  <si>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</si>
  <si>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</si>
  <si>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</si>
  <si>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</si>
  <si>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</si>
  <si>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</si>
  <si>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</si>
  <si>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</si>
  <si>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</si>
  <si>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</si>
  <si>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</si>
  <si>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</si>
  <si>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</si>
  <si>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</si>
  <si>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</si>
  <si>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</si>
  <si>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</si>
  <si>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</si>
  <si>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</si>
  <si>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</si>
  <si>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</si>
  <si>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</si>
  <si>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</si>
  <si>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</si>
  <si>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</si>
  <si>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</si>
  <si>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</si>
  <si>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</si>
  <si>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</si>
  <si>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</si>
  <si>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</si>
  <si>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</si>
  <si>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</si>
  <si>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</si>
  <si>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</si>
  <si>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</si>
  <si>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</si>
  <si>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</si>
  <si>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</si>
  <si>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</si>
  <si>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</si>
  <si>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</si>
  <si>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</si>
  <si>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</si>
  <si>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</si>
  <si>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</si>
  <si>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</si>
  <si>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</si>
  <si>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</si>
  <si>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</si>
  <si>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</si>
  <si>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</si>
  <si>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</si>
  <si>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</si>
  <si>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</si>
  <si>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</si>
  <si>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</si>
  <si>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</si>
  <si>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</si>
  <si>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</si>
  <si>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</si>
  <si>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</si>
  <si>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</si>
  <si>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</si>
  <si>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</si>
  <si>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</si>
  <si>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</si>
  <si>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</si>
  <si>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</si>
  <si>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</si>
  <si>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</si>
  <si>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</si>
  <si>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</si>
  <si>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</si>
  <si>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</si>
  <si>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</si>
  <si>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</si>
  <si>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</si>
  <si>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</si>
  <si>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</si>
  <si>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</si>
  <si>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</si>
  <si>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</si>
  <si>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</si>
  <si>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</si>
  <si>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</si>
  <si>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</si>
  <si>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</si>
  <si>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</si>
  <si>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</si>
  <si>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</si>
  <si>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</si>
  <si>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</si>
  <si>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</si>
  <si>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</si>
  <si>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</si>
  <si>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</si>
  <si>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</si>
  <si>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</si>
  <si>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</si>
  <si>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</si>
  <si>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</si>
  <si>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</si>
  <si>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</si>
  <si>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</si>
  <si>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</si>
  <si>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</si>
  <si>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</si>
  <si>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</si>
  <si>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</si>
  <si>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</si>
  <si>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</si>
  <si>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</si>
  <si>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</si>
  <si>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</si>
  <si>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</si>
  <si>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</si>
  <si>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</si>
  <si>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</si>
  <si>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</si>
  <si>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</si>
  <si>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</si>
  <si>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</si>
  <si>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</si>
  <si>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</si>
  <si>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</si>
  <si>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</si>
  <si>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</si>
  <si>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</si>
  <si>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</si>
  <si>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</si>
  <si>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</si>
  <si>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</si>
  <si>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</si>
  <si>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</si>
  <si>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</si>
  <si>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</si>
  <si>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</si>
  <si>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</si>
  <si>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</si>
  <si>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</si>
  <si>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</si>
  <si>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</si>
  <si>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</si>
  <si>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</si>
  <si>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</si>
  <si>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</si>
  <si>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</si>
  <si>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</si>
  <si>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</si>
  <si>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</si>
  <si>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</si>
  <si>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</si>
  <si>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</si>
  <si>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</si>
  <si>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</si>
  <si>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</si>
  <si>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</si>
  <si>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</si>
  <si>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</si>
  <si>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</si>
  <si>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</si>
  <si>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</si>
  <si>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</si>
  <si>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</si>
  <si>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</si>
  <si>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</si>
  <si>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</si>
  <si>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</si>
  <si>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</si>
  <si>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</si>
  <si>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</si>
  <si>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</si>
  <si>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</si>
  <si>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</si>
  <si>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</si>
  <si>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</si>
  <si>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</si>
  <si>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</si>
  <si>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</si>
  <si>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</si>
  <si>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</si>
  <si>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</si>
  <si>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</si>
  <si>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</si>
  <si>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</si>
  <si>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</si>
  <si>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</si>
  <si>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</si>
  <si>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</si>
  <si>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</si>
  <si>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</si>
  <si>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</si>
  <si>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</si>
  <si>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</si>
  <si>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</si>
  <si>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</si>
  <si>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</si>
  <si>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</si>
  <si>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</si>
  <si>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</si>
  <si>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</si>
  <si>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</si>
  <si>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</si>
  <si>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</si>
  <si>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</si>
  <si>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</si>
  <si>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</si>
  <si>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</si>
  <si>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</si>
  <si>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</si>
  <si>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</si>
  <si>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</si>
  <si>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</si>
  <si>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</si>
  <si>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</si>
  <si>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</si>
  <si>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</si>
  <si>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</si>
  <si>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</si>
  <si>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</si>
  <si>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</si>
  <si>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</si>
  <si>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</si>
  <si>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</si>
  <si>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</si>
  <si>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</si>
  <si>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</si>
  <si>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</si>
  <si>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</si>
  <si>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</si>
  <si>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</si>
  <si>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</si>
  <si>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</si>
  <si>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</si>
  <si>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</si>
  <si>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</si>
  <si>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</si>
  <si>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</si>
  <si>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</si>
  <si>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</si>
  <si>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</si>
  <si>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</si>
  <si>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</si>
  <si>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</si>
  <si>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</si>
  <si>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</si>
  <si>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</si>
  <si>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</si>
  <si>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</si>
  <si>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</si>
  <si>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</si>
  <si>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</si>
  <si>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</si>
  <si>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</si>
  <si>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</si>
  <si>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</si>
  <si>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</si>
  <si>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</si>
  <si>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</si>
  <si>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</si>
  <si>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</si>
  <si>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</si>
  <si>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</si>
  <si>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</si>
  <si>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</si>
  <si>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</si>
  <si>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</si>
  <si>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</si>
  <si>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</si>
  <si>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</si>
  <si>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</si>
  <si>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</si>
  <si>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</si>
  <si>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</si>
  <si>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</si>
  <si>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</si>
  <si>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</si>
  <si>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</si>
  <si>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</si>
  <si>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</si>
  <si>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</si>
  <si>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</si>
  <si>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</si>
  <si>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</si>
  <si>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</si>
  <si>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</si>
  <si>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</si>
  <si>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</si>
  <si>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</si>
  <si>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</si>
  <si>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</si>
  <si>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</si>
  <si>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</si>
  <si>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</si>
  <si>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</si>
  <si>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</si>
  <si>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</si>
  <si>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</si>
  <si>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</si>
  <si>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</si>
  <si>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</si>
  <si>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</si>
  <si>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</si>
  <si>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</si>
  <si>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</si>
  <si>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</si>
  <si>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</si>
  <si>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</si>
  <si>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</si>
  <si>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</si>
  <si>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</si>
  <si>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</si>
  <si>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</si>
  <si>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</si>
  <si>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</si>
  <si>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</si>
  <si>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</si>
  <si>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</si>
  <si>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</si>
  <si>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</si>
  <si>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</si>
  <si>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</si>
  <si>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</si>
  <si>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</si>
  <si>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</si>
  <si>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</si>
  <si>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</si>
  <si>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</si>
  <si>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</si>
  <si>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</si>
  <si>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</si>
  <si>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</si>
  <si>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</si>
  <si>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</si>
  <si>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</si>
  <si>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</si>
  <si>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</si>
  <si>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</si>
  <si>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</si>
  <si>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</si>
  <si>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</si>
  <si>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</si>
  <si>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</si>
  <si>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</si>
  <si>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</si>
  <si>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</si>
  <si>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</si>
  <si>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</si>
  <si>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</si>
  <si>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</si>
  <si>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</si>
  <si>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</si>
  <si>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</si>
  <si>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</si>
  <si>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</si>
  <si>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</si>
  <si>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</si>
  <si>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</si>
  <si>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</si>
  <si>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</si>
  <si>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</si>
  <si>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</si>
  <si>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</si>
  <si>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</si>
  <si>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</si>
  <si>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</si>
  <si>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</si>
  <si>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</si>
  <si>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</si>
  <si>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</si>
  <si>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</si>
  <si>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</si>
  <si>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</si>
  <si>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</si>
  <si>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</si>
  <si>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</si>
  <si>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</si>
  <si>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</si>
  <si>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</si>
  <si>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</si>
  <si>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</si>
  <si>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</si>
  <si>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</si>
  <si>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</si>
  <si>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</si>
  <si>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</si>
  <si>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</si>
  <si>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</si>
  <si>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</si>
  <si>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</si>
  <si>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</si>
  <si>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</si>
  <si>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</si>
  <si>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</si>
  <si>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</si>
  <si>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</si>
  <si>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</si>
  <si>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</si>
  <si>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</si>
  <si>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</si>
  <si>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</si>
  <si>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</si>
  <si>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</si>
  <si>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</si>
  <si>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</si>
  <si>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</si>
  <si>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</si>
  <si>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</si>
  <si>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</si>
  <si>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</si>
  <si>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</si>
  <si>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</si>
  <si>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</si>
  <si>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</si>
  <si>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</si>
  <si>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</si>
  <si>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</si>
  <si>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</si>
  <si>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</si>
  <si>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</si>
  <si>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</si>
  <si>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</si>
  <si>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</si>
  <si>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</si>
  <si>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</si>
  <si>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</si>
  <si>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</si>
  <si>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</si>
  <si>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</si>
  <si>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</si>
  <si>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</si>
  <si>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</si>
  <si>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</si>
  <si>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</si>
  <si>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</si>
  <si>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</si>
  <si>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</si>
  <si>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</si>
  <si>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</si>
  <si>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</si>
  <si>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</si>
  <si>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</si>
  <si>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</si>
  <si>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</si>
  <si>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</si>
  <si>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</si>
  <si>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</si>
  <si>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</si>
  <si>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</si>
  <si>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</si>
  <si>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</si>
  <si>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</si>
  <si>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</si>
  <si>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</si>
  <si>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</si>
  <si>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</si>
  <si>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</si>
  <si>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</si>
  <si>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</si>
  <si>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</si>
  <si>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</si>
  <si>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</si>
  <si>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</si>
  <si>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</si>
  <si>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</si>
  <si>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</si>
  <si>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</si>
  <si>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</si>
  <si>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</si>
  <si>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</si>
  <si>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</si>
  <si>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</si>
  <si>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</si>
  <si>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</si>
  <si>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</si>
  <si>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</si>
  <si>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</si>
  <si>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</si>
  <si>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</si>
  <si>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</si>
  <si>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</si>
  <si>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</si>
  <si>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</si>
  <si>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</si>
  <si>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</si>
  <si>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</si>
  <si>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</si>
  <si>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</si>
  <si>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</si>
  <si>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</si>
  <si>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</si>
  <si>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</si>
  <si>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</si>
  <si>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</si>
  <si>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</si>
  <si>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</si>
  <si>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</si>
  <si>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</si>
  <si>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</si>
  <si>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</si>
  <si>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</si>
  <si>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</si>
  <si>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</si>
  <si>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</si>
  <si>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</si>
  <si>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</si>
  <si>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</si>
  <si>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</si>
  <si>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</si>
  <si>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</si>
  <si>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</si>
  <si>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</si>
  <si>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</si>
  <si>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</si>
  <si>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</si>
  <si>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</si>
  <si>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</si>
  <si>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</si>
  <si>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</si>
  <si>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</si>
  <si>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</si>
  <si>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</si>
  <si>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</si>
  <si>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</si>
  <si>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</si>
  <si>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</si>
  <si>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</si>
  <si>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</si>
  <si>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</si>
  <si>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</si>
  <si>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</si>
  <si>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</si>
  <si>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</si>
  <si>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</si>
  <si>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</si>
  <si>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</si>
  <si>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</si>
  <si>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</si>
  <si>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</si>
  <si>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</si>
  <si>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</si>
  <si>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</si>
  <si>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</si>
  <si>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</si>
  <si>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</si>
  <si>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</si>
  <si>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</si>
  <si>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</si>
  <si>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</si>
  <si>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</si>
  <si>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</si>
  <si>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</si>
  <si>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</si>
  <si>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</si>
  <si>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</si>
  <si>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</si>
  <si>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</si>
  <si>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</si>
  <si>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</si>
  <si>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</si>
  <si>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</si>
  <si>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</si>
  <si>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</si>
  <si>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</si>
  <si>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</si>
  <si>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</si>
  <si>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</si>
  <si>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</si>
  <si>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</si>
  <si>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</si>
  <si>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</si>
  <si>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</si>
  <si>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</si>
  <si>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</si>
  <si>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</si>
  <si>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</si>
  <si>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</si>
  <si>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</si>
  <si>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</si>
  <si>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</si>
  <si>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</si>
  <si>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</si>
  <si>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</si>
  <si>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</si>
  <si>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</si>
  <si>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</si>
  <si>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</si>
  <si>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</si>
  <si>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</si>
  <si>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</si>
  <si>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</si>
  <si>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</si>
  <si>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</si>
  <si>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</si>
  <si>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</si>
  <si>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</si>
  <si>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</si>
  <si>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</si>
  <si>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</si>
  <si>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</si>
  <si>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</si>
  <si>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</si>
  <si>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</si>
  <si>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</si>
  <si>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</si>
  <si>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</si>
  <si>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</si>
  <si>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</si>
  <si>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</si>
  <si>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</si>
  <si>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</si>
  <si>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</si>
  <si>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</si>
  <si>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</si>
  <si>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</si>
  <si>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</si>
  <si>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</si>
  <si>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</si>
  <si>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</si>
  <si>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</si>
  <si>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</si>
  <si>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</si>
  <si>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</si>
  <si>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</si>
  <si>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</si>
  <si>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</si>
  <si>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</si>
  <si>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</si>
  <si>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</si>
  <si>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</si>
  <si>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</si>
  <si>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</si>
  <si>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</si>
  <si>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</si>
  <si>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</si>
  <si>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</si>
  <si>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</si>
  <si>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</si>
  <si>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</si>
  <si>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</si>
  <si>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</si>
  <si>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</si>
  <si>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</si>
  <si>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</si>
  <si>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</si>
  <si>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</si>
  <si>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</si>
  <si>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</si>
  <si>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</si>
  <si>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</si>
  <si>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</si>
  <si>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</si>
  <si>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</si>
  <si>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</si>
  <si>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</si>
  <si>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</si>
  <si>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</si>
  <si>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</si>
  <si>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</si>
  <si>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</si>
  <si>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</si>
  <si>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</si>
  <si>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</si>
  <si>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</si>
  <si>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</si>
  <si>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</si>
  <si>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</si>
  <si>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</si>
  <si>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</si>
  <si>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</si>
  <si>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</si>
  <si>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</si>
  <si>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</si>
  <si>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</si>
  <si>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</si>
  <si>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</si>
  <si>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</si>
  <si>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</si>
  <si>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</si>
  <si>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</si>
  <si>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</si>
  <si>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</si>
  <si>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</si>
  <si>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</si>
  <si>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</si>
  <si>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</si>
  <si>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</si>
  <si>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</si>
  <si>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</si>
  <si>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</si>
  <si>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</si>
  <si>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</si>
  <si>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</si>
  <si>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</si>
  <si>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</si>
  <si>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</si>
  <si>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</si>
  <si>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</si>
  <si>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</si>
  <si>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</si>
  <si>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</si>
  <si>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</si>
  <si>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</si>
  <si>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</si>
  <si>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</si>
  <si>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</si>
  <si>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</si>
  <si>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</si>
  <si>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</si>
  <si>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</si>
  <si>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</si>
  <si>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</si>
  <si>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</si>
  <si>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</si>
  <si>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</si>
  <si>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</si>
  <si>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</si>
  <si>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</si>
  <si>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</si>
  <si>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</si>
  <si>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</si>
  <si>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</si>
  <si>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</si>
  <si>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</si>
  <si>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</si>
  <si>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</si>
  <si>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</si>
  <si>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</si>
  <si>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</si>
  <si>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</si>
  <si>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</si>
  <si>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</si>
  <si>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</si>
  <si>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</si>
  <si>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</si>
  <si>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</si>
  <si>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</si>
  <si>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</si>
  <si>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</si>
  <si>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</si>
  <si>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</si>
  <si>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</si>
  <si>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</si>
  <si>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</si>
  <si>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</si>
  <si>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</si>
  <si>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</si>
  <si>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</si>
  <si>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</si>
  <si>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</si>
  <si>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</si>
  <si>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</si>
  <si>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</si>
  <si>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</si>
  <si>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</si>
  <si>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</si>
  <si>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</si>
  <si>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</si>
  <si>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</si>
  <si>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</si>
  <si>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</si>
  <si>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</si>
  <si>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</si>
  <si>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</si>
  <si>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</si>
  <si>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</si>
  <si>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</si>
  <si>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</si>
  <si>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</si>
  <si>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</si>
  <si>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</si>
  <si>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</si>
  <si>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</si>
  <si>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</si>
  <si>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</si>
  <si>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</si>
  <si>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</si>
  <si>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</si>
  <si>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</si>
  <si>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</si>
  <si>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</si>
  <si>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</si>
  <si>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</si>
  <si>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</si>
  <si>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</si>
  <si>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</si>
  <si>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</si>
  <si>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</si>
  <si>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</si>
  <si>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</si>
  <si>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</si>
  <si>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</si>
  <si>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</si>
  <si>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</si>
  <si>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</si>
  <si>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</si>
  <si>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</si>
  <si>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</si>
  <si>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</si>
  <si>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</si>
  <si>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</si>
  <si>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</si>
  <si>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</si>
  <si>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</si>
  <si>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</si>
  <si>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</si>
  <si>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</si>
  <si>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</si>
  <si>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</si>
  <si>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</si>
  <si>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</si>
  <si>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</si>
  <si>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</si>
  <si>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</si>
  <si>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</si>
  <si>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</si>
  <si>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</si>
  <si>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</si>
  <si>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</si>
  <si>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</si>
  <si>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</si>
  <si>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</si>
  <si>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</si>
  <si>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</si>
  <si>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</si>
  <si>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</si>
  <si>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</si>
  <si>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</si>
  <si>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</si>
  <si>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</si>
  <si>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</si>
  <si>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</si>
  <si>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</si>
  <si>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</si>
  <si>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</si>
  <si>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</si>
  <si>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</si>
  <si>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</si>
  <si>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</si>
  <si>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</si>
  <si>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</si>
  <si>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</si>
  <si>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</si>
  <si>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</si>
  <si>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</si>
  <si>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</si>
  <si>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</si>
  <si>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</si>
  <si>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</si>
  <si>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</si>
  <si>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</si>
  <si>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</si>
  <si>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</si>
  <si>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</si>
  <si>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</si>
  <si>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</si>
  <si>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</si>
  <si>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</si>
  <si>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</si>
  <si>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</si>
  <si>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</si>
  <si>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</si>
  <si>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</si>
  <si>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</si>
  <si>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</si>
  <si>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</si>
  <si>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</si>
  <si>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</si>
  <si>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</si>
  <si>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</si>
  <si>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</si>
  <si>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</si>
  <si>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</si>
  <si>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</si>
  <si>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</si>
  <si>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</si>
  <si>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</si>
  <si>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</si>
  <si>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</si>
  <si>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</si>
  <si>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</si>
  <si>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</si>
  <si>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</si>
  <si>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</si>
  <si>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</si>
  <si>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</si>
  <si>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</si>
  <si>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</si>
  <si>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</si>
  <si>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</si>
  <si>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</si>
  <si>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</si>
  <si>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</si>
  <si>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</si>
  <si>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</si>
  <si>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</si>
  <si>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</si>
  <si>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</si>
  <si>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</si>
  <si>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</si>
  <si>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</si>
  <si>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</si>
  <si>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</si>
  <si>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</si>
  <si>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</si>
  <si>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</si>
  <si>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</si>
  <si>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</si>
  <si>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</si>
  <si>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</si>
  <si>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</si>
  <si>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</si>
  <si>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</si>
  <si>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</si>
  <si>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</si>
  <si>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</si>
  <si>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</si>
  <si>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</si>
  <si>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</si>
  <si>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</si>
  <si>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</si>
  <si>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</si>
  <si>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</si>
  <si>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</si>
  <si>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</si>
  <si>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</si>
  <si>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</si>
  <si>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</si>
  <si>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</si>
  <si>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</si>
  <si>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</si>
  <si>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</si>
  <si>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</si>
  <si>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</si>
  <si>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</si>
  <si>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</si>
  <si>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</si>
  <si>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</si>
  <si>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</si>
  <si>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</si>
  <si>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</si>
  <si>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</si>
  <si>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</si>
  <si>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</si>
  <si>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</si>
  <si>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</si>
  <si>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</si>
  <si>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</si>
  <si>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</si>
  <si>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</si>
  <si>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</si>
  <si>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</si>
  <si>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</si>
  <si>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</si>
  <si>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</si>
  <si>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</si>
  <si>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</si>
  <si>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</si>
  <si>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</si>
  <si>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</si>
  <si>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</si>
  <si>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</si>
  <si>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</si>
  <si>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</si>
  <si>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</si>
  <si>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</si>
  <si>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</si>
  <si>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</si>
  <si>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</si>
  <si>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</si>
  <si>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</si>
  <si>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</si>
  <si>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</si>
  <si>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</si>
  <si>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</si>
  <si>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</si>
  <si>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</si>
  <si>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</si>
  <si>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</si>
  <si>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</si>
  <si>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</si>
  <si>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</si>
  <si>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</si>
  <si>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</si>
  <si>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</si>
  <si>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</si>
  <si>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</si>
  <si>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</si>
  <si>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</si>
  <si>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</si>
  <si>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</si>
  <si>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</si>
  <si>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</si>
  <si>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</si>
  <si>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</si>
  <si>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</si>
  <si>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</si>
  <si>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</si>
  <si>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</si>
  <si>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</si>
  <si>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</si>
  <si>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</si>
  <si>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</si>
  <si>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</si>
  <si>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</si>
  <si>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</si>
  <si>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</si>
  <si>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</si>
  <si>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</si>
  <si>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</si>
  <si>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</si>
  <si>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</si>
  <si>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</si>
  <si>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</si>
  <si>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</si>
  <si>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</si>
  <si>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</si>
  <si>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</si>
  <si>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</si>
  <si>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</si>
  <si>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</si>
  <si>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</si>
  <si>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</si>
  <si>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</si>
  <si>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</si>
  <si>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</si>
  <si>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</si>
  <si>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</si>
  <si>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</si>
  <si>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</si>
  <si>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</si>
  <si>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</si>
  <si>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</si>
  <si>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</si>
  <si>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</si>
  <si>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</si>
  <si>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</si>
  <si>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</si>
  <si>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</si>
  <si>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</si>
  <si>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</si>
  <si>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</si>
  <si>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</si>
  <si>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</si>
  <si>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</si>
  <si>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</si>
  <si>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</si>
  <si>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</si>
  <si>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</si>
  <si>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</si>
  <si>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</si>
  <si>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</si>
  <si>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</si>
  <si>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</si>
  <si>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</si>
  <si>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</si>
  <si>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</si>
  <si>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</si>
  <si>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</si>
  <si>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</si>
  <si>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</si>
  <si>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</si>
  <si>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</si>
  <si>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</si>
  <si>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</si>
  <si>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</si>
  <si>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</si>
  <si>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</si>
  <si>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</si>
  <si>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</si>
  <si>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</si>
  <si>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</si>
  <si>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</si>
  <si>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</si>
  <si>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</si>
  <si>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</si>
  <si>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</si>
  <si>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</si>
  <si>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</si>
  <si>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</si>
  <si>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</si>
  <si>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</si>
  <si>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</si>
  <si>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</si>
  <si>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</si>
  <si>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</si>
  <si>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</si>
  <si>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</si>
  <si>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</si>
  <si>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</si>
  <si>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</si>
  <si>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</si>
  <si>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</si>
  <si>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</si>
  <si>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</si>
  <si>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</si>
  <si>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</si>
  <si>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</si>
  <si>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</si>
  <si>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</si>
  <si>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</si>
  <si>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</si>
  <si>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</si>
  <si>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</si>
  <si>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</si>
  <si>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</si>
  <si>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</si>
  <si>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</si>
  <si>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</si>
  <si>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</si>
  <si>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</si>
  <si>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</si>
  <si>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</si>
  <si>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</si>
  <si>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</si>
  <si>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</si>
  <si>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</si>
  <si>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</si>
  <si>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</si>
  <si>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</si>
  <si>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</si>
  <si>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</si>
  <si>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</si>
  <si>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</si>
  <si>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</si>
  <si>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</si>
  <si>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</si>
  <si>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</si>
  <si>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</si>
  <si>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</si>
  <si>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</si>
  <si>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</si>
  <si>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</si>
  <si>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</si>
  <si>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</si>
  <si>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</si>
  <si>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</si>
  <si>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</si>
  <si>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</si>
  <si>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</si>
  <si>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</si>
  <si>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</si>
  <si>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</si>
  <si>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</si>
  <si>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</si>
  <si>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</si>
  <si>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</si>
  <si>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</si>
  <si>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</si>
  <si>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</si>
  <si>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</si>
  <si>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</si>
  <si>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</si>
  <si>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</si>
  <si>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</si>
  <si>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</si>
  <si>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</si>
  <si>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</si>
  <si>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</si>
  <si>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</si>
  <si>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</si>
  <si>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</si>
  <si>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</si>
  <si>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</si>
  <si>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</si>
  <si>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</si>
  <si>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</si>
  <si>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</si>
  <si>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</si>
  <si>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</si>
  <si>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</si>
  <si>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</si>
  <si>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</si>
  <si>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</si>
  <si>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</si>
  <si>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</si>
  <si>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</si>
  <si>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</si>
  <si>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</si>
  <si>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</si>
  <si>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</si>
  <si>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</si>
  <si>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</si>
  <si>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</si>
  <si>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</si>
  <si>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</si>
  <si>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</si>
  <si>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</si>
  <si>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</si>
  <si>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</si>
  <si>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</si>
  <si>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</si>
  <si>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</si>
  <si>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</si>
  <si>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</si>
  <si>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</si>
  <si>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</si>
  <si>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</si>
  <si>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</si>
  <si>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</si>
  <si>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</si>
  <si>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</si>
  <si>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</si>
  <si>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</si>
  <si>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</si>
  <si>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</si>
  <si>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</si>
  <si>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</si>
  <si>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</si>
  <si>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</si>
  <si>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</si>
  <si>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</si>
  <si>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</si>
  <si>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</si>
  <si>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</si>
  <si>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</si>
  <si>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</si>
  <si>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</si>
  <si>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</si>
  <si>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</si>
  <si>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</si>
  <si>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</si>
  <si>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</si>
  <si>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</si>
  <si>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</si>
  <si>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</si>
  <si>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</si>
  <si>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</si>
  <si>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</si>
  <si>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</si>
  <si>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</si>
  <si>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</si>
  <si>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</si>
  <si>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</si>
  <si>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</si>
  <si>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</si>
  <si>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</si>
  <si>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</si>
  <si>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</si>
  <si>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</si>
  <si>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</si>
  <si>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</si>
  <si>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</si>
  <si>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</si>
  <si>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</si>
  <si>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</si>
  <si>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</si>
  <si>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</si>
  <si>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</si>
  <si>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</si>
  <si>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</si>
  <si>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</si>
  <si>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</si>
  <si>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</si>
  <si>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</si>
  <si>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</si>
  <si>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</si>
  <si>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</si>
  <si>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</si>
  <si>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</si>
  <si>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</si>
  <si>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</si>
  <si>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</si>
  <si>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</si>
  <si>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</si>
  <si>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</si>
  <si>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</si>
  <si>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</si>
  <si>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</si>
  <si>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</si>
  <si>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</si>
  <si>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</si>
  <si>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</si>
  <si>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</si>
  <si>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</si>
  <si>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</si>
  <si>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</si>
  <si>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</si>
  <si>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</si>
  <si>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</si>
  <si>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</si>
  <si>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</si>
  <si>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</si>
  <si>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</si>
  <si>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</si>
  <si>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</si>
  <si>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</si>
  <si>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</si>
  <si>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</si>
  <si>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</si>
  <si>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</si>
  <si>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</si>
  <si>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</si>
  <si>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</si>
  <si>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</si>
  <si>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</si>
  <si>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</si>
  <si>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</si>
  <si>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</si>
  <si>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</si>
  <si>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</si>
  <si>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</si>
  <si>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</si>
  <si>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</si>
  <si>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</si>
  <si>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</si>
  <si>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</si>
  <si>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</si>
  <si>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</si>
  <si>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</si>
  <si>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</si>
  <si>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</si>
  <si>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</si>
  <si>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</si>
  <si>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</si>
  <si>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</si>
  <si>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</si>
  <si>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</si>
  <si>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</si>
  <si>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</si>
  <si>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</si>
  <si>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</si>
  <si>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</si>
  <si>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</si>
  <si>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</si>
  <si>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</si>
  <si>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</si>
  <si>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</si>
  <si>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</si>
  <si>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</si>
  <si>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</si>
  <si>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</si>
  <si>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</si>
  <si>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</si>
  <si>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</si>
  <si>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</si>
  <si>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</si>
  <si>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</si>
  <si>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</si>
  <si>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</si>
  <si>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</si>
  <si>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</si>
  <si>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</si>
  <si>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</si>
  <si>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</si>
  <si>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</si>
  <si>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</si>
  <si>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</si>
  <si>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</si>
  <si>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</si>
  <si>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</si>
  <si>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</si>
  <si>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</si>
  <si>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</si>
  <si>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</si>
  <si>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</si>
  <si>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</si>
  <si>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</si>
  <si>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</si>
  <si>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</si>
  <si>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</si>
  <si>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</si>
  <si>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</si>
  <si>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</si>
  <si>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</si>
  <si>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</si>
  <si>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</si>
  <si>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</si>
  <si>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</si>
  <si>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</si>
  <si>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</si>
  <si>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</si>
  <si>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</si>
  <si>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</si>
  <si>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</si>
  <si>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</si>
  <si>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</si>
  <si>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</si>
  <si>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</si>
  <si>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</si>
  <si>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</si>
  <si>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</si>
  <si>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</si>
  <si>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</si>
  <si>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</si>
  <si>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</si>
  <si>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</si>
  <si>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</si>
  <si>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</si>
  <si>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</si>
  <si>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</si>
  <si>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</si>
  <si>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</si>
  <si>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</si>
  <si>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</si>
  <si>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</si>
  <si>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</si>
  <si>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</si>
  <si>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</si>
  <si>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</si>
  <si>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</si>
  <si>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</si>
  <si>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</si>
  <si>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</si>
  <si>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</si>
  <si>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</si>
  <si>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</si>
  <si>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</si>
  <si>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</si>
  <si>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</si>
  <si>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</si>
  <si>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</si>
  <si>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</si>
  <si>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</si>
  <si>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</si>
  <si>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</si>
  <si>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</si>
  <si>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</si>
  <si>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</si>
  <si>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</si>
  <si>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</si>
  <si>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</si>
  <si>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</si>
  <si>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</si>
  <si>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</si>
  <si>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</si>
  <si>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</si>
  <si>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</si>
  <si>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</si>
  <si>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</si>
  <si>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</si>
  <si>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</si>
  <si>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</si>
  <si>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</si>
  <si>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</si>
  <si>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</si>
  <si>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</si>
  <si>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</si>
  <si>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</si>
  <si>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</si>
  <si>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</si>
  <si>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</si>
  <si>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</si>
  <si>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</si>
  <si>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</si>
  <si>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</si>
  <si>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</si>
  <si>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</si>
  <si>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</si>
  <si>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</si>
  <si>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</si>
  <si>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</si>
  <si>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</si>
  <si>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</si>
  <si>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</si>
  <si>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</si>
  <si>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</si>
  <si>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</si>
  <si>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</si>
  <si>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</si>
  <si>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</si>
  <si>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</si>
  <si>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</si>
  <si>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</si>
  <si>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</si>
  <si>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</si>
  <si>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</si>
  <si>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</si>
  <si>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</si>
  <si>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</si>
  <si>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</si>
  <si>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</si>
  <si>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</si>
  <si>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</si>
  <si>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</si>
  <si>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</si>
  <si>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</si>
  <si>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</si>
  <si>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</si>
  <si>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</si>
  <si>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</si>
  <si>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</si>
  <si>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</si>
  <si>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</si>
  <si>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</si>
  <si>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</si>
  <si>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</si>
  <si>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</si>
  <si>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</si>
  <si>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</si>
  <si>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</si>
  <si>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</si>
  <si>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</si>
  <si>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</si>
  <si>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</si>
  <si>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</si>
  <si>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</si>
  <si>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</si>
  <si>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</si>
  <si>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</si>
  <si>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</si>
  <si>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</si>
  <si>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</si>
  <si>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</si>
  <si>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</si>
  <si>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</si>
  <si>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</si>
  <si>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</si>
  <si>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</si>
  <si>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</si>
  <si>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</si>
  <si>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</si>
  <si>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</si>
  <si>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</si>
  <si>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</si>
  <si>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</si>
  <si>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</si>
  <si>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</si>
  <si>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</si>
  <si>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</si>
  <si>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</si>
  <si>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</si>
  <si>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</si>
  <si>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</si>
  <si>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</si>
  <si>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</si>
  <si>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</si>
  <si>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</si>
  <si>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</si>
  <si>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</si>
  <si>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</si>
  <si>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</si>
  <si>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</si>
  <si>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</si>
  <si>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</si>
  <si>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</si>
  <si>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</si>
  <si>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</si>
  <si>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</si>
  <si>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</si>
  <si>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</si>
  <si>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</si>
  <si>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</si>
  <si>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</si>
  <si>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</si>
  <si>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</si>
  <si>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</si>
  <si>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</si>
  <si>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</si>
  <si>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</si>
  <si>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</si>
  <si>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</si>
  <si>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</si>
  <si>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</si>
  <si>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</si>
  <si>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</si>
  <si>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</si>
  <si>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</si>
  <si>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</si>
  <si>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</si>
  <si>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</si>
  <si>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</si>
  <si>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</si>
  <si>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</si>
  <si>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</si>
  <si>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</si>
  <si>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</si>
  <si>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</si>
  <si>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</si>
  <si>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</si>
  <si>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</si>
  <si>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</si>
  <si>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</si>
  <si>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</si>
  <si>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</si>
  <si>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</si>
  <si>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</si>
  <si>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</si>
  <si>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</si>
  <si>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</si>
  <si>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</si>
  <si>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</si>
  <si>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</si>
  <si>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</si>
  <si>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</si>
  <si>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</si>
  <si>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</si>
  <si>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</si>
  <si>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</si>
  <si>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</si>
  <si>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</si>
  <si>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</si>
  <si>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</si>
  <si>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</si>
  <si>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</si>
  <si>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</si>
  <si>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</si>
  <si>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</si>
  <si>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</si>
  <si>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</si>
  <si>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</si>
  <si>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</si>
  <si>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</si>
  <si>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</si>
  <si>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</si>
  <si>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</si>
  <si>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</si>
  <si>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</si>
  <si>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</si>
  <si>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</si>
  <si>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</si>
  <si>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</si>
  <si>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</si>
  <si>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</si>
  <si>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</si>
  <si>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</si>
  <si>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</si>
  <si>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</si>
  <si>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</si>
  <si>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</si>
  <si>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</si>
  <si>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</si>
  <si>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</si>
  <si>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</si>
  <si>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</si>
  <si>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</si>
  <si>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</si>
  <si>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</si>
  <si>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</si>
  <si>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</si>
  <si>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</si>
  <si>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</si>
  <si>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</si>
  <si>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</si>
  <si>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</si>
  <si>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</si>
  <si>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</si>
  <si>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</si>
  <si>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</si>
  <si>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</si>
  <si>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</si>
  <si>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</si>
  <si>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</si>
  <si>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</si>
  <si>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</si>
  <si>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</si>
  <si>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</si>
  <si>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</si>
  <si>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</si>
  <si>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</si>
  <si>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</si>
  <si>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</si>
  <si>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</si>
  <si>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</si>
  <si>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</si>
  <si>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</si>
  <si>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</si>
  <si>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</si>
  <si>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</si>
  <si>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</si>
  <si>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</si>
  <si>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</si>
  <si>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</si>
  <si>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</si>
  <si>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</si>
  <si>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</si>
  <si>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</si>
  <si>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</si>
  <si>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</si>
  <si>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</si>
  <si>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</si>
  <si>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</si>
  <si>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</si>
  <si>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</si>
  <si>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</si>
  <si>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</si>
  <si>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</si>
  <si>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</si>
  <si>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</si>
  <si>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</si>
  <si>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</si>
  <si>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</si>
  <si>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</si>
  <si>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</si>
  <si>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</si>
  <si>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</si>
  <si>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</si>
  <si>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</si>
  <si>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</si>
  <si>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</si>
  <si>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</si>
  <si>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</si>
  <si>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</si>
  <si>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</si>
  <si>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</si>
  <si>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</si>
  <si>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</si>
  <si>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</si>
  <si>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</si>
  <si>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</si>
  <si>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</si>
  <si>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</si>
  <si>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</si>
  <si>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</si>
  <si>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</si>
  <si>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</si>
  <si>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</si>
  <si>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</si>
  <si>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</si>
  <si>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</si>
  <si>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</si>
  <si>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</si>
  <si>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</si>
  <si>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</si>
  <si>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</si>
  <si>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</si>
  <si>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</si>
  <si>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</si>
  <si>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</si>
  <si>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</si>
  <si>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</si>
  <si>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</si>
  <si>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</si>
  <si>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</si>
  <si>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</si>
  <si>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</si>
  <si>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</si>
  <si>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</si>
  <si>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</si>
  <si>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</si>
  <si>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</si>
  <si>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</si>
  <si>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</si>
  <si>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</si>
  <si>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</si>
  <si>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</si>
  <si>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</si>
  <si>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</si>
  <si>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</si>
  <si>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</si>
  <si>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</si>
  <si>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</si>
  <si>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</si>
  <si>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</si>
  <si>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</si>
  <si>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</si>
  <si>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</si>
  <si>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</si>
  <si>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</si>
  <si>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</si>
  <si>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</si>
  <si>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</si>
  <si>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</si>
  <si>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</si>
  <si>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</si>
  <si>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</si>
  <si>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</si>
  <si>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</si>
  <si>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</si>
  <si>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</si>
  <si>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</si>
  <si>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</si>
  <si>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</si>
  <si>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</si>
  <si>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</si>
  <si>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</si>
  <si>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</si>
  <si>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</si>
  <si>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</si>
  <si>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</si>
  <si>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</si>
  <si>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</si>
  <si>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</si>
  <si>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</si>
  <si>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</si>
  <si>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</si>
  <si>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</si>
  <si>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</si>
  <si>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</si>
  <si>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</si>
  <si>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</si>
  <si>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</si>
  <si>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</si>
  <si>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</si>
  <si>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</si>
  <si>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</si>
  <si>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</si>
  <si>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</si>
  <si>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</si>
  <si>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</si>
  <si>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</si>
  <si>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</si>
  <si>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</si>
  <si>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</si>
  <si>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</si>
  <si>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</si>
  <si>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</si>
  <si>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</si>
  <si>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</si>
  <si>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</si>
  <si>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</si>
  <si>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</si>
  <si>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</si>
  <si>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</si>
  <si>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</si>
  <si>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</si>
  <si>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</si>
  <si>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</si>
  <si>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</si>
  <si>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</si>
  <si>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</si>
  <si>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</si>
  <si>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</si>
  <si>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</si>
  <si>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</si>
  <si>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</si>
  <si>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</si>
  <si>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</si>
  <si>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</si>
  <si>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</si>
  <si>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</si>
  <si>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</si>
  <si>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</si>
  <si>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</si>
  <si>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</si>
  <si>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</si>
  <si>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</si>
  <si>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</si>
  <si>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</si>
  <si>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</si>
  <si>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</si>
  <si>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</si>
  <si>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</si>
  <si>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</si>
  <si>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</si>
  <si>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</si>
  <si>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</si>
  <si>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</si>
  <si>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</si>
  <si>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</si>
  <si>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</si>
  <si>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</si>
  <si>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</si>
  <si>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</si>
  <si>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</si>
  <si>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</si>
  <si>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</si>
  <si>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</si>
  <si>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</si>
  <si>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</si>
  <si>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</si>
  <si>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</si>
  <si>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</si>
  <si>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</si>
  <si>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</si>
  <si>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</si>
  <si>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</si>
  <si>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</si>
  <si>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</si>
  <si>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</si>
  <si>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</si>
  <si>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</si>
  <si>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</si>
  <si>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</si>
  <si>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</si>
  <si>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</si>
  <si>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</si>
  <si>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</si>
  <si>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</si>
  <si>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</si>
  <si>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</si>
  <si>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</si>
  <si>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</si>
  <si>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</si>
  <si>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</si>
  <si>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</si>
  <si>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</si>
  <si>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</si>
  <si>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</si>
  <si>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</si>
  <si>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</si>
  <si>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</si>
  <si>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</si>
  <si>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</si>
  <si>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</si>
  <si>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</si>
  <si>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</si>
  <si>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</si>
  <si>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</si>
  <si>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</si>
  <si>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</si>
  <si>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</si>
  <si>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</si>
  <si>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</si>
  <si>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</si>
  <si>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</si>
  <si>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</si>
  <si>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</si>
  <si>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</si>
  <si>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</si>
  <si>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</si>
  <si>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</si>
  <si>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</si>
  <si>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</si>
  <si>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</si>
  <si>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</si>
  <si>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</si>
  <si>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</si>
  <si>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</si>
  <si>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</si>
  <si>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</si>
  <si>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</si>
  <si>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</si>
  <si>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</si>
  <si>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</si>
  <si>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</si>
  <si>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</si>
  <si>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</si>
  <si>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</si>
  <si>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</si>
  <si>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</si>
  <si>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</si>
  <si>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</si>
  <si>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</si>
  <si>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</si>
  <si>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</si>
  <si>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</si>
  <si>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</si>
  <si>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</si>
  <si>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</si>
  <si>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</si>
  <si>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</si>
  <si>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</si>
  <si>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</si>
  <si>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</si>
  <si>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</si>
  <si>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</si>
  <si>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</si>
  <si>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</si>
  <si>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</si>
  <si>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</si>
  <si>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</si>
  <si>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</si>
  <si>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</si>
  <si>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</si>
  <si>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</si>
  <si>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</si>
  <si>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</si>
  <si>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</si>
  <si>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</si>
  <si>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</si>
  <si>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</si>
  <si>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</si>
  <si>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</si>
  <si>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</si>
  <si>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</si>
  <si>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</si>
  <si>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</si>
  <si>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</si>
  <si>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</si>
  <si>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</si>
  <si>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</si>
  <si>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</si>
  <si>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</si>
  <si>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</si>
  <si>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</si>
  <si>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</si>
  <si>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</si>
  <si>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</si>
  <si>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</si>
  <si>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</si>
  <si>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</si>
  <si>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</si>
  <si>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</si>
  <si>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</si>
  <si>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</si>
  <si>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</si>
  <si>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</si>
  <si>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</si>
  <si>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</si>
  <si>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</si>
  <si>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</si>
  <si>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</si>
  <si>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</si>
  <si>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</si>
  <si>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</si>
  <si>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</si>
  <si>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</si>
  <si>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</si>
  <si>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</si>
  <si>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</si>
  <si>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</si>
  <si>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</si>
  <si>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</si>
  <si>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</si>
  <si>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</si>
  <si>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</si>
  <si>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</si>
  <si>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</si>
  <si>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</si>
  <si>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</si>
  <si>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</si>
  <si>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</si>
  <si>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</si>
  <si>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</si>
  <si>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</si>
  <si>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</si>
  <si>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</si>
  <si>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</si>
  <si>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</si>
  <si>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</si>
  <si>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</si>
  <si>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</si>
  <si>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</si>
  <si>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</si>
  <si>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</si>
  <si>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</si>
  <si>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</si>
  <si>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</si>
  <si>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</si>
  <si>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</si>
  <si>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</si>
  <si>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</si>
  <si>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</si>
  <si>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</si>
  <si>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</si>
  <si>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</si>
  <si>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</si>
  <si>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</si>
  <si>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</si>
  <si>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</si>
  <si>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</si>
  <si>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</si>
  <si>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</si>
  <si>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</si>
  <si>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</si>
  <si>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</si>
  <si>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</si>
  <si>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</si>
  <si>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</si>
  <si>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</si>
  <si>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</si>
  <si>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</si>
  <si>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</si>
  <si>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</si>
  <si>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</si>
  <si>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</si>
  <si>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</si>
  <si>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</si>
  <si>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</si>
  <si>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</si>
  <si>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</si>
  <si>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</si>
  <si>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</si>
  <si>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</si>
  <si>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</si>
  <si>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</si>
  <si>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</si>
  <si>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</si>
  <si>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</si>
  <si>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</si>
  <si>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</si>
  <si>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</si>
  <si>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</si>
  <si>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</si>
  <si>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</si>
  <si>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</si>
  <si>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</si>
  <si>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</si>
  <si>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</si>
  <si>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</si>
  <si>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</si>
  <si>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</si>
  <si>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</si>
  <si>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</si>
  <si>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</si>
  <si>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</si>
  <si>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</si>
  <si>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</si>
  <si>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</si>
  <si>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</si>
  <si>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</si>
  <si>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</si>
  <si>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</si>
  <si>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</si>
  <si>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</si>
  <si>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</si>
  <si>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</si>
  <si>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</si>
  <si>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</si>
  <si>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</si>
  <si>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</si>
  <si>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</si>
  <si>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</si>
  <si>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</si>
  <si>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</si>
  <si>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</si>
  <si>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</si>
  <si>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</si>
  <si>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</si>
  <si>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</si>
  <si>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</si>
  <si>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</si>
  <si>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</si>
  <si>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</si>
  <si>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</si>
  <si>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</si>
  <si>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</si>
  <si>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</si>
  <si>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</si>
  <si>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</si>
  <si>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</si>
  <si>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</si>
  <si>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</si>
  <si>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</si>
  <si>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</si>
  <si>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</si>
  <si>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</si>
  <si>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</si>
  <si>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</si>
  <si>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</si>
  <si>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</si>
  <si>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</si>
  <si>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</si>
  <si>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</si>
  <si>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</si>
  <si>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</si>
  <si>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</si>
  <si>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</si>
  <si>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</si>
  <si>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</si>
  <si>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</si>
  <si>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</si>
  <si>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</si>
  <si>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</si>
  <si>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</si>
  <si>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</si>
  <si>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</si>
  <si>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</si>
  <si>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</si>
  <si>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</si>
  <si>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</si>
  <si>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</si>
  <si>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</si>
  <si>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</si>
  <si>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</si>
  <si>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</si>
  <si>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</si>
  <si>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</si>
  <si>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</si>
  <si>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</si>
  <si>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</si>
  <si>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</si>
  <si>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</si>
  <si>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</si>
  <si>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</si>
  <si>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</si>
  <si>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</si>
  <si>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</si>
  <si>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</si>
  <si>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</si>
  <si>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</si>
  <si>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</si>
  <si>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</si>
  <si>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</si>
  <si>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</si>
  <si>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</si>
  <si>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</si>
  <si>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</si>
  <si>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</si>
  <si>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</si>
  <si>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</si>
  <si>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</si>
  <si>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</si>
  <si>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</si>
  <si>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</si>
  <si>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</si>
  <si>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</si>
  <si>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</si>
  <si>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</si>
  <si>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</si>
  <si>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</si>
  <si>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</si>
  <si>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</si>
  <si>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</si>
  <si>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</si>
  <si>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</si>
  <si>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</si>
  <si>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</si>
  <si>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</si>
  <si>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</si>
  <si>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</si>
  <si>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</si>
  <si>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</si>
  <si>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</si>
  <si>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</si>
  <si>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</si>
  <si>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</si>
  <si>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</si>
  <si>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</si>
  <si>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</si>
  <si>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</si>
  <si>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</si>
  <si>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</si>
  <si>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</si>
  <si>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</si>
  <si>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</si>
  <si>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</si>
  <si>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</si>
  <si>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</si>
  <si>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</si>
  <si>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</si>
  <si>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</si>
  <si>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</si>
  <si>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</si>
  <si>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</si>
  <si>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</si>
  <si>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</si>
  <si>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</si>
  <si>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</si>
  <si>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</si>
  <si>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</si>
  <si>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</si>
  <si>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</si>
  <si>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</si>
  <si>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</si>
  <si>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</si>
  <si>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</si>
  <si>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</si>
  <si>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</si>
  <si>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</si>
  <si>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</si>
  <si>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</si>
  <si>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</si>
  <si>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</si>
  <si>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</si>
  <si>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</si>
  <si>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</si>
  <si>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</si>
  <si>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</si>
  <si>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</si>
  <si>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</si>
  <si>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</si>
  <si>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</si>
  <si>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</si>
  <si>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</si>
  <si>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</si>
  <si>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</si>
  <si>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</si>
  <si>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</si>
  <si>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</si>
  <si>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</si>
  <si>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</si>
  <si>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</si>
  <si>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</si>
  <si>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</si>
  <si>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</si>
  <si>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</si>
  <si>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</si>
  <si>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</si>
  <si>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</si>
  <si>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</si>
  <si>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</si>
  <si>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</si>
  <si>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</si>
  <si>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</si>
  <si>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</si>
  <si>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</si>
  <si>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</si>
  <si>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</si>
  <si>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</si>
  <si>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</si>
  <si>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</si>
  <si>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</si>
  <si>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</si>
  <si>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</si>
  <si>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</si>
  <si>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</si>
  <si>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</si>
  <si>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</si>
  <si>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</si>
  <si>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</si>
  <si>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</si>
  <si>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</si>
  <si>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</si>
  <si>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</si>
  <si>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</si>
  <si>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</si>
  <si>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</si>
  <si>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</si>
  <si>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</si>
  <si>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</si>
  <si>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</si>
  <si>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</si>
  <si>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</si>
  <si>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</si>
  <si>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</si>
  <si>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</si>
  <si>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</si>
  <si>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</si>
  <si>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</si>
  <si>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</si>
  <si>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</si>
  <si>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</si>
  <si>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</si>
  <si>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</si>
  <si>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</si>
  <si>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</si>
  <si>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</si>
  <si>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</si>
  <si>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</si>
  <si>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</si>
  <si>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</si>
  <si>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</si>
  <si>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</si>
  <si>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</si>
  <si>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</si>
  <si>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</si>
  <si>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</si>
  <si>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</si>
  <si>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</si>
  <si>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</si>
  <si>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</si>
  <si>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</si>
  <si>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</si>
  <si>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</si>
  <si>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</si>
  <si>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</si>
  <si>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</si>
  <si>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</si>
  <si>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</si>
  <si>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</si>
  <si>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</si>
  <si>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</si>
  <si>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</si>
  <si>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</si>
  <si>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</si>
  <si>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</si>
  <si>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</si>
  <si>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</si>
  <si>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</si>
  <si>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</si>
  <si>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</si>
  <si>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</si>
  <si>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</si>
  <si>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</si>
  <si>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</si>
  <si>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</si>
  <si>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</si>
  <si>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</si>
  <si>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</si>
  <si>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</si>
  <si>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</si>
  <si>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</si>
  <si>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</si>
  <si>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</si>
  <si>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</si>
  <si>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</si>
  <si>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</si>
  <si>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</si>
  <si>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</si>
  <si>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</si>
  <si>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</si>
  <si>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</si>
  <si>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</si>
  <si>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</si>
  <si>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</si>
  <si>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</si>
  <si>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</si>
  <si>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</si>
  <si>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</si>
  <si>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</si>
  <si>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</si>
  <si>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</si>
  <si>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</si>
  <si>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</si>
  <si>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</si>
  <si>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</si>
  <si>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</si>
  <si>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</si>
  <si>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</si>
  <si>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</si>
  <si>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</si>
  <si>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</si>
  <si>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</si>
  <si>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</si>
  <si>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</si>
  <si>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</si>
  <si>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</si>
  <si>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</si>
  <si>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</si>
  <si>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</si>
  <si>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</si>
  <si>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</si>
  <si>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</si>
  <si>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</si>
  <si>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</si>
  <si>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</si>
  <si>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</si>
  <si>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</si>
  <si>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</si>
  <si>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</si>
  <si>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</si>
  <si>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</si>
  <si>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</si>
  <si>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</si>
  <si>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</si>
  <si>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</si>
  <si>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</si>
  <si>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</si>
  <si>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</si>
  <si>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</si>
  <si>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</si>
  <si>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</si>
  <si>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</si>
  <si>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</si>
  <si>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</si>
  <si>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</si>
  <si>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</si>
  <si>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</si>
  <si>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</si>
  <si>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</si>
  <si>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</si>
  <si>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</si>
  <si>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</si>
  <si>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</si>
  <si>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</si>
  <si>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</si>
  <si>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</si>
  <si>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</si>
  <si>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</si>
  <si>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</si>
  <si>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</si>
  <si>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</si>
  <si>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</si>
  <si>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</si>
  <si>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</si>
  <si>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</si>
  <si>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</si>
  <si>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</si>
  <si>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</si>
  <si>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</si>
  <si>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</si>
  <si>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</si>
  <si>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</si>
  <si>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</si>
  <si>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</si>
  <si>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</si>
  <si>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</si>
  <si>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</si>
  <si>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</si>
  <si>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</si>
  <si>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</si>
  <si>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</si>
  <si>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</si>
  <si>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</si>
  <si>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</si>
  <si>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</si>
  <si>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</si>
  <si>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</si>
  <si>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</si>
  <si>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</si>
  <si>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</si>
  <si>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</si>
  <si>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</si>
  <si>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</si>
  <si>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</si>
  <si>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</si>
  <si>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</si>
  <si>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</si>
  <si>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</si>
  <si>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</si>
  <si>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</si>
  <si>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</si>
  <si>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</si>
  <si>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</si>
  <si>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</si>
  <si>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</si>
  <si>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</si>
  <si>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</si>
  <si>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</si>
  <si>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</si>
  <si>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</si>
  <si>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</si>
  <si>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</si>
  <si>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</si>
  <si>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</si>
  <si>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</si>
  <si>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</si>
  <si>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</si>
  <si>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</si>
  <si>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</si>
  <si>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</si>
  <si>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</si>
  <si>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</si>
  <si>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</si>
  <si>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</si>
  <si>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</si>
  <si>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</si>
  <si>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</si>
  <si>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</si>
  <si>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</si>
  <si>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</si>
  <si>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</si>
  <si>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</si>
  <si>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</si>
  <si>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</si>
  <si>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</si>
  <si>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</si>
  <si>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</si>
  <si>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</si>
  <si>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</si>
  <si>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</si>
  <si>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</si>
  <si>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</si>
  <si>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</si>
  <si>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</si>
  <si>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</si>
  <si>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</si>
  <si>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</si>
  <si>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</si>
  <si>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</si>
  <si>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</si>
  <si>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</si>
  <si>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</si>
  <si>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</si>
  <si>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</si>
  <si>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</si>
  <si>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</si>
  <si>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</si>
  <si>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</si>
  <si>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</si>
  <si>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</si>
  <si>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</si>
  <si>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</si>
  <si>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</si>
  <si>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</si>
  <si>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</si>
  <si>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</si>
  <si>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</si>
  <si>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</si>
  <si>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</si>
  <si>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</si>
  <si>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</si>
  <si>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</si>
  <si>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</si>
  <si>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</si>
  <si>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</si>
  <si>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</si>
  <si>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</si>
  <si>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</si>
  <si>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</si>
  <si>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</si>
  <si>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</si>
  <si>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</si>
  <si>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</si>
  <si>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</si>
  <si>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</si>
  <si>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</si>
  <si>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</si>
  <si>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</si>
  <si>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</si>
  <si>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</si>
  <si>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</si>
  <si>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</si>
  <si>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</si>
  <si>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</si>
  <si>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</si>
  <si>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</si>
  <si>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</si>
  <si>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</si>
  <si>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</si>
  <si>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</si>
  <si>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</si>
  <si>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</si>
  <si>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</si>
  <si>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</si>
  <si>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</si>
  <si>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</si>
  <si>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</si>
  <si>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</si>
  <si>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</si>
  <si>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</si>
  <si>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</si>
  <si>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</si>
  <si>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</si>
  <si>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</si>
  <si>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</si>
  <si>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</si>
  <si>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</si>
  <si>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</si>
  <si>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</si>
  <si>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</si>
  <si>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</si>
  <si>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</si>
  <si>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</si>
  <si>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</si>
  <si>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</si>
  <si>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</si>
  <si>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</si>
  <si>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</si>
  <si>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</si>
  <si>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</si>
  <si>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</si>
  <si>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</si>
  <si>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</si>
  <si>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</si>
  <si>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</si>
  <si>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</si>
  <si>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</si>
  <si>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</si>
  <si>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</si>
  <si>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</si>
  <si>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</si>
  <si>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</si>
  <si>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</si>
  <si>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</si>
  <si>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</si>
  <si>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</si>
  <si>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</si>
  <si>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</si>
  <si>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</si>
  <si>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</si>
  <si>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</si>
  <si>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</si>
  <si>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</si>
  <si>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</si>
  <si>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</si>
  <si>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</si>
  <si>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</si>
  <si>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</si>
  <si>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</si>
  <si>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</si>
  <si>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</si>
  <si>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</si>
  <si>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</si>
  <si>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</si>
  <si>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</si>
  <si>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</si>
  <si>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</si>
  <si>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</si>
  <si>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</si>
  <si>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</si>
  <si>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</si>
  <si>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</si>
  <si>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</si>
  <si>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</si>
  <si>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</si>
  <si>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</si>
  <si>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</si>
  <si>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</si>
  <si>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</si>
  <si>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</si>
  <si>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</si>
  <si>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</si>
  <si>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</si>
  <si>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</si>
  <si>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</si>
  <si>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</si>
  <si>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</si>
  <si>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</si>
  <si>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</si>
  <si>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</si>
  <si>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</si>
  <si>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</si>
  <si>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</si>
  <si>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</si>
  <si>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</si>
  <si>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</si>
  <si>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</si>
  <si>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</si>
  <si>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</si>
  <si>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</si>
  <si>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</si>
  <si>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</si>
  <si>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</si>
  <si>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</si>
  <si>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</si>
  <si>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</si>
  <si>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</si>
  <si>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</si>
  <si>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</si>
  <si>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</si>
  <si>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</si>
  <si>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</si>
  <si>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</si>
  <si>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</si>
  <si>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</si>
  <si>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</si>
  <si>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</si>
  <si>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</si>
  <si>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</si>
  <si>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</si>
  <si>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</si>
  <si>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</si>
  <si>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</si>
  <si>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</si>
  <si>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</si>
  <si>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</si>
  <si>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</si>
  <si>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</si>
  <si>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</si>
  <si>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</si>
  <si>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</si>
  <si>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</si>
  <si>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</si>
  <si>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</si>
  <si>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</si>
  <si>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</si>
  <si>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</si>
  <si>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</si>
  <si>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</si>
  <si>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</si>
  <si>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</si>
  <si>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</si>
  <si>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</si>
  <si>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</si>
  <si>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</si>
  <si>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</si>
  <si>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</si>
  <si>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</si>
  <si>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</si>
  <si>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</si>
  <si>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</si>
  <si>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</si>
  <si>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</si>
  <si>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</si>
  <si>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</si>
  <si>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</si>
  <si>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</si>
  <si>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</si>
  <si>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</si>
  <si>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</si>
  <si>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</si>
  <si>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</si>
  <si>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</si>
  <si>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</si>
  <si>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</si>
  <si>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</si>
  <si>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</si>
  <si>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</si>
  <si>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</si>
  <si>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</si>
  <si>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</si>
  <si>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</si>
  <si>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</si>
  <si>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</si>
  <si>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</si>
  <si>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</si>
  <si>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</si>
  <si>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</si>
  <si>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</si>
  <si>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</si>
  <si>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</si>
  <si>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</si>
  <si>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</si>
  <si>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</si>
  <si>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</si>
  <si>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</si>
  <si>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</si>
  <si>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</si>
  <si>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</si>
  <si>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</si>
  <si>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</si>
  <si>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</si>
  <si>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</si>
  <si>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</si>
  <si>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</si>
  <si>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</si>
  <si>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</si>
  <si>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</si>
  <si>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</si>
  <si>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</si>
  <si>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</si>
  <si>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</si>
  <si>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</si>
  <si>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</si>
  <si>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</si>
  <si>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</si>
  <si>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</si>
  <si>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</si>
  <si>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</si>
  <si>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</si>
  <si>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</si>
  <si>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</si>
  <si>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</si>
  <si>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</si>
  <si>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</si>
  <si>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</si>
  <si>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</si>
  <si>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</si>
  <si>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</si>
  <si>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</si>
  <si>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</si>
  <si>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</si>
  <si>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</si>
  <si>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</si>
  <si>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</si>
  <si>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</si>
  <si>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</si>
  <si>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</si>
  <si>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</si>
  <si>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</si>
  <si>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</si>
  <si>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</si>
  <si>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</si>
  <si>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</si>
  <si>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</si>
  <si>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</si>
  <si>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</si>
  <si>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</si>
  <si>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</si>
  <si>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</si>
  <si>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</si>
  <si>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</si>
  <si>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</si>
  <si>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</si>
  <si>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</si>
  <si>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</si>
  <si>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</si>
  <si>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</si>
  <si>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</si>
  <si>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</si>
  <si>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</si>
  <si>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</si>
  <si>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</si>
  <si>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</si>
  <si>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</si>
  <si>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</si>
  <si>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</si>
  <si>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</si>
  <si>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</si>
  <si>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</si>
  <si>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</si>
  <si>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</si>
  <si>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</si>
  <si>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</si>
  <si>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</si>
  <si>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</si>
  <si>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</si>
  <si>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</si>
  <si>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</si>
  <si>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</si>
  <si>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</si>
  <si>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</si>
  <si>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</si>
  <si>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</si>
  <si>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</si>
  <si>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</si>
  <si>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</si>
  <si>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</si>
  <si>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</si>
  <si>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</si>
  <si>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</si>
  <si>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</si>
  <si>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</si>
  <si>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</si>
  <si>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</si>
  <si>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</si>
  <si>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</si>
  <si>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</si>
  <si>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</si>
  <si>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</si>
  <si>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</si>
  <si>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</si>
  <si>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</si>
  <si>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</si>
  <si>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</si>
  <si>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</si>
  <si>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</si>
  <si>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</si>
  <si>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</si>
  <si>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</si>
  <si>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</si>
  <si>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</si>
  <si>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</si>
  <si>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</si>
  <si>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</si>
  <si>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</si>
  <si>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</si>
  <si>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</si>
  <si>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</si>
  <si>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</si>
  <si>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</si>
  <si>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</si>
  <si>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</si>
  <si>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</si>
  <si>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</si>
  <si>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</si>
  <si>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</si>
  <si>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</si>
  <si>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</si>
  <si>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</si>
  <si>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</si>
  <si>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</si>
  <si>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</si>
  <si>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</si>
  <si>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</si>
  <si>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</si>
  <si>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</si>
  <si>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</si>
  <si>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</si>
  <si>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</si>
  <si>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</si>
  <si>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</si>
  <si>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</si>
  <si>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</si>
  <si>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</si>
  <si>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</si>
  <si>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</si>
  <si>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</si>
  <si>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</si>
  <si>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</si>
  <si>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</si>
  <si>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</si>
  <si>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</si>
  <si>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</si>
  <si>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</si>
  <si>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</si>
  <si>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</si>
  <si>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</si>
  <si>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</si>
  <si>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</si>
  <si>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</si>
  <si>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</si>
  <si>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</si>
  <si>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</si>
  <si>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</si>
  <si>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</si>
  <si>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</si>
  <si>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</si>
  <si>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</si>
  <si>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</si>
  <si>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</si>
  <si>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</si>
  <si>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</si>
  <si>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</si>
  <si>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</si>
  <si>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</si>
  <si>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</si>
  <si>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</si>
  <si>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</si>
  <si>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</si>
  <si>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</si>
  <si>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</si>
  <si>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</si>
  <si>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</si>
  <si>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</si>
  <si>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</si>
  <si>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</si>
  <si>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</si>
  <si>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</si>
  <si>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</si>
  <si>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</si>
  <si>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</si>
  <si>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</si>
  <si>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</si>
  <si>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</si>
  <si>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</si>
  <si>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</si>
  <si>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</si>
  <si>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</si>
  <si>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</si>
  <si>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</si>
  <si>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</si>
  <si>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</si>
  <si>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</si>
  <si>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</si>
  <si>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</si>
  <si>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</si>
  <si>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</si>
  <si>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</si>
  <si>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</si>
  <si>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</si>
  <si>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</si>
  <si>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</si>
  <si>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</si>
  <si>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</si>
  <si>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</si>
  <si>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</si>
  <si>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</si>
  <si>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</si>
  <si>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</si>
  <si>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</si>
  <si>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</si>
  <si>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</si>
  <si>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</si>
  <si>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</si>
  <si>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</si>
  <si>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</si>
  <si>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</si>
  <si>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</si>
  <si>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</si>
  <si>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</si>
  <si>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</si>
  <si>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</si>
  <si>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</si>
  <si>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</si>
  <si>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</si>
  <si>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</si>
  <si>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</si>
  <si>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</si>
  <si>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</si>
  <si>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</si>
  <si>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</si>
  <si>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</si>
  <si>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</si>
  <si>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</si>
  <si>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</si>
  <si>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</si>
  <si>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</si>
  <si>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</si>
  <si>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</si>
  <si>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</si>
  <si>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</si>
  <si>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</si>
  <si>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</si>
  <si>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</si>
  <si>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</si>
  <si>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</si>
  <si>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</si>
  <si>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</si>
  <si>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</si>
  <si>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</si>
  <si>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</si>
  <si>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</si>
  <si>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</si>
  <si>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</si>
  <si>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</si>
  <si>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</si>
  <si>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</si>
  <si>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</si>
  <si>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</si>
  <si>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</si>
  <si>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</si>
  <si>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</si>
  <si>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</si>
  <si>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</si>
  <si>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</si>
  <si>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</si>
  <si>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</si>
  <si>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</si>
  <si>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</si>
  <si>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</si>
  <si>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</si>
  <si>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</si>
  <si>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</si>
  <si>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</si>
  <si>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</si>
  <si>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</si>
  <si>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</si>
  <si>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</si>
  <si>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</si>
  <si>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</si>
  <si>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</si>
  <si>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</si>
  <si>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</si>
  <si>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</si>
  <si>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</si>
  <si>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</si>
  <si>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</si>
  <si>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</si>
  <si>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</si>
  <si>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</si>
  <si>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</si>
  <si>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</si>
  <si>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</si>
  <si>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</si>
  <si>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</si>
  <si>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</si>
  <si>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</si>
  <si>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</si>
  <si>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</si>
  <si>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</si>
  <si>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</si>
  <si>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</si>
  <si>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</si>
  <si>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</si>
  <si>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</si>
  <si>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</si>
  <si>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</si>
  <si>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</si>
  <si>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</si>
  <si>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</si>
  <si>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</si>
  <si>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</si>
  <si>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</si>
  <si>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</si>
  <si>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</si>
  <si>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</si>
  <si>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</si>
  <si>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</si>
  <si>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</si>
  <si>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</si>
  <si>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</si>
  <si>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</si>
  <si>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</si>
  <si>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</si>
  <si>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</si>
  <si>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</si>
  <si>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</si>
  <si>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</si>
  <si>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</si>
  <si>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</si>
  <si>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</si>
  <si>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</si>
  <si>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</si>
  <si>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</si>
  <si>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</si>
  <si>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</si>
  <si>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</si>
  <si>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</si>
  <si>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</si>
  <si>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</si>
  <si>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</si>
  <si>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</si>
  <si>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</si>
  <si>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</si>
  <si>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</si>
  <si>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</si>
  <si>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</si>
  <si>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</si>
  <si>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</si>
  <si>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</si>
  <si>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</si>
  <si>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</si>
  <si>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</si>
  <si>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</si>
  <si>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</si>
  <si>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</si>
  <si>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</si>
  <si>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</si>
  <si>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</si>
  <si>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</si>
  <si>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</si>
  <si>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</si>
  <si>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</si>
  <si>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</si>
  <si>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</si>
  <si>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</si>
  <si>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</si>
  <si>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</si>
  <si>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</si>
  <si>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</si>
  <si>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</si>
  <si>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</si>
  <si>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</si>
  <si>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</si>
  <si>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</si>
  <si>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</si>
  <si>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</si>
  <si>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</si>
  <si>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</si>
  <si>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</si>
  <si>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</si>
  <si>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</si>
  <si>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</si>
  <si>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</si>
  <si>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</si>
  <si>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</si>
  <si>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</si>
  <si>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</si>
  <si>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</si>
  <si>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</si>
  <si>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</si>
  <si>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</si>
  <si>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</si>
  <si>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</si>
  <si>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</si>
  <si>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</si>
  <si>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</si>
  <si>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</si>
  <si>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</si>
  <si>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</si>
  <si>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</si>
  <si>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</si>
  <si>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</si>
  <si>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</si>
  <si>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</si>
  <si>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</si>
  <si>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</si>
  <si>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</si>
  <si>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</si>
  <si>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</si>
  <si>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</si>
  <si>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</si>
  <si>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</si>
  <si>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</si>
  <si>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</si>
  <si>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</si>
  <si>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</si>
  <si>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</si>
  <si>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</si>
  <si>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</si>
  <si>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</si>
  <si>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</si>
  <si>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</si>
  <si>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</si>
  <si>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</si>
  <si>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</si>
  <si>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</si>
  <si>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</si>
  <si>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</si>
  <si>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</si>
  <si>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</si>
  <si>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</si>
  <si>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</si>
  <si>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</si>
  <si>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</si>
  <si>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</si>
  <si>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</si>
  <si>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</si>
  <si>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</si>
  <si>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</si>
  <si>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</si>
  <si>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</si>
  <si>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</si>
  <si>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</si>
  <si>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</si>
  <si>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</si>
  <si>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</si>
  <si>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</si>
  <si>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</si>
  <si>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</si>
  <si>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</si>
  <si>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</si>
  <si>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</si>
  <si>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</si>
  <si>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</si>
  <si>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</si>
  <si>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</si>
  <si>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</si>
  <si>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</si>
  <si>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</si>
  <si>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</si>
  <si>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</si>
  <si>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</si>
  <si>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</si>
  <si>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</si>
  <si>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</si>
  <si>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</si>
  <si>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</si>
  <si>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</si>
  <si>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</si>
  <si>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</si>
  <si>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</si>
  <si>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</si>
  <si>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</si>
  <si>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</si>
  <si>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</si>
  <si>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</si>
  <si>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</si>
  <si>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</si>
  <si>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</si>
  <si>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</si>
  <si>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</si>
  <si>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</si>
  <si>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</si>
  <si>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</si>
  <si>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</si>
  <si>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</si>
  <si>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</si>
  <si>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</si>
  <si>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</si>
  <si>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</si>
  <si>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</si>
  <si>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</si>
  <si>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</si>
  <si>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</si>
  <si>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</si>
  <si>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</si>
  <si>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</si>
  <si>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</si>
  <si>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</si>
  <si>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</si>
  <si>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</si>
  <si>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</si>
  <si>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</si>
  <si>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</si>
  <si>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</si>
  <si>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</si>
  <si>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</si>
  <si>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</si>
  <si>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</si>
  <si>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</si>
  <si>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</si>
  <si>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</si>
  <si>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</si>
  <si>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</si>
  <si>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</si>
  <si>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</si>
  <si>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</si>
  <si>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</si>
  <si>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</si>
  <si>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</si>
  <si>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</si>
  <si>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</si>
  <si>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</si>
  <si>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</si>
  <si>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</si>
  <si>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</si>
  <si>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</si>
  <si>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</si>
  <si>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</si>
  <si>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</si>
  <si>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</si>
  <si>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</si>
  <si>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</si>
  <si>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</si>
  <si>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</si>
  <si>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</si>
  <si>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</si>
  <si>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</si>
  <si>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</si>
  <si>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</si>
  <si>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</si>
  <si>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</si>
  <si>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</si>
  <si>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</si>
  <si>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</si>
  <si>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</si>
  <si>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</si>
  <si>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</si>
  <si>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</si>
  <si>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</si>
  <si>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</si>
  <si>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</si>
  <si>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</si>
  <si>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</si>
  <si>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</si>
  <si>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</si>
  <si>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</si>
  <si>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</si>
  <si>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</si>
  <si>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</si>
  <si>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</si>
  <si>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</si>
  <si>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</si>
  <si>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</si>
  <si>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</si>
  <si>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</si>
  <si>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</si>
  <si>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</si>
  <si>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</si>
  <si>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</si>
  <si>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</si>
  <si>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</si>
  <si>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</si>
  <si>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</si>
  <si>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</si>
  <si>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</si>
  <si>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</si>
  <si>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</si>
  <si>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</si>
  <si>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</si>
  <si>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</si>
  <si>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</si>
  <si>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</si>
  <si>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</si>
  <si>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</si>
  <si>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</si>
  <si>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</si>
  <si>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</si>
  <si>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</si>
  <si>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</si>
  <si>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</si>
  <si>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</si>
  <si>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</si>
  <si>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</si>
  <si>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</si>
  <si>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</si>
  <si>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</si>
  <si>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</si>
  <si>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</si>
  <si>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</si>
  <si>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</si>
  <si>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</si>
  <si>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</si>
  <si>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</si>
  <si>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</si>
  <si>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</si>
  <si>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</si>
  <si>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</si>
  <si>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</si>
  <si>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</si>
  <si>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</si>
  <si>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</si>
  <si>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</si>
  <si>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</si>
  <si>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</si>
  <si>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</si>
  <si>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</si>
  <si>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</si>
  <si>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</si>
  <si>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</si>
  <si>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</si>
  <si>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</si>
  <si>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</si>
  <si>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</si>
  <si>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</si>
  <si>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</si>
  <si>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</si>
  <si>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</si>
  <si>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</si>
  <si>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</si>
  <si>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</si>
  <si>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</si>
  <si>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</si>
  <si>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</si>
  <si>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</si>
  <si>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</si>
  <si>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</si>
  <si>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</si>
  <si>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</si>
  <si>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</si>
  <si>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</si>
  <si>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</si>
  <si>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</si>
  <si>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</si>
  <si>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</si>
  <si>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</si>
  <si>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</si>
  <si>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</si>
  <si>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</si>
  <si>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</si>
  <si>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</si>
  <si>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</si>
  <si>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</si>
  <si>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</si>
  <si>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</si>
  <si>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</si>
  <si>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</si>
  <si>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</si>
  <si>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</si>
  <si>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</si>
  <si>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</si>
  <si>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</si>
  <si>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</si>
  <si>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</si>
  <si>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</si>
  <si>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</si>
  <si>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</si>
  <si>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</si>
  <si>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</si>
  <si>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</si>
  <si>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</si>
  <si>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</si>
  <si>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</si>
  <si>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</si>
  <si>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</si>
  <si>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</si>
  <si>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</si>
  <si>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</si>
  <si>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</si>
  <si>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</si>
  <si>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</si>
  <si>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</si>
  <si>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</si>
  <si>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</si>
  <si>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</si>
  <si>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</si>
  <si>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</si>
  <si>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</si>
  <si>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</si>
  <si>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</si>
  <si>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</si>
  <si>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</si>
  <si>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</si>
  <si>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</si>
  <si>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</si>
  <si>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</si>
  <si>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</si>
  <si>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</si>
  <si>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</si>
  <si>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</si>
  <si>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</si>
  <si>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</si>
  <si>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</si>
  <si>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</si>
  <si>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</si>
  <si>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</si>
  <si>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</si>
  <si>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</si>
  <si>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</si>
  <si>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</si>
  <si>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</si>
  <si>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</si>
  <si>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</si>
  <si>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</si>
  <si>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</si>
  <si>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</si>
  <si>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</si>
  <si>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</si>
  <si>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</si>
  <si>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</si>
  <si>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</si>
  <si>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</si>
  <si>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</si>
  <si>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</si>
  <si>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</si>
  <si>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</si>
  <si>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</si>
  <si>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</si>
  <si>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</si>
  <si>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</si>
  <si>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</si>
  <si>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</si>
  <si>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</si>
  <si>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</si>
  <si>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</si>
  <si>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</si>
  <si>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</si>
  <si>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</si>
  <si>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</si>
  <si>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</si>
  <si>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</si>
  <si>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</si>
  <si>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</si>
  <si>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</si>
  <si>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</si>
  <si>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</si>
  <si>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</si>
  <si>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</si>
  <si>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</si>
  <si>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</si>
  <si>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</si>
  <si>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</si>
  <si>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</si>
  <si>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</si>
  <si>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</si>
  <si>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</si>
  <si>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</si>
  <si>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</si>
  <si>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</si>
  <si>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</si>
  <si>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</si>
  <si>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</si>
  <si>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</si>
  <si>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</si>
  <si>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</si>
  <si>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</si>
  <si>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</si>
  <si>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</si>
  <si>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</si>
  <si>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</si>
  <si>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</si>
  <si>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</si>
  <si>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</si>
  <si>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</si>
  <si>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</si>
  <si>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</si>
  <si>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</si>
  <si>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</si>
  <si>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</si>
  <si>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</si>
  <si>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</si>
  <si>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</si>
  <si>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</si>
  <si>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</si>
  <si>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</si>
  <si>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</si>
  <si>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</si>
  <si>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</si>
  <si>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</si>
  <si>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</si>
  <si>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</si>
  <si>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</si>
  <si>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</si>
  <si>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</si>
  <si>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</si>
  <si>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</si>
  <si>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</si>
  <si>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</si>
  <si>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</si>
  <si>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</si>
  <si>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</si>
  <si>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</si>
  <si>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</si>
  <si>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</si>
  <si>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</si>
  <si>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</si>
  <si>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</si>
  <si>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</si>
  <si>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</si>
  <si>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</si>
  <si>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</si>
  <si>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</si>
  <si>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</si>
  <si>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</si>
  <si>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</si>
  <si>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</si>
  <si>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</si>
  <si>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</si>
  <si>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</si>
  <si>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</si>
  <si>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</si>
  <si>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</si>
  <si>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</si>
  <si>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</si>
  <si>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</si>
  <si>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</si>
  <si>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</si>
  <si>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</si>
  <si>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</si>
  <si>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</si>
  <si>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</si>
  <si>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</si>
  <si>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</si>
  <si>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</si>
  <si>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</si>
  <si>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</si>
  <si>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</si>
  <si>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</si>
  <si>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</si>
  <si>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</si>
  <si>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</si>
  <si>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</si>
  <si>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</si>
  <si>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</si>
  <si>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</si>
  <si>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</si>
  <si>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</si>
  <si>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</si>
  <si>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</si>
  <si>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</si>
  <si>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</si>
  <si>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</si>
  <si>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</si>
  <si>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</si>
  <si>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</si>
  <si>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</si>
  <si>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</si>
  <si>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</si>
  <si>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</si>
  <si>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</si>
  <si>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</si>
  <si>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</si>
  <si>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</si>
  <si>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</si>
  <si>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</si>
  <si>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</si>
  <si>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</si>
  <si>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</si>
  <si>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</si>
  <si>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</si>
  <si>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</si>
  <si>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</si>
  <si>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</si>
  <si>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</si>
  <si>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</si>
  <si>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</si>
  <si>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</si>
  <si>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</si>
  <si>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</si>
  <si>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</si>
  <si>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</si>
  <si>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</si>
  <si>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</si>
  <si>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</si>
  <si>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</si>
  <si>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</si>
  <si>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</si>
  <si>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</si>
  <si>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</si>
  <si>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</si>
  <si>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</si>
  <si>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</si>
  <si>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</si>
  <si>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</si>
  <si>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</si>
  <si>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</si>
  <si>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</si>
  <si>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</si>
  <si>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</si>
  <si>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</si>
  <si>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</si>
  <si>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</si>
  <si>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</si>
  <si>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</si>
  <si>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</si>
  <si>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</si>
  <si>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</si>
  <si>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</si>
  <si>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</si>
  <si>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</si>
  <si>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</si>
  <si>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</si>
  <si>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</si>
  <si>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</si>
  <si>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</si>
  <si>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</si>
  <si>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</si>
  <si>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</si>
  <si>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</si>
  <si>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</si>
  <si>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</si>
  <si>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</si>
  <si>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</si>
  <si>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</si>
  <si>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</si>
  <si>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</si>
  <si>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</si>
  <si>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</si>
  <si>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</si>
  <si>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</si>
  <si>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</si>
  <si>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</si>
  <si>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</si>
  <si>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</si>
  <si>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</si>
  <si>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</si>
  <si>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</si>
  <si>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</si>
  <si>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</si>
  <si>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</si>
  <si>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</si>
  <si>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</si>
  <si>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</si>
  <si>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</si>
  <si>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</si>
  <si>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</si>
  <si>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</si>
  <si>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</si>
  <si>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</si>
  <si>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</si>
  <si>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</si>
  <si>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</si>
  <si>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</si>
  <si>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</si>
  <si>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</si>
  <si>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</si>
  <si>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</si>
  <si>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</si>
  <si>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</si>
  <si>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</si>
  <si>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</si>
  <si>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</si>
  <si>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</si>
  <si>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</si>
  <si>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</si>
  <si>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</si>
  <si>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</si>
  <si>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</si>
  <si>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</si>
  <si>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</si>
  <si>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</si>
  <si>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</si>
  <si>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</si>
  <si>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</si>
  <si>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</si>
  <si>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</si>
  <si>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</si>
  <si>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</si>
  <si>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</si>
  <si>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</si>
  <si>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</si>
  <si>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</si>
  <si>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</si>
  <si>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</si>
  <si>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</si>
  <si>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</si>
  <si>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</si>
  <si>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</si>
  <si>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</si>
  <si>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</si>
  <si>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</si>
  <si>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</si>
  <si>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</si>
  <si>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</si>
  <si>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</si>
  <si>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</si>
  <si>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</si>
  <si>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</si>
  <si>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</si>
  <si>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</si>
  <si>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</si>
  <si>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</si>
  <si>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</si>
  <si>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</si>
  <si>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</si>
  <si>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</si>
  <si>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</si>
  <si>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</si>
  <si>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</si>
  <si>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</si>
  <si>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</si>
  <si>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</si>
  <si>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</si>
  <si>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</si>
  <si>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</si>
  <si>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</si>
  <si>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</si>
  <si>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</si>
  <si>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</si>
  <si>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</si>
  <si>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</si>
  <si>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</si>
  <si>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</si>
  <si>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</si>
  <si>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</si>
  <si>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</si>
  <si>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</si>
  <si>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</si>
  <si>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</si>
  <si>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</si>
  <si>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</si>
  <si>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</si>
  <si>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</si>
  <si>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</si>
  <si>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</si>
  <si>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</si>
  <si>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</si>
  <si>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</si>
  <si>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</si>
  <si>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</si>
  <si>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</si>
  <si>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</si>
  <si>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</si>
  <si>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</si>
  <si>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</si>
  <si>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</si>
  <si>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</si>
  <si>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</si>
  <si>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</si>
  <si>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</si>
  <si>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</si>
  <si>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</si>
  <si>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</si>
  <si>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</si>
  <si>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</si>
  <si>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</si>
  <si>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</si>
  <si>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</si>
  <si>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</si>
  <si>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</si>
  <si>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</si>
  <si>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</si>
  <si>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</si>
  <si>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</si>
  <si>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</si>
  <si>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</si>
  <si>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</si>
  <si>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</si>
  <si>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</si>
  <si>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</si>
  <si>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</si>
  <si>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</si>
  <si>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</si>
  <si>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</si>
  <si>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</si>
  <si>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</si>
  <si>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</si>
  <si>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</si>
  <si>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</si>
  <si>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</si>
  <si>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</si>
  <si>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</si>
  <si>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</si>
  <si>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</si>
  <si>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</si>
  <si>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</si>
  <si>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</si>
  <si>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</si>
  <si>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</si>
  <si>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</si>
  <si>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</si>
  <si>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</si>
  <si>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</si>
  <si>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</si>
  <si>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</si>
  <si>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</si>
  <si>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</si>
  <si>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</si>
  <si>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</si>
  <si>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</si>
  <si>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</si>
  <si>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</si>
  <si>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</si>
  <si>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</si>
  <si>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</si>
  <si>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</si>
  <si>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</si>
  <si>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</si>
  <si>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</si>
  <si>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</si>
  <si>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</si>
  <si>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</si>
  <si>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</si>
  <si>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</si>
  <si>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</si>
  <si>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</si>
  <si>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</si>
  <si>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</si>
  <si>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</si>
  <si>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</si>
  <si>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</si>
  <si>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</si>
  <si>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</si>
  <si>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</si>
  <si>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</si>
  <si>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</si>
  <si>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</si>
  <si>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</si>
  <si>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</si>
  <si>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</si>
  <si>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</si>
  <si>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</si>
  <si>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</si>
  <si>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</si>
  <si>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</si>
  <si>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</si>
  <si>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</si>
  <si>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</si>
  <si>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</si>
  <si>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</si>
  <si>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</si>
  <si>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</si>
  <si>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</si>
  <si>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</si>
  <si>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</si>
  <si>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</si>
  <si>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</si>
  <si>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</si>
  <si>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</si>
  <si>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</si>
  <si>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</si>
  <si>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</si>
  <si>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</si>
  <si>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</si>
  <si>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</si>
  <si>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</si>
  <si>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</si>
  <si>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</si>
  <si>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</si>
  <si>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</si>
  <si>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</si>
  <si>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</si>
  <si>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</si>
  <si>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</si>
  <si>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</si>
  <si>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</si>
  <si>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</si>
  <si>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</si>
  <si>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</si>
  <si>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</si>
  <si>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</si>
  <si>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</si>
  <si>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</si>
  <si>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</si>
  <si>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</si>
  <si>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</si>
  <si>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</si>
  <si>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</si>
  <si>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</si>
  <si>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</si>
  <si>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</si>
  <si>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</si>
  <si>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</si>
  <si>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</si>
  <si>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</si>
  <si>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</si>
  <si>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</si>
  <si>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</si>
  <si>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</si>
  <si>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</si>
  <si>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</si>
  <si>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</si>
  <si>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</si>
  <si>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</si>
  <si>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</si>
  <si>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</si>
  <si>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</si>
  <si>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</si>
  <si>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</si>
  <si>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</si>
  <si>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</si>
  <si>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</si>
  <si>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</si>
  <si>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</si>
  <si>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</si>
  <si>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</si>
  <si>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</si>
  <si>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</si>
  <si>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</si>
  <si>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</si>
  <si>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</si>
  <si>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</si>
  <si>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</si>
  <si>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</si>
  <si>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</si>
  <si>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</si>
  <si>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</si>
  <si>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</si>
  <si>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</si>
  <si>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</si>
  <si>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</si>
  <si>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</si>
  <si>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</si>
  <si>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</si>
  <si>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</si>
  <si>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</si>
  <si>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</si>
  <si>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</si>
  <si>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</si>
  <si>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</si>
  <si>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</si>
  <si>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</si>
  <si>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</si>
  <si>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</si>
  <si>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</si>
  <si>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</si>
  <si>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</si>
  <si>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</si>
  <si>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</si>
  <si>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</si>
  <si>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</si>
  <si>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</si>
  <si>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</si>
  <si>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</si>
  <si>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</si>
  <si>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</si>
  <si>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</si>
  <si>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</si>
  <si>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</si>
  <si>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</si>
  <si>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</si>
  <si>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</si>
  <si>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</si>
  <si>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</si>
  <si>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</si>
  <si>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</si>
  <si>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</si>
  <si>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</si>
  <si>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</si>
  <si>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</si>
  <si>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</si>
  <si>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</si>
  <si>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</si>
  <si>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</si>
  <si>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</si>
  <si>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</si>
  <si>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</si>
  <si>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</si>
  <si>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</si>
  <si>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</si>
  <si>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</si>
  <si>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</si>
  <si>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</si>
  <si>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</si>
  <si>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</si>
  <si>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</si>
  <si>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</si>
  <si>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</si>
  <si>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</si>
  <si>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</si>
  <si>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</si>
  <si>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</si>
  <si>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</si>
  <si>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</si>
  <si>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</si>
  <si>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</si>
  <si>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</si>
  <si>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</si>
  <si>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</si>
  <si>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</si>
  <si>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</si>
  <si>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</si>
  <si>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</si>
  <si>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</si>
  <si>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</si>
  <si>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</si>
  <si>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</si>
  <si>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</si>
  <si>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</si>
  <si>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</si>
  <si>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</si>
  <si>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</si>
  <si>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</si>
  <si>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</si>
  <si>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</si>
  <si>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</si>
  <si>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</si>
  <si>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</si>
  <si>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</si>
  <si>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</si>
  <si>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</si>
  <si>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</si>
  <si>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</si>
  <si>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</si>
  <si>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</si>
  <si>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</si>
  <si>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</si>
  <si>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</si>
  <si>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</si>
  <si>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</si>
  <si>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</si>
  <si>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</si>
  <si>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</si>
  <si>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</si>
  <si>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</si>
  <si>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</si>
  <si>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</si>
  <si>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</si>
  <si>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</si>
  <si>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</si>
  <si>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</si>
  <si>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</si>
  <si>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</si>
  <si>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</si>
  <si>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</si>
  <si>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</si>
  <si>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</si>
  <si>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</si>
  <si>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</si>
  <si>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</si>
  <si>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</si>
  <si>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</si>
  <si>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</si>
  <si>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</si>
  <si>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</si>
  <si>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</si>
  <si>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</si>
  <si>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</si>
  <si>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</si>
  <si>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</si>
  <si>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</si>
  <si>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</si>
  <si>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</si>
  <si>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</si>
  <si>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</si>
  <si>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</si>
  <si>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</si>
  <si>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</si>
  <si>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</si>
  <si>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</si>
  <si>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</si>
  <si>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</si>
  <si>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</si>
  <si>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</si>
  <si>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</si>
  <si>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</si>
  <si>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</si>
  <si>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</si>
  <si>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</si>
  <si>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</si>
  <si>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</si>
  <si>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</si>
  <si>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</si>
  <si>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</si>
  <si>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</si>
  <si>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</si>
  <si>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</si>
  <si>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</si>
  <si>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</si>
  <si>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</si>
  <si>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</si>
  <si>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</si>
  <si>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</si>
  <si>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</si>
  <si>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</si>
  <si>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</si>
  <si>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</si>
  <si>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</si>
  <si>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</si>
  <si>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</si>
  <si>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</si>
  <si>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</si>
  <si>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</si>
  <si>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</si>
  <si>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</si>
  <si>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</si>
  <si>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</si>
  <si>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</si>
  <si>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</si>
  <si>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</si>
  <si>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</si>
  <si>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</si>
  <si>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</si>
  <si>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</si>
  <si>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</si>
  <si>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</si>
  <si>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</si>
  <si>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</si>
  <si>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</si>
  <si>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</si>
  <si>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</si>
  <si>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</si>
  <si>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</si>
  <si>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</si>
  <si>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</si>
  <si>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</si>
  <si>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</si>
  <si>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</si>
  <si>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</si>
  <si>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</si>
  <si>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</si>
  <si>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</si>
  <si>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</si>
  <si>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</si>
  <si>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</si>
  <si>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</si>
  <si>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</si>
  <si>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</si>
  <si>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</si>
  <si>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</si>
  <si>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</si>
  <si>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</si>
  <si>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</si>
  <si>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</si>
  <si>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</si>
  <si>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</si>
  <si>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</si>
  <si>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</si>
  <si>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</si>
  <si>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</si>
  <si>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</si>
  <si>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</si>
  <si>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</si>
  <si>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</si>
  <si>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</si>
  <si>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</si>
  <si>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</si>
  <si>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</si>
  <si>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</si>
  <si>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</si>
  <si>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</si>
  <si>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</si>
  <si>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</si>
  <si>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</si>
  <si>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</si>
  <si>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</si>
  <si>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</si>
  <si>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</si>
  <si>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</si>
  <si>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</si>
  <si>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</si>
  <si>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</si>
  <si>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</si>
  <si>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</si>
  <si>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</si>
  <si>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</si>
  <si>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</si>
  <si>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</si>
  <si>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</si>
  <si>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</si>
  <si>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</si>
  <si>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</si>
  <si>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</si>
  <si>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</si>
  <si>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</si>
  <si>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</si>
  <si>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</si>
  <si>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</si>
  <si>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</si>
  <si>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</si>
  <si>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</si>
  <si>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</si>
  <si>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</si>
  <si>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</si>
  <si>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</si>
  <si>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</si>
  <si>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</si>
  <si>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</si>
  <si>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</si>
  <si>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</si>
  <si>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</si>
  <si>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</si>
  <si>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</si>
  <si>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</si>
  <si>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</si>
  <si>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</si>
  <si>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</si>
  <si>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</si>
  <si>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</si>
  <si>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</si>
  <si>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</si>
  <si>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</si>
  <si>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</si>
  <si>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</si>
  <si>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</si>
  <si>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</si>
  <si>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</si>
  <si>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</si>
  <si>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</si>
  <si>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</si>
  <si>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</si>
  <si>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</si>
  <si>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</si>
  <si>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</si>
  <si>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</si>
  <si>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</si>
  <si>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</si>
  <si>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</si>
  <si>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</si>
  <si>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</si>
  <si>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</si>
  <si>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</si>
  <si>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</si>
  <si>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</si>
  <si>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</si>
  <si>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</si>
  <si>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</si>
  <si>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</si>
  <si>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</si>
  <si>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</si>
  <si>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</si>
  <si>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</si>
  <si>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</si>
  <si>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</si>
  <si>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</si>
  <si>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</si>
  <si>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</si>
  <si>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</si>
  <si>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</si>
  <si>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</si>
  <si>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</si>
  <si>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</si>
  <si>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</si>
  <si>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</si>
  <si>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</si>
  <si>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</si>
  <si>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</si>
  <si>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</si>
  <si>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</si>
  <si>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</si>
  <si>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</si>
  <si>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</si>
  <si>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</si>
  <si>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</si>
  <si>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</si>
  <si>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</si>
  <si>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</si>
  <si>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</si>
  <si>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</si>
  <si>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</si>
  <si>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</si>
  <si>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</si>
  <si>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</si>
  <si>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</si>
  <si>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</si>
  <si>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</si>
  <si>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</si>
  <si>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</si>
  <si>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</si>
  <si>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</si>
  <si>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</si>
  <si>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</si>
  <si>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</si>
  <si>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</si>
  <si>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</si>
  <si>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</si>
  <si>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</si>
  <si>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</si>
  <si>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</si>
  <si>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</si>
  <si>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</si>
  <si>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</si>
  <si>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</si>
  <si>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</si>
  <si>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</si>
  <si>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</si>
  <si>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</si>
  <si>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</si>
  <si>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</si>
  <si>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</si>
  <si>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</si>
  <si>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</si>
  <si>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</si>
  <si>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</si>
  <si>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</si>
  <si>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</si>
  <si>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</si>
  <si>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</si>
  <si>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</si>
  <si>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</si>
  <si>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</si>
  <si>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</si>
  <si>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</si>
  <si>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</si>
  <si>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</si>
  <si>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</si>
  <si>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</si>
  <si>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</si>
  <si>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</si>
  <si>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</si>
  <si>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</si>
  <si>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</si>
  <si>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</si>
  <si>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</si>
  <si>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</si>
  <si>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</si>
  <si>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</si>
  <si>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</si>
  <si>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</si>
  <si>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</si>
  <si>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</si>
  <si>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</si>
  <si>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</si>
  <si>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</si>
  <si>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</si>
  <si>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</si>
  <si>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</si>
  <si>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</si>
  <si>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</si>
  <si>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</si>
  <si>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</si>
  <si>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</si>
  <si>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</si>
  <si>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</si>
  <si>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</si>
  <si>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</si>
  <si>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</si>
  <si>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</si>
  <si>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</si>
  <si>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</si>
  <si>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</si>
  <si>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</si>
  <si>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</si>
  <si>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</si>
  <si>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</si>
  <si>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</si>
  <si>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</si>
  <si>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</si>
  <si>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</si>
  <si>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</si>
  <si>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</si>
  <si>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</si>
  <si>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</si>
  <si>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</si>
  <si>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</si>
  <si>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</si>
  <si>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</si>
  <si>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</si>
  <si>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</si>
  <si>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</si>
  <si>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</si>
  <si>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</si>
  <si>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</si>
  <si>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</si>
  <si>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</si>
  <si>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</si>
  <si>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</si>
  <si>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</si>
  <si>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</si>
  <si>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</si>
  <si>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</si>
  <si>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</si>
  <si>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</si>
  <si>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</si>
  <si>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</si>
  <si>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</si>
  <si>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</si>
  <si>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</si>
  <si>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</si>
  <si>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</si>
  <si>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</si>
  <si>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</si>
  <si>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</si>
  <si>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</si>
  <si>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</si>
  <si>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</si>
  <si>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</si>
  <si>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</si>
  <si>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</si>
  <si>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</si>
  <si>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</si>
  <si>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</si>
  <si>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</si>
  <si>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</si>
  <si>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</si>
  <si>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</si>
  <si>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</si>
  <si>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</si>
  <si>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</si>
  <si>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</si>
  <si>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</si>
  <si>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</si>
  <si>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</si>
  <si>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</si>
  <si>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</si>
  <si>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</si>
  <si>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</si>
  <si>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</si>
  <si>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</si>
  <si>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</si>
  <si>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</si>
  <si>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</si>
  <si>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</si>
  <si>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</si>
  <si>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</si>
  <si>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</si>
  <si>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</si>
  <si>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</si>
  <si>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</si>
  <si>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</si>
  <si>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</si>
  <si>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</si>
  <si>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</si>
  <si>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</si>
  <si>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</si>
  <si>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</si>
  <si>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</si>
  <si>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</si>
  <si>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</si>
  <si>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</si>
  <si>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</si>
  <si>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</si>
  <si>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</si>
  <si>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</si>
  <si>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</si>
  <si>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</si>
  <si>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</si>
  <si>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</si>
  <si>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</si>
  <si>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</si>
  <si>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</si>
  <si>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</si>
  <si>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</si>
  <si>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</si>
  <si>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</si>
  <si>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</si>
  <si>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</si>
  <si>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</si>
  <si>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</si>
  <si>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</si>
  <si>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</si>
  <si>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</si>
  <si>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</si>
  <si>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</si>
  <si>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</si>
  <si>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</si>
  <si>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</si>
  <si>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</si>
  <si>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</si>
  <si>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</si>
  <si>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</si>
  <si>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</si>
  <si>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</si>
  <si>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</si>
  <si>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</si>
  <si>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</si>
  <si>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</si>
  <si>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</si>
  <si>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</si>
  <si>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</si>
  <si>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</si>
  <si>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</si>
  <si>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</si>
  <si>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</si>
  <si>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</si>
  <si>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</si>
  <si>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</si>
  <si>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</si>
  <si>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</si>
  <si>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</si>
  <si>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</si>
  <si>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</si>
  <si>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</si>
  <si>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</si>
  <si>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</si>
  <si>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</si>
  <si>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</si>
  <si>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</si>
  <si>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</si>
  <si>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</si>
  <si>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</si>
  <si>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</si>
  <si>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</si>
  <si>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</si>
  <si>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</si>
  <si>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</si>
  <si>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</si>
  <si>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</si>
  <si>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</si>
  <si>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</si>
  <si>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</si>
  <si>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</si>
  <si>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</si>
  <si>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</si>
  <si>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</si>
  <si>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</si>
  <si>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</si>
  <si>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</si>
  <si>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</si>
  <si>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</si>
  <si>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</si>
  <si>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</si>
  <si>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</si>
  <si>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</si>
  <si>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</si>
  <si>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</si>
  <si>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</si>
  <si>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</si>
  <si>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</si>
  <si>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</si>
  <si>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</si>
  <si>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</si>
  <si>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</si>
  <si>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</si>
  <si>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</si>
  <si>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</si>
  <si>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</si>
  <si>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</si>
  <si>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</si>
  <si>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</si>
  <si>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</si>
  <si>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</si>
  <si>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</si>
  <si>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</si>
  <si>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</si>
  <si>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</si>
  <si>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</si>
  <si>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</si>
  <si>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</si>
  <si>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</si>
  <si>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</si>
  <si>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</si>
  <si>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</si>
  <si>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</si>
  <si>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</si>
  <si>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</si>
  <si>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</si>
  <si>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</si>
  <si>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</si>
  <si>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</si>
  <si>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</si>
  <si>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</si>
  <si>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</si>
  <si>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</si>
  <si>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</si>
  <si>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</si>
  <si>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</si>
  <si>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</si>
  <si>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</si>
  <si>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</si>
  <si>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</si>
  <si>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</si>
  <si>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</si>
  <si>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</si>
  <si>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</si>
  <si>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</si>
  <si>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</si>
  <si>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</si>
  <si>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</si>
  <si>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</si>
  <si>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</si>
  <si>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</si>
  <si>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</si>
  <si>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</si>
  <si>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</si>
  <si>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</si>
  <si>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</si>
  <si>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</si>
  <si>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</si>
  <si>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</si>
  <si>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</si>
  <si>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</si>
  <si>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</si>
  <si>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</si>
  <si>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</si>
  <si>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</si>
  <si>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</si>
  <si>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</si>
  <si>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</si>
  <si>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</si>
  <si>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</si>
  <si>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</si>
  <si>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</si>
  <si>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</si>
  <si>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</si>
  <si>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</si>
  <si>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</si>
  <si>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</si>
  <si>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</si>
  <si>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</si>
  <si>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</si>
  <si>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</si>
  <si>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</si>
  <si>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</si>
  <si>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</si>
  <si>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</si>
  <si>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</si>
  <si>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</si>
  <si>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</si>
  <si>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</si>
  <si>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</si>
  <si>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</si>
  <si>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</si>
  <si>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</si>
  <si>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</si>
  <si>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</si>
  <si>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</si>
  <si>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</si>
  <si>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</si>
  <si>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</si>
  <si>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</si>
  <si>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</si>
  <si>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</si>
  <si>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</si>
  <si>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</si>
  <si>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</si>
  <si>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</si>
  <si>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</si>
  <si>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</si>
  <si>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</si>
  <si>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</si>
  <si>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</si>
  <si>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</si>
  <si>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</si>
  <si>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</si>
  <si>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</si>
  <si>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</si>
  <si>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</si>
  <si>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</si>
  <si>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</si>
  <si>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</si>
  <si>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</si>
  <si>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</si>
  <si>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</si>
  <si>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</si>
  <si>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</si>
  <si>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</si>
  <si>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</si>
  <si>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</si>
  <si>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</si>
  <si>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</si>
  <si>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</si>
  <si>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</si>
  <si>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</si>
  <si>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</si>
  <si>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</si>
  <si>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</si>
  <si>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</si>
  <si>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</si>
  <si>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</si>
  <si>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</si>
  <si>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</si>
  <si>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</si>
  <si>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</si>
  <si>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</si>
  <si>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</si>
  <si>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</si>
  <si>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</si>
  <si>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</si>
  <si>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</si>
  <si>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</si>
  <si>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</si>
  <si>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</si>
  <si>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</si>
  <si>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</si>
  <si>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</si>
  <si>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</si>
  <si>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</si>
  <si>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</si>
  <si>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</si>
  <si>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</si>
  <si>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</si>
  <si>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</si>
  <si>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</si>
  <si>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</si>
  <si>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</si>
  <si>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</si>
  <si>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</si>
  <si>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</si>
  <si>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</si>
  <si>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</si>
  <si>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</si>
  <si>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</si>
  <si>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</si>
  <si>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</si>
  <si>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</si>
  <si>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</si>
  <si>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</si>
  <si>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</si>
  <si>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</si>
  <si>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</si>
  <si>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</si>
  <si>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</si>
  <si>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</si>
  <si>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</si>
  <si>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</si>
  <si>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</si>
  <si>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</si>
  <si>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</si>
  <si>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</si>
  <si>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</si>
  <si>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</si>
  <si>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</si>
  <si>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</si>
  <si>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</si>
  <si>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</si>
  <si>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</si>
  <si>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</si>
  <si>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</si>
  <si>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</si>
  <si>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</si>
  <si>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</si>
  <si>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</si>
  <si>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</si>
  <si>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</si>
  <si>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</si>
  <si>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</si>
  <si>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</si>
  <si>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</si>
  <si>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</si>
  <si>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</si>
  <si>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</si>
  <si>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</si>
  <si>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</si>
  <si>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</si>
  <si>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</si>
  <si>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</si>
  <si>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</si>
  <si>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</si>
  <si>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</si>
  <si>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</si>
  <si>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</si>
  <si>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</si>
  <si>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</si>
  <si>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</si>
  <si>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</si>
  <si>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</si>
  <si>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</si>
  <si>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</si>
  <si>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</si>
  <si>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</si>
  <si>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</si>
  <si>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</si>
  <si>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</si>
  <si>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</si>
  <si>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</si>
  <si>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</si>
  <si>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</si>
  <si>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</si>
  <si>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</si>
  <si>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</si>
  <si>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</si>
  <si>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</si>
  <si>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</si>
  <si>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</si>
  <si>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</si>
  <si>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</si>
  <si>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</si>
  <si>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</si>
  <si>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</si>
  <si>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</si>
  <si>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</si>
  <si>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</si>
  <si>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</si>
  <si>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</si>
  <si>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</si>
  <si>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</si>
  <si>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</si>
  <si>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</si>
  <si>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</si>
  <si>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</si>
  <si>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</si>
  <si>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</si>
  <si>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</si>
  <si>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</si>
  <si>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</si>
  <si>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</si>
  <si>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</si>
  <si>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</si>
  <si>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</si>
  <si>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</si>
  <si>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</si>
  <si>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</si>
  <si>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</si>
  <si>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</si>
  <si>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</si>
  <si>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</si>
  <si>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</si>
  <si>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</si>
  <si>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</si>
  <si>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</si>
  <si>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</si>
  <si>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</si>
  <si>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</si>
  <si>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</si>
  <si>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</si>
  <si>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</si>
  <si>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</si>
  <si>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</si>
  <si>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</si>
  <si>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</si>
  <si>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</si>
  <si>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</si>
  <si>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</si>
  <si>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</si>
  <si>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</si>
  <si>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</si>
  <si>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</si>
  <si>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</si>
  <si>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</si>
  <si>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</si>
  <si>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</si>
  <si>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</si>
  <si>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</si>
  <si>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</si>
  <si>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</si>
  <si>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</si>
  <si>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</si>
  <si>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</si>
  <si>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</si>
  <si>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</si>
  <si>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</si>
  <si>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</si>
  <si>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</si>
  <si>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</si>
  <si>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</si>
  <si>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</si>
  <si>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</si>
  <si>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</si>
  <si>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</si>
  <si>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</si>
  <si>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</si>
  <si>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</si>
  <si>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</si>
  <si>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</si>
  <si>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</si>
  <si>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</si>
  <si>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</si>
  <si>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</si>
  <si>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</si>
  <si>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</si>
  <si>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</si>
  <si>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</si>
  <si>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</si>
  <si>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</si>
  <si>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</si>
  <si>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</si>
  <si>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</si>
  <si>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</si>
  <si>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</si>
  <si>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</si>
  <si>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</si>
  <si>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</si>
  <si>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</si>
  <si>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</si>
  <si>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</si>
  <si>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</si>
  <si>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</si>
  <si>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</si>
  <si>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</si>
  <si>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</si>
  <si>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</si>
  <si>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</si>
  <si>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</si>
  <si>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</si>
  <si>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</si>
  <si>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</si>
  <si>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</si>
  <si>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</si>
  <si>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</si>
  <si>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</si>
  <si>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</si>
  <si>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</si>
  <si>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</si>
  <si>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</si>
  <si>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</si>
  <si>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</si>
  <si>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</si>
  <si>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</si>
  <si>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</si>
  <si>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</si>
  <si>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</si>
  <si>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</si>
  <si>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</si>
  <si>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</si>
  <si>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</si>
  <si>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</si>
  <si>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</si>
  <si>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</si>
  <si>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</si>
  <si>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</si>
  <si>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</si>
  <si>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</si>
  <si>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</si>
  <si>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</si>
  <si>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</si>
  <si>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</si>
  <si>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</si>
  <si>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</si>
  <si>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</si>
  <si>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</si>
  <si>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</si>
  <si>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</si>
  <si>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</si>
  <si>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</si>
  <si>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</si>
  <si>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</si>
  <si>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</si>
  <si>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</si>
  <si>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</si>
  <si>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</si>
  <si>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</si>
  <si>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</si>
  <si>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</si>
  <si>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</si>
  <si>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</si>
  <si>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</si>
  <si>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</si>
  <si>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</si>
  <si>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</si>
  <si>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</si>
  <si>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</si>
  <si>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</si>
  <si>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</si>
  <si>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</si>
  <si>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</si>
  <si>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</si>
  <si>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</si>
  <si>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</si>
  <si>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</si>
  <si>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</si>
  <si>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</si>
  <si>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</si>
  <si>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</si>
  <si>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</si>
  <si>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</si>
  <si>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</si>
  <si>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</si>
  <si>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</si>
  <si>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</si>
  <si>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</si>
  <si>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</si>
  <si>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</si>
  <si>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</si>
  <si>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</si>
  <si>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</si>
  <si>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</si>
  <si>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</si>
  <si>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</si>
  <si>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</si>
  <si>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</si>
  <si>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</si>
  <si>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</si>
  <si>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</si>
  <si>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</si>
  <si>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</si>
  <si>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</si>
  <si>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</si>
  <si>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</si>
  <si>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</si>
  <si>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</si>
  <si>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</si>
  <si>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</si>
  <si>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</si>
  <si>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</si>
  <si>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</si>
  <si>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</si>
  <si>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</si>
  <si>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</si>
  <si>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</si>
  <si>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</si>
  <si>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</si>
  <si>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</si>
  <si>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</si>
  <si>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</si>
  <si>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</si>
  <si>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</si>
  <si>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</si>
  <si>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</si>
  <si>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</si>
  <si>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</si>
  <si>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</si>
  <si>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</si>
  <si>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</si>
  <si>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</si>
  <si>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</si>
  <si>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</si>
  <si>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</si>
  <si>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</si>
  <si>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</si>
  <si>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</si>
  <si>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</si>
  <si>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</si>
  <si>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</si>
  <si>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</si>
  <si>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</si>
  <si>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</si>
  <si>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</si>
  <si>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</si>
  <si>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</si>
  <si>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</si>
  <si>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</si>
  <si>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</si>
  <si>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</si>
  <si>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</si>
  <si>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</si>
  <si>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</si>
  <si>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</si>
  <si>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</si>
  <si>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</si>
  <si>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</si>
  <si>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</si>
  <si>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</si>
  <si>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</si>
  <si>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</si>
  <si>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</si>
  <si>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</si>
  <si>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</si>
  <si>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</si>
  <si>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</si>
  <si>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</si>
  <si>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</si>
  <si>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</si>
  <si>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</si>
  <si>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</si>
  <si>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</si>
  <si>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</si>
  <si>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</si>
  <si>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</si>
  <si>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</si>
  <si>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</si>
  <si>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</si>
  <si>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</si>
  <si>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</si>
  <si>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</si>
  <si>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</si>
  <si>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</si>
  <si>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</si>
  <si>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</si>
  <si>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</si>
  <si>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</si>
  <si>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</si>
  <si>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</si>
  <si>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</si>
  <si>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</si>
  <si>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</si>
  <si>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</si>
  <si>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</si>
  <si>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</si>
  <si>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</si>
  <si>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</si>
  <si>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</si>
  <si>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</si>
  <si>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</si>
  <si>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</si>
  <si>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</si>
  <si>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</si>
  <si>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</si>
  <si>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</si>
  <si>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</si>
  <si>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</si>
  <si>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</si>
  <si>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</si>
  <si>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</si>
  <si>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</si>
  <si>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</si>
  <si>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</si>
  <si>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</si>
  <si>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</si>
  <si>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</si>
  <si>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</si>
  <si>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</si>
  <si>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</si>
  <si>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</si>
  <si>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</si>
  <si>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</si>
  <si>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</si>
  <si>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</si>
  <si>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</si>
  <si>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</si>
  <si>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</si>
  <si>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</si>
  <si>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</si>
  <si>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</si>
  <si>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</si>
  <si>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</si>
  <si>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</si>
  <si>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</si>
  <si>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</si>
  <si>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</si>
  <si>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</si>
  <si>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</si>
  <si>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</si>
  <si>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</si>
  <si>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</si>
  <si>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</si>
  <si>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</si>
  <si>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</si>
  <si>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</si>
  <si>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</si>
  <si>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</si>
  <si>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</si>
  <si>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</si>
  <si>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</si>
  <si>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</si>
  <si>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</si>
  <si>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</si>
  <si>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</si>
  <si>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</si>
  <si>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</si>
  <si>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</si>
  <si>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</si>
  <si>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</si>
  <si>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</si>
  <si>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</si>
  <si>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</si>
  <si>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</si>
  <si>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</si>
  <si>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</si>
  <si>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</si>
  <si>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</si>
  <si>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</si>
  <si>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</si>
  <si>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</si>
  <si>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</si>
  <si>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</si>
  <si>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</si>
  <si>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</si>
  <si>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</si>
  <si>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</si>
  <si>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</si>
  <si>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</si>
  <si>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</si>
  <si>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</si>
  <si>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</si>
  <si>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</si>
  <si>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</si>
  <si>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</si>
  <si>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</si>
  <si>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</si>
  <si>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</si>
  <si>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</si>
  <si>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</si>
  <si>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</si>
  <si>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</si>
  <si>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</si>
  <si>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</si>
  <si>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</si>
  <si>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</si>
  <si>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</si>
  <si>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</si>
  <si>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</si>
  <si>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</si>
  <si>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</si>
  <si>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</si>
  <si>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</si>
  <si>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</si>
  <si>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</si>
  <si>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</si>
  <si>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</si>
  <si>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</si>
  <si>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</si>
  <si>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</si>
  <si>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</si>
  <si>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</si>
  <si>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</si>
  <si>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</si>
  <si>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</si>
  <si>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</si>
  <si>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</si>
  <si>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</si>
  <si>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</si>
  <si>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</si>
  <si>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</si>
  <si>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</si>
  <si>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</si>
  <si>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</si>
  <si>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</si>
  <si>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</si>
  <si>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</si>
  <si>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</si>
  <si>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</si>
  <si>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</si>
  <si>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</si>
  <si>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</si>
  <si>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</si>
  <si>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</si>
  <si>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</si>
  <si>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</si>
  <si>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</si>
  <si>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</si>
  <si>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</si>
  <si>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</si>
  <si>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</si>
  <si>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</si>
  <si>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</si>
  <si>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</si>
  <si>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</si>
  <si>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</si>
  <si>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</si>
  <si>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</si>
  <si>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</si>
  <si>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</si>
  <si>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</si>
  <si>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</si>
  <si>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</si>
  <si>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</si>
  <si>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</si>
  <si>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</si>
  <si>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</si>
  <si>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</si>
  <si>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</si>
  <si>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</si>
  <si>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</si>
  <si>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</si>
  <si>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</si>
  <si>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</si>
  <si>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</si>
  <si>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</si>
  <si>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</si>
  <si>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</si>
  <si>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</si>
  <si>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</si>
  <si>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</si>
  <si>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</si>
  <si>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</si>
  <si>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</si>
  <si>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</si>
  <si>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</si>
  <si>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</si>
  <si>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</si>
  <si>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</si>
  <si>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</si>
  <si>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</si>
  <si>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</si>
  <si>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</si>
  <si>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</si>
  <si>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</si>
  <si>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</si>
  <si>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</si>
  <si>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</si>
  <si>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</si>
  <si>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</si>
  <si>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</si>
  <si>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</si>
  <si>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</si>
  <si>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</si>
  <si>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</si>
  <si>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</si>
  <si>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</si>
  <si>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</si>
  <si>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</si>
  <si>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</si>
  <si>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</si>
  <si>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</si>
  <si>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</si>
  <si>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</si>
  <si>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</si>
  <si>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</si>
  <si>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</si>
  <si>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</si>
  <si>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</si>
  <si>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</si>
  <si>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</si>
  <si>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</si>
  <si>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</si>
  <si>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</si>
  <si>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</si>
  <si>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</si>
  <si>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</si>
  <si>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</si>
  <si>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</si>
  <si>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</si>
  <si>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</si>
  <si>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</si>
  <si>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</si>
  <si>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</si>
  <si>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</si>
  <si>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</si>
  <si>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</si>
  <si>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</si>
  <si>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</si>
  <si>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</si>
  <si>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</si>
  <si>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</si>
  <si>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</si>
  <si>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</si>
  <si>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</si>
  <si>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</si>
  <si>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</si>
  <si>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</si>
  <si>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</si>
  <si>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</si>
  <si>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</si>
  <si>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</si>
  <si>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</si>
  <si>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</si>
  <si>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</si>
  <si>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</si>
  <si>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</si>
  <si>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</si>
  <si>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</si>
  <si>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</si>
  <si>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</si>
  <si>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</si>
  <si>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</si>
  <si>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</si>
  <si>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</si>
  <si>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</si>
  <si>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</si>
  <si>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</si>
  <si>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</si>
  <si>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</si>
  <si>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</si>
  <si>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</si>
  <si>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</si>
  <si>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</si>
  <si>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</si>
  <si>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</si>
  <si>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</si>
  <si>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</si>
  <si>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</si>
  <si>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</si>
  <si>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</si>
  <si>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</si>
  <si>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</si>
  <si>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</si>
  <si>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</si>
  <si>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</si>
  <si>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</si>
  <si>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</si>
  <si>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</si>
  <si>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</si>
  <si>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</si>
  <si>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</si>
  <si>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</si>
  <si>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</si>
  <si>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</si>
  <si>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</si>
  <si>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</si>
  <si>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</si>
  <si>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</si>
  <si>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</si>
  <si>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</si>
  <si>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</si>
  <si>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</si>
  <si>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</si>
  <si>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</si>
  <si>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</si>
  <si>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</si>
  <si>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</si>
  <si>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</si>
  <si>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</si>
  <si>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</si>
  <si>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</si>
  <si>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</si>
  <si>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</si>
  <si>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</si>
  <si>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</si>
  <si>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</si>
  <si>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</si>
  <si>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</si>
  <si>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</si>
  <si>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</si>
  <si>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</si>
  <si>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</si>
  <si>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</si>
  <si>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</si>
  <si>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</si>
  <si>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</si>
  <si>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</si>
  <si>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</si>
  <si>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</si>
  <si>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</si>
  <si>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</si>
  <si>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</si>
  <si>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</si>
  <si>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</si>
  <si>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</si>
  <si>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</si>
  <si>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</si>
  <si>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</si>
  <si>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</si>
  <si>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</si>
  <si>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</si>
  <si>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</si>
  <si>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</si>
  <si>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</si>
  <si>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</si>
  <si>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</si>
  <si>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</si>
  <si>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</si>
  <si>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</si>
  <si>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</si>
  <si>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</si>
  <si>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</si>
  <si>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</si>
  <si>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</si>
  <si>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</si>
  <si>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</si>
  <si>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</si>
  <si>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</si>
  <si>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</si>
  <si>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</si>
  <si>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</si>
  <si>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</si>
  <si>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</si>
  <si>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</si>
  <si>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</si>
  <si>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</si>
  <si>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</si>
  <si>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</si>
  <si>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</si>
  <si>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</si>
  <si>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</si>
  <si>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</si>
  <si>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</si>
  <si>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</si>
  <si>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</si>
  <si>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</si>
  <si>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</si>
  <si>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</si>
  <si>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</si>
  <si>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</si>
  <si>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</si>
  <si>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</si>
  <si>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</si>
  <si>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</si>
  <si>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</si>
  <si>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</si>
  <si>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</si>
  <si>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</si>
  <si>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</si>
  <si>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</si>
  <si>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</si>
  <si>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</si>
  <si>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</si>
  <si>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</si>
  <si>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</si>
  <si>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</si>
  <si>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</si>
  <si>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</si>
  <si>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</si>
  <si>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</si>
  <si>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</si>
  <si>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</si>
  <si>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</si>
  <si>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</si>
  <si>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</si>
  <si>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</si>
  <si>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</si>
  <si>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</si>
  <si>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</si>
  <si>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</si>
  <si>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</si>
  <si>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</si>
  <si>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</si>
  <si>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</si>
  <si>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</si>
  <si>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</si>
  <si>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</si>
  <si>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</si>
  <si>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</si>
  <si>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</si>
  <si>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</si>
  <si>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</si>
  <si>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</si>
  <si>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</si>
  <si>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</si>
  <si>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</si>
  <si>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</si>
  <si>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</si>
  <si>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</si>
  <si>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</si>
  <si>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</si>
  <si>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</si>
  <si>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</si>
  <si>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</si>
  <si>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</si>
  <si>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</si>
  <si>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</si>
  <si>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</si>
  <si>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</si>
  <si>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</si>
  <si>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</si>
  <si>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</si>
  <si>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</si>
  <si>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</si>
  <si>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</si>
  <si>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</si>
  <si>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</si>
  <si>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</si>
  <si>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</si>
  <si>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</si>
  <si>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</si>
  <si>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</si>
  <si>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</si>
  <si>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</si>
  <si>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</si>
  <si>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</si>
  <si>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</si>
  <si>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</si>
  <si>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</si>
  <si>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</si>
  <si>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</si>
  <si>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</si>
  <si>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</si>
  <si>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</si>
  <si>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</si>
  <si>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</si>
  <si>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</si>
  <si>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</si>
  <si>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</si>
  <si>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</si>
  <si>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</si>
  <si>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</si>
  <si>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</si>
  <si>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</si>
  <si>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</si>
  <si>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</si>
  <si>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</si>
  <si>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</si>
  <si>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</si>
  <si>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</si>
  <si>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</si>
  <si>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</si>
  <si>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</si>
  <si>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</si>
  <si>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</si>
  <si>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</si>
  <si>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</si>
  <si>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</si>
  <si>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</si>
  <si>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</si>
  <si>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</si>
  <si>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</si>
  <si>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</si>
  <si>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</si>
  <si>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</si>
  <si>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</si>
  <si>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</si>
  <si>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</si>
  <si>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</si>
  <si>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</si>
  <si>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</si>
  <si>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</si>
  <si>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</si>
  <si>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</si>
  <si>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</si>
  <si>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</si>
  <si>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</si>
  <si>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</si>
  <si>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</si>
  <si>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</si>
  <si>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</si>
  <si>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</si>
  <si>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</si>
  <si>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</si>
  <si>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</si>
  <si>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</si>
  <si>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</si>
  <si>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</si>
  <si>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</si>
  <si>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</si>
  <si>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</si>
  <si>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</si>
  <si>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</si>
  <si>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</si>
  <si>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</si>
  <si>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</si>
  <si>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</si>
  <si>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</si>
  <si>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</si>
  <si>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</si>
  <si>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</si>
  <si>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</si>
  <si>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</si>
  <si>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</si>
  <si>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</si>
  <si>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</si>
  <si>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</si>
  <si>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</si>
  <si>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</si>
  <si>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</si>
  <si>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</si>
  <si>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</si>
  <si>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</si>
  <si>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</si>
  <si>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</si>
  <si>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</si>
  <si>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</si>
  <si>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</si>
  <si>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</si>
  <si>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</si>
  <si>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</si>
  <si>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</si>
  <si>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</si>
  <si>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</si>
  <si>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</si>
  <si>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</si>
  <si>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</si>
  <si>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</si>
  <si>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</si>
  <si>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</si>
  <si>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</si>
  <si>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</si>
  <si>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</si>
  <si>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</si>
  <si>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</si>
  <si>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</si>
  <si>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</si>
  <si>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</si>
  <si>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</si>
  <si>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</si>
  <si>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</si>
  <si>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</si>
  <si>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</si>
  <si>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</si>
  <si>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</si>
  <si>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</si>
  <si>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</si>
  <si>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</si>
  <si>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</si>
  <si>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</si>
  <si>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</si>
  <si>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</si>
  <si>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</si>
  <si>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</si>
  <si>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</si>
  <si>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</si>
  <si>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</si>
  <si>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</si>
  <si>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</si>
  <si>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</si>
  <si>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</si>
  <si>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</si>
  <si>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</si>
  <si>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</si>
  <si>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</si>
  <si>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</si>
  <si>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</si>
  <si>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</si>
  <si>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</si>
  <si>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</si>
  <si>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</si>
  <si>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</si>
  <si>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</si>
  <si>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</si>
  <si>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</si>
  <si>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</si>
  <si>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</si>
  <si>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</si>
  <si>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</si>
  <si>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</si>
  <si>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</si>
  <si>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</si>
  <si>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</si>
  <si>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</si>
  <si>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</si>
  <si>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</si>
  <si>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</si>
  <si>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</si>
  <si>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</si>
  <si>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</si>
  <si>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</si>
  <si>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</si>
  <si>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</si>
  <si>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</si>
  <si>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</si>
  <si>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</si>
  <si>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</si>
  <si>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</si>
  <si>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</si>
  <si>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</si>
  <si>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</si>
  <si>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</si>
  <si>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</si>
  <si>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</si>
  <si>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</si>
  <si>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</si>
  <si>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</si>
  <si>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</si>
  <si>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</si>
  <si>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</si>
  <si>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</si>
  <si>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</si>
  <si>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</si>
  <si>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</si>
  <si>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</si>
  <si>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</si>
  <si>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</si>
  <si>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</si>
  <si>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</si>
  <si>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</si>
  <si>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</si>
  <si>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</si>
  <si>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</si>
  <si>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</si>
  <si>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</si>
  <si>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</si>
  <si>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</si>
  <si>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</si>
  <si>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</si>
  <si>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</si>
  <si>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</si>
  <si>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</si>
  <si>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</si>
  <si>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</si>
  <si>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</si>
  <si>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</si>
  <si>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</si>
  <si>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</si>
  <si>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</si>
  <si>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</si>
  <si>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</si>
  <si>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</si>
  <si>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</si>
  <si>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</si>
  <si>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</si>
  <si>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</si>
  <si>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</si>
  <si>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</si>
  <si>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</si>
  <si>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</si>
  <si>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</si>
  <si>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</si>
  <si>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</si>
  <si>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</si>
  <si>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</si>
  <si>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</si>
  <si>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</si>
  <si>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</si>
  <si>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</si>
  <si>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</si>
  <si>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</si>
  <si>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</si>
  <si>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</si>
  <si>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</si>
  <si>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</si>
  <si>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</si>
  <si>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</si>
  <si>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</si>
  <si>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</si>
  <si>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</si>
  <si>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</si>
  <si>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</si>
  <si>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</si>
  <si>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</si>
  <si>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</si>
  <si>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</si>
  <si>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</si>
  <si>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</si>
  <si>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</si>
  <si>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</si>
  <si>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</si>
  <si>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</si>
  <si>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</si>
  <si>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</si>
  <si>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</si>
  <si>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</si>
  <si>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</si>
  <si>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</si>
  <si>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</si>
  <si>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</si>
  <si>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</si>
  <si>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</si>
  <si>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</si>
  <si>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</si>
  <si>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</si>
  <si>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</si>
  <si>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</si>
  <si>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</si>
  <si>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</si>
  <si>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</si>
  <si>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</si>
  <si>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</si>
  <si>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</si>
  <si>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</si>
  <si>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</si>
  <si>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</si>
  <si>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</si>
  <si>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</si>
  <si>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</si>
  <si>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</si>
  <si>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</si>
  <si>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</si>
  <si>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</si>
  <si>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</si>
  <si>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</si>
  <si>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</si>
  <si>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</si>
  <si>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</si>
  <si>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</si>
  <si>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</si>
  <si>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</si>
  <si>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</si>
  <si>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</si>
  <si>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</si>
  <si>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</si>
  <si>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</si>
  <si>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</si>
  <si>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</si>
  <si>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</si>
  <si>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</si>
  <si>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</si>
  <si>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</si>
  <si>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</si>
  <si>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</si>
  <si>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</si>
  <si>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</si>
  <si>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</si>
  <si>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</si>
  <si>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</si>
  <si>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</si>
  <si>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</si>
  <si>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</si>
  <si>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</si>
  <si>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</si>
  <si>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</si>
  <si>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</si>
  <si>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</si>
  <si>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</si>
  <si>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</si>
  <si>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</si>
  <si>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</si>
  <si>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</si>
  <si>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</si>
  <si>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</si>
  <si>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</si>
  <si>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</si>
  <si>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</si>
  <si>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</si>
  <si>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</si>
  <si>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</si>
  <si>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</si>
  <si>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</si>
  <si>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</si>
  <si>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</si>
  <si>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</si>
  <si>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</si>
  <si>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</si>
  <si>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</si>
  <si>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</si>
  <si>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</si>
  <si>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</si>
  <si>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</si>
  <si>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</si>
  <si>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</si>
  <si>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</si>
  <si>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</si>
  <si>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</si>
  <si>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</si>
  <si>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</si>
  <si>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</si>
  <si>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</si>
  <si>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</si>
  <si>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</si>
  <si>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</si>
  <si>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</si>
  <si>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</si>
  <si>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</si>
  <si>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</si>
  <si>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</si>
  <si>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</si>
  <si>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</si>
  <si>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</si>
  <si>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</si>
  <si>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</si>
  <si>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</si>
  <si>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</si>
  <si>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</si>
  <si>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</si>
  <si>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</si>
  <si>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</si>
  <si>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</si>
  <si>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</si>
  <si>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</si>
  <si>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</si>
  <si>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</si>
  <si>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</si>
  <si>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</si>
  <si>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</si>
  <si>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</si>
  <si>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</si>
  <si>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</si>
  <si>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</si>
  <si>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</si>
  <si>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</si>
  <si>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</si>
  <si>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</si>
  <si>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</si>
  <si>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</si>
  <si>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</si>
  <si>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</si>
  <si>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</si>
  <si>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</si>
  <si>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</si>
  <si>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</si>
  <si>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</si>
  <si>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</si>
  <si>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</si>
  <si>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</si>
  <si>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</si>
  <si>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</si>
  <si>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</si>
  <si>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</si>
  <si>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</si>
  <si>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</si>
  <si>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</si>
  <si>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</si>
  <si>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</si>
  <si>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</si>
  <si>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</si>
  <si>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</si>
  <si>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</si>
  <si>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</si>
  <si>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</si>
  <si>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</si>
  <si>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</si>
  <si>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</si>
  <si>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</si>
  <si>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</si>
  <si>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</si>
  <si>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</si>
  <si>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</si>
  <si>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</si>
  <si>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</si>
  <si>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</si>
  <si>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</si>
  <si>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</si>
  <si>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</si>
  <si>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</si>
  <si>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</si>
  <si>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</si>
  <si>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</si>
  <si>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</si>
  <si>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</si>
  <si>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</si>
  <si>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</si>
  <si>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</si>
  <si>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</si>
  <si>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</si>
  <si>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</si>
  <si>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</si>
  <si>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</si>
  <si>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</si>
  <si>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</si>
  <si>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</si>
  <si>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</si>
  <si>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</si>
  <si>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</si>
  <si>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</si>
  <si>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</si>
  <si>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</si>
  <si>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</si>
  <si>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</si>
  <si>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</si>
  <si>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</si>
  <si>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</si>
  <si>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</si>
  <si>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</si>
  <si>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</si>
  <si>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</si>
  <si>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</si>
  <si>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</si>
  <si>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</si>
  <si>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</si>
  <si>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</si>
  <si>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</si>
  <si>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</si>
  <si>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</si>
  <si>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</si>
  <si>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</si>
  <si>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</si>
  <si>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</si>
  <si>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</si>
  <si>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</si>
  <si>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</si>
  <si>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</si>
  <si>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</si>
  <si>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</si>
  <si>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</si>
  <si>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</si>
  <si>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</si>
  <si>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</si>
  <si>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</si>
  <si>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</si>
  <si>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</si>
  <si>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</si>
  <si>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</si>
  <si>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</si>
  <si>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</si>
  <si>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</si>
  <si>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</si>
  <si>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</si>
  <si>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</si>
  <si>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</si>
  <si>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</si>
  <si>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</si>
  <si>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</si>
  <si>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</si>
  <si>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</si>
  <si>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</si>
  <si>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</si>
  <si>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</si>
  <si>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</si>
  <si>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</si>
  <si>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</si>
  <si>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</si>
  <si>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</si>
  <si>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</si>
  <si>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</si>
  <si>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</si>
  <si>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</si>
  <si>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</si>
  <si>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</si>
  <si>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</si>
  <si>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</si>
  <si>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</si>
  <si>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</si>
  <si>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</si>
  <si>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</si>
  <si>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</si>
  <si>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</si>
  <si>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</si>
  <si>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</si>
  <si>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</si>
  <si>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</si>
  <si>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</si>
  <si>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</si>
  <si>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</si>
  <si>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</si>
  <si>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</si>
  <si>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</si>
  <si>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</si>
  <si>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</si>
  <si>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</si>
  <si>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</si>
  <si>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</si>
  <si>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</si>
  <si>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</si>
  <si>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</si>
  <si>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</si>
  <si>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</si>
  <si>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</si>
  <si>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</si>
  <si>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</si>
  <si>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</si>
  <si>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</si>
  <si>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</si>
  <si>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</si>
  <si>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</si>
  <si>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</si>
  <si>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</si>
  <si>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</si>
  <si>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</si>
  <si>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</si>
  <si>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</si>
  <si>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</si>
  <si>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</si>
  <si>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</si>
  <si>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</si>
  <si>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</si>
  <si>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</si>
  <si>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</si>
  <si>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</si>
  <si>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</si>
  <si>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</si>
  <si>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</si>
  <si>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</si>
  <si>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</si>
  <si>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</si>
  <si>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</si>
  <si>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</si>
  <si>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</si>
  <si>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</si>
  <si>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</si>
  <si>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</si>
  <si>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</si>
  <si>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</si>
  <si>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</si>
  <si>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</si>
  <si>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</si>
  <si>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</si>
  <si>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</si>
  <si>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</si>
  <si>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</si>
  <si>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</si>
  <si>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</si>
  <si>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</si>
  <si>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</si>
  <si>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</si>
  <si>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</si>
  <si>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</si>
  <si>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</si>
  <si>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</si>
  <si>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</si>
  <si>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</si>
  <si>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</si>
  <si>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</si>
  <si>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</si>
  <si>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</si>
  <si>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</si>
  <si>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</si>
  <si>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</si>
  <si>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</si>
  <si>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</si>
  <si>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</si>
  <si>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</si>
  <si>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</si>
  <si>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</si>
  <si>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</si>
  <si>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</si>
  <si>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</si>
  <si>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</si>
  <si>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</si>
  <si>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</si>
  <si>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</si>
  <si>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</si>
  <si>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</si>
  <si>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</si>
  <si>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</si>
  <si>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</si>
  <si>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</si>
  <si>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</si>
  <si>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</si>
  <si>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</si>
  <si>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</si>
  <si>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</si>
  <si>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</si>
  <si>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</si>
  <si>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</si>
  <si>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</si>
  <si>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</si>
  <si>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</si>
  <si>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</si>
  <si>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</si>
  <si>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</si>
  <si>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</si>
  <si>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</si>
  <si>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</si>
  <si>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</si>
  <si>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</si>
  <si>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</si>
  <si>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</si>
  <si>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</si>
  <si>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</si>
  <si>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</si>
  <si>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</si>
  <si>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</si>
  <si>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</si>
  <si>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</si>
  <si>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</si>
  <si>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</si>
  <si>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</si>
  <si>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</si>
  <si>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</si>
  <si>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</si>
  <si>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</si>
  <si>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</si>
  <si>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</si>
  <si>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</si>
  <si>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</si>
  <si>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</si>
  <si>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</si>
  <si>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</si>
  <si>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</si>
  <si>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</si>
  <si>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</si>
  <si>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</si>
  <si>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</si>
  <si>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</si>
  <si>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</si>
  <si>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</si>
  <si>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</si>
  <si>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</si>
  <si>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</si>
  <si>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</si>
  <si>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</si>
  <si>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</si>
  <si>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</si>
  <si>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</si>
  <si>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</si>
  <si>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</si>
  <si>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</si>
  <si>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</si>
  <si>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</si>
  <si>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</si>
  <si>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</si>
  <si>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</si>
  <si>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</si>
  <si>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</si>
  <si>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</si>
  <si>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</si>
  <si>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</si>
  <si>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</si>
  <si>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</si>
  <si>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</si>
  <si>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</si>
  <si>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</si>
  <si>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</si>
  <si>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</si>
  <si>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</si>
  <si>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</si>
  <si>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</si>
  <si>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</si>
  <si>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</si>
  <si>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</si>
  <si>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</si>
  <si>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</si>
  <si>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</si>
  <si>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</si>
  <si>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</si>
  <si>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</si>
  <si>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</si>
  <si>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</si>
  <si>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</si>
  <si>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</si>
  <si>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</si>
  <si>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</si>
  <si>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</si>
  <si>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</si>
  <si>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</si>
  <si>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</si>
  <si>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</si>
  <si>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</si>
  <si>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</si>
  <si>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</si>
  <si>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</si>
  <si>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</si>
  <si>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</si>
  <si>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</si>
  <si>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</si>
  <si>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</si>
  <si>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</si>
  <si>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</si>
  <si>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</si>
  <si>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</si>
  <si>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</si>
  <si>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</si>
  <si>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</si>
  <si>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</si>
  <si>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</si>
  <si>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</si>
  <si>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</si>
  <si>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</si>
  <si>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</si>
  <si>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</si>
  <si>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</si>
  <si>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</si>
  <si>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</si>
  <si>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</si>
  <si>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</si>
  <si>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</si>
  <si>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</si>
  <si>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</si>
  <si>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</si>
  <si>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</si>
  <si>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</si>
  <si>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</si>
  <si>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</si>
  <si>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</si>
  <si>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</si>
  <si>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</si>
  <si>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</si>
  <si>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</si>
  <si>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</si>
  <si>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</si>
  <si>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</si>
  <si>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</si>
  <si>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</si>
  <si>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</si>
  <si>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</si>
  <si>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</si>
  <si>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</si>
  <si>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</si>
  <si>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</si>
  <si>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</si>
  <si>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</si>
  <si>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</si>
  <si>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</si>
  <si>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</si>
  <si>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</si>
  <si>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</si>
  <si>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</si>
  <si>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</si>
  <si>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</si>
  <si>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</si>
  <si>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</si>
  <si>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</si>
  <si>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</si>
  <si>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</si>
  <si>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</si>
  <si>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</si>
  <si>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</si>
  <si>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</si>
  <si>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</si>
  <si>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</si>
  <si>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</si>
  <si>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</si>
  <si>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</si>
  <si>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</si>
  <si>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</si>
  <si>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</si>
  <si>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</si>
  <si>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</si>
  <si>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</si>
  <si>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</si>
  <si>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</si>
  <si>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</si>
  <si>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</si>
  <si>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</si>
  <si>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</si>
  <si>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</si>
  <si>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</si>
  <si>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</si>
  <si>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</si>
  <si>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</si>
  <si>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</si>
  <si>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</si>
  <si>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</si>
  <si>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</si>
  <si>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</si>
  <si>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</si>
  <si>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</si>
  <si>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</si>
  <si>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</si>
  <si>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</si>
  <si>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</si>
  <si>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</si>
  <si>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</si>
  <si>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</si>
  <si>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</si>
  <si>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</si>
  <si>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</si>
  <si>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</si>
  <si>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</si>
  <si>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</si>
  <si>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</si>
  <si>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</si>
  <si>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</si>
  <si>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</si>
  <si>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</si>
  <si>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</si>
  <si>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</si>
  <si>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</si>
  <si>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</si>
  <si>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</si>
  <si>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</si>
  <si>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</si>
  <si>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</si>
  <si>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</si>
  <si>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</si>
  <si>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</si>
  <si>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</si>
  <si>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</si>
  <si>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</si>
  <si>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</si>
  <si>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</si>
  <si>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</si>
  <si>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</si>
  <si>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</si>
  <si>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</si>
  <si>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</si>
  <si>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</si>
  <si>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</si>
  <si>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</si>
  <si>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</si>
  <si>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</si>
  <si>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</si>
  <si>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</si>
  <si>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</si>
  <si>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</si>
  <si>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</si>
  <si>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</si>
  <si>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</si>
  <si>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</si>
  <si>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</si>
  <si>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</si>
  <si>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</si>
  <si>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</si>
  <si>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</si>
  <si>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</si>
  <si>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</si>
  <si>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</si>
  <si>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</si>
  <si>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</si>
  <si>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</si>
  <si>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gain_loot potion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</si>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</sst>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43</c:v>
                </c:pt>
                <c:pt idx="43">
                  <c:v>41</c:v>
                </c:pt>
                <c:pt idx="44">
                  <c:v>59</c:v>
                </c:pt>
                <c:pt idx="45">
                  <c:v>79</c:v>
                </c:pt>
                <c:pt idx="46">
                  <c:v>62</c:v>
                </c:pt>
                <c:pt idx="47">
                  <c:v>84</c:v>
                </c:pt>
                <c:pt idx="48">
                  <c:v>21</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73</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60</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93</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271</c:v>
                </c:pt>
                <c:pt idx="1">
                  <c:v>105</c:v>
                </c:pt>
                <c:pt idx="2">
                  <c:v>101</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9" totalsRowShown="0">
  <autoFilter ref="A1:G1539"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name="Name"/>
    <tableColumn id="2" name="Rarity"/>
    <tableColumn id="3" name="Type"/>
    <tableColumn id="4" name="Description"/>
    <tableColumn id="5" name="Effect"/>
    <tableColumn id="6" name="Tags"/>
    <tableColumn id="7" name="Game"/>
    <tableColumn id="8" name="Image"/>
    <tableColumn id="9"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name="Name"/>
    <tableColumn id="2" name="Rarity"/>
    <tableColumn id="3" name="Size"/>
    <tableColumn id="4" name="Type"/>
    <tableColumn id="5" name="Description"/>
    <tableColumn id="6" name="Effect"/>
    <tableColumn id="7" name="Tag"/>
    <tableColumn id="8" name="Game"/>
    <tableColumn id="9"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table" Target="../tables/table1.xm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table" Target="../tables/table2.xm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opLeftCell="A827"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9934</v>
      </c>
      <c r="B123">
        <v>2020</v>
      </c>
      <c r="C123" t="s">
        <v>222</v>
      </c>
      <c r="D123" t="b">
        <v>0</v>
      </c>
      <c r="E123" t="b">
        <f>COUNTIF(connections!A:A, A123) &gt; 0</f>
        <v>0</v>
      </c>
      <c r="G123" t="s">
        <v>9935</v>
      </c>
      <c r="J123" s="10" t="s">
        <v>9936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9864</v>
      </c>
      <c r="B147">
        <v>2025</v>
      </c>
      <c r="C147" t="s">
        <v>176</v>
      </c>
      <c r="D147" t="b">
        <v>1</v>
      </c>
      <c r="E147" t="b">
        <f>COUNTIF(connections!A:A, A147) &gt; 0</f>
        <v>0</v>
      </c>
      <c r="G147" t="s">
        <v>9865</v>
      </c>
      <c r="H147" t="s">
        <v>187</v>
      </c>
      <c r="I147" t="s">
        <v>9867</v>
      </c>
      <c r="J147" s="10" t="s">
        <v>9866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14101</v>
      </c>
      <c r="B150">
        <v>2026</v>
      </c>
      <c r="C150" t="s">
        <v>176</v>
      </c>
      <c r="D150" t="b">
        <v>1</v>
      </c>
      <c r="E150" t="b">
        <f>COUNTIF(connections!A:A, A150) &gt; 0</f>
        <v>0</v>
      </c>
      <c r="G150" t="s">
        <v>14105</v>
      </c>
      <c r="J150" s="10" t="s">
        <v>14106</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9440</v>
      </c>
      <c r="G152" t="s">
        <v>653</v>
      </c>
      <c r="H152" t="s">
        <v>187</v>
      </c>
      <c r="I152" t="s">
        <v>654</v>
      </c>
      <c r="J152" s="1" t="s">
        <v>655</v>
      </c>
    </row>
    <row r="153" spans="1:10" ht="15" customHeight="1" x14ac:dyDescent="0.25">
      <c r="A153" t="s">
        <v>9894</v>
      </c>
      <c r="B153">
        <v>2024</v>
      </c>
      <c r="C153" t="s">
        <v>222</v>
      </c>
      <c r="D153" t="b">
        <v>1</v>
      </c>
      <c r="E153" t="b">
        <f>COUNTIF(connections!A:A, A153) &gt; 0</f>
        <v>0</v>
      </c>
      <c r="F153" t="s">
        <v>9896</v>
      </c>
      <c r="G153" t="s">
        <v>9895</v>
      </c>
      <c r="H153" t="s">
        <v>187</v>
      </c>
      <c r="I153" t="s">
        <v>9900</v>
      </c>
      <c r="J153" s="10" t="s">
        <v>9897</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9846</v>
      </c>
      <c r="J199" s="10" t="s">
        <v>9847</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8379</v>
      </c>
      <c r="B209">
        <v>2018</v>
      </c>
      <c r="C209" t="s">
        <v>222</v>
      </c>
      <c r="D209" t="b">
        <v>1</v>
      </c>
      <c r="E209" t="b">
        <f>COUNTIF(connections!A:A, A209) &gt; 0</f>
        <v>1</v>
      </c>
      <c r="G209" t="s">
        <v>8381</v>
      </c>
      <c r="J209" s="10" t="s">
        <v>8380</v>
      </c>
    </row>
    <row r="210" spans="1:10" ht="15" customHeight="1" x14ac:dyDescent="0.25">
      <c r="A210" t="s">
        <v>8378</v>
      </c>
      <c r="B210">
        <v>2021</v>
      </c>
      <c r="C210" t="s">
        <v>176</v>
      </c>
      <c r="D210" t="b">
        <f>TRUE()</f>
        <v>1</v>
      </c>
      <c r="E210" t="b">
        <f>COUNTIF(connections!A:A, A210) &gt; 0</f>
        <v>1</v>
      </c>
      <c r="G210" t="s">
        <v>842</v>
      </c>
      <c r="H210" t="s">
        <v>187</v>
      </c>
      <c r="I210" t="s">
        <v>843</v>
      </c>
      <c r="J210" s="1" t="s">
        <v>844</v>
      </c>
    </row>
    <row r="211" spans="1:10" ht="15" customHeight="1" x14ac:dyDescent="0.25">
      <c r="A211" t="s">
        <v>9950</v>
      </c>
      <c r="B211">
        <v>2026</v>
      </c>
      <c r="C211" t="s">
        <v>176</v>
      </c>
      <c r="D211" t="b">
        <v>1</v>
      </c>
      <c r="E211" t="b">
        <f>COUNTIF(connections!A:A, A211) &gt; 0</f>
        <v>0</v>
      </c>
      <c r="G211" t="s">
        <v>9951</v>
      </c>
      <c r="J211" s="10" t="s">
        <v>9952</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9873</v>
      </c>
      <c r="B213">
        <v>2022</v>
      </c>
      <c r="C213" t="s">
        <v>176</v>
      </c>
      <c r="D213" t="b">
        <v>1</v>
      </c>
      <c r="E213" t="b">
        <f>COUNTIF(connections!A:A, A213) &gt; 0</f>
        <v>0</v>
      </c>
      <c r="G213" t="s">
        <v>9874</v>
      </c>
      <c r="H213" t="s">
        <v>187</v>
      </c>
      <c r="I213" t="s">
        <v>9876</v>
      </c>
      <c r="J213" s="10" t="s">
        <v>9875</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8297</v>
      </c>
      <c r="B222">
        <v>2026</v>
      </c>
      <c r="C222" t="s">
        <v>182</v>
      </c>
      <c r="D222" t="b">
        <f>TRUE()</f>
        <v>1</v>
      </c>
      <c r="E222" t="b">
        <f>COUNTIF(connections!A:A, A222) &gt; 0</f>
        <v>0</v>
      </c>
      <c r="F222" t="s">
        <v>315</v>
      </c>
      <c r="G222" t="s">
        <v>8298</v>
      </c>
      <c r="J222" s="10" t="s">
        <v>8299</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8309</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8310</v>
      </c>
      <c r="J295" s="10" t="s">
        <v>8311</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9931</v>
      </c>
      <c r="B308">
        <v>2025</v>
      </c>
      <c r="C308" t="s">
        <v>176</v>
      </c>
      <c r="D308" t="b">
        <v>0</v>
      </c>
      <c r="E308" t="b">
        <f>COUNTIF(connections!A:A, A308) &gt; 0</f>
        <v>0</v>
      </c>
      <c r="G308" t="s">
        <v>9932</v>
      </c>
      <c r="J308" s="10" t="s">
        <v>9933</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9840</v>
      </c>
      <c r="B313">
        <v>2018</v>
      </c>
      <c r="C313" t="s">
        <v>179</v>
      </c>
      <c r="D313" t="b">
        <v>1</v>
      </c>
      <c r="E313" t="b">
        <f>COUNTIF(connections!A:A, A313) &gt; 0</f>
        <v>0</v>
      </c>
      <c r="G313" t="s">
        <v>9839</v>
      </c>
      <c r="H313" t="s">
        <v>187</v>
      </c>
      <c r="I313" t="s">
        <v>9845</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8404</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9928</v>
      </c>
      <c r="B413">
        <v>2026</v>
      </c>
      <c r="C413" t="s">
        <v>222</v>
      </c>
      <c r="D413" t="b">
        <v>0</v>
      </c>
      <c r="E413" t="b">
        <f>COUNTIF(connections!A:A, A413) &gt; 0</f>
        <v>0</v>
      </c>
      <c r="G413" t="s">
        <v>9929</v>
      </c>
      <c r="J413" s="10" t="s">
        <v>9930</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12673</v>
      </c>
      <c r="J417" s="10" t="s">
        <v>12674</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9908</v>
      </c>
      <c r="B420">
        <v>2017</v>
      </c>
      <c r="C420" t="s">
        <v>222</v>
      </c>
      <c r="D420" t="b">
        <v>0</v>
      </c>
      <c r="E420" t="b">
        <f>COUNTIF(connections!A:A, A420) &gt; 0</f>
        <v>0</v>
      </c>
      <c r="G420" t="s">
        <v>9909</v>
      </c>
      <c r="H420" t="s">
        <v>187</v>
      </c>
      <c r="I420" t="s">
        <v>9911</v>
      </c>
      <c r="J420" s="10" t="s">
        <v>9910</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9849</v>
      </c>
      <c r="J442" s="10" t="s">
        <v>9850</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9813</v>
      </c>
      <c r="B444">
        <v>2024</v>
      </c>
      <c r="C444" t="s">
        <v>222</v>
      </c>
      <c r="D444" t="b">
        <v>1</v>
      </c>
      <c r="E444" t="b">
        <f>COUNTIF(connections!A:A, A444) &gt; 0</f>
        <v>0</v>
      </c>
      <c r="G444" t="s">
        <v>9814</v>
      </c>
      <c r="J444" s="10" t="s">
        <v>9815</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9879</v>
      </c>
      <c r="B454">
        <v>2022</v>
      </c>
      <c r="C454" t="s">
        <v>176</v>
      </c>
      <c r="D454" t="b">
        <v>1</v>
      </c>
      <c r="E454" t="b">
        <f>COUNTIF(connections!A:A, A454) &gt; 0</f>
        <v>0</v>
      </c>
      <c r="G454" t="s">
        <v>9880</v>
      </c>
      <c r="H454" t="s">
        <v>187</v>
      </c>
      <c r="I454" t="s">
        <v>9884</v>
      </c>
      <c r="J454" s="10" t="s">
        <v>9881</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9973</v>
      </c>
      <c r="B498">
        <v>2026</v>
      </c>
      <c r="C498" t="s">
        <v>182</v>
      </c>
      <c r="D498" t="b">
        <v>0</v>
      </c>
      <c r="E498" t="b">
        <f>COUNTIF(connections!A:A, A498) &gt; 0</f>
        <v>0</v>
      </c>
      <c r="G498" t="s">
        <v>9974</v>
      </c>
      <c r="J498" s="10" t="s">
        <v>9975</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9870</v>
      </c>
      <c r="B555">
        <v>2021</v>
      </c>
      <c r="C555" t="s">
        <v>176</v>
      </c>
      <c r="D555" t="b">
        <v>0</v>
      </c>
      <c r="E555" t="b">
        <f>COUNTIF(connections!A:A, A555) &gt; 0</f>
        <v>0</v>
      </c>
      <c r="G555" t="s">
        <v>9871</v>
      </c>
      <c r="H555" t="s">
        <v>187</v>
      </c>
      <c r="I555" t="s">
        <v>9872</v>
      </c>
      <c r="J555" s="10" t="s">
        <v>9869</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12679</v>
      </c>
      <c r="B571">
        <v>2026</v>
      </c>
      <c r="C571" t="s">
        <v>176</v>
      </c>
      <c r="D571" t="b">
        <v>1</v>
      </c>
      <c r="E571" t="b">
        <f>COUNTIF(connections!A:A, A571) &gt; 0</f>
        <v>0</v>
      </c>
      <c r="G571" t="s">
        <v>12680</v>
      </c>
      <c r="J571" s="10" t="s">
        <v>12681</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9912</v>
      </c>
      <c r="B578">
        <v>2025</v>
      </c>
      <c r="C578" t="s">
        <v>176</v>
      </c>
      <c r="D578" t="b">
        <v>1</v>
      </c>
      <c r="E578" t="b">
        <f>COUNTIF(connections!A:A, A578) &gt; 0</f>
        <v>0</v>
      </c>
      <c r="G578" t="s">
        <v>9914</v>
      </c>
      <c r="H578" t="s">
        <v>187</v>
      </c>
      <c r="I578" t="s">
        <v>9916</v>
      </c>
      <c r="J578" s="10" t="s">
        <v>9913</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8312</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8313</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14131</v>
      </c>
      <c r="B599">
        <v>2026</v>
      </c>
      <c r="C599" t="s">
        <v>176</v>
      </c>
      <c r="D599" t="b">
        <v>1</v>
      </c>
      <c r="E599" t="b">
        <f>COUNTIF(connections!A:A, A599) &gt; 0</f>
        <v>0</v>
      </c>
      <c r="G599" t="s">
        <v>14132</v>
      </c>
      <c r="J599" s="10" t="s">
        <v>14133</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9940</v>
      </c>
      <c r="B602">
        <v>2026</v>
      </c>
      <c r="C602" t="s">
        <v>182</v>
      </c>
      <c r="D602" t="b">
        <v>0</v>
      </c>
      <c r="E602" t="b">
        <f>COUNTIF(connections!A:A, A602) &gt; 0</f>
        <v>0</v>
      </c>
      <c r="G602" t="s">
        <v>9941</v>
      </c>
      <c r="J602" s="10" t="s">
        <v>9942</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9943</v>
      </c>
      <c r="B604">
        <v>2026</v>
      </c>
      <c r="C604" t="s">
        <v>176</v>
      </c>
      <c r="D604" t="b">
        <v>0</v>
      </c>
      <c r="E604" t="b">
        <f>COUNTIF(connections!A:A, A604) &gt; 0</f>
        <v>0</v>
      </c>
      <c r="G604" t="s">
        <v>9945</v>
      </c>
      <c r="J604" s="10" t="s">
        <v>9944</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9937</v>
      </c>
      <c r="B617">
        <v>2025</v>
      </c>
      <c r="C617" t="s">
        <v>176</v>
      </c>
      <c r="D617" t="b">
        <v>0</v>
      </c>
      <c r="E617" t="b">
        <f>COUNTIF(connections!A:A, A617) &gt; 0</f>
        <v>0</v>
      </c>
      <c r="G617" t="s">
        <v>9938</v>
      </c>
      <c r="J617" s="10" t="s">
        <v>9939</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9819</v>
      </c>
      <c r="B647">
        <v>2026</v>
      </c>
      <c r="C647" t="s">
        <v>176</v>
      </c>
      <c r="D647" t="b">
        <v>1</v>
      </c>
      <c r="E647" t="b">
        <f>COUNTIF(connections!A:A, A647) &gt; 0</f>
        <v>0</v>
      </c>
      <c r="G647" t="s">
        <v>9820</v>
      </c>
      <c r="J647" s="10" t="s">
        <v>9821</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14136</v>
      </c>
      <c r="B662">
        <v>2026</v>
      </c>
      <c r="C662" t="s">
        <v>179</v>
      </c>
      <c r="D662" t="b">
        <v>1</v>
      </c>
      <c r="E662" t="b">
        <f>COUNTIF(connections!A:A, A662) &gt; 0</f>
        <v>0</v>
      </c>
      <c r="G662" t="s">
        <v>14137</v>
      </c>
      <c r="J662" s="10" t="s">
        <v>14138</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8360</v>
      </c>
      <c r="B676">
        <v>2022</v>
      </c>
      <c r="C676" t="s">
        <v>176</v>
      </c>
      <c r="D676" t="b">
        <f>TRUE()</f>
        <v>1</v>
      </c>
      <c r="E676" t="b">
        <f>COUNTIF(connections!A:A, A676) &gt; 0</f>
        <v>1</v>
      </c>
      <c r="G676" t="s">
        <v>8361</v>
      </c>
      <c r="H676" t="s">
        <v>187</v>
      </c>
      <c r="I676" t="s">
        <v>8403</v>
      </c>
      <c r="J676" s="10" t="s">
        <v>8362</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9891</v>
      </c>
      <c r="B679">
        <v>2026</v>
      </c>
      <c r="C679" t="s">
        <v>176</v>
      </c>
      <c r="D679" t="b">
        <v>0</v>
      </c>
      <c r="E679" t="b">
        <f>COUNTIF(connections!A:A, A679) &gt; 0</f>
        <v>0</v>
      </c>
      <c r="G679" t="s">
        <v>9892</v>
      </c>
      <c r="J679" s="10" t="s">
        <v>9893</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8331</v>
      </c>
      <c r="J691" s="10" t="s">
        <v>8332</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c r="H694" t="s">
        <v>187</v>
      </c>
      <c r="I694" t="s">
        <v>14181</v>
      </c>
      <c r="J694" s="10" t="s">
        <v>14182</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8328</v>
      </c>
      <c r="J712" s="10" t="s">
        <v>8329</v>
      </c>
    </row>
    <row r="713" spans="1:10" ht="15" customHeight="1" x14ac:dyDescent="0.25">
      <c r="A713" t="s">
        <v>2341</v>
      </c>
      <c r="B713">
        <v>2014</v>
      </c>
      <c r="C713" t="s">
        <v>176</v>
      </c>
      <c r="D713" t="b">
        <f>TRUE()</f>
        <v>1</v>
      </c>
      <c r="E713" t="b">
        <f>COUNTIF(connections!A:A, A713) &gt; 0</f>
        <v>0</v>
      </c>
      <c r="G713" t="s">
        <v>2342</v>
      </c>
      <c r="H713" t="s">
        <v>187</v>
      </c>
      <c r="I713" t="s">
        <v>8314</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9853</v>
      </c>
      <c r="B719">
        <v>2026</v>
      </c>
      <c r="C719" t="s">
        <v>176</v>
      </c>
      <c r="D719" t="b">
        <v>0</v>
      </c>
      <c r="E719" t="b">
        <f>COUNTIF(connections!A:A, A719) &gt; 0</f>
        <v>0</v>
      </c>
      <c r="G719" t="s">
        <v>9854</v>
      </c>
      <c r="H719" t="s">
        <v>187</v>
      </c>
      <c r="I719" t="s">
        <v>9855</v>
      </c>
      <c r="J719" s="10" t="s">
        <v>9856</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8365</v>
      </c>
      <c r="B721">
        <v>2024</v>
      </c>
      <c r="C721" t="s">
        <v>176</v>
      </c>
      <c r="D721" t="b">
        <f>TRUE()</f>
        <v>1</v>
      </c>
      <c r="E721" t="b">
        <f>COUNTIF(connections!A:A, A721) &gt; 0</f>
        <v>0</v>
      </c>
      <c r="G721" t="s">
        <v>8366</v>
      </c>
      <c r="H721" t="s">
        <v>187</v>
      </c>
      <c r="I721" t="s">
        <v>8367</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9886</v>
      </c>
      <c r="B733">
        <v>2021</v>
      </c>
      <c r="C733" t="s">
        <v>176</v>
      </c>
      <c r="D733" t="b">
        <v>1</v>
      </c>
      <c r="E733" t="b">
        <f>COUNTIF(connections!A:A, A733) &gt; 0</f>
        <v>0</v>
      </c>
      <c r="G733" t="s">
        <v>9887</v>
      </c>
      <c r="H733" t="s">
        <v>187</v>
      </c>
      <c r="I733" t="s">
        <v>9890</v>
      </c>
      <c r="J733" s="10" t="s">
        <v>9888</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8315</v>
      </c>
      <c r="J737" s="10" t="s">
        <v>8097</v>
      </c>
    </row>
    <row r="738" spans="1:10" x14ac:dyDescent="0.25">
      <c r="A738" t="s">
        <v>7838</v>
      </c>
      <c r="B738">
        <v>2019</v>
      </c>
      <c r="C738" t="s">
        <v>176</v>
      </c>
      <c r="D738" t="b">
        <f>TRUE()</f>
        <v>1</v>
      </c>
      <c r="E738" t="b">
        <f>COUNTIF(connections!A:A, A738) &gt; 0</f>
        <v>0</v>
      </c>
      <c r="G738" t="s">
        <v>7839</v>
      </c>
      <c r="H738" t="s">
        <v>187</v>
      </c>
      <c r="I738" t="s">
        <v>8316</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14108</v>
      </c>
      <c r="B746">
        <v>2026</v>
      </c>
      <c r="C746" t="s">
        <v>182</v>
      </c>
      <c r="D746" t="b">
        <v>1</v>
      </c>
      <c r="E746" t="b">
        <f>COUNTIF(connections!A:A, A746) &gt; 0</f>
        <v>0</v>
      </c>
      <c r="G746" t="s">
        <v>14110</v>
      </c>
      <c r="J746" s="10" t="s">
        <v>14111</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8317</v>
      </c>
      <c r="B754">
        <v>2020</v>
      </c>
      <c r="C754" t="s">
        <v>222</v>
      </c>
      <c r="D754" t="b">
        <f>TRUE()</f>
        <v>1</v>
      </c>
      <c r="E754" t="b">
        <f>COUNTIF(connections!A:A, A754) &gt; 0</f>
        <v>0</v>
      </c>
      <c r="G754" t="s">
        <v>8318</v>
      </c>
      <c r="H754" t="s">
        <v>187</v>
      </c>
      <c r="I754" t="s">
        <v>8319</v>
      </c>
      <c r="J754" s="10" t="s">
        <v>8320</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9964</v>
      </c>
      <c r="B756">
        <v>2026</v>
      </c>
      <c r="C756" t="s">
        <v>176</v>
      </c>
      <c r="D756" t="b">
        <v>1</v>
      </c>
      <c r="E756" t="b">
        <f>COUNTIF(connections!A:A, A756) &gt; 0</f>
        <v>0</v>
      </c>
      <c r="F756" t="s">
        <v>787</v>
      </c>
      <c r="G756" t="s">
        <v>9965</v>
      </c>
      <c r="J756" s="10" t="s">
        <v>9966</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8321</v>
      </c>
      <c r="J763" s="10" t="s">
        <v>8322</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9902</v>
      </c>
      <c r="B766">
        <v>2025</v>
      </c>
      <c r="C766" t="s">
        <v>222</v>
      </c>
      <c r="D766" t="b">
        <v>1</v>
      </c>
      <c r="E766" t="b">
        <f>COUNTIF(connections!A:A, A766) &gt; 0</f>
        <v>0</v>
      </c>
      <c r="G766" t="s">
        <v>9903</v>
      </c>
      <c r="H766" t="s">
        <v>187</v>
      </c>
      <c r="I766" t="s">
        <v>9905</v>
      </c>
      <c r="J766" s="10" t="s">
        <v>9904</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c r="H768" t="s">
        <v>187</v>
      </c>
      <c r="I768" t="s">
        <v>14179</v>
      </c>
      <c r="J768" s="10" t="s">
        <v>14180</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8323</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8324</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9848</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9970</v>
      </c>
      <c r="B846">
        <v>2024</v>
      </c>
      <c r="C846" t="s">
        <v>176</v>
      </c>
      <c r="D846" t="b">
        <v>0</v>
      </c>
      <c r="E846" t="b">
        <f>COUNTIF(connections!A:A, A846) &gt; 0</f>
        <v>0</v>
      </c>
      <c r="F846" t="s">
        <v>328</v>
      </c>
      <c r="G846" t="s">
        <v>9971</v>
      </c>
      <c r="J846" s="10" t="s">
        <v>9972</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8325</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8326</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12683</v>
      </c>
      <c r="B861">
        <v>2025</v>
      </c>
      <c r="C861" t="s">
        <v>176</v>
      </c>
      <c r="D861" t="b">
        <v>1</v>
      </c>
      <c r="E861" t="b">
        <f>COUNTIF(connections!A:A, A861) &gt; 0</f>
        <v>0</v>
      </c>
      <c r="F861" t="s">
        <v>529</v>
      </c>
      <c r="G861" t="s">
        <v>12684</v>
      </c>
      <c r="J861" s="10" t="s">
        <v>12685</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12675</v>
      </c>
      <c r="J867" s="10" t="s">
        <v>12676</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12671</v>
      </c>
      <c r="J891" s="10" t="s">
        <v>12672</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9851</v>
      </c>
      <c r="J912" s="10" t="s">
        <v>9852</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H915" t="s">
        <v>187</v>
      </c>
      <c r="I915" t="s">
        <v>14219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 ref="J768" r:id="rId627" xr:uid="{3CFF9720-0EDE-4C2B-B053-19543E0C0851}"/>
    <hyperlink ref="J694" r:id="rId628" xr:uid="{D167E75B-25A0-4C82-8708-185E83FB4899}"/>
  </hyperlinks>
  <pageMargins left="0.7" right="0.7" top="0.75" bottom="0.75" header="0.511811023622047" footer="0.511811023622047"/>
  <pageSetup orientation="portrait" horizontalDpi="300" verticalDpi="300"/>
  <tableParts count="1">
    <tablePart r:id="rId6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9"/>
  <sheetViews>
    <sheetView topLeftCell="A1503" zoomScaleNormal="100" workbookViewId="0">
      <selection activeCell="A1540" sqref="A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90</v>
      </c>
      <c r="B162" t="s">
        <v>477</v>
      </c>
      <c r="C162">
        <v>2017</v>
      </c>
      <c r="E162" t="s">
        <v>2982</v>
      </c>
      <c r="F162" t="s">
        <v>9076</v>
      </c>
      <c r="G162" t="s">
        <v>3990</v>
      </c>
    </row>
    <row r="163" spans="1:7" x14ac:dyDescent="0.25">
      <c r="A163" t="s">
        <v>2751</v>
      </c>
      <c r="B163" t="s">
        <v>477</v>
      </c>
      <c r="C163">
        <v>2021</v>
      </c>
      <c r="D163" t="s">
        <v>187</v>
      </c>
      <c r="F163" t="s">
        <v>9497</v>
      </c>
      <c r="G163" t="s">
        <v>3990</v>
      </c>
    </row>
    <row r="164" spans="1:7" x14ac:dyDescent="0.25">
      <c r="A164" t="s">
        <v>90</v>
      </c>
      <c r="B164" t="s">
        <v>480</v>
      </c>
      <c r="C164">
        <v>2017</v>
      </c>
      <c r="E164" t="s">
        <v>3345</v>
      </c>
      <c r="F164" t="s">
        <v>9077</v>
      </c>
      <c r="G164" t="s">
        <v>3990</v>
      </c>
    </row>
    <row r="165" spans="1:7" x14ac:dyDescent="0.25">
      <c r="A165" t="s">
        <v>1144</v>
      </c>
      <c r="B165" t="s">
        <v>484</v>
      </c>
      <c r="C165">
        <v>2012</v>
      </c>
      <c r="E165" t="s">
        <v>3196</v>
      </c>
      <c r="F165" t="s">
        <v>8735</v>
      </c>
      <c r="G165" t="s">
        <v>3990</v>
      </c>
    </row>
    <row r="166" spans="1:7" x14ac:dyDescent="0.25">
      <c r="A166" t="s">
        <v>90</v>
      </c>
      <c r="B166" t="s">
        <v>484</v>
      </c>
      <c r="C166">
        <v>2017</v>
      </c>
      <c r="E166" t="s">
        <v>3196</v>
      </c>
      <c r="F166" t="s">
        <v>9078</v>
      </c>
      <c r="G166" t="s">
        <v>3990</v>
      </c>
    </row>
    <row r="167" spans="1:7" x14ac:dyDescent="0.25">
      <c r="A167" t="s">
        <v>1272</v>
      </c>
      <c r="B167" t="s">
        <v>488</v>
      </c>
      <c r="C167">
        <v>2020</v>
      </c>
      <c r="E167" t="s">
        <v>3216</v>
      </c>
      <c r="F167" t="s">
        <v>8767</v>
      </c>
      <c r="G167" t="s">
        <v>3990</v>
      </c>
    </row>
    <row r="168" spans="1:7" x14ac:dyDescent="0.25">
      <c r="A168" t="s">
        <v>1294</v>
      </c>
      <c r="B168" t="s">
        <v>488</v>
      </c>
      <c r="C168">
        <v>2019</v>
      </c>
      <c r="E168" t="s">
        <v>3216</v>
      </c>
      <c r="F168" t="s">
        <v>8782</v>
      </c>
      <c r="G168" t="s">
        <v>3990</v>
      </c>
    </row>
    <row r="169" spans="1:7" x14ac:dyDescent="0.25">
      <c r="A169" t="s">
        <v>2146</v>
      </c>
      <c r="B169" t="s">
        <v>488</v>
      </c>
      <c r="C169">
        <v>2020</v>
      </c>
      <c r="E169" t="s">
        <v>3216</v>
      </c>
      <c r="F169" t="s">
        <v>9010</v>
      </c>
      <c r="G169" t="s">
        <v>3990</v>
      </c>
    </row>
    <row r="170" spans="1:7" x14ac:dyDescent="0.25">
      <c r="A170" t="s">
        <v>2154</v>
      </c>
      <c r="B170" t="s">
        <v>490</v>
      </c>
      <c r="C170">
        <v>1980</v>
      </c>
      <c r="E170" t="s">
        <v>3317</v>
      </c>
      <c r="F170" t="s">
        <v>9016</v>
      </c>
      <c r="G170" t="s">
        <v>3990</v>
      </c>
    </row>
    <row r="171" spans="1:7" x14ac:dyDescent="0.25">
      <c r="A171" t="s">
        <v>826</v>
      </c>
      <c r="B171" t="s">
        <v>493</v>
      </c>
      <c r="C171">
        <v>2019</v>
      </c>
      <c r="E171" t="s">
        <v>2982</v>
      </c>
      <c r="F171" t="s">
        <v>8634</v>
      </c>
      <c r="G171" t="s">
        <v>3990</v>
      </c>
    </row>
    <row r="172" spans="1:7" x14ac:dyDescent="0.25">
      <c r="A172" t="s">
        <v>1144</v>
      </c>
      <c r="B172" t="s">
        <v>493</v>
      </c>
      <c r="C172">
        <v>2012</v>
      </c>
      <c r="E172" t="s">
        <v>2982</v>
      </c>
      <c r="F172" t="s">
        <v>8736</v>
      </c>
      <c r="G172" t="s">
        <v>3990</v>
      </c>
    </row>
    <row r="173" spans="1:7" x14ac:dyDescent="0.25">
      <c r="A173" t="s">
        <v>1576</v>
      </c>
      <c r="B173" t="s">
        <v>493</v>
      </c>
      <c r="C173">
        <v>2021</v>
      </c>
      <c r="E173" t="s">
        <v>2982</v>
      </c>
      <c r="F173" t="s">
        <v>8871</v>
      </c>
      <c r="G173" t="s">
        <v>3990</v>
      </c>
    </row>
    <row r="174" spans="1:7" x14ac:dyDescent="0.25">
      <c r="A174" t="s">
        <v>90</v>
      </c>
      <c r="B174" t="s">
        <v>493</v>
      </c>
      <c r="C174">
        <v>2017</v>
      </c>
      <c r="E174" t="s">
        <v>2982</v>
      </c>
      <c r="F174" t="s">
        <v>9079</v>
      </c>
      <c r="G174" t="s">
        <v>3990</v>
      </c>
    </row>
    <row r="175" spans="1:7" x14ac:dyDescent="0.25">
      <c r="A175" t="s">
        <v>2403</v>
      </c>
      <c r="B175" t="s">
        <v>497</v>
      </c>
      <c r="C175">
        <v>2019</v>
      </c>
      <c r="D175" t="s">
        <v>187</v>
      </c>
      <c r="F175" t="s">
        <v>9498</v>
      </c>
      <c r="G175" t="s">
        <v>3990</v>
      </c>
    </row>
    <row r="176" spans="1:7" x14ac:dyDescent="0.25">
      <c r="A176" t="s">
        <v>2804</v>
      </c>
      <c r="B176" t="s">
        <v>497</v>
      </c>
      <c r="C176">
        <v>2021</v>
      </c>
      <c r="E176" t="s">
        <v>3013</v>
      </c>
      <c r="F176" t="s">
        <v>9499</v>
      </c>
      <c r="G176" t="s">
        <v>187</v>
      </c>
    </row>
    <row r="177" spans="1:7" x14ac:dyDescent="0.25">
      <c r="A177" t="s">
        <v>1046</v>
      </c>
      <c r="B177" t="s">
        <v>501</v>
      </c>
      <c r="C177">
        <v>2016</v>
      </c>
      <c r="E177" t="s">
        <v>3184</v>
      </c>
      <c r="F177" t="s">
        <v>8709</v>
      </c>
      <c r="G177" t="s">
        <v>3990</v>
      </c>
    </row>
    <row r="178" spans="1:7" x14ac:dyDescent="0.25">
      <c r="A178" t="s">
        <v>160</v>
      </c>
      <c r="B178" t="s">
        <v>501</v>
      </c>
      <c r="C178">
        <v>2011</v>
      </c>
      <c r="E178" t="s">
        <v>3184</v>
      </c>
      <c r="F178" t="s">
        <v>9249</v>
      </c>
      <c r="G178" t="s">
        <v>3990</v>
      </c>
    </row>
    <row r="179" spans="1:7" x14ac:dyDescent="0.25">
      <c r="A179" t="s">
        <v>2652</v>
      </c>
      <c r="B179" t="s">
        <v>501</v>
      </c>
      <c r="C179">
        <v>2019</v>
      </c>
      <c r="E179" t="s">
        <v>3184</v>
      </c>
      <c r="F179" t="s">
        <v>9302</v>
      </c>
      <c r="G179" t="s">
        <v>3990</v>
      </c>
    </row>
    <row r="180" spans="1:7" x14ac:dyDescent="0.25">
      <c r="A180" t="s">
        <v>1435</v>
      </c>
      <c r="B180" t="s">
        <v>505</v>
      </c>
      <c r="C180">
        <v>2021</v>
      </c>
      <c r="E180" s="10" t="s">
        <v>8341</v>
      </c>
      <c r="F180" t="s">
        <v>8826</v>
      </c>
      <c r="G180" t="s">
        <v>3990</v>
      </c>
    </row>
    <row r="181" spans="1:7" x14ac:dyDescent="0.25">
      <c r="A181" t="s">
        <v>689</v>
      </c>
      <c r="B181" t="s">
        <v>7812</v>
      </c>
      <c r="C181">
        <v>2015</v>
      </c>
      <c r="D181" t="s">
        <v>187</v>
      </c>
      <c r="F181" t="s">
        <v>9500</v>
      </c>
      <c r="G181" t="s">
        <v>3990</v>
      </c>
    </row>
    <row r="182" spans="1:7" x14ac:dyDescent="0.25">
      <c r="A182" t="s">
        <v>260</v>
      </c>
      <c r="B182" t="s">
        <v>517</v>
      </c>
      <c r="C182">
        <v>1990</v>
      </c>
      <c r="E182" t="s">
        <v>3000</v>
      </c>
      <c r="F182" t="s">
        <v>8460</v>
      </c>
      <c r="G182" t="s">
        <v>3990</v>
      </c>
    </row>
    <row r="183" spans="1:7" x14ac:dyDescent="0.25">
      <c r="A183" t="s">
        <v>490</v>
      </c>
      <c r="B183" t="s">
        <v>517</v>
      </c>
      <c r="C183">
        <v>2009</v>
      </c>
      <c r="E183" s="10" t="s">
        <v>8421</v>
      </c>
      <c r="F183" t="s">
        <v>8423</v>
      </c>
      <c r="G183" t="s">
        <v>3990</v>
      </c>
    </row>
    <row r="184" spans="1:7" x14ac:dyDescent="0.25">
      <c r="A184" t="s">
        <v>836</v>
      </c>
      <c r="B184" t="s">
        <v>517</v>
      </c>
      <c r="C184">
        <v>2010</v>
      </c>
      <c r="E184" s="10" t="s">
        <v>8421</v>
      </c>
      <c r="F184" t="s">
        <v>8422</v>
      </c>
      <c r="G184" t="s">
        <v>3990</v>
      </c>
    </row>
    <row r="185" spans="1:7" x14ac:dyDescent="0.25">
      <c r="A185" t="s">
        <v>847</v>
      </c>
      <c r="B185" t="s">
        <v>517</v>
      </c>
      <c r="C185">
        <v>1996</v>
      </c>
      <c r="E185" t="s">
        <v>3000</v>
      </c>
      <c r="F185" t="s">
        <v>8639</v>
      </c>
      <c r="G185" t="s">
        <v>3990</v>
      </c>
    </row>
    <row r="186" spans="1:7" x14ac:dyDescent="0.25">
      <c r="A186" t="s">
        <v>922</v>
      </c>
      <c r="B186" t="s">
        <v>517</v>
      </c>
      <c r="C186">
        <v>2002</v>
      </c>
      <c r="E186" t="s">
        <v>3147</v>
      </c>
      <c r="F186" t="s">
        <v>9501</v>
      </c>
      <c r="G186" t="s">
        <v>187</v>
      </c>
    </row>
    <row r="187" spans="1:7" x14ac:dyDescent="0.25">
      <c r="A187" t="s">
        <v>2428</v>
      </c>
      <c r="B187" t="s">
        <v>517</v>
      </c>
      <c r="C187">
        <v>2008</v>
      </c>
      <c r="E187" s="10" t="s">
        <v>8421</v>
      </c>
      <c r="F187" t="s">
        <v>8420</v>
      </c>
      <c r="G187" t="s">
        <v>3990</v>
      </c>
    </row>
    <row r="188" spans="1:7" x14ac:dyDescent="0.25">
      <c r="A188" t="s">
        <v>2571</v>
      </c>
      <c r="B188" t="s">
        <v>517</v>
      </c>
      <c r="C188">
        <v>1998</v>
      </c>
      <c r="E188" t="s">
        <v>3147</v>
      </c>
      <c r="F188" t="s">
        <v>9502</v>
      </c>
      <c r="G188" t="s">
        <v>187</v>
      </c>
    </row>
    <row r="189" spans="1:7" x14ac:dyDescent="0.25">
      <c r="A189" t="s">
        <v>517</v>
      </c>
      <c r="B189" t="s">
        <v>519</v>
      </c>
      <c r="C189">
        <v>2010</v>
      </c>
      <c r="D189" t="s">
        <v>187</v>
      </c>
      <c r="F189" t="s">
        <v>9503</v>
      </c>
      <c r="G189" t="s">
        <v>3990</v>
      </c>
    </row>
    <row r="190" spans="1:7" x14ac:dyDescent="0.25">
      <c r="A190" t="s">
        <v>1523</v>
      </c>
      <c r="B190" t="s">
        <v>522</v>
      </c>
      <c r="C190">
        <v>1986</v>
      </c>
      <c r="E190" s="10" t="s">
        <v>8400</v>
      </c>
      <c r="F190" t="s">
        <v>8859</v>
      </c>
      <c r="G190" t="s">
        <v>3990</v>
      </c>
    </row>
    <row r="191" spans="1:7" x14ac:dyDescent="0.25">
      <c r="A191" t="s">
        <v>1795</v>
      </c>
      <c r="B191" t="s">
        <v>522</v>
      </c>
      <c r="C191">
        <v>1987</v>
      </c>
      <c r="E191" s="10" t="s">
        <v>8400</v>
      </c>
      <c r="F191" t="s">
        <v>8917</v>
      </c>
      <c r="G191" t="s">
        <v>3990</v>
      </c>
    </row>
    <row r="192" spans="1:7" x14ac:dyDescent="0.25">
      <c r="A192" t="s">
        <v>1882</v>
      </c>
      <c r="B192" t="s">
        <v>522</v>
      </c>
      <c r="C192">
        <v>1987</v>
      </c>
      <c r="E192" s="10" t="s">
        <v>8400</v>
      </c>
      <c r="F192" t="s">
        <v>8970</v>
      </c>
      <c r="G192" t="s">
        <v>3990</v>
      </c>
    </row>
    <row r="193" spans="1:7" x14ac:dyDescent="0.25">
      <c r="A193" t="s">
        <v>2154</v>
      </c>
      <c r="B193" t="s">
        <v>522</v>
      </c>
      <c r="C193">
        <v>1980</v>
      </c>
      <c r="F193" t="s">
        <v>9504</v>
      </c>
      <c r="G193" t="s">
        <v>187</v>
      </c>
    </row>
    <row r="194" spans="1:7" x14ac:dyDescent="0.25">
      <c r="A194" t="s">
        <v>1576</v>
      </c>
      <c r="B194" t="s">
        <v>528</v>
      </c>
      <c r="C194">
        <v>2021</v>
      </c>
      <c r="E194" t="s">
        <v>3259</v>
      </c>
      <c r="F194" t="s">
        <v>9505</v>
      </c>
      <c r="G194" t="s">
        <v>187</v>
      </c>
    </row>
    <row r="195" spans="1:7" x14ac:dyDescent="0.25">
      <c r="A195" t="s">
        <v>922</v>
      </c>
      <c r="B195" t="s">
        <v>531</v>
      </c>
      <c r="C195">
        <v>2002</v>
      </c>
      <c r="E195" t="s">
        <v>3148</v>
      </c>
      <c r="F195" t="s">
        <v>8671</v>
      </c>
      <c r="G195" t="s">
        <v>3990</v>
      </c>
    </row>
    <row r="196" spans="1:7" x14ac:dyDescent="0.25">
      <c r="A196" t="s">
        <v>964</v>
      </c>
      <c r="B196" t="s">
        <v>531</v>
      </c>
      <c r="C196">
        <v>2006</v>
      </c>
      <c r="E196" t="s">
        <v>3148</v>
      </c>
      <c r="F196" t="s">
        <v>9406</v>
      </c>
      <c r="G196" t="s">
        <v>3990</v>
      </c>
    </row>
    <row r="197" spans="1:7" x14ac:dyDescent="0.25">
      <c r="A197" t="s">
        <v>536</v>
      </c>
      <c r="B197" t="s">
        <v>534</v>
      </c>
      <c r="C197">
        <v>2010</v>
      </c>
      <c r="E197" t="s">
        <v>3073</v>
      </c>
      <c r="F197" t="s">
        <v>8557</v>
      </c>
      <c r="G197" t="s">
        <v>3990</v>
      </c>
    </row>
    <row r="198" spans="1:7" x14ac:dyDescent="0.25">
      <c r="A198" t="s">
        <v>531</v>
      </c>
      <c r="B198" t="s">
        <v>536</v>
      </c>
      <c r="C198">
        <v>2010</v>
      </c>
      <c r="E198" t="s">
        <v>3074</v>
      </c>
      <c r="F198" t="s">
        <v>8558</v>
      </c>
      <c r="G198" t="s">
        <v>3990</v>
      </c>
    </row>
    <row r="199" spans="1:7" x14ac:dyDescent="0.25">
      <c r="A199" t="s">
        <v>536</v>
      </c>
      <c r="B199" t="s">
        <v>538</v>
      </c>
      <c r="C199">
        <v>2013</v>
      </c>
      <c r="D199" t="s">
        <v>187</v>
      </c>
      <c r="F199" t="s">
        <v>9506</v>
      </c>
      <c r="G199" t="s">
        <v>3990</v>
      </c>
    </row>
    <row r="200" spans="1:7" x14ac:dyDescent="0.25">
      <c r="A200" t="s">
        <v>1454</v>
      </c>
      <c r="B200" t="s">
        <v>540</v>
      </c>
      <c r="C200">
        <v>2001</v>
      </c>
      <c r="E200" t="s">
        <v>3252</v>
      </c>
      <c r="F200" t="s">
        <v>8856</v>
      </c>
      <c r="G200" t="s">
        <v>3990</v>
      </c>
    </row>
    <row r="201" spans="1:7" x14ac:dyDescent="0.25">
      <c r="A201" t="s">
        <v>2023</v>
      </c>
      <c r="B201" t="s">
        <v>540</v>
      </c>
      <c r="C201">
        <v>2003</v>
      </c>
      <c r="E201" t="s">
        <v>3252</v>
      </c>
      <c r="F201" t="s">
        <v>9507</v>
      </c>
      <c r="G201" t="s">
        <v>187</v>
      </c>
    </row>
    <row r="202" spans="1:7" x14ac:dyDescent="0.25">
      <c r="A202" t="s">
        <v>2428</v>
      </c>
      <c r="B202" t="s">
        <v>540</v>
      </c>
      <c r="C202">
        <v>2008</v>
      </c>
      <c r="E202" t="s">
        <v>3252</v>
      </c>
      <c r="F202" t="s">
        <v>9186</v>
      </c>
      <c r="G202" t="s">
        <v>3990</v>
      </c>
    </row>
    <row r="203" spans="1:7" x14ac:dyDescent="0.25">
      <c r="A203" t="s">
        <v>353</v>
      </c>
      <c r="B203" t="s">
        <v>543</v>
      </c>
      <c r="C203">
        <v>2023</v>
      </c>
      <c r="E203" t="s">
        <v>3021</v>
      </c>
      <c r="F203" t="s">
        <v>8490</v>
      </c>
      <c r="G203" t="s">
        <v>3990</v>
      </c>
    </row>
    <row r="204" spans="1:7" x14ac:dyDescent="0.25">
      <c r="A204" t="s">
        <v>2361</v>
      </c>
      <c r="B204" t="s">
        <v>543</v>
      </c>
      <c r="C204">
        <v>2018</v>
      </c>
      <c r="E204" t="s">
        <v>3021</v>
      </c>
      <c r="F204" t="s">
        <v>9172</v>
      </c>
      <c r="G204" t="s">
        <v>3990</v>
      </c>
    </row>
    <row r="205" spans="1:7" x14ac:dyDescent="0.25">
      <c r="A205" t="s">
        <v>2154</v>
      </c>
      <c r="B205" t="s">
        <v>546</v>
      </c>
      <c r="C205">
        <v>1980</v>
      </c>
      <c r="E205" t="s">
        <v>3318</v>
      </c>
      <c r="F205" t="s">
        <v>9017</v>
      </c>
      <c r="G205" t="s">
        <v>3990</v>
      </c>
    </row>
    <row r="206" spans="1:7" x14ac:dyDescent="0.25">
      <c r="A206" t="s">
        <v>2428</v>
      </c>
      <c r="B206" t="s">
        <v>549</v>
      </c>
      <c r="C206">
        <v>2008</v>
      </c>
      <c r="E206" t="s">
        <v>3387</v>
      </c>
      <c r="F206" t="s">
        <v>9187</v>
      </c>
      <c r="G206" t="s">
        <v>3990</v>
      </c>
    </row>
    <row r="207" spans="1:7" x14ac:dyDescent="0.25">
      <c r="A207" t="s">
        <v>256</v>
      </c>
      <c r="B207" t="s">
        <v>553</v>
      </c>
      <c r="C207">
        <v>1994</v>
      </c>
      <c r="F207" t="s">
        <v>9508</v>
      </c>
      <c r="G207" t="s">
        <v>187</v>
      </c>
    </row>
    <row r="208" spans="1:7" x14ac:dyDescent="0.25">
      <c r="A208" t="s">
        <v>1004</v>
      </c>
      <c r="B208" t="s">
        <v>553</v>
      </c>
      <c r="C208">
        <v>2006</v>
      </c>
      <c r="E208" s="10" t="s">
        <v>8386</v>
      </c>
      <c r="F208" t="s">
        <v>8697</v>
      </c>
      <c r="G208" t="s">
        <v>3990</v>
      </c>
    </row>
    <row r="209" spans="1:7" x14ac:dyDescent="0.25">
      <c r="A209" t="s">
        <v>1882</v>
      </c>
      <c r="B209" t="s">
        <v>553</v>
      </c>
      <c r="C209">
        <v>1987</v>
      </c>
      <c r="E209" s="10" t="s">
        <v>8398</v>
      </c>
      <c r="F209" t="s">
        <v>8971</v>
      </c>
      <c r="G209" t="s">
        <v>3990</v>
      </c>
    </row>
    <row r="210" spans="1:7" x14ac:dyDescent="0.25">
      <c r="A210" t="s">
        <v>1046</v>
      </c>
      <c r="B210" t="s">
        <v>557</v>
      </c>
      <c r="C210">
        <v>2016</v>
      </c>
      <c r="E210" s="10" t="s">
        <v>8397</v>
      </c>
      <c r="F210" t="s">
        <v>8710</v>
      </c>
      <c r="G210" t="s">
        <v>3990</v>
      </c>
    </row>
    <row r="211" spans="1:7" x14ac:dyDescent="0.25">
      <c r="A211" t="s">
        <v>160</v>
      </c>
      <c r="B211" t="s">
        <v>557</v>
      </c>
      <c r="C211">
        <v>2011</v>
      </c>
      <c r="E211" t="s">
        <v>3399</v>
      </c>
      <c r="F211" t="s">
        <v>9250</v>
      </c>
      <c r="G211" t="s">
        <v>3990</v>
      </c>
    </row>
    <row r="212" spans="1:7" x14ac:dyDescent="0.25">
      <c r="A212" t="s">
        <v>1180</v>
      </c>
      <c r="B212" t="s">
        <v>561</v>
      </c>
      <c r="C212">
        <v>2024</v>
      </c>
      <c r="D212" t="s">
        <v>187</v>
      </c>
      <c r="F212" t="s">
        <v>9509</v>
      </c>
      <c r="G212" t="s">
        <v>3990</v>
      </c>
    </row>
    <row r="213" spans="1:7" x14ac:dyDescent="0.25">
      <c r="A213" t="s">
        <v>1443</v>
      </c>
      <c r="B213" t="s">
        <v>561</v>
      </c>
      <c r="C213">
        <v>2018</v>
      </c>
      <c r="E213" t="s">
        <v>2982</v>
      </c>
      <c r="F213" t="s">
        <v>8840</v>
      </c>
      <c r="G213" t="s">
        <v>3990</v>
      </c>
    </row>
    <row r="214" spans="1:7" x14ac:dyDescent="0.25">
      <c r="A214" t="s">
        <v>1100</v>
      </c>
      <c r="B214" t="s">
        <v>563</v>
      </c>
      <c r="C214">
        <v>2022</v>
      </c>
      <c r="E214" t="s">
        <v>566</v>
      </c>
      <c r="F214" t="s">
        <v>8730</v>
      </c>
      <c r="G214" t="s">
        <v>3990</v>
      </c>
    </row>
    <row r="215" spans="1:7" x14ac:dyDescent="0.25">
      <c r="A215" t="s">
        <v>2377</v>
      </c>
      <c r="B215" t="s">
        <v>563</v>
      </c>
      <c r="C215">
        <v>2021</v>
      </c>
      <c r="E215" t="s">
        <v>566</v>
      </c>
      <c r="F215" t="s">
        <v>9176</v>
      </c>
      <c r="G215" t="s">
        <v>3990</v>
      </c>
    </row>
    <row r="216" spans="1:7" x14ac:dyDescent="0.25">
      <c r="A216" t="s">
        <v>90</v>
      </c>
      <c r="B216" t="s">
        <v>567</v>
      </c>
      <c r="C216">
        <v>2017</v>
      </c>
      <c r="E216" t="s">
        <v>3346</v>
      </c>
      <c r="F216" t="s">
        <v>9080</v>
      </c>
      <c r="G216" t="s">
        <v>3990</v>
      </c>
    </row>
    <row r="217" spans="1:7" x14ac:dyDescent="0.25">
      <c r="A217" t="s">
        <v>689</v>
      </c>
      <c r="B217" t="s">
        <v>571</v>
      </c>
      <c r="C217">
        <v>2015</v>
      </c>
      <c r="E217" t="s">
        <v>3085</v>
      </c>
      <c r="F217" t="s">
        <v>10007</v>
      </c>
      <c r="G217" t="s">
        <v>187</v>
      </c>
    </row>
    <row r="218" spans="1:7" x14ac:dyDescent="0.25">
      <c r="A218" t="s">
        <v>2324</v>
      </c>
      <c r="B218" t="s">
        <v>571</v>
      </c>
      <c r="C218">
        <v>2022</v>
      </c>
      <c r="E218" t="s">
        <v>3085</v>
      </c>
      <c r="F218" t="s">
        <v>10007</v>
      </c>
      <c r="G218" t="s">
        <v>187</v>
      </c>
    </row>
    <row r="219" spans="1:7" x14ac:dyDescent="0.25">
      <c r="A219" t="s">
        <v>90</v>
      </c>
      <c r="B219" t="s">
        <v>571</v>
      </c>
      <c r="C219">
        <v>2017</v>
      </c>
      <c r="E219" t="s">
        <v>3347</v>
      </c>
      <c r="F219" t="s">
        <v>9510</v>
      </c>
      <c r="G219" t="s">
        <v>187</v>
      </c>
    </row>
    <row r="220" spans="1:7" x14ac:dyDescent="0.25">
      <c r="A220" t="s">
        <v>2804</v>
      </c>
      <c r="B220" t="s">
        <v>571</v>
      </c>
      <c r="C220">
        <v>2021</v>
      </c>
      <c r="E220" t="s">
        <v>3085</v>
      </c>
      <c r="F220" t="s">
        <v>10007</v>
      </c>
      <c r="G220" t="s">
        <v>187</v>
      </c>
    </row>
    <row r="221" spans="1:7" x14ac:dyDescent="0.25">
      <c r="A221" t="s">
        <v>1855</v>
      </c>
      <c r="B221" t="s">
        <v>574</v>
      </c>
      <c r="C221">
        <v>2015</v>
      </c>
      <c r="E221" s="10" t="s">
        <v>8342</v>
      </c>
      <c r="F221" t="s">
        <v>8954</v>
      </c>
      <c r="G221" t="s">
        <v>3990</v>
      </c>
    </row>
    <row r="222" spans="1:7" x14ac:dyDescent="0.25">
      <c r="A222" t="s">
        <v>2173</v>
      </c>
      <c r="B222" t="s">
        <v>574</v>
      </c>
      <c r="C222">
        <v>2013</v>
      </c>
      <c r="E222" s="10" t="s">
        <v>8342</v>
      </c>
      <c r="F222" t="s">
        <v>9036</v>
      </c>
      <c r="G222" t="s">
        <v>3990</v>
      </c>
    </row>
    <row r="223" spans="1:7" x14ac:dyDescent="0.25">
      <c r="A223" t="s">
        <v>160</v>
      </c>
      <c r="B223" t="s">
        <v>574</v>
      </c>
      <c r="C223">
        <v>2011</v>
      </c>
      <c r="E223" s="10" t="s">
        <v>8342</v>
      </c>
      <c r="F223" t="s">
        <v>9251</v>
      </c>
      <c r="G223" t="s">
        <v>3990</v>
      </c>
    </row>
    <row r="224" spans="1:7" x14ac:dyDescent="0.25">
      <c r="A224" t="s">
        <v>581</v>
      </c>
      <c r="B224" t="s">
        <v>578</v>
      </c>
      <c r="C224">
        <v>1997</v>
      </c>
      <c r="D224" t="s">
        <v>187</v>
      </c>
      <c r="F224" t="s">
        <v>9511</v>
      </c>
      <c r="G224" t="s">
        <v>3990</v>
      </c>
    </row>
    <row r="225" spans="1:7" x14ac:dyDescent="0.25">
      <c r="A225" t="s">
        <v>2721</v>
      </c>
      <c r="B225" t="s">
        <v>581</v>
      </c>
      <c r="C225">
        <v>1993</v>
      </c>
      <c r="D225" t="s">
        <v>187</v>
      </c>
      <c r="E225" t="s">
        <v>3032</v>
      </c>
      <c r="F225" t="s">
        <v>9512</v>
      </c>
      <c r="G225" t="s">
        <v>3990</v>
      </c>
    </row>
    <row r="226" spans="1:7" x14ac:dyDescent="0.25">
      <c r="A226" t="s">
        <v>1093</v>
      </c>
      <c r="B226" t="s">
        <v>584</v>
      </c>
      <c r="C226">
        <v>2007</v>
      </c>
      <c r="D226" t="s">
        <v>187</v>
      </c>
      <c r="F226" t="s">
        <v>9513</v>
      </c>
      <c r="G226" t="s">
        <v>3990</v>
      </c>
    </row>
    <row r="227" spans="1:7" x14ac:dyDescent="0.25">
      <c r="A227" t="s">
        <v>904</v>
      </c>
      <c r="B227" t="s">
        <v>586</v>
      </c>
      <c r="C227">
        <v>2022</v>
      </c>
      <c r="E227" s="10" t="s">
        <v>594</v>
      </c>
      <c r="F227" t="s">
        <v>8663</v>
      </c>
      <c r="G227" t="s">
        <v>3990</v>
      </c>
    </row>
    <row r="228" spans="1:7" x14ac:dyDescent="0.25">
      <c r="A228" t="s">
        <v>2804</v>
      </c>
      <c r="B228" t="s">
        <v>586</v>
      </c>
      <c r="C228">
        <v>2021</v>
      </c>
      <c r="E228" t="s">
        <v>3013</v>
      </c>
      <c r="F228" t="s">
        <v>9514</v>
      </c>
      <c r="G228" t="s">
        <v>187</v>
      </c>
    </row>
    <row r="229" spans="1:7" x14ac:dyDescent="0.25">
      <c r="A229" t="s">
        <v>586</v>
      </c>
      <c r="B229" t="s">
        <v>591</v>
      </c>
      <c r="C229">
        <v>2023</v>
      </c>
      <c r="D229" t="s">
        <v>187</v>
      </c>
      <c r="F229" t="s">
        <v>9515</v>
      </c>
      <c r="G229" t="s">
        <v>3990</v>
      </c>
    </row>
    <row r="230" spans="1:7" x14ac:dyDescent="0.25">
      <c r="A230" t="s">
        <v>353</v>
      </c>
      <c r="B230" t="s">
        <v>595</v>
      </c>
      <c r="C230">
        <v>2023</v>
      </c>
      <c r="E230" t="s">
        <v>3022</v>
      </c>
      <c r="F230" t="s">
        <v>8491</v>
      </c>
      <c r="G230" t="s">
        <v>3990</v>
      </c>
    </row>
    <row r="231" spans="1:7" x14ac:dyDescent="0.25">
      <c r="A231" t="s">
        <v>1576</v>
      </c>
      <c r="B231" t="s">
        <v>595</v>
      </c>
      <c r="C231">
        <v>2021</v>
      </c>
      <c r="E231" s="10" t="s">
        <v>8345</v>
      </c>
      <c r="F231" t="s">
        <v>8872</v>
      </c>
      <c r="G231" t="s">
        <v>3990</v>
      </c>
    </row>
    <row r="232" spans="1:7" x14ac:dyDescent="0.25">
      <c r="A232" t="s">
        <v>746</v>
      </c>
      <c r="B232" t="s">
        <v>598</v>
      </c>
      <c r="C232">
        <v>2015</v>
      </c>
      <c r="E232" t="s">
        <v>2982</v>
      </c>
      <c r="F232" t="s">
        <v>8584</v>
      </c>
      <c r="G232" t="s">
        <v>3990</v>
      </c>
    </row>
    <row r="233" spans="1:7" x14ac:dyDescent="0.25">
      <c r="A233" t="s">
        <v>90</v>
      </c>
      <c r="B233" t="s">
        <v>598</v>
      </c>
      <c r="C233">
        <v>2017</v>
      </c>
      <c r="E233" t="s">
        <v>2982</v>
      </c>
      <c r="F233" t="s">
        <v>9081</v>
      </c>
      <c r="G233" t="s">
        <v>3990</v>
      </c>
    </row>
    <row r="234" spans="1:7" x14ac:dyDescent="0.25">
      <c r="A234" t="s">
        <v>709</v>
      </c>
      <c r="B234" t="s">
        <v>602</v>
      </c>
      <c r="C234">
        <v>2022</v>
      </c>
      <c r="E234" t="s">
        <v>2982</v>
      </c>
      <c r="F234" t="s">
        <v>8574</v>
      </c>
      <c r="G234" t="s">
        <v>3990</v>
      </c>
    </row>
    <row r="235" spans="1:7" x14ac:dyDescent="0.25">
      <c r="A235" t="s">
        <v>1294</v>
      </c>
      <c r="B235" t="s">
        <v>602</v>
      </c>
      <c r="C235">
        <v>2019</v>
      </c>
      <c r="E235" t="s">
        <v>2982</v>
      </c>
      <c r="F235" t="s">
        <v>8783</v>
      </c>
      <c r="G235" t="s">
        <v>3990</v>
      </c>
    </row>
    <row r="236" spans="1:7" x14ac:dyDescent="0.25">
      <c r="A236" t="s">
        <v>904</v>
      </c>
      <c r="B236" t="s">
        <v>604</v>
      </c>
      <c r="C236">
        <v>2022</v>
      </c>
      <c r="E236" t="s">
        <v>3142</v>
      </c>
      <c r="F236" t="s">
        <v>8664</v>
      </c>
      <c r="G236" t="s">
        <v>3990</v>
      </c>
    </row>
    <row r="237" spans="1:7" x14ac:dyDescent="0.25">
      <c r="A237" t="s">
        <v>1817</v>
      </c>
      <c r="B237" t="s">
        <v>604</v>
      </c>
      <c r="C237">
        <v>2019</v>
      </c>
      <c r="E237" t="s">
        <v>3289</v>
      </c>
      <c r="F237" t="s">
        <v>9516</v>
      </c>
      <c r="G237" t="s">
        <v>187</v>
      </c>
    </row>
    <row r="238" spans="1:7" x14ac:dyDescent="0.25">
      <c r="A238" t="s">
        <v>2428</v>
      </c>
      <c r="B238" t="s">
        <v>604</v>
      </c>
      <c r="C238">
        <v>2008</v>
      </c>
      <c r="E238" t="s">
        <v>3142</v>
      </c>
      <c r="F238" t="s">
        <v>9188</v>
      </c>
      <c r="G238" t="s">
        <v>3990</v>
      </c>
    </row>
    <row r="239" spans="1:7" x14ac:dyDescent="0.25">
      <c r="A239" t="s">
        <v>353</v>
      </c>
      <c r="B239" t="s">
        <v>606</v>
      </c>
      <c r="C239">
        <v>2023</v>
      </c>
      <c r="E239" t="s">
        <v>609</v>
      </c>
      <c r="F239" t="s">
        <v>8492</v>
      </c>
      <c r="G239" t="s">
        <v>3990</v>
      </c>
    </row>
    <row r="240" spans="1:7" x14ac:dyDescent="0.25">
      <c r="A240" t="s">
        <v>505</v>
      </c>
      <c r="B240" t="s">
        <v>606</v>
      </c>
      <c r="C240">
        <v>2024</v>
      </c>
      <c r="E240" t="s">
        <v>609</v>
      </c>
      <c r="F240" t="s">
        <v>8554</v>
      </c>
      <c r="G240" t="s">
        <v>3990</v>
      </c>
    </row>
    <row r="241" spans="1:7" x14ac:dyDescent="0.25">
      <c r="A241" t="s">
        <v>497</v>
      </c>
      <c r="B241" t="s">
        <v>610</v>
      </c>
      <c r="C241">
        <v>2022</v>
      </c>
      <c r="E241" t="s">
        <v>3066</v>
      </c>
      <c r="F241" t="s">
        <v>8541</v>
      </c>
      <c r="G241" t="s">
        <v>3990</v>
      </c>
    </row>
    <row r="242" spans="1:7" x14ac:dyDescent="0.25">
      <c r="A242" t="s">
        <v>90</v>
      </c>
      <c r="B242" t="s">
        <v>610</v>
      </c>
      <c r="C242">
        <v>2017</v>
      </c>
      <c r="E242" t="s">
        <v>3066</v>
      </c>
      <c r="F242" t="s">
        <v>9517</v>
      </c>
      <c r="G242" t="s">
        <v>3990</v>
      </c>
    </row>
    <row r="243" spans="1:7" x14ac:dyDescent="0.25">
      <c r="A243" t="s">
        <v>160</v>
      </c>
      <c r="B243" t="s">
        <v>610</v>
      </c>
      <c r="C243">
        <v>2011</v>
      </c>
      <c r="E243" t="s">
        <v>3066</v>
      </c>
      <c r="F243" t="s">
        <v>9518</v>
      </c>
      <c r="G243" t="s">
        <v>3990</v>
      </c>
    </row>
    <row r="244" spans="1:7" x14ac:dyDescent="0.25">
      <c r="A244" t="s">
        <v>353</v>
      </c>
      <c r="B244" t="s">
        <v>613</v>
      </c>
      <c r="C244">
        <v>2023</v>
      </c>
      <c r="E244" t="s">
        <v>3023</v>
      </c>
      <c r="F244" t="s">
        <v>8493</v>
      </c>
      <c r="G244" t="s">
        <v>3990</v>
      </c>
    </row>
    <row r="245" spans="1:7" x14ac:dyDescent="0.25">
      <c r="A245" t="s">
        <v>1294</v>
      </c>
      <c r="B245" t="s">
        <v>619</v>
      </c>
      <c r="C245">
        <v>2019</v>
      </c>
      <c r="E245" s="10" t="s">
        <v>8426</v>
      </c>
      <c r="F245" t="s">
        <v>8425</v>
      </c>
      <c r="G245" t="s">
        <v>3990</v>
      </c>
    </row>
    <row r="246" spans="1:7" x14ac:dyDescent="0.25">
      <c r="A246" t="s">
        <v>1435</v>
      </c>
      <c r="B246" t="s">
        <v>619</v>
      </c>
      <c r="C246">
        <v>2021</v>
      </c>
      <c r="E246" s="10" t="s">
        <v>8426</v>
      </c>
      <c r="F246" t="s">
        <v>8827</v>
      </c>
      <c r="G246" t="s">
        <v>3990</v>
      </c>
    </row>
    <row r="247" spans="1:7" x14ac:dyDescent="0.25">
      <c r="A247" t="s">
        <v>1443</v>
      </c>
      <c r="B247" t="s">
        <v>619</v>
      </c>
      <c r="C247">
        <v>2018</v>
      </c>
      <c r="E247" s="10" t="s">
        <v>8426</v>
      </c>
      <c r="F247" t="s">
        <v>8424</v>
      </c>
      <c r="G247" t="s">
        <v>3990</v>
      </c>
    </row>
    <row r="248" spans="1:7" x14ac:dyDescent="0.25">
      <c r="A248" t="s">
        <v>90</v>
      </c>
      <c r="B248" t="s">
        <v>619</v>
      </c>
      <c r="C248">
        <v>2017</v>
      </c>
      <c r="E248" s="10" t="s">
        <v>8426</v>
      </c>
      <c r="F248" t="s">
        <v>9082</v>
      </c>
      <c r="G248" t="s">
        <v>3990</v>
      </c>
    </row>
    <row r="249" spans="1:7" x14ac:dyDescent="0.25">
      <c r="A249" t="s">
        <v>964</v>
      </c>
      <c r="B249" t="s">
        <v>623</v>
      </c>
      <c r="C249">
        <v>2006</v>
      </c>
      <c r="E249" t="s">
        <v>3164</v>
      </c>
      <c r="F249" t="s">
        <v>9519</v>
      </c>
      <c r="G249" t="s">
        <v>187</v>
      </c>
    </row>
    <row r="250" spans="1:7" x14ac:dyDescent="0.25">
      <c r="A250" t="s">
        <v>2428</v>
      </c>
      <c r="B250" t="s">
        <v>625</v>
      </c>
      <c r="C250">
        <v>2008</v>
      </c>
      <c r="E250" t="s">
        <v>3388</v>
      </c>
      <c r="F250" t="s">
        <v>9189</v>
      </c>
      <c r="G250" t="s">
        <v>3990</v>
      </c>
    </row>
    <row r="251" spans="1:7" x14ac:dyDescent="0.25">
      <c r="A251" t="s">
        <v>1855</v>
      </c>
      <c r="B251" t="s">
        <v>629</v>
      </c>
      <c r="C251">
        <v>2015</v>
      </c>
      <c r="E251" t="s">
        <v>3294</v>
      </c>
      <c r="F251" t="s">
        <v>9520</v>
      </c>
      <c r="G251" t="s">
        <v>187</v>
      </c>
    </row>
    <row r="252" spans="1:7" x14ac:dyDescent="0.25">
      <c r="A252" t="s">
        <v>353</v>
      </c>
      <c r="B252" t="s">
        <v>7635</v>
      </c>
      <c r="C252">
        <v>2023</v>
      </c>
      <c r="E252" t="s">
        <v>7631</v>
      </c>
      <c r="F252" t="s">
        <v>8494</v>
      </c>
      <c r="G252" t="s">
        <v>3990</v>
      </c>
    </row>
    <row r="253" spans="1:7" x14ac:dyDescent="0.25">
      <c r="A253" t="s">
        <v>7632</v>
      </c>
      <c r="B253" t="s">
        <v>7635</v>
      </c>
      <c r="C253">
        <v>2021</v>
      </c>
      <c r="E253" t="s">
        <v>7631</v>
      </c>
      <c r="F253" t="s">
        <v>8873</v>
      </c>
      <c r="G253" t="s">
        <v>3990</v>
      </c>
    </row>
    <row r="254" spans="1:7" x14ac:dyDescent="0.25">
      <c r="A254" t="s">
        <v>90</v>
      </c>
      <c r="B254" t="s">
        <v>633</v>
      </c>
      <c r="C254">
        <v>2017</v>
      </c>
      <c r="E254" t="s">
        <v>3348</v>
      </c>
      <c r="F254" t="s">
        <v>9083</v>
      </c>
      <c r="G254" t="s">
        <v>3990</v>
      </c>
    </row>
    <row r="255" spans="1:7" x14ac:dyDescent="0.25">
      <c r="A255" t="s">
        <v>160</v>
      </c>
      <c r="B255" t="s">
        <v>635</v>
      </c>
      <c r="C255">
        <v>2011</v>
      </c>
      <c r="E255" s="10" t="s">
        <v>3400</v>
      </c>
      <c r="F255" t="s">
        <v>9399</v>
      </c>
      <c r="G255" t="s">
        <v>3990</v>
      </c>
    </row>
    <row r="256" spans="1:7" x14ac:dyDescent="0.25">
      <c r="A256" t="s">
        <v>2804</v>
      </c>
      <c r="B256" t="s">
        <v>9864</v>
      </c>
      <c r="C256">
        <v>2021</v>
      </c>
      <c r="E256" t="s">
        <v>2982</v>
      </c>
      <c r="F256" t="s">
        <v>9868</v>
      </c>
      <c r="G256" t="s">
        <v>3990</v>
      </c>
    </row>
    <row r="257" spans="1:7" x14ac:dyDescent="0.25">
      <c r="A257" t="s">
        <v>1144</v>
      </c>
      <c r="B257" t="s">
        <v>639</v>
      </c>
      <c r="C257">
        <v>2012</v>
      </c>
      <c r="E257" t="s">
        <v>642</v>
      </c>
      <c r="F257" t="s">
        <v>8737</v>
      </c>
      <c r="G257" t="s">
        <v>3990</v>
      </c>
    </row>
    <row r="258" spans="1:7" x14ac:dyDescent="0.25">
      <c r="A258" t="s">
        <v>90</v>
      </c>
      <c r="B258" t="s">
        <v>643</v>
      </c>
      <c r="C258">
        <v>2017</v>
      </c>
      <c r="E258" t="s">
        <v>3349</v>
      </c>
      <c r="F258" t="s">
        <v>9084</v>
      </c>
      <c r="G258" t="s">
        <v>3990</v>
      </c>
    </row>
    <row r="259" spans="1:7" x14ac:dyDescent="0.25">
      <c r="A259" t="s">
        <v>759</v>
      </c>
      <c r="B259" t="s">
        <v>14101</v>
      </c>
      <c r="C259">
        <v>2018</v>
      </c>
      <c r="E259" s="10" t="s">
        <v>14103</v>
      </c>
      <c r="F259" t="s">
        <v>14104</v>
      </c>
      <c r="G259" t="s">
        <v>3990</v>
      </c>
    </row>
    <row r="260" spans="1:7" x14ac:dyDescent="0.25">
      <c r="A260" t="s">
        <v>2254</v>
      </c>
      <c r="B260" t="s">
        <v>14101</v>
      </c>
      <c r="C260">
        <v>2020</v>
      </c>
      <c r="E260" s="10" t="s">
        <v>14100</v>
      </c>
      <c r="F260" t="s">
        <v>14102</v>
      </c>
      <c r="G260" t="s">
        <v>3990</v>
      </c>
    </row>
    <row r="261" spans="1:7" x14ac:dyDescent="0.25">
      <c r="A261" t="s">
        <v>746</v>
      </c>
      <c r="B261" t="s">
        <v>647</v>
      </c>
      <c r="C261">
        <v>2015</v>
      </c>
      <c r="E261" s="10" t="s">
        <v>3096</v>
      </c>
      <c r="F261" t="s">
        <v>9398</v>
      </c>
      <c r="G261" t="s">
        <v>3990</v>
      </c>
    </row>
    <row r="262" spans="1:7" x14ac:dyDescent="0.25">
      <c r="A262" t="s">
        <v>1272</v>
      </c>
      <c r="B262" t="s">
        <v>651</v>
      </c>
      <c r="C262">
        <v>2020</v>
      </c>
      <c r="E262" s="10" t="s">
        <v>8305</v>
      </c>
      <c r="F262" t="s">
        <v>10008</v>
      </c>
      <c r="G262" t="s">
        <v>187</v>
      </c>
    </row>
    <row r="263" spans="1:7" x14ac:dyDescent="0.25">
      <c r="A263" t="s">
        <v>1294</v>
      </c>
      <c r="B263" t="s">
        <v>651</v>
      </c>
      <c r="C263">
        <v>2019</v>
      </c>
      <c r="E263" s="10" t="s">
        <v>8305</v>
      </c>
      <c r="F263" t="s">
        <v>10008</v>
      </c>
      <c r="G263" t="s">
        <v>187</v>
      </c>
    </row>
    <row r="264" spans="1:7" x14ac:dyDescent="0.25">
      <c r="A264" t="s">
        <v>1817</v>
      </c>
      <c r="B264" t="s">
        <v>651</v>
      </c>
      <c r="C264">
        <v>2019</v>
      </c>
      <c r="E264" s="10" t="s">
        <v>8305</v>
      </c>
      <c r="F264" t="s">
        <v>10008</v>
      </c>
      <c r="G264" t="s">
        <v>187</v>
      </c>
    </row>
    <row r="265" spans="1:7" x14ac:dyDescent="0.25">
      <c r="A265" t="s">
        <v>2136</v>
      </c>
      <c r="B265" t="s">
        <v>651</v>
      </c>
      <c r="C265">
        <v>2020</v>
      </c>
      <c r="E265" s="10" t="s">
        <v>8305</v>
      </c>
      <c r="F265" t="s">
        <v>10008</v>
      </c>
      <c r="G265" t="s">
        <v>187</v>
      </c>
    </row>
    <row r="266" spans="1:7" x14ac:dyDescent="0.25">
      <c r="A266" t="s">
        <v>90</v>
      </c>
      <c r="B266" t="s">
        <v>651</v>
      </c>
      <c r="C266">
        <v>2017</v>
      </c>
      <c r="E266" s="10" t="s">
        <v>8305</v>
      </c>
      <c r="F266" t="s">
        <v>10008</v>
      </c>
      <c r="G266" t="s">
        <v>187</v>
      </c>
    </row>
    <row r="267" spans="1:7" x14ac:dyDescent="0.25">
      <c r="A267" t="s">
        <v>2428</v>
      </c>
      <c r="B267" t="s">
        <v>651</v>
      </c>
      <c r="C267">
        <v>2008</v>
      </c>
      <c r="E267" s="10" t="s">
        <v>8305</v>
      </c>
      <c r="F267" t="s">
        <v>10008</v>
      </c>
      <c r="G267" t="s">
        <v>187</v>
      </c>
    </row>
    <row r="268" spans="1:7" x14ac:dyDescent="0.25">
      <c r="A268" t="s">
        <v>160</v>
      </c>
      <c r="B268" t="s">
        <v>651</v>
      </c>
      <c r="C268">
        <v>2011</v>
      </c>
      <c r="E268" s="10" t="s">
        <v>8305</v>
      </c>
      <c r="F268" t="s">
        <v>10008</v>
      </c>
      <c r="G268" t="s">
        <v>187</v>
      </c>
    </row>
    <row r="269" spans="1:7" x14ac:dyDescent="0.25">
      <c r="A269" t="s">
        <v>1496</v>
      </c>
      <c r="B269" t="s">
        <v>9894</v>
      </c>
      <c r="C269">
        <v>2016</v>
      </c>
      <c r="E269" s="10" t="s">
        <v>9898</v>
      </c>
      <c r="F269" t="s">
        <v>9899</v>
      </c>
      <c r="G269" t="s">
        <v>3990</v>
      </c>
    </row>
    <row r="270" spans="1:7" x14ac:dyDescent="0.25">
      <c r="A270" t="s">
        <v>256</v>
      </c>
      <c r="B270" t="s">
        <v>656</v>
      </c>
      <c r="C270">
        <v>1994</v>
      </c>
      <c r="E270" s="10" t="s">
        <v>2987</v>
      </c>
      <c r="F270" t="s">
        <v>9396</v>
      </c>
      <c r="G270" t="s">
        <v>3990</v>
      </c>
    </row>
    <row r="271" spans="1:7" x14ac:dyDescent="0.25">
      <c r="A271" t="s">
        <v>260</v>
      </c>
      <c r="B271" t="s">
        <v>656</v>
      </c>
      <c r="C271">
        <v>1990</v>
      </c>
      <c r="E271" s="10" t="s">
        <v>3001</v>
      </c>
      <c r="F271" t="s">
        <v>8461</v>
      </c>
      <c r="G271" t="s">
        <v>3990</v>
      </c>
    </row>
    <row r="272" spans="1:7" x14ac:dyDescent="0.25">
      <c r="A272" t="s">
        <v>2804</v>
      </c>
      <c r="B272" t="s">
        <v>659</v>
      </c>
      <c r="C272">
        <v>2021</v>
      </c>
      <c r="E272" t="s">
        <v>3013</v>
      </c>
      <c r="F272" t="s">
        <v>9521</v>
      </c>
      <c r="G272" t="s">
        <v>187</v>
      </c>
    </row>
    <row r="273" spans="1:7" x14ac:dyDescent="0.25">
      <c r="A273" t="s">
        <v>847</v>
      </c>
      <c r="B273" t="s">
        <v>663</v>
      </c>
      <c r="C273">
        <v>1996</v>
      </c>
      <c r="E273" s="10" t="s">
        <v>8337</v>
      </c>
      <c r="F273" t="s">
        <v>8640</v>
      </c>
      <c r="G273" t="s">
        <v>3990</v>
      </c>
    </row>
    <row r="274" spans="1:7" x14ac:dyDescent="0.25">
      <c r="A274" t="s">
        <v>160</v>
      </c>
      <c r="B274" t="s">
        <v>663</v>
      </c>
      <c r="C274">
        <v>2011</v>
      </c>
      <c r="E274" s="10" t="s">
        <v>8337</v>
      </c>
      <c r="F274" t="s">
        <v>9252</v>
      </c>
      <c r="G274" t="s">
        <v>3990</v>
      </c>
    </row>
    <row r="275" spans="1:7" x14ac:dyDescent="0.25">
      <c r="A275" t="s">
        <v>1576</v>
      </c>
      <c r="B275" t="s">
        <v>667</v>
      </c>
      <c r="C275">
        <v>2021</v>
      </c>
      <c r="E275" t="s">
        <v>2982</v>
      </c>
      <c r="F275" t="s">
        <v>8874</v>
      </c>
      <c r="G275" t="s">
        <v>3990</v>
      </c>
    </row>
    <row r="276" spans="1:7" x14ac:dyDescent="0.25">
      <c r="A276" t="s">
        <v>353</v>
      </c>
      <c r="B276" t="s">
        <v>671</v>
      </c>
      <c r="C276">
        <v>2023</v>
      </c>
      <c r="E276" t="s">
        <v>2982</v>
      </c>
      <c r="F276" t="s">
        <v>8495</v>
      </c>
      <c r="G276" t="s">
        <v>3990</v>
      </c>
    </row>
    <row r="277" spans="1:7" x14ac:dyDescent="0.25">
      <c r="A277" t="s">
        <v>1443</v>
      </c>
      <c r="B277" t="s">
        <v>671</v>
      </c>
      <c r="C277">
        <v>2018</v>
      </c>
      <c r="E277" t="s">
        <v>2982</v>
      </c>
      <c r="F277" t="s">
        <v>8841</v>
      </c>
      <c r="G277" t="s">
        <v>3990</v>
      </c>
    </row>
    <row r="278" spans="1:7" x14ac:dyDescent="0.25">
      <c r="A278" t="s">
        <v>90</v>
      </c>
      <c r="B278" t="s">
        <v>671</v>
      </c>
      <c r="C278">
        <v>2017</v>
      </c>
      <c r="E278" t="s">
        <v>2982</v>
      </c>
      <c r="F278" t="s">
        <v>9085</v>
      </c>
      <c r="G278" t="s">
        <v>3990</v>
      </c>
    </row>
    <row r="279" spans="1:7" x14ac:dyDescent="0.25">
      <c r="A279" t="s">
        <v>510</v>
      </c>
      <c r="B279" t="s">
        <v>673</v>
      </c>
      <c r="C279">
        <v>2018</v>
      </c>
      <c r="D279" t="s">
        <v>187</v>
      </c>
      <c r="F279" t="s">
        <v>9522</v>
      </c>
      <c r="G279" t="s">
        <v>3990</v>
      </c>
    </row>
    <row r="280" spans="1:7" x14ac:dyDescent="0.25">
      <c r="A280" t="s">
        <v>1690</v>
      </c>
      <c r="B280" t="s">
        <v>673</v>
      </c>
      <c r="C280">
        <v>2020</v>
      </c>
      <c r="E280" t="s">
        <v>2982</v>
      </c>
      <c r="F280" t="s">
        <v>8894</v>
      </c>
      <c r="G280" t="s">
        <v>3990</v>
      </c>
    </row>
    <row r="281" spans="1:7" x14ac:dyDescent="0.25">
      <c r="A281" t="s">
        <v>90</v>
      </c>
      <c r="B281" t="s">
        <v>673</v>
      </c>
      <c r="C281">
        <v>2017</v>
      </c>
      <c r="E281" s="10" t="s">
        <v>8346</v>
      </c>
      <c r="F281" t="s">
        <v>9086</v>
      </c>
      <c r="G281" t="s">
        <v>3990</v>
      </c>
    </row>
    <row r="282" spans="1:7" x14ac:dyDescent="0.25">
      <c r="A282" t="s">
        <v>1761</v>
      </c>
      <c r="B282" t="s">
        <v>677</v>
      </c>
      <c r="C282">
        <v>1995</v>
      </c>
      <c r="E282" s="10" t="s">
        <v>8339</v>
      </c>
      <c r="F282" t="s">
        <v>8910</v>
      </c>
      <c r="G282" t="s">
        <v>3990</v>
      </c>
    </row>
    <row r="283" spans="1:7" x14ac:dyDescent="0.25">
      <c r="A283" t="s">
        <v>90</v>
      </c>
      <c r="B283" t="s">
        <v>681</v>
      </c>
      <c r="C283">
        <v>2017</v>
      </c>
      <c r="E283" t="s">
        <v>3350</v>
      </c>
      <c r="F283" t="s">
        <v>9087</v>
      </c>
      <c r="G283" t="s">
        <v>3990</v>
      </c>
    </row>
    <row r="284" spans="1:7" x14ac:dyDescent="0.25">
      <c r="A284" t="s">
        <v>1144</v>
      </c>
      <c r="B284" t="s">
        <v>685</v>
      </c>
      <c r="C284">
        <v>2012</v>
      </c>
      <c r="E284" t="s">
        <v>3197</v>
      </c>
      <c r="F284" t="s">
        <v>9397</v>
      </c>
      <c r="G284" t="s">
        <v>3990</v>
      </c>
    </row>
    <row r="285" spans="1:7" x14ac:dyDescent="0.25">
      <c r="A285" t="s">
        <v>2154</v>
      </c>
      <c r="B285" t="s">
        <v>689</v>
      </c>
      <c r="C285">
        <v>1980</v>
      </c>
      <c r="E285" t="s">
        <v>3319</v>
      </c>
      <c r="F285" t="s">
        <v>9018</v>
      </c>
      <c r="G285" t="s">
        <v>3990</v>
      </c>
    </row>
    <row r="286" spans="1:7" x14ac:dyDescent="0.25">
      <c r="A286" t="s">
        <v>2173</v>
      </c>
      <c r="B286" t="s">
        <v>689</v>
      </c>
      <c r="C286">
        <v>2013</v>
      </c>
      <c r="E286" t="s">
        <v>3319</v>
      </c>
      <c r="F286" t="s">
        <v>9037</v>
      </c>
      <c r="G286" t="s">
        <v>3990</v>
      </c>
    </row>
    <row r="287" spans="1:7" x14ac:dyDescent="0.25">
      <c r="A287" t="s">
        <v>2428</v>
      </c>
      <c r="B287" t="s">
        <v>689</v>
      </c>
      <c r="C287">
        <v>2008</v>
      </c>
      <c r="E287" t="s">
        <v>3319</v>
      </c>
      <c r="F287" t="s">
        <v>9190</v>
      </c>
      <c r="G287" t="s">
        <v>3990</v>
      </c>
    </row>
    <row r="288" spans="1:7" x14ac:dyDescent="0.25">
      <c r="A288" t="s">
        <v>160</v>
      </c>
      <c r="B288" t="s">
        <v>689</v>
      </c>
      <c r="C288">
        <v>2011</v>
      </c>
      <c r="E288" t="s">
        <v>3319</v>
      </c>
      <c r="F288" t="s">
        <v>9253</v>
      </c>
      <c r="G288" t="s">
        <v>3990</v>
      </c>
    </row>
    <row r="289" spans="1:7" x14ac:dyDescent="0.25">
      <c r="A289" t="s">
        <v>2947</v>
      </c>
      <c r="B289" t="s">
        <v>698</v>
      </c>
      <c r="C289">
        <v>1994</v>
      </c>
      <c r="E289" t="s">
        <v>3433</v>
      </c>
      <c r="F289" t="s">
        <v>9360</v>
      </c>
      <c r="G289" t="s">
        <v>3990</v>
      </c>
    </row>
    <row r="290" spans="1:7" x14ac:dyDescent="0.25">
      <c r="A290" t="s">
        <v>353</v>
      </c>
      <c r="B290" t="s">
        <v>706</v>
      </c>
      <c r="C290">
        <v>2023</v>
      </c>
      <c r="E290" t="s">
        <v>3024</v>
      </c>
      <c r="F290" t="s">
        <v>9379</v>
      </c>
      <c r="G290" t="s">
        <v>3990</v>
      </c>
    </row>
    <row r="291" spans="1:7" x14ac:dyDescent="0.25">
      <c r="A291" t="s">
        <v>1951</v>
      </c>
      <c r="B291" t="s">
        <v>706</v>
      </c>
      <c r="C291">
        <v>2022</v>
      </c>
      <c r="E291" t="s">
        <v>3024</v>
      </c>
      <c r="F291" t="s">
        <v>9378</v>
      </c>
      <c r="G291" t="s">
        <v>3990</v>
      </c>
    </row>
    <row r="292" spans="1:7" x14ac:dyDescent="0.25">
      <c r="A292" t="s">
        <v>759</v>
      </c>
      <c r="B292" t="s">
        <v>709</v>
      </c>
      <c r="C292">
        <v>2018</v>
      </c>
      <c r="E292" t="s">
        <v>3114</v>
      </c>
      <c r="F292" t="s">
        <v>10009</v>
      </c>
      <c r="G292" t="s">
        <v>187</v>
      </c>
    </row>
    <row r="293" spans="1:7" x14ac:dyDescent="0.25">
      <c r="A293" t="s">
        <v>914</v>
      </c>
      <c r="B293" t="s">
        <v>709</v>
      </c>
      <c r="C293">
        <v>2013</v>
      </c>
      <c r="E293" t="s">
        <v>3114</v>
      </c>
      <c r="F293" t="s">
        <v>10009</v>
      </c>
      <c r="G293" t="s">
        <v>187</v>
      </c>
    </row>
    <row r="294" spans="1:7" x14ac:dyDescent="0.25">
      <c r="A294" t="s">
        <v>1046</v>
      </c>
      <c r="B294" t="s">
        <v>709</v>
      </c>
      <c r="C294">
        <v>2016</v>
      </c>
      <c r="E294" t="s">
        <v>3114</v>
      </c>
      <c r="F294" t="s">
        <v>10009</v>
      </c>
      <c r="G294" t="s">
        <v>187</v>
      </c>
    </row>
    <row r="295" spans="1:7" x14ac:dyDescent="0.25">
      <c r="A295" t="s">
        <v>1294</v>
      </c>
      <c r="B295" t="s">
        <v>709</v>
      </c>
      <c r="C295">
        <v>2019</v>
      </c>
      <c r="E295" t="s">
        <v>3114</v>
      </c>
      <c r="F295" t="s">
        <v>10009</v>
      </c>
      <c r="G295" t="s">
        <v>187</v>
      </c>
    </row>
    <row r="296" spans="1:7" x14ac:dyDescent="0.25">
      <c r="A296" t="s">
        <v>160</v>
      </c>
      <c r="B296" t="s">
        <v>709</v>
      </c>
      <c r="C296">
        <v>2011</v>
      </c>
      <c r="E296" t="s">
        <v>3114</v>
      </c>
      <c r="F296" t="s">
        <v>10009</v>
      </c>
      <c r="G296" t="s">
        <v>187</v>
      </c>
    </row>
    <row r="297" spans="1:7" x14ac:dyDescent="0.25">
      <c r="A297" t="s">
        <v>1144</v>
      </c>
      <c r="B297" t="s">
        <v>713</v>
      </c>
      <c r="C297">
        <v>2012</v>
      </c>
      <c r="E297" t="s">
        <v>3198</v>
      </c>
      <c r="F297" t="s">
        <v>9407</v>
      </c>
      <c r="G297" t="s">
        <v>3990</v>
      </c>
    </row>
    <row r="298" spans="1:7" x14ac:dyDescent="0.25">
      <c r="A298" t="s">
        <v>2502</v>
      </c>
      <c r="B298" t="s">
        <v>713</v>
      </c>
      <c r="C298">
        <v>2015</v>
      </c>
      <c r="D298" t="s">
        <v>187</v>
      </c>
      <c r="F298" t="s">
        <v>9523</v>
      </c>
      <c r="G298" t="s">
        <v>3990</v>
      </c>
    </row>
    <row r="299" spans="1:7" x14ac:dyDescent="0.25">
      <c r="A299" t="s">
        <v>1576</v>
      </c>
      <c r="B299" t="s">
        <v>717</v>
      </c>
      <c r="C299">
        <v>2021</v>
      </c>
      <c r="E299" t="s">
        <v>3260</v>
      </c>
      <c r="F299" t="s">
        <v>8875</v>
      </c>
      <c r="G299" t="s">
        <v>3990</v>
      </c>
    </row>
    <row r="300" spans="1:7" x14ac:dyDescent="0.25">
      <c r="A300" t="s">
        <v>720</v>
      </c>
      <c r="B300" t="s">
        <v>724</v>
      </c>
      <c r="C300">
        <v>2016</v>
      </c>
      <c r="D300" t="s">
        <v>187</v>
      </c>
      <c r="F300" t="s">
        <v>9524</v>
      </c>
      <c r="G300" t="s">
        <v>3990</v>
      </c>
    </row>
    <row r="301" spans="1:7" x14ac:dyDescent="0.25">
      <c r="A301" t="s">
        <v>778</v>
      </c>
      <c r="B301" t="s">
        <v>7816</v>
      </c>
      <c r="C301">
        <v>2023</v>
      </c>
      <c r="E301" s="10" t="s">
        <v>9956</v>
      </c>
      <c r="F301" t="s">
        <v>9957</v>
      </c>
      <c r="G301" t="s">
        <v>3990</v>
      </c>
    </row>
    <row r="302" spans="1:7" x14ac:dyDescent="0.25">
      <c r="A302" t="s">
        <v>1294</v>
      </c>
      <c r="B302" t="s">
        <v>7816</v>
      </c>
      <c r="C302">
        <v>2019</v>
      </c>
      <c r="E302" t="s">
        <v>7818</v>
      </c>
      <c r="F302" t="s">
        <v>8784</v>
      </c>
      <c r="G302" t="s">
        <v>3990</v>
      </c>
    </row>
    <row r="303" spans="1:7" x14ac:dyDescent="0.25">
      <c r="A303" t="s">
        <v>2804</v>
      </c>
      <c r="B303" t="s">
        <v>7816</v>
      </c>
      <c r="C303">
        <v>2021</v>
      </c>
      <c r="E303" t="s">
        <v>7818</v>
      </c>
      <c r="F303" t="s">
        <v>9317</v>
      </c>
      <c r="G303" t="s">
        <v>3990</v>
      </c>
    </row>
    <row r="304" spans="1:7" x14ac:dyDescent="0.25">
      <c r="A304" t="s">
        <v>746</v>
      </c>
      <c r="B304" t="s">
        <v>726</v>
      </c>
      <c r="C304">
        <v>2015</v>
      </c>
      <c r="E304" s="10" t="s">
        <v>8348</v>
      </c>
      <c r="F304" t="s">
        <v>8585</v>
      </c>
      <c r="G304" t="s">
        <v>3990</v>
      </c>
    </row>
    <row r="305" spans="1:7" x14ac:dyDescent="0.25">
      <c r="A305" t="s">
        <v>847</v>
      </c>
      <c r="B305" t="s">
        <v>726</v>
      </c>
      <c r="C305">
        <v>1996</v>
      </c>
      <c r="E305" s="10" t="s">
        <v>8347</v>
      </c>
      <c r="F305" t="s">
        <v>8641</v>
      </c>
      <c r="G305" t="s">
        <v>3990</v>
      </c>
    </row>
    <row r="306" spans="1:7" x14ac:dyDescent="0.25">
      <c r="A306" t="s">
        <v>1294</v>
      </c>
      <c r="B306" t="s">
        <v>726</v>
      </c>
      <c r="C306">
        <v>2019</v>
      </c>
      <c r="E306" s="10" t="s">
        <v>8347</v>
      </c>
      <c r="F306" t="s">
        <v>8785</v>
      </c>
      <c r="G306" t="s">
        <v>3990</v>
      </c>
    </row>
    <row r="307" spans="1:7" x14ac:dyDescent="0.25">
      <c r="A307" t="s">
        <v>353</v>
      </c>
      <c r="B307" t="s">
        <v>730</v>
      </c>
      <c r="C307">
        <v>2023</v>
      </c>
      <c r="E307" t="s">
        <v>3025</v>
      </c>
      <c r="F307" t="s">
        <v>10010</v>
      </c>
      <c r="G307" t="s">
        <v>187</v>
      </c>
    </row>
    <row r="308" spans="1:7" x14ac:dyDescent="0.25">
      <c r="A308" t="s">
        <v>1435</v>
      </c>
      <c r="B308" t="s">
        <v>730</v>
      </c>
      <c r="C308">
        <v>2021</v>
      </c>
      <c r="E308" t="s">
        <v>3025</v>
      </c>
      <c r="F308" t="s">
        <v>10010</v>
      </c>
      <c r="G308" t="s">
        <v>187</v>
      </c>
    </row>
    <row r="309" spans="1:7" x14ac:dyDescent="0.25">
      <c r="A309" t="s">
        <v>1851</v>
      </c>
      <c r="B309" t="s">
        <v>730</v>
      </c>
      <c r="C309">
        <v>2024</v>
      </c>
      <c r="E309" t="s">
        <v>3025</v>
      </c>
      <c r="F309" t="s">
        <v>10010</v>
      </c>
      <c r="G309" t="s">
        <v>187</v>
      </c>
    </row>
    <row r="310" spans="1:7" x14ac:dyDescent="0.25">
      <c r="A310" t="s">
        <v>90</v>
      </c>
      <c r="B310" t="s">
        <v>730</v>
      </c>
      <c r="C310">
        <v>2017</v>
      </c>
      <c r="E310" t="s">
        <v>3025</v>
      </c>
      <c r="F310" t="s">
        <v>10010</v>
      </c>
      <c r="G310" t="s">
        <v>187</v>
      </c>
    </row>
    <row r="311" spans="1:7" x14ac:dyDescent="0.25">
      <c r="A311" t="s">
        <v>2506</v>
      </c>
      <c r="B311" t="s">
        <v>730</v>
      </c>
      <c r="C311">
        <v>2021</v>
      </c>
      <c r="E311" t="s">
        <v>3025</v>
      </c>
      <c r="F311" t="s">
        <v>10010</v>
      </c>
      <c r="G311" t="s">
        <v>187</v>
      </c>
    </row>
    <row r="312" spans="1:7" x14ac:dyDescent="0.25">
      <c r="A312" t="s">
        <v>746</v>
      </c>
      <c r="B312" t="s">
        <v>737</v>
      </c>
      <c r="C312">
        <v>2015</v>
      </c>
      <c r="E312" t="s">
        <v>3097</v>
      </c>
      <c r="F312" t="s">
        <v>9525</v>
      </c>
      <c r="G312" t="s">
        <v>187</v>
      </c>
    </row>
    <row r="313" spans="1:7" x14ac:dyDescent="0.25">
      <c r="A313" t="s">
        <v>847</v>
      </c>
      <c r="B313" t="s">
        <v>741</v>
      </c>
      <c r="C313">
        <v>1996</v>
      </c>
      <c r="E313" t="s">
        <v>3132</v>
      </c>
      <c r="F313" t="s">
        <v>8642</v>
      </c>
      <c r="G313" t="s">
        <v>3990</v>
      </c>
    </row>
    <row r="314" spans="1:7" x14ac:dyDescent="0.25">
      <c r="A314" t="s">
        <v>2095</v>
      </c>
      <c r="B314" t="s">
        <v>741</v>
      </c>
      <c r="C314">
        <v>2023</v>
      </c>
      <c r="E314" t="s">
        <v>3307</v>
      </c>
      <c r="F314" t="s">
        <v>9526</v>
      </c>
      <c r="G314" t="s">
        <v>3990</v>
      </c>
    </row>
    <row r="315" spans="1:7" x14ac:dyDescent="0.25">
      <c r="A315" t="s">
        <v>2136</v>
      </c>
      <c r="B315" t="s">
        <v>741</v>
      </c>
      <c r="C315">
        <v>2020</v>
      </c>
      <c r="E315" t="s">
        <v>3132</v>
      </c>
      <c r="F315" t="s">
        <v>8998</v>
      </c>
      <c r="G315" t="s">
        <v>3990</v>
      </c>
    </row>
    <row r="316" spans="1:7" x14ac:dyDescent="0.25">
      <c r="A316" t="s">
        <v>2804</v>
      </c>
      <c r="B316" t="s">
        <v>741</v>
      </c>
      <c r="C316">
        <v>2021</v>
      </c>
      <c r="E316" t="s">
        <v>3421</v>
      </c>
      <c r="F316" t="s">
        <v>9318</v>
      </c>
      <c r="G316" t="s">
        <v>3990</v>
      </c>
    </row>
    <row r="317" spans="1:7" x14ac:dyDescent="0.25">
      <c r="A317" t="s">
        <v>1272</v>
      </c>
      <c r="B317" t="s">
        <v>744</v>
      </c>
      <c r="C317">
        <v>2020</v>
      </c>
      <c r="E317" t="s">
        <v>3217</v>
      </c>
      <c r="F317" t="s">
        <v>9408</v>
      </c>
      <c r="G317" t="s">
        <v>3990</v>
      </c>
    </row>
    <row r="318" spans="1:7" x14ac:dyDescent="0.25">
      <c r="A318" t="s">
        <v>1294</v>
      </c>
      <c r="B318" t="s">
        <v>744</v>
      </c>
      <c r="C318">
        <v>2019</v>
      </c>
      <c r="E318" t="s">
        <v>3217</v>
      </c>
      <c r="F318" t="s">
        <v>9409</v>
      </c>
      <c r="G318" t="s">
        <v>3990</v>
      </c>
    </row>
    <row r="319" spans="1:7" x14ac:dyDescent="0.25">
      <c r="A319" t="s">
        <v>746</v>
      </c>
      <c r="B319" t="s">
        <v>750</v>
      </c>
      <c r="C319">
        <v>2015</v>
      </c>
      <c r="D319" t="s">
        <v>187</v>
      </c>
      <c r="F319" t="s">
        <v>9527</v>
      </c>
      <c r="G319" t="s">
        <v>3990</v>
      </c>
    </row>
    <row r="320" spans="1:7" x14ac:dyDescent="0.25">
      <c r="A320" t="s">
        <v>2721</v>
      </c>
      <c r="B320" t="s">
        <v>754</v>
      </c>
      <c r="C320">
        <v>1993</v>
      </c>
      <c r="E320" t="s">
        <v>3416</v>
      </c>
      <c r="F320" t="s">
        <v>9306</v>
      </c>
      <c r="G320" t="s">
        <v>3990</v>
      </c>
    </row>
    <row r="321" spans="1:7" x14ac:dyDescent="0.25">
      <c r="A321" t="s">
        <v>2132</v>
      </c>
      <c r="B321" t="s">
        <v>759</v>
      </c>
      <c r="C321">
        <v>2013</v>
      </c>
      <c r="E321" t="s">
        <v>3309</v>
      </c>
      <c r="F321" t="s">
        <v>8992</v>
      </c>
      <c r="G321" t="s">
        <v>3990</v>
      </c>
    </row>
    <row r="322" spans="1:7" x14ac:dyDescent="0.25">
      <c r="A322" t="s">
        <v>2173</v>
      </c>
      <c r="B322" t="s">
        <v>759</v>
      </c>
      <c r="C322">
        <v>2013</v>
      </c>
      <c r="E322" t="s">
        <v>3329</v>
      </c>
      <c r="F322" t="s">
        <v>9528</v>
      </c>
      <c r="G322" t="s">
        <v>187</v>
      </c>
    </row>
    <row r="323" spans="1:7" x14ac:dyDescent="0.25">
      <c r="A323" t="s">
        <v>160</v>
      </c>
      <c r="B323" t="s">
        <v>759</v>
      </c>
      <c r="C323">
        <v>2011</v>
      </c>
      <c r="E323" t="s">
        <v>3309</v>
      </c>
      <c r="F323" t="s">
        <v>9254</v>
      </c>
      <c r="G323" t="s">
        <v>3990</v>
      </c>
    </row>
    <row r="324" spans="1:7" x14ac:dyDescent="0.25">
      <c r="A324" t="s">
        <v>1855</v>
      </c>
      <c r="B324" t="s">
        <v>763</v>
      </c>
      <c r="C324">
        <v>2015</v>
      </c>
      <c r="E324" t="s">
        <v>3295</v>
      </c>
      <c r="F324" t="s">
        <v>8955</v>
      </c>
      <c r="G324" t="s">
        <v>3990</v>
      </c>
    </row>
    <row r="325" spans="1:7" x14ac:dyDescent="0.25">
      <c r="A325" t="s">
        <v>160</v>
      </c>
      <c r="B325" t="s">
        <v>763</v>
      </c>
      <c r="C325">
        <v>2011</v>
      </c>
      <c r="E325" t="s">
        <v>3401</v>
      </c>
      <c r="F325" t="s">
        <v>9255</v>
      </c>
      <c r="G325" t="s">
        <v>3990</v>
      </c>
    </row>
    <row r="326" spans="1:7" x14ac:dyDescent="0.25">
      <c r="A326" t="s">
        <v>353</v>
      </c>
      <c r="B326" t="s">
        <v>767</v>
      </c>
      <c r="C326">
        <v>2023</v>
      </c>
      <c r="E326" t="s">
        <v>3026</v>
      </c>
      <c r="F326" t="s">
        <v>8496</v>
      </c>
      <c r="G326" t="s">
        <v>3990</v>
      </c>
    </row>
    <row r="327" spans="1:7" x14ac:dyDescent="0.25">
      <c r="A327" t="s">
        <v>1443</v>
      </c>
      <c r="B327" t="s">
        <v>771</v>
      </c>
      <c r="C327">
        <v>2018</v>
      </c>
      <c r="E327" t="s">
        <v>3245</v>
      </c>
      <c r="F327" t="s">
        <v>8842</v>
      </c>
      <c r="G327" t="s">
        <v>3990</v>
      </c>
    </row>
    <row r="328" spans="1:7" x14ac:dyDescent="0.25">
      <c r="A328" t="s">
        <v>2146</v>
      </c>
      <c r="B328" t="s">
        <v>774</v>
      </c>
      <c r="C328">
        <v>2020</v>
      </c>
      <c r="E328" s="10" t="s">
        <v>8371</v>
      </c>
      <c r="F328" t="s">
        <v>9011</v>
      </c>
      <c r="G328" t="s">
        <v>3990</v>
      </c>
    </row>
    <row r="329" spans="1:7" x14ac:dyDescent="0.25">
      <c r="A329" t="s">
        <v>847</v>
      </c>
      <c r="B329" t="s">
        <v>778</v>
      </c>
      <c r="C329">
        <v>1996</v>
      </c>
      <c r="E329" t="s">
        <v>3133</v>
      </c>
      <c r="F329" t="s">
        <v>10011</v>
      </c>
      <c r="G329" t="s">
        <v>187</v>
      </c>
    </row>
    <row r="330" spans="1:7" x14ac:dyDescent="0.25">
      <c r="A330" t="s">
        <v>1294</v>
      </c>
      <c r="B330" t="s">
        <v>778</v>
      </c>
      <c r="C330">
        <v>2019</v>
      </c>
      <c r="E330" t="s">
        <v>3224</v>
      </c>
      <c r="F330" t="s">
        <v>8786</v>
      </c>
      <c r="G330" t="s">
        <v>3990</v>
      </c>
    </row>
    <row r="331" spans="1:7" x14ac:dyDescent="0.25">
      <c r="A331" t="s">
        <v>2804</v>
      </c>
      <c r="B331" t="s">
        <v>778</v>
      </c>
      <c r="C331">
        <v>2021</v>
      </c>
      <c r="E331" t="s">
        <v>3133</v>
      </c>
      <c r="F331" t="s">
        <v>10011</v>
      </c>
      <c r="G331" t="s">
        <v>187</v>
      </c>
    </row>
    <row r="332" spans="1:7" x14ac:dyDescent="0.25">
      <c r="A332" t="s">
        <v>1855</v>
      </c>
      <c r="B332" t="s">
        <v>782</v>
      </c>
      <c r="C332">
        <v>2015</v>
      </c>
      <c r="E332" s="10" t="s">
        <v>8336</v>
      </c>
      <c r="F332" t="s">
        <v>9529</v>
      </c>
      <c r="G332" t="s">
        <v>3990</v>
      </c>
    </row>
    <row r="333" spans="1:7" x14ac:dyDescent="0.25">
      <c r="A333" t="s">
        <v>813</v>
      </c>
      <c r="B333" t="s">
        <v>786</v>
      </c>
      <c r="C333">
        <v>2018</v>
      </c>
      <c r="E333" t="s">
        <v>2982</v>
      </c>
      <c r="F333" t="s">
        <v>8633</v>
      </c>
      <c r="G333" t="s">
        <v>3990</v>
      </c>
    </row>
    <row r="334" spans="1:7" x14ac:dyDescent="0.25">
      <c r="A334" t="s">
        <v>1144</v>
      </c>
      <c r="B334" t="s">
        <v>786</v>
      </c>
      <c r="C334">
        <v>2012</v>
      </c>
      <c r="E334" t="s">
        <v>2982</v>
      </c>
      <c r="F334" t="s">
        <v>8738</v>
      </c>
      <c r="G334" t="s">
        <v>3990</v>
      </c>
    </row>
    <row r="335" spans="1:7" x14ac:dyDescent="0.25">
      <c r="A335" t="s">
        <v>1443</v>
      </c>
      <c r="B335" t="s">
        <v>786</v>
      </c>
      <c r="C335">
        <v>2018</v>
      </c>
      <c r="E335" t="s">
        <v>2982</v>
      </c>
      <c r="F335" t="s">
        <v>8843</v>
      </c>
      <c r="G335" t="s">
        <v>3990</v>
      </c>
    </row>
    <row r="336" spans="1:7" x14ac:dyDescent="0.25">
      <c r="A336" t="s">
        <v>1144</v>
      </c>
      <c r="B336" t="s">
        <v>791</v>
      </c>
      <c r="C336">
        <v>2012</v>
      </c>
      <c r="E336" t="s">
        <v>3199</v>
      </c>
      <c r="F336" t="s">
        <v>8739</v>
      </c>
      <c r="G336" t="s">
        <v>3990</v>
      </c>
    </row>
    <row r="337" spans="1:7" x14ac:dyDescent="0.25">
      <c r="A337" t="s">
        <v>746</v>
      </c>
      <c r="B337" t="s">
        <v>795</v>
      </c>
      <c r="C337">
        <v>2015</v>
      </c>
      <c r="E337" t="s">
        <v>3098</v>
      </c>
      <c r="F337" t="s">
        <v>8586</v>
      </c>
      <c r="G337" t="s">
        <v>3990</v>
      </c>
    </row>
    <row r="338" spans="1:7" x14ac:dyDescent="0.25">
      <c r="A338" t="s">
        <v>1265</v>
      </c>
      <c r="B338" t="s">
        <v>795</v>
      </c>
      <c r="C338">
        <v>2015</v>
      </c>
      <c r="E338" t="s">
        <v>3098</v>
      </c>
      <c r="F338" t="s">
        <v>8765</v>
      </c>
      <c r="G338" t="s">
        <v>3990</v>
      </c>
    </row>
    <row r="339" spans="1:7" x14ac:dyDescent="0.25">
      <c r="A339" t="s">
        <v>1686</v>
      </c>
      <c r="B339" t="s">
        <v>795</v>
      </c>
      <c r="C339">
        <v>2017</v>
      </c>
      <c r="E339" t="s">
        <v>3098</v>
      </c>
      <c r="F339" t="s">
        <v>8892</v>
      </c>
      <c r="G339" t="s">
        <v>3990</v>
      </c>
    </row>
    <row r="340" spans="1:7" x14ac:dyDescent="0.25">
      <c r="A340" t="s">
        <v>90</v>
      </c>
      <c r="B340" t="s">
        <v>795</v>
      </c>
      <c r="C340">
        <v>2017</v>
      </c>
      <c r="E340" t="s">
        <v>3098</v>
      </c>
      <c r="F340" t="s">
        <v>9088</v>
      </c>
      <c r="G340" t="s">
        <v>3990</v>
      </c>
    </row>
    <row r="341" spans="1:7" x14ac:dyDescent="0.25">
      <c r="A341" t="s">
        <v>90</v>
      </c>
      <c r="B341" t="s">
        <v>799</v>
      </c>
      <c r="C341">
        <v>2017</v>
      </c>
      <c r="E341" t="s">
        <v>3351</v>
      </c>
      <c r="F341" t="s">
        <v>9530</v>
      </c>
      <c r="G341" t="s">
        <v>187</v>
      </c>
    </row>
    <row r="342" spans="1:7" x14ac:dyDescent="0.25">
      <c r="A342" t="s">
        <v>90</v>
      </c>
      <c r="B342" t="s">
        <v>803</v>
      </c>
      <c r="C342">
        <v>2017</v>
      </c>
      <c r="E342" t="s">
        <v>2982</v>
      </c>
      <c r="F342" t="s">
        <v>9089</v>
      </c>
      <c r="G342" t="s">
        <v>3990</v>
      </c>
    </row>
    <row r="343" spans="1:7" x14ac:dyDescent="0.25">
      <c r="A343" t="s">
        <v>2890</v>
      </c>
      <c r="B343" t="s">
        <v>803</v>
      </c>
      <c r="C343">
        <v>2023</v>
      </c>
      <c r="E343" t="s">
        <v>2982</v>
      </c>
      <c r="F343" t="s">
        <v>9353</v>
      </c>
      <c r="G343" t="s">
        <v>3990</v>
      </c>
    </row>
    <row r="344" spans="1:7" x14ac:dyDescent="0.25">
      <c r="A344" t="s">
        <v>1795</v>
      </c>
      <c r="B344" t="s">
        <v>807</v>
      </c>
      <c r="C344">
        <v>1987</v>
      </c>
      <c r="E344" t="s">
        <v>3274</v>
      </c>
      <c r="F344" t="s">
        <v>9410</v>
      </c>
      <c r="G344" t="s">
        <v>3990</v>
      </c>
    </row>
    <row r="345" spans="1:7" x14ac:dyDescent="0.25">
      <c r="A345" t="s">
        <v>1272</v>
      </c>
      <c r="B345" t="s">
        <v>7937</v>
      </c>
      <c r="C345">
        <v>2020</v>
      </c>
      <c r="E345" s="10" t="s">
        <v>7940</v>
      </c>
      <c r="F345" t="s">
        <v>8768</v>
      </c>
      <c r="G345" t="s">
        <v>3990</v>
      </c>
    </row>
    <row r="346" spans="1:7" x14ac:dyDescent="0.25">
      <c r="A346" t="s">
        <v>2136</v>
      </c>
      <c r="B346" t="s">
        <v>7937</v>
      </c>
      <c r="C346">
        <v>2020</v>
      </c>
      <c r="E346" s="10" t="s">
        <v>7940</v>
      </c>
      <c r="F346" t="s">
        <v>8999</v>
      </c>
      <c r="G346" t="s">
        <v>3990</v>
      </c>
    </row>
    <row r="347" spans="1:7" x14ac:dyDescent="0.25">
      <c r="A347" t="s">
        <v>2146</v>
      </c>
      <c r="B347" t="s">
        <v>7937</v>
      </c>
      <c r="C347">
        <v>2020</v>
      </c>
      <c r="E347" s="10" t="s">
        <v>7940</v>
      </c>
      <c r="F347" t="s">
        <v>9012</v>
      </c>
      <c r="G347" t="s">
        <v>3990</v>
      </c>
    </row>
    <row r="348" spans="1:7" x14ac:dyDescent="0.25">
      <c r="A348" t="s">
        <v>2901</v>
      </c>
      <c r="B348" t="s">
        <v>7937</v>
      </c>
      <c r="C348">
        <v>2023</v>
      </c>
      <c r="E348" s="10" t="s">
        <v>7940</v>
      </c>
      <c r="F348" t="s">
        <v>9354</v>
      </c>
      <c r="G348" t="s">
        <v>3990</v>
      </c>
    </row>
    <row r="349" spans="1:7" x14ac:dyDescent="0.25">
      <c r="A349" t="s">
        <v>2804</v>
      </c>
      <c r="B349" t="s">
        <v>811</v>
      </c>
      <c r="C349">
        <v>2021</v>
      </c>
      <c r="E349" t="s">
        <v>3013</v>
      </c>
      <c r="F349" t="s">
        <v>9531</v>
      </c>
      <c r="G349" t="s">
        <v>187</v>
      </c>
    </row>
    <row r="350" spans="1:7" x14ac:dyDescent="0.25">
      <c r="A350" t="s">
        <v>746</v>
      </c>
      <c r="B350" t="s">
        <v>813</v>
      </c>
      <c r="C350">
        <v>2015</v>
      </c>
      <c r="E350" t="s">
        <v>3099</v>
      </c>
      <c r="F350" t="s">
        <v>8587</v>
      </c>
      <c r="G350" t="s">
        <v>3990</v>
      </c>
    </row>
    <row r="351" spans="1:7" x14ac:dyDescent="0.25">
      <c r="A351" t="s">
        <v>1144</v>
      </c>
      <c r="B351" t="s">
        <v>813</v>
      </c>
      <c r="C351">
        <v>2012</v>
      </c>
      <c r="E351" t="s">
        <v>3099</v>
      </c>
      <c r="F351" t="s">
        <v>8740</v>
      </c>
      <c r="G351" t="s">
        <v>3990</v>
      </c>
    </row>
    <row r="352" spans="1:7" x14ac:dyDescent="0.25">
      <c r="A352" t="s">
        <v>90</v>
      </c>
      <c r="B352" t="s">
        <v>815</v>
      </c>
      <c r="C352">
        <v>2017</v>
      </c>
      <c r="E352" t="s">
        <v>3352</v>
      </c>
      <c r="F352" t="s">
        <v>9090</v>
      </c>
      <c r="G352" t="s">
        <v>3990</v>
      </c>
    </row>
    <row r="353" spans="1:7" x14ac:dyDescent="0.25">
      <c r="A353" t="s">
        <v>847</v>
      </c>
      <c r="B353" t="s">
        <v>819</v>
      </c>
      <c r="C353">
        <v>1996</v>
      </c>
      <c r="E353" s="10" t="s">
        <v>7909</v>
      </c>
      <c r="F353" t="s">
        <v>10012</v>
      </c>
      <c r="G353" t="s">
        <v>187</v>
      </c>
    </row>
    <row r="354" spans="1:7" x14ac:dyDescent="0.25">
      <c r="A354" t="s">
        <v>1795</v>
      </c>
      <c r="B354" t="s">
        <v>819</v>
      </c>
      <c r="C354">
        <v>1987</v>
      </c>
      <c r="E354" s="10" t="s">
        <v>7909</v>
      </c>
      <c r="F354" t="s">
        <v>10012</v>
      </c>
      <c r="G354" t="s">
        <v>187</v>
      </c>
    </row>
    <row r="355" spans="1:7" x14ac:dyDescent="0.25">
      <c r="A355" t="s">
        <v>2154</v>
      </c>
      <c r="B355" t="s">
        <v>819</v>
      </c>
      <c r="C355">
        <v>1980</v>
      </c>
      <c r="E355" s="10" t="s">
        <v>7909</v>
      </c>
      <c r="F355" t="s">
        <v>10012</v>
      </c>
      <c r="G355" t="s">
        <v>187</v>
      </c>
    </row>
    <row r="356" spans="1:7" x14ac:dyDescent="0.25">
      <c r="A356" t="s">
        <v>689</v>
      </c>
      <c r="B356" t="s">
        <v>821</v>
      </c>
      <c r="C356">
        <v>2015</v>
      </c>
      <c r="E356" t="s">
        <v>3086</v>
      </c>
      <c r="F356" t="s">
        <v>8569</v>
      </c>
      <c r="G356" t="s">
        <v>3990</v>
      </c>
    </row>
    <row r="357" spans="1:7" x14ac:dyDescent="0.25">
      <c r="A357" t="s">
        <v>1294</v>
      </c>
      <c r="B357" t="s">
        <v>821</v>
      </c>
      <c r="C357">
        <v>2019</v>
      </c>
      <c r="E357" t="s">
        <v>3086</v>
      </c>
      <c r="F357" t="s">
        <v>8787</v>
      </c>
      <c r="G357" t="s">
        <v>3990</v>
      </c>
    </row>
    <row r="358" spans="1:7" x14ac:dyDescent="0.25">
      <c r="A358" t="s">
        <v>90</v>
      </c>
      <c r="B358" t="s">
        <v>828</v>
      </c>
      <c r="C358">
        <v>2017</v>
      </c>
      <c r="E358" t="s">
        <v>2982</v>
      </c>
      <c r="F358" t="s">
        <v>9091</v>
      </c>
      <c r="G358" t="s">
        <v>3990</v>
      </c>
    </row>
    <row r="359" spans="1:7" x14ac:dyDescent="0.25">
      <c r="A359" t="s">
        <v>847</v>
      </c>
      <c r="B359" t="s">
        <v>832</v>
      </c>
      <c r="C359">
        <v>1996</v>
      </c>
      <c r="E359" s="10" t="s">
        <v>8433</v>
      </c>
      <c r="F359" t="s">
        <v>8434</v>
      </c>
      <c r="G359" t="s">
        <v>3990</v>
      </c>
    </row>
    <row r="360" spans="1:7" x14ac:dyDescent="0.25">
      <c r="A360" t="s">
        <v>964</v>
      </c>
      <c r="B360" t="s">
        <v>836</v>
      </c>
      <c r="C360">
        <v>2006</v>
      </c>
      <c r="E360" t="s">
        <v>3165</v>
      </c>
      <c r="F360" t="s">
        <v>8688</v>
      </c>
      <c r="G360" t="s">
        <v>3990</v>
      </c>
    </row>
    <row r="361" spans="1:7" x14ac:dyDescent="0.25">
      <c r="A361" t="s">
        <v>2804</v>
      </c>
      <c r="B361" t="s">
        <v>838</v>
      </c>
      <c r="C361">
        <v>2021</v>
      </c>
      <c r="E361" t="s">
        <v>3422</v>
      </c>
      <c r="F361" t="s">
        <v>9532</v>
      </c>
      <c r="G361" t="s">
        <v>187</v>
      </c>
    </row>
    <row r="362" spans="1:7" x14ac:dyDescent="0.25">
      <c r="A362" t="s">
        <v>8379</v>
      </c>
      <c r="B362" t="s">
        <v>8378</v>
      </c>
      <c r="C362">
        <v>2018</v>
      </c>
      <c r="D362" t="s">
        <v>187</v>
      </c>
      <c r="F362" t="s">
        <v>9533</v>
      </c>
      <c r="G362" t="s">
        <v>3990</v>
      </c>
    </row>
    <row r="363" spans="1:7" x14ac:dyDescent="0.25">
      <c r="A363" t="s">
        <v>924</v>
      </c>
      <c r="B363" t="s">
        <v>8378</v>
      </c>
      <c r="C363">
        <v>2019</v>
      </c>
      <c r="E363" s="10" t="s">
        <v>8377</v>
      </c>
      <c r="F363" t="s">
        <v>9534</v>
      </c>
      <c r="G363" t="s">
        <v>187</v>
      </c>
    </row>
    <row r="364" spans="1:7" x14ac:dyDescent="0.25">
      <c r="A364" t="s">
        <v>1272</v>
      </c>
      <c r="B364" t="s">
        <v>9950</v>
      </c>
      <c r="C364">
        <v>2020</v>
      </c>
      <c r="E364" s="10" t="s">
        <v>9952</v>
      </c>
      <c r="F364" t="s">
        <v>9953</v>
      </c>
      <c r="G364" t="s">
        <v>3990</v>
      </c>
    </row>
    <row r="365" spans="1:7" x14ac:dyDescent="0.25">
      <c r="A365" t="s">
        <v>759</v>
      </c>
      <c r="B365" t="s">
        <v>845</v>
      </c>
      <c r="C365">
        <v>2018</v>
      </c>
      <c r="E365" t="s">
        <v>3115</v>
      </c>
      <c r="F365" t="s">
        <v>8609</v>
      </c>
      <c r="G365" t="s">
        <v>3990</v>
      </c>
    </row>
    <row r="366" spans="1:7" x14ac:dyDescent="0.25">
      <c r="A366" t="s">
        <v>160</v>
      </c>
      <c r="B366" t="s">
        <v>845</v>
      </c>
      <c r="C366">
        <v>2011</v>
      </c>
      <c r="E366" t="s">
        <v>3115</v>
      </c>
      <c r="F366" t="s">
        <v>9256</v>
      </c>
      <c r="G366" t="s">
        <v>3990</v>
      </c>
    </row>
    <row r="367" spans="1:7" x14ac:dyDescent="0.25">
      <c r="A367" t="s">
        <v>379</v>
      </c>
      <c r="B367" t="s">
        <v>9873</v>
      </c>
      <c r="C367">
        <v>1998</v>
      </c>
      <c r="E367" s="10" t="s">
        <v>9877</v>
      </c>
      <c r="F367" t="s">
        <v>9878</v>
      </c>
      <c r="G367" t="s">
        <v>3990</v>
      </c>
    </row>
    <row r="368" spans="1:7" x14ac:dyDescent="0.25">
      <c r="A368" t="s">
        <v>260</v>
      </c>
      <c r="B368" t="s">
        <v>847</v>
      </c>
      <c r="C368">
        <v>1990</v>
      </c>
      <c r="E368" t="s">
        <v>3002</v>
      </c>
      <c r="F368" t="s">
        <v>8462</v>
      </c>
      <c r="G368" t="s">
        <v>3990</v>
      </c>
    </row>
    <row r="369" spans="1:7" x14ac:dyDescent="0.25">
      <c r="A369" t="s">
        <v>1725</v>
      </c>
      <c r="B369" t="s">
        <v>847</v>
      </c>
      <c r="C369">
        <v>1983</v>
      </c>
      <c r="E369" t="s">
        <v>3002</v>
      </c>
      <c r="F369" t="s">
        <v>8906</v>
      </c>
      <c r="G369" t="s">
        <v>3990</v>
      </c>
    </row>
    <row r="370" spans="1:7" x14ac:dyDescent="0.25">
      <c r="A370" t="s">
        <v>1795</v>
      </c>
      <c r="B370" t="s">
        <v>847</v>
      </c>
      <c r="C370">
        <v>1987</v>
      </c>
      <c r="E370" t="s">
        <v>3002</v>
      </c>
      <c r="F370" t="s">
        <v>8918</v>
      </c>
      <c r="G370" t="s">
        <v>3990</v>
      </c>
    </row>
    <row r="371" spans="1:7" x14ac:dyDescent="0.25">
      <c r="A371" t="s">
        <v>873</v>
      </c>
      <c r="B371" t="s">
        <v>850</v>
      </c>
      <c r="C371">
        <v>2019</v>
      </c>
      <c r="E371" t="s">
        <v>3139</v>
      </c>
      <c r="F371" t="s">
        <v>8657</v>
      </c>
      <c r="G371" t="s">
        <v>3990</v>
      </c>
    </row>
    <row r="372" spans="1:7" x14ac:dyDescent="0.25">
      <c r="A372" t="s">
        <v>1129</v>
      </c>
      <c r="B372" t="s">
        <v>850</v>
      </c>
      <c r="C372">
        <v>2022</v>
      </c>
      <c r="E372" t="s">
        <v>2982</v>
      </c>
      <c r="F372" t="s">
        <v>8732</v>
      </c>
      <c r="G372" t="s">
        <v>3990</v>
      </c>
    </row>
    <row r="373" spans="1:7" x14ac:dyDescent="0.25">
      <c r="A373" t="s">
        <v>90</v>
      </c>
      <c r="B373" t="s">
        <v>850</v>
      </c>
      <c r="C373">
        <v>2017</v>
      </c>
      <c r="E373" t="s">
        <v>3353</v>
      </c>
      <c r="F373" t="s">
        <v>9092</v>
      </c>
      <c r="G373" t="s">
        <v>3990</v>
      </c>
    </row>
    <row r="374" spans="1:7" x14ac:dyDescent="0.25">
      <c r="A374" t="s">
        <v>353</v>
      </c>
      <c r="B374" t="s">
        <v>854</v>
      </c>
      <c r="C374">
        <v>2023</v>
      </c>
      <c r="E374" t="s">
        <v>3013</v>
      </c>
      <c r="F374" t="s">
        <v>9535</v>
      </c>
      <c r="G374" t="s">
        <v>3990</v>
      </c>
    </row>
    <row r="375" spans="1:7" x14ac:dyDescent="0.25">
      <c r="A375" t="s">
        <v>1435</v>
      </c>
      <c r="B375" t="s">
        <v>9805</v>
      </c>
      <c r="C375">
        <v>2021</v>
      </c>
      <c r="E375" s="10" t="s">
        <v>9804</v>
      </c>
      <c r="F375" t="s">
        <v>9803</v>
      </c>
      <c r="G375" t="s">
        <v>3990</v>
      </c>
    </row>
    <row r="376" spans="1:7" x14ac:dyDescent="0.25">
      <c r="A376" t="s">
        <v>160</v>
      </c>
      <c r="B376" t="s">
        <v>854</v>
      </c>
      <c r="C376">
        <v>2011</v>
      </c>
      <c r="E376" t="s">
        <v>3402</v>
      </c>
      <c r="F376" t="s">
        <v>9257</v>
      </c>
      <c r="G376" t="s">
        <v>3990</v>
      </c>
    </row>
    <row r="377" spans="1:7" x14ac:dyDescent="0.25">
      <c r="A377" t="s">
        <v>90</v>
      </c>
      <c r="B377" t="s">
        <v>856</v>
      </c>
      <c r="C377">
        <v>2017</v>
      </c>
      <c r="E377" t="s">
        <v>3354</v>
      </c>
      <c r="F377" t="s">
        <v>9093</v>
      </c>
      <c r="G377" t="s">
        <v>3990</v>
      </c>
    </row>
    <row r="378" spans="1:7" x14ac:dyDescent="0.25">
      <c r="A378" t="s">
        <v>353</v>
      </c>
      <c r="B378" t="s">
        <v>863</v>
      </c>
      <c r="C378">
        <v>2023</v>
      </c>
      <c r="E378" t="s">
        <v>3027</v>
      </c>
      <c r="F378" t="s">
        <v>8497</v>
      </c>
      <c r="G378" t="s">
        <v>3990</v>
      </c>
    </row>
    <row r="379" spans="1:7" x14ac:dyDescent="0.25">
      <c r="A379" t="s">
        <v>873</v>
      </c>
      <c r="B379" t="s">
        <v>863</v>
      </c>
      <c r="C379">
        <v>2019</v>
      </c>
      <c r="E379" t="s">
        <v>3027</v>
      </c>
      <c r="F379" t="s">
        <v>8658</v>
      </c>
      <c r="G379" t="s">
        <v>3990</v>
      </c>
    </row>
    <row r="380" spans="1:7" x14ac:dyDescent="0.25">
      <c r="A380" t="s">
        <v>1435</v>
      </c>
      <c r="B380" t="s">
        <v>863</v>
      </c>
      <c r="C380">
        <v>2021</v>
      </c>
      <c r="E380" t="s">
        <v>3027</v>
      </c>
      <c r="F380" t="s">
        <v>8828</v>
      </c>
      <c r="G380" t="s">
        <v>3990</v>
      </c>
    </row>
    <row r="381" spans="1:7" x14ac:dyDescent="0.25">
      <c r="A381" t="s">
        <v>1690</v>
      </c>
      <c r="B381" t="s">
        <v>863</v>
      </c>
      <c r="C381">
        <v>2020</v>
      </c>
      <c r="E381" t="s">
        <v>3027</v>
      </c>
      <c r="F381" t="s">
        <v>8895</v>
      </c>
      <c r="G381" t="s">
        <v>3990</v>
      </c>
    </row>
    <row r="382" spans="1:7" x14ac:dyDescent="0.25">
      <c r="A382" t="s">
        <v>90</v>
      </c>
      <c r="B382" t="s">
        <v>863</v>
      </c>
      <c r="C382">
        <v>2017</v>
      </c>
      <c r="E382" t="s">
        <v>3027</v>
      </c>
      <c r="F382" t="s">
        <v>9094</v>
      </c>
      <c r="G382" t="s">
        <v>3990</v>
      </c>
    </row>
    <row r="383" spans="1:7" x14ac:dyDescent="0.25">
      <c r="A383" t="s">
        <v>1144</v>
      </c>
      <c r="B383" t="s">
        <v>865</v>
      </c>
      <c r="C383">
        <v>2012</v>
      </c>
      <c r="E383" t="s">
        <v>3200</v>
      </c>
      <c r="F383" t="s">
        <v>8741</v>
      </c>
      <c r="G383" t="s">
        <v>3990</v>
      </c>
    </row>
    <row r="384" spans="1:7" x14ac:dyDescent="0.25">
      <c r="A384" t="s">
        <v>1443</v>
      </c>
      <c r="B384" t="s">
        <v>865</v>
      </c>
      <c r="C384">
        <v>2018</v>
      </c>
      <c r="E384" t="s">
        <v>3200</v>
      </c>
      <c r="F384" t="s">
        <v>8844</v>
      </c>
      <c r="G384" t="s">
        <v>3990</v>
      </c>
    </row>
    <row r="385" spans="1:7" x14ac:dyDescent="0.25">
      <c r="A385" t="s">
        <v>1690</v>
      </c>
      <c r="B385" t="s">
        <v>865</v>
      </c>
      <c r="C385">
        <v>2020</v>
      </c>
      <c r="E385" t="s">
        <v>3200</v>
      </c>
      <c r="F385" t="s">
        <v>8896</v>
      </c>
      <c r="G385" t="s">
        <v>3990</v>
      </c>
    </row>
    <row r="386" spans="1:7" x14ac:dyDescent="0.25">
      <c r="A386" t="s">
        <v>2196</v>
      </c>
      <c r="B386" t="s">
        <v>865</v>
      </c>
      <c r="C386">
        <v>2021</v>
      </c>
      <c r="E386" t="s">
        <v>3200</v>
      </c>
      <c r="F386" t="s">
        <v>9052</v>
      </c>
      <c r="G386" t="s">
        <v>3990</v>
      </c>
    </row>
    <row r="387" spans="1:7" x14ac:dyDescent="0.25">
      <c r="A387" t="s">
        <v>90</v>
      </c>
      <c r="B387" t="s">
        <v>865</v>
      </c>
      <c r="C387">
        <v>2017</v>
      </c>
      <c r="E387" t="s">
        <v>3200</v>
      </c>
      <c r="F387" t="s">
        <v>9095</v>
      </c>
      <c r="G387" t="s">
        <v>3990</v>
      </c>
    </row>
    <row r="388" spans="1:7" x14ac:dyDescent="0.25">
      <c r="A388" t="s">
        <v>2428</v>
      </c>
      <c r="B388" t="s">
        <v>865</v>
      </c>
      <c r="C388">
        <v>2008</v>
      </c>
      <c r="E388" t="s">
        <v>3200</v>
      </c>
      <c r="F388" t="s">
        <v>9191</v>
      </c>
      <c r="G388" t="s">
        <v>3990</v>
      </c>
    </row>
    <row r="389" spans="1:7" x14ac:dyDescent="0.25">
      <c r="A389" t="s">
        <v>90</v>
      </c>
      <c r="B389" t="s">
        <v>869</v>
      </c>
      <c r="C389">
        <v>2017</v>
      </c>
      <c r="E389" t="s">
        <v>2982</v>
      </c>
      <c r="F389" t="s">
        <v>9096</v>
      </c>
      <c r="G389" t="s">
        <v>3990</v>
      </c>
    </row>
    <row r="390" spans="1:7" x14ac:dyDescent="0.25">
      <c r="A390" t="s">
        <v>364</v>
      </c>
      <c r="B390" t="s">
        <v>8297</v>
      </c>
      <c r="C390">
        <v>2024</v>
      </c>
      <c r="E390" t="s">
        <v>2982</v>
      </c>
      <c r="F390" t="s">
        <v>8527</v>
      </c>
      <c r="G390" t="s">
        <v>3990</v>
      </c>
    </row>
    <row r="391" spans="1:7" x14ac:dyDescent="0.25">
      <c r="A391" t="s">
        <v>1576</v>
      </c>
      <c r="B391" t="s">
        <v>8297</v>
      </c>
      <c r="C391">
        <v>2021</v>
      </c>
      <c r="E391" t="s">
        <v>2982</v>
      </c>
      <c r="F391" t="s">
        <v>8876</v>
      </c>
      <c r="G391" t="s">
        <v>3990</v>
      </c>
    </row>
    <row r="392" spans="1:7" x14ac:dyDescent="0.25">
      <c r="A392" t="s">
        <v>1851</v>
      </c>
      <c r="B392" t="s">
        <v>8297</v>
      </c>
      <c r="C392">
        <v>2024</v>
      </c>
      <c r="E392" t="s">
        <v>2982</v>
      </c>
      <c r="F392" t="s">
        <v>8947</v>
      </c>
      <c r="G392" t="s">
        <v>3990</v>
      </c>
    </row>
    <row r="393" spans="1:7" x14ac:dyDescent="0.25">
      <c r="A393" t="s">
        <v>2471</v>
      </c>
      <c r="B393" t="s">
        <v>8297</v>
      </c>
      <c r="C393">
        <v>2025</v>
      </c>
      <c r="D393" t="s">
        <v>187</v>
      </c>
      <c r="F393" t="s">
        <v>9536</v>
      </c>
      <c r="G393" t="s">
        <v>3990</v>
      </c>
    </row>
    <row r="394" spans="1:7" x14ac:dyDescent="0.25">
      <c r="A394" t="s">
        <v>946</v>
      </c>
      <c r="B394" t="s">
        <v>873</v>
      </c>
      <c r="C394">
        <v>2014</v>
      </c>
      <c r="E394" t="s">
        <v>3161</v>
      </c>
      <c r="F394" t="s">
        <v>8685</v>
      </c>
      <c r="G394" t="s">
        <v>3990</v>
      </c>
    </row>
    <row r="395" spans="1:7" x14ac:dyDescent="0.25">
      <c r="A395" t="s">
        <v>746</v>
      </c>
      <c r="B395" t="s">
        <v>877</v>
      </c>
      <c r="C395">
        <v>2015</v>
      </c>
      <c r="E395" t="s">
        <v>3100</v>
      </c>
      <c r="F395" t="s">
        <v>8588</v>
      </c>
      <c r="G395" t="s">
        <v>3990</v>
      </c>
    </row>
    <row r="396" spans="1:7" x14ac:dyDescent="0.25">
      <c r="A396" t="s">
        <v>873</v>
      </c>
      <c r="B396" t="s">
        <v>877</v>
      </c>
      <c r="C396">
        <v>2019</v>
      </c>
      <c r="E396" t="s">
        <v>3100</v>
      </c>
      <c r="F396" t="s">
        <v>8659</v>
      </c>
      <c r="G396" t="s">
        <v>3990</v>
      </c>
    </row>
    <row r="397" spans="1:7" x14ac:dyDescent="0.25">
      <c r="A397" t="s">
        <v>90</v>
      </c>
      <c r="B397" t="s">
        <v>877</v>
      </c>
      <c r="C397">
        <v>2017</v>
      </c>
      <c r="E397" t="s">
        <v>3100</v>
      </c>
      <c r="F397" t="s">
        <v>9097</v>
      </c>
      <c r="G397" t="s">
        <v>3990</v>
      </c>
    </row>
    <row r="398" spans="1:7" x14ac:dyDescent="0.25">
      <c r="A398" t="s">
        <v>90</v>
      </c>
      <c r="B398" t="s">
        <v>879</v>
      </c>
      <c r="C398">
        <v>2017</v>
      </c>
      <c r="E398" t="s">
        <v>3355</v>
      </c>
      <c r="F398" t="s">
        <v>9098</v>
      </c>
      <c r="G398" t="s">
        <v>3990</v>
      </c>
    </row>
    <row r="399" spans="1:7" x14ac:dyDescent="0.25">
      <c r="A399" t="s">
        <v>90</v>
      </c>
      <c r="B399" t="s">
        <v>887</v>
      </c>
      <c r="C399">
        <v>2017</v>
      </c>
      <c r="E399" t="s">
        <v>2982</v>
      </c>
      <c r="F399" t="s">
        <v>9099</v>
      </c>
      <c r="G399" t="s">
        <v>3990</v>
      </c>
    </row>
    <row r="400" spans="1:7" x14ac:dyDescent="0.25">
      <c r="A400" t="s">
        <v>185</v>
      </c>
      <c r="B400" t="s">
        <v>889</v>
      </c>
      <c r="C400">
        <v>2022</v>
      </c>
      <c r="E400" t="s">
        <v>2982</v>
      </c>
      <c r="F400" t="s">
        <v>8443</v>
      </c>
      <c r="G400" t="s">
        <v>3990</v>
      </c>
    </row>
    <row r="401" spans="1:7" x14ac:dyDescent="0.25">
      <c r="A401" t="s">
        <v>2804</v>
      </c>
      <c r="B401" t="s">
        <v>889</v>
      </c>
      <c r="C401">
        <v>2021</v>
      </c>
      <c r="E401" t="s">
        <v>2982</v>
      </c>
      <c r="F401" t="s">
        <v>9319</v>
      </c>
      <c r="G401" t="s">
        <v>3990</v>
      </c>
    </row>
    <row r="402" spans="1:7" x14ac:dyDescent="0.25">
      <c r="A402" t="s">
        <v>709</v>
      </c>
      <c r="B402" t="s">
        <v>893</v>
      </c>
      <c r="C402">
        <v>2022</v>
      </c>
      <c r="E402" s="10" t="s">
        <v>14035</v>
      </c>
      <c r="F402" t="s">
        <v>14036</v>
      </c>
      <c r="G402" t="s">
        <v>3990</v>
      </c>
    </row>
    <row r="403" spans="1:7" x14ac:dyDescent="0.25">
      <c r="A403" t="s">
        <v>746</v>
      </c>
      <c r="B403" t="s">
        <v>893</v>
      </c>
      <c r="C403">
        <v>2015</v>
      </c>
      <c r="E403" s="10" t="s">
        <v>14035</v>
      </c>
      <c r="F403" t="s">
        <v>14037</v>
      </c>
      <c r="G403" t="s">
        <v>3990</v>
      </c>
    </row>
    <row r="404" spans="1:7" x14ac:dyDescent="0.25">
      <c r="A404" t="s">
        <v>754</v>
      </c>
      <c r="B404" t="s">
        <v>893</v>
      </c>
      <c r="C404">
        <v>2022</v>
      </c>
      <c r="E404" t="s">
        <v>3109</v>
      </c>
      <c r="F404" t="s">
        <v>8602</v>
      </c>
      <c r="G404" t="s">
        <v>3990</v>
      </c>
    </row>
    <row r="405" spans="1:7" x14ac:dyDescent="0.25">
      <c r="A405" t="s">
        <v>1576</v>
      </c>
      <c r="B405" t="s">
        <v>896</v>
      </c>
      <c r="C405">
        <v>2021</v>
      </c>
      <c r="E405" t="s">
        <v>3261</v>
      </c>
      <c r="F405" t="s">
        <v>8877</v>
      </c>
      <c r="G405" t="s">
        <v>3990</v>
      </c>
    </row>
    <row r="406" spans="1:7" x14ac:dyDescent="0.25">
      <c r="A406" t="s">
        <v>873</v>
      </c>
      <c r="B406" t="s">
        <v>898</v>
      </c>
      <c r="C406">
        <v>2019</v>
      </c>
      <c r="E406" t="s">
        <v>3140</v>
      </c>
      <c r="F406" t="s">
        <v>8660</v>
      </c>
      <c r="G406" t="s">
        <v>3990</v>
      </c>
    </row>
    <row r="407" spans="1:7" x14ac:dyDescent="0.25">
      <c r="A407" t="s">
        <v>90</v>
      </c>
      <c r="B407" t="s">
        <v>898</v>
      </c>
      <c r="C407">
        <v>2017</v>
      </c>
      <c r="E407" t="s">
        <v>3140</v>
      </c>
      <c r="F407" t="s">
        <v>9100</v>
      </c>
      <c r="G407" t="s">
        <v>3990</v>
      </c>
    </row>
    <row r="408" spans="1:7" x14ac:dyDescent="0.25">
      <c r="A408" t="s">
        <v>353</v>
      </c>
      <c r="B408" t="s">
        <v>900</v>
      </c>
      <c r="C408">
        <v>2023</v>
      </c>
      <c r="E408" t="s">
        <v>3028</v>
      </c>
      <c r="F408" t="s">
        <v>9411</v>
      </c>
      <c r="G408" t="s">
        <v>3990</v>
      </c>
    </row>
    <row r="409" spans="1:7" x14ac:dyDescent="0.25">
      <c r="A409" t="s">
        <v>1443</v>
      </c>
      <c r="B409" t="s">
        <v>904</v>
      </c>
      <c r="C409">
        <v>2018</v>
      </c>
      <c r="E409" s="10" t="s">
        <v>8349</v>
      </c>
      <c r="F409" t="s">
        <v>8845</v>
      </c>
      <c r="G409" t="s">
        <v>3990</v>
      </c>
    </row>
    <row r="410" spans="1:7" x14ac:dyDescent="0.25">
      <c r="A410" t="s">
        <v>1496</v>
      </c>
      <c r="B410" t="s">
        <v>904</v>
      </c>
      <c r="C410">
        <v>2016</v>
      </c>
      <c r="E410" t="s">
        <v>2982</v>
      </c>
      <c r="F410" t="s">
        <v>8857</v>
      </c>
      <c r="G410" t="s">
        <v>3990</v>
      </c>
    </row>
    <row r="411" spans="1:7" x14ac:dyDescent="0.25">
      <c r="A411" t="s">
        <v>606</v>
      </c>
      <c r="B411" t="s">
        <v>909</v>
      </c>
      <c r="C411">
        <v>2025</v>
      </c>
      <c r="E411" t="s">
        <v>2982</v>
      </c>
      <c r="F411" t="s">
        <v>8563</v>
      </c>
      <c r="G411" t="s">
        <v>3990</v>
      </c>
    </row>
    <row r="412" spans="1:7" x14ac:dyDescent="0.25">
      <c r="A412" t="s">
        <v>914</v>
      </c>
      <c r="B412" t="s">
        <v>918</v>
      </c>
      <c r="C412">
        <v>2013</v>
      </c>
      <c r="D412" t="s">
        <v>187</v>
      </c>
      <c r="F412" t="s">
        <v>9537</v>
      </c>
      <c r="G412" t="s">
        <v>3990</v>
      </c>
    </row>
    <row r="413" spans="1:7" x14ac:dyDescent="0.25">
      <c r="A413" t="s">
        <v>2428</v>
      </c>
      <c r="B413" t="s">
        <v>930</v>
      </c>
      <c r="C413">
        <v>2008</v>
      </c>
      <c r="E413" t="s">
        <v>3389</v>
      </c>
      <c r="F413" t="s">
        <v>9192</v>
      </c>
      <c r="G413" t="s">
        <v>3990</v>
      </c>
    </row>
    <row r="414" spans="1:7" x14ac:dyDescent="0.25">
      <c r="A414" t="s">
        <v>1080</v>
      </c>
      <c r="B414" t="s">
        <v>934</v>
      </c>
      <c r="C414">
        <v>1990</v>
      </c>
      <c r="D414" t="s">
        <v>187</v>
      </c>
      <c r="E414" t="s">
        <v>3193</v>
      </c>
      <c r="F414" t="s">
        <v>8728</v>
      </c>
      <c r="G414" t="s">
        <v>3990</v>
      </c>
    </row>
    <row r="415" spans="1:7" x14ac:dyDescent="0.25">
      <c r="A415" t="s">
        <v>2721</v>
      </c>
      <c r="B415" t="s">
        <v>7831</v>
      </c>
      <c r="C415">
        <v>1993</v>
      </c>
      <c r="D415" t="s">
        <v>187</v>
      </c>
      <c r="F415" t="s">
        <v>9538</v>
      </c>
      <c r="G415" t="s">
        <v>3990</v>
      </c>
    </row>
    <row r="416" spans="1:7" x14ac:dyDescent="0.25">
      <c r="A416" t="s">
        <v>2721</v>
      </c>
      <c r="B416" t="s">
        <v>937</v>
      </c>
      <c r="C416">
        <v>1993</v>
      </c>
      <c r="D416" t="s">
        <v>187</v>
      </c>
      <c r="F416" t="s">
        <v>9539</v>
      </c>
      <c r="G416" t="s">
        <v>3990</v>
      </c>
    </row>
    <row r="417" spans="1:7" x14ac:dyDescent="0.25">
      <c r="A417" t="s">
        <v>1795</v>
      </c>
      <c r="B417" t="s">
        <v>940</v>
      </c>
      <c r="C417">
        <v>1987</v>
      </c>
      <c r="E417" t="s">
        <v>3275</v>
      </c>
      <c r="F417" t="s">
        <v>8919</v>
      </c>
      <c r="G417" t="s">
        <v>3990</v>
      </c>
    </row>
    <row r="418" spans="1:7" x14ac:dyDescent="0.25">
      <c r="A418" t="s">
        <v>2775</v>
      </c>
      <c r="B418" t="s">
        <v>942</v>
      </c>
      <c r="C418">
        <v>2021</v>
      </c>
      <c r="E418" s="10" t="s">
        <v>8372</v>
      </c>
      <c r="F418" t="s">
        <v>9412</v>
      </c>
      <c r="G418" t="s">
        <v>3990</v>
      </c>
    </row>
    <row r="419" spans="1:7" x14ac:dyDescent="0.25">
      <c r="A419" t="s">
        <v>759</v>
      </c>
      <c r="B419" t="s">
        <v>948</v>
      </c>
      <c r="C419">
        <v>2018</v>
      </c>
      <c r="E419" t="s">
        <v>3116</v>
      </c>
      <c r="F419" t="s">
        <v>8610</v>
      </c>
      <c r="G419" t="s">
        <v>3990</v>
      </c>
    </row>
    <row r="420" spans="1:7" x14ac:dyDescent="0.25">
      <c r="A420" t="s">
        <v>1294</v>
      </c>
      <c r="B420" t="s">
        <v>948</v>
      </c>
      <c r="C420">
        <v>2019</v>
      </c>
      <c r="E420" t="s">
        <v>3116</v>
      </c>
      <c r="F420" t="s">
        <v>8788</v>
      </c>
      <c r="G420" t="s">
        <v>3990</v>
      </c>
    </row>
    <row r="421" spans="1:7" x14ac:dyDescent="0.25">
      <c r="A421" t="s">
        <v>160</v>
      </c>
      <c r="B421" t="s">
        <v>948</v>
      </c>
      <c r="C421">
        <v>2011</v>
      </c>
      <c r="E421" t="s">
        <v>3116</v>
      </c>
      <c r="F421" t="s">
        <v>9258</v>
      </c>
      <c r="G421" t="s">
        <v>3990</v>
      </c>
    </row>
    <row r="422" spans="1:7" x14ac:dyDescent="0.25">
      <c r="A422" t="s">
        <v>1496</v>
      </c>
      <c r="B422" t="s">
        <v>952</v>
      </c>
      <c r="C422">
        <v>2016</v>
      </c>
      <c r="E422" t="s">
        <v>3253</v>
      </c>
      <c r="F422" t="s">
        <v>8858</v>
      </c>
      <c r="G422" t="s">
        <v>3990</v>
      </c>
    </row>
    <row r="423" spans="1:7" x14ac:dyDescent="0.25">
      <c r="A423" t="s">
        <v>353</v>
      </c>
      <c r="B423" t="s">
        <v>7973</v>
      </c>
      <c r="C423">
        <v>2023</v>
      </c>
      <c r="E423" s="10" t="s">
        <v>7972</v>
      </c>
      <c r="F423" t="s">
        <v>8498</v>
      </c>
      <c r="G423" t="s">
        <v>3990</v>
      </c>
    </row>
    <row r="424" spans="1:7" x14ac:dyDescent="0.25">
      <c r="A424" t="s">
        <v>353</v>
      </c>
      <c r="B424" t="s">
        <v>7973</v>
      </c>
      <c r="C424">
        <v>2023</v>
      </c>
      <c r="E424" s="10" t="s">
        <v>7972</v>
      </c>
      <c r="F424" t="s">
        <v>8498</v>
      </c>
      <c r="G424" t="s">
        <v>3990</v>
      </c>
    </row>
    <row r="425" spans="1:7" x14ac:dyDescent="0.25">
      <c r="A425" t="s">
        <v>353</v>
      </c>
      <c r="B425" t="s">
        <v>954</v>
      </c>
      <c r="C425">
        <v>2023</v>
      </c>
      <c r="E425" t="s">
        <v>2982</v>
      </c>
      <c r="F425" t="s">
        <v>8499</v>
      </c>
      <c r="G425" t="s">
        <v>3990</v>
      </c>
    </row>
    <row r="426" spans="1:7" x14ac:dyDescent="0.25">
      <c r="A426" t="s">
        <v>353</v>
      </c>
      <c r="B426" t="s">
        <v>958</v>
      </c>
      <c r="C426">
        <v>2023</v>
      </c>
      <c r="E426" t="s">
        <v>3029</v>
      </c>
      <c r="F426" t="s">
        <v>8500</v>
      </c>
      <c r="G426" t="s">
        <v>3990</v>
      </c>
    </row>
    <row r="427" spans="1:7" x14ac:dyDescent="0.25">
      <c r="A427" t="s">
        <v>873</v>
      </c>
      <c r="B427" t="s">
        <v>960</v>
      </c>
      <c r="C427">
        <v>2019</v>
      </c>
      <c r="E427" t="s">
        <v>3141</v>
      </c>
      <c r="F427" t="s">
        <v>8661</v>
      </c>
      <c r="G427" t="s">
        <v>3990</v>
      </c>
    </row>
    <row r="428" spans="1:7" x14ac:dyDescent="0.25">
      <c r="A428" t="s">
        <v>1951</v>
      </c>
      <c r="B428" t="s">
        <v>960</v>
      </c>
      <c r="C428">
        <v>2022</v>
      </c>
      <c r="E428" t="s">
        <v>3141</v>
      </c>
      <c r="F428" t="s">
        <v>8975</v>
      </c>
      <c r="G428" t="s">
        <v>3990</v>
      </c>
    </row>
    <row r="429" spans="1:7" x14ac:dyDescent="0.25">
      <c r="A429" t="s">
        <v>90</v>
      </c>
      <c r="B429" t="s">
        <v>960</v>
      </c>
      <c r="C429">
        <v>2017</v>
      </c>
      <c r="E429" t="s">
        <v>3141</v>
      </c>
      <c r="F429" t="s">
        <v>9101</v>
      </c>
      <c r="G429" t="s">
        <v>3990</v>
      </c>
    </row>
    <row r="430" spans="1:7" x14ac:dyDescent="0.25">
      <c r="A430" t="s">
        <v>1538</v>
      </c>
      <c r="B430" t="s">
        <v>964</v>
      </c>
      <c r="C430">
        <v>1995</v>
      </c>
      <c r="E430" t="s">
        <v>3254</v>
      </c>
      <c r="F430" t="s">
        <v>8860</v>
      </c>
      <c r="G430" t="s">
        <v>3990</v>
      </c>
    </row>
    <row r="431" spans="1:7" x14ac:dyDescent="0.25">
      <c r="A431" t="s">
        <v>1443</v>
      </c>
      <c r="B431" t="s">
        <v>967</v>
      </c>
      <c r="C431">
        <v>2018</v>
      </c>
      <c r="E431" s="10" t="s">
        <v>9832</v>
      </c>
      <c r="F431" t="s">
        <v>9831</v>
      </c>
      <c r="G431" t="s">
        <v>3990</v>
      </c>
    </row>
    <row r="432" spans="1:7" x14ac:dyDescent="0.25">
      <c r="A432" t="s">
        <v>1443</v>
      </c>
      <c r="B432" t="s">
        <v>971</v>
      </c>
      <c r="C432">
        <v>2018</v>
      </c>
      <c r="E432" t="s">
        <v>2982</v>
      </c>
      <c r="F432" t="s">
        <v>8846</v>
      </c>
      <c r="G432" t="s">
        <v>3990</v>
      </c>
    </row>
    <row r="433" spans="1:7" x14ac:dyDescent="0.25">
      <c r="A433" t="s">
        <v>1676</v>
      </c>
      <c r="B433" t="s">
        <v>971</v>
      </c>
      <c r="C433">
        <v>2002</v>
      </c>
      <c r="E433" t="s">
        <v>2982</v>
      </c>
      <c r="F433" t="s">
        <v>8891</v>
      </c>
      <c r="G433" t="s">
        <v>3990</v>
      </c>
    </row>
    <row r="434" spans="1:7" x14ac:dyDescent="0.25">
      <c r="A434" t="s">
        <v>1761</v>
      </c>
      <c r="B434" t="s">
        <v>971</v>
      </c>
      <c r="C434">
        <v>1995</v>
      </c>
      <c r="E434" t="s">
        <v>2982</v>
      </c>
      <c r="F434" t="s">
        <v>8911</v>
      </c>
      <c r="G434" t="s">
        <v>3990</v>
      </c>
    </row>
    <row r="435" spans="1:7" x14ac:dyDescent="0.25">
      <c r="A435" t="s">
        <v>2721</v>
      </c>
      <c r="B435" t="s">
        <v>971</v>
      </c>
      <c r="C435">
        <v>1993</v>
      </c>
      <c r="E435" t="s">
        <v>2982</v>
      </c>
      <c r="F435" t="s">
        <v>9540</v>
      </c>
      <c r="G435" t="s">
        <v>3990</v>
      </c>
    </row>
    <row r="436" spans="1:7" x14ac:dyDescent="0.25">
      <c r="A436" t="s">
        <v>2721</v>
      </c>
      <c r="B436" t="s">
        <v>977</v>
      </c>
      <c r="C436">
        <v>1993</v>
      </c>
      <c r="E436" t="s">
        <v>3013</v>
      </c>
      <c r="F436" t="s">
        <v>9541</v>
      </c>
      <c r="G436" t="s">
        <v>187</v>
      </c>
    </row>
    <row r="437" spans="1:7" x14ac:dyDescent="0.25">
      <c r="A437" t="s">
        <v>746</v>
      </c>
      <c r="B437" t="s">
        <v>980</v>
      </c>
      <c r="C437">
        <v>2015</v>
      </c>
      <c r="E437" t="s">
        <v>3101</v>
      </c>
      <c r="F437" t="s">
        <v>8589</v>
      </c>
      <c r="G437" t="s">
        <v>3990</v>
      </c>
    </row>
    <row r="438" spans="1:7" x14ac:dyDescent="0.25">
      <c r="A438" t="s">
        <v>256</v>
      </c>
      <c r="B438" t="s">
        <v>984</v>
      </c>
      <c r="C438">
        <v>1994</v>
      </c>
      <c r="E438" t="s">
        <v>2988</v>
      </c>
      <c r="F438" t="s">
        <v>10013</v>
      </c>
      <c r="G438" t="s">
        <v>187</v>
      </c>
    </row>
    <row r="439" spans="1:7" x14ac:dyDescent="0.25">
      <c r="A439" t="s">
        <v>260</v>
      </c>
      <c r="B439" t="s">
        <v>984</v>
      </c>
      <c r="C439">
        <v>1990</v>
      </c>
      <c r="E439" t="s">
        <v>2988</v>
      </c>
      <c r="F439" t="s">
        <v>10013</v>
      </c>
      <c r="G439" t="s">
        <v>187</v>
      </c>
    </row>
    <row r="440" spans="1:7" x14ac:dyDescent="0.25">
      <c r="A440" t="s">
        <v>522</v>
      </c>
      <c r="B440" t="s">
        <v>984</v>
      </c>
      <c r="C440">
        <v>1989</v>
      </c>
      <c r="E440" t="s">
        <v>3072</v>
      </c>
      <c r="F440" t="s">
        <v>8555</v>
      </c>
      <c r="G440" t="s">
        <v>3990</v>
      </c>
    </row>
    <row r="441" spans="1:7" x14ac:dyDescent="0.25">
      <c r="A441" t="s">
        <v>847</v>
      </c>
      <c r="B441" t="s">
        <v>984</v>
      </c>
      <c r="C441">
        <v>1996</v>
      </c>
      <c r="E441" t="s">
        <v>3072</v>
      </c>
      <c r="F441" t="s">
        <v>8643</v>
      </c>
      <c r="G441" t="s">
        <v>3990</v>
      </c>
    </row>
    <row r="442" spans="1:7" x14ac:dyDescent="0.25">
      <c r="A442" t="s">
        <v>922</v>
      </c>
      <c r="B442" t="s">
        <v>984</v>
      </c>
      <c r="C442">
        <v>2002</v>
      </c>
      <c r="E442" t="s">
        <v>2988</v>
      </c>
      <c r="F442" t="s">
        <v>10013</v>
      </c>
      <c r="G442" t="s">
        <v>187</v>
      </c>
    </row>
    <row r="443" spans="1:7" x14ac:dyDescent="0.25">
      <c r="A443" t="s">
        <v>964</v>
      </c>
      <c r="B443" t="s">
        <v>984</v>
      </c>
      <c r="C443">
        <v>2006</v>
      </c>
      <c r="E443" t="s">
        <v>3072</v>
      </c>
      <c r="F443" t="s">
        <v>8689</v>
      </c>
      <c r="G443" t="s">
        <v>3990</v>
      </c>
    </row>
    <row r="444" spans="1:7" x14ac:dyDescent="0.25">
      <c r="A444" t="s">
        <v>1004</v>
      </c>
      <c r="B444" t="s">
        <v>984</v>
      </c>
      <c r="C444">
        <v>2006</v>
      </c>
      <c r="E444" t="s">
        <v>2988</v>
      </c>
      <c r="F444" t="s">
        <v>10013</v>
      </c>
      <c r="G444" t="s">
        <v>187</v>
      </c>
    </row>
    <row r="445" spans="1:7" x14ac:dyDescent="0.25">
      <c r="A445" t="s">
        <v>1027</v>
      </c>
      <c r="B445" t="s">
        <v>984</v>
      </c>
      <c r="C445">
        <v>2008</v>
      </c>
      <c r="E445" t="s">
        <v>2988</v>
      </c>
      <c r="F445" t="s">
        <v>10013</v>
      </c>
      <c r="G445" t="s">
        <v>187</v>
      </c>
    </row>
    <row r="446" spans="1:7" x14ac:dyDescent="0.25">
      <c r="A446" t="s">
        <v>2571</v>
      </c>
      <c r="B446" t="s">
        <v>984</v>
      </c>
      <c r="C446">
        <v>1998</v>
      </c>
      <c r="E446" t="s">
        <v>2988</v>
      </c>
      <c r="F446" t="s">
        <v>10013</v>
      </c>
      <c r="G446" t="s">
        <v>187</v>
      </c>
    </row>
    <row r="447" spans="1:7" x14ac:dyDescent="0.25">
      <c r="A447" t="s">
        <v>1576</v>
      </c>
      <c r="B447" t="s">
        <v>988</v>
      </c>
      <c r="C447">
        <v>2021</v>
      </c>
      <c r="E447" t="s">
        <v>2982</v>
      </c>
      <c r="F447" t="s">
        <v>8878</v>
      </c>
      <c r="G447" t="s">
        <v>3990</v>
      </c>
    </row>
    <row r="448" spans="1:7" x14ac:dyDescent="0.25">
      <c r="A448" t="s">
        <v>160</v>
      </c>
      <c r="B448" t="s">
        <v>992</v>
      </c>
      <c r="C448">
        <v>2011</v>
      </c>
      <c r="E448" t="s">
        <v>2982</v>
      </c>
      <c r="F448" t="s">
        <v>9259</v>
      </c>
      <c r="G448" t="s">
        <v>3990</v>
      </c>
    </row>
    <row r="449" spans="1:7" x14ac:dyDescent="0.25">
      <c r="A449" t="s">
        <v>1004</v>
      </c>
      <c r="B449" t="s">
        <v>994</v>
      </c>
      <c r="C449">
        <v>2006</v>
      </c>
      <c r="E449" s="10" t="s">
        <v>9833</v>
      </c>
      <c r="F449" t="s">
        <v>9834</v>
      </c>
      <c r="G449" t="s">
        <v>3990</v>
      </c>
    </row>
    <row r="450" spans="1:7" x14ac:dyDescent="0.25">
      <c r="A450" t="s">
        <v>1538</v>
      </c>
      <c r="B450" t="s">
        <v>994</v>
      </c>
      <c r="C450">
        <v>1995</v>
      </c>
      <c r="E450" s="10" t="s">
        <v>9833</v>
      </c>
      <c r="F450" t="s">
        <v>9858</v>
      </c>
      <c r="G450" t="s">
        <v>3990</v>
      </c>
    </row>
    <row r="451" spans="1:7" x14ac:dyDescent="0.25">
      <c r="A451" t="s">
        <v>1572</v>
      </c>
      <c r="B451" t="s">
        <v>994</v>
      </c>
      <c r="C451">
        <v>2001</v>
      </c>
      <c r="E451" s="10" t="s">
        <v>9833</v>
      </c>
      <c r="F451" t="s">
        <v>9835</v>
      </c>
      <c r="G451" t="s">
        <v>3990</v>
      </c>
    </row>
    <row r="452" spans="1:7" x14ac:dyDescent="0.25">
      <c r="A452" t="s">
        <v>2721</v>
      </c>
      <c r="B452" t="s">
        <v>994</v>
      </c>
      <c r="C452">
        <v>1993</v>
      </c>
      <c r="E452" s="10" t="s">
        <v>9833</v>
      </c>
      <c r="F452" t="s">
        <v>9836</v>
      </c>
      <c r="G452" t="s">
        <v>3990</v>
      </c>
    </row>
    <row r="453" spans="1:7" x14ac:dyDescent="0.25">
      <c r="A453" t="s">
        <v>2173</v>
      </c>
      <c r="B453" t="s">
        <v>998</v>
      </c>
      <c r="C453">
        <v>2013</v>
      </c>
      <c r="E453" s="10" t="s">
        <v>8334</v>
      </c>
      <c r="F453" t="s">
        <v>9542</v>
      </c>
      <c r="G453" t="s">
        <v>187</v>
      </c>
    </row>
    <row r="454" spans="1:7" x14ac:dyDescent="0.25">
      <c r="A454" t="s">
        <v>759</v>
      </c>
      <c r="B454" t="s">
        <v>1002</v>
      </c>
      <c r="C454">
        <v>2018</v>
      </c>
      <c r="E454" t="s">
        <v>3117</v>
      </c>
      <c r="F454" t="s">
        <v>8611</v>
      </c>
      <c r="G454" t="s">
        <v>3990</v>
      </c>
    </row>
    <row r="455" spans="1:7" x14ac:dyDescent="0.25">
      <c r="A455" t="s">
        <v>1294</v>
      </c>
      <c r="B455" t="s">
        <v>1002</v>
      </c>
      <c r="C455">
        <v>2019</v>
      </c>
      <c r="E455" t="s">
        <v>3117</v>
      </c>
      <c r="F455" t="s">
        <v>8789</v>
      </c>
      <c r="G455" t="s">
        <v>3990</v>
      </c>
    </row>
    <row r="456" spans="1:7" x14ac:dyDescent="0.25">
      <c r="A456" t="s">
        <v>2173</v>
      </c>
      <c r="B456" t="s">
        <v>1002</v>
      </c>
      <c r="C456">
        <v>2013</v>
      </c>
      <c r="E456" t="s">
        <v>3117</v>
      </c>
      <c r="F456" t="s">
        <v>9038</v>
      </c>
      <c r="G456" t="s">
        <v>3990</v>
      </c>
    </row>
    <row r="457" spans="1:7" x14ac:dyDescent="0.25">
      <c r="A457" t="s">
        <v>2335</v>
      </c>
      <c r="B457" t="s">
        <v>1002</v>
      </c>
      <c r="C457">
        <v>2020</v>
      </c>
      <c r="E457" s="10" t="s">
        <v>9809</v>
      </c>
      <c r="F457" t="s">
        <v>9810</v>
      </c>
      <c r="G457" t="s">
        <v>3990</v>
      </c>
    </row>
    <row r="458" spans="1:7" x14ac:dyDescent="0.25">
      <c r="A458" t="s">
        <v>2428</v>
      </c>
      <c r="B458" t="s">
        <v>1002</v>
      </c>
      <c r="C458">
        <v>2008</v>
      </c>
      <c r="E458" t="s">
        <v>3117</v>
      </c>
      <c r="F458" t="s">
        <v>9193</v>
      </c>
      <c r="G458" t="s">
        <v>3990</v>
      </c>
    </row>
    <row r="459" spans="1:7" x14ac:dyDescent="0.25">
      <c r="A459" t="s">
        <v>1284</v>
      </c>
      <c r="B459" t="s">
        <v>1004</v>
      </c>
      <c r="C459">
        <v>1984</v>
      </c>
      <c r="E459" t="s">
        <v>3219</v>
      </c>
      <c r="F459" t="s">
        <v>8771</v>
      </c>
      <c r="G459" t="s">
        <v>3990</v>
      </c>
    </row>
    <row r="460" spans="1:7" x14ac:dyDescent="0.25">
      <c r="A460" t="s">
        <v>2594</v>
      </c>
      <c r="B460" t="s">
        <v>1008</v>
      </c>
      <c r="C460">
        <v>2019</v>
      </c>
      <c r="E460" t="s">
        <v>2982</v>
      </c>
      <c r="F460" t="s">
        <v>9238</v>
      </c>
      <c r="G460" t="s">
        <v>3990</v>
      </c>
    </row>
    <row r="461" spans="1:7" x14ac:dyDescent="0.25">
      <c r="A461" t="s">
        <v>2428</v>
      </c>
      <c r="B461" t="s">
        <v>1014</v>
      </c>
      <c r="C461">
        <v>2008</v>
      </c>
      <c r="E461" t="s">
        <v>3390</v>
      </c>
      <c r="F461" t="s">
        <v>9194</v>
      </c>
      <c r="G461" t="s">
        <v>3990</v>
      </c>
    </row>
    <row r="462" spans="1:7" x14ac:dyDescent="0.25">
      <c r="A462" t="s">
        <v>2804</v>
      </c>
      <c r="B462" t="s">
        <v>1017</v>
      </c>
      <c r="C462">
        <v>2021</v>
      </c>
      <c r="E462" t="s">
        <v>3013</v>
      </c>
      <c r="F462" t="s">
        <v>9543</v>
      </c>
      <c r="G462" t="s">
        <v>187</v>
      </c>
    </row>
    <row r="463" spans="1:7" x14ac:dyDescent="0.25">
      <c r="A463" t="s">
        <v>847</v>
      </c>
      <c r="B463" t="s">
        <v>1021</v>
      </c>
      <c r="C463">
        <v>1996</v>
      </c>
      <c r="E463" s="10" t="s">
        <v>9823</v>
      </c>
      <c r="F463" t="s">
        <v>9825</v>
      </c>
      <c r="G463" t="s">
        <v>3990</v>
      </c>
    </row>
    <row r="464" spans="1:7" x14ac:dyDescent="0.25">
      <c r="A464" t="s">
        <v>2335</v>
      </c>
      <c r="B464" t="s">
        <v>1021</v>
      </c>
      <c r="C464">
        <v>2020</v>
      </c>
      <c r="E464" s="10" t="s">
        <v>9823</v>
      </c>
      <c r="F464" t="s">
        <v>9824</v>
      </c>
      <c r="G464" t="s">
        <v>3990</v>
      </c>
    </row>
    <row r="465" spans="1:7" x14ac:dyDescent="0.25">
      <c r="A465" t="s">
        <v>2804</v>
      </c>
      <c r="B465" t="s">
        <v>1021</v>
      </c>
      <c r="C465">
        <v>2021</v>
      </c>
      <c r="E465" s="10" t="s">
        <v>9823</v>
      </c>
      <c r="F465" t="s">
        <v>9544</v>
      </c>
      <c r="G465" t="s">
        <v>3990</v>
      </c>
    </row>
    <row r="466" spans="1:7" x14ac:dyDescent="0.25">
      <c r="A466" t="s">
        <v>1027</v>
      </c>
      <c r="B466" t="s">
        <v>1025</v>
      </c>
      <c r="C466">
        <v>2008</v>
      </c>
      <c r="D466" t="s">
        <v>187</v>
      </c>
      <c r="F466" t="s">
        <v>9545</v>
      </c>
      <c r="G466" t="s">
        <v>3990</v>
      </c>
    </row>
    <row r="467" spans="1:7" x14ac:dyDescent="0.25">
      <c r="A467" t="s">
        <v>256</v>
      </c>
      <c r="B467" t="s">
        <v>1027</v>
      </c>
      <c r="C467">
        <v>1994</v>
      </c>
      <c r="F467" t="s">
        <v>9546</v>
      </c>
      <c r="G467" t="s">
        <v>187</v>
      </c>
    </row>
    <row r="468" spans="1:7" x14ac:dyDescent="0.25">
      <c r="A468" t="s">
        <v>260</v>
      </c>
      <c r="B468" t="s">
        <v>1027</v>
      </c>
      <c r="C468">
        <v>1990</v>
      </c>
      <c r="F468" t="s">
        <v>9547</v>
      </c>
      <c r="G468" t="s">
        <v>187</v>
      </c>
    </row>
    <row r="469" spans="1:7" x14ac:dyDescent="0.25">
      <c r="A469" t="s">
        <v>1795</v>
      </c>
      <c r="B469" t="s">
        <v>1027</v>
      </c>
      <c r="C469">
        <v>1987</v>
      </c>
      <c r="F469" t="s">
        <v>9548</v>
      </c>
      <c r="G469" t="s">
        <v>187</v>
      </c>
    </row>
    <row r="470" spans="1:7" x14ac:dyDescent="0.25">
      <c r="A470" t="s">
        <v>759</v>
      </c>
      <c r="B470" t="s">
        <v>1029</v>
      </c>
      <c r="C470">
        <v>2018</v>
      </c>
      <c r="E470" t="s">
        <v>2982</v>
      </c>
      <c r="F470" t="s">
        <v>9549</v>
      </c>
      <c r="G470" t="s">
        <v>187</v>
      </c>
    </row>
    <row r="471" spans="1:7" x14ac:dyDescent="0.25">
      <c r="A471" t="s">
        <v>1294</v>
      </c>
      <c r="B471" t="s">
        <v>1029</v>
      </c>
      <c r="C471">
        <v>2019</v>
      </c>
      <c r="E471" t="s">
        <v>2982</v>
      </c>
      <c r="F471" t="s">
        <v>9550</v>
      </c>
      <c r="G471" t="s">
        <v>187</v>
      </c>
    </row>
    <row r="472" spans="1:7" x14ac:dyDescent="0.25">
      <c r="A472" t="s">
        <v>90</v>
      </c>
      <c r="B472" t="s">
        <v>1029</v>
      </c>
      <c r="C472">
        <v>2017</v>
      </c>
      <c r="E472" t="s">
        <v>2982</v>
      </c>
      <c r="F472" t="s">
        <v>9551</v>
      </c>
      <c r="G472" t="s">
        <v>187</v>
      </c>
    </row>
    <row r="473" spans="1:7" x14ac:dyDescent="0.25">
      <c r="A473" t="s">
        <v>160</v>
      </c>
      <c r="B473" t="s">
        <v>1029</v>
      </c>
      <c r="C473">
        <v>2011</v>
      </c>
      <c r="E473" t="s">
        <v>2982</v>
      </c>
      <c r="F473" t="s">
        <v>9552</v>
      </c>
      <c r="G473" t="s">
        <v>187</v>
      </c>
    </row>
    <row r="474" spans="1:7" x14ac:dyDescent="0.25">
      <c r="A474" t="s">
        <v>90</v>
      </c>
      <c r="B474" t="s">
        <v>1034</v>
      </c>
      <c r="C474">
        <v>2017</v>
      </c>
      <c r="E474" t="s">
        <v>3356</v>
      </c>
      <c r="F474" t="s">
        <v>9102</v>
      </c>
      <c r="G474" t="s">
        <v>3990</v>
      </c>
    </row>
    <row r="475" spans="1:7" x14ac:dyDescent="0.25">
      <c r="A475" t="s">
        <v>1576</v>
      </c>
      <c r="B475" t="s">
        <v>1038</v>
      </c>
      <c r="C475">
        <v>2021</v>
      </c>
      <c r="E475" t="s">
        <v>3013</v>
      </c>
      <c r="F475" t="s">
        <v>9553</v>
      </c>
      <c r="G475" t="s">
        <v>187</v>
      </c>
    </row>
    <row r="476" spans="1:7" x14ac:dyDescent="0.25">
      <c r="A476" t="s">
        <v>2136</v>
      </c>
      <c r="B476" t="s">
        <v>1042</v>
      </c>
      <c r="C476">
        <v>2020</v>
      </c>
      <c r="E476" t="s">
        <v>3312</v>
      </c>
      <c r="F476" t="s">
        <v>9554</v>
      </c>
      <c r="G476" t="s">
        <v>3990</v>
      </c>
    </row>
    <row r="477" spans="1:7" x14ac:dyDescent="0.25">
      <c r="A477" t="s">
        <v>1855</v>
      </c>
      <c r="B477" t="s">
        <v>1046</v>
      </c>
      <c r="C477">
        <v>2015</v>
      </c>
      <c r="E477" t="s">
        <v>3296</v>
      </c>
      <c r="F477" t="s">
        <v>8956</v>
      </c>
      <c r="G477" t="s">
        <v>3990</v>
      </c>
    </row>
    <row r="478" spans="1:7" x14ac:dyDescent="0.25">
      <c r="A478" t="s">
        <v>2428</v>
      </c>
      <c r="B478" t="s">
        <v>1046</v>
      </c>
      <c r="C478">
        <v>2008</v>
      </c>
      <c r="E478" t="s">
        <v>3296</v>
      </c>
      <c r="F478" t="s">
        <v>9195</v>
      </c>
      <c r="G478" t="s">
        <v>3990</v>
      </c>
    </row>
    <row r="479" spans="1:7" x14ac:dyDescent="0.25">
      <c r="A479" t="s">
        <v>160</v>
      </c>
      <c r="B479" t="s">
        <v>1046</v>
      </c>
      <c r="C479">
        <v>2011</v>
      </c>
      <c r="E479" t="s">
        <v>3296</v>
      </c>
      <c r="F479" t="s">
        <v>9260</v>
      </c>
      <c r="G479" t="s">
        <v>3990</v>
      </c>
    </row>
    <row r="480" spans="1:7" x14ac:dyDescent="0.25">
      <c r="A480" t="s">
        <v>490</v>
      </c>
      <c r="B480" t="s">
        <v>1050</v>
      </c>
      <c r="C480">
        <v>2009</v>
      </c>
      <c r="E480" t="s">
        <v>3058</v>
      </c>
      <c r="F480" t="s">
        <v>8532</v>
      </c>
      <c r="G480" t="s">
        <v>3990</v>
      </c>
    </row>
    <row r="481" spans="1:7" x14ac:dyDescent="0.25">
      <c r="A481" t="s">
        <v>746</v>
      </c>
      <c r="B481" t="s">
        <v>1050</v>
      </c>
      <c r="C481">
        <v>2015</v>
      </c>
      <c r="E481" t="s">
        <v>3102</v>
      </c>
      <c r="F481" t="s">
        <v>8590</v>
      </c>
      <c r="G481" t="s">
        <v>3990</v>
      </c>
    </row>
    <row r="482" spans="1:7" x14ac:dyDescent="0.25">
      <c r="A482" t="s">
        <v>847</v>
      </c>
      <c r="B482" t="s">
        <v>1050</v>
      </c>
      <c r="C482">
        <v>1996</v>
      </c>
      <c r="E482" t="s">
        <v>3058</v>
      </c>
      <c r="F482" t="s">
        <v>8644</v>
      </c>
      <c r="G482" t="s">
        <v>3990</v>
      </c>
    </row>
    <row r="483" spans="1:7" x14ac:dyDescent="0.25">
      <c r="A483" t="s">
        <v>1046</v>
      </c>
      <c r="B483" t="s">
        <v>1050</v>
      </c>
      <c r="C483">
        <v>2016</v>
      </c>
      <c r="E483" t="s">
        <v>3102</v>
      </c>
      <c r="F483" t="s">
        <v>8711</v>
      </c>
      <c r="G483" t="s">
        <v>3990</v>
      </c>
    </row>
    <row r="484" spans="1:7" x14ac:dyDescent="0.25">
      <c r="A484" t="s">
        <v>1365</v>
      </c>
      <c r="B484" t="s">
        <v>1050</v>
      </c>
      <c r="C484">
        <v>2018</v>
      </c>
      <c r="E484" t="s">
        <v>3102</v>
      </c>
      <c r="F484" t="s">
        <v>8820</v>
      </c>
      <c r="G484" t="s">
        <v>3990</v>
      </c>
    </row>
    <row r="485" spans="1:7" x14ac:dyDescent="0.25">
      <c r="A485" t="s">
        <v>2481</v>
      </c>
      <c r="B485" t="s">
        <v>1050</v>
      </c>
      <c r="C485">
        <v>2020</v>
      </c>
      <c r="E485" t="s">
        <v>3058</v>
      </c>
      <c r="F485" t="s">
        <v>9219</v>
      </c>
      <c r="G485" t="s">
        <v>3990</v>
      </c>
    </row>
    <row r="486" spans="1:7" x14ac:dyDescent="0.25">
      <c r="A486" t="s">
        <v>2625</v>
      </c>
      <c r="B486" t="s">
        <v>1052</v>
      </c>
      <c r="C486">
        <v>2000</v>
      </c>
      <c r="D486" t="s">
        <v>187</v>
      </c>
      <c r="E486" t="s">
        <v>3325</v>
      </c>
      <c r="F486" t="s">
        <v>9300</v>
      </c>
      <c r="G486" t="s">
        <v>3990</v>
      </c>
    </row>
    <row r="487" spans="1:7" x14ac:dyDescent="0.25">
      <c r="A487" t="s">
        <v>2721</v>
      </c>
      <c r="B487" t="s">
        <v>1055</v>
      </c>
      <c r="C487">
        <v>1993</v>
      </c>
      <c r="D487" t="s">
        <v>187</v>
      </c>
      <c r="F487" t="s">
        <v>9555</v>
      </c>
      <c r="G487" t="s">
        <v>3990</v>
      </c>
    </row>
    <row r="488" spans="1:7" x14ac:dyDescent="0.25">
      <c r="A488" t="s">
        <v>1055</v>
      </c>
      <c r="B488" t="s">
        <v>1057</v>
      </c>
      <c r="C488">
        <v>2015</v>
      </c>
      <c r="D488" t="s">
        <v>187</v>
      </c>
      <c r="F488" t="s">
        <v>9556</v>
      </c>
      <c r="G488" t="s">
        <v>3990</v>
      </c>
    </row>
    <row r="489" spans="1:7" x14ac:dyDescent="0.25">
      <c r="A489" t="s">
        <v>778</v>
      </c>
      <c r="B489" t="s">
        <v>1059</v>
      </c>
      <c r="C489">
        <v>2023</v>
      </c>
      <c r="E489" t="s">
        <v>2982</v>
      </c>
      <c r="F489" t="s">
        <v>8625</v>
      </c>
      <c r="G489" t="s">
        <v>3990</v>
      </c>
    </row>
    <row r="490" spans="1:7" x14ac:dyDescent="0.25">
      <c r="A490" t="s">
        <v>2136</v>
      </c>
      <c r="B490" t="s">
        <v>1059</v>
      </c>
      <c r="C490">
        <v>2020</v>
      </c>
      <c r="E490" t="s">
        <v>2982</v>
      </c>
      <c r="F490" t="s">
        <v>9000</v>
      </c>
      <c r="G490" t="s">
        <v>3990</v>
      </c>
    </row>
    <row r="491" spans="1:7" x14ac:dyDescent="0.25">
      <c r="A491" t="s">
        <v>90</v>
      </c>
      <c r="B491" t="s">
        <v>1059</v>
      </c>
      <c r="C491">
        <v>2017</v>
      </c>
      <c r="E491" t="s">
        <v>2982</v>
      </c>
      <c r="F491" t="s">
        <v>9103</v>
      </c>
      <c r="G491" t="s">
        <v>3990</v>
      </c>
    </row>
    <row r="492" spans="1:7" x14ac:dyDescent="0.25">
      <c r="A492" t="s">
        <v>930</v>
      </c>
      <c r="B492" t="s">
        <v>1067</v>
      </c>
      <c r="C492">
        <v>2015</v>
      </c>
      <c r="E492" s="10" t="s">
        <v>8405</v>
      </c>
      <c r="F492" t="s">
        <v>8678</v>
      </c>
      <c r="G492" t="s">
        <v>3990</v>
      </c>
    </row>
    <row r="493" spans="1:7" x14ac:dyDescent="0.25">
      <c r="A493" t="s">
        <v>1046</v>
      </c>
      <c r="B493" t="s">
        <v>1067</v>
      </c>
      <c r="C493">
        <v>2016</v>
      </c>
      <c r="D493" t="s">
        <v>187</v>
      </c>
      <c r="F493" t="s">
        <v>9557</v>
      </c>
      <c r="G493" t="s">
        <v>3990</v>
      </c>
    </row>
    <row r="494" spans="1:7" x14ac:dyDescent="0.25">
      <c r="A494" t="s">
        <v>2506</v>
      </c>
      <c r="B494" t="s">
        <v>1071</v>
      </c>
      <c r="C494">
        <v>2021</v>
      </c>
      <c r="E494" t="s">
        <v>3013</v>
      </c>
      <c r="F494" t="s">
        <v>9558</v>
      </c>
      <c r="G494" t="s">
        <v>187</v>
      </c>
    </row>
    <row r="495" spans="1:7" x14ac:dyDescent="0.25">
      <c r="A495" t="s">
        <v>2154</v>
      </c>
      <c r="B495" t="s">
        <v>1080</v>
      </c>
      <c r="C495">
        <v>1980</v>
      </c>
      <c r="E495" t="s">
        <v>3320</v>
      </c>
      <c r="F495" t="s">
        <v>9019</v>
      </c>
      <c r="G495" t="s">
        <v>3990</v>
      </c>
    </row>
    <row r="496" spans="1:7" x14ac:dyDescent="0.25">
      <c r="A496" t="s">
        <v>1795</v>
      </c>
      <c r="B496" t="s">
        <v>1083</v>
      </c>
      <c r="C496">
        <v>1987</v>
      </c>
      <c r="E496" t="s">
        <v>3276</v>
      </c>
      <c r="F496" t="s">
        <v>8920</v>
      </c>
      <c r="G496" t="s">
        <v>3990</v>
      </c>
    </row>
    <row r="497" spans="1:7" x14ac:dyDescent="0.25">
      <c r="A497" t="s">
        <v>904</v>
      </c>
      <c r="B497" t="s">
        <v>1085</v>
      </c>
      <c r="C497">
        <v>2022</v>
      </c>
      <c r="E497" t="s">
        <v>1088</v>
      </c>
      <c r="F497" t="s">
        <v>8665</v>
      </c>
      <c r="G497" t="s">
        <v>3990</v>
      </c>
    </row>
    <row r="498" spans="1:7" x14ac:dyDescent="0.25">
      <c r="A498" t="s">
        <v>2428</v>
      </c>
      <c r="B498" t="s">
        <v>1085</v>
      </c>
      <c r="C498">
        <v>2008</v>
      </c>
      <c r="E498" t="s">
        <v>1088</v>
      </c>
      <c r="F498" t="s">
        <v>9196</v>
      </c>
      <c r="G498" t="s">
        <v>3990</v>
      </c>
    </row>
    <row r="499" spans="1:7" x14ac:dyDescent="0.25">
      <c r="A499" t="s">
        <v>1443</v>
      </c>
      <c r="B499" t="s">
        <v>1089</v>
      </c>
      <c r="C499">
        <v>2018</v>
      </c>
      <c r="E499" t="s">
        <v>3246</v>
      </c>
      <c r="F499" t="s">
        <v>10014</v>
      </c>
      <c r="G499" t="s">
        <v>187</v>
      </c>
    </row>
    <row r="500" spans="1:7" x14ac:dyDescent="0.25">
      <c r="A500" t="s">
        <v>90</v>
      </c>
      <c r="B500" t="s">
        <v>1089</v>
      </c>
      <c r="C500">
        <v>2017</v>
      </c>
      <c r="E500" t="s">
        <v>3246</v>
      </c>
      <c r="F500" t="s">
        <v>10014</v>
      </c>
      <c r="G500" t="s">
        <v>187</v>
      </c>
    </row>
    <row r="501" spans="1:7" x14ac:dyDescent="0.25">
      <c r="A501" t="s">
        <v>578</v>
      </c>
      <c r="B501" t="s">
        <v>1093</v>
      </c>
      <c r="C501">
        <v>1998</v>
      </c>
      <c r="D501" t="s">
        <v>187</v>
      </c>
      <c r="F501" t="s">
        <v>9559</v>
      </c>
      <c r="G501" t="s">
        <v>3990</v>
      </c>
    </row>
    <row r="502" spans="1:7" x14ac:dyDescent="0.25">
      <c r="A502" t="s">
        <v>2804</v>
      </c>
      <c r="B502" t="s">
        <v>1096</v>
      </c>
      <c r="C502">
        <v>2021</v>
      </c>
      <c r="E502" t="s">
        <v>1099</v>
      </c>
      <c r="F502" t="s">
        <v>9320</v>
      </c>
      <c r="G502" t="s">
        <v>3990</v>
      </c>
    </row>
    <row r="503" spans="1:7" x14ac:dyDescent="0.25">
      <c r="A503" t="s">
        <v>2377</v>
      </c>
      <c r="B503" t="s">
        <v>1100</v>
      </c>
      <c r="C503">
        <v>2021</v>
      </c>
      <c r="E503" t="s">
        <v>3013</v>
      </c>
      <c r="F503" t="s">
        <v>9560</v>
      </c>
      <c r="G503" t="s">
        <v>187</v>
      </c>
    </row>
    <row r="504" spans="1:7" x14ac:dyDescent="0.25">
      <c r="A504" t="s">
        <v>2173</v>
      </c>
      <c r="B504" t="s">
        <v>1104</v>
      </c>
      <c r="C504">
        <v>2013</v>
      </c>
      <c r="E504" t="s">
        <v>3330</v>
      </c>
      <c r="F504" t="s">
        <v>9039</v>
      </c>
      <c r="G504" t="s">
        <v>3990</v>
      </c>
    </row>
    <row r="505" spans="1:7" x14ac:dyDescent="0.25">
      <c r="A505" t="s">
        <v>2428</v>
      </c>
      <c r="B505" t="s">
        <v>1104</v>
      </c>
      <c r="C505">
        <v>2008</v>
      </c>
      <c r="E505" t="s">
        <v>3330</v>
      </c>
      <c r="F505" t="s">
        <v>9197</v>
      </c>
      <c r="G505" t="s">
        <v>3990</v>
      </c>
    </row>
    <row r="506" spans="1:7" x14ac:dyDescent="0.25">
      <c r="A506" t="s">
        <v>786</v>
      </c>
      <c r="B506" t="s">
        <v>1108</v>
      </c>
      <c r="C506">
        <v>2023</v>
      </c>
      <c r="E506" t="s">
        <v>2982</v>
      </c>
      <c r="F506" t="s">
        <v>8629</v>
      </c>
      <c r="G506" t="s">
        <v>3990</v>
      </c>
    </row>
    <row r="507" spans="1:7" x14ac:dyDescent="0.25">
      <c r="A507" t="s">
        <v>1089</v>
      </c>
      <c r="B507" t="s">
        <v>1108</v>
      </c>
      <c r="C507">
        <v>2021</v>
      </c>
      <c r="E507" t="s">
        <v>2982</v>
      </c>
      <c r="F507" t="s">
        <v>8729</v>
      </c>
      <c r="G507" t="s">
        <v>3990</v>
      </c>
    </row>
    <row r="508" spans="1:7" x14ac:dyDescent="0.25">
      <c r="A508" t="s">
        <v>1443</v>
      </c>
      <c r="B508" t="s">
        <v>1108</v>
      </c>
      <c r="C508">
        <v>2018</v>
      </c>
      <c r="E508" t="s">
        <v>3247</v>
      </c>
      <c r="F508" t="s">
        <v>8847</v>
      </c>
      <c r="G508" t="s">
        <v>3990</v>
      </c>
    </row>
    <row r="509" spans="1:7" x14ac:dyDescent="0.25">
      <c r="A509" t="s">
        <v>90</v>
      </c>
      <c r="B509" t="s">
        <v>1108</v>
      </c>
      <c r="C509">
        <v>2017</v>
      </c>
      <c r="E509" t="s">
        <v>3247</v>
      </c>
      <c r="F509" t="s">
        <v>9104</v>
      </c>
      <c r="G509" t="s">
        <v>3990</v>
      </c>
    </row>
    <row r="510" spans="1:7" x14ac:dyDescent="0.25">
      <c r="A510" t="s">
        <v>346</v>
      </c>
      <c r="B510" t="s">
        <v>1111</v>
      </c>
      <c r="C510">
        <v>2022</v>
      </c>
      <c r="E510" s="10" t="s">
        <v>8335</v>
      </c>
      <c r="F510" t="s">
        <v>8481</v>
      </c>
      <c r="G510" t="s">
        <v>3990</v>
      </c>
    </row>
    <row r="511" spans="1:7" x14ac:dyDescent="0.25">
      <c r="A511" t="s">
        <v>497</v>
      </c>
      <c r="B511" t="s">
        <v>1111</v>
      </c>
      <c r="C511">
        <v>2022</v>
      </c>
      <c r="E511" s="10" t="s">
        <v>8335</v>
      </c>
      <c r="F511" t="s">
        <v>8542</v>
      </c>
      <c r="G511" t="s">
        <v>3990</v>
      </c>
    </row>
    <row r="512" spans="1:7" x14ac:dyDescent="0.25">
      <c r="A512" t="s">
        <v>1951</v>
      </c>
      <c r="B512" t="s">
        <v>1111</v>
      </c>
      <c r="C512">
        <v>2022</v>
      </c>
      <c r="E512" s="10" t="s">
        <v>8335</v>
      </c>
      <c r="F512" t="s">
        <v>8976</v>
      </c>
      <c r="G512" t="s">
        <v>3990</v>
      </c>
    </row>
    <row r="513" spans="1:7" x14ac:dyDescent="0.25">
      <c r="A513" t="s">
        <v>1115</v>
      </c>
      <c r="B513" t="s">
        <v>1119</v>
      </c>
      <c r="C513">
        <v>2018</v>
      </c>
      <c r="D513" t="s">
        <v>187</v>
      </c>
      <c r="F513" t="s">
        <v>9561</v>
      </c>
      <c r="G513" t="s">
        <v>3990</v>
      </c>
    </row>
    <row r="514" spans="1:7" x14ac:dyDescent="0.25">
      <c r="A514" t="s">
        <v>1144</v>
      </c>
      <c r="B514" t="s">
        <v>1123</v>
      </c>
      <c r="C514">
        <v>2012</v>
      </c>
      <c r="E514" t="s">
        <v>3201</v>
      </c>
      <c r="F514" t="s">
        <v>8742</v>
      </c>
      <c r="G514" t="s">
        <v>3990</v>
      </c>
    </row>
    <row r="515" spans="1:7" x14ac:dyDescent="0.25">
      <c r="A515" t="s">
        <v>90</v>
      </c>
      <c r="B515" t="s">
        <v>1123</v>
      </c>
      <c r="C515">
        <v>2017</v>
      </c>
      <c r="E515" t="s">
        <v>3201</v>
      </c>
      <c r="F515" t="s">
        <v>9105</v>
      </c>
      <c r="G515" t="s">
        <v>3990</v>
      </c>
    </row>
    <row r="516" spans="1:7" x14ac:dyDescent="0.25">
      <c r="A516" t="s">
        <v>1294</v>
      </c>
      <c r="B516" t="s">
        <v>1129</v>
      </c>
      <c r="C516">
        <v>2019</v>
      </c>
      <c r="E516" t="s">
        <v>3225</v>
      </c>
      <c r="F516" t="s">
        <v>8790</v>
      </c>
      <c r="G516" t="s">
        <v>3990</v>
      </c>
    </row>
    <row r="517" spans="1:7" x14ac:dyDescent="0.25">
      <c r="A517" t="s">
        <v>90</v>
      </c>
      <c r="B517" t="s">
        <v>1129</v>
      </c>
      <c r="C517">
        <v>2017</v>
      </c>
      <c r="E517" t="s">
        <v>3225</v>
      </c>
      <c r="F517" t="s">
        <v>9106</v>
      </c>
      <c r="G517" t="s">
        <v>3990</v>
      </c>
    </row>
    <row r="518" spans="1:7" x14ac:dyDescent="0.25">
      <c r="A518" t="s">
        <v>160</v>
      </c>
      <c r="B518" t="s">
        <v>1133</v>
      </c>
      <c r="C518">
        <v>2011</v>
      </c>
      <c r="E518" t="s">
        <v>3013</v>
      </c>
      <c r="F518" t="s">
        <v>9562</v>
      </c>
      <c r="G518" t="s">
        <v>187</v>
      </c>
    </row>
    <row r="519" spans="1:7" x14ac:dyDescent="0.25">
      <c r="A519" t="s">
        <v>1435</v>
      </c>
      <c r="B519" t="s">
        <v>1137</v>
      </c>
      <c r="C519">
        <v>2021</v>
      </c>
      <c r="E519" t="s">
        <v>3239</v>
      </c>
      <c r="F519" t="s">
        <v>8829</v>
      </c>
      <c r="G519" t="s">
        <v>3990</v>
      </c>
    </row>
    <row r="520" spans="1:7" x14ac:dyDescent="0.25">
      <c r="A520" t="s">
        <v>256</v>
      </c>
      <c r="B520" t="s">
        <v>1141</v>
      </c>
      <c r="C520">
        <v>1994</v>
      </c>
      <c r="E520" t="s">
        <v>2989</v>
      </c>
      <c r="F520" t="s">
        <v>8450</v>
      </c>
      <c r="G520" t="s">
        <v>3990</v>
      </c>
    </row>
    <row r="521" spans="1:7" x14ac:dyDescent="0.25">
      <c r="A521" t="s">
        <v>922</v>
      </c>
      <c r="B521" t="s">
        <v>1141</v>
      </c>
      <c r="C521">
        <v>2002</v>
      </c>
      <c r="E521" t="s">
        <v>2989</v>
      </c>
      <c r="F521" t="s">
        <v>8672</v>
      </c>
      <c r="G521" t="s">
        <v>3990</v>
      </c>
    </row>
    <row r="522" spans="1:7" x14ac:dyDescent="0.25">
      <c r="A522" t="s">
        <v>1538</v>
      </c>
      <c r="B522" t="s">
        <v>1141</v>
      </c>
      <c r="C522">
        <v>1995</v>
      </c>
      <c r="E522" t="s">
        <v>2989</v>
      </c>
      <c r="F522" t="s">
        <v>9413</v>
      </c>
      <c r="G522" t="s">
        <v>3990</v>
      </c>
    </row>
    <row r="523" spans="1:7" x14ac:dyDescent="0.25">
      <c r="A523" t="s">
        <v>1795</v>
      </c>
      <c r="B523" t="s">
        <v>1141</v>
      </c>
      <c r="C523">
        <v>1987</v>
      </c>
      <c r="E523" t="s">
        <v>2989</v>
      </c>
      <c r="F523" t="s">
        <v>8921</v>
      </c>
      <c r="G523" t="s">
        <v>3990</v>
      </c>
    </row>
    <row r="524" spans="1:7" x14ac:dyDescent="0.25">
      <c r="A524" t="s">
        <v>2428</v>
      </c>
      <c r="B524" t="s">
        <v>1144</v>
      </c>
      <c r="C524">
        <v>2008</v>
      </c>
      <c r="E524" t="s">
        <v>3391</v>
      </c>
      <c r="F524" t="s">
        <v>9563</v>
      </c>
      <c r="G524" t="s">
        <v>187</v>
      </c>
    </row>
    <row r="525" spans="1:7" x14ac:dyDescent="0.25">
      <c r="A525" t="s">
        <v>2874</v>
      </c>
      <c r="B525" t="s">
        <v>1144</v>
      </c>
      <c r="C525">
        <v>2005</v>
      </c>
      <c r="E525" s="10" t="s">
        <v>8385</v>
      </c>
      <c r="F525" t="s">
        <v>9352</v>
      </c>
      <c r="G525" t="s">
        <v>3990</v>
      </c>
    </row>
    <row r="526" spans="1:7" x14ac:dyDescent="0.25">
      <c r="A526" t="s">
        <v>160</v>
      </c>
      <c r="B526" t="s">
        <v>1148</v>
      </c>
      <c r="C526">
        <v>2011</v>
      </c>
      <c r="E526" t="s">
        <v>3403</v>
      </c>
      <c r="F526" t="s">
        <v>9261</v>
      </c>
      <c r="G526" t="s">
        <v>3990</v>
      </c>
    </row>
    <row r="527" spans="1:7" x14ac:dyDescent="0.25">
      <c r="A527" t="s">
        <v>759</v>
      </c>
      <c r="B527" t="s">
        <v>1151</v>
      </c>
      <c r="C527">
        <v>2018</v>
      </c>
      <c r="E527" t="s">
        <v>3118</v>
      </c>
      <c r="F527" t="s">
        <v>8612</v>
      </c>
      <c r="G527" t="s">
        <v>3990</v>
      </c>
    </row>
    <row r="528" spans="1:7" x14ac:dyDescent="0.25">
      <c r="A528" t="s">
        <v>2173</v>
      </c>
      <c r="B528" t="s">
        <v>1151</v>
      </c>
      <c r="C528">
        <v>2013</v>
      </c>
      <c r="E528" t="s">
        <v>3118</v>
      </c>
      <c r="F528" t="s">
        <v>9040</v>
      </c>
      <c r="G528" t="s">
        <v>3990</v>
      </c>
    </row>
    <row r="529" spans="1:7" x14ac:dyDescent="0.25">
      <c r="A529" t="s">
        <v>2715</v>
      </c>
      <c r="B529" t="s">
        <v>1155</v>
      </c>
      <c r="C529">
        <v>1999</v>
      </c>
      <c r="E529" t="s">
        <v>3415</v>
      </c>
      <c r="F529" t="s">
        <v>9305</v>
      </c>
      <c r="G529" t="s">
        <v>3990</v>
      </c>
    </row>
    <row r="530" spans="1:7" x14ac:dyDescent="0.25">
      <c r="A530" t="s">
        <v>1661</v>
      </c>
      <c r="B530" t="s">
        <v>1157</v>
      </c>
      <c r="C530">
        <v>2011</v>
      </c>
      <c r="D530" t="s">
        <v>187</v>
      </c>
      <c r="F530" t="s">
        <v>9564</v>
      </c>
      <c r="G530" t="s">
        <v>3990</v>
      </c>
    </row>
    <row r="531" spans="1:7" x14ac:dyDescent="0.25">
      <c r="A531" t="s">
        <v>1746</v>
      </c>
      <c r="B531" t="s">
        <v>1157</v>
      </c>
      <c r="C531">
        <v>2011</v>
      </c>
      <c r="D531" t="s">
        <v>187</v>
      </c>
      <c r="F531" t="s">
        <v>9565</v>
      </c>
      <c r="G531" t="s">
        <v>3990</v>
      </c>
    </row>
    <row r="532" spans="1:7" x14ac:dyDescent="0.25">
      <c r="A532" t="s">
        <v>1761</v>
      </c>
      <c r="B532" t="s">
        <v>9840</v>
      </c>
      <c r="C532">
        <v>1995</v>
      </c>
      <c r="E532" s="10" t="s">
        <v>9841</v>
      </c>
      <c r="F532" t="s">
        <v>9844</v>
      </c>
      <c r="G532" t="s">
        <v>3990</v>
      </c>
    </row>
    <row r="533" spans="1:7" x14ac:dyDescent="0.25">
      <c r="A533" t="s">
        <v>1970</v>
      </c>
      <c r="B533" t="s">
        <v>9840</v>
      </c>
      <c r="C533">
        <v>2012</v>
      </c>
      <c r="E533" s="10" t="s">
        <v>9841</v>
      </c>
      <c r="F533" t="s">
        <v>9842</v>
      </c>
      <c r="G533" t="s">
        <v>3990</v>
      </c>
    </row>
    <row r="534" spans="1:7" x14ac:dyDescent="0.25">
      <c r="A534" t="s">
        <v>2286</v>
      </c>
      <c r="B534" t="s">
        <v>9840</v>
      </c>
      <c r="C534">
        <v>2014</v>
      </c>
      <c r="E534" s="10" t="s">
        <v>9841</v>
      </c>
      <c r="F534" t="s">
        <v>9843</v>
      </c>
      <c r="G534" t="s">
        <v>3990</v>
      </c>
    </row>
    <row r="535" spans="1:7" x14ac:dyDescent="0.25">
      <c r="A535" t="s">
        <v>759</v>
      </c>
      <c r="B535" t="s">
        <v>1159</v>
      </c>
      <c r="C535">
        <v>2018</v>
      </c>
      <c r="E535" t="s">
        <v>3119</v>
      </c>
      <c r="F535" t="s">
        <v>8613</v>
      </c>
      <c r="G535" t="s">
        <v>3990</v>
      </c>
    </row>
    <row r="536" spans="1:7" x14ac:dyDescent="0.25">
      <c r="A536" t="s">
        <v>1046</v>
      </c>
      <c r="B536" t="s">
        <v>1159</v>
      </c>
      <c r="C536">
        <v>2016</v>
      </c>
      <c r="E536" t="s">
        <v>3119</v>
      </c>
      <c r="F536" t="s">
        <v>8712</v>
      </c>
      <c r="G536" t="s">
        <v>3990</v>
      </c>
    </row>
    <row r="537" spans="1:7" x14ac:dyDescent="0.25">
      <c r="A537" t="s">
        <v>2254</v>
      </c>
      <c r="B537" t="s">
        <v>1159</v>
      </c>
      <c r="C537">
        <v>2020</v>
      </c>
      <c r="E537" t="s">
        <v>2982</v>
      </c>
      <c r="F537" t="s">
        <v>9055</v>
      </c>
      <c r="G537" t="s">
        <v>3990</v>
      </c>
    </row>
    <row r="538" spans="1:7" x14ac:dyDescent="0.25">
      <c r="A538" t="s">
        <v>353</v>
      </c>
      <c r="B538" t="s">
        <v>1163</v>
      </c>
      <c r="C538">
        <v>2023</v>
      </c>
      <c r="E538" t="s">
        <v>3030</v>
      </c>
      <c r="F538" t="s">
        <v>8501</v>
      </c>
      <c r="G538" t="s">
        <v>3990</v>
      </c>
    </row>
    <row r="539" spans="1:7" x14ac:dyDescent="0.25">
      <c r="A539" t="s">
        <v>709</v>
      </c>
      <c r="B539" t="s">
        <v>1166</v>
      </c>
      <c r="C539">
        <v>2022</v>
      </c>
      <c r="E539" t="s">
        <v>3089</v>
      </c>
      <c r="F539" t="s">
        <v>8575</v>
      </c>
      <c r="G539" t="s">
        <v>3990</v>
      </c>
    </row>
    <row r="540" spans="1:7" x14ac:dyDescent="0.25">
      <c r="A540" t="s">
        <v>1294</v>
      </c>
      <c r="B540" t="s">
        <v>1166</v>
      </c>
      <c r="C540">
        <v>2019</v>
      </c>
      <c r="E540" t="s">
        <v>3089</v>
      </c>
      <c r="F540" t="s">
        <v>8791</v>
      </c>
      <c r="G540" t="s">
        <v>3990</v>
      </c>
    </row>
    <row r="541" spans="1:7" x14ac:dyDescent="0.25">
      <c r="A541" t="s">
        <v>2136</v>
      </c>
      <c r="B541" t="s">
        <v>1168</v>
      </c>
      <c r="C541">
        <v>2020</v>
      </c>
      <c r="E541" t="s">
        <v>3013</v>
      </c>
      <c r="F541" t="s">
        <v>9566</v>
      </c>
      <c r="G541" t="s">
        <v>187</v>
      </c>
    </row>
    <row r="542" spans="1:7" x14ac:dyDescent="0.25">
      <c r="A542" t="s">
        <v>256</v>
      </c>
      <c r="B542" t="s">
        <v>1171</v>
      </c>
      <c r="C542">
        <v>1994</v>
      </c>
      <c r="E542" s="10" t="s">
        <v>8427</v>
      </c>
      <c r="F542" t="s">
        <v>8428</v>
      </c>
      <c r="G542" t="s">
        <v>3990</v>
      </c>
    </row>
    <row r="543" spans="1:7" x14ac:dyDescent="0.25">
      <c r="A543" t="s">
        <v>1284</v>
      </c>
      <c r="B543" t="s">
        <v>1171</v>
      </c>
      <c r="C543">
        <v>1984</v>
      </c>
      <c r="E543" t="s">
        <v>3220</v>
      </c>
      <c r="F543" t="s">
        <v>8772</v>
      </c>
      <c r="G543" t="s">
        <v>3990</v>
      </c>
    </row>
    <row r="544" spans="1:7" x14ac:dyDescent="0.25">
      <c r="A544" t="s">
        <v>1171</v>
      </c>
      <c r="B544" t="s">
        <v>1174</v>
      </c>
      <c r="C544">
        <v>2002</v>
      </c>
      <c r="D544" t="s">
        <v>187</v>
      </c>
      <c r="F544" t="s">
        <v>9567</v>
      </c>
      <c r="G544" t="s">
        <v>3990</v>
      </c>
    </row>
    <row r="545" spans="1:7" x14ac:dyDescent="0.25">
      <c r="A545" t="s">
        <v>256</v>
      </c>
      <c r="B545" t="s">
        <v>1177</v>
      </c>
      <c r="C545">
        <v>1994</v>
      </c>
      <c r="E545" t="s">
        <v>2990</v>
      </c>
      <c r="F545" t="s">
        <v>8451</v>
      </c>
      <c r="G545" t="s">
        <v>3990</v>
      </c>
    </row>
    <row r="546" spans="1:7" x14ac:dyDescent="0.25">
      <c r="A546" t="s">
        <v>1174</v>
      </c>
      <c r="B546" t="s">
        <v>1177</v>
      </c>
      <c r="C546">
        <v>2007</v>
      </c>
      <c r="D546" t="s">
        <v>187</v>
      </c>
      <c r="F546" t="s">
        <v>9568</v>
      </c>
      <c r="G546" t="s">
        <v>3990</v>
      </c>
    </row>
    <row r="547" spans="1:7" x14ac:dyDescent="0.25">
      <c r="A547" t="s">
        <v>1284</v>
      </c>
      <c r="B547" t="s">
        <v>1177</v>
      </c>
      <c r="C547">
        <v>1984</v>
      </c>
      <c r="E547" t="s">
        <v>2990</v>
      </c>
      <c r="F547" t="s">
        <v>8773</v>
      </c>
      <c r="G547" t="s">
        <v>3990</v>
      </c>
    </row>
    <row r="548" spans="1:7" x14ac:dyDescent="0.25">
      <c r="A548" t="s">
        <v>2804</v>
      </c>
      <c r="B548" t="s">
        <v>1180</v>
      </c>
      <c r="C548">
        <v>2021</v>
      </c>
      <c r="E548" t="s">
        <v>2982</v>
      </c>
      <c r="F548" t="s">
        <v>9321</v>
      </c>
      <c r="G548" t="s">
        <v>3990</v>
      </c>
    </row>
    <row r="549" spans="1:7" x14ac:dyDescent="0.25">
      <c r="A549" t="s">
        <v>1180</v>
      </c>
      <c r="B549" t="s">
        <v>1184</v>
      </c>
      <c r="C549">
        <v>2024</v>
      </c>
      <c r="D549" t="s">
        <v>187</v>
      </c>
      <c r="F549" t="s">
        <v>9569</v>
      </c>
      <c r="G549" t="s">
        <v>3990</v>
      </c>
    </row>
    <row r="550" spans="1:7" x14ac:dyDescent="0.25">
      <c r="A550" t="s">
        <v>1187</v>
      </c>
      <c r="B550" t="s">
        <v>1191</v>
      </c>
      <c r="C550">
        <v>2020</v>
      </c>
      <c r="D550" t="s">
        <v>187</v>
      </c>
      <c r="F550" t="s">
        <v>9570</v>
      </c>
      <c r="G550" t="s">
        <v>3990</v>
      </c>
    </row>
    <row r="551" spans="1:7" x14ac:dyDescent="0.25">
      <c r="A551" t="s">
        <v>353</v>
      </c>
      <c r="B551" t="s">
        <v>1195</v>
      </c>
      <c r="C551">
        <v>2023</v>
      </c>
      <c r="E551" s="10" t="s">
        <v>8415</v>
      </c>
      <c r="F551" t="s">
        <v>8502</v>
      </c>
      <c r="G551" t="s">
        <v>3990</v>
      </c>
    </row>
    <row r="552" spans="1:7" x14ac:dyDescent="0.25">
      <c r="A552" t="s">
        <v>2804</v>
      </c>
      <c r="B552" t="s">
        <v>1195</v>
      </c>
      <c r="C552">
        <v>2021</v>
      </c>
      <c r="E552" t="s">
        <v>3423</v>
      </c>
      <c r="F552" t="s">
        <v>9322</v>
      </c>
      <c r="G552" t="s">
        <v>3990</v>
      </c>
    </row>
    <row r="553" spans="1:7" x14ac:dyDescent="0.25">
      <c r="A553" t="s">
        <v>1795</v>
      </c>
      <c r="B553" t="s">
        <v>1197</v>
      </c>
      <c r="C553">
        <v>1987</v>
      </c>
      <c r="E553" t="s">
        <v>3277</v>
      </c>
      <c r="F553" t="s">
        <v>9571</v>
      </c>
      <c r="G553" t="s">
        <v>187</v>
      </c>
    </row>
    <row r="554" spans="1:7" x14ac:dyDescent="0.25">
      <c r="A554" t="s">
        <v>497</v>
      </c>
      <c r="B554" t="s">
        <v>1201</v>
      </c>
      <c r="C554">
        <v>2022</v>
      </c>
      <c r="E554" s="10" t="s">
        <v>8406</v>
      </c>
      <c r="F554" t="s">
        <v>9393</v>
      </c>
      <c r="G554" t="s">
        <v>3990</v>
      </c>
    </row>
    <row r="555" spans="1:7" x14ac:dyDescent="0.25">
      <c r="A555" t="s">
        <v>1549</v>
      </c>
      <c r="B555" t="s">
        <v>1201</v>
      </c>
      <c r="C555">
        <v>2021</v>
      </c>
      <c r="E555" s="10" t="s">
        <v>8406</v>
      </c>
      <c r="F555" t="s">
        <v>9394</v>
      </c>
      <c r="G555" t="s">
        <v>3990</v>
      </c>
    </row>
    <row r="556" spans="1:7" x14ac:dyDescent="0.25">
      <c r="A556" t="s">
        <v>2698</v>
      </c>
      <c r="B556" t="s">
        <v>1201</v>
      </c>
      <c r="C556">
        <v>2022</v>
      </c>
      <c r="E556" s="10" t="s">
        <v>8406</v>
      </c>
      <c r="F556" t="s">
        <v>9395</v>
      </c>
      <c r="G556" t="s">
        <v>3990</v>
      </c>
    </row>
    <row r="557" spans="1:7" x14ac:dyDescent="0.25">
      <c r="A557" t="s">
        <v>346</v>
      </c>
      <c r="B557" t="s">
        <v>1211</v>
      </c>
      <c r="C557">
        <v>2022</v>
      </c>
      <c r="E557" s="10" t="s">
        <v>8350</v>
      </c>
      <c r="F557" t="s">
        <v>8482</v>
      </c>
      <c r="G557" t="s">
        <v>3990</v>
      </c>
    </row>
    <row r="558" spans="1:7" x14ac:dyDescent="0.25">
      <c r="A558" t="s">
        <v>847</v>
      </c>
      <c r="B558" t="s">
        <v>1211</v>
      </c>
      <c r="C558">
        <v>1996</v>
      </c>
      <c r="E558" s="10" t="s">
        <v>8351</v>
      </c>
      <c r="F558" t="s">
        <v>8645</v>
      </c>
      <c r="G558" t="s">
        <v>3990</v>
      </c>
    </row>
    <row r="559" spans="1:7" x14ac:dyDescent="0.25">
      <c r="A559" t="s">
        <v>2804</v>
      </c>
      <c r="B559" t="s">
        <v>1211</v>
      </c>
      <c r="C559">
        <v>2021</v>
      </c>
      <c r="E559" t="s">
        <v>3013</v>
      </c>
      <c r="F559" t="s">
        <v>9572</v>
      </c>
      <c r="G559" t="s">
        <v>187</v>
      </c>
    </row>
    <row r="560" spans="1:7" x14ac:dyDescent="0.25">
      <c r="A560" t="s">
        <v>1294</v>
      </c>
      <c r="B560" t="s">
        <v>1215</v>
      </c>
      <c r="C560">
        <v>2019</v>
      </c>
      <c r="E560" s="10" t="s">
        <v>12677</v>
      </c>
      <c r="F560" t="s">
        <v>12678</v>
      </c>
      <c r="G560" t="s">
        <v>3990</v>
      </c>
    </row>
    <row r="561" spans="1:7" x14ac:dyDescent="0.25">
      <c r="A561" t="s">
        <v>2136</v>
      </c>
      <c r="B561" t="s">
        <v>1215</v>
      </c>
      <c r="C561">
        <v>2020</v>
      </c>
      <c r="E561" s="10" t="s">
        <v>12677</v>
      </c>
      <c r="F561" t="s">
        <v>12678</v>
      </c>
      <c r="G561" t="s">
        <v>3990</v>
      </c>
    </row>
    <row r="562" spans="1:7" x14ac:dyDescent="0.25">
      <c r="A562" t="s">
        <v>1046</v>
      </c>
      <c r="B562" t="s">
        <v>1219</v>
      </c>
      <c r="C562">
        <v>2016</v>
      </c>
      <c r="E562" t="s">
        <v>2982</v>
      </c>
      <c r="F562" t="s">
        <v>8713</v>
      </c>
      <c r="G562" t="s">
        <v>3990</v>
      </c>
    </row>
    <row r="563" spans="1:7" x14ac:dyDescent="0.25">
      <c r="A563" t="s">
        <v>1294</v>
      </c>
      <c r="B563" t="s">
        <v>1219</v>
      </c>
      <c r="C563">
        <v>2019</v>
      </c>
      <c r="E563" t="s">
        <v>2982</v>
      </c>
      <c r="F563" t="s">
        <v>8792</v>
      </c>
      <c r="G563" t="s">
        <v>3990</v>
      </c>
    </row>
    <row r="564" spans="1:7" x14ac:dyDescent="0.25">
      <c r="A564" t="s">
        <v>2428</v>
      </c>
      <c r="B564" t="s">
        <v>1219</v>
      </c>
      <c r="C564">
        <v>2008</v>
      </c>
      <c r="E564" t="s">
        <v>2982</v>
      </c>
      <c r="F564" t="s">
        <v>9198</v>
      </c>
      <c r="G564" t="s">
        <v>3990</v>
      </c>
    </row>
    <row r="565" spans="1:7" x14ac:dyDescent="0.25">
      <c r="A565" t="s">
        <v>160</v>
      </c>
      <c r="B565" t="s">
        <v>1219</v>
      </c>
      <c r="C565">
        <v>2011</v>
      </c>
      <c r="E565" t="s">
        <v>2982</v>
      </c>
      <c r="F565" t="s">
        <v>9262</v>
      </c>
      <c r="G565" t="s">
        <v>3990</v>
      </c>
    </row>
    <row r="566" spans="1:7" x14ac:dyDescent="0.25">
      <c r="A566" t="s">
        <v>964</v>
      </c>
      <c r="B566" t="s">
        <v>1223</v>
      </c>
      <c r="C566">
        <v>2006</v>
      </c>
      <c r="E566" t="s">
        <v>2982</v>
      </c>
      <c r="F566" t="s">
        <v>8690</v>
      </c>
      <c r="G566" t="s">
        <v>3990</v>
      </c>
    </row>
    <row r="567" spans="1:7" x14ac:dyDescent="0.25">
      <c r="A567" t="s">
        <v>2154</v>
      </c>
      <c r="B567" t="s">
        <v>1227</v>
      </c>
      <c r="C567">
        <v>1980</v>
      </c>
      <c r="E567" t="s">
        <v>3321</v>
      </c>
      <c r="F567" t="s">
        <v>9020</v>
      </c>
      <c r="G567" t="s">
        <v>3990</v>
      </c>
    </row>
    <row r="568" spans="1:7" x14ac:dyDescent="0.25">
      <c r="A568" t="s">
        <v>160</v>
      </c>
      <c r="B568" t="s">
        <v>1227</v>
      </c>
      <c r="C568">
        <v>2011</v>
      </c>
      <c r="E568" t="s">
        <v>3321</v>
      </c>
      <c r="F568" t="s">
        <v>9263</v>
      </c>
      <c r="G568" t="s">
        <v>3990</v>
      </c>
    </row>
    <row r="569" spans="1:7" x14ac:dyDescent="0.25">
      <c r="A569" t="s">
        <v>90</v>
      </c>
      <c r="B569" t="s">
        <v>1231</v>
      </c>
      <c r="C569">
        <v>2022</v>
      </c>
      <c r="E569" t="s">
        <v>3357</v>
      </c>
      <c r="F569" t="s">
        <v>9573</v>
      </c>
      <c r="G569" t="s">
        <v>187</v>
      </c>
    </row>
    <row r="570" spans="1:7" x14ac:dyDescent="0.25">
      <c r="A570" t="s">
        <v>930</v>
      </c>
      <c r="B570" t="s">
        <v>1235</v>
      </c>
      <c r="C570">
        <v>2015</v>
      </c>
      <c r="E570" t="s">
        <v>3154</v>
      </c>
      <c r="F570" t="s">
        <v>8679</v>
      </c>
      <c r="G570" t="s">
        <v>3990</v>
      </c>
    </row>
    <row r="571" spans="1:7" x14ac:dyDescent="0.25">
      <c r="A571" t="s">
        <v>1046</v>
      </c>
      <c r="B571" t="s">
        <v>1235</v>
      </c>
      <c r="C571">
        <v>2016</v>
      </c>
      <c r="E571" s="10" t="s">
        <v>9808</v>
      </c>
      <c r="F571" t="s">
        <v>9807</v>
      </c>
      <c r="G571" t="s">
        <v>3990</v>
      </c>
    </row>
    <row r="572" spans="1:7" x14ac:dyDescent="0.25">
      <c r="A572" t="s">
        <v>1855</v>
      </c>
      <c r="B572" t="s">
        <v>1235</v>
      </c>
      <c r="C572">
        <v>2015</v>
      </c>
      <c r="E572" t="s">
        <v>3297</v>
      </c>
      <c r="F572" t="s">
        <v>8957</v>
      </c>
      <c r="G572" t="s">
        <v>3990</v>
      </c>
    </row>
    <row r="573" spans="1:7" x14ac:dyDescent="0.25">
      <c r="A573" t="s">
        <v>2428</v>
      </c>
      <c r="B573" t="s">
        <v>1235</v>
      </c>
      <c r="C573">
        <v>2008</v>
      </c>
      <c r="E573" t="s">
        <v>3297</v>
      </c>
      <c r="F573" t="s">
        <v>9199</v>
      </c>
      <c r="G573" t="s">
        <v>3990</v>
      </c>
    </row>
    <row r="574" spans="1:7" x14ac:dyDescent="0.25">
      <c r="A574" t="s">
        <v>2518</v>
      </c>
      <c r="B574" t="s">
        <v>1235</v>
      </c>
      <c r="C574">
        <v>2013</v>
      </c>
      <c r="E574" t="s">
        <v>3297</v>
      </c>
      <c r="F574" t="s">
        <v>9232</v>
      </c>
      <c r="G574" t="s">
        <v>3990</v>
      </c>
    </row>
    <row r="575" spans="1:7" x14ac:dyDescent="0.25">
      <c r="A575" t="s">
        <v>160</v>
      </c>
      <c r="B575" t="s">
        <v>1235</v>
      </c>
      <c r="C575">
        <v>2011</v>
      </c>
      <c r="E575" s="10" t="s">
        <v>9808</v>
      </c>
      <c r="F575" t="s">
        <v>9806</v>
      </c>
      <c r="G575" t="s">
        <v>3990</v>
      </c>
    </row>
    <row r="576" spans="1:7" x14ac:dyDescent="0.25">
      <c r="A576" t="s">
        <v>1235</v>
      </c>
      <c r="B576" t="s">
        <v>1239</v>
      </c>
      <c r="C576">
        <v>2026</v>
      </c>
      <c r="D576" t="s">
        <v>187</v>
      </c>
      <c r="F576" t="s">
        <v>9574</v>
      </c>
      <c r="G576" t="s">
        <v>3990</v>
      </c>
    </row>
    <row r="577" spans="1:7" x14ac:dyDescent="0.25">
      <c r="A577" t="s">
        <v>2804</v>
      </c>
      <c r="B577" t="s">
        <v>1243</v>
      </c>
      <c r="C577">
        <v>2021</v>
      </c>
      <c r="E577" t="s">
        <v>3013</v>
      </c>
      <c r="F577" t="s">
        <v>9575</v>
      </c>
      <c r="G577" t="s">
        <v>187</v>
      </c>
    </row>
    <row r="578" spans="1:7" x14ac:dyDescent="0.25">
      <c r="A578" t="s">
        <v>746</v>
      </c>
      <c r="B578" t="s">
        <v>1245</v>
      </c>
      <c r="C578">
        <v>2015</v>
      </c>
      <c r="E578" s="10" t="s">
        <v>8407</v>
      </c>
      <c r="F578" t="s">
        <v>8591</v>
      </c>
      <c r="G578" t="s">
        <v>3990</v>
      </c>
    </row>
    <row r="579" spans="1:7" x14ac:dyDescent="0.25">
      <c r="A579" t="s">
        <v>847</v>
      </c>
      <c r="B579" t="s">
        <v>1245</v>
      </c>
      <c r="C579">
        <v>1996</v>
      </c>
      <c r="E579" s="10" t="s">
        <v>8407</v>
      </c>
      <c r="F579" t="s">
        <v>8646</v>
      </c>
      <c r="G579" t="s">
        <v>3990</v>
      </c>
    </row>
    <row r="580" spans="1:7" x14ac:dyDescent="0.25">
      <c r="A580" t="s">
        <v>90</v>
      </c>
      <c r="B580" t="s">
        <v>1245</v>
      </c>
      <c r="C580">
        <v>2017</v>
      </c>
      <c r="E580" t="s">
        <v>3358</v>
      </c>
      <c r="F580" t="s">
        <v>9107</v>
      </c>
      <c r="G580" t="s">
        <v>3990</v>
      </c>
    </row>
    <row r="581" spans="1:7" x14ac:dyDescent="0.25">
      <c r="A581" t="s">
        <v>2804</v>
      </c>
      <c r="B581" t="s">
        <v>1251</v>
      </c>
      <c r="C581">
        <v>2021</v>
      </c>
      <c r="E581" t="s">
        <v>1254</v>
      </c>
      <c r="F581" t="s">
        <v>9323</v>
      </c>
      <c r="G581" t="s">
        <v>3990</v>
      </c>
    </row>
    <row r="582" spans="1:7" x14ac:dyDescent="0.25">
      <c r="A582" t="s">
        <v>90</v>
      </c>
      <c r="B582" t="s">
        <v>1255</v>
      </c>
      <c r="C582">
        <v>2017</v>
      </c>
      <c r="E582" t="s">
        <v>3359</v>
      </c>
      <c r="F582" t="s">
        <v>9576</v>
      </c>
      <c r="G582" t="s">
        <v>187</v>
      </c>
    </row>
    <row r="583" spans="1:7" x14ac:dyDescent="0.25">
      <c r="A583" t="s">
        <v>689</v>
      </c>
      <c r="B583" t="s">
        <v>1259</v>
      </c>
      <c r="C583">
        <v>2015</v>
      </c>
      <c r="E583" t="s">
        <v>2982</v>
      </c>
      <c r="F583" t="s">
        <v>8570</v>
      </c>
      <c r="G583" t="s">
        <v>3990</v>
      </c>
    </row>
    <row r="584" spans="1:7" x14ac:dyDescent="0.25">
      <c r="A584" t="s">
        <v>1259</v>
      </c>
      <c r="B584" t="s">
        <v>1262</v>
      </c>
      <c r="C584">
        <v>2021</v>
      </c>
      <c r="D584" t="s">
        <v>187</v>
      </c>
      <c r="F584" t="s">
        <v>9577</v>
      </c>
      <c r="G584" t="s">
        <v>3990</v>
      </c>
    </row>
    <row r="585" spans="1:7" x14ac:dyDescent="0.25">
      <c r="A585" t="s">
        <v>1144</v>
      </c>
      <c r="B585" t="s">
        <v>1265</v>
      </c>
      <c r="C585">
        <v>2012</v>
      </c>
      <c r="E585" s="10" t="s">
        <v>8383</v>
      </c>
      <c r="F585" t="s">
        <v>8743</v>
      </c>
      <c r="G585" t="s">
        <v>3990</v>
      </c>
    </row>
    <row r="586" spans="1:7" x14ac:dyDescent="0.25">
      <c r="A586" t="s">
        <v>2428</v>
      </c>
      <c r="B586" t="s">
        <v>1265</v>
      </c>
      <c r="C586">
        <v>2008</v>
      </c>
      <c r="E586" s="10" t="s">
        <v>8383</v>
      </c>
      <c r="F586" t="s">
        <v>9200</v>
      </c>
      <c r="G586" t="s">
        <v>3990</v>
      </c>
    </row>
    <row r="587" spans="1:7" x14ac:dyDescent="0.25">
      <c r="A587" t="s">
        <v>1046</v>
      </c>
      <c r="B587" t="s">
        <v>1272</v>
      </c>
      <c r="C587">
        <v>2016</v>
      </c>
      <c r="E587" t="s">
        <v>3185</v>
      </c>
      <c r="F587" t="s">
        <v>8714</v>
      </c>
      <c r="G587" t="s">
        <v>3990</v>
      </c>
    </row>
    <row r="588" spans="1:7" x14ac:dyDescent="0.25">
      <c r="A588" t="s">
        <v>2804</v>
      </c>
      <c r="B588" t="s">
        <v>1276</v>
      </c>
      <c r="C588">
        <v>2021</v>
      </c>
      <c r="E588" t="s">
        <v>2982</v>
      </c>
      <c r="F588" t="s">
        <v>9324</v>
      </c>
      <c r="G588" t="s">
        <v>3990</v>
      </c>
    </row>
    <row r="589" spans="1:7" x14ac:dyDescent="0.25">
      <c r="A589" t="s">
        <v>1276</v>
      </c>
      <c r="B589" t="s">
        <v>1280</v>
      </c>
      <c r="C589">
        <v>2022</v>
      </c>
      <c r="D589" t="s">
        <v>187</v>
      </c>
      <c r="F589" t="s">
        <v>9578</v>
      </c>
      <c r="G589" t="s">
        <v>3990</v>
      </c>
    </row>
    <row r="590" spans="1:7" x14ac:dyDescent="0.25">
      <c r="A590" t="s">
        <v>1855</v>
      </c>
      <c r="B590" t="s">
        <v>7689</v>
      </c>
      <c r="C590">
        <v>2015</v>
      </c>
      <c r="E590" t="s">
        <v>7692</v>
      </c>
      <c r="F590" t="s">
        <v>8958</v>
      </c>
      <c r="G590" t="s">
        <v>3990</v>
      </c>
    </row>
    <row r="591" spans="1:7" x14ac:dyDescent="0.25">
      <c r="A591" t="s">
        <v>2154</v>
      </c>
      <c r="B591" t="s">
        <v>1284</v>
      </c>
      <c r="C591">
        <v>1980</v>
      </c>
      <c r="F591" t="s">
        <v>9579</v>
      </c>
      <c r="G591" t="s">
        <v>187</v>
      </c>
    </row>
    <row r="592" spans="1:7" x14ac:dyDescent="0.25">
      <c r="A592" t="s">
        <v>2348</v>
      </c>
      <c r="B592" t="s">
        <v>1287</v>
      </c>
      <c r="C592">
        <v>2006</v>
      </c>
      <c r="E592" t="s">
        <v>3338</v>
      </c>
      <c r="F592" t="s">
        <v>9062</v>
      </c>
      <c r="G592" t="s">
        <v>3990</v>
      </c>
    </row>
    <row r="593" spans="1:7" x14ac:dyDescent="0.25">
      <c r="A593" t="s">
        <v>90</v>
      </c>
      <c r="B593" t="s">
        <v>1290</v>
      </c>
      <c r="C593">
        <v>2017</v>
      </c>
      <c r="F593" t="s">
        <v>9580</v>
      </c>
      <c r="G593" t="s">
        <v>187</v>
      </c>
    </row>
    <row r="594" spans="1:7" x14ac:dyDescent="0.25">
      <c r="A594" t="s">
        <v>746</v>
      </c>
      <c r="B594" t="s">
        <v>1294</v>
      </c>
      <c r="C594">
        <v>2015</v>
      </c>
      <c r="E594" s="10" t="s">
        <v>8343</v>
      </c>
      <c r="F594" t="s">
        <v>8592</v>
      </c>
      <c r="G594" t="s">
        <v>3990</v>
      </c>
    </row>
    <row r="595" spans="1:7" x14ac:dyDescent="0.25">
      <c r="A595" t="s">
        <v>759</v>
      </c>
      <c r="B595" t="s">
        <v>1294</v>
      </c>
      <c r="C595">
        <v>2018</v>
      </c>
      <c r="E595" s="10" t="s">
        <v>8343</v>
      </c>
      <c r="F595" t="s">
        <v>8614</v>
      </c>
      <c r="G595" t="s">
        <v>3990</v>
      </c>
    </row>
    <row r="596" spans="1:7" x14ac:dyDescent="0.25">
      <c r="A596" t="s">
        <v>1046</v>
      </c>
      <c r="B596" t="s">
        <v>1294</v>
      </c>
      <c r="C596">
        <v>2016</v>
      </c>
      <c r="E596" s="10" t="s">
        <v>8343</v>
      </c>
      <c r="F596" t="s">
        <v>8715</v>
      </c>
      <c r="G596" t="s">
        <v>3990</v>
      </c>
    </row>
    <row r="597" spans="1:7" x14ac:dyDescent="0.25">
      <c r="A597" t="s">
        <v>2173</v>
      </c>
      <c r="B597" t="s">
        <v>1294</v>
      </c>
      <c r="C597">
        <v>2013</v>
      </c>
      <c r="E597" s="10" t="s">
        <v>8343</v>
      </c>
      <c r="F597" t="s">
        <v>9041</v>
      </c>
      <c r="G597" t="s">
        <v>3990</v>
      </c>
    </row>
    <row r="598" spans="1:7" x14ac:dyDescent="0.25">
      <c r="A598" t="s">
        <v>90</v>
      </c>
      <c r="B598" t="s">
        <v>1294</v>
      </c>
      <c r="C598">
        <v>2017</v>
      </c>
      <c r="E598" s="10" t="s">
        <v>8343</v>
      </c>
      <c r="F598" t="s">
        <v>9108</v>
      </c>
      <c r="G598" t="s">
        <v>3990</v>
      </c>
    </row>
    <row r="599" spans="1:7" x14ac:dyDescent="0.25">
      <c r="A599" t="s">
        <v>2428</v>
      </c>
      <c r="B599" t="s">
        <v>1294</v>
      </c>
      <c r="C599">
        <v>2008</v>
      </c>
      <c r="E599" s="10" t="s">
        <v>8343</v>
      </c>
      <c r="F599" t="s">
        <v>9201</v>
      </c>
      <c r="G599" t="s">
        <v>3990</v>
      </c>
    </row>
    <row r="600" spans="1:7" x14ac:dyDescent="0.25">
      <c r="A600" t="s">
        <v>160</v>
      </c>
      <c r="B600" t="s">
        <v>1294</v>
      </c>
      <c r="C600">
        <v>2011</v>
      </c>
      <c r="E600" s="10" t="s">
        <v>8343</v>
      </c>
      <c r="F600" t="s">
        <v>9264</v>
      </c>
      <c r="G600" t="s">
        <v>3990</v>
      </c>
    </row>
    <row r="601" spans="1:7" x14ac:dyDescent="0.25">
      <c r="A601" t="s">
        <v>2906</v>
      </c>
      <c r="B601" t="s">
        <v>1294</v>
      </c>
      <c r="C601">
        <v>2018</v>
      </c>
      <c r="E601" s="10" t="s">
        <v>8343</v>
      </c>
      <c r="F601" t="s">
        <v>9358</v>
      </c>
      <c r="G601" t="s">
        <v>3990</v>
      </c>
    </row>
    <row r="602" spans="1:7" x14ac:dyDescent="0.25">
      <c r="A602" t="s">
        <v>1294</v>
      </c>
      <c r="B602" t="s">
        <v>1298</v>
      </c>
      <c r="C602">
        <v>2019</v>
      </c>
      <c r="D602" t="s">
        <v>187</v>
      </c>
      <c r="F602" t="s">
        <v>9581</v>
      </c>
      <c r="G602" t="s">
        <v>3990</v>
      </c>
    </row>
    <row r="603" spans="1:7" x14ac:dyDescent="0.25">
      <c r="A603" t="s">
        <v>847</v>
      </c>
      <c r="B603" t="s">
        <v>1302</v>
      </c>
      <c r="C603">
        <v>1996</v>
      </c>
      <c r="E603" s="10" t="s">
        <v>10003</v>
      </c>
      <c r="F603" t="s">
        <v>9582</v>
      </c>
      <c r="G603" t="s">
        <v>3990</v>
      </c>
    </row>
    <row r="604" spans="1:7" x14ac:dyDescent="0.25">
      <c r="A604" t="s">
        <v>2804</v>
      </c>
      <c r="B604" t="s">
        <v>1302</v>
      </c>
      <c r="C604">
        <v>2021</v>
      </c>
      <c r="E604" t="s">
        <v>3013</v>
      </c>
      <c r="F604" t="s">
        <v>9583</v>
      </c>
      <c r="G604" t="s">
        <v>187</v>
      </c>
    </row>
    <row r="605" spans="1:7" x14ac:dyDescent="0.25">
      <c r="A605" t="s">
        <v>1144</v>
      </c>
      <c r="B605" t="s">
        <v>1306</v>
      </c>
      <c r="C605">
        <v>2012</v>
      </c>
      <c r="E605" t="s">
        <v>3202</v>
      </c>
      <c r="F605" t="s">
        <v>9414</v>
      </c>
      <c r="G605" t="s">
        <v>3990</v>
      </c>
    </row>
    <row r="606" spans="1:7" x14ac:dyDescent="0.25">
      <c r="A606" t="s">
        <v>1306</v>
      </c>
      <c r="B606" t="s">
        <v>1310</v>
      </c>
      <c r="C606">
        <v>2014</v>
      </c>
      <c r="D606" t="s">
        <v>187</v>
      </c>
      <c r="F606" t="s">
        <v>9584</v>
      </c>
      <c r="G606" t="s">
        <v>3990</v>
      </c>
    </row>
    <row r="607" spans="1:7" x14ac:dyDescent="0.25">
      <c r="A607" t="s">
        <v>811</v>
      </c>
      <c r="B607" t="s">
        <v>1312</v>
      </c>
      <c r="C607">
        <v>2024</v>
      </c>
      <c r="E607" t="s">
        <v>2982</v>
      </c>
      <c r="F607" t="s">
        <v>8631</v>
      </c>
      <c r="G607" t="s">
        <v>3990</v>
      </c>
    </row>
    <row r="608" spans="1:7" x14ac:dyDescent="0.25">
      <c r="A608" t="s">
        <v>1306</v>
      </c>
      <c r="B608" t="s">
        <v>1312</v>
      </c>
      <c r="C608">
        <v>2014</v>
      </c>
      <c r="D608" t="s">
        <v>187</v>
      </c>
      <c r="F608" t="s">
        <v>9585</v>
      </c>
      <c r="G608" t="s">
        <v>3990</v>
      </c>
    </row>
    <row r="609" spans="1:7" x14ac:dyDescent="0.25">
      <c r="A609" t="s">
        <v>90</v>
      </c>
      <c r="B609" t="s">
        <v>7842</v>
      </c>
      <c r="C609">
        <v>2017</v>
      </c>
      <c r="E609" t="s">
        <v>7841</v>
      </c>
      <c r="F609" t="s">
        <v>9109</v>
      </c>
      <c r="G609" t="s">
        <v>3990</v>
      </c>
    </row>
    <row r="610" spans="1:7" x14ac:dyDescent="0.25">
      <c r="A610" t="s">
        <v>341</v>
      </c>
      <c r="B610" t="s">
        <v>1317</v>
      </c>
      <c r="C610">
        <v>1997</v>
      </c>
      <c r="E610" t="s">
        <v>3009</v>
      </c>
      <c r="F610" t="s">
        <v>9416</v>
      </c>
      <c r="G610" t="s">
        <v>3990</v>
      </c>
    </row>
    <row r="611" spans="1:7" x14ac:dyDescent="0.25">
      <c r="A611" t="s">
        <v>1795</v>
      </c>
      <c r="B611" t="s">
        <v>1317</v>
      </c>
      <c r="C611">
        <v>1987</v>
      </c>
      <c r="E611" t="s">
        <v>3278</v>
      </c>
      <c r="F611" t="s">
        <v>8922</v>
      </c>
      <c r="G611" t="s">
        <v>3990</v>
      </c>
    </row>
    <row r="612" spans="1:7" x14ac:dyDescent="0.25">
      <c r="A612" t="s">
        <v>1855</v>
      </c>
      <c r="B612" t="s">
        <v>1317</v>
      </c>
      <c r="C612">
        <v>2015</v>
      </c>
      <c r="E612" t="s">
        <v>3009</v>
      </c>
      <c r="F612" t="s">
        <v>9586</v>
      </c>
      <c r="G612" t="s">
        <v>187</v>
      </c>
    </row>
    <row r="613" spans="1:7" x14ac:dyDescent="0.25">
      <c r="A613" t="s">
        <v>2023</v>
      </c>
      <c r="B613" t="s">
        <v>1317</v>
      </c>
      <c r="C613">
        <v>2003</v>
      </c>
      <c r="E613" t="s">
        <v>3305</v>
      </c>
      <c r="F613" t="s">
        <v>9415</v>
      </c>
      <c r="G613" t="s">
        <v>3990</v>
      </c>
    </row>
    <row r="614" spans="1:7" x14ac:dyDescent="0.25">
      <c r="A614" t="s">
        <v>1144</v>
      </c>
      <c r="B614" t="s">
        <v>1320</v>
      </c>
      <c r="C614">
        <v>2012</v>
      </c>
      <c r="E614" t="s">
        <v>3203</v>
      </c>
      <c r="F614" t="s">
        <v>8744</v>
      </c>
      <c r="G614" t="s">
        <v>3990</v>
      </c>
    </row>
    <row r="615" spans="1:7" x14ac:dyDescent="0.25">
      <c r="A615" t="s">
        <v>160</v>
      </c>
      <c r="B615" t="s">
        <v>1320</v>
      </c>
      <c r="C615">
        <v>2011</v>
      </c>
      <c r="E615" t="s">
        <v>3203</v>
      </c>
      <c r="F615" t="s">
        <v>9265</v>
      </c>
      <c r="G615" t="s">
        <v>3990</v>
      </c>
    </row>
    <row r="616" spans="1:7" x14ac:dyDescent="0.25">
      <c r="A616" t="s">
        <v>1294</v>
      </c>
      <c r="B616" t="s">
        <v>1326</v>
      </c>
      <c r="C616">
        <v>2019</v>
      </c>
      <c r="E616" t="s">
        <v>3226</v>
      </c>
      <c r="F616" t="s">
        <v>9587</v>
      </c>
      <c r="G616" t="s">
        <v>187</v>
      </c>
    </row>
    <row r="617" spans="1:7" x14ac:dyDescent="0.25">
      <c r="A617" t="s">
        <v>344</v>
      </c>
      <c r="B617" t="s">
        <v>1330</v>
      </c>
      <c r="C617">
        <v>2023</v>
      </c>
      <c r="E617" t="s">
        <v>2982</v>
      </c>
      <c r="F617" t="s">
        <v>8473</v>
      </c>
      <c r="G617" t="s">
        <v>3990</v>
      </c>
    </row>
    <row r="618" spans="1:7" x14ac:dyDescent="0.25">
      <c r="A618" t="s">
        <v>1144</v>
      </c>
      <c r="B618" t="s">
        <v>1334</v>
      </c>
      <c r="C618">
        <v>2012</v>
      </c>
      <c r="E618" s="10" t="s">
        <v>8436</v>
      </c>
      <c r="F618" t="s">
        <v>8435</v>
      </c>
      <c r="G618" t="s">
        <v>3990</v>
      </c>
    </row>
    <row r="619" spans="1:7" x14ac:dyDescent="0.25">
      <c r="A619" t="s">
        <v>1144</v>
      </c>
      <c r="B619" t="s">
        <v>1336</v>
      </c>
      <c r="C619">
        <v>2012</v>
      </c>
      <c r="E619" s="10" t="s">
        <v>8338</v>
      </c>
      <c r="F619" t="s">
        <v>8745</v>
      </c>
      <c r="G619" t="s">
        <v>3990</v>
      </c>
    </row>
    <row r="620" spans="1:7" x14ac:dyDescent="0.25">
      <c r="A620" t="s">
        <v>2428</v>
      </c>
      <c r="B620" t="s">
        <v>1340</v>
      </c>
      <c r="C620">
        <v>2008</v>
      </c>
      <c r="E620" s="10" t="s">
        <v>8408</v>
      </c>
      <c r="F620" t="s">
        <v>9202</v>
      </c>
      <c r="G620" t="s">
        <v>3990</v>
      </c>
    </row>
    <row r="621" spans="1:7" x14ac:dyDescent="0.25">
      <c r="A621" t="s">
        <v>746</v>
      </c>
      <c r="B621" t="s">
        <v>1344</v>
      </c>
      <c r="C621">
        <v>2015</v>
      </c>
      <c r="E621" t="s">
        <v>3103</v>
      </c>
      <c r="F621" t="s">
        <v>10015</v>
      </c>
      <c r="G621" t="s">
        <v>187</v>
      </c>
    </row>
    <row r="622" spans="1:7" x14ac:dyDescent="0.25">
      <c r="A622" t="s">
        <v>847</v>
      </c>
      <c r="B622" t="s">
        <v>1344</v>
      </c>
      <c r="C622">
        <v>1996</v>
      </c>
      <c r="E622" t="s">
        <v>3134</v>
      </c>
      <c r="F622" t="s">
        <v>8647</v>
      </c>
      <c r="G622" t="s">
        <v>3990</v>
      </c>
    </row>
    <row r="623" spans="1:7" x14ac:dyDescent="0.25">
      <c r="A623" t="s">
        <v>1294</v>
      </c>
      <c r="B623" t="s">
        <v>1344</v>
      </c>
      <c r="C623">
        <v>2019</v>
      </c>
      <c r="E623" t="s">
        <v>3103</v>
      </c>
      <c r="F623" t="s">
        <v>10015</v>
      </c>
      <c r="G623" t="s">
        <v>187</v>
      </c>
    </row>
    <row r="624" spans="1:7" x14ac:dyDescent="0.25">
      <c r="A624" t="s">
        <v>1294</v>
      </c>
      <c r="B624" t="s">
        <v>1348</v>
      </c>
      <c r="C624">
        <v>2019</v>
      </c>
      <c r="E624" t="s">
        <v>3227</v>
      </c>
      <c r="F624" t="s">
        <v>8793</v>
      </c>
      <c r="G624" t="s">
        <v>3990</v>
      </c>
    </row>
    <row r="625" spans="1:7" x14ac:dyDescent="0.25">
      <c r="A625" t="s">
        <v>1302</v>
      </c>
      <c r="B625" t="s">
        <v>1348</v>
      </c>
      <c r="C625">
        <v>2023</v>
      </c>
      <c r="E625" t="s">
        <v>3237</v>
      </c>
      <c r="F625" t="s">
        <v>8815</v>
      </c>
      <c r="G625" t="s">
        <v>3990</v>
      </c>
    </row>
    <row r="626" spans="1:7" x14ac:dyDescent="0.25">
      <c r="A626" t="s">
        <v>90</v>
      </c>
      <c r="B626" t="s">
        <v>1348</v>
      </c>
      <c r="C626">
        <v>2017</v>
      </c>
      <c r="E626" t="s">
        <v>3360</v>
      </c>
      <c r="F626" t="s">
        <v>9110</v>
      </c>
      <c r="G626" t="s">
        <v>3990</v>
      </c>
    </row>
    <row r="627" spans="1:7" x14ac:dyDescent="0.25">
      <c r="A627" t="s">
        <v>2804</v>
      </c>
      <c r="B627" t="s">
        <v>1348</v>
      </c>
      <c r="C627">
        <v>2021</v>
      </c>
      <c r="E627" t="s">
        <v>3237</v>
      </c>
      <c r="F627" t="s">
        <v>9325</v>
      </c>
      <c r="G627" t="s">
        <v>3990</v>
      </c>
    </row>
    <row r="628" spans="1:7" x14ac:dyDescent="0.25">
      <c r="A628" t="s">
        <v>2878</v>
      </c>
      <c r="B628" t="s">
        <v>1351</v>
      </c>
      <c r="C628">
        <v>2020</v>
      </c>
      <c r="D628" t="s">
        <v>187</v>
      </c>
      <c r="F628" t="s">
        <v>9588</v>
      </c>
      <c r="G628" t="s">
        <v>3990</v>
      </c>
    </row>
    <row r="629" spans="1:7" x14ac:dyDescent="0.25">
      <c r="A629" t="s">
        <v>462</v>
      </c>
      <c r="B629" t="s">
        <v>1353</v>
      </c>
      <c r="C629">
        <v>2018</v>
      </c>
      <c r="D629" t="s">
        <v>187</v>
      </c>
      <c r="E629" t="s">
        <v>3057</v>
      </c>
      <c r="F629" t="s">
        <v>8531</v>
      </c>
      <c r="G629" t="s">
        <v>3990</v>
      </c>
    </row>
    <row r="630" spans="1:7" x14ac:dyDescent="0.25">
      <c r="A630" t="s">
        <v>90</v>
      </c>
      <c r="B630" t="s">
        <v>1353</v>
      </c>
      <c r="C630">
        <v>2017</v>
      </c>
      <c r="E630" t="s">
        <v>3057</v>
      </c>
      <c r="F630" t="s">
        <v>9111</v>
      </c>
      <c r="G630" t="s">
        <v>3990</v>
      </c>
    </row>
    <row r="631" spans="1:7" x14ac:dyDescent="0.25">
      <c r="A631" t="s">
        <v>1294</v>
      </c>
      <c r="B631" t="s">
        <v>1357</v>
      </c>
      <c r="C631">
        <v>2019</v>
      </c>
      <c r="E631" t="s">
        <v>3228</v>
      </c>
      <c r="F631" t="s">
        <v>9589</v>
      </c>
      <c r="G631" t="s">
        <v>187</v>
      </c>
    </row>
    <row r="632" spans="1:7" x14ac:dyDescent="0.25">
      <c r="A632" t="s">
        <v>497</v>
      </c>
      <c r="B632" t="s">
        <v>1361</v>
      </c>
      <c r="C632">
        <v>2022</v>
      </c>
      <c r="E632" t="s">
        <v>3067</v>
      </c>
      <c r="F632" t="s">
        <v>8543</v>
      </c>
      <c r="G632" t="s">
        <v>3990</v>
      </c>
    </row>
    <row r="633" spans="1:7" x14ac:dyDescent="0.25">
      <c r="A633" t="s">
        <v>2804</v>
      </c>
      <c r="B633" t="s">
        <v>1361</v>
      </c>
      <c r="C633">
        <v>2021</v>
      </c>
      <c r="E633" t="s">
        <v>3013</v>
      </c>
      <c r="F633" t="s">
        <v>9590</v>
      </c>
      <c r="G633" t="s">
        <v>187</v>
      </c>
    </row>
    <row r="634" spans="1:7" x14ac:dyDescent="0.25">
      <c r="A634" t="s">
        <v>1365</v>
      </c>
      <c r="B634" t="s">
        <v>1369</v>
      </c>
      <c r="C634">
        <v>2018</v>
      </c>
      <c r="D634" t="s">
        <v>187</v>
      </c>
      <c r="F634" t="s">
        <v>9591</v>
      </c>
      <c r="G634" t="s">
        <v>3990</v>
      </c>
    </row>
    <row r="635" spans="1:7" x14ac:dyDescent="0.25">
      <c r="A635" t="s">
        <v>571</v>
      </c>
      <c r="B635" t="s">
        <v>1373</v>
      </c>
      <c r="C635">
        <v>2022</v>
      </c>
      <c r="D635" t="s">
        <v>187</v>
      </c>
      <c r="F635" t="s">
        <v>9592</v>
      </c>
      <c r="G635" t="s">
        <v>3990</v>
      </c>
    </row>
    <row r="636" spans="1:7" x14ac:dyDescent="0.25">
      <c r="A636" t="s">
        <v>464</v>
      </c>
      <c r="B636" t="s">
        <v>1376</v>
      </c>
      <c r="C636">
        <v>2022</v>
      </c>
      <c r="D636" t="s">
        <v>187</v>
      </c>
      <c r="F636" t="s">
        <v>9593</v>
      </c>
      <c r="G636" t="s">
        <v>3990</v>
      </c>
    </row>
    <row r="637" spans="1:7" x14ac:dyDescent="0.25">
      <c r="A637" t="s">
        <v>90</v>
      </c>
      <c r="B637" t="s">
        <v>1376</v>
      </c>
      <c r="C637">
        <v>2017</v>
      </c>
      <c r="E637" t="s">
        <v>2982</v>
      </c>
      <c r="F637" t="s">
        <v>9594</v>
      </c>
      <c r="G637" t="s">
        <v>187</v>
      </c>
    </row>
    <row r="638" spans="1:7" x14ac:dyDescent="0.25">
      <c r="A638" t="s">
        <v>1592</v>
      </c>
      <c r="B638" t="s">
        <v>1378</v>
      </c>
      <c r="C638">
        <v>2019</v>
      </c>
      <c r="E638" s="10" t="s">
        <v>1381</v>
      </c>
      <c r="F638" t="s">
        <v>8887</v>
      </c>
      <c r="G638" t="s">
        <v>3990</v>
      </c>
    </row>
    <row r="639" spans="1:7" x14ac:dyDescent="0.25">
      <c r="A639" t="s">
        <v>2804</v>
      </c>
      <c r="B639" t="s">
        <v>1378</v>
      </c>
      <c r="C639">
        <v>2021</v>
      </c>
      <c r="E639" s="10" t="s">
        <v>1381</v>
      </c>
      <c r="F639" t="s">
        <v>9326</v>
      </c>
      <c r="G639" t="s">
        <v>3990</v>
      </c>
    </row>
    <row r="640" spans="1:7" x14ac:dyDescent="0.25">
      <c r="A640" t="s">
        <v>2721</v>
      </c>
      <c r="B640" t="s">
        <v>1382</v>
      </c>
      <c r="C640">
        <v>1993</v>
      </c>
      <c r="E640" t="s">
        <v>3013</v>
      </c>
      <c r="F640" t="s">
        <v>9595</v>
      </c>
      <c r="G640" t="s">
        <v>187</v>
      </c>
    </row>
    <row r="641" spans="1:7" x14ac:dyDescent="0.25">
      <c r="A641" t="s">
        <v>1761</v>
      </c>
      <c r="B641" t="s">
        <v>1388</v>
      </c>
      <c r="C641">
        <v>1995</v>
      </c>
      <c r="E641" t="s">
        <v>3270</v>
      </c>
      <c r="F641" t="s">
        <v>8912</v>
      </c>
      <c r="G641" t="s">
        <v>3990</v>
      </c>
    </row>
    <row r="642" spans="1:7" x14ac:dyDescent="0.25">
      <c r="A642" t="s">
        <v>2721</v>
      </c>
      <c r="B642" t="s">
        <v>1388</v>
      </c>
      <c r="C642">
        <v>1993</v>
      </c>
      <c r="E642" t="s">
        <v>3270</v>
      </c>
      <c r="F642" t="s">
        <v>9307</v>
      </c>
      <c r="G642" t="s">
        <v>3990</v>
      </c>
    </row>
    <row r="643" spans="1:7" x14ac:dyDescent="0.25">
      <c r="A643" t="s">
        <v>353</v>
      </c>
      <c r="B643" t="s">
        <v>1391</v>
      </c>
      <c r="C643">
        <v>2023</v>
      </c>
      <c r="E643" t="s">
        <v>3031</v>
      </c>
      <c r="F643" t="s">
        <v>8503</v>
      </c>
      <c r="G643" t="s">
        <v>3990</v>
      </c>
    </row>
    <row r="644" spans="1:7" x14ac:dyDescent="0.25">
      <c r="A644" t="s">
        <v>497</v>
      </c>
      <c r="B644" t="s">
        <v>1391</v>
      </c>
      <c r="C644">
        <v>2022</v>
      </c>
      <c r="E644" t="s">
        <v>2982</v>
      </c>
      <c r="F644" t="s">
        <v>8544</v>
      </c>
      <c r="G644" t="s">
        <v>3990</v>
      </c>
    </row>
    <row r="645" spans="1:7" x14ac:dyDescent="0.25">
      <c r="A645" t="s">
        <v>353</v>
      </c>
      <c r="B645" t="s">
        <v>1394</v>
      </c>
      <c r="C645">
        <v>2023</v>
      </c>
      <c r="E645" t="s">
        <v>3032</v>
      </c>
      <c r="F645" t="s">
        <v>10016</v>
      </c>
      <c r="G645" t="s">
        <v>3990</v>
      </c>
    </row>
    <row r="646" spans="1:7" x14ac:dyDescent="0.25">
      <c r="A646" t="s">
        <v>918</v>
      </c>
      <c r="B646" t="s">
        <v>1394</v>
      </c>
      <c r="C646">
        <v>2014</v>
      </c>
      <c r="E646" t="s">
        <v>3032</v>
      </c>
      <c r="F646" t="s">
        <v>9380</v>
      </c>
      <c r="G646" t="s">
        <v>3990</v>
      </c>
    </row>
    <row r="647" spans="1:7" x14ac:dyDescent="0.25">
      <c r="A647" t="s">
        <v>90</v>
      </c>
      <c r="B647" t="s">
        <v>1394</v>
      </c>
      <c r="C647">
        <v>2017</v>
      </c>
      <c r="E647" t="s">
        <v>3032</v>
      </c>
      <c r="F647" t="s">
        <v>10016</v>
      </c>
      <c r="G647" t="s">
        <v>3990</v>
      </c>
    </row>
    <row r="648" spans="1:7" x14ac:dyDescent="0.25">
      <c r="A648" t="s">
        <v>2890</v>
      </c>
      <c r="B648" t="s">
        <v>1394</v>
      </c>
      <c r="C648">
        <v>2023</v>
      </c>
      <c r="E648" s="10" t="s">
        <v>3032</v>
      </c>
      <c r="F648" t="s">
        <v>9366</v>
      </c>
      <c r="G648" t="s">
        <v>3990</v>
      </c>
    </row>
    <row r="649" spans="1:7" x14ac:dyDescent="0.25">
      <c r="A649" t="s">
        <v>2804</v>
      </c>
      <c r="B649" t="s">
        <v>1396</v>
      </c>
      <c r="C649">
        <v>2021</v>
      </c>
      <c r="E649" t="s">
        <v>3013</v>
      </c>
      <c r="F649" t="s">
        <v>9596</v>
      </c>
      <c r="G649" t="s">
        <v>187</v>
      </c>
    </row>
    <row r="650" spans="1:7" x14ac:dyDescent="0.25">
      <c r="A650" t="s">
        <v>256</v>
      </c>
      <c r="B650" t="s">
        <v>1400</v>
      </c>
      <c r="C650">
        <v>1994</v>
      </c>
      <c r="E650" t="s">
        <v>2991</v>
      </c>
      <c r="F650" t="s">
        <v>8452</v>
      </c>
      <c r="G650" t="s">
        <v>3990</v>
      </c>
    </row>
    <row r="651" spans="1:7" x14ac:dyDescent="0.25">
      <c r="A651" t="s">
        <v>689</v>
      </c>
      <c r="B651" t="s">
        <v>1400</v>
      </c>
      <c r="C651">
        <v>2015</v>
      </c>
      <c r="E651" t="s">
        <v>2991</v>
      </c>
      <c r="F651" t="s">
        <v>8571</v>
      </c>
      <c r="G651" t="s">
        <v>3990</v>
      </c>
    </row>
    <row r="652" spans="1:7" x14ac:dyDescent="0.25">
      <c r="A652" t="s">
        <v>1385</v>
      </c>
      <c r="B652" t="s">
        <v>1400</v>
      </c>
      <c r="C652">
        <v>2013</v>
      </c>
      <c r="E652" t="s">
        <v>2991</v>
      </c>
      <c r="F652" t="s">
        <v>8822</v>
      </c>
      <c r="G652" t="s">
        <v>3990</v>
      </c>
    </row>
    <row r="653" spans="1:7" x14ac:dyDescent="0.25">
      <c r="A653" t="s">
        <v>1795</v>
      </c>
      <c r="B653" t="s">
        <v>1400</v>
      </c>
      <c r="C653">
        <v>1987</v>
      </c>
      <c r="E653" t="s">
        <v>2991</v>
      </c>
      <c r="F653" t="s">
        <v>8923</v>
      </c>
      <c r="G653" t="s">
        <v>3990</v>
      </c>
    </row>
    <row r="654" spans="1:7" x14ac:dyDescent="0.25">
      <c r="A654" t="s">
        <v>2053</v>
      </c>
      <c r="B654" t="s">
        <v>1400</v>
      </c>
      <c r="C654">
        <v>1992</v>
      </c>
      <c r="E654" t="s">
        <v>2991</v>
      </c>
      <c r="F654" t="s">
        <v>8983</v>
      </c>
      <c r="G654" t="s">
        <v>3990</v>
      </c>
    </row>
    <row r="655" spans="1:7" x14ac:dyDescent="0.25">
      <c r="A655" t="s">
        <v>2154</v>
      </c>
      <c r="B655" t="s">
        <v>1400</v>
      </c>
      <c r="C655">
        <v>1980</v>
      </c>
      <c r="E655" t="s">
        <v>2991</v>
      </c>
      <c r="F655" t="s">
        <v>9021</v>
      </c>
      <c r="G655" t="s">
        <v>3990</v>
      </c>
    </row>
    <row r="656" spans="1:7" x14ac:dyDescent="0.25">
      <c r="A656" t="s">
        <v>2804</v>
      </c>
      <c r="B656" t="s">
        <v>1403</v>
      </c>
      <c r="C656">
        <v>2021</v>
      </c>
      <c r="E656" t="s">
        <v>3013</v>
      </c>
      <c r="F656" t="s">
        <v>9597</v>
      </c>
      <c r="G656" t="s">
        <v>187</v>
      </c>
    </row>
    <row r="657" spans="1:7" x14ac:dyDescent="0.25">
      <c r="A657" t="s">
        <v>836</v>
      </c>
      <c r="B657" t="s">
        <v>1407</v>
      </c>
      <c r="C657">
        <v>2010</v>
      </c>
      <c r="E657" s="10" t="s">
        <v>9390</v>
      </c>
      <c r="F657" t="s">
        <v>9389</v>
      </c>
      <c r="G657" t="s">
        <v>3990</v>
      </c>
    </row>
    <row r="658" spans="1:7" x14ac:dyDescent="0.25">
      <c r="A658" t="s">
        <v>994</v>
      </c>
      <c r="B658" t="s">
        <v>1407</v>
      </c>
      <c r="C658">
        <v>2011</v>
      </c>
      <c r="E658" t="s">
        <v>3168</v>
      </c>
      <c r="F658" t="s">
        <v>8694</v>
      </c>
      <c r="G658" t="s">
        <v>3990</v>
      </c>
    </row>
    <row r="659" spans="1:7" x14ac:dyDescent="0.25">
      <c r="A659" t="s">
        <v>1572</v>
      </c>
      <c r="B659" t="s">
        <v>1407</v>
      </c>
      <c r="C659">
        <v>2001</v>
      </c>
      <c r="E659" t="s">
        <v>3168</v>
      </c>
      <c r="F659" t="s">
        <v>8865</v>
      </c>
      <c r="G659" t="s">
        <v>3990</v>
      </c>
    </row>
    <row r="660" spans="1:7" x14ac:dyDescent="0.25">
      <c r="A660" t="s">
        <v>2804</v>
      </c>
      <c r="B660" t="s">
        <v>1409</v>
      </c>
      <c r="C660">
        <v>2021</v>
      </c>
      <c r="E660" t="s">
        <v>3424</v>
      </c>
      <c r="F660" t="s">
        <v>9598</v>
      </c>
      <c r="G660" t="s">
        <v>187</v>
      </c>
    </row>
    <row r="661" spans="1:7" x14ac:dyDescent="0.25">
      <c r="A661" t="s">
        <v>1046</v>
      </c>
      <c r="B661" t="s">
        <v>1413</v>
      </c>
      <c r="C661">
        <v>2016</v>
      </c>
      <c r="E661" s="10" t="s">
        <v>8392</v>
      </c>
      <c r="F661" t="s">
        <v>8716</v>
      </c>
      <c r="G661" t="s">
        <v>3990</v>
      </c>
    </row>
    <row r="662" spans="1:7" x14ac:dyDescent="0.25">
      <c r="A662" t="s">
        <v>2173</v>
      </c>
      <c r="B662" t="s">
        <v>1413</v>
      </c>
      <c r="C662">
        <v>2013</v>
      </c>
      <c r="E662" t="s">
        <v>3331</v>
      </c>
      <c r="F662" t="s">
        <v>9042</v>
      </c>
      <c r="G662" t="s">
        <v>3990</v>
      </c>
    </row>
    <row r="663" spans="1:7" x14ac:dyDescent="0.25">
      <c r="A663" t="s">
        <v>2428</v>
      </c>
      <c r="B663" t="s">
        <v>1413</v>
      </c>
      <c r="C663">
        <v>2008</v>
      </c>
      <c r="E663" s="10" t="s">
        <v>8392</v>
      </c>
      <c r="F663" t="s">
        <v>9203</v>
      </c>
      <c r="G663" t="s">
        <v>3990</v>
      </c>
    </row>
    <row r="664" spans="1:7" x14ac:dyDescent="0.25">
      <c r="A664" t="s">
        <v>2954</v>
      </c>
      <c r="B664" t="s">
        <v>1413</v>
      </c>
      <c r="C664">
        <v>2014</v>
      </c>
      <c r="E664" s="10" t="s">
        <v>8391</v>
      </c>
      <c r="F664" t="s">
        <v>9363</v>
      </c>
      <c r="G664" t="s">
        <v>3990</v>
      </c>
    </row>
    <row r="665" spans="1:7" x14ac:dyDescent="0.25">
      <c r="A665" t="s">
        <v>2132</v>
      </c>
      <c r="B665" t="s">
        <v>1417</v>
      </c>
      <c r="C665">
        <v>2013</v>
      </c>
      <c r="E665" t="s">
        <v>3310</v>
      </c>
      <c r="F665" t="s">
        <v>8993</v>
      </c>
      <c r="G665" t="s">
        <v>3990</v>
      </c>
    </row>
    <row r="666" spans="1:7" x14ac:dyDescent="0.25">
      <c r="A666" t="s">
        <v>256</v>
      </c>
      <c r="B666" t="s">
        <v>1420</v>
      </c>
      <c r="C666">
        <v>1994</v>
      </c>
      <c r="E666" t="s">
        <v>2992</v>
      </c>
      <c r="F666" t="s">
        <v>14049</v>
      </c>
      <c r="G666" t="s">
        <v>3990</v>
      </c>
    </row>
    <row r="667" spans="1:7" x14ac:dyDescent="0.25">
      <c r="A667" t="s">
        <v>260</v>
      </c>
      <c r="B667" t="s">
        <v>1420</v>
      </c>
      <c r="C667">
        <v>1990</v>
      </c>
      <c r="E667" t="s">
        <v>2992</v>
      </c>
      <c r="F667" t="s">
        <v>14049</v>
      </c>
      <c r="G667" t="s">
        <v>3990</v>
      </c>
    </row>
    <row r="668" spans="1:7" x14ac:dyDescent="0.25">
      <c r="A668" t="s">
        <v>1795</v>
      </c>
      <c r="B668" t="s">
        <v>1420</v>
      </c>
      <c r="C668">
        <v>1987</v>
      </c>
      <c r="E668" t="s">
        <v>2992</v>
      </c>
      <c r="F668" t="s">
        <v>14049</v>
      </c>
      <c r="G668" t="s">
        <v>3990</v>
      </c>
    </row>
    <row r="669" spans="1:7" x14ac:dyDescent="0.25">
      <c r="A669" t="s">
        <v>1882</v>
      </c>
      <c r="B669" t="s">
        <v>1420</v>
      </c>
      <c r="C669">
        <v>1987</v>
      </c>
      <c r="E669" t="s">
        <v>2992</v>
      </c>
      <c r="F669" t="s">
        <v>14049</v>
      </c>
      <c r="G669" t="s">
        <v>3990</v>
      </c>
    </row>
    <row r="670" spans="1:7" x14ac:dyDescent="0.25">
      <c r="A670" t="s">
        <v>2571</v>
      </c>
      <c r="B670" t="s">
        <v>1420</v>
      </c>
      <c r="C670">
        <v>1998</v>
      </c>
      <c r="E670" t="s">
        <v>2992</v>
      </c>
      <c r="F670" t="s">
        <v>14049</v>
      </c>
      <c r="G670" t="s">
        <v>3990</v>
      </c>
    </row>
    <row r="671" spans="1:7" x14ac:dyDescent="0.25">
      <c r="A671" t="s">
        <v>2874</v>
      </c>
      <c r="B671" t="s">
        <v>1423</v>
      </c>
      <c r="C671">
        <v>2005</v>
      </c>
      <c r="D671" t="s">
        <v>187</v>
      </c>
      <c r="F671" t="s">
        <v>9599</v>
      </c>
      <c r="G671" t="s">
        <v>3990</v>
      </c>
    </row>
    <row r="672" spans="1:7" x14ac:dyDescent="0.25">
      <c r="A672" t="s">
        <v>260</v>
      </c>
      <c r="B672" t="s">
        <v>1425</v>
      </c>
      <c r="C672">
        <v>1990</v>
      </c>
      <c r="E672" t="s">
        <v>2982</v>
      </c>
      <c r="F672" t="s">
        <v>9417</v>
      </c>
      <c r="G672" t="s">
        <v>3990</v>
      </c>
    </row>
    <row r="673" spans="1:7" x14ac:dyDescent="0.25">
      <c r="A673" t="s">
        <v>922</v>
      </c>
      <c r="B673" t="s">
        <v>1425</v>
      </c>
      <c r="C673">
        <v>2002</v>
      </c>
      <c r="E673" t="s">
        <v>2982</v>
      </c>
      <c r="F673" t="s">
        <v>8673</v>
      </c>
      <c r="G673" t="s">
        <v>3990</v>
      </c>
    </row>
    <row r="674" spans="1:7" x14ac:dyDescent="0.25">
      <c r="A674" t="s">
        <v>2154</v>
      </c>
      <c r="B674" t="s">
        <v>1425</v>
      </c>
      <c r="C674">
        <v>1980</v>
      </c>
      <c r="E674" t="s">
        <v>2982</v>
      </c>
      <c r="F674" t="s">
        <v>9022</v>
      </c>
      <c r="G674" t="s">
        <v>3990</v>
      </c>
    </row>
    <row r="675" spans="1:7" x14ac:dyDescent="0.25">
      <c r="A675" t="s">
        <v>1690</v>
      </c>
      <c r="B675" t="s">
        <v>1428</v>
      </c>
      <c r="C675">
        <v>2020</v>
      </c>
      <c r="D675" t="s">
        <v>187</v>
      </c>
      <c r="F675" t="s">
        <v>9600</v>
      </c>
      <c r="G675" t="s">
        <v>3990</v>
      </c>
    </row>
    <row r="676" spans="1:7" x14ac:dyDescent="0.25">
      <c r="A676" t="s">
        <v>1306</v>
      </c>
      <c r="B676" t="s">
        <v>1432</v>
      </c>
      <c r="C676">
        <v>2014</v>
      </c>
      <c r="E676" t="s">
        <v>2982</v>
      </c>
      <c r="F676" t="s">
        <v>8819</v>
      </c>
      <c r="G676" t="s">
        <v>3990</v>
      </c>
    </row>
    <row r="677" spans="1:7" x14ac:dyDescent="0.25">
      <c r="A677" t="s">
        <v>1435</v>
      </c>
      <c r="B677" t="s">
        <v>1432</v>
      </c>
      <c r="C677">
        <v>2021</v>
      </c>
      <c r="E677" t="s">
        <v>2982</v>
      </c>
      <c r="F677" t="s">
        <v>8830</v>
      </c>
      <c r="G677" t="s">
        <v>3990</v>
      </c>
    </row>
    <row r="678" spans="1:7" x14ac:dyDescent="0.25">
      <c r="A678" t="s">
        <v>1690</v>
      </c>
      <c r="B678" t="s">
        <v>1435</v>
      </c>
      <c r="C678">
        <v>2020</v>
      </c>
      <c r="E678" t="s">
        <v>3266</v>
      </c>
      <c r="F678" t="s">
        <v>8897</v>
      </c>
      <c r="G678" t="s">
        <v>3990</v>
      </c>
    </row>
    <row r="679" spans="1:7" x14ac:dyDescent="0.25">
      <c r="A679" t="s">
        <v>90</v>
      </c>
      <c r="B679" t="s">
        <v>1435</v>
      </c>
      <c r="C679">
        <v>2017</v>
      </c>
      <c r="E679" t="s">
        <v>3266</v>
      </c>
      <c r="F679" t="s">
        <v>9112</v>
      </c>
      <c r="G679" t="s">
        <v>3990</v>
      </c>
    </row>
    <row r="680" spans="1:7" x14ac:dyDescent="0.25">
      <c r="A680" t="s">
        <v>353</v>
      </c>
      <c r="B680" t="s">
        <v>7977</v>
      </c>
      <c r="C680">
        <v>2023</v>
      </c>
      <c r="E680" s="10" t="s">
        <v>7976</v>
      </c>
      <c r="F680" t="s">
        <v>8504</v>
      </c>
      <c r="G680" t="s">
        <v>3990</v>
      </c>
    </row>
    <row r="681" spans="1:7" x14ac:dyDescent="0.25">
      <c r="A681" t="s">
        <v>353</v>
      </c>
      <c r="B681" t="s">
        <v>7977</v>
      </c>
      <c r="C681">
        <v>2023</v>
      </c>
      <c r="E681" s="10" t="s">
        <v>7976</v>
      </c>
      <c r="F681" t="s">
        <v>8504</v>
      </c>
      <c r="G681" t="s">
        <v>3990</v>
      </c>
    </row>
    <row r="682" spans="1:7" x14ac:dyDescent="0.25">
      <c r="A682" t="s">
        <v>720</v>
      </c>
      <c r="B682" t="s">
        <v>1439</v>
      </c>
      <c r="C682">
        <v>2016</v>
      </c>
      <c r="E682" t="s">
        <v>3090</v>
      </c>
      <c r="F682" t="s">
        <v>8577</v>
      </c>
      <c r="G682" t="s">
        <v>3990</v>
      </c>
    </row>
    <row r="683" spans="1:7" x14ac:dyDescent="0.25">
      <c r="A683" t="s">
        <v>1144</v>
      </c>
      <c r="B683" t="s">
        <v>1439</v>
      </c>
      <c r="C683">
        <v>2012</v>
      </c>
      <c r="E683" t="s">
        <v>3090</v>
      </c>
      <c r="F683" t="s">
        <v>8746</v>
      </c>
      <c r="G683" t="s">
        <v>3990</v>
      </c>
    </row>
    <row r="684" spans="1:7" x14ac:dyDescent="0.25">
      <c r="A684" t="s">
        <v>1144</v>
      </c>
      <c r="B684" t="s">
        <v>1443</v>
      </c>
      <c r="C684">
        <v>2012</v>
      </c>
      <c r="D684" t="s">
        <v>187</v>
      </c>
      <c r="E684" t="s">
        <v>3204</v>
      </c>
      <c r="F684" t="s">
        <v>8747</v>
      </c>
      <c r="G684" t="s">
        <v>3990</v>
      </c>
    </row>
    <row r="685" spans="1:7" x14ac:dyDescent="0.25">
      <c r="A685" t="s">
        <v>1385</v>
      </c>
      <c r="B685" t="s">
        <v>1443</v>
      </c>
      <c r="C685">
        <v>2013</v>
      </c>
      <c r="E685" t="s">
        <v>3238</v>
      </c>
      <c r="F685" t="s">
        <v>9601</v>
      </c>
      <c r="G685" t="s">
        <v>187</v>
      </c>
    </row>
    <row r="686" spans="1:7" x14ac:dyDescent="0.25">
      <c r="A686" t="s">
        <v>90</v>
      </c>
      <c r="B686" t="s">
        <v>1447</v>
      </c>
      <c r="C686">
        <v>2017</v>
      </c>
      <c r="E686" t="s">
        <v>2982</v>
      </c>
      <c r="F686" t="s">
        <v>9113</v>
      </c>
      <c r="G686" t="s">
        <v>3990</v>
      </c>
    </row>
    <row r="687" spans="1:7" x14ac:dyDescent="0.25">
      <c r="A687" t="s">
        <v>746</v>
      </c>
      <c r="B687" t="s">
        <v>1450</v>
      </c>
      <c r="C687">
        <v>2015</v>
      </c>
      <c r="E687" t="s">
        <v>3104</v>
      </c>
      <c r="F687" t="s">
        <v>8593</v>
      </c>
      <c r="G687" t="s">
        <v>3990</v>
      </c>
    </row>
    <row r="688" spans="1:7" x14ac:dyDescent="0.25">
      <c r="A688" t="s">
        <v>90</v>
      </c>
      <c r="B688" t="s">
        <v>1450</v>
      </c>
      <c r="C688">
        <v>2017</v>
      </c>
      <c r="E688" t="s">
        <v>3104</v>
      </c>
      <c r="F688" t="s">
        <v>9114</v>
      </c>
      <c r="G688" t="s">
        <v>3990</v>
      </c>
    </row>
    <row r="689" spans="1:7" x14ac:dyDescent="0.25">
      <c r="A689" t="s">
        <v>1795</v>
      </c>
      <c r="B689" t="s">
        <v>1454</v>
      </c>
      <c r="C689">
        <v>1987</v>
      </c>
      <c r="E689" t="s">
        <v>3279</v>
      </c>
      <c r="F689" t="s">
        <v>8924</v>
      </c>
      <c r="G689" t="s">
        <v>3990</v>
      </c>
    </row>
    <row r="690" spans="1:7" x14ac:dyDescent="0.25">
      <c r="A690" t="s">
        <v>1460</v>
      </c>
      <c r="B690" t="s">
        <v>1457</v>
      </c>
      <c r="C690">
        <v>2006</v>
      </c>
      <c r="D690" t="s">
        <v>187</v>
      </c>
      <c r="F690" t="s">
        <v>9602</v>
      </c>
      <c r="G690" t="s">
        <v>3990</v>
      </c>
    </row>
    <row r="691" spans="1:7" x14ac:dyDescent="0.25">
      <c r="A691" t="s">
        <v>2721</v>
      </c>
      <c r="B691" t="s">
        <v>1460</v>
      </c>
      <c r="C691">
        <v>1993</v>
      </c>
      <c r="E691" t="s">
        <v>3013</v>
      </c>
      <c r="F691" t="s">
        <v>9603</v>
      </c>
      <c r="G691" t="s">
        <v>187</v>
      </c>
    </row>
    <row r="692" spans="1:7" x14ac:dyDescent="0.25">
      <c r="A692" t="s">
        <v>778</v>
      </c>
      <c r="B692" t="s">
        <v>1463</v>
      </c>
      <c r="C692">
        <v>2023</v>
      </c>
      <c r="E692" t="s">
        <v>3126</v>
      </c>
      <c r="F692" t="s">
        <v>8626</v>
      </c>
      <c r="G692" t="s">
        <v>3990</v>
      </c>
    </row>
    <row r="693" spans="1:7" x14ac:dyDescent="0.25">
      <c r="A693" t="s">
        <v>847</v>
      </c>
      <c r="B693" t="s">
        <v>1463</v>
      </c>
      <c r="C693">
        <v>1996</v>
      </c>
      <c r="E693" t="s">
        <v>3126</v>
      </c>
      <c r="F693" t="s">
        <v>9418</v>
      </c>
      <c r="G693" t="s">
        <v>3990</v>
      </c>
    </row>
    <row r="694" spans="1:7" x14ac:dyDescent="0.25">
      <c r="A694" t="s">
        <v>1302</v>
      </c>
      <c r="B694" t="s">
        <v>1463</v>
      </c>
      <c r="C694">
        <v>2023</v>
      </c>
      <c r="E694" t="s">
        <v>3126</v>
      </c>
      <c r="F694" t="s">
        <v>8816</v>
      </c>
      <c r="G694" t="s">
        <v>3990</v>
      </c>
    </row>
    <row r="695" spans="1:7" x14ac:dyDescent="0.25">
      <c r="A695" t="s">
        <v>2804</v>
      </c>
      <c r="B695" t="s">
        <v>1463</v>
      </c>
      <c r="C695">
        <v>2021</v>
      </c>
      <c r="E695" t="s">
        <v>3126</v>
      </c>
      <c r="F695" t="s">
        <v>9327</v>
      </c>
      <c r="G695" t="s">
        <v>3990</v>
      </c>
    </row>
    <row r="696" spans="1:7" x14ac:dyDescent="0.25">
      <c r="A696" t="s">
        <v>922</v>
      </c>
      <c r="B696" t="s">
        <v>1467</v>
      </c>
      <c r="C696">
        <v>2002</v>
      </c>
      <c r="D696" t="s">
        <v>187</v>
      </c>
      <c r="F696" t="s">
        <v>9604</v>
      </c>
      <c r="G696" t="s">
        <v>3990</v>
      </c>
    </row>
    <row r="697" spans="1:7" x14ac:dyDescent="0.25">
      <c r="A697" t="s">
        <v>2377</v>
      </c>
      <c r="B697" t="s">
        <v>1471</v>
      </c>
      <c r="C697">
        <v>2021</v>
      </c>
      <c r="E697" t="s">
        <v>3013</v>
      </c>
      <c r="F697" t="s">
        <v>9605</v>
      </c>
      <c r="G697" t="s">
        <v>187</v>
      </c>
    </row>
    <row r="698" spans="1:7" x14ac:dyDescent="0.25">
      <c r="A698" t="s">
        <v>1933</v>
      </c>
      <c r="B698" t="s">
        <v>1475</v>
      </c>
      <c r="C698">
        <v>2021</v>
      </c>
      <c r="E698" t="s">
        <v>2982</v>
      </c>
      <c r="F698" t="s">
        <v>8973</v>
      </c>
      <c r="G698" t="s">
        <v>3990</v>
      </c>
    </row>
    <row r="699" spans="1:7" x14ac:dyDescent="0.25">
      <c r="A699" t="s">
        <v>90</v>
      </c>
      <c r="B699" t="s">
        <v>1475</v>
      </c>
      <c r="C699">
        <v>2017</v>
      </c>
      <c r="E699" t="s">
        <v>3361</v>
      </c>
      <c r="F699" t="s">
        <v>9115</v>
      </c>
      <c r="G699" t="s">
        <v>3990</v>
      </c>
    </row>
    <row r="700" spans="1:7" x14ac:dyDescent="0.25">
      <c r="A700" t="s">
        <v>2506</v>
      </c>
      <c r="B700" t="s">
        <v>1475</v>
      </c>
      <c r="C700">
        <v>2021</v>
      </c>
      <c r="E700" t="s">
        <v>2982</v>
      </c>
      <c r="F700" t="s">
        <v>9222</v>
      </c>
      <c r="G700" t="s">
        <v>3990</v>
      </c>
    </row>
    <row r="701" spans="1:7" x14ac:dyDescent="0.25">
      <c r="A701" t="s">
        <v>759</v>
      </c>
      <c r="B701" t="s">
        <v>1479</v>
      </c>
      <c r="C701">
        <v>2018</v>
      </c>
      <c r="E701" t="s">
        <v>3120</v>
      </c>
      <c r="F701" t="s">
        <v>8615</v>
      </c>
      <c r="G701" t="s">
        <v>3990</v>
      </c>
    </row>
    <row r="702" spans="1:7" x14ac:dyDescent="0.25">
      <c r="A702" t="s">
        <v>256</v>
      </c>
      <c r="B702" t="s">
        <v>1482</v>
      </c>
      <c r="C702">
        <v>1994</v>
      </c>
      <c r="E702" t="s">
        <v>2982</v>
      </c>
      <c r="F702" t="s">
        <v>8453</v>
      </c>
      <c r="G702" t="s">
        <v>3990</v>
      </c>
    </row>
    <row r="703" spans="1:7" x14ac:dyDescent="0.25">
      <c r="A703" t="s">
        <v>1004</v>
      </c>
      <c r="B703" t="s">
        <v>1482</v>
      </c>
      <c r="C703">
        <v>2006</v>
      </c>
      <c r="E703" t="s">
        <v>3170</v>
      </c>
      <c r="F703" t="s">
        <v>8698</v>
      </c>
      <c r="G703" t="s">
        <v>3990</v>
      </c>
    </row>
    <row r="704" spans="1:7" x14ac:dyDescent="0.25">
      <c r="A704" t="s">
        <v>1795</v>
      </c>
      <c r="B704" t="s">
        <v>1482</v>
      </c>
      <c r="C704">
        <v>1987</v>
      </c>
      <c r="E704" t="s">
        <v>2982</v>
      </c>
      <c r="F704" t="s">
        <v>8925</v>
      </c>
      <c r="G704" t="s">
        <v>3990</v>
      </c>
    </row>
    <row r="705" spans="1:7" x14ac:dyDescent="0.25">
      <c r="A705" t="s">
        <v>160</v>
      </c>
      <c r="B705" t="s">
        <v>1486</v>
      </c>
      <c r="C705">
        <v>2011</v>
      </c>
      <c r="E705" s="10" t="s">
        <v>9837</v>
      </c>
      <c r="F705" t="s">
        <v>9838</v>
      </c>
      <c r="G705" t="s">
        <v>3990</v>
      </c>
    </row>
    <row r="706" spans="1:7" x14ac:dyDescent="0.25">
      <c r="A706" t="s">
        <v>2804</v>
      </c>
      <c r="B706" t="s">
        <v>1486</v>
      </c>
      <c r="C706">
        <v>2021</v>
      </c>
      <c r="E706" s="10" t="s">
        <v>9837</v>
      </c>
      <c r="F706" t="s">
        <v>9606</v>
      </c>
      <c r="G706" t="s">
        <v>3990</v>
      </c>
    </row>
    <row r="707" spans="1:7" x14ac:dyDescent="0.25">
      <c r="A707" t="s">
        <v>379</v>
      </c>
      <c r="B707" t="s">
        <v>7968</v>
      </c>
      <c r="C707">
        <v>1998</v>
      </c>
      <c r="E707" s="10" t="s">
        <v>7971</v>
      </c>
      <c r="F707" t="s">
        <v>9607</v>
      </c>
      <c r="G707" t="s">
        <v>187</v>
      </c>
    </row>
    <row r="708" spans="1:7" x14ac:dyDescent="0.25">
      <c r="A708" t="s">
        <v>379</v>
      </c>
      <c r="B708" t="s">
        <v>7968</v>
      </c>
      <c r="C708">
        <v>1998</v>
      </c>
      <c r="E708" s="10" t="s">
        <v>7971</v>
      </c>
      <c r="F708" t="s">
        <v>9607</v>
      </c>
      <c r="G708" t="s">
        <v>187</v>
      </c>
    </row>
    <row r="709" spans="1:7" x14ac:dyDescent="0.25">
      <c r="A709" t="s">
        <v>1951</v>
      </c>
      <c r="B709" t="s">
        <v>1490</v>
      </c>
      <c r="C709">
        <v>2022</v>
      </c>
      <c r="E709" s="10" t="s">
        <v>8340</v>
      </c>
      <c r="F709" t="s">
        <v>8977</v>
      </c>
      <c r="G709" t="s">
        <v>3990</v>
      </c>
    </row>
    <row r="710" spans="1:7" x14ac:dyDescent="0.25">
      <c r="A710" t="s">
        <v>497</v>
      </c>
      <c r="B710" t="s">
        <v>1492</v>
      </c>
      <c r="C710">
        <v>2022</v>
      </c>
      <c r="E710" t="s">
        <v>3068</v>
      </c>
      <c r="F710" t="s">
        <v>8545</v>
      </c>
      <c r="G710" t="s">
        <v>3990</v>
      </c>
    </row>
    <row r="711" spans="1:7" x14ac:dyDescent="0.25">
      <c r="A711" t="s">
        <v>689</v>
      </c>
      <c r="B711" t="s">
        <v>1492</v>
      </c>
      <c r="C711">
        <v>2015</v>
      </c>
      <c r="E711" t="s">
        <v>3087</v>
      </c>
      <c r="F711" t="s">
        <v>8572</v>
      </c>
      <c r="G711" t="s">
        <v>3990</v>
      </c>
    </row>
    <row r="712" spans="1:7" x14ac:dyDescent="0.25">
      <c r="A712" t="s">
        <v>1294</v>
      </c>
      <c r="B712" t="s">
        <v>1492</v>
      </c>
      <c r="C712">
        <v>2019</v>
      </c>
      <c r="E712" t="s">
        <v>3087</v>
      </c>
      <c r="F712" t="s">
        <v>8794</v>
      </c>
      <c r="G712" t="s">
        <v>3990</v>
      </c>
    </row>
    <row r="713" spans="1:7" x14ac:dyDescent="0.25">
      <c r="A713" t="s">
        <v>2804</v>
      </c>
      <c r="B713" t="s">
        <v>1492</v>
      </c>
      <c r="C713">
        <v>2021</v>
      </c>
      <c r="E713" t="s">
        <v>3087</v>
      </c>
      <c r="F713" t="s">
        <v>9328</v>
      </c>
      <c r="G713" t="s">
        <v>3990</v>
      </c>
    </row>
    <row r="714" spans="1:7" x14ac:dyDescent="0.25">
      <c r="A714" t="s">
        <v>2804</v>
      </c>
      <c r="B714" t="s">
        <v>1500</v>
      </c>
      <c r="C714">
        <v>2021</v>
      </c>
      <c r="E714" t="s">
        <v>3013</v>
      </c>
      <c r="F714" t="s">
        <v>9608</v>
      </c>
      <c r="G714" t="s">
        <v>187</v>
      </c>
    </row>
    <row r="715" spans="1:7" x14ac:dyDescent="0.25">
      <c r="A715" t="s">
        <v>344</v>
      </c>
      <c r="B715" t="s">
        <v>1503</v>
      </c>
      <c r="C715">
        <v>2023</v>
      </c>
      <c r="E715" t="s">
        <v>3011</v>
      </c>
      <c r="F715" t="s">
        <v>8474</v>
      </c>
      <c r="G715" t="s">
        <v>3990</v>
      </c>
    </row>
    <row r="716" spans="1:7" x14ac:dyDescent="0.25">
      <c r="A716" t="s">
        <v>2506</v>
      </c>
      <c r="B716" t="s">
        <v>1503</v>
      </c>
      <c r="C716">
        <v>2021</v>
      </c>
      <c r="E716" t="s">
        <v>3011</v>
      </c>
      <c r="F716" t="s">
        <v>9223</v>
      </c>
      <c r="G716" t="s">
        <v>3990</v>
      </c>
    </row>
    <row r="717" spans="1:7" x14ac:dyDescent="0.25">
      <c r="A717" t="s">
        <v>2594</v>
      </c>
      <c r="B717" t="s">
        <v>1503</v>
      </c>
      <c r="C717">
        <v>2019</v>
      </c>
      <c r="E717" t="s">
        <v>3011</v>
      </c>
      <c r="F717" t="s">
        <v>9239</v>
      </c>
      <c r="G717" t="s">
        <v>3990</v>
      </c>
    </row>
    <row r="718" spans="1:7" x14ac:dyDescent="0.25">
      <c r="A718" t="s">
        <v>1089</v>
      </c>
      <c r="B718" t="s">
        <v>1507</v>
      </c>
      <c r="C718">
        <v>2021</v>
      </c>
      <c r="D718" t="s">
        <v>187</v>
      </c>
      <c r="F718" t="s">
        <v>9609</v>
      </c>
      <c r="G718" t="s">
        <v>3990</v>
      </c>
    </row>
    <row r="719" spans="1:7" x14ac:dyDescent="0.25">
      <c r="A719" t="s">
        <v>90</v>
      </c>
      <c r="B719" t="s">
        <v>1511</v>
      </c>
      <c r="C719">
        <v>2017</v>
      </c>
      <c r="E719" t="s">
        <v>2982</v>
      </c>
      <c r="F719" t="s">
        <v>9116</v>
      </c>
      <c r="G719" t="s">
        <v>3990</v>
      </c>
    </row>
    <row r="720" spans="1:7" x14ac:dyDescent="0.25">
      <c r="A720" t="s">
        <v>341</v>
      </c>
      <c r="B720" t="s">
        <v>1513</v>
      </c>
      <c r="C720">
        <v>1997</v>
      </c>
      <c r="E720" s="10" t="s">
        <v>9960</v>
      </c>
      <c r="F720" t="s">
        <v>14048</v>
      </c>
      <c r="G720" t="s">
        <v>3990</v>
      </c>
    </row>
    <row r="721" spans="1:7" x14ac:dyDescent="0.25">
      <c r="A721" t="s">
        <v>490</v>
      </c>
      <c r="B721" t="s">
        <v>1513</v>
      </c>
      <c r="C721">
        <v>2009</v>
      </c>
      <c r="E721" s="10" t="s">
        <v>9960</v>
      </c>
      <c r="F721" t="s">
        <v>14066</v>
      </c>
      <c r="G721" t="s">
        <v>3990</v>
      </c>
    </row>
    <row r="722" spans="1:7" x14ac:dyDescent="0.25">
      <c r="A722" t="s">
        <v>2009</v>
      </c>
      <c r="B722" t="s">
        <v>1513</v>
      </c>
      <c r="C722">
        <v>2005</v>
      </c>
      <c r="E722" s="10" t="s">
        <v>9960</v>
      </c>
      <c r="F722" t="s">
        <v>14048</v>
      </c>
      <c r="G722" t="s">
        <v>3990</v>
      </c>
    </row>
    <row r="723" spans="1:7" x14ac:dyDescent="0.25">
      <c r="A723" t="s">
        <v>2571</v>
      </c>
      <c r="B723" t="s">
        <v>1513</v>
      </c>
      <c r="C723">
        <v>1998</v>
      </c>
      <c r="E723" s="10" t="s">
        <v>9960</v>
      </c>
      <c r="F723" t="s">
        <v>14067</v>
      </c>
      <c r="G723" t="s">
        <v>3990</v>
      </c>
    </row>
    <row r="724" spans="1:7" x14ac:dyDescent="0.25">
      <c r="A724" t="s">
        <v>2578</v>
      </c>
      <c r="B724" t="s">
        <v>1513</v>
      </c>
      <c r="C724">
        <v>2017</v>
      </c>
      <c r="E724" t="s">
        <v>3059</v>
      </c>
      <c r="F724" t="s">
        <v>9236</v>
      </c>
      <c r="G724" t="s">
        <v>3990</v>
      </c>
    </row>
    <row r="725" spans="1:7" x14ac:dyDescent="0.25">
      <c r="A725" t="s">
        <v>1046</v>
      </c>
      <c r="B725" t="s">
        <v>1516</v>
      </c>
      <c r="C725">
        <v>2016</v>
      </c>
      <c r="E725" t="s">
        <v>2982</v>
      </c>
      <c r="F725" t="s">
        <v>8717</v>
      </c>
      <c r="G725" t="s">
        <v>3990</v>
      </c>
    </row>
    <row r="726" spans="1:7" x14ac:dyDescent="0.25">
      <c r="A726" t="s">
        <v>160</v>
      </c>
      <c r="B726" t="s">
        <v>1516</v>
      </c>
      <c r="C726">
        <v>2011</v>
      </c>
      <c r="E726" t="s">
        <v>2982</v>
      </c>
      <c r="F726" t="s">
        <v>9266</v>
      </c>
      <c r="G726" t="s">
        <v>3990</v>
      </c>
    </row>
    <row r="727" spans="1:7" x14ac:dyDescent="0.25">
      <c r="A727" t="s">
        <v>256</v>
      </c>
      <c r="B727" t="s">
        <v>1520</v>
      </c>
      <c r="C727">
        <v>1994</v>
      </c>
      <c r="E727" t="s">
        <v>2993</v>
      </c>
      <c r="F727" t="s">
        <v>8454</v>
      </c>
      <c r="G727" t="s">
        <v>3990</v>
      </c>
    </row>
    <row r="728" spans="1:7" x14ac:dyDescent="0.25">
      <c r="A728" t="s">
        <v>260</v>
      </c>
      <c r="B728" t="s">
        <v>1520</v>
      </c>
      <c r="C728">
        <v>1990</v>
      </c>
      <c r="E728" s="10" t="s">
        <v>9958</v>
      </c>
      <c r="F728" t="s">
        <v>8463</v>
      </c>
      <c r="G728" t="s">
        <v>3990</v>
      </c>
    </row>
    <row r="729" spans="1:7" x14ac:dyDescent="0.25">
      <c r="A729" t="s">
        <v>847</v>
      </c>
      <c r="B729" t="s">
        <v>1520</v>
      </c>
      <c r="C729">
        <v>1996</v>
      </c>
      <c r="E729" s="10" t="s">
        <v>9958</v>
      </c>
      <c r="F729" t="s">
        <v>8648</v>
      </c>
      <c r="G729" t="s">
        <v>3990</v>
      </c>
    </row>
    <row r="730" spans="1:7" x14ac:dyDescent="0.25">
      <c r="A730" t="s">
        <v>1725</v>
      </c>
      <c r="B730" t="s">
        <v>1520</v>
      </c>
      <c r="C730">
        <v>1983</v>
      </c>
      <c r="E730" s="10" t="s">
        <v>9958</v>
      </c>
      <c r="F730" t="s">
        <v>9959</v>
      </c>
      <c r="G730" t="s">
        <v>3990</v>
      </c>
    </row>
    <row r="731" spans="1:7" x14ac:dyDescent="0.25">
      <c r="A731" t="s">
        <v>1795</v>
      </c>
      <c r="B731" t="s">
        <v>1520</v>
      </c>
      <c r="C731">
        <v>1987</v>
      </c>
      <c r="E731" s="10" t="s">
        <v>2993</v>
      </c>
      <c r="F731" t="s">
        <v>8926</v>
      </c>
      <c r="G731" t="s">
        <v>3990</v>
      </c>
    </row>
    <row r="732" spans="1:7" x14ac:dyDescent="0.25">
      <c r="A732" t="s">
        <v>2154</v>
      </c>
      <c r="B732" t="s">
        <v>1523</v>
      </c>
      <c r="C732">
        <v>1980</v>
      </c>
      <c r="E732" t="s">
        <v>3322</v>
      </c>
      <c r="F732" t="s">
        <v>9023</v>
      </c>
      <c r="G732" t="s">
        <v>3990</v>
      </c>
    </row>
    <row r="733" spans="1:7" x14ac:dyDescent="0.25">
      <c r="A733" t="s">
        <v>2154</v>
      </c>
      <c r="B733" t="s">
        <v>8086</v>
      </c>
      <c r="C733">
        <v>1980</v>
      </c>
      <c r="E733" s="10" t="s">
        <v>8107</v>
      </c>
      <c r="F733" t="s">
        <v>9024</v>
      </c>
      <c r="G733" t="s">
        <v>3990</v>
      </c>
    </row>
    <row r="734" spans="1:7" x14ac:dyDescent="0.25">
      <c r="A734" t="s">
        <v>383</v>
      </c>
      <c r="B734" t="s">
        <v>1526</v>
      </c>
      <c r="C734">
        <v>2017</v>
      </c>
      <c r="E734" s="10" t="s">
        <v>3054</v>
      </c>
      <c r="F734" t="s">
        <v>9441</v>
      </c>
      <c r="G734" t="s">
        <v>3990</v>
      </c>
    </row>
    <row r="735" spans="1:7" x14ac:dyDescent="0.25">
      <c r="A735" t="s">
        <v>746</v>
      </c>
      <c r="B735" t="s">
        <v>1526</v>
      </c>
      <c r="C735">
        <v>2015</v>
      </c>
      <c r="E735" s="10" t="s">
        <v>3054</v>
      </c>
      <c r="F735" t="s">
        <v>9442</v>
      </c>
      <c r="G735" t="s">
        <v>3990</v>
      </c>
    </row>
    <row r="736" spans="1:7" x14ac:dyDescent="0.25">
      <c r="A736" t="s">
        <v>1115</v>
      </c>
      <c r="B736" t="s">
        <v>1526</v>
      </c>
      <c r="C736">
        <v>2018</v>
      </c>
      <c r="E736" s="10" t="s">
        <v>3054</v>
      </c>
      <c r="F736" t="s">
        <v>9443</v>
      </c>
      <c r="G736" t="s">
        <v>3990</v>
      </c>
    </row>
    <row r="737" spans="1:7" x14ac:dyDescent="0.25">
      <c r="A737" t="s">
        <v>90</v>
      </c>
      <c r="B737" t="s">
        <v>1526</v>
      </c>
      <c r="C737">
        <v>2017</v>
      </c>
      <c r="E737" s="10" t="s">
        <v>3054</v>
      </c>
      <c r="F737" t="s">
        <v>9444</v>
      </c>
      <c r="G737" t="s">
        <v>3990</v>
      </c>
    </row>
    <row r="738" spans="1:7" x14ac:dyDescent="0.25">
      <c r="A738" t="s">
        <v>2804</v>
      </c>
      <c r="B738" t="s">
        <v>7943</v>
      </c>
      <c r="C738">
        <v>2021</v>
      </c>
      <c r="E738" s="10" t="s">
        <v>7942</v>
      </c>
      <c r="F738" t="s">
        <v>9329</v>
      </c>
      <c r="G738" t="s">
        <v>3990</v>
      </c>
    </row>
    <row r="739" spans="1:7" x14ac:dyDescent="0.25">
      <c r="A739" t="s">
        <v>2804</v>
      </c>
      <c r="B739" t="s">
        <v>1530</v>
      </c>
      <c r="C739">
        <v>2021</v>
      </c>
      <c r="E739" t="s">
        <v>3013</v>
      </c>
      <c r="F739" t="s">
        <v>9610</v>
      </c>
      <c r="G739" t="s">
        <v>187</v>
      </c>
    </row>
    <row r="740" spans="1:7" x14ac:dyDescent="0.25">
      <c r="A740" t="s">
        <v>1435</v>
      </c>
      <c r="B740" t="s">
        <v>1532</v>
      </c>
      <c r="C740">
        <v>2021</v>
      </c>
      <c r="E740" s="10" t="s">
        <v>8382</v>
      </c>
      <c r="F740" t="s">
        <v>8831</v>
      </c>
      <c r="G740" t="s">
        <v>3990</v>
      </c>
    </row>
    <row r="741" spans="1:7" x14ac:dyDescent="0.25">
      <c r="A741" t="s">
        <v>1655</v>
      </c>
      <c r="B741" t="s">
        <v>1532</v>
      </c>
      <c r="C741">
        <v>2024</v>
      </c>
      <c r="D741" t="s">
        <v>187</v>
      </c>
      <c r="F741" t="s">
        <v>9611</v>
      </c>
      <c r="G741" t="s">
        <v>3990</v>
      </c>
    </row>
    <row r="742" spans="1:7" x14ac:dyDescent="0.25">
      <c r="A742" t="s">
        <v>1385</v>
      </c>
      <c r="B742" t="s">
        <v>1534</v>
      </c>
      <c r="C742">
        <v>2013</v>
      </c>
      <c r="E742" s="10" t="s">
        <v>8409</v>
      </c>
      <c r="F742" t="s">
        <v>8823</v>
      </c>
      <c r="G742" t="s">
        <v>3990</v>
      </c>
    </row>
    <row r="743" spans="1:7" x14ac:dyDescent="0.25">
      <c r="A743" t="s">
        <v>1443</v>
      </c>
      <c r="B743" t="s">
        <v>1534</v>
      </c>
      <c r="C743">
        <v>2018</v>
      </c>
      <c r="E743" s="10" t="s">
        <v>8409</v>
      </c>
      <c r="F743" t="s">
        <v>9419</v>
      </c>
      <c r="G743" t="s">
        <v>3990</v>
      </c>
    </row>
    <row r="744" spans="1:7" x14ac:dyDescent="0.25">
      <c r="A744" t="s">
        <v>353</v>
      </c>
      <c r="B744" t="s">
        <v>7981</v>
      </c>
      <c r="C744">
        <v>2023</v>
      </c>
      <c r="E744" s="10" t="s">
        <v>7980</v>
      </c>
      <c r="F744" t="s">
        <v>9612</v>
      </c>
      <c r="G744" t="s">
        <v>187</v>
      </c>
    </row>
    <row r="745" spans="1:7" x14ac:dyDescent="0.25">
      <c r="A745" t="s">
        <v>353</v>
      </c>
      <c r="B745" t="s">
        <v>7981</v>
      </c>
      <c r="C745">
        <v>2023</v>
      </c>
      <c r="E745" s="10" t="s">
        <v>7980</v>
      </c>
      <c r="F745" t="s">
        <v>9612</v>
      </c>
      <c r="G745" t="s">
        <v>187</v>
      </c>
    </row>
    <row r="746" spans="1:7" x14ac:dyDescent="0.25">
      <c r="A746" t="s">
        <v>1795</v>
      </c>
      <c r="B746" t="s">
        <v>1538</v>
      </c>
      <c r="C746">
        <v>1987</v>
      </c>
      <c r="E746" t="s">
        <v>3280</v>
      </c>
      <c r="F746" t="s">
        <v>8927</v>
      </c>
      <c r="G746" t="s">
        <v>3990</v>
      </c>
    </row>
    <row r="747" spans="1:7" x14ac:dyDescent="0.25">
      <c r="A747" t="s">
        <v>930</v>
      </c>
      <c r="B747" t="s">
        <v>1541</v>
      </c>
      <c r="C747">
        <v>2015</v>
      </c>
      <c r="E747" t="s">
        <v>3155</v>
      </c>
      <c r="F747" t="s">
        <v>8680</v>
      </c>
      <c r="G747" t="s">
        <v>3990</v>
      </c>
    </row>
    <row r="748" spans="1:7" x14ac:dyDescent="0.25">
      <c r="A748" t="s">
        <v>1855</v>
      </c>
      <c r="B748" t="s">
        <v>1541</v>
      </c>
      <c r="C748">
        <v>2015</v>
      </c>
      <c r="E748" t="s">
        <v>3155</v>
      </c>
      <c r="F748" t="s">
        <v>8959</v>
      </c>
      <c r="G748" t="s">
        <v>3990</v>
      </c>
    </row>
    <row r="749" spans="1:7" x14ac:dyDescent="0.25">
      <c r="A749" t="s">
        <v>2377</v>
      </c>
      <c r="B749" t="s">
        <v>1541</v>
      </c>
      <c r="C749">
        <v>2021</v>
      </c>
      <c r="E749" t="s">
        <v>3155</v>
      </c>
      <c r="F749" t="s">
        <v>9177</v>
      </c>
      <c r="G749" t="s">
        <v>3990</v>
      </c>
    </row>
    <row r="750" spans="1:7" x14ac:dyDescent="0.25">
      <c r="A750" t="s">
        <v>1144</v>
      </c>
      <c r="B750" t="s">
        <v>1545</v>
      </c>
      <c r="C750">
        <v>2012</v>
      </c>
      <c r="E750" t="s">
        <v>3013</v>
      </c>
      <c r="F750" t="s">
        <v>9613</v>
      </c>
      <c r="G750" t="s">
        <v>187</v>
      </c>
    </row>
    <row r="751" spans="1:7" x14ac:dyDescent="0.25">
      <c r="A751" t="s">
        <v>930</v>
      </c>
      <c r="B751" t="s">
        <v>1553</v>
      </c>
      <c r="C751">
        <v>2015</v>
      </c>
      <c r="E751" t="s">
        <v>3156</v>
      </c>
      <c r="F751" t="s">
        <v>9614</v>
      </c>
      <c r="G751" t="s">
        <v>187</v>
      </c>
    </row>
    <row r="752" spans="1:7" x14ac:dyDescent="0.25">
      <c r="A752" t="s">
        <v>2428</v>
      </c>
      <c r="B752" t="s">
        <v>1553</v>
      </c>
      <c r="C752">
        <v>2008</v>
      </c>
      <c r="E752" t="s">
        <v>3156</v>
      </c>
      <c r="F752" t="s">
        <v>9615</v>
      </c>
      <c r="G752" t="s">
        <v>187</v>
      </c>
    </row>
    <row r="753" spans="1:7" x14ac:dyDescent="0.25">
      <c r="A753" t="s">
        <v>344</v>
      </c>
      <c r="B753" t="s">
        <v>1559</v>
      </c>
      <c r="C753">
        <v>2023</v>
      </c>
      <c r="E753" t="s">
        <v>3012</v>
      </c>
      <c r="F753" t="s">
        <v>8475</v>
      </c>
      <c r="G753" t="s">
        <v>3990</v>
      </c>
    </row>
    <row r="754" spans="1:7" x14ac:dyDescent="0.25">
      <c r="A754" t="s">
        <v>353</v>
      </c>
      <c r="B754" t="s">
        <v>1559</v>
      </c>
      <c r="C754">
        <v>2023</v>
      </c>
      <c r="E754" t="s">
        <v>3012</v>
      </c>
      <c r="F754" t="s">
        <v>8505</v>
      </c>
      <c r="G754" t="s">
        <v>3990</v>
      </c>
    </row>
    <row r="755" spans="1:7" x14ac:dyDescent="0.25">
      <c r="A755" t="s">
        <v>1752</v>
      </c>
      <c r="B755" t="s">
        <v>1561</v>
      </c>
      <c r="C755">
        <v>2021</v>
      </c>
      <c r="E755" t="s">
        <v>3268</v>
      </c>
      <c r="F755" t="s">
        <v>8908</v>
      </c>
      <c r="G755" t="s">
        <v>3990</v>
      </c>
    </row>
    <row r="756" spans="1:7" x14ac:dyDescent="0.25">
      <c r="A756" t="s">
        <v>2136</v>
      </c>
      <c r="B756" t="s">
        <v>1561</v>
      </c>
      <c r="C756">
        <v>2020</v>
      </c>
      <c r="E756" t="s">
        <v>3268</v>
      </c>
      <c r="F756" t="s">
        <v>9001</v>
      </c>
      <c r="G756" t="s">
        <v>3990</v>
      </c>
    </row>
    <row r="757" spans="1:7" x14ac:dyDescent="0.25">
      <c r="A757" t="s">
        <v>1294</v>
      </c>
      <c r="B757" t="s">
        <v>9813</v>
      </c>
      <c r="C757">
        <v>2019</v>
      </c>
      <c r="E757" s="10" t="s">
        <v>9816</v>
      </c>
      <c r="F757" t="s">
        <v>9818</v>
      </c>
      <c r="G757" t="s">
        <v>3990</v>
      </c>
    </row>
    <row r="758" spans="1:7" x14ac:dyDescent="0.25">
      <c r="A758" t="s">
        <v>90</v>
      </c>
      <c r="B758" t="s">
        <v>9813</v>
      </c>
      <c r="C758">
        <v>2017</v>
      </c>
      <c r="E758" s="10" t="s">
        <v>9816</v>
      </c>
      <c r="F758" t="s">
        <v>9817</v>
      </c>
      <c r="G758" t="s">
        <v>3990</v>
      </c>
    </row>
    <row r="759" spans="1:7" x14ac:dyDescent="0.25">
      <c r="A759" t="s">
        <v>1795</v>
      </c>
      <c r="B759" t="s">
        <v>1563</v>
      </c>
      <c r="C759">
        <v>1987</v>
      </c>
      <c r="E759" t="s">
        <v>2982</v>
      </c>
      <c r="F759" t="s">
        <v>8928</v>
      </c>
      <c r="G759" t="s">
        <v>3990</v>
      </c>
    </row>
    <row r="760" spans="1:7" x14ac:dyDescent="0.25">
      <c r="A760" t="s">
        <v>160</v>
      </c>
      <c r="B760" t="s">
        <v>1563</v>
      </c>
      <c r="C760">
        <v>2011</v>
      </c>
      <c r="E760" t="s">
        <v>2982</v>
      </c>
      <c r="F760" t="s">
        <v>9267</v>
      </c>
      <c r="G760" t="s">
        <v>3990</v>
      </c>
    </row>
    <row r="761" spans="1:7" x14ac:dyDescent="0.25">
      <c r="A761" t="s">
        <v>836</v>
      </c>
      <c r="B761" t="s">
        <v>1565</v>
      </c>
      <c r="C761">
        <v>2010</v>
      </c>
      <c r="E761" t="s">
        <v>3128</v>
      </c>
      <c r="F761" t="s">
        <v>8635</v>
      </c>
      <c r="G761" t="s">
        <v>3990</v>
      </c>
    </row>
    <row r="762" spans="1:7" x14ac:dyDescent="0.25">
      <c r="A762" t="s">
        <v>1443</v>
      </c>
      <c r="B762" t="s">
        <v>1565</v>
      </c>
      <c r="C762">
        <v>2018</v>
      </c>
      <c r="E762" s="10" t="s">
        <v>9811</v>
      </c>
      <c r="F762" t="s">
        <v>9812</v>
      </c>
      <c r="G762" t="s">
        <v>3990</v>
      </c>
    </row>
    <row r="763" spans="1:7" x14ac:dyDescent="0.25">
      <c r="A763" t="s">
        <v>2286</v>
      </c>
      <c r="B763" t="s">
        <v>1565</v>
      </c>
      <c r="C763">
        <v>2014</v>
      </c>
      <c r="E763" t="s">
        <v>3128</v>
      </c>
      <c r="F763" t="s">
        <v>9056</v>
      </c>
      <c r="G763" t="s">
        <v>3990</v>
      </c>
    </row>
    <row r="764" spans="1:7" x14ac:dyDescent="0.25">
      <c r="A764" t="s">
        <v>90</v>
      </c>
      <c r="B764" t="s">
        <v>1565</v>
      </c>
      <c r="C764">
        <v>2017</v>
      </c>
      <c r="E764" t="s">
        <v>3128</v>
      </c>
      <c r="F764" t="s">
        <v>9117</v>
      </c>
      <c r="G764" t="s">
        <v>3990</v>
      </c>
    </row>
    <row r="765" spans="1:7" x14ac:dyDescent="0.25">
      <c r="A765" t="s">
        <v>90</v>
      </c>
      <c r="B765" t="s">
        <v>1568</v>
      </c>
      <c r="C765">
        <v>2017</v>
      </c>
      <c r="E765" s="10" t="s">
        <v>3362</v>
      </c>
      <c r="F765" t="s">
        <v>9118</v>
      </c>
      <c r="G765" t="s">
        <v>3990</v>
      </c>
    </row>
    <row r="766" spans="1:7" x14ac:dyDescent="0.25">
      <c r="A766" t="s">
        <v>1294</v>
      </c>
      <c r="B766" t="s">
        <v>1570</v>
      </c>
      <c r="C766">
        <v>2019</v>
      </c>
      <c r="E766" t="s">
        <v>3229</v>
      </c>
      <c r="F766" t="s">
        <v>8795</v>
      </c>
      <c r="G766" t="s">
        <v>3990</v>
      </c>
    </row>
    <row r="767" spans="1:7" x14ac:dyDescent="0.25">
      <c r="A767" t="s">
        <v>1284</v>
      </c>
      <c r="B767" t="s">
        <v>1572</v>
      </c>
      <c r="C767">
        <v>1984</v>
      </c>
      <c r="E767" t="s">
        <v>3221</v>
      </c>
      <c r="F767" t="s">
        <v>8774</v>
      </c>
      <c r="G767" t="s">
        <v>3990</v>
      </c>
    </row>
    <row r="768" spans="1:7" x14ac:dyDescent="0.25">
      <c r="A768" t="s">
        <v>746</v>
      </c>
      <c r="B768" t="s">
        <v>1574</v>
      </c>
      <c r="C768">
        <v>2015</v>
      </c>
      <c r="E768" t="s">
        <v>2982</v>
      </c>
      <c r="F768" t="s">
        <v>8594</v>
      </c>
      <c r="G768" t="s">
        <v>3990</v>
      </c>
    </row>
    <row r="769" spans="1:7" x14ac:dyDescent="0.25">
      <c r="A769" t="s">
        <v>90</v>
      </c>
      <c r="B769" t="s">
        <v>1574</v>
      </c>
      <c r="C769">
        <v>2017</v>
      </c>
      <c r="E769" t="s">
        <v>2982</v>
      </c>
      <c r="F769" t="s">
        <v>9119</v>
      </c>
      <c r="G769" t="s">
        <v>3990</v>
      </c>
    </row>
    <row r="770" spans="1:7" x14ac:dyDescent="0.25">
      <c r="A770" t="s">
        <v>2361</v>
      </c>
      <c r="B770" t="s">
        <v>1574</v>
      </c>
      <c r="C770">
        <v>2018</v>
      </c>
      <c r="E770" t="s">
        <v>2982</v>
      </c>
      <c r="F770" t="s">
        <v>9173</v>
      </c>
      <c r="G770" t="s">
        <v>3990</v>
      </c>
    </row>
    <row r="771" spans="1:7" x14ac:dyDescent="0.25">
      <c r="A771" t="s">
        <v>90</v>
      </c>
      <c r="B771" t="s">
        <v>1576</v>
      </c>
      <c r="C771">
        <v>2017</v>
      </c>
      <c r="E771" t="s">
        <v>3363</v>
      </c>
      <c r="F771" t="s">
        <v>9120</v>
      </c>
      <c r="G771" t="s">
        <v>3990</v>
      </c>
    </row>
    <row r="772" spans="1:7" x14ac:dyDescent="0.25">
      <c r="A772" t="s">
        <v>1576</v>
      </c>
      <c r="B772" t="s">
        <v>1580</v>
      </c>
      <c r="C772">
        <v>2021</v>
      </c>
      <c r="E772" t="s">
        <v>3013</v>
      </c>
      <c r="F772" t="s">
        <v>9616</v>
      </c>
      <c r="G772" t="s">
        <v>187</v>
      </c>
    </row>
    <row r="773" spans="1:7" x14ac:dyDescent="0.25">
      <c r="A773" t="s">
        <v>353</v>
      </c>
      <c r="B773" t="s">
        <v>1584</v>
      </c>
      <c r="C773">
        <v>2023</v>
      </c>
      <c r="E773" t="s">
        <v>3033</v>
      </c>
      <c r="F773" t="s">
        <v>8506</v>
      </c>
      <c r="G773" t="s">
        <v>3990</v>
      </c>
    </row>
    <row r="774" spans="1:7" x14ac:dyDescent="0.25">
      <c r="A774" t="s">
        <v>1817</v>
      </c>
      <c r="B774" t="s">
        <v>9879</v>
      </c>
      <c r="C774">
        <v>2019</v>
      </c>
      <c r="E774" s="10" t="s">
        <v>9883</v>
      </c>
      <c r="F774" t="s">
        <v>9882</v>
      </c>
      <c r="G774" t="s">
        <v>3990</v>
      </c>
    </row>
    <row r="775" spans="1:7" x14ac:dyDescent="0.25">
      <c r="A775" t="s">
        <v>2506</v>
      </c>
      <c r="B775" t="s">
        <v>1587</v>
      </c>
      <c r="C775">
        <v>2021</v>
      </c>
      <c r="E775" t="s">
        <v>2982</v>
      </c>
      <c r="F775" t="s">
        <v>9224</v>
      </c>
      <c r="G775" t="s">
        <v>3990</v>
      </c>
    </row>
    <row r="776" spans="1:7" x14ac:dyDescent="0.25">
      <c r="A776" t="s">
        <v>1817</v>
      </c>
      <c r="B776" t="s">
        <v>1594</v>
      </c>
      <c r="C776">
        <v>2019</v>
      </c>
      <c r="E776" t="s">
        <v>3290</v>
      </c>
      <c r="F776" t="s">
        <v>8942</v>
      </c>
      <c r="G776" t="s">
        <v>3990</v>
      </c>
    </row>
    <row r="777" spans="1:7" x14ac:dyDescent="0.25">
      <c r="A777" t="s">
        <v>90</v>
      </c>
      <c r="B777" t="s">
        <v>1594</v>
      </c>
      <c r="C777">
        <v>2017</v>
      </c>
      <c r="E777" t="s">
        <v>3290</v>
      </c>
      <c r="F777" t="s">
        <v>9420</v>
      </c>
      <c r="G777" t="s">
        <v>3990</v>
      </c>
    </row>
    <row r="778" spans="1:7" x14ac:dyDescent="0.25">
      <c r="A778" t="s">
        <v>160</v>
      </c>
      <c r="B778" t="s">
        <v>1594</v>
      </c>
      <c r="C778">
        <v>2011</v>
      </c>
      <c r="E778" t="s">
        <v>3290</v>
      </c>
      <c r="F778" t="s">
        <v>9421</v>
      </c>
      <c r="G778" t="s">
        <v>3990</v>
      </c>
    </row>
    <row r="779" spans="1:7" x14ac:dyDescent="0.25">
      <c r="A779" t="s">
        <v>497</v>
      </c>
      <c r="B779" t="s">
        <v>1596</v>
      </c>
      <c r="C779">
        <v>2022</v>
      </c>
      <c r="E779" t="s">
        <v>3069</v>
      </c>
      <c r="F779" t="s">
        <v>8546</v>
      </c>
      <c r="G779" t="s">
        <v>3990</v>
      </c>
    </row>
    <row r="780" spans="1:7" x14ac:dyDescent="0.25">
      <c r="A780" t="s">
        <v>623</v>
      </c>
      <c r="B780" t="s">
        <v>1598</v>
      </c>
      <c r="C780">
        <v>2017</v>
      </c>
      <c r="E780" t="s">
        <v>3079</v>
      </c>
      <c r="F780" t="s">
        <v>8564</v>
      </c>
      <c r="G780" t="s">
        <v>3990</v>
      </c>
    </row>
    <row r="781" spans="1:7" x14ac:dyDescent="0.25">
      <c r="A781" t="s">
        <v>2428</v>
      </c>
      <c r="B781" t="s">
        <v>1602</v>
      </c>
      <c r="C781">
        <v>2008</v>
      </c>
      <c r="E781" t="s">
        <v>3392</v>
      </c>
      <c r="F781" t="s">
        <v>9204</v>
      </c>
      <c r="G781" t="s">
        <v>3990</v>
      </c>
    </row>
    <row r="782" spans="1:7" x14ac:dyDescent="0.25">
      <c r="A782" t="s">
        <v>160</v>
      </c>
      <c r="B782" t="s">
        <v>1602</v>
      </c>
      <c r="C782">
        <v>2011</v>
      </c>
      <c r="E782" t="s">
        <v>3392</v>
      </c>
      <c r="F782" t="s">
        <v>9268</v>
      </c>
      <c r="G782" t="s">
        <v>3990</v>
      </c>
    </row>
    <row r="783" spans="1:7" x14ac:dyDescent="0.25">
      <c r="A783" t="s">
        <v>1294</v>
      </c>
      <c r="B783" t="s">
        <v>1606</v>
      </c>
      <c r="C783">
        <v>2019</v>
      </c>
      <c r="E783" t="s">
        <v>3230</v>
      </c>
      <c r="F783" t="s">
        <v>8796</v>
      </c>
      <c r="G783" t="s">
        <v>3990</v>
      </c>
    </row>
    <row r="784" spans="1:7" x14ac:dyDescent="0.25">
      <c r="A784" t="s">
        <v>1713</v>
      </c>
      <c r="B784" t="s">
        <v>1606</v>
      </c>
      <c r="C784">
        <v>2018</v>
      </c>
      <c r="E784" t="s">
        <v>3230</v>
      </c>
      <c r="F784" t="s">
        <v>8904</v>
      </c>
      <c r="G784" t="s">
        <v>3990</v>
      </c>
    </row>
    <row r="785" spans="1:7" x14ac:dyDescent="0.25">
      <c r="A785" t="s">
        <v>160</v>
      </c>
      <c r="B785" t="s">
        <v>1606</v>
      </c>
      <c r="C785">
        <v>2011</v>
      </c>
      <c r="E785" t="s">
        <v>3230</v>
      </c>
      <c r="F785" t="s">
        <v>9269</v>
      </c>
      <c r="G785" t="s">
        <v>3990</v>
      </c>
    </row>
    <row r="786" spans="1:7" x14ac:dyDescent="0.25">
      <c r="A786" t="s">
        <v>1435</v>
      </c>
      <c r="B786" t="s">
        <v>1610</v>
      </c>
      <c r="C786">
        <v>2021</v>
      </c>
      <c r="E786" t="s">
        <v>3240</v>
      </c>
      <c r="F786" t="s">
        <v>8832</v>
      </c>
      <c r="G786" t="s">
        <v>3990</v>
      </c>
    </row>
    <row r="787" spans="1:7" x14ac:dyDescent="0.25">
      <c r="A787" t="s">
        <v>1443</v>
      </c>
      <c r="B787" t="s">
        <v>1610</v>
      </c>
      <c r="C787">
        <v>2018</v>
      </c>
      <c r="E787" t="s">
        <v>3240</v>
      </c>
      <c r="F787" t="s">
        <v>8848</v>
      </c>
      <c r="G787" t="s">
        <v>3990</v>
      </c>
    </row>
    <row r="788" spans="1:7" x14ac:dyDescent="0.25">
      <c r="A788" t="s">
        <v>1690</v>
      </c>
      <c r="B788" t="s">
        <v>1610</v>
      </c>
      <c r="C788">
        <v>2020</v>
      </c>
      <c r="E788" t="s">
        <v>3240</v>
      </c>
      <c r="F788" t="s">
        <v>8898</v>
      </c>
      <c r="G788" t="s">
        <v>3990</v>
      </c>
    </row>
    <row r="789" spans="1:7" x14ac:dyDescent="0.25">
      <c r="A789" t="s">
        <v>90</v>
      </c>
      <c r="B789" t="s">
        <v>1610</v>
      </c>
      <c r="C789">
        <v>2017</v>
      </c>
      <c r="E789" t="s">
        <v>3240</v>
      </c>
      <c r="F789" t="s">
        <v>9121</v>
      </c>
      <c r="G789" t="s">
        <v>3990</v>
      </c>
    </row>
    <row r="790" spans="1:7" x14ac:dyDescent="0.25">
      <c r="A790" t="s">
        <v>1576</v>
      </c>
      <c r="B790" t="s">
        <v>1613</v>
      </c>
      <c r="C790">
        <v>2021</v>
      </c>
      <c r="D790" t="s">
        <v>187</v>
      </c>
      <c r="F790" t="s">
        <v>9617</v>
      </c>
      <c r="G790" t="s">
        <v>3990</v>
      </c>
    </row>
    <row r="791" spans="1:7" x14ac:dyDescent="0.25">
      <c r="A791" t="s">
        <v>2804</v>
      </c>
      <c r="B791" t="s">
        <v>1613</v>
      </c>
      <c r="C791">
        <v>2021</v>
      </c>
      <c r="E791" t="s">
        <v>3425</v>
      </c>
      <c r="F791" t="s">
        <v>9618</v>
      </c>
      <c r="G791" t="s">
        <v>187</v>
      </c>
    </row>
    <row r="792" spans="1:7" x14ac:dyDescent="0.25">
      <c r="A792" t="s">
        <v>1752</v>
      </c>
      <c r="B792" t="s">
        <v>1621</v>
      </c>
      <c r="C792">
        <v>2021</v>
      </c>
      <c r="D792" t="s">
        <v>187</v>
      </c>
      <c r="F792" t="s">
        <v>9619</v>
      </c>
      <c r="G792" t="s">
        <v>3990</v>
      </c>
    </row>
    <row r="793" spans="1:7" x14ac:dyDescent="0.25">
      <c r="A793" t="s">
        <v>2136</v>
      </c>
      <c r="B793" t="s">
        <v>1621</v>
      </c>
      <c r="C793">
        <v>2020</v>
      </c>
      <c r="E793" t="s">
        <v>2982</v>
      </c>
      <c r="F793" t="s">
        <v>9002</v>
      </c>
      <c r="G793" t="s">
        <v>3990</v>
      </c>
    </row>
    <row r="794" spans="1:7" x14ac:dyDescent="0.25">
      <c r="A794" t="s">
        <v>2804</v>
      </c>
      <c r="B794" t="s">
        <v>1621</v>
      </c>
      <c r="C794">
        <v>2021</v>
      </c>
      <c r="E794" t="s">
        <v>2982</v>
      </c>
      <c r="F794" t="s">
        <v>9330</v>
      </c>
      <c r="G794" t="s">
        <v>3990</v>
      </c>
    </row>
    <row r="795" spans="1:7" x14ac:dyDescent="0.25">
      <c r="A795" t="s">
        <v>90</v>
      </c>
      <c r="B795" t="s">
        <v>1625</v>
      </c>
      <c r="C795">
        <v>2017</v>
      </c>
      <c r="E795" t="s">
        <v>3364</v>
      </c>
      <c r="F795" t="s">
        <v>9620</v>
      </c>
      <c r="G795" t="s">
        <v>187</v>
      </c>
    </row>
    <row r="796" spans="1:7" x14ac:dyDescent="0.25">
      <c r="A796" t="s">
        <v>90</v>
      </c>
      <c r="B796" t="s">
        <v>1627</v>
      </c>
      <c r="C796">
        <v>2017</v>
      </c>
      <c r="E796" t="s">
        <v>3365</v>
      </c>
      <c r="F796" t="s">
        <v>9621</v>
      </c>
      <c r="G796" t="s">
        <v>187</v>
      </c>
    </row>
    <row r="797" spans="1:7" x14ac:dyDescent="0.25">
      <c r="A797" t="s">
        <v>353</v>
      </c>
      <c r="B797" t="s">
        <v>1631</v>
      </c>
      <c r="C797">
        <v>2023</v>
      </c>
      <c r="E797" t="s">
        <v>3034</v>
      </c>
      <c r="F797" t="s">
        <v>10017</v>
      </c>
      <c r="G797" t="s">
        <v>187</v>
      </c>
    </row>
    <row r="798" spans="1:7" x14ac:dyDescent="0.25">
      <c r="A798" t="s">
        <v>364</v>
      </c>
      <c r="B798" t="s">
        <v>1631</v>
      </c>
      <c r="C798">
        <v>2024</v>
      </c>
      <c r="E798" t="s">
        <v>3034</v>
      </c>
      <c r="F798" t="s">
        <v>10017</v>
      </c>
      <c r="G798" t="s">
        <v>187</v>
      </c>
    </row>
    <row r="799" spans="1:7" x14ac:dyDescent="0.25">
      <c r="A799" t="s">
        <v>2506</v>
      </c>
      <c r="B799" t="s">
        <v>1633</v>
      </c>
      <c r="C799">
        <v>2021</v>
      </c>
      <c r="E799" t="s">
        <v>2982</v>
      </c>
      <c r="F799" t="s">
        <v>9225</v>
      </c>
      <c r="G799" t="s">
        <v>3990</v>
      </c>
    </row>
    <row r="800" spans="1:7" x14ac:dyDescent="0.25">
      <c r="A800" t="s">
        <v>1443</v>
      </c>
      <c r="B800" t="s">
        <v>1637</v>
      </c>
      <c r="C800">
        <v>2018</v>
      </c>
      <c r="E800" t="s">
        <v>3248</v>
      </c>
      <c r="F800" t="s">
        <v>8849</v>
      </c>
      <c r="G800" t="s">
        <v>3990</v>
      </c>
    </row>
    <row r="801" spans="1:7" x14ac:dyDescent="0.25">
      <c r="A801" t="s">
        <v>759</v>
      </c>
      <c r="B801" t="s">
        <v>1641</v>
      </c>
      <c r="C801">
        <v>2018</v>
      </c>
      <c r="E801" t="s">
        <v>3121</v>
      </c>
      <c r="F801" t="s">
        <v>9430</v>
      </c>
      <c r="G801" t="s">
        <v>3990</v>
      </c>
    </row>
    <row r="802" spans="1:7" x14ac:dyDescent="0.25">
      <c r="A802" t="s">
        <v>1294</v>
      </c>
      <c r="B802" t="s">
        <v>1645</v>
      </c>
      <c r="C802">
        <v>2019</v>
      </c>
      <c r="E802" s="10" t="s">
        <v>8376</v>
      </c>
      <c r="F802" t="s">
        <v>9429</v>
      </c>
      <c r="G802" t="s">
        <v>3990</v>
      </c>
    </row>
    <row r="803" spans="1:7" x14ac:dyDescent="0.25">
      <c r="A803" t="s">
        <v>847</v>
      </c>
      <c r="B803" t="s">
        <v>1649</v>
      </c>
      <c r="C803">
        <v>1996</v>
      </c>
      <c r="E803" t="s">
        <v>3135</v>
      </c>
      <c r="F803" t="s">
        <v>8649</v>
      </c>
      <c r="G803" t="s">
        <v>3990</v>
      </c>
    </row>
    <row r="804" spans="1:7" x14ac:dyDescent="0.25">
      <c r="A804" t="s">
        <v>160</v>
      </c>
      <c r="B804" t="s">
        <v>1649</v>
      </c>
      <c r="C804">
        <v>2011</v>
      </c>
      <c r="D804" t="s">
        <v>187</v>
      </c>
      <c r="F804" t="s">
        <v>9622</v>
      </c>
      <c r="G804" t="s">
        <v>3990</v>
      </c>
    </row>
    <row r="805" spans="1:7" x14ac:dyDescent="0.25">
      <c r="A805" t="s">
        <v>1761</v>
      </c>
      <c r="B805" t="s">
        <v>1653</v>
      </c>
      <c r="C805">
        <v>1995</v>
      </c>
      <c r="E805" s="10" t="s">
        <v>8375</v>
      </c>
      <c r="F805" t="s">
        <v>9623</v>
      </c>
      <c r="G805" t="s">
        <v>3990</v>
      </c>
    </row>
    <row r="806" spans="1:7" x14ac:dyDescent="0.25">
      <c r="A806" t="s">
        <v>1661</v>
      </c>
      <c r="B806" t="s">
        <v>1659</v>
      </c>
      <c r="C806">
        <v>2011</v>
      </c>
      <c r="D806" t="s">
        <v>187</v>
      </c>
      <c r="F806" t="s">
        <v>9624</v>
      </c>
      <c r="G806" t="s">
        <v>3990</v>
      </c>
    </row>
    <row r="807" spans="1:7" x14ac:dyDescent="0.25">
      <c r="A807" t="s">
        <v>1155</v>
      </c>
      <c r="B807" t="s">
        <v>1661</v>
      </c>
      <c r="C807">
        <v>2010</v>
      </c>
      <c r="D807" t="s">
        <v>187</v>
      </c>
      <c r="F807" t="s">
        <v>9625</v>
      </c>
      <c r="G807" t="s">
        <v>3990</v>
      </c>
    </row>
    <row r="808" spans="1:7" x14ac:dyDescent="0.25">
      <c r="A808" t="s">
        <v>2154</v>
      </c>
      <c r="B808" t="s">
        <v>1663</v>
      </c>
      <c r="C808">
        <v>1980</v>
      </c>
      <c r="E808" t="s">
        <v>3013</v>
      </c>
      <c r="F808" t="s">
        <v>9626</v>
      </c>
      <c r="G808" t="s">
        <v>187</v>
      </c>
    </row>
    <row r="809" spans="1:7" x14ac:dyDescent="0.25">
      <c r="A809" t="s">
        <v>2721</v>
      </c>
      <c r="B809" t="s">
        <v>1666</v>
      </c>
      <c r="C809">
        <v>1993</v>
      </c>
      <c r="E809" t="s">
        <v>1669</v>
      </c>
      <c r="F809" t="s">
        <v>9308</v>
      </c>
      <c r="G809" t="s">
        <v>3990</v>
      </c>
    </row>
    <row r="810" spans="1:7" x14ac:dyDescent="0.25">
      <c r="A810" t="s">
        <v>2804</v>
      </c>
      <c r="B810" t="s">
        <v>1670</v>
      </c>
      <c r="C810">
        <v>2021</v>
      </c>
      <c r="E810" t="s">
        <v>3013</v>
      </c>
      <c r="F810" t="s">
        <v>9627</v>
      </c>
      <c r="G810" t="s">
        <v>187</v>
      </c>
    </row>
    <row r="811" spans="1:7" x14ac:dyDescent="0.25">
      <c r="A811" t="s">
        <v>90</v>
      </c>
      <c r="B811" t="s">
        <v>1672</v>
      </c>
      <c r="C811">
        <v>2017</v>
      </c>
      <c r="E811" t="s">
        <v>3366</v>
      </c>
      <c r="F811" t="s">
        <v>9122</v>
      </c>
      <c r="G811" t="s">
        <v>3990</v>
      </c>
    </row>
    <row r="812" spans="1:7" x14ac:dyDescent="0.25">
      <c r="A812" t="s">
        <v>2721</v>
      </c>
      <c r="B812" t="s">
        <v>1676</v>
      </c>
      <c r="C812">
        <v>1993</v>
      </c>
      <c r="E812" t="s">
        <v>3013</v>
      </c>
      <c r="F812" t="s">
        <v>9628</v>
      </c>
      <c r="G812" t="s">
        <v>187</v>
      </c>
    </row>
    <row r="813" spans="1:7" x14ac:dyDescent="0.25">
      <c r="A813" t="s">
        <v>1676</v>
      </c>
      <c r="B813" t="s">
        <v>1679</v>
      </c>
      <c r="C813">
        <v>2002</v>
      </c>
      <c r="D813" t="s">
        <v>187</v>
      </c>
      <c r="F813" t="s">
        <v>9629</v>
      </c>
      <c r="G813" t="s">
        <v>3990</v>
      </c>
    </row>
    <row r="814" spans="1:7" x14ac:dyDescent="0.25">
      <c r="A814" t="s">
        <v>2721</v>
      </c>
      <c r="B814" t="s">
        <v>1682</v>
      </c>
      <c r="C814">
        <v>1993</v>
      </c>
      <c r="E814" t="s">
        <v>3417</v>
      </c>
      <c r="F814" t="s">
        <v>9309</v>
      </c>
      <c r="G814" t="s">
        <v>3990</v>
      </c>
    </row>
    <row r="815" spans="1:7" x14ac:dyDescent="0.25">
      <c r="A815" t="s">
        <v>1682</v>
      </c>
      <c r="B815" t="s">
        <v>1684</v>
      </c>
      <c r="C815">
        <v>2022</v>
      </c>
      <c r="D815" t="s">
        <v>187</v>
      </c>
      <c r="F815" t="s">
        <v>9630</v>
      </c>
      <c r="G815" t="s">
        <v>3990</v>
      </c>
    </row>
    <row r="816" spans="1:7" x14ac:dyDescent="0.25">
      <c r="A816" t="s">
        <v>946</v>
      </c>
      <c r="B816" t="s">
        <v>1686</v>
      </c>
      <c r="C816">
        <v>2014</v>
      </c>
      <c r="E816" t="s">
        <v>1689</v>
      </c>
      <c r="F816" t="s">
        <v>8686</v>
      </c>
      <c r="G816" t="s">
        <v>3990</v>
      </c>
    </row>
    <row r="817" spans="1:7" x14ac:dyDescent="0.25">
      <c r="A817" t="s">
        <v>90</v>
      </c>
      <c r="B817" t="s">
        <v>1690</v>
      </c>
      <c r="C817">
        <v>2017</v>
      </c>
      <c r="E817" t="s">
        <v>3013</v>
      </c>
      <c r="F817" t="s">
        <v>9631</v>
      </c>
      <c r="G817" t="s">
        <v>187</v>
      </c>
    </row>
    <row r="818" spans="1:7" x14ac:dyDescent="0.25">
      <c r="A818" t="s">
        <v>1428</v>
      </c>
      <c r="B818" t="s">
        <v>1694</v>
      </c>
      <c r="C818">
        <v>2023</v>
      </c>
      <c r="D818" t="s">
        <v>187</v>
      </c>
      <c r="E818" s="10" t="s">
        <v>9436</v>
      </c>
      <c r="F818" t="s">
        <v>9435</v>
      </c>
      <c r="G818" t="s">
        <v>3990</v>
      </c>
    </row>
    <row r="819" spans="1:7" x14ac:dyDescent="0.25">
      <c r="A819" t="s">
        <v>1690</v>
      </c>
      <c r="B819" t="s">
        <v>1694</v>
      </c>
      <c r="C819">
        <v>2020</v>
      </c>
      <c r="D819" t="s">
        <v>187</v>
      </c>
      <c r="F819" t="s">
        <v>9632</v>
      </c>
      <c r="G819" t="s">
        <v>3990</v>
      </c>
    </row>
    <row r="820" spans="1:7" x14ac:dyDescent="0.25">
      <c r="A820" t="s">
        <v>904</v>
      </c>
      <c r="B820" t="s">
        <v>1696</v>
      </c>
      <c r="C820">
        <v>2022</v>
      </c>
      <c r="E820" t="s">
        <v>3143</v>
      </c>
      <c r="F820" t="s">
        <v>8666</v>
      </c>
      <c r="G820" t="s">
        <v>3990</v>
      </c>
    </row>
    <row r="821" spans="1:7" x14ac:dyDescent="0.25">
      <c r="A821" t="s">
        <v>2804</v>
      </c>
      <c r="B821" t="s">
        <v>1696</v>
      </c>
      <c r="C821">
        <v>2021</v>
      </c>
      <c r="E821" t="s">
        <v>3143</v>
      </c>
      <c r="F821" t="s">
        <v>9331</v>
      </c>
      <c r="G821" t="s">
        <v>3990</v>
      </c>
    </row>
    <row r="822" spans="1:7" x14ac:dyDescent="0.25">
      <c r="A822" t="s">
        <v>1144</v>
      </c>
      <c r="B822" t="s">
        <v>1700</v>
      </c>
      <c r="C822">
        <v>2012</v>
      </c>
      <c r="E822" t="s">
        <v>3205</v>
      </c>
      <c r="F822" t="s">
        <v>9422</v>
      </c>
      <c r="G822" t="s">
        <v>3990</v>
      </c>
    </row>
    <row r="823" spans="1:7" x14ac:dyDescent="0.25">
      <c r="A823" t="s">
        <v>2428</v>
      </c>
      <c r="B823" t="s">
        <v>1700</v>
      </c>
      <c r="C823">
        <v>2008</v>
      </c>
      <c r="E823" t="s">
        <v>3205</v>
      </c>
      <c r="F823" t="s">
        <v>9423</v>
      </c>
      <c r="G823" t="s">
        <v>3990</v>
      </c>
    </row>
    <row r="824" spans="1:7" x14ac:dyDescent="0.25">
      <c r="A824" t="s">
        <v>160</v>
      </c>
      <c r="B824" t="s">
        <v>1700</v>
      </c>
      <c r="C824">
        <v>2011</v>
      </c>
      <c r="E824" t="s">
        <v>3205</v>
      </c>
      <c r="F824" t="s">
        <v>9424</v>
      </c>
      <c r="G824" t="s">
        <v>3990</v>
      </c>
    </row>
    <row r="825" spans="1:7" x14ac:dyDescent="0.25">
      <c r="A825" t="s">
        <v>241</v>
      </c>
      <c r="B825" t="s">
        <v>1704</v>
      </c>
      <c r="C825">
        <v>2025</v>
      </c>
      <c r="E825" t="s">
        <v>2986</v>
      </c>
      <c r="F825" t="s">
        <v>9371</v>
      </c>
      <c r="G825" t="s">
        <v>3990</v>
      </c>
    </row>
    <row r="826" spans="1:7" x14ac:dyDescent="0.25">
      <c r="A826" t="s">
        <v>2016</v>
      </c>
      <c r="B826" t="s">
        <v>1704</v>
      </c>
      <c r="C826">
        <v>2024</v>
      </c>
      <c r="E826" t="s">
        <v>2986</v>
      </c>
      <c r="F826" t="s">
        <v>9381</v>
      </c>
      <c r="G826" t="s">
        <v>3990</v>
      </c>
    </row>
    <row r="827" spans="1:7" x14ac:dyDescent="0.25">
      <c r="A827" t="s">
        <v>90</v>
      </c>
      <c r="B827" t="s">
        <v>1704</v>
      </c>
      <c r="C827">
        <v>2017</v>
      </c>
      <c r="E827" t="s">
        <v>3367</v>
      </c>
      <c r="F827" t="s">
        <v>9123</v>
      </c>
      <c r="G827" t="s">
        <v>3990</v>
      </c>
    </row>
    <row r="828" spans="1:7" x14ac:dyDescent="0.25">
      <c r="A828" t="s">
        <v>346</v>
      </c>
      <c r="B828" t="s">
        <v>1711</v>
      </c>
      <c r="C828">
        <v>2022</v>
      </c>
      <c r="D828" t="s">
        <v>187</v>
      </c>
      <c r="F828" t="s">
        <v>9633</v>
      </c>
      <c r="G828" t="s">
        <v>3990</v>
      </c>
    </row>
    <row r="829" spans="1:7" x14ac:dyDescent="0.25">
      <c r="A829" t="s">
        <v>2173</v>
      </c>
      <c r="B829" t="s">
        <v>1713</v>
      </c>
      <c r="C829">
        <v>2013</v>
      </c>
      <c r="E829" t="s">
        <v>3332</v>
      </c>
      <c r="F829" t="s">
        <v>9043</v>
      </c>
      <c r="G829" t="s">
        <v>3990</v>
      </c>
    </row>
    <row r="830" spans="1:7" x14ac:dyDescent="0.25">
      <c r="A830" t="s">
        <v>160</v>
      </c>
      <c r="B830" t="s">
        <v>1713</v>
      </c>
      <c r="C830">
        <v>2011</v>
      </c>
      <c r="E830" t="s">
        <v>3332</v>
      </c>
      <c r="F830" t="s">
        <v>9270</v>
      </c>
      <c r="G830" t="s">
        <v>3990</v>
      </c>
    </row>
    <row r="831" spans="1:7" x14ac:dyDescent="0.25">
      <c r="A831" t="s">
        <v>1713</v>
      </c>
      <c r="B831" t="s">
        <v>1717</v>
      </c>
      <c r="C831">
        <v>2018</v>
      </c>
      <c r="D831" t="s">
        <v>187</v>
      </c>
      <c r="F831" t="s">
        <v>9634</v>
      </c>
      <c r="G831" t="s">
        <v>3990</v>
      </c>
    </row>
    <row r="832" spans="1:7" x14ac:dyDescent="0.25">
      <c r="A832" t="s">
        <v>1294</v>
      </c>
      <c r="B832" t="s">
        <v>8411</v>
      </c>
      <c r="C832">
        <v>2019</v>
      </c>
      <c r="E832" s="10" t="s">
        <v>8410</v>
      </c>
      <c r="F832" t="s">
        <v>8797</v>
      </c>
      <c r="G832" t="s">
        <v>3990</v>
      </c>
    </row>
    <row r="833" spans="1:7" x14ac:dyDescent="0.25">
      <c r="A833" t="s">
        <v>256</v>
      </c>
      <c r="B833" t="s">
        <v>1719</v>
      </c>
      <c r="C833">
        <v>1994</v>
      </c>
      <c r="E833" t="s">
        <v>2982</v>
      </c>
      <c r="F833" t="s">
        <v>8455</v>
      </c>
      <c r="G833" t="s">
        <v>3990</v>
      </c>
    </row>
    <row r="834" spans="1:7" x14ac:dyDescent="0.25">
      <c r="A834" t="s">
        <v>490</v>
      </c>
      <c r="B834" t="s">
        <v>1719</v>
      </c>
      <c r="C834">
        <v>2009</v>
      </c>
      <c r="E834" t="s">
        <v>2982</v>
      </c>
      <c r="F834" t="s">
        <v>8533</v>
      </c>
      <c r="G834" t="s">
        <v>3990</v>
      </c>
    </row>
    <row r="835" spans="1:7" x14ac:dyDescent="0.25">
      <c r="A835" t="s">
        <v>1795</v>
      </c>
      <c r="B835" t="s">
        <v>1719</v>
      </c>
      <c r="C835">
        <v>1987</v>
      </c>
      <c r="E835" t="s">
        <v>2982</v>
      </c>
      <c r="F835" t="s">
        <v>8929</v>
      </c>
      <c r="G835" t="s">
        <v>3990</v>
      </c>
    </row>
    <row r="836" spans="1:7" x14ac:dyDescent="0.25">
      <c r="A836" t="s">
        <v>2788</v>
      </c>
      <c r="B836" t="s">
        <v>1719</v>
      </c>
      <c r="C836">
        <v>2017</v>
      </c>
      <c r="E836" t="s">
        <v>2982</v>
      </c>
      <c r="F836" t="s">
        <v>9311</v>
      </c>
      <c r="G836" t="s">
        <v>3990</v>
      </c>
    </row>
    <row r="837" spans="1:7" x14ac:dyDescent="0.25">
      <c r="A837" t="s">
        <v>2095</v>
      </c>
      <c r="B837" t="s">
        <v>1723</v>
      </c>
      <c r="C837">
        <v>2023</v>
      </c>
      <c r="E837" s="10" t="s">
        <v>8412</v>
      </c>
      <c r="F837" t="s">
        <v>8988</v>
      </c>
      <c r="G837" t="s">
        <v>3990</v>
      </c>
    </row>
    <row r="838" spans="1:7" x14ac:dyDescent="0.25">
      <c r="A838" t="s">
        <v>2136</v>
      </c>
      <c r="B838" t="s">
        <v>1723</v>
      </c>
      <c r="C838">
        <v>2020</v>
      </c>
      <c r="E838" t="s">
        <v>2982</v>
      </c>
      <c r="F838" t="s">
        <v>9003</v>
      </c>
      <c r="G838" t="s">
        <v>3990</v>
      </c>
    </row>
    <row r="839" spans="1:7" x14ac:dyDescent="0.25">
      <c r="A839" t="s">
        <v>2154</v>
      </c>
      <c r="B839" t="s">
        <v>1725</v>
      </c>
      <c r="C839">
        <v>1980</v>
      </c>
      <c r="E839" t="s">
        <v>3323</v>
      </c>
      <c r="F839" t="s">
        <v>9025</v>
      </c>
      <c r="G839" t="s">
        <v>3990</v>
      </c>
    </row>
    <row r="840" spans="1:7" x14ac:dyDescent="0.25">
      <c r="A840" t="s">
        <v>90</v>
      </c>
      <c r="B840" t="s">
        <v>1728</v>
      </c>
      <c r="C840">
        <v>2017</v>
      </c>
      <c r="E840" t="s">
        <v>3368</v>
      </c>
      <c r="F840" t="s">
        <v>9635</v>
      </c>
      <c r="G840" t="s">
        <v>187</v>
      </c>
    </row>
    <row r="841" spans="1:7" x14ac:dyDescent="0.25">
      <c r="A841" t="s">
        <v>90</v>
      </c>
      <c r="B841" t="s">
        <v>1734</v>
      </c>
      <c r="C841">
        <v>2017</v>
      </c>
      <c r="E841" t="s">
        <v>2982</v>
      </c>
      <c r="F841" t="s">
        <v>9124</v>
      </c>
      <c r="G841" t="s">
        <v>3990</v>
      </c>
    </row>
    <row r="842" spans="1:7" x14ac:dyDescent="0.25">
      <c r="A842" t="s">
        <v>2804</v>
      </c>
      <c r="B842" t="s">
        <v>1734</v>
      </c>
      <c r="C842">
        <v>2021</v>
      </c>
      <c r="E842" t="s">
        <v>2982</v>
      </c>
      <c r="F842" t="s">
        <v>9332</v>
      </c>
      <c r="G842" t="s">
        <v>3990</v>
      </c>
    </row>
    <row r="843" spans="1:7" x14ac:dyDescent="0.25">
      <c r="A843" t="s">
        <v>2747</v>
      </c>
      <c r="B843" t="s">
        <v>1738</v>
      </c>
      <c r="C843">
        <v>2014</v>
      </c>
      <c r="D843" t="s">
        <v>187</v>
      </c>
      <c r="F843" t="s">
        <v>9636</v>
      </c>
      <c r="G843" t="s">
        <v>3990</v>
      </c>
    </row>
    <row r="844" spans="1:7" x14ac:dyDescent="0.25">
      <c r="A844" t="s">
        <v>1738</v>
      </c>
      <c r="B844" t="s">
        <v>1742</v>
      </c>
      <c r="C844">
        <v>2018</v>
      </c>
      <c r="D844" t="s">
        <v>187</v>
      </c>
      <c r="F844" t="s">
        <v>9637</v>
      </c>
      <c r="G844" t="s">
        <v>3990</v>
      </c>
    </row>
    <row r="845" spans="1:7" x14ac:dyDescent="0.25">
      <c r="A845" t="s">
        <v>1155</v>
      </c>
      <c r="B845" t="s">
        <v>1746</v>
      </c>
      <c r="C845">
        <v>2010</v>
      </c>
      <c r="D845" t="s">
        <v>187</v>
      </c>
      <c r="F845" t="s">
        <v>9638</v>
      </c>
      <c r="G845" t="s">
        <v>3990</v>
      </c>
    </row>
    <row r="846" spans="1:7" x14ac:dyDescent="0.25">
      <c r="A846" t="s">
        <v>2428</v>
      </c>
      <c r="B846" t="s">
        <v>1748</v>
      </c>
      <c r="C846">
        <v>2008</v>
      </c>
      <c r="E846" t="s">
        <v>3393</v>
      </c>
      <c r="F846" t="s">
        <v>9205</v>
      </c>
      <c r="G846" t="s">
        <v>3990</v>
      </c>
    </row>
    <row r="847" spans="1:7" x14ac:dyDescent="0.25">
      <c r="A847" t="s">
        <v>2136</v>
      </c>
      <c r="B847" t="s">
        <v>1752</v>
      </c>
      <c r="C847">
        <v>2020</v>
      </c>
      <c r="E847" t="s">
        <v>3313</v>
      </c>
      <c r="F847" t="s">
        <v>9639</v>
      </c>
      <c r="G847" t="s">
        <v>187</v>
      </c>
    </row>
    <row r="848" spans="1:7" x14ac:dyDescent="0.25">
      <c r="A848" t="s">
        <v>1435</v>
      </c>
      <c r="B848" t="s">
        <v>1756</v>
      </c>
      <c r="C848">
        <v>2021</v>
      </c>
      <c r="E848" t="s">
        <v>2982</v>
      </c>
      <c r="F848" t="s">
        <v>8833</v>
      </c>
      <c r="G848" t="s">
        <v>3990</v>
      </c>
    </row>
    <row r="849" spans="1:7" x14ac:dyDescent="0.25">
      <c r="A849" t="s">
        <v>1899</v>
      </c>
      <c r="B849" t="s">
        <v>1758</v>
      </c>
      <c r="C849">
        <v>2014</v>
      </c>
      <c r="D849" t="s">
        <v>187</v>
      </c>
      <c r="F849" t="s">
        <v>9640</v>
      </c>
      <c r="G849" t="s">
        <v>3990</v>
      </c>
    </row>
    <row r="850" spans="1:7" x14ac:dyDescent="0.25">
      <c r="A850" t="s">
        <v>1795</v>
      </c>
      <c r="B850" t="s">
        <v>1761</v>
      </c>
      <c r="C850">
        <v>1987</v>
      </c>
      <c r="E850" s="10" t="s">
        <v>8429</v>
      </c>
      <c r="F850" t="s">
        <v>8430</v>
      </c>
      <c r="G850" t="s">
        <v>3990</v>
      </c>
    </row>
    <row r="851" spans="1:7" x14ac:dyDescent="0.25">
      <c r="A851" t="s">
        <v>2721</v>
      </c>
      <c r="B851" t="s">
        <v>1761</v>
      </c>
      <c r="C851">
        <v>1993</v>
      </c>
      <c r="D851" t="s">
        <v>187</v>
      </c>
      <c r="E851" t="s">
        <v>3032</v>
      </c>
      <c r="F851" t="s">
        <v>9641</v>
      </c>
      <c r="G851" t="s">
        <v>3990</v>
      </c>
    </row>
    <row r="852" spans="1:7" x14ac:dyDescent="0.25">
      <c r="A852" t="s">
        <v>2804</v>
      </c>
      <c r="B852" t="s">
        <v>1764</v>
      </c>
      <c r="C852">
        <v>2021</v>
      </c>
      <c r="E852" t="s">
        <v>3013</v>
      </c>
      <c r="F852" t="s">
        <v>9642</v>
      </c>
      <c r="G852" t="s">
        <v>187</v>
      </c>
    </row>
    <row r="853" spans="1:7" x14ac:dyDescent="0.25">
      <c r="A853" t="s">
        <v>746</v>
      </c>
      <c r="B853" t="s">
        <v>1768</v>
      </c>
      <c r="C853">
        <v>2015</v>
      </c>
      <c r="E853" t="s">
        <v>3105</v>
      </c>
      <c r="F853" t="s">
        <v>8595</v>
      </c>
      <c r="G853" t="s">
        <v>3990</v>
      </c>
    </row>
    <row r="854" spans="1:7" x14ac:dyDescent="0.25">
      <c r="A854" t="s">
        <v>90</v>
      </c>
      <c r="B854" t="s">
        <v>1768</v>
      </c>
      <c r="C854">
        <v>2017</v>
      </c>
      <c r="E854" t="s">
        <v>3105</v>
      </c>
      <c r="F854" t="s">
        <v>9125</v>
      </c>
      <c r="G854" t="s">
        <v>3990</v>
      </c>
    </row>
    <row r="855" spans="1:7" x14ac:dyDescent="0.25">
      <c r="A855" t="s">
        <v>1046</v>
      </c>
      <c r="B855" t="s">
        <v>1771</v>
      </c>
      <c r="C855">
        <v>2016</v>
      </c>
      <c r="E855" t="s">
        <v>3186</v>
      </c>
      <c r="F855" t="s">
        <v>8718</v>
      </c>
      <c r="G855" t="s">
        <v>3990</v>
      </c>
    </row>
    <row r="856" spans="1:7" x14ac:dyDescent="0.25">
      <c r="A856" t="s">
        <v>1855</v>
      </c>
      <c r="B856" t="s">
        <v>1771</v>
      </c>
      <c r="C856">
        <v>2015</v>
      </c>
      <c r="E856" t="s">
        <v>3186</v>
      </c>
      <c r="F856" t="s">
        <v>8960</v>
      </c>
      <c r="G856" t="s">
        <v>3990</v>
      </c>
    </row>
    <row r="857" spans="1:7" x14ac:dyDescent="0.25">
      <c r="A857" t="s">
        <v>1779</v>
      </c>
      <c r="B857" t="s">
        <v>1783</v>
      </c>
      <c r="C857">
        <v>2022</v>
      </c>
      <c r="D857" t="s">
        <v>187</v>
      </c>
      <c r="F857" t="s">
        <v>9643</v>
      </c>
      <c r="G857" t="s">
        <v>3990</v>
      </c>
    </row>
    <row r="858" spans="1:7" x14ac:dyDescent="0.25">
      <c r="A858" t="s">
        <v>759</v>
      </c>
      <c r="B858" t="s">
        <v>1787</v>
      </c>
      <c r="C858">
        <v>2018</v>
      </c>
      <c r="E858" s="10" t="s">
        <v>8388</v>
      </c>
      <c r="F858" t="s">
        <v>8616</v>
      </c>
      <c r="G858" t="s">
        <v>3990</v>
      </c>
    </row>
    <row r="859" spans="1:7" x14ac:dyDescent="0.25">
      <c r="A859" t="s">
        <v>1046</v>
      </c>
      <c r="B859" t="s">
        <v>1787</v>
      </c>
      <c r="C859">
        <v>2016</v>
      </c>
      <c r="E859" s="10" t="s">
        <v>8388</v>
      </c>
      <c r="F859" t="s">
        <v>8719</v>
      </c>
      <c r="G859" t="s">
        <v>3990</v>
      </c>
    </row>
    <row r="860" spans="1:7" x14ac:dyDescent="0.25">
      <c r="A860" t="s">
        <v>160</v>
      </c>
      <c r="B860" t="s">
        <v>1787</v>
      </c>
      <c r="C860">
        <v>2011</v>
      </c>
      <c r="E860" t="s">
        <v>2982</v>
      </c>
      <c r="F860" t="s">
        <v>9271</v>
      </c>
      <c r="G860" t="s">
        <v>3990</v>
      </c>
    </row>
    <row r="861" spans="1:7" x14ac:dyDescent="0.25">
      <c r="A861" t="s">
        <v>1787</v>
      </c>
      <c r="B861" t="s">
        <v>1791</v>
      </c>
      <c r="C861">
        <v>2019</v>
      </c>
      <c r="D861" t="s">
        <v>187</v>
      </c>
      <c r="F861" t="s">
        <v>9644</v>
      </c>
      <c r="G861" t="s">
        <v>3990</v>
      </c>
    </row>
    <row r="862" spans="1:7" x14ac:dyDescent="0.25">
      <c r="A862" t="s">
        <v>2804</v>
      </c>
      <c r="B862" t="s">
        <v>1793</v>
      </c>
      <c r="C862">
        <v>2021</v>
      </c>
      <c r="E862" t="s">
        <v>3013</v>
      </c>
      <c r="F862" t="s">
        <v>9645</v>
      </c>
      <c r="G862" t="s">
        <v>187</v>
      </c>
    </row>
    <row r="863" spans="1:7" x14ac:dyDescent="0.25">
      <c r="A863" t="s">
        <v>1284</v>
      </c>
      <c r="B863" t="s">
        <v>1795</v>
      </c>
      <c r="C863">
        <v>1984</v>
      </c>
      <c r="E863" t="s">
        <v>3222</v>
      </c>
      <c r="F863" t="s">
        <v>8775</v>
      </c>
      <c r="G863" t="s">
        <v>3990</v>
      </c>
    </row>
    <row r="864" spans="1:7" x14ac:dyDescent="0.25">
      <c r="A864" t="s">
        <v>726</v>
      </c>
      <c r="B864" t="s">
        <v>1798</v>
      </c>
      <c r="C864">
        <v>2020</v>
      </c>
      <c r="E864" t="s">
        <v>3092</v>
      </c>
      <c r="F864" t="s">
        <v>8579</v>
      </c>
      <c r="G864" t="s">
        <v>3990</v>
      </c>
    </row>
    <row r="865" spans="1:7" x14ac:dyDescent="0.25">
      <c r="A865" t="s">
        <v>1294</v>
      </c>
      <c r="B865" t="s">
        <v>1798</v>
      </c>
      <c r="C865">
        <v>2019</v>
      </c>
      <c r="E865" t="s">
        <v>3092</v>
      </c>
      <c r="F865" t="s">
        <v>8798</v>
      </c>
      <c r="G865" t="s">
        <v>3990</v>
      </c>
    </row>
    <row r="866" spans="1:7" x14ac:dyDescent="0.25">
      <c r="A866" t="s">
        <v>1294</v>
      </c>
      <c r="B866" t="s">
        <v>1801</v>
      </c>
      <c r="C866">
        <v>2019</v>
      </c>
      <c r="E866" t="s">
        <v>3013</v>
      </c>
      <c r="F866" t="s">
        <v>9646</v>
      </c>
      <c r="G866" t="s">
        <v>187</v>
      </c>
    </row>
    <row r="867" spans="1:7" x14ac:dyDescent="0.25">
      <c r="A867" t="s">
        <v>2804</v>
      </c>
      <c r="B867" t="s">
        <v>1804</v>
      </c>
      <c r="C867">
        <v>2021</v>
      </c>
      <c r="E867" t="s">
        <v>3013</v>
      </c>
      <c r="F867" t="s">
        <v>9647</v>
      </c>
      <c r="G867" t="s">
        <v>187</v>
      </c>
    </row>
    <row r="868" spans="1:7" x14ac:dyDescent="0.25">
      <c r="A868" t="s">
        <v>1046</v>
      </c>
      <c r="B868" t="s">
        <v>1809</v>
      </c>
      <c r="C868">
        <v>2016</v>
      </c>
      <c r="E868" s="10" t="s">
        <v>9827</v>
      </c>
      <c r="F868" t="s">
        <v>9826</v>
      </c>
      <c r="G868" t="s">
        <v>3990</v>
      </c>
    </row>
    <row r="869" spans="1:7" x14ac:dyDescent="0.25">
      <c r="A869" t="s">
        <v>2804</v>
      </c>
      <c r="B869" t="s">
        <v>1809</v>
      </c>
      <c r="C869">
        <v>2021</v>
      </c>
      <c r="E869" t="s">
        <v>2982</v>
      </c>
      <c r="F869" t="s">
        <v>9333</v>
      </c>
      <c r="G869" t="s">
        <v>3990</v>
      </c>
    </row>
    <row r="870" spans="1:7" x14ac:dyDescent="0.25">
      <c r="A870" t="s">
        <v>1576</v>
      </c>
      <c r="B870" t="s">
        <v>1811</v>
      </c>
      <c r="C870">
        <v>2021</v>
      </c>
      <c r="E870" t="s">
        <v>2982</v>
      </c>
      <c r="F870" t="s">
        <v>8879</v>
      </c>
      <c r="G870" t="s">
        <v>3990</v>
      </c>
    </row>
    <row r="871" spans="1:7" x14ac:dyDescent="0.25">
      <c r="A871" t="s">
        <v>1813</v>
      </c>
      <c r="B871" t="s">
        <v>1811</v>
      </c>
      <c r="C871">
        <v>2024</v>
      </c>
      <c r="D871" t="s">
        <v>187</v>
      </c>
      <c r="F871" t="s">
        <v>8941</v>
      </c>
      <c r="G871" t="s">
        <v>3990</v>
      </c>
    </row>
    <row r="872" spans="1:7" x14ac:dyDescent="0.25">
      <c r="A872" t="s">
        <v>90</v>
      </c>
      <c r="B872" t="s">
        <v>1811</v>
      </c>
      <c r="C872">
        <v>2017</v>
      </c>
      <c r="E872" t="s">
        <v>2982</v>
      </c>
      <c r="F872" t="s">
        <v>9126</v>
      </c>
      <c r="G872" t="s">
        <v>3990</v>
      </c>
    </row>
    <row r="873" spans="1:7" x14ac:dyDescent="0.25">
      <c r="A873" t="s">
        <v>2377</v>
      </c>
      <c r="B873" t="s">
        <v>1811</v>
      </c>
      <c r="C873">
        <v>2021</v>
      </c>
      <c r="E873" t="s">
        <v>2982</v>
      </c>
      <c r="F873" t="s">
        <v>9178</v>
      </c>
      <c r="G873" t="s">
        <v>3990</v>
      </c>
    </row>
    <row r="874" spans="1:7" x14ac:dyDescent="0.25">
      <c r="A874" t="s">
        <v>2522</v>
      </c>
      <c r="B874" t="s">
        <v>1811</v>
      </c>
      <c r="C874">
        <v>2025</v>
      </c>
      <c r="E874" t="s">
        <v>2982</v>
      </c>
      <c r="F874" t="s">
        <v>9233</v>
      </c>
      <c r="G874" t="s">
        <v>3990</v>
      </c>
    </row>
    <row r="875" spans="1:7" x14ac:dyDescent="0.25">
      <c r="A875" t="s">
        <v>2428</v>
      </c>
      <c r="B875" t="s">
        <v>1817</v>
      </c>
      <c r="C875">
        <v>2008</v>
      </c>
      <c r="E875" t="s">
        <v>2982</v>
      </c>
      <c r="F875" t="s">
        <v>9206</v>
      </c>
      <c r="G875" t="s">
        <v>3990</v>
      </c>
    </row>
    <row r="876" spans="1:7" x14ac:dyDescent="0.25">
      <c r="A876" t="s">
        <v>2804</v>
      </c>
      <c r="B876" t="s">
        <v>1821</v>
      </c>
      <c r="C876">
        <v>2021</v>
      </c>
      <c r="E876" t="s">
        <v>3013</v>
      </c>
      <c r="F876" t="s">
        <v>9648</v>
      </c>
      <c r="G876" t="s">
        <v>187</v>
      </c>
    </row>
    <row r="877" spans="1:7" x14ac:dyDescent="0.25">
      <c r="A877" t="s">
        <v>497</v>
      </c>
      <c r="B877" t="s">
        <v>1825</v>
      </c>
      <c r="C877">
        <v>2022</v>
      </c>
      <c r="E877" t="s">
        <v>1828</v>
      </c>
      <c r="F877" t="s">
        <v>8547</v>
      </c>
      <c r="G877" t="s">
        <v>3990</v>
      </c>
    </row>
    <row r="878" spans="1:7" x14ac:dyDescent="0.25">
      <c r="A878" t="s">
        <v>160</v>
      </c>
      <c r="B878" t="s">
        <v>1825</v>
      </c>
      <c r="C878">
        <v>2011</v>
      </c>
      <c r="E878" t="s">
        <v>1828</v>
      </c>
      <c r="F878" t="s">
        <v>9272</v>
      </c>
      <c r="G878" t="s">
        <v>3990</v>
      </c>
    </row>
    <row r="879" spans="1:7" x14ac:dyDescent="0.25">
      <c r="A879" t="s">
        <v>2804</v>
      </c>
      <c r="B879" t="s">
        <v>1829</v>
      </c>
      <c r="C879">
        <v>2021</v>
      </c>
      <c r="E879" t="s">
        <v>3013</v>
      </c>
      <c r="F879" t="s">
        <v>9649</v>
      </c>
      <c r="G879" t="s">
        <v>187</v>
      </c>
    </row>
    <row r="880" spans="1:7" x14ac:dyDescent="0.25">
      <c r="A880" t="s">
        <v>2185</v>
      </c>
      <c r="B880" t="s">
        <v>1833</v>
      </c>
      <c r="C880">
        <v>2022</v>
      </c>
      <c r="E880" t="s">
        <v>2982</v>
      </c>
      <c r="F880" t="s">
        <v>9049</v>
      </c>
      <c r="G880" t="s">
        <v>3990</v>
      </c>
    </row>
    <row r="881" spans="1:7" x14ac:dyDescent="0.25">
      <c r="A881" t="s">
        <v>90</v>
      </c>
      <c r="B881" t="s">
        <v>1833</v>
      </c>
      <c r="C881">
        <v>2017</v>
      </c>
      <c r="E881" t="s">
        <v>2982</v>
      </c>
      <c r="F881" t="s">
        <v>9127</v>
      </c>
      <c r="G881" t="s">
        <v>3990</v>
      </c>
    </row>
    <row r="882" spans="1:7" x14ac:dyDescent="0.25">
      <c r="A882" t="s">
        <v>2173</v>
      </c>
      <c r="B882" t="s">
        <v>1837</v>
      </c>
      <c r="C882">
        <v>2013</v>
      </c>
      <c r="E882" s="10" t="s">
        <v>8353</v>
      </c>
      <c r="F882" t="s">
        <v>9044</v>
      </c>
      <c r="G882" t="s">
        <v>3990</v>
      </c>
    </row>
    <row r="883" spans="1:7" x14ac:dyDescent="0.25">
      <c r="A883" t="s">
        <v>160</v>
      </c>
      <c r="B883" t="s">
        <v>1837</v>
      </c>
      <c r="C883">
        <v>2011</v>
      </c>
      <c r="E883" s="10" t="s">
        <v>8353</v>
      </c>
      <c r="F883" t="s">
        <v>9273</v>
      </c>
      <c r="G883" t="s">
        <v>3990</v>
      </c>
    </row>
    <row r="884" spans="1:7" x14ac:dyDescent="0.25">
      <c r="A884" t="s">
        <v>2804</v>
      </c>
      <c r="B884" t="s">
        <v>1837</v>
      </c>
      <c r="C884">
        <v>2021</v>
      </c>
      <c r="E884" t="s">
        <v>3013</v>
      </c>
      <c r="F884" t="s">
        <v>9650</v>
      </c>
      <c r="G884" t="s">
        <v>187</v>
      </c>
    </row>
    <row r="885" spans="1:7" x14ac:dyDescent="0.25">
      <c r="A885" t="s">
        <v>160</v>
      </c>
      <c r="B885" t="s">
        <v>1843</v>
      </c>
      <c r="C885">
        <v>2011</v>
      </c>
      <c r="E885" t="s">
        <v>3404</v>
      </c>
      <c r="F885" t="s">
        <v>9274</v>
      </c>
      <c r="G885" t="s">
        <v>3990</v>
      </c>
    </row>
    <row r="886" spans="1:7" x14ac:dyDescent="0.25">
      <c r="A886" t="s">
        <v>946</v>
      </c>
      <c r="B886" t="s">
        <v>1847</v>
      </c>
      <c r="C886">
        <v>2014</v>
      </c>
      <c r="E886" s="10" t="s">
        <v>3162</v>
      </c>
      <c r="F886" t="s">
        <v>9651</v>
      </c>
      <c r="G886" t="s">
        <v>3990</v>
      </c>
    </row>
    <row r="887" spans="1:7" x14ac:dyDescent="0.25">
      <c r="A887" t="s">
        <v>1144</v>
      </c>
      <c r="B887" t="s">
        <v>1847</v>
      </c>
      <c r="C887">
        <v>2012</v>
      </c>
      <c r="E887" t="s">
        <v>3206</v>
      </c>
      <c r="F887" t="s">
        <v>8748</v>
      </c>
      <c r="G887" t="s">
        <v>3990</v>
      </c>
    </row>
    <row r="888" spans="1:7" x14ac:dyDescent="0.25">
      <c r="A888" t="s">
        <v>2506</v>
      </c>
      <c r="B888" t="s">
        <v>1851</v>
      </c>
      <c r="C888">
        <v>2021</v>
      </c>
      <c r="E888" t="s">
        <v>2982</v>
      </c>
      <c r="F888" t="s">
        <v>9226</v>
      </c>
      <c r="G888" t="s">
        <v>3990</v>
      </c>
    </row>
    <row r="889" spans="1:7" x14ac:dyDescent="0.25">
      <c r="A889" t="s">
        <v>160</v>
      </c>
      <c r="B889" t="s">
        <v>1851</v>
      </c>
      <c r="C889">
        <v>2011</v>
      </c>
      <c r="E889" t="s">
        <v>2982</v>
      </c>
      <c r="F889" t="s">
        <v>9275</v>
      </c>
      <c r="G889" t="s">
        <v>3990</v>
      </c>
    </row>
    <row r="890" spans="1:7" x14ac:dyDescent="0.25">
      <c r="A890" t="s">
        <v>2804</v>
      </c>
      <c r="B890" t="s">
        <v>1851</v>
      </c>
      <c r="C890">
        <v>2021</v>
      </c>
      <c r="E890" t="s">
        <v>2982</v>
      </c>
      <c r="F890" t="s">
        <v>9334</v>
      </c>
      <c r="G890" t="s">
        <v>3990</v>
      </c>
    </row>
    <row r="891" spans="1:7" x14ac:dyDescent="0.25">
      <c r="A891" t="s">
        <v>1144</v>
      </c>
      <c r="B891" t="s">
        <v>1855</v>
      </c>
      <c r="C891">
        <v>2012</v>
      </c>
      <c r="E891" s="10" t="s">
        <v>8393</v>
      </c>
      <c r="F891" t="s">
        <v>8749</v>
      </c>
      <c r="G891" t="s">
        <v>3990</v>
      </c>
    </row>
    <row r="892" spans="1:7" x14ac:dyDescent="0.25">
      <c r="A892" t="s">
        <v>2322</v>
      </c>
      <c r="B892" t="s">
        <v>1855</v>
      </c>
      <c r="C892">
        <v>2010</v>
      </c>
      <c r="E892" t="s">
        <v>3337</v>
      </c>
      <c r="F892" t="s">
        <v>9058</v>
      </c>
      <c r="G892" t="s">
        <v>3990</v>
      </c>
    </row>
    <row r="893" spans="1:7" x14ac:dyDescent="0.25">
      <c r="A893" t="s">
        <v>2428</v>
      </c>
      <c r="B893" t="s">
        <v>1855</v>
      </c>
      <c r="C893">
        <v>2008</v>
      </c>
      <c r="E893" s="10" t="s">
        <v>8393</v>
      </c>
      <c r="F893" t="s">
        <v>9207</v>
      </c>
      <c r="G893" t="s">
        <v>3990</v>
      </c>
    </row>
    <row r="894" spans="1:7" x14ac:dyDescent="0.25">
      <c r="A894" t="s">
        <v>160</v>
      </c>
      <c r="B894" t="s">
        <v>1855</v>
      </c>
      <c r="C894">
        <v>2011</v>
      </c>
      <c r="E894" s="10" t="s">
        <v>8393</v>
      </c>
      <c r="F894" t="s">
        <v>9276</v>
      </c>
      <c r="G894" t="s">
        <v>3990</v>
      </c>
    </row>
    <row r="895" spans="1:7" x14ac:dyDescent="0.25">
      <c r="A895" t="s">
        <v>1294</v>
      </c>
      <c r="B895" t="s">
        <v>1859</v>
      </c>
      <c r="C895">
        <v>2019</v>
      </c>
      <c r="E895" t="s">
        <v>3013</v>
      </c>
      <c r="F895" t="s">
        <v>9652</v>
      </c>
      <c r="G895" t="s">
        <v>187</v>
      </c>
    </row>
    <row r="896" spans="1:7" x14ac:dyDescent="0.25">
      <c r="A896" t="s">
        <v>344</v>
      </c>
      <c r="B896" t="s">
        <v>1863</v>
      </c>
      <c r="C896">
        <v>2023</v>
      </c>
      <c r="E896" t="s">
        <v>2982</v>
      </c>
      <c r="F896" t="s">
        <v>8476</v>
      </c>
      <c r="G896" t="s">
        <v>3990</v>
      </c>
    </row>
    <row r="897" spans="1:7" x14ac:dyDescent="0.25">
      <c r="A897" t="s">
        <v>2506</v>
      </c>
      <c r="B897" t="s">
        <v>1863</v>
      </c>
      <c r="C897">
        <v>2021</v>
      </c>
      <c r="E897" t="s">
        <v>2982</v>
      </c>
      <c r="F897" t="s">
        <v>9227</v>
      </c>
      <c r="G897" t="s">
        <v>3990</v>
      </c>
    </row>
    <row r="898" spans="1:7" x14ac:dyDescent="0.25">
      <c r="A898" t="s">
        <v>2614</v>
      </c>
      <c r="B898" t="s">
        <v>1863</v>
      </c>
      <c r="C898">
        <v>2025</v>
      </c>
      <c r="E898" t="s">
        <v>2982</v>
      </c>
      <c r="F898" t="s">
        <v>9244</v>
      </c>
      <c r="G898" t="s">
        <v>3990</v>
      </c>
    </row>
    <row r="899" spans="1:7" x14ac:dyDescent="0.25">
      <c r="A899" t="s">
        <v>759</v>
      </c>
      <c r="B899" t="s">
        <v>1865</v>
      </c>
      <c r="C899">
        <v>2018</v>
      </c>
      <c r="E899" t="s">
        <v>3013</v>
      </c>
      <c r="F899" t="s">
        <v>9653</v>
      </c>
      <c r="G899" t="s">
        <v>187</v>
      </c>
    </row>
    <row r="900" spans="1:7" x14ac:dyDescent="0.25">
      <c r="A900" t="s">
        <v>90</v>
      </c>
      <c r="B900" t="s">
        <v>1867</v>
      </c>
      <c r="C900">
        <v>2017</v>
      </c>
      <c r="E900" t="s">
        <v>3369</v>
      </c>
      <c r="F900" t="s">
        <v>10018</v>
      </c>
      <c r="G900" t="s">
        <v>187</v>
      </c>
    </row>
    <row r="901" spans="1:7" x14ac:dyDescent="0.25">
      <c r="A901" t="s">
        <v>160</v>
      </c>
      <c r="B901" t="s">
        <v>1867</v>
      </c>
      <c r="C901">
        <v>2011</v>
      </c>
      <c r="E901" t="s">
        <v>3369</v>
      </c>
      <c r="F901" t="s">
        <v>10018</v>
      </c>
      <c r="G901" t="s">
        <v>187</v>
      </c>
    </row>
    <row r="902" spans="1:7" x14ac:dyDescent="0.25">
      <c r="A902" t="s">
        <v>651</v>
      </c>
      <c r="B902" t="s">
        <v>1875</v>
      </c>
      <c r="C902">
        <v>2023</v>
      </c>
      <c r="E902" t="s">
        <v>3081</v>
      </c>
      <c r="F902" t="s">
        <v>9654</v>
      </c>
      <c r="G902" t="s">
        <v>3990</v>
      </c>
    </row>
    <row r="903" spans="1:7" x14ac:dyDescent="0.25">
      <c r="A903" t="s">
        <v>1046</v>
      </c>
      <c r="B903" t="s">
        <v>1877</v>
      </c>
      <c r="C903">
        <v>2016</v>
      </c>
      <c r="E903" t="s">
        <v>3187</v>
      </c>
      <c r="F903" t="s">
        <v>8720</v>
      </c>
      <c r="G903" t="s">
        <v>3990</v>
      </c>
    </row>
    <row r="904" spans="1:7" x14ac:dyDescent="0.25">
      <c r="A904" t="s">
        <v>1855</v>
      </c>
      <c r="B904" t="s">
        <v>1877</v>
      </c>
      <c r="C904">
        <v>2015</v>
      </c>
      <c r="E904" t="s">
        <v>3187</v>
      </c>
      <c r="F904" t="s">
        <v>8961</v>
      </c>
      <c r="G904" t="s">
        <v>3990</v>
      </c>
    </row>
    <row r="905" spans="1:7" x14ac:dyDescent="0.25">
      <c r="A905" t="s">
        <v>1516</v>
      </c>
      <c r="B905" t="s">
        <v>1879</v>
      </c>
      <c r="C905">
        <v>2024</v>
      </c>
      <c r="D905" t="s">
        <v>187</v>
      </c>
      <c r="F905" t="s">
        <v>9655</v>
      </c>
      <c r="G905" t="s">
        <v>3990</v>
      </c>
    </row>
    <row r="906" spans="1:7" x14ac:dyDescent="0.25">
      <c r="A906" t="s">
        <v>1855</v>
      </c>
      <c r="B906" t="s">
        <v>1879</v>
      </c>
      <c r="C906">
        <v>2015</v>
      </c>
      <c r="E906" t="s">
        <v>3298</v>
      </c>
      <c r="F906" t="s">
        <v>9656</v>
      </c>
      <c r="G906" t="s">
        <v>187</v>
      </c>
    </row>
    <row r="907" spans="1:7" x14ac:dyDescent="0.25">
      <c r="A907" t="s">
        <v>2254</v>
      </c>
      <c r="B907" t="s">
        <v>1879</v>
      </c>
      <c r="C907">
        <v>2020</v>
      </c>
      <c r="E907" t="s">
        <v>3298</v>
      </c>
      <c r="F907" t="s">
        <v>9657</v>
      </c>
      <c r="G907" t="s">
        <v>187</v>
      </c>
    </row>
    <row r="908" spans="1:7" x14ac:dyDescent="0.25">
      <c r="A908" t="s">
        <v>2154</v>
      </c>
      <c r="B908" t="s">
        <v>1882</v>
      </c>
      <c r="C908">
        <v>1980</v>
      </c>
      <c r="E908" s="10" t="s">
        <v>8437</v>
      </c>
      <c r="F908" t="s">
        <v>8438</v>
      </c>
      <c r="G908" t="s">
        <v>3990</v>
      </c>
    </row>
    <row r="909" spans="1:7" x14ac:dyDescent="0.25">
      <c r="A909" t="s">
        <v>2721</v>
      </c>
      <c r="B909" t="s">
        <v>1885</v>
      </c>
      <c r="C909">
        <v>1993</v>
      </c>
      <c r="D909" t="s">
        <v>187</v>
      </c>
      <c r="F909" t="s">
        <v>9658</v>
      </c>
      <c r="G909" t="s">
        <v>3990</v>
      </c>
    </row>
    <row r="910" spans="1:7" x14ac:dyDescent="0.25">
      <c r="A910" t="s">
        <v>1891</v>
      </c>
      <c r="B910" t="s">
        <v>1887</v>
      </c>
      <c r="C910">
        <v>2017</v>
      </c>
      <c r="D910" t="s">
        <v>187</v>
      </c>
      <c r="F910" t="s">
        <v>9659</v>
      </c>
      <c r="G910" t="s">
        <v>3990</v>
      </c>
    </row>
    <row r="911" spans="1:7" x14ac:dyDescent="0.25">
      <c r="A911" t="s">
        <v>1885</v>
      </c>
      <c r="B911" t="s">
        <v>1891</v>
      </c>
      <c r="C911">
        <v>2015</v>
      </c>
      <c r="D911" t="s">
        <v>187</v>
      </c>
      <c r="F911" t="s">
        <v>9660</v>
      </c>
      <c r="G911" t="s">
        <v>3990</v>
      </c>
    </row>
    <row r="912" spans="1:7" x14ac:dyDescent="0.25">
      <c r="A912" t="s">
        <v>353</v>
      </c>
      <c r="B912" t="s">
        <v>1893</v>
      </c>
      <c r="C912">
        <v>2023</v>
      </c>
      <c r="E912" t="s">
        <v>3035</v>
      </c>
      <c r="F912" t="s">
        <v>8507</v>
      </c>
      <c r="G912" t="s">
        <v>3990</v>
      </c>
    </row>
    <row r="913" spans="1:7" x14ac:dyDescent="0.25">
      <c r="A913" t="s">
        <v>364</v>
      </c>
      <c r="B913" t="s">
        <v>1893</v>
      </c>
      <c r="C913">
        <v>2024</v>
      </c>
      <c r="E913" t="s">
        <v>3035</v>
      </c>
      <c r="F913" t="s">
        <v>8528</v>
      </c>
      <c r="G913" t="s">
        <v>3990</v>
      </c>
    </row>
    <row r="914" spans="1:7" x14ac:dyDescent="0.25">
      <c r="A914" t="s">
        <v>1576</v>
      </c>
      <c r="B914" t="s">
        <v>1893</v>
      </c>
      <c r="C914">
        <v>2021</v>
      </c>
      <c r="E914" t="s">
        <v>3035</v>
      </c>
      <c r="F914" t="s">
        <v>8880</v>
      </c>
      <c r="G914" t="s">
        <v>3990</v>
      </c>
    </row>
    <row r="915" spans="1:7" x14ac:dyDescent="0.25">
      <c r="A915" t="s">
        <v>1144</v>
      </c>
      <c r="B915" t="s">
        <v>1895</v>
      </c>
      <c r="C915">
        <v>2012</v>
      </c>
      <c r="E915" t="s">
        <v>3207</v>
      </c>
      <c r="F915" t="s">
        <v>8750</v>
      </c>
      <c r="G915" t="s">
        <v>3990</v>
      </c>
    </row>
    <row r="916" spans="1:7" x14ac:dyDescent="0.25">
      <c r="A916" t="s">
        <v>1855</v>
      </c>
      <c r="B916" t="s">
        <v>1895</v>
      </c>
      <c r="C916">
        <v>2015</v>
      </c>
      <c r="E916" t="s">
        <v>3207</v>
      </c>
      <c r="F916" t="s">
        <v>8962</v>
      </c>
      <c r="G916" t="s">
        <v>3990</v>
      </c>
    </row>
    <row r="917" spans="1:7" x14ac:dyDescent="0.25">
      <c r="A917" t="s">
        <v>90</v>
      </c>
      <c r="B917" t="s">
        <v>1895</v>
      </c>
      <c r="C917">
        <v>2017</v>
      </c>
      <c r="E917" t="s">
        <v>3207</v>
      </c>
      <c r="F917" t="s">
        <v>9128</v>
      </c>
      <c r="G917" t="s">
        <v>3990</v>
      </c>
    </row>
    <row r="918" spans="1:7" x14ac:dyDescent="0.25">
      <c r="A918" t="s">
        <v>1761</v>
      </c>
      <c r="B918" t="s">
        <v>1899</v>
      </c>
      <c r="C918">
        <v>1995</v>
      </c>
      <c r="E918" t="s">
        <v>3271</v>
      </c>
      <c r="F918" t="s">
        <v>14047</v>
      </c>
      <c r="G918" t="s">
        <v>3990</v>
      </c>
    </row>
    <row r="919" spans="1:7" x14ac:dyDescent="0.25">
      <c r="A919" t="s">
        <v>2721</v>
      </c>
      <c r="B919" t="s">
        <v>1899</v>
      </c>
      <c r="C919">
        <v>1993</v>
      </c>
      <c r="E919" t="s">
        <v>3271</v>
      </c>
      <c r="F919" t="s">
        <v>14047</v>
      </c>
      <c r="G919" t="s">
        <v>3990</v>
      </c>
    </row>
    <row r="920" spans="1:7" x14ac:dyDescent="0.25">
      <c r="A920" t="s">
        <v>1970</v>
      </c>
      <c r="B920" t="s">
        <v>1903</v>
      </c>
      <c r="C920">
        <v>2012</v>
      </c>
      <c r="E920" t="s">
        <v>3302</v>
      </c>
      <c r="F920" t="s">
        <v>9661</v>
      </c>
      <c r="G920" t="s">
        <v>187</v>
      </c>
    </row>
    <row r="921" spans="1:7" x14ac:dyDescent="0.25">
      <c r="A921" t="s">
        <v>205</v>
      </c>
      <c r="B921" t="s">
        <v>7819</v>
      </c>
      <c r="C921">
        <v>2015</v>
      </c>
      <c r="E921" s="10" t="s">
        <v>8354</v>
      </c>
      <c r="F921" t="s">
        <v>8447</v>
      </c>
      <c r="G921" t="s">
        <v>3990</v>
      </c>
    </row>
    <row r="922" spans="1:7" x14ac:dyDescent="0.25">
      <c r="A922" t="s">
        <v>1553</v>
      </c>
      <c r="B922" t="s">
        <v>7819</v>
      </c>
      <c r="C922">
        <v>2017</v>
      </c>
      <c r="E922" t="s">
        <v>7804</v>
      </c>
      <c r="F922" t="s">
        <v>8863</v>
      </c>
      <c r="G922" t="s">
        <v>3990</v>
      </c>
    </row>
    <row r="923" spans="1:7" x14ac:dyDescent="0.25">
      <c r="A923" t="s">
        <v>2324</v>
      </c>
      <c r="B923" t="s">
        <v>7819</v>
      </c>
      <c r="C923">
        <v>2022</v>
      </c>
      <c r="E923" s="10" t="s">
        <v>8355</v>
      </c>
      <c r="F923" t="s">
        <v>9060</v>
      </c>
      <c r="G923" t="s">
        <v>3990</v>
      </c>
    </row>
    <row r="924" spans="1:7" x14ac:dyDescent="0.25">
      <c r="A924" t="s">
        <v>2361</v>
      </c>
      <c r="B924" t="s">
        <v>7819</v>
      </c>
      <c r="C924">
        <v>2018</v>
      </c>
      <c r="E924" s="10" t="s">
        <v>8355</v>
      </c>
      <c r="F924" t="s">
        <v>9174</v>
      </c>
      <c r="G924" t="s">
        <v>3990</v>
      </c>
    </row>
    <row r="925" spans="1:7" x14ac:dyDescent="0.25">
      <c r="A925" t="s">
        <v>2506</v>
      </c>
      <c r="B925" t="s">
        <v>7819</v>
      </c>
      <c r="C925">
        <v>2021</v>
      </c>
      <c r="E925" t="s">
        <v>7804</v>
      </c>
      <c r="F925" t="s">
        <v>9228</v>
      </c>
      <c r="G925" t="s">
        <v>3990</v>
      </c>
    </row>
    <row r="926" spans="1:7" x14ac:dyDescent="0.25">
      <c r="A926" t="s">
        <v>847</v>
      </c>
      <c r="B926" t="s">
        <v>1911</v>
      </c>
      <c r="C926">
        <v>1996</v>
      </c>
      <c r="E926" s="10" t="s">
        <v>8356</v>
      </c>
      <c r="F926" t="s">
        <v>8650</v>
      </c>
      <c r="G926" t="s">
        <v>3990</v>
      </c>
    </row>
    <row r="927" spans="1:7" x14ac:dyDescent="0.25">
      <c r="A927" t="s">
        <v>914</v>
      </c>
      <c r="B927" t="s">
        <v>1911</v>
      </c>
      <c r="C927">
        <v>2013</v>
      </c>
      <c r="E927" s="10" t="s">
        <v>8356</v>
      </c>
      <c r="F927" t="s">
        <v>8668</v>
      </c>
      <c r="G927" t="s">
        <v>3990</v>
      </c>
    </row>
    <row r="928" spans="1:7" x14ac:dyDescent="0.25">
      <c r="A928" t="s">
        <v>1144</v>
      </c>
      <c r="B928" t="s">
        <v>1911</v>
      </c>
      <c r="C928">
        <v>2012</v>
      </c>
      <c r="E928" t="s">
        <v>3208</v>
      </c>
      <c r="F928" t="s">
        <v>8751</v>
      </c>
      <c r="G928" t="s">
        <v>3990</v>
      </c>
    </row>
    <row r="929" spans="1:7" x14ac:dyDescent="0.25">
      <c r="A929" t="s">
        <v>160</v>
      </c>
      <c r="B929" t="s">
        <v>1911</v>
      </c>
      <c r="C929">
        <v>2011</v>
      </c>
      <c r="E929" t="s">
        <v>3208</v>
      </c>
      <c r="F929" t="s">
        <v>9277</v>
      </c>
      <c r="G929" t="s">
        <v>3990</v>
      </c>
    </row>
    <row r="930" spans="1:7" x14ac:dyDescent="0.25">
      <c r="A930" t="s">
        <v>1795</v>
      </c>
      <c r="B930" t="s">
        <v>1918</v>
      </c>
      <c r="C930">
        <v>1987</v>
      </c>
      <c r="E930" t="s">
        <v>2982</v>
      </c>
      <c r="F930" t="s">
        <v>8930</v>
      </c>
      <c r="G930" t="s">
        <v>3990</v>
      </c>
    </row>
    <row r="931" spans="1:7" x14ac:dyDescent="0.25">
      <c r="A931" t="s">
        <v>90</v>
      </c>
      <c r="B931" t="s">
        <v>1921</v>
      </c>
      <c r="C931">
        <v>2017</v>
      </c>
      <c r="E931" t="s">
        <v>3013</v>
      </c>
      <c r="F931" t="s">
        <v>9662</v>
      </c>
      <c r="G931" t="s">
        <v>187</v>
      </c>
    </row>
    <row r="932" spans="1:7" x14ac:dyDescent="0.25">
      <c r="A932" t="s">
        <v>2009</v>
      </c>
      <c r="B932" t="s">
        <v>1925</v>
      </c>
      <c r="C932">
        <v>2005</v>
      </c>
      <c r="E932" t="s">
        <v>3303</v>
      </c>
      <c r="F932" t="s">
        <v>8982</v>
      </c>
      <c r="G932" t="s">
        <v>3990</v>
      </c>
    </row>
    <row r="933" spans="1:7" x14ac:dyDescent="0.25">
      <c r="A933" t="s">
        <v>160</v>
      </c>
      <c r="B933" t="s">
        <v>1927</v>
      </c>
      <c r="C933">
        <v>2011</v>
      </c>
      <c r="E933" t="s">
        <v>2982</v>
      </c>
      <c r="F933" t="s">
        <v>9278</v>
      </c>
      <c r="G933" t="s">
        <v>3990</v>
      </c>
    </row>
    <row r="934" spans="1:7" x14ac:dyDescent="0.25">
      <c r="A934" t="s">
        <v>1046</v>
      </c>
      <c r="B934" t="s">
        <v>7906</v>
      </c>
      <c r="C934">
        <v>2016</v>
      </c>
      <c r="E934" s="10" t="s">
        <v>7905</v>
      </c>
      <c r="F934" t="s">
        <v>9663</v>
      </c>
      <c r="G934" t="s">
        <v>3990</v>
      </c>
    </row>
    <row r="935" spans="1:7" x14ac:dyDescent="0.25">
      <c r="A935" t="s">
        <v>353</v>
      </c>
      <c r="B935" t="s">
        <v>1931</v>
      </c>
      <c r="C935">
        <v>2023</v>
      </c>
      <c r="E935" t="s">
        <v>3036</v>
      </c>
      <c r="F935" t="s">
        <v>8508</v>
      </c>
      <c r="G935" t="s">
        <v>3990</v>
      </c>
    </row>
    <row r="936" spans="1:7" x14ac:dyDescent="0.25">
      <c r="A936" t="s">
        <v>1046</v>
      </c>
      <c r="B936" t="s">
        <v>1933</v>
      </c>
      <c r="C936">
        <v>2016</v>
      </c>
      <c r="E936" s="10" t="s">
        <v>8395</v>
      </c>
      <c r="F936" t="s">
        <v>14046</v>
      </c>
      <c r="G936" t="s">
        <v>3990</v>
      </c>
    </row>
    <row r="937" spans="1:7" x14ac:dyDescent="0.25">
      <c r="A937" t="s">
        <v>160</v>
      </c>
      <c r="B937" t="s">
        <v>1933</v>
      </c>
      <c r="C937">
        <v>2011</v>
      </c>
      <c r="E937" s="10" t="s">
        <v>8395</v>
      </c>
      <c r="F937" t="s">
        <v>14046</v>
      </c>
      <c r="G937" t="s">
        <v>3990</v>
      </c>
    </row>
    <row r="938" spans="1:7" x14ac:dyDescent="0.25">
      <c r="A938" t="s">
        <v>964</v>
      </c>
      <c r="B938" t="s">
        <v>1937</v>
      </c>
      <c r="C938">
        <v>2006</v>
      </c>
      <c r="E938" t="s">
        <v>1940</v>
      </c>
      <c r="F938" t="s">
        <v>14045</v>
      </c>
      <c r="G938" t="s">
        <v>3990</v>
      </c>
    </row>
    <row r="939" spans="1:7" x14ac:dyDescent="0.25">
      <c r="A939" t="s">
        <v>2107</v>
      </c>
      <c r="B939" t="s">
        <v>1937</v>
      </c>
      <c r="C939">
        <v>2020</v>
      </c>
      <c r="E939" t="s">
        <v>1940</v>
      </c>
      <c r="F939" t="s">
        <v>14068</v>
      </c>
      <c r="G939" t="s">
        <v>3990</v>
      </c>
    </row>
    <row r="940" spans="1:7" x14ac:dyDescent="0.25">
      <c r="A940" t="s">
        <v>2571</v>
      </c>
      <c r="B940" t="s">
        <v>1937</v>
      </c>
      <c r="C940">
        <v>1998</v>
      </c>
      <c r="E940" s="10" t="s">
        <v>1940</v>
      </c>
      <c r="F940" t="s">
        <v>14045</v>
      </c>
      <c r="G940" t="s">
        <v>3990</v>
      </c>
    </row>
    <row r="941" spans="1:7" x14ac:dyDescent="0.25">
      <c r="A941" t="s">
        <v>1046</v>
      </c>
      <c r="B941" t="s">
        <v>1941</v>
      </c>
      <c r="C941">
        <v>2016</v>
      </c>
      <c r="E941" t="s">
        <v>3188</v>
      </c>
      <c r="F941" t="s">
        <v>8721</v>
      </c>
      <c r="G941" t="s">
        <v>3990</v>
      </c>
    </row>
    <row r="942" spans="1:7" x14ac:dyDescent="0.25">
      <c r="A942" t="s">
        <v>1817</v>
      </c>
      <c r="B942" t="s">
        <v>1941</v>
      </c>
      <c r="C942">
        <v>2019</v>
      </c>
      <c r="E942" t="s">
        <v>3291</v>
      </c>
      <c r="F942" t="s">
        <v>8943</v>
      </c>
      <c r="G942" t="s">
        <v>3990</v>
      </c>
    </row>
    <row r="943" spans="1:7" x14ac:dyDescent="0.25">
      <c r="A943" t="s">
        <v>160</v>
      </c>
      <c r="B943" t="s">
        <v>1941</v>
      </c>
      <c r="C943">
        <v>2011</v>
      </c>
      <c r="E943" t="s">
        <v>3405</v>
      </c>
      <c r="F943" t="s">
        <v>9279</v>
      </c>
      <c r="G943" t="s">
        <v>3990</v>
      </c>
    </row>
    <row r="944" spans="1:7" x14ac:dyDescent="0.25">
      <c r="A944" t="s">
        <v>1795</v>
      </c>
      <c r="B944" t="s">
        <v>1944</v>
      </c>
      <c r="C944">
        <v>1987</v>
      </c>
      <c r="E944" t="s">
        <v>3281</v>
      </c>
      <c r="F944" t="s">
        <v>8931</v>
      </c>
      <c r="G944" t="s">
        <v>3990</v>
      </c>
    </row>
    <row r="945" spans="1:7" x14ac:dyDescent="0.25">
      <c r="A945" t="s">
        <v>1443</v>
      </c>
      <c r="B945" t="s">
        <v>1947</v>
      </c>
      <c r="C945">
        <v>2018</v>
      </c>
      <c r="E945" t="s">
        <v>3249</v>
      </c>
      <c r="F945" t="s">
        <v>8850</v>
      </c>
      <c r="G945" t="s">
        <v>3990</v>
      </c>
    </row>
    <row r="946" spans="1:7" x14ac:dyDescent="0.25">
      <c r="A946" t="s">
        <v>90</v>
      </c>
      <c r="B946" t="s">
        <v>1947</v>
      </c>
      <c r="C946">
        <v>2017</v>
      </c>
      <c r="E946" t="s">
        <v>3249</v>
      </c>
      <c r="F946" t="s">
        <v>9129</v>
      </c>
      <c r="G946" t="s">
        <v>3990</v>
      </c>
    </row>
    <row r="947" spans="1:7" x14ac:dyDescent="0.25">
      <c r="A947" t="s">
        <v>709</v>
      </c>
      <c r="B947" t="s">
        <v>12679</v>
      </c>
      <c r="C947">
        <v>2022</v>
      </c>
      <c r="E947" s="10" t="s">
        <v>12682</v>
      </c>
      <c r="F947" t="s">
        <v>12709</v>
      </c>
      <c r="G947" t="s">
        <v>3990</v>
      </c>
    </row>
    <row r="948" spans="1:7" x14ac:dyDescent="0.25">
      <c r="A948" t="s">
        <v>2136</v>
      </c>
      <c r="B948" t="s">
        <v>12679</v>
      </c>
      <c r="C948">
        <v>2020</v>
      </c>
      <c r="E948" s="10" t="s">
        <v>12682</v>
      </c>
      <c r="F948" t="s">
        <v>12709</v>
      </c>
      <c r="G948" t="s">
        <v>3990</v>
      </c>
    </row>
    <row r="949" spans="1:7" x14ac:dyDescent="0.25">
      <c r="A949" t="s">
        <v>497</v>
      </c>
      <c r="B949" t="s">
        <v>8104</v>
      </c>
      <c r="C949">
        <v>2022</v>
      </c>
      <c r="E949" s="10" t="s">
        <v>8112</v>
      </c>
      <c r="F949" t="s">
        <v>8548</v>
      </c>
      <c r="G949" t="s">
        <v>3990</v>
      </c>
    </row>
    <row r="950" spans="1:7" x14ac:dyDescent="0.25">
      <c r="A950" t="s">
        <v>2377</v>
      </c>
      <c r="B950" t="s">
        <v>8104</v>
      </c>
      <c r="C950">
        <v>2021</v>
      </c>
      <c r="E950" s="10" t="s">
        <v>8112</v>
      </c>
      <c r="F950" t="s">
        <v>9179</v>
      </c>
      <c r="G950" t="s">
        <v>3990</v>
      </c>
    </row>
    <row r="951" spans="1:7" x14ac:dyDescent="0.25">
      <c r="A951" t="s">
        <v>90</v>
      </c>
      <c r="B951" t="s">
        <v>1951</v>
      </c>
      <c r="C951">
        <v>2017</v>
      </c>
      <c r="E951" t="s">
        <v>3370</v>
      </c>
      <c r="F951" t="s">
        <v>9130</v>
      </c>
      <c r="G951" t="s">
        <v>3990</v>
      </c>
    </row>
    <row r="952" spans="1:7" x14ac:dyDescent="0.25">
      <c r="A952" t="s">
        <v>353</v>
      </c>
      <c r="B952" t="s">
        <v>1955</v>
      </c>
      <c r="C952">
        <v>2023</v>
      </c>
      <c r="E952" t="s">
        <v>3037</v>
      </c>
      <c r="F952" t="s">
        <v>8509</v>
      </c>
      <c r="G952" t="s">
        <v>3990</v>
      </c>
    </row>
    <row r="953" spans="1:7" x14ac:dyDescent="0.25">
      <c r="A953" t="s">
        <v>1851</v>
      </c>
      <c r="B953" t="s">
        <v>1955</v>
      </c>
      <c r="C953">
        <v>2024</v>
      </c>
      <c r="E953" t="s">
        <v>3037</v>
      </c>
      <c r="F953" t="s">
        <v>8948</v>
      </c>
      <c r="G953" t="s">
        <v>3990</v>
      </c>
    </row>
    <row r="954" spans="1:7" x14ac:dyDescent="0.25">
      <c r="A954" t="s">
        <v>1951</v>
      </c>
      <c r="B954" t="s">
        <v>1955</v>
      </c>
      <c r="C954">
        <v>2022</v>
      </c>
      <c r="E954" t="s">
        <v>3037</v>
      </c>
      <c r="F954" t="s">
        <v>8978</v>
      </c>
      <c r="G954" t="s">
        <v>3990</v>
      </c>
    </row>
    <row r="955" spans="1:7" x14ac:dyDescent="0.25">
      <c r="A955" t="s">
        <v>185</v>
      </c>
      <c r="B955" t="s">
        <v>7636</v>
      </c>
      <c r="C955">
        <v>2022</v>
      </c>
      <c r="E955" t="s">
        <v>7639</v>
      </c>
      <c r="F955" t="s">
        <v>9370</v>
      </c>
      <c r="G955" t="s">
        <v>3990</v>
      </c>
    </row>
    <row r="956" spans="1:7" x14ac:dyDescent="0.25">
      <c r="A956" t="s">
        <v>360</v>
      </c>
      <c r="B956" t="s">
        <v>7636</v>
      </c>
      <c r="C956">
        <v>2025</v>
      </c>
      <c r="E956" t="s">
        <v>7639</v>
      </c>
      <c r="F956" t="s">
        <v>9372</v>
      </c>
      <c r="G956" t="s">
        <v>3990</v>
      </c>
    </row>
    <row r="957" spans="1:7" x14ac:dyDescent="0.25">
      <c r="A957" t="s">
        <v>497</v>
      </c>
      <c r="B957" t="s">
        <v>7636</v>
      </c>
      <c r="C957">
        <v>2022</v>
      </c>
      <c r="E957" t="s">
        <v>7639</v>
      </c>
      <c r="F957" t="s">
        <v>9373</v>
      </c>
      <c r="G957" t="s">
        <v>3990</v>
      </c>
    </row>
    <row r="958" spans="1:7" x14ac:dyDescent="0.25">
      <c r="A958" t="s">
        <v>606</v>
      </c>
      <c r="B958" t="s">
        <v>7636</v>
      </c>
      <c r="C958">
        <v>2025</v>
      </c>
      <c r="E958" t="s">
        <v>7639</v>
      </c>
      <c r="F958" t="s">
        <v>9374</v>
      </c>
      <c r="G958" t="s">
        <v>3990</v>
      </c>
    </row>
    <row r="959" spans="1:7" x14ac:dyDescent="0.25">
      <c r="A959" t="s">
        <v>811</v>
      </c>
      <c r="B959" t="s">
        <v>7636</v>
      </c>
      <c r="C959">
        <v>2024</v>
      </c>
      <c r="E959" t="s">
        <v>7639</v>
      </c>
      <c r="F959" t="s">
        <v>9375</v>
      </c>
      <c r="G959" t="s">
        <v>3990</v>
      </c>
    </row>
    <row r="960" spans="1:7" x14ac:dyDescent="0.25">
      <c r="A960" t="s">
        <v>1621</v>
      </c>
      <c r="B960" t="s">
        <v>7636</v>
      </c>
      <c r="C960">
        <v>2025</v>
      </c>
      <c r="E960" t="s">
        <v>7639</v>
      </c>
      <c r="F960" t="s">
        <v>9376</v>
      </c>
      <c r="G960" t="s">
        <v>3990</v>
      </c>
    </row>
    <row r="961" spans="1:7" x14ac:dyDescent="0.25">
      <c r="A961" t="s">
        <v>160</v>
      </c>
      <c r="B961" t="s">
        <v>7636</v>
      </c>
      <c r="C961">
        <v>2011</v>
      </c>
      <c r="E961" t="s">
        <v>7639</v>
      </c>
      <c r="F961" t="s">
        <v>9377</v>
      </c>
      <c r="G961" t="s">
        <v>3990</v>
      </c>
    </row>
    <row r="962" spans="1:7" x14ac:dyDescent="0.25">
      <c r="A962" t="s">
        <v>333</v>
      </c>
      <c r="B962" t="s">
        <v>1958</v>
      </c>
      <c r="C962">
        <v>2020</v>
      </c>
      <c r="E962" t="s">
        <v>1961</v>
      </c>
      <c r="F962" t="s">
        <v>8471</v>
      </c>
      <c r="G962" t="s">
        <v>3990</v>
      </c>
    </row>
    <row r="963" spans="1:7" x14ac:dyDescent="0.25">
      <c r="A963" t="s">
        <v>497</v>
      </c>
      <c r="B963" t="s">
        <v>1958</v>
      </c>
      <c r="C963">
        <v>2022</v>
      </c>
      <c r="E963" t="s">
        <v>1961</v>
      </c>
      <c r="F963" t="s">
        <v>8549</v>
      </c>
      <c r="G963" t="s">
        <v>3990</v>
      </c>
    </row>
    <row r="964" spans="1:7" x14ac:dyDescent="0.25">
      <c r="A964" t="s">
        <v>2804</v>
      </c>
      <c r="B964" t="s">
        <v>1958</v>
      </c>
      <c r="C964">
        <v>2021</v>
      </c>
      <c r="E964" s="10" t="s">
        <v>1961</v>
      </c>
      <c r="F964" t="s">
        <v>9335</v>
      </c>
      <c r="G964" t="s">
        <v>3990</v>
      </c>
    </row>
    <row r="965" spans="1:7" x14ac:dyDescent="0.25">
      <c r="A965" t="s">
        <v>847</v>
      </c>
      <c r="B965" t="s">
        <v>1962</v>
      </c>
      <c r="C965">
        <v>1996</v>
      </c>
      <c r="E965" s="10" t="s">
        <v>1965</v>
      </c>
      <c r="F965" t="s">
        <v>8651</v>
      </c>
      <c r="G965" t="s">
        <v>3990</v>
      </c>
    </row>
    <row r="966" spans="1:7" x14ac:dyDescent="0.25">
      <c r="A966" t="s">
        <v>2804</v>
      </c>
      <c r="B966" t="s">
        <v>1962</v>
      </c>
      <c r="C966">
        <v>2021</v>
      </c>
      <c r="E966" t="s">
        <v>3013</v>
      </c>
      <c r="F966" t="s">
        <v>9664</v>
      </c>
      <c r="G966" t="s">
        <v>187</v>
      </c>
    </row>
    <row r="967" spans="1:7" x14ac:dyDescent="0.25">
      <c r="A967" t="s">
        <v>2804</v>
      </c>
      <c r="B967" t="s">
        <v>9912</v>
      </c>
      <c r="C967">
        <v>2021</v>
      </c>
      <c r="E967" t="s">
        <v>3013</v>
      </c>
      <c r="F967" t="s">
        <v>9915</v>
      </c>
      <c r="G967" t="s">
        <v>187</v>
      </c>
    </row>
    <row r="968" spans="1:7" x14ac:dyDescent="0.25">
      <c r="A968" t="s">
        <v>353</v>
      </c>
      <c r="B968" t="s">
        <v>1966</v>
      </c>
      <c r="C968">
        <v>2023</v>
      </c>
      <c r="E968" t="s">
        <v>1969</v>
      </c>
      <c r="F968" t="s">
        <v>8510</v>
      </c>
      <c r="G968" t="s">
        <v>3990</v>
      </c>
    </row>
    <row r="969" spans="1:7" x14ac:dyDescent="0.25">
      <c r="A969" t="s">
        <v>490</v>
      </c>
      <c r="B969" t="s">
        <v>1970</v>
      </c>
      <c r="C969">
        <v>2009</v>
      </c>
      <c r="E969" t="s">
        <v>3060</v>
      </c>
      <c r="F969" t="s">
        <v>8534</v>
      </c>
      <c r="G969" t="s">
        <v>3990</v>
      </c>
    </row>
    <row r="970" spans="1:7" x14ac:dyDescent="0.25">
      <c r="A970" t="s">
        <v>353</v>
      </c>
      <c r="B970" t="s">
        <v>1977</v>
      </c>
      <c r="C970">
        <v>2023</v>
      </c>
      <c r="E970" t="s">
        <v>3013</v>
      </c>
      <c r="F970" t="s">
        <v>9665</v>
      </c>
      <c r="G970" t="s">
        <v>187</v>
      </c>
    </row>
    <row r="971" spans="1:7" x14ac:dyDescent="0.25">
      <c r="A971" t="s">
        <v>1576</v>
      </c>
      <c r="B971" t="s">
        <v>1980</v>
      </c>
      <c r="C971">
        <v>2021</v>
      </c>
      <c r="E971" t="s">
        <v>3262</v>
      </c>
      <c r="F971" t="s">
        <v>8881</v>
      </c>
      <c r="G971" t="s">
        <v>3990</v>
      </c>
    </row>
    <row r="972" spans="1:7" x14ac:dyDescent="0.25">
      <c r="A972" t="s">
        <v>90</v>
      </c>
      <c r="B972" t="s">
        <v>1982</v>
      </c>
      <c r="C972">
        <v>2017</v>
      </c>
      <c r="E972" t="s">
        <v>2982</v>
      </c>
      <c r="F972" t="s">
        <v>9131</v>
      </c>
      <c r="G972" t="s">
        <v>3990</v>
      </c>
    </row>
    <row r="973" spans="1:7" x14ac:dyDescent="0.25">
      <c r="A973" t="s">
        <v>1435</v>
      </c>
      <c r="B973" t="s">
        <v>1984</v>
      </c>
      <c r="C973">
        <v>2021</v>
      </c>
      <c r="E973" t="s">
        <v>3241</v>
      </c>
      <c r="F973" t="s">
        <v>8834</v>
      </c>
      <c r="G973" t="s">
        <v>3990</v>
      </c>
    </row>
    <row r="974" spans="1:7" x14ac:dyDescent="0.25">
      <c r="A974" t="s">
        <v>90</v>
      </c>
      <c r="B974" t="s">
        <v>1992</v>
      </c>
      <c r="C974">
        <v>2017</v>
      </c>
      <c r="E974" t="s">
        <v>3371</v>
      </c>
      <c r="F974" t="s">
        <v>9132</v>
      </c>
      <c r="G974" t="s">
        <v>3990</v>
      </c>
    </row>
    <row r="975" spans="1:7" x14ac:dyDescent="0.25">
      <c r="A975" t="s">
        <v>924</v>
      </c>
      <c r="B975" t="s">
        <v>1995</v>
      </c>
      <c r="C975">
        <v>2019</v>
      </c>
      <c r="F975" t="s">
        <v>9666</v>
      </c>
      <c r="G975" t="s">
        <v>187</v>
      </c>
    </row>
    <row r="976" spans="1:7" x14ac:dyDescent="0.25">
      <c r="A976" t="s">
        <v>1995</v>
      </c>
      <c r="B976" t="s">
        <v>1998</v>
      </c>
      <c r="C976">
        <v>2021</v>
      </c>
      <c r="F976" t="s">
        <v>9667</v>
      </c>
      <c r="G976" t="s">
        <v>187</v>
      </c>
    </row>
    <row r="977" spans="1:7" x14ac:dyDescent="0.25">
      <c r="A977" t="s">
        <v>90</v>
      </c>
      <c r="B977" t="s">
        <v>1998</v>
      </c>
      <c r="C977">
        <v>2017</v>
      </c>
      <c r="F977" t="s">
        <v>9668</v>
      </c>
      <c r="G977" t="s">
        <v>187</v>
      </c>
    </row>
    <row r="978" spans="1:7" x14ac:dyDescent="0.25">
      <c r="A978" t="s">
        <v>2004</v>
      </c>
      <c r="B978" t="s">
        <v>2001</v>
      </c>
      <c r="C978">
        <v>2007</v>
      </c>
      <c r="D978" t="s">
        <v>187</v>
      </c>
      <c r="F978" t="s">
        <v>9669</v>
      </c>
      <c r="G978" t="s">
        <v>3990</v>
      </c>
    </row>
    <row r="979" spans="1:7" x14ac:dyDescent="0.25">
      <c r="A979" t="s">
        <v>2009</v>
      </c>
      <c r="B979" t="s">
        <v>2004</v>
      </c>
      <c r="C979">
        <v>2005</v>
      </c>
      <c r="D979" t="s">
        <v>187</v>
      </c>
      <c r="F979" t="s">
        <v>9670</v>
      </c>
      <c r="G979" t="s">
        <v>3990</v>
      </c>
    </row>
    <row r="980" spans="1:7" x14ac:dyDescent="0.25">
      <c r="A980" t="s">
        <v>2009</v>
      </c>
      <c r="B980" t="s">
        <v>2007</v>
      </c>
      <c r="C980">
        <v>2005</v>
      </c>
      <c r="D980" t="s">
        <v>187</v>
      </c>
      <c r="F980" t="s">
        <v>9671</v>
      </c>
      <c r="G980" t="s">
        <v>3990</v>
      </c>
    </row>
    <row r="981" spans="1:7" x14ac:dyDescent="0.25">
      <c r="A981" t="s">
        <v>2721</v>
      </c>
      <c r="B981" t="s">
        <v>2009</v>
      </c>
      <c r="C981">
        <v>1993</v>
      </c>
      <c r="D981" t="s">
        <v>187</v>
      </c>
      <c r="F981" t="s">
        <v>9672</v>
      </c>
      <c r="G981" t="s">
        <v>3990</v>
      </c>
    </row>
    <row r="982" spans="1:7" x14ac:dyDescent="0.25">
      <c r="A982" t="s">
        <v>2009</v>
      </c>
      <c r="B982" t="s">
        <v>2012</v>
      </c>
      <c r="C982">
        <v>2005</v>
      </c>
      <c r="D982" t="s">
        <v>187</v>
      </c>
      <c r="F982" t="s">
        <v>9673</v>
      </c>
      <c r="G982" t="s">
        <v>3990</v>
      </c>
    </row>
    <row r="983" spans="1:7" x14ac:dyDescent="0.25">
      <c r="A983" t="s">
        <v>2009</v>
      </c>
      <c r="B983" t="s">
        <v>2014</v>
      </c>
      <c r="C983">
        <v>2005</v>
      </c>
      <c r="D983" t="s">
        <v>187</v>
      </c>
      <c r="F983" t="s">
        <v>9674</v>
      </c>
      <c r="G983" t="s">
        <v>3990</v>
      </c>
    </row>
    <row r="984" spans="1:7" x14ac:dyDescent="0.25">
      <c r="A984" t="s">
        <v>2804</v>
      </c>
      <c r="B984" t="s">
        <v>7925</v>
      </c>
      <c r="C984">
        <v>2021</v>
      </c>
      <c r="E984" s="10" t="s">
        <v>7928</v>
      </c>
      <c r="F984" t="s">
        <v>9675</v>
      </c>
      <c r="G984" t="s">
        <v>187</v>
      </c>
    </row>
    <row r="985" spans="1:7" x14ac:dyDescent="0.25">
      <c r="A985" t="s">
        <v>2136</v>
      </c>
      <c r="B985" t="s">
        <v>2016</v>
      </c>
      <c r="C985">
        <v>2020</v>
      </c>
      <c r="E985" t="s">
        <v>2982</v>
      </c>
      <c r="F985" t="s">
        <v>9676</v>
      </c>
      <c r="G985" t="s">
        <v>187</v>
      </c>
    </row>
    <row r="986" spans="1:7" x14ac:dyDescent="0.25">
      <c r="A986" t="s">
        <v>1435</v>
      </c>
      <c r="B986" t="s">
        <v>2018</v>
      </c>
      <c r="C986">
        <v>2021</v>
      </c>
      <c r="E986" t="s">
        <v>3242</v>
      </c>
      <c r="F986" t="s">
        <v>9677</v>
      </c>
      <c r="G986" t="s">
        <v>187</v>
      </c>
    </row>
    <row r="987" spans="1:7" x14ac:dyDescent="0.25">
      <c r="A987" t="s">
        <v>2016</v>
      </c>
      <c r="B987" t="s">
        <v>2018</v>
      </c>
      <c r="C987">
        <v>2024</v>
      </c>
      <c r="E987" t="s">
        <v>3242</v>
      </c>
      <c r="F987" t="s">
        <v>9678</v>
      </c>
      <c r="G987" t="s">
        <v>187</v>
      </c>
    </row>
    <row r="988" spans="1:7" x14ac:dyDescent="0.25">
      <c r="A988" t="s">
        <v>90</v>
      </c>
      <c r="B988" t="s">
        <v>2018</v>
      </c>
      <c r="C988">
        <v>2017</v>
      </c>
      <c r="E988" t="s">
        <v>3242</v>
      </c>
      <c r="F988" t="s">
        <v>9679</v>
      </c>
      <c r="G988" t="s">
        <v>187</v>
      </c>
    </row>
    <row r="989" spans="1:7" x14ac:dyDescent="0.25">
      <c r="A989" t="s">
        <v>90</v>
      </c>
      <c r="B989" t="s">
        <v>14131</v>
      </c>
      <c r="C989">
        <v>2017</v>
      </c>
      <c r="E989" s="10" t="s">
        <v>14134</v>
      </c>
      <c r="F989" t="s">
        <v>14135</v>
      </c>
      <c r="G989" t="s">
        <v>3990</v>
      </c>
    </row>
    <row r="990" spans="1:7" x14ac:dyDescent="0.25">
      <c r="A990" t="s">
        <v>256</v>
      </c>
      <c r="B990" t="s">
        <v>2023</v>
      </c>
      <c r="C990">
        <v>1994</v>
      </c>
      <c r="E990" t="s">
        <v>2994</v>
      </c>
      <c r="F990" t="s">
        <v>8456</v>
      </c>
      <c r="G990" t="s">
        <v>3990</v>
      </c>
    </row>
    <row r="991" spans="1:7" x14ac:dyDescent="0.25">
      <c r="A991" t="s">
        <v>260</v>
      </c>
      <c r="B991" t="s">
        <v>2023</v>
      </c>
      <c r="C991">
        <v>1990</v>
      </c>
      <c r="E991" t="s">
        <v>2994</v>
      </c>
      <c r="F991" t="s">
        <v>8464</v>
      </c>
      <c r="G991" t="s">
        <v>3990</v>
      </c>
    </row>
    <row r="992" spans="1:7" x14ac:dyDescent="0.25">
      <c r="A992" t="s">
        <v>847</v>
      </c>
      <c r="B992" t="s">
        <v>2023</v>
      </c>
      <c r="C992">
        <v>1996</v>
      </c>
      <c r="E992" t="s">
        <v>2994</v>
      </c>
      <c r="F992" t="s">
        <v>8652</v>
      </c>
      <c r="G992" t="s">
        <v>3990</v>
      </c>
    </row>
    <row r="993" spans="1:7" x14ac:dyDescent="0.25">
      <c r="A993" t="s">
        <v>1538</v>
      </c>
      <c r="B993" t="s">
        <v>2023</v>
      </c>
      <c r="C993">
        <v>1995</v>
      </c>
      <c r="E993" t="s">
        <v>2994</v>
      </c>
      <c r="F993" t="s">
        <v>9431</v>
      </c>
      <c r="G993" t="s">
        <v>3990</v>
      </c>
    </row>
    <row r="994" spans="1:7" x14ac:dyDescent="0.25">
      <c r="A994" t="s">
        <v>1725</v>
      </c>
      <c r="B994" t="s">
        <v>2023</v>
      </c>
      <c r="C994">
        <v>1983</v>
      </c>
      <c r="E994" t="s">
        <v>2994</v>
      </c>
      <c r="F994" t="s">
        <v>8907</v>
      </c>
      <c r="G994" t="s">
        <v>3990</v>
      </c>
    </row>
    <row r="995" spans="1:7" x14ac:dyDescent="0.25">
      <c r="A995" t="s">
        <v>1795</v>
      </c>
      <c r="B995" t="s">
        <v>2023</v>
      </c>
      <c r="C995">
        <v>1987</v>
      </c>
      <c r="E995" t="s">
        <v>3282</v>
      </c>
      <c r="F995" t="s">
        <v>8932</v>
      </c>
      <c r="G995" t="s">
        <v>3990</v>
      </c>
    </row>
    <row r="996" spans="1:7" x14ac:dyDescent="0.25">
      <c r="A996" t="s">
        <v>1817</v>
      </c>
      <c r="B996" t="s">
        <v>2026</v>
      </c>
      <c r="C996">
        <v>2019</v>
      </c>
      <c r="E996" t="s">
        <v>3292</v>
      </c>
      <c r="F996" t="s">
        <v>9680</v>
      </c>
      <c r="G996" t="s">
        <v>187</v>
      </c>
    </row>
    <row r="997" spans="1:7" x14ac:dyDescent="0.25">
      <c r="A997" t="s">
        <v>160</v>
      </c>
      <c r="B997" t="s">
        <v>2028</v>
      </c>
      <c r="C997">
        <v>2011</v>
      </c>
      <c r="E997" t="s">
        <v>3406</v>
      </c>
      <c r="F997" t="s">
        <v>9280</v>
      </c>
      <c r="G997" t="s">
        <v>3990</v>
      </c>
    </row>
    <row r="998" spans="1:7" x14ac:dyDescent="0.25">
      <c r="A998" t="s">
        <v>2652</v>
      </c>
      <c r="B998" t="s">
        <v>2028</v>
      </c>
      <c r="C998">
        <v>2019</v>
      </c>
      <c r="E998" t="s">
        <v>3413</v>
      </c>
      <c r="F998" t="s">
        <v>9303</v>
      </c>
      <c r="G998" t="s">
        <v>3990</v>
      </c>
    </row>
    <row r="999" spans="1:7" x14ac:dyDescent="0.25">
      <c r="A999" t="s">
        <v>1294</v>
      </c>
      <c r="B999" t="s">
        <v>2031</v>
      </c>
      <c r="C999">
        <v>2019</v>
      </c>
      <c r="E999" t="s">
        <v>3231</v>
      </c>
      <c r="F999" t="s">
        <v>8799</v>
      </c>
      <c r="G999" t="s">
        <v>3990</v>
      </c>
    </row>
    <row r="1000" spans="1:7" x14ac:dyDescent="0.25">
      <c r="A1000" t="s">
        <v>2132</v>
      </c>
      <c r="B1000" t="s">
        <v>2031</v>
      </c>
      <c r="C1000">
        <v>2013</v>
      </c>
      <c r="E1000" t="s">
        <v>3231</v>
      </c>
      <c r="F1000" t="s">
        <v>8994</v>
      </c>
      <c r="G1000" t="s">
        <v>3990</v>
      </c>
    </row>
    <row r="1001" spans="1:7" x14ac:dyDescent="0.25">
      <c r="A1001" t="s">
        <v>2906</v>
      </c>
      <c r="B1001" t="s">
        <v>2031</v>
      </c>
      <c r="C1001">
        <v>2018</v>
      </c>
      <c r="E1001" t="s">
        <v>3231</v>
      </c>
      <c r="F1001" t="s">
        <v>9359</v>
      </c>
      <c r="G1001" t="s">
        <v>3990</v>
      </c>
    </row>
    <row r="1002" spans="1:7" x14ac:dyDescent="0.25">
      <c r="A1002" t="s">
        <v>1129</v>
      </c>
      <c r="B1002" t="s">
        <v>8092</v>
      </c>
      <c r="C1002">
        <v>2022</v>
      </c>
      <c r="D1002" t="s">
        <v>187</v>
      </c>
      <c r="F1002" t="s">
        <v>9681</v>
      </c>
      <c r="G1002" t="s">
        <v>3990</v>
      </c>
    </row>
    <row r="1003" spans="1:7" x14ac:dyDescent="0.25">
      <c r="A1003" t="s">
        <v>922</v>
      </c>
      <c r="B1003" t="s">
        <v>2035</v>
      </c>
      <c r="C1003">
        <v>2002</v>
      </c>
      <c r="E1003" t="s">
        <v>3149</v>
      </c>
      <c r="F1003" t="s">
        <v>8674</v>
      </c>
      <c r="G1003" t="s">
        <v>3990</v>
      </c>
    </row>
    <row r="1004" spans="1:7" x14ac:dyDescent="0.25">
      <c r="A1004" t="s">
        <v>2154</v>
      </c>
      <c r="B1004" t="s">
        <v>2035</v>
      </c>
      <c r="C1004">
        <v>1980</v>
      </c>
      <c r="E1004" t="s">
        <v>3149</v>
      </c>
      <c r="F1004" t="s">
        <v>9026</v>
      </c>
      <c r="G1004" t="s">
        <v>3990</v>
      </c>
    </row>
    <row r="1005" spans="1:7" x14ac:dyDescent="0.25">
      <c r="A1005" t="s">
        <v>178</v>
      </c>
      <c r="B1005" t="s">
        <v>2039</v>
      </c>
      <c r="C1005">
        <v>2010</v>
      </c>
      <c r="E1005" t="s">
        <v>2981</v>
      </c>
      <c r="F1005" t="s">
        <v>8442</v>
      </c>
      <c r="G1005" t="s">
        <v>3990</v>
      </c>
    </row>
    <row r="1006" spans="1:7" x14ac:dyDescent="0.25">
      <c r="A1006" t="s">
        <v>994</v>
      </c>
      <c r="B1006" t="s">
        <v>2039</v>
      </c>
      <c r="C1006">
        <v>2011</v>
      </c>
      <c r="E1006" t="s">
        <v>2981</v>
      </c>
      <c r="F1006" t="s">
        <v>8695</v>
      </c>
      <c r="G1006" t="s">
        <v>3990</v>
      </c>
    </row>
    <row r="1007" spans="1:7" x14ac:dyDescent="0.25">
      <c r="A1007" t="s">
        <v>1294</v>
      </c>
      <c r="B1007" t="s">
        <v>2043</v>
      </c>
      <c r="C1007">
        <v>2019</v>
      </c>
      <c r="E1007" s="10" t="s">
        <v>8413</v>
      </c>
      <c r="F1007" t="s">
        <v>8800</v>
      </c>
      <c r="G1007" t="s">
        <v>3990</v>
      </c>
    </row>
    <row r="1008" spans="1:7" x14ac:dyDescent="0.25">
      <c r="A1008" t="s">
        <v>353</v>
      </c>
      <c r="B1008" t="s">
        <v>2045</v>
      </c>
      <c r="C1008">
        <v>2023</v>
      </c>
      <c r="E1008" t="s">
        <v>3038</v>
      </c>
      <c r="F1008" t="s">
        <v>8511</v>
      </c>
      <c r="G1008" t="s">
        <v>3990</v>
      </c>
    </row>
    <row r="1009" spans="1:7" x14ac:dyDescent="0.25">
      <c r="A1009" t="s">
        <v>717</v>
      </c>
      <c r="B1009" t="s">
        <v>2045</v>
      </c>
      <c r="C1009">
        <v>2024</v>
      </c>
      <c r="E1009" t="s">
        <v>3066</v>
      </c>
      <c r="F1009" t="s">
        <v>8576</v>
      </c>
      <c r="G1009" t="s">
        <v>3990</v>
      </c>
    </row>
    <row r="1010" spans="1:7" x14ac:dyDescent="0.25">
      <c r="A1010" t="s">
        <v>337</v>
      </c>
      <c r="B1010" t="s">
        <v>2049</v>
      </c>
      <c r="C1010">
        <v>2014</v>
      </c>
      <c r="E1010" t="s">
        <v>3008</v>
      </c>
      <c r="F1010" t="s">
        <v>10019</v>
      </c>
      <c r="G1010" t="s">
        <v>187</v>
      </c>
    </row>
    <row r="1011" spans="1:7" x14ac:dyDescent="0.25">
      <c r="A1011" t="s">
        <v>497</v>
      </c>
      <c r="B1011" t="s">
        <v>2049</v>
      </c>
      <c r="C1011">
        <v>2022</v>
      </c>
      <c r="E1011" t="s">
        <v>3008</v>
      </c>
      <c r="F1011" t="s">
        <v>10019</v>
      </c>
      <c r="G1011" t="s">
        <v>187</v>
      </c>
    </row>
    <row r="1012" spans="1:7" x14ac:dyDescent="0.25">
      <c r="A1012" t="s">
        <v>1795</v>
      </c>
      <c r="B1012" t="s">
        <v>2053</v>
      </c>
      <c r="C1012">
        <v>1987</v>
      </c>
      <c r="E1012" t="s">
        <v>3283</v>
      </c>
      <c r="F1012" t="s">
        <v>8933</v>
      </c>
      <c r="G1012" t="s">
        <v>3990</v>
      </c>
    </row>
    <row r="1013" spans="1:7" x14ac:dyDescent="0.25">
      <c r="A1013" t="s">
        <v>2154</v>
      </c>
      <c r="B1013" t="s">
        <v>2053</v>
      </c>
      <c r="C1013">
        <v>1980</v>
      </c>
      <c r="E1013" t="s">
        <v>3283</v>
      </c>
      <c r="F1013" t="s">
        <v>9027</v>
      </c>
      <c r="G1013" t="s">
        <v>3990</v>
      </c>
    </row>
    <row r="1014" spans="1:7" x14ac:dyDescent="0.25">
      <c r="A1014" t="s">
        <v>1046</v>
      </c>
      <c r="B1014" t="s">
        <v>2056</v>
      </c>
      <c r="C1014">
        <v>2016</v>
      </c>
      <c r="E1014" t="s">
        <v>3189</v>
      </c>
      <c r="F1014" t="s">
        <v>8722</v>
      </c>
      <c r="G1014" t="s">
        <v>3990</v>
      </c>
    </row>
    <row r="1015" spans="1:7" x14ac:dyDescent="0.25">
      <c r="A1015" t="s">
        <v>1855</v>
      </c>
      <c r="B1015" t="s">
        <v>2056</v>
      </c>
      <c r="C1015">
        <v>2015</v>
      </c>
      <c r="E1015" t="s">
        <v>3189</v>
      </c>
      <c r="F1015" t="s">
        <v>8963</v>
      </c>
      <c r="G1015" t="s">
        <v>3990</v>
      </c>
    </row>
    <row r="1016" spans="1:7" x14ac:dyDescent="0.25">
      <c r="A1016" t="s">
        <v>160</v>
      </c>
      <c r="B1016" t="s">
        <v>2058</v>
      </c>
      <c r="C1016">
        <v>2011</v>
      </c>
      <c r="E1016" t="s">
        <v>3407</v>
      </c>
      <c r="F1016" t="s">
        <v>9281</v>
      </c>
      <c r="G1016" t="s">
        <v>3990</v>
      </c>
    </row>
    <row r="1017" spans="1:7" x14ac:dyDescent="0.25">
      <c r="A1017" t="s">
        <v>819</v>
      </c>
      <c r="B1017" t="s">
        <v>7910</v>
      </c>
      <c r="C1017">
        <v>2012</v>
      </c>
      <c r="E1017" s="10" t="s">
        <v>7911</v>
      </c>
      <c r="F1017" t="s">
        <v>9425</v>
      </c>
      <c r="G1017" t="s">
        <v>3990</v>
      </c>
    </row>
    <row r="1018" spans="1:7" x14ac:dyDescent="0.25">
      <c r="A1018" t="s">
        <v>1496</v>
      </c>
      <c r="B1018" t="s">
        <v>2061</v>
      </c>
      <c r="C1018">
        <v>2016</v>
      </c>
      <c r="E1018" t="s">
        <v>3013</v>
      </c>
      <c r="F1018" t="s">
        <v>9682</v>
      </c>
      <c r="G1018" t="s">
        <v>187</v>
      </c>
    </row>
    <row r="1019" spans="1:7" x14ac:dyDescent="0.25">
      <c r="A1019" t="s">
        <v>90</v>
      </c>
      <c r="B1019" t="s">
        <v>2061</v>
      </c>
      <c r="C1019">
        <v>2017</v>
      </c>
      <c r="E1019" t="s">
        <v>3013</v>
      </c>
      <c r="F1019" t="s">
        <v>9683</v>
      </c>
      <c r="G1019" t="s">
        <v>187</v>
      </c>
    </row>
    <row r="1020" spans="1:7" x14ac:dyDescent="0.25">
      <c r="A1020" t="s">
        <v>726</v>
      </c>
      <c r="B1020" t="s">
        <v>2065</v>
      </c>
      <c r="C1020">
        <v>2020</v>
      </c>
      <c r="D1020" t="s">
        <v>187</v>
      </c>
      <c r="F1020" t="s">
        <v>9684</v>
      </c>
      <c r="G1020" t="s">
        <v>3990</v>
      </c>
    </row>
    <row r="1021" spans="1:7" x14ac:dyDescent="0.25">
      <c r="A1021" t="s">
        <v>759</v>
      </c>
      <c r="B1021" t="s">
        <v>2069</v>
      </c>
      <c r="C1021">
        <v>2018</v>
      </c>
      <c r="E1021" t="s">
        <v>2982</v>
      </c>
      <c r="F1021" t="s">
        <v>8617</v>
      </c>
      <c r="G1021" t="s">
        <v>3990</v>
      </c>
    </row>
    <row r="1022" spans="1:7" x14ac:dyDescent="0.25">
      <c r="A1022" t="s">
        <v>1294</v>
      </c>
      <c r="B1022" t="s">
        <v>2069</v>
      </c>
      <c r="C1022">
        <v>2019</v>
      </c>
      <c r="E1022" t="s">
        <v>2982</v>
      </c>
      <c r="F1022" t="s">
        <v>8801</v>
      </c>
      <c r="G1022" t="s">
        <v>3990</v>
      </c>
    </row>
    <row r="1023" spans="1:7" x14ac:dyDescent="0.25">
      <c r="A1023" t="s">
        <v>1294</v>
      </c>
      <c r="B1023" t="s">
        <v>2071</v>
      </c>
      <c r="C1023">
        <v>2019</v>
      </c>
      <c r="E1023" t="s">
        <v>3232</v>
      </c>
      <c r="F1023" t="s">
        <v>8802</v>
      </c>
      <c r="G1023" t="s">
        <v>3990</v>
      </c>
    </row>
    <row r="1024" spans="1:7" x14ac:dyDescent="0.25">
      <c r="A1024" t="s">
        <v>2335</v>
      </c>
      <c r="B1024" t="s">
        <v>2071</v>
      </c>
      <c r="C1024">
        <v>2020</v>
      </c>
      <c r="E1024" t="s">
        <v>3232</v>
      </c>
      <c r="F1024" t="s">
        <v>9061</v>
      </c>
      <c r="G1024" t="s">
        <v>3990</v>
      </c>
    </row>
    <row r="1025" spans="1:7" x14ac:dyDescent="0.25">
      <c r="A1025" t="s">
        <v>1795</v>
      </c>
      <c r="B1025" t="s">
        <v>2073</v>
      </c>
      <c r="C1025">
        <v>1987</v>
      </c>
      <c r="E1025" s="10" t="s">
        <v>8384</v>
      </c>
      <c r="F1025" t="s">
        <v>8934</v>
      </c>
      <c r="G1025" t="s">
        <v>3990</v>
      </c>
    </row>
    <row r="1026" spans="1:7" x14ac:dyDescent="0.25">
      <c r="A1026" t="s">
        <v>2428</v>
      </c>
      <c r="B1026" t="s">
        <v>2073</v>
      </c>
      <c r="C1026">
        <v>2008</v>
      </c>
      <c r="E1026" s="10" t="s">
        <v>8384</v>
      </c>
      <c r="F1026" t="s">
        <v>9208</v>
      </c>
      <c r="G1026" t="s">
        <v>3990</v>
      </c>
    </row>
    <row r="1027" spans="1:7" x14ac:dyDescent="0.25">
      <c r="A1027" t="s">
        <v>540</v>
      </c>
      <c r="B1027" t="s">
        <v>2077</v>
      </c>
      <c r="C1027">
        <v>2015</v>
      </c>
      <c r="E1027" t="s">
        <v>3075</v>
      </c>
      <c r="F1027" t="s">
        <v>9685</v>
      </c>
      <c r="G1027" t="s">
        <v>187</v>
      </c>
    </row>
    <row r="1028" spans="1:7" x14ac:dyDescent="0.25">
      <c r="A1028" t="s">
        <v>2154</v>
      </c>
      <c r="B1028" t="s">
        <v>2077</v>
      </c>
      <c r="C1028">
        <v>1980</v>
      </c>
      <c r="E1028" t="s">
        <v>3324</v>
      </c>
      <c r="F1028" t="s">
        <v>10020</v>
      </c>
      <c r="G1028" t="s">
        <v>187</v>
      </c>
    </row>
    <row r="1029" spans="1:7" x14ac:dyDescent="0.25">
      <c r="A1029" t="s">
        <v>2428</v>
      </c>
      <c r="B1029" t="s">
        <v>2077</v>
      </c>
      <c r="C1029">
        <v>2008</v>
      </c>
      <c r="E1029" t="s">
        <v>3324</v>
      </c>
      <c r="F1029" t="s">
        <v>10020</v>
      </c>
      <c r="G1029" t="s">
        <v>187</v>
      </c>
    </row>
    <row r="1030" spans="1:7" x14ac:dyDescent="0.25">
      <c r="A1030" t="s">
        <v>847</v>
      </c>
      <c r="B1030" t="s">
        <v>7900</v>
      </c>
      <c r="C1030">
        <v>1996</v>
      </c>
      <c r="E1030" s="10" t="s">
        <v>7899</v>
      </c>
      <c r="F1030" t="s">
        <v>10021</v>
      </c>
      <c r="G1030" t="s">
        <v>187</v>
      </c>
    </row>
    <row r="1031" spans="1:7" x14ac:dyDescent="0.25">
      <c r="A1031" t="s">
        <v>1294</v>
      </c>
      <c r="B1031" t="s">
        <v>7900</v>
      </c>
      <c r="C1031">
        <v>2019</v>
      </c>
      <c r="E1031" s="10" t="s">
        <v>7899</v>
      </c>
      <c r="F1031" t="s">
        <v>10021</v>
      </c>
      <c r="G1031" t="s">
        <v>187</v>
      </c>
    </row>
    <row r="1032" spans="1:7" x14ac:dyDescent="0.25">
      <c r="A1032" t="s">
        <v>1144</v>
      </c>
      <c r="B1032" t="s">
        <v>2080</v>
      </c>
      <c r="C1032">
        <v>2012</v>
      </c>
      <c r="E1032" t="s">
        <v>3209</v>
      </c>
      <c r="F1032" t="s">
        <v>8752</v>
      </c>
      <c r="G1032" t="s">
        <v>3990</v>
      </c>
    </row>
    <row r="1033" spans="1:7" x14ac:dyDescent="0.25">
      <c r="A1033" t="s">
        <v>1855</v>
      </c>
      <c r="B1033" t="s">
        <v>2084</v>
      </c>
      <c r="C1033">
        <v>2015</v>
      </c>
      <c r="E1033" t="s">
        <v>2982</v>
      </c>
      <c r="F1033" t="s">
        <v>8964</v>
      </c>
      <c r="G1033" t="s">
        <v>3990</v>
      </c>
    </row>
    <row r="1034" spans="1:7" x14ac:dyDescent="0.25">
      <c r="A1034" t="s">
        <v>353</v>
      </c>
      <c r="B1034" t="s">
        <v>2088</v>
      </c>
      <c r="C1034">
        <v>2023</v>
      </c>
      <c r="E1034" t="s">
        <v>3039</v>
      </c>
      <c r="F1034" t="s">
        <v>8512</v>
      </c>
      <c r="G1034" t="s">
        <v>3990</v>
      </c>
    </row>
    <row r="1035" spans="1:7" x14ac:dyDescent="0.25">
      <c r="A1035" t="s">
        <v>90</v>
      </c>
      <c r="B1035" t="s">
        <v>2088</v>
      </c>
      <c r="C1035">
        <v>2017</v>
      </c>
      <c r="E1035" t="s">
        <v>3039</v>
      </c>
      <c r="F1035" t="s">
        <v>9133</v>
      </c>
      <c r="G1035" t="s">
        <v>3990</v>
      </c>
    </row>
    <row r="1036" spans="1:7" x14ac:dyDescent="0.25">
      <c r="A1036" t="s">
        <v>2804</v>
      </c>
      <c r="B1036" t="s">
        <v>2091</v>
      </c>
      <c r="C1036">
        <v>2021</v>
      </c>
      <c r="E1036" t="s">
        <v>3013</v>
      </c>
      <c r="F1036" t="s">
        <v>9686</v>
      </c>
      <c r="G1036" t="s">
        <v>187</v>
      </c>
    </row>
    <row r="1037" spans="1:7" x14ac:dyDescent="0.25">
      <c r="A1037" t="s">
        <v>160</v>
      </c>
      <c r="B1037" t="s">
        <v>2099</v>
      </c>
      <c r="C1037">
        <v>2011</v>
      </c>
      <c r="E1037" t="s">
        <v>3408</v>
      </c>
      <c r="F1037" t="s">
        <v>9282</v>
      </c>
      <c r="G1037" t="s">
        <v>3990</v>
      </c>
    </row>
    <row r="1038" spans="1:7" x14ac:dyDescent="0.25">
      <c r="A1038" t="s">
        <v>2804</v>
      </c>
      <c r="B1038" t="s">
        <v>2103</v>
      </c>
      <c r="C1038">
        <v>2021</v>
      </c>
      <c r="E1038" t="s">
        <v>3013</v>
      </c>
      <c r="F1038" t="s">
        <v>9687</v>
      </c>
      <c r="G1038" t="s">
        <v>187</v>
      </c>
    </row>
    <row r="1039" spans="1:7" x14ac:dyDescent="0.25">
      <c r="A1039" t="s">
        <v>2965</v>
      </c>
      <c r="B1039" t="s">
        <v>2103</v>
      </c>
      <c r="C1039">
        <v>2023</v>
      </c>
      <c r="D1039" t="s">
        <v>187</v>
      </c>
      <c r="F1039" t="s">
        <v>9688</v>
      </c>
      <c r="G1039" t="s">
        <v>3990</v>
      </c>
    </row>
    <row r="1040" spans="1:7" x14ac:dyDescent="0.25">
      <c r="A1040" t="s">
        <v>490</v>
      </c>
      <c r="B1040" t="s">
        <v>2107</v>
      </c>
      <c r="C1040">
        <v>2009</v>
      </c>
      <c r="E1040" s="10" t="s">
        <v>2110</v>
      </c>
      <c r="F1040" t="s">
        <v>8535</v>
      </c>
      <c r="G1040" t="s">
        <v>3990</v>
      </c>
    </row>
    <row r="1041" spans="1:7" x14ac:dyDescent="0.25">
      <c r="A1041" t="s">
        <v>847</v>
      </c>
      <c r="B1041" t="s">
        <v>2107</v>
      </c>
      <c r="C1041">
        <v>1996</v>
      </c>
      <c r="E1041" t="s">
        <v>3136</v>
      </c>
      <c r="F1041" t="s">
        <v>10022</v>
      </c>
      <c r="G1041" t="s">
        <v>187</v>
      </c>
    </row>
    <row r="1042" spans="1:7" x14ac:dyDescent="0.25">
      <c r="A1042" t="s">
        <v>964</v>
      </c>
      <c r="B1042" t="s">
        <v>2107</v>
      </c>
      <c r="C1042">
        <v>2006</v>
      </c>
      <c r="E1042" t="s">
        <v>3136</v>
      </c>
      <c r="F1042" t="s">
        <v>10022</v>
      </c>
      <c r="G1042" t="s">
        <v>187</v>
      </c>
    </row>
    <row r="1043" spans="1:7" x14ac:dyDescent="0.25">
      <c r="A1043" t="s">
        <v>1795</v>
      </c>
      <c r="B1043" t="s">
        <v>2107</v>
      </c>
      <c r="C1043">
        <v>1987</v>
      </c>
      <c r="E1043" t="s">
        <v>3136</v>
      </c>
      <c r="F1043" t="s">
        <v>10022</v>
      </c>
      <c r="G1043" t="s">
        <v>187</v>
      </c>
    </row>
    <row r="1044" spans="1:7" x14ac:dyDescent="0.25">
      <c r="A1044" t="s">
        <v>2571</v>
      </c>
      <c r="B1044" t="s">
        <v>2107</v>
      </c>
      <c r="C1044">
        <v>1998</v>
      </c>
      <c r="E1044" t="s">
        <v>3136</v>
      </c>
      <c r="F1044" t="s">
        <v>10022</v>
      </c>
      <c r="G1044" t="s">
        <v>187</v>
      </c>
    </row>
    <row r="1045" spans="1:7" x14ac:dyDescent="0.25">
      <c r="A1045" t="s">
        <v>2107</v>
      </c>
      <c r="B1045" t="s">
        <v>2111</v>
      </c>
      <c r="C1045">
        <v>2020</v>
      </c>
      <c r="D1045" t="s">
        <v>187</v>
      </c>
      <c r="F1045" t="s">
        <v>9689</v>
      </c>
      <c r="G1045" t="s">
        <v>3990</v>
      </c>
    </row>
    <row r="1046" spans="1:7" x14ac:dyDescent="0.25">
      <c r="A1046" t="s">
        <v>2111</v>
      </c>
      <c r="B1046" t="s">
        <v>2115</v>
      </c>
      <c r="C1046">
        <v>2024</v>
      </c>
      <c r="D1046" t="s">
        <v>187</v>
      </c>
      <c r="F1046" t="s">
        <v>9690</v>
      </c>
      <c r="G1046" t="s">
        <v>3990</v>
      </c>
    </row>
    <row r="1047" spans="1:7" x14ac:dyDescent="0.25">
      <c r="A1047" t="s">
        <v>2136</v>
      </c>
      <c r="B1047" t="s">
        <v>7915</v>
      </c>
      <c r="C1047">
        <v>2020</v>
      </c>
      <c r="E1047" s="10" t="s">
        <v>7914</v>
      </c>
      <c r="F1047" t="s">
        <v>10023</v>
      </c>
      <c r="G1047" t="s">
        <v>187</v>
      </c>
    </row>
    <row r="1048" spans="1:7" x14ac:dyDescent="0.25">
      <c r="A1048" t="s">
        <v>2804</v>
      </c>
      <c r="B1048" t="s">
        <v>7915</v>
      </c>
      <c r="C1048">
        <v>2021</v>
      </c>
      <c r="E1048" s="10" t="s">
        <v>7914</v>
      </c>
      <c r="F1048" t="s">
        <v>10023</v>
      </c>
      <c r="G1048" t="s">
        <v>187</v>
      </c>
    </row>
    <row r="1049" spans="1:7" x14ac:dyDescent="0.25">
      <c r="A1049" t="s">
        <v>90</v>
      </c>
      <c r="B1049" t="s">
        <v>2118</v>
      </c>
      <c r="C1049">
        <v>2017</v>
      </c>
      <c r="E1049" t="s">
        <v>3372</v>
      </c>
      <c r="F1049" t="s">
        <v>9134</v>
      </c>
      <c r="G1049" t="s">
        <v>3990</v>
      </c>
    </row>
    <row r="1050" spans="1:7" x14ac:dyDescent="0.25">
      <c r="A1050" t="s">
        <v>90</v>
      </c>
      <c r="B1050" t="s">
        <v>2122</v>
      </c>
      <c r="C1050">
        <v>2017</v>
      </c>
      <c r="E1050" t="s">
        <v>3373</v>
      </c>
      <c r="F1050" t="s">
        <v>9135</v>
      </c>
      <c r="G1050" t="s">
        <v>3990</v>
      </c>
    </row>
    <row r="1051" spans="1:7" x14ac:dyDescent="0.25">
      <c r="A1051" t="s">
        <v>930</v>
      </c>
      <c r="B1051" t="s">
        <v>2130</v>
      </c>
      <c r="C1051">
        <v>2015</v>
      </c>
      <c r="E1051" t="s">
        <v>3157</v>
      </c>
      <c r="F1051" t="s">
        <v>8681</v>
      </c>
      <c r="G1051" t="s">
        <v>3990</v>
      </c>
    </row>
    <row r="1052" spans="1:7" x14ac:dyDescent="0.25">
      <c r="A1052" t="s">
        <v>2132</v>
      </c>
      <c r="B1052" t="s">
        <v>2136</v>
      </c>
      <c r="C1052">
        <v>2013</v>
      </c>
      <c r="D1052" t="s">
        <v>187</v>
      </c>
      <c r="F1052" t="s">
        <v>9691</v>
      </c>
      <c r="G1052" t="s">
        <v>3990</v>
      </c>
    </row>
    <row r="1053" spans="1:7" x14ac:dyDescent="0.25">
      <c r="A1053" t="s">
        <v>2132</v>
      </c>
      <c r="B1053" t="s">
        <v>2140</v>
      </c>
      <c r="C1053">
        <v>2013</v>
      </c>
      <c r="D1053" t="s">
        <v>187</v>
      </c>
      <c r="F1053" t="s">
        <v>9692</v>
      </c>
      <c r="G1053" t="s">
        <v>3990</v>
      </c>
    </row>
    <row r="1054" spans="1:7" x14ac:dyDescent="0.25">
      <c r="A1054" t="s">
        <v>2136</v>
      </c>
      <c r="B1054" t="s">
        <v>2140</v>
      </c>
      <c r="C1054">
        <v>2020</v>
      </c>
      <c r="D1054" t="s">
        <v>187</v>
      </c>
      <c r="E1054" s="10" t="s">
        <v>2143</v>
      </c>
      <c r="F1054" t="s">
        <v>12670</v>
      </c>
      <c r="G1054" t="s">
        <v>3990</v>
      </c>
    </row>
    <row r="1055" spans="1:7" x14ac:dyDescent="0.25">
      <c r="A1055" t="s">
        <v>914</v>
      </c>
      <c r="B1055" t="s">
        <v>2144</v>
      </c>
      <c r="C1055">
        <v>2013</v>
      </c>
      <c r="E1055" t="s">
        <v>3145</v>
      </c>
      <c r="F1055" t="s">
        <v>8669</v>
      </c>
      <c r="G1055" t="s">
        <v>3990</v>
      </c>
    </row>
    <row r="1056" spans="1:7" x14ac:dyDescent="0.25">
      <c r="A1056" t="s">
        <v>1144</v>
      </c>
      <c r="B1056" t="s">
        <v>2144</v>
      </c>
      <c r="C1056">
        <v>2012</v>
      </c>
      <c r="E1056" t="s">
        <v>3145</v>
      </c>
      <c r="F1056" t="s">
        <v>8753</v>
      </c>
      <c r="G1056" t="s">
        <v>3990</v>
      </c>
    </row>
    <row r="1057" spans="1:7" x14ac:dyDescent="0.25">
      <c r="A1057" t="s">
        <v>759</v>
      </c>
      <c r="B1057" t="s">
        <v>2146</v>
      </c>
      <c r="C1057">
        <v>2018</v>
      </c>
      <c r="E1057" s="10" t="s">
        <v>9432</v>
      </c>
      <c r="F1057" t="s">
        <v>9426</v>
      </c>
      <c r="G1057" t="s">
        <v>3990</v>
      </c>
    </row>
    <row r="1058" spans="1:7" x14ac:dyDescent="0.25">
      <c r="A1058" t="s">
        <v>1046</v>
      </c>
      <c r="B1058" t="s">
        <v>2146</v>
      </c>
      <c r="C1058">
        <v>2016</v>
      </c>
      <c r="E1058" s="10" t="s">
        <v>8357</v>
      </c>
      <c r="F1058" t="s">
        <v>8723</v>
      </c>
      <c r="G1058" t="s">
        <v>3990</v>
      </c>
    </row>
    <row r="1059" spans="1:7" x14ac:dyDescent="0.25">
      <c r="A1059" t="s">
        <v>1272</v>
      </c>
      <c r="B1059" t="s">
        <v>2146</v>
      </c>
      <c r="C1059">
        <v>2020</v>
      </c>
      <c r="E1059" s="10" t="s">
        <v>9432</v>
      </c>
      <c r="F1059" t="s">
        <v>9427</v>
      </c>
      <c r="G1059" t="s">
        <v>3990</v>
      </c>
    </row>
    <row r="1060" spans="1:7" x14ac:dyDescent="0.25">
      <c r="A1060" t="s">
        <v>1855</v>
      </c>
      <c r="B1060" t="s">
        <v>2146</v>
      </c>
      <c r="C1060">
        <v>2015</v>
      </c>
      <c r="E1060" s="10" t="s">
        <v>9432</v>
      </c>
      <c r="F1060" t="s">
        <v>9428</v>
      </c>
      <c r="G1060" t="s">
        <v>3990</v>
      </c>
    </row>
    <row r="1061" spans="1:7" x14ac:dyDescent="0.25">
      <c r="A1061" t="s">
        <v>1855</v>
      </c>
      <c r="B1061" t="s">
        <v>2150</v>
      </c>
      <c r="C1061">
        <v>2015</v>
      </c>
      <c r="E1061" t="s">
        <v>2982</v>
      </c>
      <c r="F1061" t="s">
        <v>8965</v>
      </c>
      <c r="G1061" t="s">
        <v>3990</v>
      </c>
    </row>
    <row r="1062" spans="1:7" x14ac:dyDescent="0.25">
      <c r="A1062" t="s">
        <v>90</v>
      </c>
      <c r="B1062" t="s">
        <v>9819</v>
      </c>
      <c r="C1062">
        <v>2017</v>
      </c>
      <c r="E1062" s="10" t="s">
        <v>9821</v>
      </c>
      <c r="F1062" t="s">
        <v>9822</v>
      </c>
      <c r="G1062" t="s">
        <v>3990</v>
      </c>
    </row>
    <row r="1063" spans="1:7" x14ac:dyDescent="0.25">
      <c r="A1063" t="s">
        <v>185</v>
      </c>
      <c r="B1063" t="s">
        <v>2158</v>
      </c>
      <c r="C1063">
        <v>2022</v>
      </c>
      <c r="E1063" t="s">
        <v>2983</v>
      </c>
      <c r="F1063" t="s">
        <v>8444</v>
      </c>
      <c r="G1063" t="s">
        <v>3990</v>
      </c>
    </row>
    <row r="1064" spans="1:7" x14ac:dyDescent="0.25">
      <c r="A1064" t="s">
        <v>1690</v>
      </c>
      <c r="B1064" t="s">
        <v>2158</v>
      </c>
      <c r="C1064">
        <v>2020</v>
      </c>
      <c r="E1064" t="s">
        <v>2983</v>
      </c>
      <c r="F1064" t="s">
        <v>8899</v>
      </c>
      <c r="G1064" t="s">
        <v>3990</v>
      </c>
    </row>
    <row r="1065" spans="1:7" x14ac:dyDescent="0.25">
      <c r="A1065" t="s">
        <v>90</v>
      </c>
      <c r="B1065" t="s">
        <v>2158</v>
      </c>
      <c r="C1065">
        <v>2017</v>
      </c>
      <c r="E1065" t="s">
        <v>2983</v>
      </c>
      <c r="F1065" t="s">
        <v>9136</v>
      </c>
      <c r="G1065" t="s">
        <v>3990</v>
      </c>
    </row>
    <row r="1066" spans="1:7" x14ac:dyDescent="0.25">
      <c r="A1066" t="s">
        <v>256</v>
      </c>
      <c r="B1066" t="s">
        <v>2160</v>
      </c>
      <c r="C1066">
        <v>1994</v>
      </c>
      <c r="E1066" t="s">
        <v>2995</v>
      </c>
      <c r="F1066" t="s">
        <v>9433</v>
      </c>
      <c r="G1066" t="s">
        <v>3990</v>
      </c>
    </row>
    <row r="1067" spans="1:7" x14ac:dyDescent="0.25">
      <c r="A1067" t="s">
        <v>2571</v>
      </c>
      <c r="B1067" t="s">
        <v>2160</v>
      </c>
      <c r="C1067">
        <v>1998</v>
      </c>
      <c r="E1067" t="s">
        <v>2995</v>
      </c>
      <c r="F1067" t="s">
        <v>9434</v>
      </c>
      <c r="G1067" t="s">
        <v>3990</v>
      </c>
    </row>
    <row r="1068" spans="1:7" x14ac:dyDescent="0.25">
      <c r="A1068" t="s">
        <v>353</v>
      </c>
      <c r="B1068" t="s">
        <v>2162</v>
      </c>
      <c r="C1068">
        <v>2023</v>
      </c>
      <c r="E1068" t="s">
        <v>2982</v>
      </c>
      <c r="F1068" t="s">
        <v>8513</v>
      </c>
      <c r="G1068" t="s">
        <v>3990</v>
      </c>
    </row>
    <row r="1069" spans="1:7" x14ac:dyDescent="0.25">
      <c r="A1069" t="s">
        <v>2804</v>
      </c>
      <c r="B1069" t="s">
        <v>2162</v>
      </c>
      <c r="C1069">
        <v>2021</v>
      </c>
      <c r="E1069" t="s">
        <v>2982</v>
      </c>
      <c r="F1069" t="s">
        <v>9336</v>
      </c>
      <c r="G1069" t="s">
        <v>3990</v>
      </c>
    </row>
    <row r="1070" spans="1:7" x14ac:dyDescent="0.25">
      <c r="A1070" t="s">
        <v>2154</v>
      </c>
      <c r="B1070" t="s">
        <v>2166</v>
      </c>
      <c r="C1070">
        <v>1980</v>
      </c>
      <c r="E1070" t="s">
        <v>3325</v>
      </c>
      <c r="F1070" t="s">
        <v>9028</v>
      </c>
      <c r="G1070" t="s">
        <v>3990</v>
      </c>
    </row>
    <row r="1071" spans="1:7" x14ac:dyDescent="0.25">
      <c r="A1071" t="s">
        <v>2625</v>
      </c>
      <c r="B1071" t="s">
        <v>2166</v>
      </c>
      <c r="C1071">
        <v>2000</v>
      </c>
      <c r="D1071" t="s">
        <v>187</v>
      </c>
      <c r="F1071" t="s">
        <v>9693</v>
      </c>
      <c r="G1071" t="s">
        <v>3990</v>
      </c>
    </row>
    <row r="1072" spans="1:7" x14ac:dyDescent="0.25">
      <c r="A1072" t="s">
        <v>2173</v>
      </c>
      <c r="B1072" t="s">
        <v>2169</v>
      </c>
      <c r="C1072">
        <v>2013</v>
      </c>
      <c r="E1072" t="s">
        <v>3333</v>
      </c>
      <c r="F1072" t="s">
        <v>9694</v>
      </c>
      <c r="G1072" t="s">
        <v>187</v>
      </c>
    </row>
    <row r="1073" spans="1:7" x14ac:dyDescent="0.25">
      <c r="A1073" t="s">
        <v>2428</v>
      </c>
      <c r="B1073" t="s">
        <v>2173</v>
      </c>
      <c r="C1073">
        <v>2008</v>
      </c>
      <c r="E1073" t="s">
        <v>3394</v>
      </c>
      <c r="F1073" t="s">
        <v>9209</v>
      </c>
      <c r="G1073" t="s">
        <v>3990</v>
      </c>
    </row>
    <row r="1074" spans="1:7" x14ac:dyDescent="0.25">
      <c r="A1074" t="s">
        <v>160</v>
      </c>
      <c r="B1074" t="s">
        <v>2173</v>
      </c>
      <c r="C1074">
        <v>2011</v>
      </c>
      <c r="E1074" t="s">
        <v>3394</v>
      </c>
      <c r="F1074" t="s">
        <v>9283</v>
      </c>
      <c r="G1074" t="s">
        <v>3990</v>
      </c>
    </row>
    <row r="1075" spans="1:7" x14ac:dyDescent="0.25">
      <c r="A1075" t="s">
        <v>2173</v>
      </c>
      <c r="B1075" t="s">
        <v>2177</v>
      </c>
      <c r="C1075">
        <v>2013</v>
      </c>
      <c r="D1075" t="s">
        <v>187</v>
      </c>
      <c r="F1075" t="s">
        <v>9695</v>
      </c>
      <c r="G1075" t="s">
        <v>3990</v>
      </c>
    </row>
    <row r="1076" spans="1:7" x14ac:dyDescent="0.25">
      <c r="A1076" t="s">
        <v>90</v>
      </c>
      <c r="B1076" t="s">
        <v>2181</v>
      </c>
      <c r="C1076">
        <v>2017</v>
      </c>
      <c r="E1076" s="10" t="s">
        <v>9828</v>
      </c>
      <c r="F1076" t="s">
        <v>9696</v>
      </c>
      <c r="G1076" t="s">
        <v>3990</v>
      </c>
    </row>
    <row r="1077" spans="1:7" x14ac:dyDescent="0.25">
      <c r="A1077" t="s">
        <v>344</v>
      </c>
      <c r="B1077" t="s">
        <v>2187</v>
      </c>
      <c r="C1077">
        <v>2023</v>
      </c>
      <c r="E1077" s="10" t="s">
        <v>8358</v>
      </c>
      <c r="F1077" t="s">
        <v>8477</v>
      </c>
      <c r="G1077" t="s">
        <v>3990</v>
      </c>
    </row>
    <row r="1078" spans="1:7" x14ac:dyDescent="0.25">
      <c r="A1078" t="s">
        <v>346</v>
      </c>
      <c r="B1078" t="s">
        <v>2187</v>
      </c>
      <c r="C1078">
        <v>2022</v>
      </c>
      <c r="E1078" t="s">
        <v>3017</v>
      </c>
      <c r="F1078" t="s">
        <v>8483</v>
      </c>
      <c r="G1078" t="s">
        <v>3990</v>
      </c>
    </row>
    <row r="1079" spans="1:7" x14ac:dyDescent="0.25">
      <c r="A1079" t="s">
        <v>1144</v>
      </c>
      <c r="B1079" t="s">
        <v>2187</v>
      </c>
      <c r="C1079">
        <v>2012</v>
      </c>
      <c r="E1079" t="s">
        <v>3017</v>
      </c>
      <c r="F1079" t="s">
        <v>8754</v>
      </c>
      <c r="G1079" t="s">
        <v>3990</v>
      </c>
    </row>
    <row r="1080" spans="1:7" x14ac:dyDescent="0.25">
      <c r="A1080" t="s">
        <v>1443</v>
      </c>
      <c r="B1080" t="s">
        <v>2187</v>
      </c>
      <c r="C1080">
        <v>2018</v>
      </c>
      <c r="E1080" t="s">
        <v>3017</v>
      </c>
      <c r="F1080" t="s">
        <v>8851</v>
      </c>
      <c r="G1080" t="s">
        <v>3990</v>
      </c>
    </row>
    <row r="1081" spans="1:7" x14ac:dyDescent="0.25">
      <c r="A1081" t="s">
        <v>1951</v>
      </c>
      <c r="B1081" t="s">
        <v>2187</v>
      </c>
      <c r="C1081">
        <v>2022</v>
      </c>
      <c r="E1081" s="10" t="s">
        <v>8358</v>
      </c>
      <c r="F1081" t="s">
        <v>8979</v>
      </c>
      <c r="G1081" t="s">
        <v>3990</v>
      </c>
    </row>
    <row r="1082" spans="1:7" x14ac:dyDescent="0.25">
      <c r="A1082" t="s">
        <v>90</v>
      </c>
      <c r="B1082" t="s">
        <v>2187</v>
      </c>
      <c r="C1082">
        <v>2017</v>
      </c>
      <c r="E1082" t="s">
        <v>3017</v>
      </c>
      <c r="F1082" t="s">
        <v>9137</v>
      </c>
      <c r="G1082" t="s">
        <v>3990</v>
      </c>
    </row>
    <row r="1083" spans="1:7" x14ac:dyDescent="0.25">
      <c r="A1083" t="s">
        <v>994</v>
      </c>
      <c r="B1083" t="s">
        <v>2190</v>
      </c>
      <c r="C1083">
        <v>2011</v>
      </c>
      <c r="E1083" t="s">
        <v>3169</v>
      </c>
      <c r="F1083" t="s">
        <v>9697</v>
      </c>
      <c r="G1083" t="s">
        <v>187</v>
      </c>
    </row>
    <row r="1084" spans="1:7" x14ac:dyDescent="0.25">
      <c r="A1084" t="s">
        <v>2534</v>
      </c>
      <c r="B1084" t="s">
        <v>2190</v>
      </c>
      <c r="C1084">
        <v>1982</v>
      </c>
      <c r="E1084" t="s">
        <v>3169</v>
      </c>
      <c r="F1084" t="s">
        <v>9234</v>
      </c>
      <c r="G1084" t="s">
        <v>3990</v>
      </c>
    </row>
    <row r="1085" spans="1:7" x14ac:dyDescent="0.25">
      <c r="A1085" t="s">
        <v>90</v>
      </c>
      <c r="B1085" t="s">
        <v>2192</v>
      </c>
      <c r="C1085">
        <v>2017</v>
      </c>
      <c r="E1085" s="10" t="s">
        <v>8359</v>
      </c>
      <c r="F1085" t="s">
        <v>9138</v>
      </c>
      <c r="G1085" t="s">
        <v>3990</v>
      </c>
    </row>
    <row r="1086" spans="1:7" x14ac:dyDescent="0.25">
      <c r="A1086" t="s">
        <v>2804</v>
      </c>
      <c r="B1086" t="s">
        <v>2192</v>
      </c>
      <c r="C1086">
        <v>2021</v>
      </c>
      <c r="E1086" s="10" t="s">
        <v>8359</v>
      </c>
      <c r="F1086" t="s">
        <v>9337</v>
      </c>
      <c r="G1086" t="s">
        <v>3990</v>
      </c>
    </row>
    <row r="1087" spans="1:7" x14ac:dyDescent="0.25">
      <c r="A1087" t="s">
        <v>90</v>
      </c>
      <c r="B1087" t="s">
        <v>2196</v>
      </c>
      <c r="C1087">
        <v>2017</v>
      </c>
      <c r="E1087" t="s">
        <v>3374</v>
      </c>
      <c r="F1087" t="s">
        <v>9698</v>
      </c>
      <c r="G1087" t="s">
        <v>187</v>
      </c>
    </row>
    <row r="1088" spans="1:7" x14ac:dyDescent="0.25">
      <c r="A1088" t="s">
        <v>553</v>
      </c>
      <c r="B1088" t="s">
        <v>14136</v>
      </c>
      <c r="C1088">
        <v>2010</v>
      </c>
      <c r="E1088" s="10" t="s">
        <v>14139</v>
      </c>
      <c r="F1088" t="s">
        <v>14140</v>
      </c>
      <c r="G1088" t="s">
        <v>3990</v>
      </c>
    </row>
    <row r="1089" spans="1:7" x14ac:dyDescent="0.25">
      <c r="A1089" t="s">
        <v>1004</v>
      </c>
      <c r="B1089" t="s">
        <v>14136</v>
      </c>
      <c r="C1089">
        <v>2006</v>
      </c>
      <c r="E1089" s="10" t="s">
        <v>14139</v>
      </c>
      <c r="F1089" t="s">
        <v>14140</v>
      </c>
      <c r="G1089" t="s">
        <v>3990</v>
      </c>
    </row>
    <row r="1090" spans="1:7" x14ac:dyDescent="0.25">
      <c r="A1090" t="s">
        <v>2792</v>
      </c>
      <c r="B1090" t="s">
        <v>14136</v>
      </c>
      <c r="C1090">
        <v>1992</v>
      </c>
      <c r="E1090" s="10" t="s">
        <v>14141</v>
      </c>
      <c r="F1090" t="s">
        <v>14142</v>
      </c>
      <c r="G1090" t="s">
        <v>3990</v>
      </c>
    </row>
    <row r="1091" spans="1:7" x14ac:dyDescent="0.25">
      <c r="A1091" t="s">
        <v>490</v>
      </c>
      <c r="B1091" t="s">
        <v>2200</v>
      </c>
      <c r="C1091">
        <v>2009</v>
      </c>
      <c r="E1091" t="s">
        <v>3061</v>
      </c>
      <c r="F1091" t="s">
        <v>8536</v>
      </c>
      <c r="G1091" t="s">
        <v>3990</v>
      </c>
    </row>
    <row r="1092" spans="1:7" x14ac:dyDescent="0.25">
      <c r="A1092" t="s">
        <v>2154</v>
      </c>
      <c r="B1092" t="s">
        <v>2200</v>
      </c>
      <c r="C1092">
        <v>1980</v>
      </c>
      <c r="E1092" t="s">
        <v>3061</v>
      </c>
      <c r="F1092" t="s">
        <v>9029</v>
      </c>
      <c r="G1092" t="s">
        <v>3990</v>
      </c>
    </row>
    <row r="1093" spans="1:7" x14ac:dyDescent="0.25">
      <c r="A1093" t="s">
        <v>353</v>
      </c>
      <c r="B1093" t="s">
        <v>2202</v>
      </c>
      <c r="C1093">
        <v>2023</v>
      </c>
      <c r="E1093" s="10" t="s">
        <v>3040</v>
      </c>
      <c r="F1093" t="s">
        <v>9699</v>
      </c>
      <c r="G1093" t="s">
        <v>187</v>
      </c>
    </row>
    <row r="1094" spans="1:7" x14ac:dyDescent="0.25">
      <c r="A1094" t="s">
        <v>90</v>
      </c>
      <c r="B1094" t="s">
        <v>2202</v>
      </c>
      <c r="C1094">
        <v>2017</v>
      </c>
      <c r="E1094" s="10" t="s">
        <v>3040</v>
      </c>
      <c r="F1094" t="s">
        <v>9700</v>
      </c>
      <c r="G1094" t="s">
        <v>187</v>
      </c>
    </row>
    <row r="1095" spans="1:7" x14ac:dyDescent="0.25">
      <c r="A1095" t="s">
        <v>2154</v>
      </c>
      <c r="B1095" t="s">
        <v>2204</v>
      </c>
      <c r="C1095">
        <v>1980</v>
      </c>
      <c r="E1095" t="s">
        <v>3326</v>
      </c>
      <c r="F1095" t="s">
        <v>9030</v>
      </c>
      <c r="G1095" t="s">
        <v>3990</v>
      </c>
    </row>
    <row r="1096" spans="1:7" x14ac:dyDescent="0.25">
      <c r="A1096" t="s">
        <v>353</v>
      </c>
      <c r="B1096" t="s">
        <v>2215</v>
      </c>
      <c r="C1096">
        <v>2023</v>
      </c>
      <c r="E1096" t="s">
        <v>3041</v>
      </c>
      <c r="F1096" t="s">
        <v>8514</v>
      </c>
      <c r="G1096" t="s">
        <v>3990</v>
      </c>
    </row>
    <row r="1097" spans="1:7" x14ac:dyDescent="0.25">
      <c r="A1097" t="s">
        <v>2211</v>
      </c>
      <c r="B1097" t="s">
        <v>2215</v>
      </c>
      <c r="C1097">
        <v>2021</v>
      </c>
      <c r="E1097" t="s">
        <v>3041</v>
      </c>
      <c r="F1097" t="s">
        <v>9053</v>
      </c>
      <c r="G1097" t="s">
        <v>3990</v>
      </c>
    </row>
    <row r="1098" spans="1:7" x14ac:dyDescent="0.25">
      <c r="A1098" t="s">
        <v>960</v>
      </c>
      <c r="B1098" t="s">
        <v>2219</v>
      </c>
      <c r="C1098">
        <v>2024</v>
      </c>
      <c r="E1098" t="s">
        <v>2982</v>
      </c>
      <c r="F1098" t="s">
        <v>8687</v>
      </c>
      <c r="G1098" t="s">
        <v>3990</v>
      </c>
    </row>
    <row r="1099" spans="1:7" x14ac:dyDescent="0.25">
      <c r="A1099" t="s">
        <v>353</v>
      </c>
      <c r="B1099" t="s">
        <v>2222</v>
      </c>
      <c r="C1099">
        <v>2023</v>
      </c>
      <c r="E1099" t="s">
        <v>3042</v>
      </c>
      <c r="F1099" t="s">
        <v>8515</v>
      </c>
      <c r="G1099" t="s">
        <v>3990</v>
      </c>
    </row>
    <row r="1100" spans="1:7" x14ac:dyDescent="0.25">
      <c r="A1100" t="s">
        <v>1576</v>
      </c>
      <c r="B1100" t="s">
        <v>2222</v>
      </c>
      <c r="C1100">
        <v>2021</v>
      </c>
      <c r="E1100" t="s">
        <v>3042</v>
      </c>
      <c r="F1100" t="s">
        <v>8882</v>
      </c>
      <c r="G1100" t="s">
        <v>3990</v>
      </c>
    </row>
    <row r="1101" spans="1:7" x14ac:dyDescent="0.25">
      <c r="A1101" t="s">
        <v>90</v>
      </c>
      <c r="B1101" t="s">
        <v>2222</v>
      </c>
      <c r="C1101">
        <v>2017</v>
      </c>
      <c r="E1101" t="s">
        <v>3042</v>
      </c>
      <c r="F1101" t="s">
        <v>9139</v>
      </c>
      <c r="G1101" t="s">
        <v>3990</v>
      </c>
    </row>
    <row r="1102" spans="1:7" x14ac:dyDescent="0.25">
      <c r="A1102" t="s">
        <v>2506</v>
      </c>
      <c r="B1102" t="s">
        <v>2222</v>
      </c>
      <c r="C1102">
        <v>2021</v>
      </c>
      <c r="E1102" t="s">
        <v>3042</v>
      </c>
      <c r="F1102" t="s">
        <v>9229</v>
      </c>
      <c r="G1102" t="s">
        <v>3990</v>
      </c>
    </row>
    <row r="1103" spans="1:7" x14ac:dyDescent="0.25">
      <c r="A1103" t="s">
        <v>1951</v>
      </c>
      <c r="B1103" t="s">
        <v>2229</v>
      </c>
      <c r="C1103">
        <v>2022</v>
      </c>
      <c r="E1103" t="s">
        <v>3301</v>
      </c>
      <c r="F1103" t="s">
        <v>8980</v>
      </c>
      <c r="G1103" t="s">
        <v>3990</v>
      </c>
    </row>
    <row r="1104" spans="1:7" x14ac:dyDescent="0.25">
      <c r="A1104" t="s">
        <v>353</v>
      </c>
      <c r="B1104" t="s">
        <v>2232</v>
      </c>
      <c r="C1104">
        <v>2023</v>
      </c>
      <c r="E1104" t="s">
        <v>3043</v>
      </c>
      <c r="F1104" t="s">
        <v>8516</v>
      </c>
      <c r="G1104" t="s">
        <v>3990</v>
      </c>
    </row>
    <row r="1105" spans="1:7" x14ac:dyDescent="0.25">
      <c r="A1105" t="s">
        <v>746</v>
      </c>
      <c r="B1105" t="s">
        <v>2232</v>
      </c>
      <c r="C1105">
        <v>2015</v>
      </c>
      <c r="E1105" s="10" t="s">
        <v>9437</v>
      </c>
      <c r="F1105" t="s">
        <v>9439</v>
      </c>
      <c r="G1105" t="s">
        <v>3990</v>
      </c>
    </row>
    <row r="1106" spans="1:7" x14ac:dyDescent="0.25">
      <c r="A1106" t="s">
        <v>847</v>
      </c>
      <c r="B1106" t="s">
        <v>2232</v>
      </c>
      <c r="C1106">
        <v>1996</v>
      </c>
      <c r="E1106" s="10" t="s">
        <v>9437</v>
      </c>
      <c r="F1106" t="s">
        <v>9438</v>
      </c>
      <c r="G1106" t="s">
        <v>3990</v>
      </c>
    </row>
    <row r="1107" spans="1:7" x14ac:dyDescent="0.25">
      <c r="A1107" t="s">
        <v>1576</v>
      </c>
      <c r="B1107" t="s">
        <v>2232</v>
      </c>
      <c r="C1107">
        <v>2021</v>
      </c>
      <c r="E1107" t="s">
        <v>3263</v>
      </c>
      <c r="F1107" t="s">
        <v>9701</v>
      </c>
      <c r="G1107" t="s">
        <v>187</v>
      </c>
    </row>
    <row r="1108" spans="1:7" x14ac:dyDescent="0.25">
      <c r="A1108" t="s">
        <v>353</v>
      </c>
      <c r="B1108" t="s">
        <v>2236</v>
      </c>
      <c r="C1108">
        <v>2023</v>
      </c>
      <c r="E1108" t="s">
        <v>3044</v>
      </c>
      <c r="F1108" t="s">
        <v>8517</v>
      </c>
      <c r="G1108" t="s">
        <v>3990</v>
      </c>
    </row>
    <row r="1109" spans="1:7" x14ac:dyDescent="0.25">
      <c r="A1109" t="s">
        <v>90</v>
      </c>
      <c r="B1109" t="s">
        <v>2236</v>
      </c>
      <c r="C1109">
        <v>2017</v>
      </c>
      <c r="E1109" t="s">
        <v>3044</v>
      </c>
      <c r="F1109" t="s">
        <v>9140</v>
      </c>
      <c r="G1109" t="s">
        <v>3990</v>
      </c>
    </row>
    <row r="1110" spans="1:7" x14ac:dyDescent="0.25">
      <c r="A1110" t="s">
        <v>1549</v>
      </c>
      <c r="B1110" t="s">
        <v>2239</v>
      </c>
      <c r="C1110">
        <v>2021</v>
      </c>
      <c r="E1110" t="s">
        <v>2241</v>
      </c>
      <c r="F1110" t="s">
        <v>8862</v>
      </c>
      <c r="G1110" t="s">
        <v>3990</v>
      </c>
    </row>
    <row r="1111" spans="1:7" x14ac:dyDescent="0.25">
      <c r="A1111" t="s">
        <v>90</v>
      </c>
      <c r="B1111" t="s">
        <v>2239</v>
      </c>
      <c r="C1111">
        <v>2017</v>
      </c>
      <c r="E1111" t="s">
        <v>2241</v>
      </c>
      <c r="F1111" t="s">
        <v>9141</v>
      </c>
      <c r="G1111" t="s">
        <v>3990</v>
      </c>
    </row>
    <row r="1112" spans="1:7" x14ac:dyDescent="0.25">
      <c r="A1112" t="s">
        <v>2804</v>
      </c>
      <c r="B1112" t="s">
        <v>8360</v>
      </c>
      <c r="C1112">
        <v>2021</v>
      </c>
      <c r="E1112" t="s">
        <v>3013</v>
      </c>
      <c r="F1112" t="s">
        <v>9702</v>
      </c>
      <c r="G1112" t="s">
        <v>187</v>
      </c>
    </row>
    <row r="1113" spans="1:7" x14ac:dyDescent="0.25">
      <c r="A1113" t="s">
        <v>1155</v>
      </c>
      <c r="B1113" t="s">
        <v>2242</v>
      </c>
      <c r="C1113">
        <v>2010</v>
      </c>
      <c r="D1113" t="s">
        <v>187</v>
      </c>
      <c r="F1113" t="s">
        <v>9703</v>
      </c>
      <c r="G1113" t="s">
        <v>3990</v>
      </c>
    </row>
    <row r="1114" spans="1:7" x14ac:dyDescent="0.25">
      <c r="A1114" t="s">
        <v>720</v>
      </c>
      <c r="B1114" t="s">
        <v>2244</v>
      </c>
      <c r="C1114">
        <v>2016</v>
      </c>
      <c r="E1114" t="s">
        <v>3091</v>
      </c>
      <c r="F1114" t="s">
        <v>8578</v>
      </c>
      <c r="G1114" t="s">
        <v>3990</v>
      </c>
    </row>
    <row r="1115" spans="1:7" x14ac:dyDescent="0.25">
      <c r="A1115" t="s">
        <v>746</v>
      </c>
      <c r="B1115" t="s">
        <v>2244</v>
      </c>
      <c r="C1115">
        <v>2015</v>
      </c>
      <c r="E1115" t="s">
        <v>3091</v>
      </c>
      <c r="F1115" t="s">
        <v>8596</v>
      </c>
      <c r="G1115" t="s">
        <v>3990</v>
      </c>
    </row>
    <row r="1116" spans="1:7" x14ac:dyDescent="0.25">
      <c r="A1116" t="s">
        <v>1115</v>
      </c>
      <c r="B1116" t="s">
        <v>2244</v>
      </c>
      <c r="C1116">
        <v>2018</v>
      </c>
      <c r="E1116" t="s">
        <v>3091</v>
      </c>
      <c r="F1116" t="s">
        <v>8731</v>
      </c>
      <c r="G1116" t="s">
        <v>3990</v>
      </c>
    </row>
    <row r="1117" spans="1:7" x14ac:dyDescent="0.25">
      <c r="A1117" t="s">
        <v>2804</v>
      </c>
      <c r="B1117" t="s">
        <v>2247</v>
      </c>
      <c r="C1117">
        <v>2021</v>
      </c>
      <c r="E1117" t="s">
        <v>3013</v>
      </c>
      <c r="F1117" t="s">
        <v>9704</v>
      </c>
      <c r="G1117" t="s">
        <v>187</v>
      </c>
    </row>
    <row r="1118" spans="1:7" x14ac:dyDescent="0.25">
      <c r="A1118" t="s">
        <v>353</v>
      </c>
      <c r="B1118" t="s">
        <v>2251</v>
      </c>
      <c r="C1118">
        <v>2023</v>
      </c>
      <c r="E1118" t="s">
        <v>2982</v>
      </c>
      <c r="F1118" t="s">
        <v>8518</v>
      </c>
      <c r="G1118" t="s">
        <v>3990</v>
      </c>
    </row>
    <row r="1119" spans="1:7" x14ac:dyDescent="0.25">
      <c r="A1119" t="s">
        <v>160</v>
      </c>
      <c r="B1119" t="s">
        <v>2251</v>
      </c>
      <c r="C1119">
        <v>2011</v>
      </c>
      <c r="E1119" t="s">
        <v>2982</v>
      </c>
      <c r="F1119" t="s">
        <v>9284</v>
      </c>
      <c r="G1119" t="s">
        <v>3990</v>
      </c>
    </row>
    <row r="1120" spans="1:7" x14ac:dyDescent="0.25">
      <c r="A1120" t="s">
        <v>435</v>
      </c>
      <c r="B1120" t="s">
        <v>2254</v>
      </c>
      <c r="C1120">
        <v>2019</v>
      </c>
      <c r="E1120" t="s">
        <v>2982</v>
      </c>
      <c r="F1120" t="s">
        <v>9705</v>
      </c>
      <c r="G1120" t="s">
        <v>187</v>
      </c>
    </row>
    <row r="1121" spans="1:7" x14ac:dyDescent="0.25">
      <c r="A1121" t="s">
        <v>759</v>
      </c>
      <c r="B1121" t="s">
        <v>2254</v>
      </c>
      <c r="C1121">
        <v>2018</v>
      </c>
      <c r="E1121" t="s">
        <v>2982</v>
      </c>
      <c r="F1121" t="s">
        <v>8618</v>
      </c>
      <c r="G1121" t="s">
        <v>3990</v>
      </c>
    </row>
    <row r="1122" spans="1:7" x14ac:dyDescent="0.25">
      <c r="A1122" t="s">
        <v>930</v>
      </c>
      <c r="B1122" t="s">
        <v>2254</v>
      </c>
      <c r="C1122">
        <v>2015</v>
      </c>
      <c r="E1122" t="s">
        <v>2982</v>
      </c>
      <c r="F1122" t="s">
        <v>8682</v>
      </c>
      <c r="G1122" t="s">
        <v>3990</v>
      </c>
    </row>
    <row r="1123" spans="1:7" x14ac:dyDescent="0.25">
      <c r="A1123" t="s">
        <v>2130</v>
      </c>
      <c r="B1123" t="s">
        <v>2254</v>
      </c>
      <c r="C1123">
        <v>2017</v>
      </c>
      <c r="E1123" t="s">
        <v>2982</v>
      </c>
      <c r="F1123" t="s">
        <v>8991</v>
      </c>
      <c r="G1123" t="s">
        <v>3990</v>
      </c>
    </row>
    <row r="1124" spans="1:7" x14ac:dyDescent="0.25">
      <c r="A1124" t="s">
        <v>2459</v>
      </c>
      <c r="B1124" t="s">
        <v>2254</v>
      </c>
      <c r="C1124">
        <v>2017</v>
      </c>
      <c r="E1124" t="s">
        <v>2982</v>
      </c>
      <c r="F1124" t="s">
        <v>9218</v>
      </c>
      <c r="G1124" t="s">
        <v>3990</v>
      </c>
    </row>
    <row r="1125" spans="1:7" x14ac:dyDescent="0.25">
      <c r="A1125" t="s">
        <v>2804</v>
      </c>
      <c r="B1125" t="s">
        <v>2258</v>
      </c>
      <c r="C1125">
        <v>2021</v>
      </c>
      <c r="E1125" t="s">
        <v>3013</v>
      </c>
      <c r="F1125" t="s">
        <v>9706</v>
      </c>
      <c r="G1125" t="s">
        <v>187</v>
      </c>
    </row>
    <row r="1126" spans="1:7" x14ac:dyDescent="0.25">
      <c r="A1126" t="s">
        <v>2225</v>
      </c>
      <c r="B1126" t="s">
        <v>2260</v>
      </c>
      <c r="C1126">
        <v>2021</v>
      </c>
      <c r="E1126" s="10" t="s">
        <v>8373</v>
      </c>
      <c r="F1126" t="s">
        <v>9707</v>
      </c>
      <c r="G1126" t="s">
        <v>3990</v>
      </c>
    </row>
    <row r="1127" spans="1:7" x14ac:dyDescent="0.25">
      <c r="A1127" t="s">
        <v>90</v>
      </c>
      <c r="B1127" t="s">
        <v>2264</v>
      </c>
      <c r="C1127">
        <v>2017</v>
      </c>
      <c r="E1127" t="s">
        <v>3375</v>
      </c>
      <c r="F1127" t="s">
        <v>9142</v>
      </c>
      <c r="G1127" t="s">
        <v>3990</v>
      </c>
    </row>
    <row r="1128" spans="1:7" x14ac:dyDescent="0.25">
      <c r="A1128" t="s">
        <v>2594</v>
      </c>
      <c r="B1128" t="s">
        <v>2264</v>
      </c>
      <c r="C1128">
        <v>2019</v>
      </c>
      <c r="E1128" t="s">
        <v>3375</v>
      </c>
      <c r="F1128" t="s">
        <v>9240</v>
      </c>
      <c r="G1128" t="s">
        <v>3990</v>
      </c>
    </row>
    <row r="1129" spans="1:7" x14ac:dyDescent="0.25">
      <c r="A1129" t="s">
        <v>847</v>
      </c>
      <c r="B1129" t="s">
        <v>2267</v>
      </c>
      <c r="C1129">
        <v>1996</v>
      </c>
      <c r="E1129" s="10" t="s">
        <v>9385</v>
      </c>
      <c r="F1129" t="s">
        <v>9447</v>
      </c>
      <c r="G1129" t="s">
        <v>3990</v>
      </c>
    </row>
    <row r="1130" spans="1:7" x14ac:dyDescent="0.25">
      <c r="A1130" t="s">
        <v>998</v>
      </c>
      <c r="B1130" t="s">
        <v>2267</v>
      </c>
      <c r="C1130">
        <v>2018</v>
      </c>
      <c r="D1130" t="s">
        <v>187</v>
      </c>
      <c r="F1130" t="s">
        <v>9445</v>
      </c>
      <c r="G1130" t="s">
        <v>3990</v>
      </c>
    </row>
    <row r="1131" spans="1:7" x14ac:dyDescent="0.25">
      <c r="A1131" t="s">
        <v>1046</v>
      </c>
      <c r="B1131" t="s">
        <v>2267</v>
      </c>
      <c r="C1131">
        <v>2016</v>
      </c>
      <c r="E1131" t="s">
        <v>2982</v>
      </c>
      <c r="F1131" t="s">
        <v>9708</v>
      </c>
      <c r="G1131" t="s">
        <v>187</v>
      </c>
    </row>
    <row r="1132" spans="1:7" x14ac:dyDescent="0.25">
      <c r="A1132" t="s">
        <v>1294</v>
      </c>
      <c r="B1132" t="s">
        <v>2267</v>
      </c>
      <c r="C1132">
        <v>2019</v>
      </c>
      <c r="E1132" s="10" t="s">
        <v>9385</v>
      </c>
      <c r="F1132" t="s">
        <v>9448</v>
      </c>
      <c r="G1132" t="s">
        <v>3990</v>
      </c>
    </row>
    <row r="1133" spans="1:7" x14ac:dyDescent="0.25">
      <c r="A1133" t="s">
        <v>1817</v>
      </c>
      <c r="B1133" t="s">
        <v>2267</v>
      </c>
      <c r="C1133">
        <v>2019</v>
      </c>
      <c r="E1133" s="10" t="s">
        <v>9385</v>
      </c>
      <c r="F1133" t="s">
        <v>9446</v>
      </c>
      <c r="G1133" t="s">
        <v>3990</v>
      </c>
    </row>
    <row r="1134" spans="1:7" x14ac:dyDescent="0.25">
      <c r="A1134" t="s">
        <v>1010</v>
      </c>
      <c r="B1134" t="s">
        <v>2273</v>
      </c>
      <c r="C1134">
        <v>2025</v>
      </c>
      <c r="E1134" t="s">
        <v>3178</v>
      </c>
      <c r="F1134" t="s">
        <v>8703</v>
      </c>
      <c r="G1134" t="s">
        <v>3990</v>
      </c>
    </row>
    <row r="1135" spans="1:7" x14ac:dyDescent="0.25">
      <c r="A1135" t="s">
        <v>1294</v>
      </c>
      <c r="B1135" t="s">
        <v>2273</v>
      </c>
      <c r="C1135">
        <v>2019</v>
      </c>
      <c r="E1135" t="s">
        <v>2982</v>
      </c>
      <c r="F1135" t="s">
        <v>8803</v>
      </c>
      <c r="G1135" t="s">
        <v>3990</v>
      </c>
    </row>
    <row r="1136" spans="1:7" x14ac:dyDescent="0.25">
      <c r="A1136" t="s">
        <v>2136</v>
      </c>
      <c r="B1136" t="s">
        <v>2273</v>
      </c>
      <c r="C1136">
        <v>2020</v>
      </c>
      <c r="E1136" t="s">
        <v>2982</v>
      </c>
      <c r="F1136" t="s">
        <v>9004</v>
      </c>
      <c r="G1136" t="s">
        <v>3990</v>
      </c>
    </row>
    <row r="1137" spans="1:7" x14ac:dyDescent="0.25">
      <c r="A1137" t="s">
        <v>256</v>
      </c>
      <c r="B1137" t="s">
        <v>2276</v>
      </c>
      <c r="C1137">
        <v>1994</v>
      </c>
      <c r="E1137" t="s">
        <v>2996</v>
      </c>
      <c r="F1137" t="s">
        <v>8457</v>
      </c>
      <c r="G1137" t="s">
        <v>3990</v>
      </c>
    </row>
    <row r="1138" spans="1:7" x14ac:dyDescent="0.25">
      <c r="A1138" t="s">
        <v>1882</v>
      </c>
      <c r="B1138" t="s">
        <v>2276</v>
      </c>
      <c r="C1138">
        <v>1987</v>
      </c>
      <c r="E1138" t="s">
        <v>2996</v>
      </c>
      <c r="F1138" t="s">
        <v>8972</v>
      </c>
      <c r="G1138" t="s">
        <v>3990</v>
      </c>
    </row>
    <row r="1139" spans="1:7" x14ac:dyDescent="0.25">
      <c r="A1139" t="s">
        <v>746</v>
      </c>
      <c r="B1139" t="s">
        <v>2279</v>
      </c>
      <c r="C1139">
        <v>2015</v>
      </c>
      <c r="E1139" t="s">
        <v>3106</v>
      </c>
      <c r="F1139" t="s">
        <v>8597</v>
      </c>
      <c r="G1139" t="s">
        <v>3990</v>
      </c>
    </row>
    <row r="1140" spans="1:7" x14ac:dyDescent="0.25">
      <c r="A1140" t="s">
        <v>1294</v>
      </c>
      <c r="B1140" t="s">
        <v>2279</v>
      </c>
      <c r="C1140">
        <v>2019</v>
      </c>
      <c r="E1140" s="10" t="s">
        <v>3106</v>
      </c>
      <c r="F1140" t="s">
        <v>8431</v>
      </c>
      <c r="G1140" t="s">
        <v>3990</v>
      </c>
    </row>
    <row r="1141" spans="1:7" x14ac:dyDescent="0.25">
      <c r="A1141" t="s">
        <v>90</v>
      </c>
      <c r="B1141" t="s">
        <v>2279</v>
      </c>
      <c r="C1141">
        <v>2017</v>
      </c>
      <c r="E1141" t="s">
        <v>3106</v>
      </c>
      <c r="F1141" t="s">
        <v>9143</v>
      </c>
      <c r="G1141" t="s">
        <v>3990</v>
      </c>
    </row>
    <row r="1142" spans="1:7" x14ac:dyDescent="0.25">
      <c r="A1142" t="s">
        <v>1144</v>
      </c>
      <c r="B1142" t="s">
        <v>2281</v>
      </c>
      <c r="C1142">
        <v>2012</v>
      </c>
      <c r="E1142" t="s">
        <v>3210</v>
      </c>
      <c r="F1142" t="s">
        <v>8755</v>
      </c>
      <c r="G1142" t="s">
        <v>3990</v>
      </c>
    </row>
    <row r="1143" spans="1:7" x14ac:dyDescent="0.25">
      <c r="A1143" t="s">
        <v>2065</v>
      </c>
      <c r="B1143" t="s">
        <v>2281</v>
      </c>
      <c r="C1143">
        <v>2023</v>
      </c>
      <c r="E1143" t="s">
        <v>3210</v>
      </c>
      <c r="F1143" t="s">
        <v>8984</v>
      </c>
      <c r="G1143" t="s">
        <v>3990</v>
      </c>
    </row>
    <row r="1144" spans="1:7" x14ac:dyDescent="0.25">
      <c r="A1144" t="s">
        <v>2132</v>
      </c>
      <c r="B1144" t="s">
        <v>2281</v>
      </c>
      <c r="C1144">
        <v>2013</v>
      </c>
      <c r="E1144" t="s">
        <v>3210</v>
      </c>
      <c r="F1144" t="s">
        <v>8995</v>
      </c>
      <c r="G1144" t="s">
        <v>3990</v>
      </c>
    </row>
    <row r="1145" spans="1:7" x14ac:dyDescent="0.25">
      <c r="A1145" t="s">
        <v>497</v>
      </c>
      <c r="B1145" t="s">
        <v>2283</v>
      </c>
      <c r="C1145">
        <v>2022</v>
      </c>
      <c r="E1145" t="s">
        <v>3070</v>
      </c>
      <c r="F1145" t="s">
        <v>8550</v>
      </c>
      <c r="G1145" t="s">
        <v>3990</v>
      </c>
    </row>
    <row r="1146" spans="1:7" x14ac:dyDescent="0.25">
      <c r="A1146" t="s">
        <v>2136</v>
      </c>
      <c r="B1146" t="s">
        <v>2283</v>
      </c>
      <c r="C1146">
        <v>2020</v>
      </c>
      <c r="E1146" t="s">
        <v>3070</v>
      </c>
      <c r="F1146" t="s">
        <v>9005</v>
      </c>
      <c r="G1146" t="s">
        <v>3990</v>
      </c>
    </row>
    <row r="1147" spans="1:7" x14ac:dyDescent="0.25">
      <c r="A1147" t="s">
        <v>1302</v>
      </c>
      <c r="B1147" t="s">
        <v>7923</v>
      </c>
      <c r="C1147">
        <v>2023</v>
      </c>
      <c r="E1147" s="10" t="s">
        <v>7921</v>
      </c>
      <c r="F1147" t="s">
        <v>8817</v>
      </c>
      <c r="G1147" t="s">
        <v>3990</v>
      </c>
    </row>
    <row r="1148" spans="1:7" x14ac:dyDescent="0.25">
      <c r="A1148" t="s">
        <v>1970</v>
      </c>
      <c r="B1148" t="s">
        <v>2286</v>
      </c>
      <c r="C1148">
        <v>2012</v>
      </c>
      <c r="D1148" t="s">
        <v>187</v>
      </c>
      <c r="F1148" t="s">
        <v>9709</v>
      </c>
      <c r="G1148" t="s">
        <v>3990</v>
      </c>
    </row>
    <row r="1149" spans="1:7" x14ac:dyDescent="0.25">
      <c r="A1149" t="s">
        <v>1294</v>
      </c>
      <c r="B1149" t="s">
        <v>2288</v>
      </c>
      <c r="C1149">
        <v>2019</v>
      </c>
      <c r="E1149" t="s">
        <v>2982</v>
      </c>
      <c r="F1149" t="s">
        <v>8804</v>
      </c>
      <c r="G1149" t="s">
        <v>3990</v>
      </c>
    </row>
    <row r="1150" spans="1:7" x14ac:dyDescent="0.25">
      <c r="A1150" t="s">
        <v>1690</v>
      </c>
      <c r="B1150" t="s">
        <v>2288</v>
      </c>
      <c r="C1150">
        <v>2020</v>
      </c>
      <c r="E1150" t="s">
        <v>2982</v>
      </c>
      <c r="F1150" t="s">
        <v>8900</v>
      </c>
      <c r="G1150" t="s">
        <v>3990</v>
      </c>
    </row>
    <row r="1151" spans="1:7" x14ac:dyDescent="0.25">
      <c r="A1151" t="s">
        <v>160</v>
      </c>
      <c r="B1151" t="s">
        <v>2288</v>
      </c>
      <c r="C1151">
        <v>2011</v>
      </c>
      <c r="E1151" t="s">
        <v>2982</v>
      </c>
      <c r="F1151" t="s">
        <v>9285</v>
      </c>
      <c r="G1151" t="s">
        <v>3990</v>
      </c>
    </row>
    <row r="1152" spans="1:7" x14ac:dyDescent="0.25">
      <c r="A1152" t="s">
        <v>2295</v>
      </c>
      <c r="B1152" t="s">
        <v>2292</v>
      </c>
      <c r="C1152">
        <v>2000</v>
      </c>
      <c r="D1152" t="s">
        <v>187</v>
      </c>
      <c r="F1152" t="s">
        <v>9710</v>
      </c>
      <c r="G1152" t="s">
        <v>3990</v>
      </c>
    </row>
    <row r="1153" spans="1:7" x14ac:dyDescent="0.25">
      <c r="A1153" t="s">
        <v>1761</v>
      </c>
      <c r="B1153" t="s">
        <v>2295</v>
      </c>
      <c r="C1153">
        <v>1995</v>
      </c>
      <c r="D1153" t="s">
        <v>187</v>
      </c>
      <c r="F1153" t="s">
        <v>9711</v>
      </c>
      <c r="G1153" t="s">
        <v>3990</v>
      </c>
    </row>
    <row r="1154" spans="1:7" x14ac:dyDescent="0.25">
      <c r="A1154" t="s">
        <v>2292</v>
      </c>
      <c r="B1154" t="s">
        <v>2298</v>
      </c>
      <c r="C1154">
        <v>2008</v>
      </c>
      <c r="D1154" t="s">
        <v>187</v>
      </c>
      <c r="F1154" t="s">
        <v>9712</v>
      </c>
      <c r="G1154" t="s">
        <v>3990</v>
      </c>
    </row>
    <row r="1155" spans="1:7" x14ac:dyDescent="0.25">
      <c r="A1155" t="s">
        <v>2295</v>
      </c>
      <c r="B1155" t="s">
        <v>2301</v>
      </c>
      <c r="C1155">
        <v>2000</v>
      </c>
      <c r="D1155" t="s">
        <v>187</v>
      </c>
      <c r="F1155" t="s">
        <v>9713</v>
      </c>
      <c r="G1155" t="s">
        <v>3990</v>
      </c>
    </row>
    <row r="1156" spans="1:7" x14ac:dyDescent="0.25">
      <c r="A1156" t="s">
        <v>1761</v>
      </c>
      <c r="B1156" t="s">
        <v>2304</v>
      </c>
      <c r="C1156">
        <v>1995</v>
      </c>
      <c r="D1156" t="s">
        <v>187</v>
      </c>
      <c r="F1156" t="s">
        <v>9714</v>
      </c>
      <c r="G1156" t="s">
        <v>3990</v>
      </c>
    </row>
    <row r="1157" spans="1:7" x14ac:dyDescent="0.25">
      <c r="A1157" t="s">
        <v>2304</v>
      </c>
      <c r="B1157" t="s">
        <v>2307</v>
      </c>
      <c r="C1157">
        <v>1996</v>
      </c>
      <c r="D1157" t="s">
        <v>187</v>
      </c>
      <c r="F1157" t="s">
        <v>9715</v>
      </c>
      <c r="G1157" t="s">
        <v>3990</v>
      </c>
    </row>
    <row r="1158" spans="1:7" x14ac:dyDescent="0.25">
      <c r="A1158" t="s">
        <v>2314</v>
      </c>
      <c r="B1158" t="s">
        <v>2310</v>
      </c>
      <c r="C1158">
        <v>2010</v>
      </c>
      <c r="D1158" t="s">
        <v>187</v>
      </c>
      <c r="F1158" t="s">
        <v>9716</v>
      </c>
      <c r="G1158" t="s">
        <v>3990</v>
      </c>
    </row>
    <row r="1159" spans="1:7" x14ac:dyDescent="0.25">
      <c r="A1159" t="s">
        <v>2298</v>
      </c>
      <c r="B1159" t="s">
        <v>2314</v>
      </c>
      <c r="C1159">
        <v>2010</v>
      </c>
      <c r="D1159" t="s">
        <v>187</v>
      </c>
      <c r="F1159" t="s">
        <v>9717</v>
      </c>
      <c r="G1159" t="s">
        <v>3990</v>
      </c>
    </row>
    <row r="1160" spans="1:7" x14ac:dyDescent="0.25">
      <c r="A1160" t="s">
        <v>689</v>
      </c>
      <c r="B1160" t="s">
        <v>2318</v>
      </c>
      <c r="C1160">
        <v>2015</v>
      </c>
      <c r="E1160" t="s">
        <v>3088</v>
      </c>
      <c r="F1160" t="s">
        <v>8573</v>
      </c>
      <c r="G1160" t="s">
        <v>3990</v>
      </c>
    </row>
    <row r="1161" spans="1:7" x14ac:dyDescent="0.25">
      <c r="A1161" t="s">
        <v>746</v>
      </c>
      <c r="B1161" t="s">
        <v>2318</v>
      </c>
      <c r="C1161">
        <v>2015</v>
      </c>
      <c r="E1161" t="s">
        <v>3088</v>
      </c>
      <c r="F1161" t="s">
        <v>8598</v>
      </c>
      <c r="G1161" t="s">
        <v>3990</v>
      </c>
    </row>
    <row r="1162" spans="1:7" x14ac:dyDescent="0.25">
      <c r="A1162" t="s">
        <v>1443</v>
      </c>
      <c r="B1162" t="s">
        <v>2318</v>
      </c>
      <c r="C1162">
        <v>2018</v>
      </c>
      <c r="E1162" t="s">
        <v>3088</v>
      </c>
      <c r="F1162" t="s">
        <v>8852</v>
      </c>
      <c r="G1162" t="s">
        <v>3990</v>
      </c>
    </row>
    <row r="1163" spans="1:7" x14ac:dyDescent="0.25">
      <c r="A1163" t="s">
        <v>90</v>
      </c>
      <c r="B1163" t="s">
        <v>2318</v>
      </c>
      <c r="C1163">
        <v>2017</v>
      </c>
      <c r="E1163" t="s">
        <v>3088</v>
      </c>
      <c r="F1163" t="s">
        <v>9144</v>
      </c>
      <c r="G1163" t="s">
        <v>3990</v>
      </c>
    </row>
    <row r="1164" spans="1:7" x14ac:dyDescent="0.25">
      <c r="A1164" t="s">
        <v>930</v>
      </c>
      <c r="B1164" t="s">
        <v>2328</v>
      </c>
      <c r="C1164">
        <v>2015</v>
      </c>
      <c r="E1164" s="10" t="s">
        <v>3158</v>
      </c>
      <c r="F1164" t="s">
        <v>14044</v>
      </c>
      <c r="G1164" t="s">
        <v>3990</v>
      </c>
    </row>
    <row r="1165" spans="1:7" x14ac:dyDescent="0.25">
      <c r="A1165" t="s">
        <v>2428</v>
      </c>
      <c r="B1165" t="s">
        <v>2328</v>
      </c>
      <c r="C1165">
        <v>2008</v>
      </c>
      <c r="E1165" s="10" t="s">
        <v>3158</v>
      </c>
      <c r="F1165" t="s">
        <v>14044</v>
      </c>
      <c r="G1165" t="s">
        <v>3990</v>
      </c>
    </row>
    <row r="1166" spans="1:7" x14ac:dyDescent="0.25">
      <c r="A1166" t="s">
        <v>1435</v>
      </c>
      <c r="B1166" t="s">
        <v>7930</v>
      </c>
      <c r="C1166">
        <v>2021</v>
      </c>
      <c r="E1166" s="10" t="s">
        <v>7929</v>
      </c>
      <c r="F1166" t="s">
        <v>10024</v>
      </c>
      <c r="G1166" t="s">
        <v>187</v>
      </c>
    </row>
    <row r="1167" spans="1:7" x14ac:dyDescent="0.25">
      <c r="A1167" t="s">
        <v>90</v>
      </c>
      <c r="B1167" t="s">
        <v>7930</v>
      </c>
      <c r="C1167">
        <v>2017</v>
      </c>
      <c r="E1167" s="10" t="s">
        <v>7929</v>
      </c>
      <c r="F1167" t="s">
        <v>10024</v>
      </c>
      <c r="G1167" t="s">
        <v>187</v>
      </c>
    </row>
    <row r="1168" spans="1:7" x14ac:dyDescent="0.25">
      <c r="A1168" t="s">
        <v>260</v>
      </c>
      <c r="B1168" t="s">
        <v>2330</v>
      </c>
      <c r="C1168">
        <v>1990</v>
      </c>
      <c r="E1168" t="s">
        <v>3003</v>
      </c>
      <c r="F1168" t="s">
        <v>8465</v>
      </c>
      <c r="G1168" t="s">
        <v>3990</v>
      </c>
    </row>
    <row r="1169" spans="1:7" x14ac:dyDescent="0.25">
      <c r="A1169" t="s">
        <v>2695</v>
      </c>
      <c r="B1169" t="s">
        <v>2332</v>
      </c>
      <c r="C1169">
        <v>2025</v>
      </c>
      <c r="D1169" t="s">
        <v>187</v>
      </c>
      <c r="F1169" t="s">
        <v>9718</v>
      </c>
      <c r="G1169" t="s">
        <v>3990</v>
      </c>
    </row>
    <row r="1170" spans="1:7" x14ac:dyDescent="0.25">
      <c r="A1170" t="s">
        <v>8378</v>
      </c>
      <c r="B1170" t="s">
        <v>2339</v>
      </c>
      <c r="C1170">
        <v>2021</v>
      </c>
      <c r="E1170" t="s">
        <v>2982</v>
      </c>
      <c r="F1170" t="s">
        <v>8636</v>
      </c>
      <c r="G1170" t="s">
        <v>3990</v>
      </c>
    </row>
    <row r="1171" spans="1:7" x14ac:dyDescent="0.25">
      <c r="A1171" t="s">
        <v>2365</v>
      </c>
      <c r="B1171" t="s">
        <v>2339</v>
      </c>
      <c r="C1171">
        <v>2023</v>
      </c>
      <c r="E1171" t="s">
        <v>2982</v>
      </c>
      <c r="F1171" t="s">
        <v>9175</v>
      </c>
      <c r="G1171" t="s">
        <v>3990</v>
      </c>
    </row>
    <row r="1172" spans="1:7" x14ac:dyDescent="0.25">
      <c r="A1172" t="s">
        <v>2828</v>
      </c>
      <c r="B1172" t="s">
        <v>2339</v>
      </c>
      <c r="C1172">
        <v>2022</v>
      </c>
      <c r="D1172" t="s">
        <v>187</v>
      </c>
      <c r="F1172" t="s">
        <v>9719</v>
      </c>
      <c r="G1172" t="s">
        <v>3990</v>
      </c>
    </row>
    <row r="1173" spans="1:7" x14ac:dyDescent="0.25">
      <c r="A1173" t="s">
        <v>2428</v>
      </c>
      <c r="B1173" t="s">
        <v>2341</v>
      </c>
      <c r="C1173">
        <v>2008</v>
      </c>
      <c r="E1173" t="s">
        <v>2982</v>
      </c>
      <c r="F1173" t="s">
        <v>9210</v>
      </c>
      <c r="G1173" t="s">
        <v>3990</v>
      </c>
    </row>
    <row r="1174" spans="1:7" x14ac:dyDescent="0.25">
      <c r="A1174" t="s">
        <v>353</v>
      </c>
      <c r="B1174" t="s">
        <v>2344</v>
      </c>
      <c r="C1174">
        <v>2023</v>
      </c>
      <c r="E1174" t="s">
        <v>3045</v>
      </c>
      <c r="F1174" t="s">
        <v>9720</v>
      </c>
      <c r="G1174" t="s">
        <v>187</v>
      </c>
    </row>
    <row r="1175" spans="1:7" x14ac:dyDescent="0.25">
      <c r="A1175" t="s">
        <v>1795</v>
      </c>
      <c r="B1175" t="s">
        <v>2348</v>
      </c>
      <c r="C1175">
        <v>1987</v>
      </c>
      <c r="E1175" t="s">
        <v>3284</v>
      </c>
      <c r="F1175" t="s">
        <v>8935</v>
      </c>
      <c r="G1175" t="s">
        <v>3990</v>
      </c>
    </row>
    <row r="1176" spans="1:7" x14ac:dyDescent="0.25">
      <c r="A1176" t="s">
        <v>746</v>
      </c>
      <c r="B1176" t="s">
        <v>90</v>
      </c>
      <c r="C1176">
        <v>2015</v>
      </c>
      <c r="E1176" t="s">
        <v>3107</v>
      </c>
      <c r="F1176" t="s">
        <v>8599</v>
      </c>
      <c r="G1176" t="s">
        <v>3990</v>
      </c>
    </row>
    <row r="1177" spans="1:7" x14ac:dyDescent="0.25">
      <c r="A1177" t="s">
        <v>946</v>
      </c>
      <c r="B1177" t="s">
        <v>90</v>
      </c>
      <c r="C1177">
        <v>2014</v>
      </c>
      <c r="E1177" t="s">
        <v>3163</v>
      </c>
      <c r="F1177" t="s">
        <v>9721</v>
      </c>
      <c r="G1177" t="s">
        <v>187</v>
      </c>
    </row>
    <row r="1178" spans="1:7" x14ac:dyDescent="0.25">
      <c r="A1178" t="s">
        <v>1144</v>
      </c>
      <c r="B1178" t="s">
        <v>90</v>
      </c>
      <c r="C1178">
        <v>2012</v>
      </c>
      <c r="E1178" t="s">
        <v>3211</v>
      </c>
      <c r="F1178" t="s">
        <v>8756</v>
      </c>
      <c r="G1178" t="s">
        <v>3990</v>
      </c>
    </row>
    <row r="1179" spans="1:7" x14ac:dyDescent="0.25">
      <c r="A1179" t="s">
        <v>160</v>
      </c>
      <c r="B1179" t="s">
        <v>90</v>
      </c>
      <c r="C1179">
        <v>2011</v>
      </c>
      <c r="E1179" t="s">
        <v>3163</v>
      </c>
      <c r="F1179" t="s">
        <v>9722</v>
      </c>
      <c r="G1179" t="s">
        <v>187</v>
      </c>
    </row>
    <row r="1180" spans="1:7" x14ac:dyDescent="0.25">
      <c r="A1180" t="s">
        <v>90</v>
      </c>
      <c r="B1180" t="s">
        <v>38</v>
      </c>
      <c r="C1180">
        <v>2017</v>
      </c>
      <c r="D1180" t="s">
        <v>187</v>
      </c>
      <c r="F1180" t="s">
        <v>9723</v>
      </c>
      <c r="G1180" t="s">
        <v>3990</v>
      </c>
    </row>
    <row r="1181" spans="1:7" x14ac:dyDescent="0.25">
      <c r="A1181" t="s">
        <v>1144</v>
      </c>
      <c r="B1181" t="s">
        <v>2361</v>
      </c>
      <c r="C1181">
        <v>2012</v>
      </c>
      <c r="E1181" t="s">
        <v>2982</v>
      </c>
      <c r="F1181" t="s">
        <v>8757</v>
      </c>
      <c r="G1181" t="s">
        <v>3990</v>
      </c>
    </row>
    <row r="1182" spans="1:7" x14ac:dyDescent="0.25">
      <c r="A1182" t="s">
        <v>90</v>
      </c>
      <c r="B1182" t="s">
        <v>2361</v>
      </c>
      <c r="C1182">
        <v>2017</v>
      </c>
      <c r="E1182" t="s">
        <v>2982</v>
      </c>
      <c r="F1182" t="s">
        <v>9145</v>
      </c>
      <c r="G1182" t="s">
        <v>3990</v>
      </c>
    </row>
    <row r="1183" spans="1:7" x14ac:dyDescent="0.25">
      <c r="A1183" t="s">
        <v>2365</v>
      </c>
      <c r="B1183" t="s">
        <v>8365</v>
      </c>
      <c r="C1183">
        <v>2023</v>
      </c>
      <c r="D1183" t="s">
        <v>187</v>
      </c>
      <c r="F1183" t="s">
        <v>9724</v>
      </c>
      <c r="G1183" t="s">
        <v>3990</v>
      </c>
    </row>
    <row r="1184" spans="1:7" x14ac:dyDescent="0.25">
      <c r="A1184" t="s">
        <v>185</v>
      </c>
      <c r="B1184" t="s">
        <v>2365</v>
      </c>
      <c r="C1184">
        <v>2022</v>
      </c>
      <c r="E1184" s="10" t="s">
        <v>2368</v>
      </c>
      <c r="F1184" t="s">
        <v>8445</v>
      </c>
      <c r="G1184" t="s">
        <v>3990</v>
      </c>
    </row>
    <row r="1185" spans="1:7" x14ac:dyDescent="0.25">
      <c r="A1185" t="s">
        <v>497</v>
      </c>
      <c r="B1185" t="s">
        <v>2365</v>
      </c>
      <c r="C1185">
        <v>2022</v>
      </c>
      <c r="E1185" s="10" t="s">
        <v>2368</v>
      </c>
      <c r="F1185" t="s">
        <v>8551</v>
      </c>
      <c r="G1185" t="s">
        <v>3990</v>
      </c>
    </row>
    <row r="1186" spans="1:7" x14ac:dyDescent="0.25">
      <c r="A1186" t="s">
        <v>8378</v>
      </c>
      <c r="B1186" t="s">
        <v>2365</v>
      </c>
      <c r="C1186">
        <v>2021</v>
      </c>
      <c r="D1186" t="s">
        <v>187</v>
      </c>
      <c r="F1186" t="s">
        <v>9725</v>
      </c>
      <c r="G1186" t="s">
        <v>3990</v>
      </c>
    </row>
    <row r="1187" spans="1:7" x14ac:dyDescent="0.25">
      <c r="A1187" t="s">
        <v>924</v>
      </c>
      <c r="B1187" t="s">
        <v>2365</v>
      </c>
      <c r="C1187">
        <v>2019</v>
      </c>
      <c r="E1187" s="10" t="s">
        <v>2368</v>
      </c>
      <c r="F1187" t="s">
        <v>9726</v>
      </c>
      <c r="G1187" t="s">
        <v>187</v>
      </c>
    </row>
    <row r="1188" spans="1:7" x14ac:dyDescent="0.25">
      <c r="A1188" t="s">
        <v>1302</v>
      </c>
      <c r="B1188" t="s">
        <v>2365</v>
      </c>
      <c r="C1188">
        <v>2023</v>
      </c>
      <c r="E1188" s="10" t="s">
        <v>2368</v>
      </c>
      <c r="F1188" t="s">
        <v>8818</v>
      </c>
      <c r="G1188" t="s">
        <v>3990</v>
      </c>
    </row>
    <row r="1189" spans="1:7" x14ac:dyDescent="0.25">
      <c r="A1189" t="s">
        <v>2397</v>
      </c>
      <c r="B1189" t="s">
        <v>2365</v>
      </c>
      <c r="C1189">
        <v>2022</v>
      </c>
      <c r="E1189" s="10" t="s">
        <v>2368</v>
      </c>
      <c r="F1189" t="s">
        <v>9181</v>
      </c>
      <c r="G1189" t="s">
        <v>3990</v>
      </c>
    </row>
    <row r="1190" spans="1:7" x14ac:dyDescent="0.25">
      <c r="A1190" t="s">
        <v>2804</v>
      </c>
      <c r="B1190" t="s">
        <v>2365</v>
      </c>
      <c r="C1190">
        <v>2021</v>
      </c>
      <c r="E1190" s="10" t="s">
        <v>8364</v>
      </c>
      <c r="F1190" t="s">
        <v>9338</v>
      </c>
      <c r="G1190" t="s">
        <v>3990</v>
      </c>
    </row>
    <row r="1191" spans="1:7" x14ac:dyDescent="0.25">
      <c r="A1191" t="s">
        <v>1565</v>
      </c>
      <c r="B1191" t="s">
        <v>2369</v>
      </c>
      <c r="C1191">
        <v>2023</v>
      </c>
      <c r="E1191" t="s">
        <v>3257</v>
      </c>
      <c r="F1191" t="s">
        <v>8864</v>
      </c>
      <c r="G1191" t="s">
        <v>3990</v>
      </c>
    </row>
    <row r="1192" spans="1:7" x14ac:dyDescent="0.25">
      <c r="A1192" t="s">
        <v>1576</v>
      </c>
      <c r="B1192" t="s">
        <v>2369</v>
      </c>
      <c r="C1192">
        <v>2021</v>
      </c>
      <c r="E1192" t="s">
        <v>3257</v>
      </c>
      <c r="F1192" t="s">
        <v>8883</v>
      </c>
      <c r="G1192" t="s">
        <v>3990</v>
      </c>
    </row>
    <row r="1193" spans="1:7" x14ac:dyDescent="0.25">
      <c r="A1193" t="s">
        <v>1761</v>
      </c>
      <c r="B1193" t="s">
        <v>2369</v>
      </c>
      <c r="C1193">
        <v>1995</v>
      </c>
      <c r="E1193" t="s">
        <v>3257</v>
      </c>
      <c r="F1193" t="s">
        <v>8913</v>
      </c>
      <c r="G1193" t="s">
        <v>3990</v>
      </c>
    </row>
    <row r="1194" spans="1:7" x14ac:dyDescent="0.25">
      <c r="A1194" t="s">
        <v>90</v>
      </c>
      <c r="B1194" t="s">
        <v>2369</v>
      </c>
      <c r="C1194">
        <v>2017</v>
      </c>
      <c r="E1194" t="s">
        <v>3257</v>
      </c>
      <c r="F1194" t="s">
        <v>9146</v>
      </c>
      <c r="G1194" t="s">
        <v>3990</v>
      </c>
    </row>
    <row r="1195" spans="1:7" x14ac:dyDescent="0.25">
      <c r="A1195" t="s">
        <v>353</v>
      </c>
      <c r="B1195" t="s">
        <v>2371</v>
      </c>
      <c r="C1195">
        <v>2023</v>
      </c>
      <c r="E1195" t="s">
        <v>3046</v>
      </c>
      <c r="F1195" t="s">
        <v>8519</v>
      </c>
      <c r="G1195" t="s">
        <v>3990</v>
      </c>
    </row>
    <row r="1196" spans="1:7" x14ac:dyDescent="0.25">
      <c r="A1196" t="s">
        <v>90</v>
      </c>
      <c r="B1196" t="s">
        <v>2371</v>
      </c>
      <c r="C1196">
        <v>2017</v>
      </c>
      <c r="E1196" t="s">
        <v>3046</v>
      </c>
      <c r="F1196" t="s">
        <v>9147</v>
      </c>
      <c r="G1196" t="s">
        <v>3990</v>
      </c>
    </row>
    <row r="1197" spans="1:7" x14ac:dyDescent="0.25">
      <c r="A1197" t="s">
        <v>353</v>
      </c>
      <c r="B1197" t="s">
        <v>2381</v>
      </c>
      <c r="C1197">
        <v>2023</v>
      </c>
      <c r="E1197" t="s">
        <v>3047</v>
      </c>
      <c r="F1197" t="s">
        <v>8520</v>
      </c>
      <c r="G1197" t="s">
        <v>3990</v>
      </c>
    </row>
    <row r="1198" spans="1:7" x14ac:dyDescent="0.25">
      <c r="A1198" t="s">
        <v>778</v>
      </c>
      <c r="B1198" t="s">
        <v>2381</v>
      </c>
      <c r="C1198">
        <v>2023</v>
      </c>
      <c r="E1198" t="s">
        <v>3047</v>
      </c>
      <c r="F1198" t="s">
        <v>8627</v>
      </c>
      <c r="G1198" t="s">
        <v>3990</v>
      </c>
    </row>
    <row r="1199" spans="1:7" x14ac:dyDescent="0.25">
      <c r="A1199" t="s">
        <v>2804</v>
      </c>
      <c r="B1199" t="s">
        <v>2381</v>
      </c>
      <c r="C1199">
        <v>2021</v>
      </c>
      <c r="E1199" t="s">
        <v>2982</v>
      </c>
      <c r="F1199" t="s">
        <v>9339</v>
      </c>
      <c r="G1199" t="s">
        <v>3990</v>
      </c>
    </row>
    <row r="1200" spans="1:7" x14ac:dyDescent="0.25">
      <c r="A1200" t="s">
        <v>353</v>
      </c>
      <c r="B1200" t="s">
        <v>2385</v>
      </c>
      <c r="C1200">
        <v>2023</v>
      </c>
      <c r="E1200" t="s">
        <v>3048</v>
      </c>
      <c r="F1200" t="s">
        <v>9727</v>
      </c>
      <c r="G1200" t="s">
        <v>187</v>
      </c>
    </row>
    <row r="1201" spans="1:7" x14ac:dyDescent="0.25">
      <c r="A1201" t="s">
        <v>873</v>
      </c>
      <c r="B1201" t="s">
        <v>2385</v>
      </c>
      <c r="C1201">
        <v>2019</v>
      </c>
      <c r="E1201" s="10" t="s">
        <v>8396</v>
      </c>
      <c r="F1201" t="s">
        <v>9728</v>
      </c>
      <c r="G1201" t="s">
        <v>187</v>
      </c>
    </row>
    <row r="1202" spans="1:7" x14ac:dyDescent="0.25">
      <c r="A1202" t="s">
        <v>1435</v>
      </c>
      <c r="B1202" t="s">
        <v>2385</v>
      </c>
      <c r="C1202">
        <v>2021</v>
      </c>
      <c r="E1202" s="10" t="s">
        <v>8396</v>
      </c>
      <c r="F1202" t="s">
        <v>8835</v>
      </c>
      <c r="G1202" t="s">
        <v>3990</v>
      </c>
    </row>
    <row r="1203" spans="1:7" x14ac:dyDescent="0.25">
      <c r="A1203" t="s">
        <v>1144</v>
      </c>
      <c r="B1203" t="s">
        <v>2389</v>
      </c>
      <c r="C1203">
        <v>2012</v>
      </c>
      <c r="E1203" t="s">
        <v>3212</v>
      </c>
      <c r="F1203" t="s">
        <v>9729</v>
      </c>
      <c r="G1203" t="s">
        <v>187</v>
      </c>
    </row>
    <row r="1204" spans="1:7" x14ac:dyDescent="0.25">
      <c r="A1204" t="s">
        <v>256</v>
      </c>
      <c r="B1204" t="s">
        <v>2393</v>
      </c>
      <c r="C1204">
        <v>1994</v>
      </c>
      <c r="E1204" t="s">
        <v>2997</v>
      </c>
      <c r="F1204" t="s">
        <v>8458</v>
      </c>
      <c r="G1204" t="s">
        <v>3990</v>
      </c>
    </row>
    <row r="1205" spans="1:7" x14ac:dyDescent="0.25">
      <c r="A1205" t="s">
        <v>2792</v>
      </c>
      <c r="B1205" t="s">
        <v>2393</v>
      </c>
      <c r="C1205">
        <v>1992</v>
      </c>
      <c r="E1205" t="s">
        <v>2997</v>
      </c>
      <c r="F1205" t="s">
        <v>9312</v>
      </c>
      <c r="G1205" t="s">
        <v>3990</v>
      </c>
    </row>
    <row r="1206" spans="1:7" x14ac:dyDescent="0.25">
      <c r="A1206" t="s">
        <v>1004</v>
      </c>
      <c r="B1206" t="s">
        <v>2395</v>
      </c>
      <c r="C1206">
        <v>2006</v>
      </c>
      <c r="E1206" t="s">
        <v>3171</v>
      </c>
      <c r="F1206" t="s">
        <v>8699</v>
      </c>
      <c r="G1206" t="s">
        <v>3990</v>
      </c>
    </row>
    <row r="1207" spans="1:7" x14ac:dyDescent="0.25">
      <c r="A1207" t="s">
        <v>2393</v>
      </c>
      <c r="B1207" t="s">
        <v>2395</v>
      </c>
      <c r="C1207">
        <v>2022</v>
      </c>
      <c r="D1207" t="s">
        <v>187</v>
      </c>
      <c r="F1207" t="s">
        <v>9730</v>
      </c>
      <c r="G1207" t="s">
        <v>3990</v>
      </c>
    </row>
    <row r="1208" spans="1:7" x14ac:dyDescent="0.25">
      <c r="A1208" t="s">
        <v>1294</v>
      </c>
      <c r="B1208" t="s">
        <v>2397</v>
      </c>
      <c r="C1208">
        <v>2019</v>
      </c>
      <c r="E1208" t="s">
        <v>3233</v>
      </c>
      <c r="F1208" t="s">
        <v>8805</v>
      </c>
      <c r="G1208" t="s">
        <v>3990</v>
      </c>
    </row>
    <row r="1209" spans="1:7" x14ac:dyDescent="0.25">
      <c r="A1209" t="s">
        <v>2136</v>
      </c>
      <c r="B1209" t="s">
        <v>2397</v>
      </c>
      <c r="C1209">
        <v>2020</v>
      </c>
      <c r="E1209" s="10" t="s">
        <v>8370</v>
      </c>
      <c r="F1209" t="s">
        <v>9006</v>
      </c>
      <c r="G1209" t="s">
        <v>3990</v>
      </c>
    </row>
    <row r="1210" spans="1:7" x14ac:dyDescent="0.25">
      <c r="A1210" t="s">
        <v>2804</v>
      </c>
      <c r="B1210" t="s">
        <v>2397</v>
      </c>
      <c r="C1210">
        <v>2021</v>
      </c>
      <c r="E1210" t="s">
        <v>3233</v>
      </c>
      <c r="F1210" t="s">
        <v>9340</v>
      </c>
      <c r="G1210" t="s">
        <v>3990</v>
      </c>
    </row>
    <row r="1211" spans="1:7" x14ac:dyDescent="0.25">
      <c r="A1211" t="s">
        <v>759</v>
      </c>
      <c r="B1211" t="s">
        <v>9886</v>
      </c>
      <c r="C1211">
        <v>2018</v>
      </c>
      <c r="E1211" s="10" t="s">
        <v>9885</v>
      </c>
      <c r="F1211" t="s">
        <v>9889</v>
      </c>
      <c r="G1211" t="s">
        <v>3990</v>
      </c>
    </row>
    <row r="1212" spans="1:7" x14ac:dyDescent="0.25">
      <c r="A1212" t="s">
        <v>759</v>
      </c>
      <c r="B1212" t="s">
        <v>2403</v>
      </c>
      <c r="C1212">
        <v>2018</v>
      </c>
      <c r="E1212" t="s">
        <v>3122</v>
      </c>
      <c r="F1212" t="s">
        <v>8619</v>
      </c>
      <c r="G1212" t="s">
        <v>3990</v>
      </c>
    </row>
    <row r="1213" spans="1:7" x14ac:dyDescent="0.25">
      <c r="A1213" t="s">
        <v>2173</v>
      </c>
      <c r="B1213" t="s">
        <v>2403</v>
      </c>
      <c r="C1213">
        <v>2013</v>
      </c>
      <c r="E1213" t="s">
        <v>3122</v>
      </c>
      <c r="F1213" t="s">
        <v>9045</v>
      </c>
      <c r="G1213" t="s">
        <v>3990</v>
      </c>
    </row>
    <row r="1214" spans="1:7" x14ac:dyDescent="0.25">
      <c r="A1214" t="s">
        <v>160</v>
      </c>
      <c r="B1214" t="s">
        <v>2403</v>
      </c>
      <c r="C1214">
        <v>2011</v>
      </c>
      <c r="E1214" t="s">
        <v>3122</v>
      </c>
      <c r="F1214" t="s">
        <v>9286</v>
      </c>
      <c r="G1214" t="s">
        <v>3990</v>
      </c>
    </row>
    <row r="1215" spans="1:7" x14ac:dyDescent="0.25">
      <c r="A1215" t="s">
        <v>490</v>
      </c>
      <c r="B1215" t="s">
        <v>2406</v>
      </c>
      <c r="C1215">
        <v>2009</v>
      </c>
      <c r="E1215" t="s">
        <v>3062</v>
      </c>
      <c r="F1215" t="s">
        <v>8537</v>
      </c>
      <c r="G1215" t="s">
        <v>3990</v>
      </c>
    </row>
    <row r="1216" spans="1:7" x14ac:dyDescent="0.25">
      <c r="A1216" t="s">
        <v>922</v>
      </c>
      <c r="B1216" t="s">
        <v>2406</v>
      </c>
      <c r="C1216">
        <v>2002</v>
      </c>
      <c r="E1216" t="s">
        <v>3062</v>
      </c>
      <c r="F1216" t="s">
        <v>8675</v>
      </c>
      <c r="G1216" t="s">
        <v>3990</v>
      </c>
    </row>
    <row r="1217" spans="1:7" x14ac:dyDescent="0.25">
      <c r="A1217" t="s">
        <v>746</v>
      </c>
      <c r="B1217" t="s">
        <v>8095</v>
      </c>
      <c r="C1217">
        <v>2015</v>
      </c>
      <c r="E1217" s="10" t="s">
        <v>8109</v>
      </c>
      <c r="F1217" t="s">
        <v>9731</v>
      </c>
      <c r="G1217" t="s">
        <v>187</v>
      </c>
    </row>
    <row r="1218" spans="1:7" x14ac:dyDescent="0.25">
      <c r="A1218" t="s">
        <v>914</v>
      </c>
      <c r="B1218" t="s">
        <v>8095</v>
      </c>
      <c r="C1218">
        <v>2013</v>
      </c>
      <c r="E1218" s="10" t="s">
        <v>8109</v>
      </c>
      <c r="F1218" t="s">
        <v>9732</v>
      </c>
      <c r="G1218" t="s">
        <v>187</v>
      </c>
    </row>
    <row r="1219" spans="1:7" x14ac:dyDescent="0.25">
      <c r="A1219" t="s">
        <v>1255</v>
      </c>
      <c r="B1219" t="s">
        <v>8095</v>
      </c>
      <c r="C1219">
        <v>2020</v>
      </c>
      <c r="E1219" s="10" t="s">
        <v>8109</v>
      </c>
      <c r="F1219" t="s">
        <v>9733</v>
      </c>
      <c r="G1219" t="s">
        <v>187</v>
      </c>
    </row>
    <row r="1220" spans="1:7" x14ac:dyDescent="0.25">
      <c r="A1220" t="s">
        <v>1294</v>
      </c>
      <c r="B1220" t="s">
        <v>8095</v>
      </c>
      <c r="C1220">
        <v>2019</v>
      </c>
      <c r="E1220" s="10" t="s">
        <v>8109</v>
      </c>
      <c r="F1220" t="s">
        <v>9734</v>
      </c>
      <c r="G1220" t="s">
        <v>187</v>
      </c>
    </row>
    <row r="1221" spans="1:7" x14ac:dyDescent="0.25">
      <c r="A1221" t="s">
        <v>1144</v>
      </c>
      <c r="B1221" t="s">
        <v>7838</v>
      </c>
      <c r="C1221">
        <v>2012</v>
      </c>
      <c r="E1221" t="s">
        <v>7837</v>
      </c>
      <c r="F1221" t="s">
        <v>8758</v>
      </c>
      <c r="G1221" t="s">
        <v>3990</v>
      </c>
    </row>
    <row r="1222" spans="1:7" x14ac:dyDescent="0.25">
      <c r="A1222" t="s">
        <v>2173</v>
      </c>
      <c r="B1222" t="s">
        <v>7838</v>
      </c>
      <c r="C1222">
        <v>2013</v>
      </c>
      <c r="E1222" t="s">
        <v>7840</v>
      </c>
      <c r="F1222" t="s">
        <v>9046</v>
      </c>
      <c r="G1222" t="s">
        <v>3990</v>
      </c>
    </row>
    <row r="1223" spans="1:7" x14ac:dyDescent="0.25">
      <c r="A1223" t="s">
        <v>160</v>
      </c>
      <c r="B1223" t="s">
        <v>7838</v>
      </c>
      <c r="C1223">
        <v>2011</v>
      </c>
      <c r="E1223" t="s">
        <v>7837</v>
      </c>
      <c r="F1223" t="s">
        <v>9287</v>
      </c>
      <c r="G1223" t="s">
        <v>3990</v>
      </c>
    </row>
    <row r="1224" spans="1:7" x14ac:dyDescent="0.25">
      <c r="A1224" t="s">
        <v>2804</v>
      </c>
      <c r="B1224" t="s">
        <v>2410</v>
      </c>
      <c r="C1224">
        <v>2021</v>
      </c>
      <c r="E1224" t="s">
        <v>3013</v>
      </c>
      <c r="F1224" t="s">
        <v>9735</v>
      </c>
      <c r="G1224" t="s">
        <v>187</v>
      </c>
    </row>
    <row r="1225" spans="1:7" x14ac:dyDescent="0.25">
      <c r="A1225" t="s">
        <v>1385</v>
      </c>
      <c r="B1225" t="s">
        <v>2414</v>
      </c>
      <c r="C1225">
        <v>2013</v>
      </c>
      <c r="E1225" s="10" t="s">
        <v>8389</v>
      </c>
      <c r="F1225" t="s">
        <v>9736</v>
      </c>
      <c r="G1225" t="s">
        <v>187</v>
      </c>
    </row>
    <row r="1226" spans="1:7" x14ac:dyDescent="0.25">
      <c r="A1226" t="s">
        <v>1443</v>
      </c>
      <c r="B1226" t="s">
        <v>2414</v>
      </c>
      <c r="C1226">
        <v>2018</v>
      </c>
      <c r="E1226" t="s">
        <v>3250</v>
      </c>
      <c r="F1226" t="s">
        <v>9737</v>
      </c>
      <c r="G1226" t="s">
        <v>187</v>
      </c>
    </row>
    <row r="1227" spans="1:7" x14ac:dyDescent="0.25">
      <c r="A1227" t="s">
        <v>1855</v>
      </c>
      <c r="B1227" t="s">
        <v>2414</v>
      </c>
      <c r="C1227">
        <v>2015</v>
      </c>
      <c r="E1227" s="10" t="s">
        <v>8389</v>
      </c>
      <c r="F1227" t="s">
        <v>8966</v>
      </c>
      <c r="G1227" t="s">
        <v>3990</v>
      </c>
    </row>
    <row r="1228" spans="1:7" x14ac:dyDescent="0.25">
      <c r="A1228" t="s">
        <v>873</v>
      </c>
      <c r="B1228" t="s">
        <v>2416</v>
      </c>
      <c r="C1228">
        <v>2019</v>
      </c>
      <c r="E1228" t="s">
        <v>2982</v>
      </c>
      <c r="F1228" t="s">
        <v>9738</v>
      </c>
      <c r="G1228" t="s">
        <v>187</v>
      </c>
    </row>
    <row r="1229" spans="1:7" x14ac:dyDescent="0.25">
      <c r="A1229" t="s">
        <v>90</v>
      </c>
      <c r="B1229" t="s">
        <v>2416</v>
      </c>
      <c r="C1229">
        <v>2017</v>
      </c>
      <c r="E1229" t="s">
        <v>2982</v>
      </c>
      <c r="F1229" t="s">
        <v>9739</v>
      </c>
      <c r="G1229" t="s">
        <v>187</v>
      </c>
    </row>
    <row r="1230" spans="1:7" x14ac:dyDescent="0.25">
      <c r="A1230" t="s">
        <v>2428</v>
      </c>
      <c r="B1230" t="s">
        <v>2420</v>
      </c>
      <c r="C1230">
        <v>2008</v>
      </c>
      <c r="D1230" t="s">
        <v>187</v>
      </c>
      <c r="F1230" t="s">
        <v>9740</v>
      </c>
      <c r="G1230" t="s">
        <v>3990</v>
      </c>
    </row>
    <row r="1231" spans="1:7" x14ac:dyDescent="0.25">
      <c r="A1231" t="s">
        <v>2420</v>
      </c>
      <c r="B1231" t="s">
        <v>2424</v>
      </c>
      <c r="C1231">
        <v>2012</v>
      </c>
      <c r="D1231" t="s">
        <v>187</v>
      </c>
      <c r="F1231" t="s">
        <v>9741</v>
      </c>
      <c r="G1231" t="s">
        <v>3990</v>
      </c>
    </row>
    <row r="1232" spans="1:7" x14ac:dyDescent="0.25">
      <c r="A1232" t="s">
        <v>1795</v>
      </c>
      <c r="B1232" t="s">
        <v>2428</v>
      </c>
      <c r="C1232">
        <v>1987</v>
      </c>
      <c r="E1232" t="s">
        <v>3285</v>
      </c>
      <c r="F1232" t="s">
        <v>8936</v>
      </c>
      <c r="G1232" t="s">
        <v>3990</v>
      </c>
    </row>
    <row r="1233" spans="1:7" x14ac:dyDescent="0.25">
      <c r="A1233" t="s">
        <v>346</v>
      </c>
      <c r="B1233" t="s">
        <v>2431</v>
      </c>
      <c r="C1233">
        <v>2022</v>
      </c>
      <c r="E1233" t="s">
        <v>2982</v>
      </c>
      <c r="F1233" t="s">
        <v>8484</v>
      </c>
      <c r="G1233" t="s">
        <v>3990</v>
      </c>
    </row>
    <row r="1234" spans="1:7" x14ac:dyDescent="0.25">
      <c r="A1234" t="s">
        <v>1576</v>
      </c>
      <c r="B1234" t="s">
        <v>2431</v>
      </c>
      <c r="C1234">
        <v>2021</v>
      </c>
      <c r="E1234" t="s">
        <v>2982</v>
      </c>
      <c r="F1234" t="s">
        <v>8884</v>
      </c>
      <c r="G1234" t="s">
        <v>3990</v>
      </c>
    </row>
    <row r="1235" spans="1:7" x14ac:dyDescent="0.25">
      <c r="A1235" t="s">
        <v>90</v>
      </c>
      <c r="B1235" t="s">
        <v>2431</v>
      </c>
      <c r="C1235">
        <v>2017</v>
      </c>
      <c r="E1235" t="s">
        <v>2982</v>
      </c>
      <c r="F1235" t="s">
        <v>9148</v>
      </c>
      <c r="G1235" t="s">
        <v>3990</v>
      </c>
    </row>
    <row r="1236" spans="1:7" x14ac:dyDescent="0.25">
      <c r="A1236" t="s">
        <v>1576</v>
      </c>
      <c r="B1236" t="s">
        <v>14108</v>
      </c>
      <c r="C1236">
        <v>2021</v>
      </c>
      <c r="E1236" s="10" t="s">
        <v>14107</v>
      </c>
      <c r="F1236" t="s">
        <v>14109</v>
      </c>
      <c r="G1236" t="s">
        <v>3990</v>
      </c>
    </row>
    <row r="1237" spans="1:7" x14ac:dyDescent="0.25">
      <c r="A1237" t="s">
        <v>2924</v>
      </c>
      <c r="B1237" t="s">
        <v>14108</v>
      </c>
      <c r="C1237">
        <v>2022</v>
      </c>
      <c r="D1237" t="s">
        <v>187</v>
      </c>
      <c r="F1237" t="s">
        <v>14121</v>
      </c>
      <c r="G1237" t="s">
        <v>3990</v>
      </c>
    </row>
    <row r="1238" spans="1:7" x14ac:dyDescent="0.25">
      <c r="A1238" t="s">
        <v>1592</v>
      </c>
      <c r="B1238" t="s">
        <v>2435</v>
      </c>
      <c r="C1238">
        <v>2019</v>
      </c>
      <c r="E1238" s="10" t="s">
        <v>8352</v>
      </c>
      <c r="F1238" t="s">
        <v>8888</v>
      </c>
      <c r="G1238" t="s">
        <v>3990</v>
      </c>
    </row>
    <row r="1239" spans="1:7" x14ac:dyDescent="0.25">
      <c r="A1239" t="s">
        <v>2804</v>
      </c>
      <c r="B1239" t="s">
        <v>2435</v>
      </c>
      <c r="C1239">
        <v>2021</v>
      </c>
      <c r="E1239" t="s">
        <v>3013</v>
      </c>
      <c r="F1239" t="s">
        <v>9742</v>
      </c>
      <c r="G1239" t="s">
        <v>187</v>
      </c>
    </row>
    <row r="1240" spans="1:7" x14ac:dyDescent="0.25">
      <c r="A1240" t="s">
        <v>1294</v>
      </c>
      <c r="B1240" t="s">
        <v>2439</v>
      </c>
      <c r="C1240">
        <v>2019</v>
      </c>
      <c r="E1240" t="s">
        <v>2982</v>
      </c>
      <c r="F1240" t="s">
        <v>8806</v>
      </c>
      <c r="G1240" t="s">
        <v>3990</v>
      </c>
    </row>
    <row r="1241" spans="1:7" x14ac:dyDescent="0.25">
      <c r="A1241" t="s">
        <v>90</v>
      </c>
      <c r="B1241" t="s">
        <v>2439</v>
      </c>
      <c r="C1241">
        <v>2017</v>
      </c>
      <c r="E1241" t="s">
        <v>2982</v>
      </c>
      <c r="F1241" t="s">
        <v>9149</v>
      </c>
      <c r="G1241" t="s">
        <v>3990</v>
      </c>
    </row>
    <row r="1242" spans="1:7" x14ac:dyDescent="0.25">
      <c r="A1242" t="s">
        <v>2428</v>
      </c>
      <c r="B1242" t="s">
        <v>2443</v>
      </c>
      <c r="C1242">
        <v>2008</v>
      </c>
      <c r="E1242" t="s">
        <v>2446</v>
      </c>
      <c r="F1242" t="s">
        <v>9211</v>
      </c>
      <c r="G1242" t="s">
        <v>3990</v>
      </c>
    </row>
    <row r="1243" spans="1:7" x14ac:dyDescent="0.25">
      <c r="A1243" t="s">
        <v>256</v>
      </c>
      <c r="B1243" t="s">
        <v>2447</v>
      </c>
      <c r="C1243">
        <v>1994</v>
      </c>
      <c r="E1243" t="s">
        <v>2998</v>
      </c>
      <c r="F1243" t="s">
        <v>8459</v>
      </c>
      <c r="G1243" t="s">
        <v>3990</v>
      </c>
    </row>
    <row r="1244" spans="1:7" x14ac:dyDescent="0.25">
      <c r="A1244" t="s">
        <v>553</v>
      </c>
      <c r="B1244" t="s">
        <v>2447</v>
      </c>
      <c r="C1244">
        <v>2010</v>
      </c>
      <c r="D1244" t="s">
        <v>187</v>
      </c>
      <c r="F1244" t="s">
        <v>9743</v>
      </c>
      <c r="G1244" t="s">
        <v>3990</v>
      </c>
    </row>
    <row r="1245" spans="1:7" x14ac:dyDescent="0.25">
      <c r="A1245" t="s">
        <v>353</v>
      </c>
      <c r="B1245" t="s">
        <v>2455</v>
      </c>
      <c r="C1245">
        <v>2023</v>
      </c>
      <c r="E1245" t="s">
        <v>3013</v>
      </c>
      <c r="F1245" t="s">
        <v>9744</v>
      </c>
      <c r="G1245" t="s">
        <v>187</v>
      </c>
    </row>
    <row r="1246" spans="1:7" x14ac:dyDescent="0.25">
      <c r="A1246" t="s">
        <v>2377</v>
      </c>
      <c r="B1246" t="s">
        <v>2455</v>
      </c>
      <c r="C1246">
        <v>2021</v>
      </c>
      <c r="E1246" t="s">
        <v>2982</v>
      </c>
      <c r="F1246" t="s">
        <v>9180</v>
      </c>
      <c r="G1246" t="s">
        <v>3990</v>
      </c>
    </row>
    <row r="1247" spans="1:7" x14ac:dyDescent="0.25">
      <c r="A1247" t="s">
        <v>160</v>
      </c>
      <c r="B1247" t="s">
        <v>2459</v>
      </c>
      <c r="C1247">
        <v>2011</v>
      </c>
      <c r="E1247" t="s">
        <v>3409</v>
      </c>
      <c r="F1247" t="s">
        <v>9288</v>
      </c>
      <c r="G1247" t="s">
        <v>3990</v>
      </c>
    </row>
    <row r="1248" spans="1:7" x14ac:dyDescent="0.25">
      <c r="A1248" t="s">
        <v>759</v>
      </c>
      <c r="B1248" t="s">
        <v>8317</v>
      </c>
      <c r="C1248">
        <v>2018</v>
      </c>
      <c r="E1248" s="10" t="s">
        <v>8327</v>
      </c>
      <c r="F1248" t="s">
        <v>10025</v>
      </c>
      <c r="G1248" t="s">
        <v>187</v>
      </c>
    </row>
    <row r="1249" spans="1:7" x14ac:dyDescent="0.25">
      <c r="A1249" t="s">
        <v>1443</v>
      </c>
      <c r="B1249" t="s">
        <v>8317</v>
      </c>
      <c r="C1249">
        <v>2018</v>
      </c>
      <c r="E1249" s="10" t="s">
        <v>8327</v>
      </c>
      <c r="F1249" t="s">
        <v>10025</v>
      </c>
      <c r="G1249" t="s">
        <v>187</v>
      </c>
    </row>
    <row r="1250" spans="1:7" x14ac:dyDescent="0.25">
      <c r="A1250" t="s">
        <v>90</v>
      </c>
      <c r="B1250" t="s">
        <v>8317</v>
      </c>
      <c r="C1250">
        <v>2017</v>
      </c>
      <c r="E1250" s="10" t="s">
        <v>8327</v>
      </c>
      <c r="F1250" t="s">
        <v>10025</v>
      </c>
      <c r="G1250" t="s">
        <v>187</v>
      </c>
    </row>
    <row r="1251" spans="1:7" x14ac:dyDescent="0.25">
      <c r="A1251" t="s">
        <v>185</v>
      </c>
      <c r="B1251" t="s">
        <v>2463</v>
      </c>
      <c r="C1251">
        <v>2022</v>
      </c>
      <c r="E1251" s="10" t="s">
        <v>2466</v>
      </c>
      <c r="F1251" t="s">
        <v>8446</v>
      </c>
      <c r="G1251" t="s">
        <v>3990</v>
      </c>
    </row>
    <row r="1252" spans="1:7" x14ac:dyDescent="0.25">
      <c r="A1252" t="s">
        <v>457</v>
      </c>
      <c r="B1252" t="s">
        <v>2463</v>
      </c>
      <c r="C1252">
        <v>2022</v>
      </c>
      <c r="E1252" s="10" t="s">
        <v>2466</v>
      </c>
      <c r="F1252" t="s">
        <v>8530</v>
      </c>
      <c r="G1252" t="s">
        <v>3990</v>
      </c>
    </row>
    <row r="1253" spans="1:7" x14ac:dyDescent="0.25">
      <c r="A1253" t="s">
        <v>497</v>
      </c>
      <c r="B1253" t="s">
        <v>2463</v>
      </c>
      <c r="C1253">
        <v>2022</v>
      </c>
      <c r="E1253" s="10" t="s">
        <v>2466</v>
      </c>
      <c r="F1253" t="s">
        <v>8552</v>
      </c>
      <c r="G1253" t="s">
        <v>3990</v>
      </c>
    </row>
    <row r="1254" spans="1:7" x14ac:dyDescent="0.25">
      <c r="A1254" t="s">
        <v>1843</v>
      </c>
      <c r="B1254" t="s">
        <v>2463</v>
      </c>
      <c r="C1254">
        <v>2019</v>
      </c>
      <c r="E1254" s="10" t="s">
        <v>2466</v>
      </c>
      <c r="F1254" t="s">
        <v>8946</v>
      </c>
      <c r="G1254" t="s">
        <v>3990</v>
      </c>
    </row>
    <row r="1255" spans="1:7" x14ac:dyDescent="0.25">
      <c r="A1255" t="s">
        <v>2192</v>
      </c>
      <c r="B1255" t="s">
        <v>2463</v>
      </c>
      <c r="C1255">
        <v>2022</v>
      </c>
      <c r="E1255" s="10" t="s">
        <v>2466</v>
      </c>
      <c r="F1255" t="s">
        <v>9051</v>
      </c>
      <c r="G1255" t="s">
        <v>3990</v>
      </c>
    </row>
    <row r="1256" spans="1:7" x14ac:dyDescent="0.25">
      <c r="A1256" t="s">
        <v>8360</v>
      </c>
      <c r="B1256" t="s">
        <v>2463</v>
      </c>
      <c r="C1256">
        <v>2022</v>
      </c>
      <c r="E1256" s="10" t="s">
        <v>2466</v>
      </c>
      <c r="F1256" t="s">
        <v>9054</v>
      </c>
      <c r="G1256" t="s">
        <v>3990</v>
      </c>
    </row>
    <row r="1257" spans="1:7" x14ac:dyDescent="0.25">
      <c r="A1257" t="s">
        <v>2397</v>
      </c>
      <c r="B1257" t="s">
        <v>2463</v>
      </c>
      <c r="C1257">
        <v>2022</v>
      </c>
      <c r="E1257" s="10" t="s">
        <v>2466</v>
      </c>
      <c r="F1257" t="s">
        <v>9182</v>
      </c>
      <c r="G1257" t="s">
        <v>3990</v>
      </c>
    </row>
    <row r="1258" spans="1:7" x14ac:dyDescent="0.25">
      <c r="A1258" t="s">
        <v>2410</v>
      </c>
      <c r="B1258" t="s">
        <v>2463</v>
      </c>
      <c r="C1258">
        <v>2022</v>
      </c>
      <c r="E1258" s="10" t="s">
        <v>2466</v>
      </c>
      <c r="F1258" t="s">
        <v>9183</v>
      </c>
      <c r="G1258" t="s">
        <v>3990</v>
      </c>
    </row>
    <row r="1259" spans="1:7" x14ac:dyDescent="0.25">
      <c r="A1259" t="s">
        <v>2804</v>
      </c>
      <c r="B1259" t="s">
        <v>2463</v>
      </c>
      <c r="C1259">
        <v>2021</v>
      </c>
      <c r="E1259" s="10" t="s">
        <v>2466</v>
      </c>
      <c r="F1259" t="s">
        <v>9745</v>
      </c>
      <c r="G1259" t="s">
        <v>187</v>
      </c>
    </row>
    <row r="1260" spans="1:7" x14ac:dyDescent="0.25">
      <c r="A1260" t="s">
        <v>2828</v>
      </c>
      <c r="B1260" t="s">
        <v>2463</v>
      </c>
      <c r="C1260">
        <v>2022</v>
      </c>
      <c r="E1260" s="10" t="s">
        <v>2466</v>
      </c>
      <c r="F1260" t="s">
        <v>9351</v>
      </c>
      <c r="G1260" t="s">
        <v>3990</v>
      </c>
    </row>
    <row r="1261" spans="1:7" x14ac:dyDescent="0.25">
      <c r="A1261" t="s">
        <v>1294</v>
      </c>
      <c r="B1261" t="s">
        <v>9964</v>
      </c>
      <c r="C1261">
        <v>2019</v>
      </c>
      <c r="E1261" s="10" t="s">
        <v>9963</v>
      </c>
      <c r="F1261" t="s">
        <v>9968</v>
      </c>
      <c r="G1261" t="s">
        <v>3990</v>
      </c>
    </row>
    <row r="1262" spans="1:7" x14ac:dyDescent="0.25">
      <c r="A1262" t="s">
        <v>2095</v>
      </c>
      <c r="B1262" t="s">
        <v>9964</v>
      </c>
      <c r="C1262">
        <v>2023</v>
      </c>
      <c r="E1262" s="10" t="s">
        <v>9963</v>
      </c>
      <c r="F1262" t="s">
        <v>9969</v>
      </c>
      <c r="G1262" t="s">
        <v>3990</v>
      </c>
    </row>
    <row r="1263" spans="1:7" x14ac:dyDescent="0.25">
      <c r="A1263" t="s">
        <v>90</v>
      </c>
      <c r="B1263" t="s">
        <v>9964</v>
      </c>
      <c r="C1263">
        <v>2017</v>
      </c>
      <c r="E1263" s="10" t="s">
        <v>9963</v>
      </c>
      <c r="F1263" t="s">
        <v>9967</v>
      </c>
      <c r="G1263" t="s">
        <v>3990</v>
      </c>
    </row>
    <row r="1264" spans="1:7" x14ac:dyDescent="0.25">
      <c r="A1264" t="s">
        <v>1294</v>
      </c>
      <c r="B1264" t="s">
        <v>2467</v>
      </c>
      <c r="C1264">
        <v>2019</v>
      </c>
      <c r="E1264" s="10" t="s">
        <v>14042</v>
      </c>
      <c r="F1264" t="s">
        <v>9746</v>
      </c>
      <c r="G1264" t="s">
        <v>3990</v>
      </c>
    </row>
    <row r="1265" spans="1:7" x14ac:dyDescent="0.25">
      <c r="A1265" t="s">
        <v>90</v>
      </c>
      <c r="B1265" t="s">
        <v>2471</v>
      </c>
      <c r="C1265">
        <v>2017</v>
      </c>
      <c r="E1265" s="10" t="s">
        <v>3376</v>
      </c>
      <c r="F1265" t="s">
        <v>9150</v>
      </c>
      <c r="G1265" t="s">
        <v>3990</v>
      </c>
    </row>
    <row r="1266" spans="1:7" x14ac:dyDescent="0.25">
      <c r="A1266" t="s">
        <v>353</v>
      </c>
      <c r="B1266" t="s">
        <v>2475</v>
      </c>
      <c r="C1266">
        <v>2023</v>
      </c>
      <c r="E1266" t="s">
        <v>3049</v>
      </c>
      <c r="F1266" t="s">
        <v>8521</v>
      </c>
      <c r="G1266" t="s">
        <v>3990</v>
      </c>
    </row>
    <row r="1267" spans="1:7" x14ac:dyDescent="0.25">
      <c r="A1267" t="s">
        <v>1576</v>
      </c>
      <c r="B1267" t="s">
        <v>2475</v>
      </c>
      <c r="C1267">
        <v>2021</v>
      </c>
      <c r="E1267" t="s">
        <v>3049</v>
      </c>
      <c r="F1267" t="s">
        <v>8885</v>
      </c>
      <c r="G1267" t="s">
        <v>3990</v>
      </c>
    </row>
    <row r="1268" spans="1:7" x14ac:dyDescent="0.25">
      <c r="A1268" t="s">
        <v>1951</v>
      </c>
      <c r="B1268" t="s">
        <v>2475</v>
      </c>
      <c r="C1268">
        <v>2022</v>
      </c>
      <c r="E1268" t="s">
        <v>3049</v>
      </c>
      <c r="F1268" t="s">
        <v>8981</v>
      </c>
      <c r="G1268" t="s">
        <v>3990</v>
      </c>
    </row>
    <row r="1269" spans="1:7" x14ac:dyDescent="0.25">
      <c r="A1269" t="s">
        <v>497</v>
      </c>
      <c r="B1269" t="s">
        <v>8089</v>
      </c>
      <c r="C1269">
        <v>2022</v>
      </c>
      <c r="E1269" s="10" t="s">
        <v>8108</v>
      </c>
      <c r="F1269" t="s">
        <v>8432</v>
      </c>
      <c r="G1269" t="s">
        <v>3990</v>
      </c>
    </row>
    <row r="1270" spans="1:7" x14ac:dyDescent="0.25">
      <c r="A1270" t="s">
        <v>847</v>
      </c>
      <c r="B1270" t="s">
        <v>8089</v>
      </c>
      <c r="C1270">
        <v>1996</v>
      </c>
      <c r="E1270" s="10" t="s">
        <v>8108</v>
      </c>
      <c r="F1270" t="s">
        <v>8653</v>
      </c>
      <c r="G1270" t="s">
        <v>3990</v>
      </c>
    </row>
    <row r="1271" spans="1:7" x14ac:dyDescent="0.25">
      <c r="A1271" t="s">
        <v>2804</v>
      </c>
      <c r="B1271" t="s">
        <v>8089</v>
      </c>
      <c r="C1271">
        <v>2021</v>
      </c>
      <c r="E1271" s="10" t="s">
        <v>8108</v>
      </c>
      <c r="F1271" t="s">
        <v>9341</v>
      </c>
      <c r="G1271" t="s">
        <v>3990</v>
      </c>
    </row>
    <row r="1272" spans="1:7" x14ac:dyDescent="0.25">
      <c r="A1272" t="s">
        <v>256</v>
      </c>
      <c r="B1272" t="s">
        <v>2481</v>
      </c>
      <c r="C1272">
        <v>1994</v>
      </c>
      <c r="E1272" s="10" t="s">
        <v>2999</v>
      </c>
      <c r="F1272" t="s">
        <v>14041</v>
      </c>
      <c r="G1272" t="s">
        <v>3990</v>
      </c>
    </row>
    <row r="1273" spans="1:7" x14ac:dyDescent="0.25">
      <c r="A1273" t="s">
        <v>746</v>
      </c>
      <c r="B1273" t="s">
        <v>2481</v>
      </c>
      <c r="C1273">
        <v>2015</v>
      </c>
      <c r="E1273" s="10" t="s">
        <v>2999</v>
      </c>
      <c r="F1273" t="s">
        <v>14041</v>
      </c>
      <c r="G1273" t="s">
        <v>3990</v>
      </c>
    </row>
    <row r="1274" spans="1:7" x14ac:dyDescent="0.25">
      <c r="A1274" t="s">
        <v>847</v>
      </c>
      <c r="B1274" t="s">
        <v>2481</v>
      </c>
      <c r="C1274">
        <v>1996</v>
      </c>
      <c r="E1274" s="10" t="s">
        <v>2999</v>
      </c>
      <c r="F1274" t="s">
        <v>14041</v>
      </c>
      <c r="G1274" t="s">
        <v>3990</v>
      </c>
    </row>
    <row r="1275" spans="1:7" x14ac:dyDescent="0.25">
      <c r="A1275" t="s">
        <v>2428</v>
      </c>
      <c r="B1275" t="s">
        <v>2485</v>
      </c>
      <c r="C1275">
        <v>2008</v>
      </c>
      <c r="E1275" t="s">
        <v>3395</v>
      </c>
      <c r="F1275" t="s">
        <v>9747</v>
      </c>
      <c r="G1275" t="s">
        <v>187</v>
      </c>
    </row>
    <row r="1276" spans="1:7" x14ac:dyDescent="0.25">
      <c r="A1276" t="s">
        <v>1538</v>
      </c>
      <c r="B1276" t="s">
        <v>2489</v>
      </c>
      <c r="C1276">
        <v>1995</v>
      </c>
      <c r="E1276" t="s">
        <v>3255</v>
      </c>
      <c r="F1276" t="s">
        <v>8861</v>
      </c>
      <c r="G1276" t="s">
        <v>3990</v>
      </c>
    </row>
    <row r="1277" spans="1:7" x14ac:dyDescent="0.25">
      <c r="A1277" t="s">
        <v>1795</v>
      </c>
      <c r="B1277" t="s">
        <v>2489</v>
      </c>
      <c r="C1277">
        <v>1987</v>
      </c>
      <c r="E1277" t="s">
        <v>3255</v>
      </c>
      <c r="F1277" t="s">
        <v>8937</v>
      </c>
      <c r="G1277" t="s">
        <v>3990</v>
      </c>
    </row>
    <row r="1278" spans="1:7" x14ac:dyDescent="0.25">
      <c r="A1278" t="s">
        <v>1435</v>
      </c>
      <c r="B1278" t="s">
        <v>9902</v>
      </c>
      <c r="C1278">
        <v>2021</v>
      </c>
      <c r="E1278" s="10" t="s">
        <v>9901</v>
      </c>
      <c r="F1278" t="s">
        <v>9907</v>
      </c>
      <c r="G1278" t="s">
        <v>3990</v>
      </c>
    </row>
    <row r="1279" spans="1:7" x14ac:dyDescent="0.25">
      <c r="A1279" t="s">
        <v>90</v>
      </c>
      <c r="B1279" t="s">
        <v>9902</v>
      </c>
      <c r="C1279">
        <v>2017</v>
      </c>
      <c r="E1279" s="10" t="s">
        <v>9901</v>
      </c>
      <c r="F1279" t="s">
        <v>9906</v>
      </c>
      <c r="G1279" t="s">
        <v>3990</v>
      </c>
    </row>
    <row r="1280" spans="1:7" x14ac:dyDescent="0.25">
      <c r="A1280" t="s">
        <v>1855</v>
      </c>
      <c r="B1280" t="s">
        <v>2492</v>
      </c>
      <c r="C1280">
        <v>2015</v>
      </c>
      <c r="E1280" t="s">
        <v>2495</v>
      </c>
      <c r="F1280" t="s">
        <v>8967</v>
      </c>
      <c r="G1280" t="s">
        <v>3990</v>
      </c>
    </row>
    <row r="1281" spans="1:7" x14ac:dyDescent="0.25">
      <c r="A1281" t="s">
        <v>2428</v>
      </c>
      <c r="B1281" t="s">
        <v>2492</v>
      </c>
      <c r="C1281">
        <v>2008</v>
      </c>
      <c r="E1281" t="s">
        <v>3396</v>
      </c>
      <c r="F1281" t="s">
        <v>9212</v>
      </c>
      <c r="G1281" t="s">
        <v>3990</v>
      </c>
    </row>
    <row r="1282" spans="1:7" x14ac:dyDescent="0.25">
      <c r="A1282" t="s">
        <v>160</v>
      </c>
      <c r="B1282" t="s">
        <v>2492</v>
      </c>
      <c r="C1282">
        <v>2011</v>
      </c>
      <c r="E1282" t="s">
        <v>3396</v>
      </c>
      <c r="F1282" t="s">
        <v>9289</v>
      </c>
      <c r="G1282" t="s">
        <v>3990</v>
      </c>
    </row>
    <row r="1283" spans="1:7" x14ac:dyDescent="0.25">
      <c r="A1283" t="s">
        <v>1454</v>
      </c>
      <c r="B1283" t="s">
        <v>8402</v>
      </c>
      <c r="C1283">
        <v>2001</v>
      </c>
      <c r="E1283" s="10" t="s">
        <v>8401</v>
      </c>
      <c r="F1283" t="s">
        <v>14043</v>
      </c>
      <c r="G1283" t="s">
        <v>3990</v>
      </c>
    </row>
    <row r="1284" spans="1:7" x14ac:dyDescent="0.25">
      <c r="A1284" t="s">
        <v>1817</v>
      </c>
      <c r="B1284" t="s">
        <v>8402</v>
      </c>
      <c r="C1284">
        <v>2019</v>
      </c>
      <c r="E1284" t="s">
        <v>3293</v>
      </c>
      <c r="F1284" t="s">
        <v>8944</v>
      </c>
      <c r="G1284" t="s">
        <v>3990</v>
      </c>
    </row>
    <row r="1285" spans="1:7" x14ac:dyDescent="0.25">
      <c r="A1285" t="s">
        <v>2095</v>
      </c>
      <c r="B1285" t="s">
        <v>8402</v>
      </c>
      <c r="C1285">
        <v>2023</v>
      </c>
      <c r="E1285" s="10" t="s">
        <v>8401</v>
      </c>
      <c r="F1285" t="s">
        <v>14043</v>
      </c>
      <c r="G1285" t="s">
        <v>3990</v>
      </c>
    </row>
    <row r="1286" spans="1:7" x14ac:dyDescent="0.25">
      <c r="A1286" t="s">
        <v>2173</v>
      </c>
      <c r="B1286" t="s">
        <v>2498</v>
      </c>
      <c r="C1286">
        <v>2013</v>
      </c>
      <c r="E1286" t="s">
        <v>3334</v>
      </c>
      <c r="F1286" t="s">
        <v>9047</v>
      </c>
      <c r="G1286" t="s">
        <v>3990</v>
      </c>
    </row>
    <row r="1287" spans="1:7" x14ac:dyDescent="0.25">
      <c r="A1287" t="s">
        <v>914</v>
      </c>
      <c r="B1287" t="s">
        <v>2502</v>
      </c>
      <c r="C1287">
        <v>2013</v>
      </c>
      <c r="E1287" s="10" t="s">
        <v>8399</v>
      </c>
      <c r="F1287" t="s">
        <v>9748</v>
      </c>
      <c r="G1287" t="s">
        <v>187</v>
      </c>
    </row>
    <row r="1288" spans="1:7" x14ac:dyDescent="0.25">
      <c r="A1288" t="s">
        <v>1144</v>
      </c>
      <c r="B1288" t="s">
        <v>2502</v>
      </c>
      <c r="C1288">
        <v>2012</v>
      </c>
      <c r="E1288" t="s">
        <v>3198</v>
      </c>
      <c r="F1288" t="s">
        <v>9749</v>
      </c>
      <c r="G1288" t="s">
        <v>187</v>
      </c>
    </row>
    <row r="1289" spans="1:7" x14ac:dyDescent="0.25">
      <c r="A1289" t="s">
        <v>924</v>
      </c>
      <c r="B1289" t="s">
        <v>2506</v>
      </c>
      <c r="C1289">
        <v>2019</v>
      </c>
      <c r="E1289" t="s">
        <v>3150</v>
      </c>
      <c r="F1289" t="s">
        <v>8676</v>
      </c>
      <c r="G1289" t="s">
        <v>3990</v>
      </c>
    </row>
    <row r="1290" spans="1:7" x14ac:dyDescent="0.25">
      <c r="A1290" t="s">
        <v>90</v>
      </c>
      <c r="B1290" t="s">
        <v>2510</v>
      </c>
      <c r="C1290">
        <v>2017</v>
      </c>
      <c r="E1290" s="10" t="s">
        <v>8374</v>
      </c>
      <c r="F1290" t="s">
        <v>9151</v>
      </c>
      <c r="G1290" t="s">
        <v>3990</v>
      </c>
    </row>
    <row r="1291" spans="1:7" x14ac:dyDescent="0.25">
      <c r="A1291" t="s">
        <v>1004</v>
      </c>
      <c r="B1291" t="s">
        <v>2514</v>
      </c>
      <c r="C1291">
        <v>2006</v>
      </c>
      <c r="E1291" t="s">
        <v>3172</v>
      </c>
      <c r="F1291" t="s">
        <v>9750</v>
      </c>
      <c r="G1291" t="s">
        <v>187</v>
      </c>
    </row>
    <row r="1292" spans="1:7" x14ac:dyDescent="0.25">
      <c r="A1292" t="s">
        <v>1294</v>
      </c>
      <c r="B1292" t="s">
        <v>2514</v>
      </c>
      <c r="C1292">
        <v>2019</v>
      </c>
      <c r="E1292" t="s">
        <v>3172</v>
      </c>
      <c r="F1292" t="s">
        <v>9368</v>
      </c>
      <c r="G1292" t="s">
        <v>3990</v>
      </c>
    </row>
    <row r="1293" spans="1:7" x14ac:dyDescent="0.25">
      <c r="A1293" t="s">
        <v>1549</v>
      </c>
      <c r="B1293" t="s">
        <v>2514</v>
      </c>
      <c r="C1293">
        <v>2021</v>
      </c>
      <c r="E1293" t="s">
        <v>3172</v>
      </c>
      <c r="F1293" t="s">
        <v>9369</v>
      </c>
      <c r="G1293" t="s">
        <v>3990</v>
      </c>
    </row>
    <row r="1294" spans="1:7" x14ac:dyDescent="0.25">
      <c r="A1294" t="s">
        <v>1576</v>
      </c>
      <c r="B1294" t="s">
        <v>2522</v>
      </c>
      <c r="C1294">
        <v>2021</v>
      </c>
      <c r="E1294" t="s">
        <v>3264</v>
      </c>
      <c r="F1294" t="s">
        <v>8886</v>
      </c>
      <c r="G1294" t="s">
        <v>3990</v>
      </c>
    </row>
    <row r="1295" spans="1:7" x14ac:dyDescent="0.25">
      <c r="A1295" t="s">
        <v>2095</v>
      </c>
      <c r="B1295" t="s">
        <v>2524</v>
      </c>
      <c r="C1295">
        <v>2023</v>
      </c>
      <c r="E1295" t="s">
        <v>3308</v>
      </c>
      <c r="F1295" t="s">
        <v>8989</v>
      </c>
      <c r="G1295" t="s">
        <v>3990</v>
      </c>
    </row>
    <row r="1296" spans="1:7" x14ac:dyDescent="0.25">
      <c r="A1296" t="s">
        <v>2136</v>
      </c>
      <c r="B1296" t="s">
        <v>2524</v>
      </c>
      <c r="C1296">
        <v>2020</v>
      </c>
      <c r="E1296" t="s">
        <v>3308</v>
      </c>
      <c r="F1296" t="s">
        <v>9007</v>
      </c>
      <c r="G1296" t="s">
        <v>3990</v>
      </c>
    </row>
    <row r="1297" spans="1:7" x14ac:dyDescent="0.25">
      <c r="A1297" t="s">
        <v>2146</v>
      </c>
      <c r="B1297" t="s">
        <v>2524</v>
      </c>
      <c r="C1297">
        <v>2020</v>
      </c>
      <c r="E1297" t="s">
        <v>3308</v>
      </c>
      <c r="F1297" t="s">
        <v>9013</v>
      </c>
      <c r="G1297" t="s">
        <v>3990</v>
      </c>
    </row>
    <row r="1298" spans="1:7" x14ac:dyDescent="0.25">
      <c r="A1298" t="s">
        <v>2804</v>
      </c>
      <c r="B1298" t="s">
        <v>2526</v>
      </c>
      <c r="C1298">
        <v>2021</v>
      </c>
      <c r="E1298" t="s">
        <v>3426</v>
      </c>
      <c r="F1298" t="s">
        <v>9342</v>
      </c>
      <c r="G1298" t="s">
        <v>3990</v>
      </c>
    </row>
    <row r="1299" spans="1:7" x14ac:dyDescent="0.25">
      <c r="A1299" t="s">
        <v>1144</v>
      </c>
      <c r="B1299" t="s">
        <v>2530</v>
      </c>
      <c r="C1299">
        <v>2012</v>
      </c>
      <c r="E1299" t="s">
        <v>3213</v>
      </c>
      <c r="F1299" t="s">
        <v>8759</v>
      </c>
      <c r="G1299" t="s">
        <v>3990</v>
      </c>
    </row>
    <row r="1300" spans="1:7" x14ac:dyDescent="0.25">
      <c r="A1300" t="s">
        <v>2428</v>
      </c>
      <c r="B1300" t="s">
        <v>2530</v>
      </c>
      <c r="C1300">
        <v>2008</v>
      </c>
      <c r="E1300" t="s">
        <v>3213</v>
      </c>
      <c r="F1300" t="s">
        <v>9213</v>
      </c>
      <c r="G1300" t="s">
        <v>3990</v>
      </c>
    </row>
    <row r="1301" spans="1:7" x14ac:dyDescent="0.25">
      <c r="A1301" t="s">
        <v>160</v>
      </c>
      <c r="B1301" t="s">
        <v>2530</v>
      </c>
      <c r="C1301">
        <v>2011</v>
      </c>
      <c r="E1301" t="s">
        <v>3213</v>
      </c>
      <c r="F1301" t="s">
        <v>9290</v>
      </c>
      <c r="G1301" t="s">
        <v>3990</v>
      </c>
    </row>
    <row r="1302" spans="1:7" x14ac:dyDescent="0.25">
      <c r="A1302" t="s">
        <v>341</v>
      </c>
      <c r="B1302" t="s">
        <v>2537</v>
      </c>
      <c r="C1302">
        <v>1997</v>
      </c>
      <c r="E1302" t="s">
        <v>3010</v>
      </c>
      <c r="F1302" t="s">
        <v>8472</v>
      </c>
      <c r="G1302" t="s">
        <v>3990</v>
      </c>
    </row>
    <row r="1303" spans="1:7" x14ac:dyDescent="0.25">
      <c r="A1303" t="s">
        <v>1046</v>
      </c>
      <c r="B1303" t="s">
        <v>2537</v>
      </c>
      <c r="C1303">
        <v>2016</v>
      </c>
      <c r="E1303" t="s">
        <v>3010</v>
      </c>
      <c r="F1303" t="s">
        <v>8724</v>
      </c>
      <c r="G1303" t="s">
        <v>3990</v>
      </c>
    </row>
    <row r="1304" spans="1:7" x14ac:dyDescent="0.25">
      <c r="A1304" t="s">
        <v>2537</v>
      </c>
      <c r="B1304" t="s">
        <v>2540</v>
      </c>
      <c r="C1304">
        <v>2021</v>
      </c>
      <c r="D1304" t="s">
        <v>187</v>
      </c>
      <c r="F1304" t="s">
        <v>9751</v>
      </c>
      <c r="G1304" t="s">
        <v>3990</v>
      </c>
    </row>
    <row r="1305" spans="1:7" x14ac:dyDescent="0.25">
      <c r="A1305" t="s">
        <v>847</v>
      </c>
      <c r="B1305" t="s">
        <v>2543</v>
      </c>
      <c r="C1305">
        <v>1996</v>
      </c>
      <c r="E1305" t="s">
        <v>3137</v>
      </c>
      <c r="F1305" t="s">
        <v>8654</v>
      </c>
      <c r="G1305" t="s">
        <v>3990</v>
      </c>
    </row>
    <row r="1306" spans="1:7" x14ac:dyDescent="0.25">
      <c r="A1306" t="s">
        <v>1795</v>
      </c>
      <c r="B1306" t="s">
        <v>2543</v>
      </c>
      <c r="C1306">
        <v>1987</v>
      </c>
      <c r="E1306" t="s">
        <v>3286</v>
      </c>
      <c r="F1306" t="s">
        <v>8938</v>
      </c>
      <c r="G1306" t="s">
        <v>3990</v>
      </c>
    </row>
    <row r="1307" spans="1:7" x14ac:dyDescent="0.25">
      <c r="A1307" t="s">
        <v>2154</v>
      </c>
      <c r="B1307" t="s">
        <v>2543</v>
      </c>
      <c r="C1307">
        <v>1980</v>
      </c>
      <c r="E1307" t="s">
        <v>3286</v>
      </c>
      <c r="F1307" t="s">
        <v>9031</v>
      </c>
      <c r="G1307" t="s">
        <v>3990</v>
      </c>
    </row>
    <row r="1308" spans="1:7" x14ac:dyDescent="0.25">
      <c r="A1308" t="s">
        <v>1443</v>
      </c>
      <c r="B1308" t="s">
        <v>2546</v>
      </c>
      <c r="C1308">
        <v>2018</v>
      </c>
      <c r="E1308" t="s">
        <v>2982</v>
      </c>
      <c r="F1308" t="s">
        <v>8853</v>
      </c>
      <c r="G1308" t="s">
        <v>3990</v>
      </c>
    </row>
    <row r="1309" spans="1:7" x14ac:dyDescent="0.25">
      <c r="A1309" t="s">
        <v>1294</v>
      </c>
      <c r="B1309" t="s">
        <v>2550</v>
      </c>
      <c r="C1309">
        <v>2019</v>
      </c>
      <c r="E1309" t="s">
        <v>3234</v>
      </c>
      <c r="F1309" t="s">
        <v>8807</v>
      </c>
      <c r="G1309" t="s">
        <v>3990</v>
      </c>
    </row>
    <row r="1310" spans="1:7" x14ac:dyDescent="0.25">
      <c r="A1310" t="s">
        <v>2556</v>
      </c>
      <c r="B1310" t="s">
        <v>2554</v>
      </c>
      <c r="C1310">
        <v>2018</v>
      </c>
      <c r="D1310" t="s">
        <v>187</v>
      </c>
      <c r="F1310" t="s">
        <v>9752</v>
      </c>
      <c r="G1310" t="s">
        <v>3990</v>
      </c>
    </row>
    <row r="1311" spans="1:7" x14ac:dyDescent="0.25">
      <c r="A1311" t="s">
        <v>2132</v>
      </c>
      <c r="B1311" t="s">
        <v>2556</v>
      </c>
      <c r="C1311">
        <v>2013</v>
      </c>
      <c r="E1311" t="s">
        <v>3311</v>
      </c>
      <c r="F1311" t="s">
        <v>8996</v>
      </c>
      <c r="G1311" t="s">
        <v>3990</v>
      </c>
    </row>
    <row r="1312" spans="1:7" x14ac:dyDescent="0.25">
      <c r="A1312" t="s">
        <v>350</v>
      </c>
      <c r="B1312" t="s">
        <v>2560</v>
      </c>
      <c r="C1312">
        <v>2018</v>
      </c>
      <c r="E1312" t="s">
        <v>2982</v>
      </c>
      <c r="F1312" t="s">
        <v>8485</v>
      </c>
      <c r="G1312" t="s">
        <v>3990</v>
      </c>
    </row>
    <row r="1313" spans="1:7" x14ac:dyDescent="0.25">
      <c r="A1313" t="s">
        <v>353</v>
      </c>
      <c r="B1313" t="s">
        <v>2560</v>
      </c>
      <c r="C1313">
        <v>2023</v>
      </c>
      <c r="E1313" s="10" t="s">
        <v>9830</v>
      </c>
      <c r="F1313" t="s">
        <v>10026</v>
      </c>
      <c r="G1313" t="s">
        <v>187</v>
      </c>
    </row>
    <row r="1314" spans="1:7" x14ac:dyDescent="0.25">
      <c r="A1314" t="s">
        <v>9829</v>
      </c>
      <c r="B1314" t="s">
        <v>2560</v>
      </c>
      <c r="C1314">
        <v>2025</v>
      </c>
      <c r="E1314" s="10" t="s">
        <v>9830</v>
      </c>
      <c r="F1314" t="s">
        <v>10026</v>
      </c>
      <c r="G1314" t="s">
        <v>187</v>
      </c>
    </row>
    <row r="1315" spans="1:7" x14ac:dyDescent="0.25">
      <c r="A1315" t="s">
        <v>1298</v>
      </c>
      <c r="B1315" t="s">
        <v>2560</v>
      </c>
      <c r="C1315">
        <v>2024</v>
      </c>
      <c r="E1315" s="10" t="s">
        <v>9830</v>
      </c>
      <c r="F1315" t="s">
        <v>10026</v>
      </c>
      <c r="G1315" t="s">
        <v>187</v>
      </c>
    </row>
    <row r="1316" spans="1:7" x14ac:dyDescent="0.25">
      <c r="A1316" t="s">
        <v>90</v>
      </c>
      <c r="B1316" t="s">
        <v>2560</v>
      </c>
      <c r="C1316">
        <v>2017</v>
      </c>
      <c r="E1316" t="s">
        <v>3377</v>
      </c>
      <c r="F1316" t="s">
        <v>9152</v>
      </c>
      <c r="G1316" t="s">
        <v>3990</v>
      </c>
    </row>
    <row r="1317" spans="1:7" x14ac:dyDescent="0.25">
      <c r="A1317" t="s">
        <v>90</v>
      </c>
      <c r="B1317" t="s">
        <v>2563</v>
      </c>
      <c r="C1317">
        <v>2017</v>
      </c>
      <c r="E1317" t="s">
        <v>3378</v>
      </c>
      <c r="F1317" t="s">
        <v>9153</v>
      </c>
      <c r="G1317" t="s">
        <v>3990</v>
      </c>
    </row>
    <row r="1318" spans="1:7" x14ac:dyDescent="0.25">
      <c r="A1318" t="s">
        <v>2073</v>
      </c>
      <c r="B1318" t="s">
        <v>2567</v>
      </c>
      <c r="C1318">
        <v>2010</v>
      </c>
      <c r="E1318" t="s">
        <v>2982</v>
      </c>
      <c r="F1318" t="s">
        <v>8986</v>
      </c>
      <c r="G1318" t="s">
        <v>3990</v>
      </c>
    </row>
    <row r="1319" spans="1:7" x14ac:dyDescent="0.25">
      <c r="A1319" t="s">
        <v>160</v>
      </c>
      <c r="B1319" t="s">
        <v>2567</v>
      </c>
      <c r="C1319">
        <v>2011</v>
      </c>
      <c r="E1319" t="s">
        <v>2982</v>
      </c>
      <c r="F1319" t="s">
        <v>9291</v>
      </c>
      <c r="G1319" t="s">
        <v>3990</v>
      </c>
    </row>
    <row r="1320" spans="1:7" x14ac:dyDescent="0.25">
      <c r="A1320" t="s">
        <v>2804</v>
      </c>
      <c r="B1320" t="s">
        <v>2567</v>
      </c>
      <c r="C1320">
        <v>2021</v>
      </c>
      <c r="E1320" s="10" t="s">
        <v>8440</v>
      </c>
      <c r="F1320" t="s">
        <v>8441</v>
      </c>
      <c r="G1320" t="s">
        <v>3990</v>
      </c>
    </row>
    <row r="1321" spans="1:7" x14ac:dyDescent="0.25">
      <c r="A1321" t="s">
        <v>2947</v>
      </c>
      <c r="B1321" t="s">
        <v>2571</v>
      </c>
      <c r="C1321">
        <v>1994</v>
      </c>
      <c r="E1321" t="s">
        <v>3434</v>
      </c>
      <c r="F1321" t="s">
        <v>9361</v>
      </c>
      <c r="G1321" t="s">
        <v>3990</v>
      </c>
    </row>
    <row r="1322" spans="1:7" x14ac:dyDescent="0.25">
      <c r="A1322" t="s">
        <v>90</v>
      </c>
      <c r="B1322" t="s">
        <v>2575</v>
      </c>
      <c r="C1322">
        <v>2017</v>
      </c>
      <c r="E1322" t="s">
        <v>3379</v>
      </c>
      <c r="F1322" t="s">
        <v>9154</v>
      </c>
      <c r="G1322" t="s">
        <v>3990</v>
      </c>
    </row>
    <row r="1323" spans="1:7" x14ac:dyDescent="0.25">
      <c r="A1323" t="s">
        <v>984</v>
      </c>
      <c r="B1323" t="s">
        <v>2578</v>
      </c>
      <c r="C1323">
        <v>2010</v>
      </c>
      <c r="E1323" t="s">
        <v>3167</v>
      </c>
      <c r="F1323" t="s">
        <v>8693</v>
      </c>
      <c r="G1323" t="s">
        <v>3990</v>
      </c>
    </row>
    <row r="1324" spans="1:7" x14ac:dyDescent="0.25">
      <c r="A1324" t="s">
        <v>1761</v>
      </c>
      <c r="B1324" t="s">
        <v>2578</v>
      </c>
      <c r="C1324">
        <v>1995</v>
      </c>
      <c r="E1324" t="s">
        <v>3272</v>
      </c>
      <c r="F1324" t="s">
        <v>8914</v>
      </c>
      <c r="G1324" t="s">
        <v>3990</v>
      </c>
    </row>
    <row r="1325" spans="1:7" x14ac:dyDescent="0.25">
      <c r="A1325" t="s">
        <v>2571</v>
      </c>
      <c r="B1325" t="s">
        <v>2578</v>
      </c>
      <c r="C1325">
        <v>1998</v>
      </c>
      <c r="E1325" t="s">
        <v>3167</v>
      </c>
      <c r="F1325" t="s">
        <v>9235</v>
      </c>
      <c r="G1325" t="s">
        <v>3990</v>
      </c>
    </row>
    <row r="1326" spans="1:7" x14ac:dyDescent="0.25">
      <c r="A1326" t="s">
        <v>341</v>
      </c>
      <c r="B1326" t="s">
        <v>2587</v>
      </c>
      <c r="C1326">
        <v>1997</v>
      </c>
      <c r="D1326" t="s">
        <v>187</v>
      </c>
      <c r="F1326" t="s">
        <v>9753</v>
      </c>
      <c r="G1326" t="s">
        <v>3990</v>
      </c>
    </row>
    <row r="1327" spans="1:7" x14ac:dyDescent="0.25">
      <c r="A1327" t="s">
        <v>1294</v>
      </c>
      <c r="B1327" t="s">
        <v>2590</v>
      </c>
      <c r="C1327">
        <v>2019</v>
      </c>
      <c r="E1327" t="s">
        <v>3235</v>
      </c>
      <c r="F1327" t="s">
        <v>8808</v>
      </c>
      <c r="G1327" t="s">
        <v>3990</v>
      </c>
    </row>
    <row r="1328" spans="1:7" x14ac:dyDescent="0.25">
      <c r="A1328" t="s">
        <v>90</v>
      </c>
      <c r="B1328" t="s">
        <v>2590</v>
      </c>
      <c r="C1328">
        <v>2017</v>
      </c>
      <c r="E1328" s="10" t="s">
        <v>3235</v>
      </c>
      <c r="F1328" t="s">
        <v>9382</v>
      </c>
      <c r="G1328" t="s">
        <v>3990</v>
      </c>
    </row>
    <row r="1329" spans="1:7" x14ac:dyDescent="0.25">
      <c r="A1329" t="s">
        <v>160</v>
      </c>
      <c r="B1329" t="s">
        <v>2590</v>
      </c>
      <c r="C1329">
        <v>2011</v>
      </c>
      <c r="E1329" s="10" t="s">
        <v>9384</v>
      </c>
      <c r="F1329" t="s">
        <v>9383</v>
      </c>
      <c r="G1329" t="s">
        <v>3990</v>
      </c>
    </row>
    <row r="1330" spans="1:7" x14ac:dyDescent="0.25">
      <c r="A1330" t="s">
        <v>924</v>
      </c>
      <c r="B1330" t="s">
        <v>2594</v>
      </c>
      <c r="C1330">
        <v>2019</v>
      </c>
      <c r="E1330" t="s">
        <v>3151</v>
      </c>
      <c r="F1330" t="s">
        <v>8677</v>
      </c>
      <c r="G1330" t="s">
        <v>3990</v>
      </c>
    </row>
    <row r="1331" spans="1:7" x14ac:dyDescent="0.25">
      <c r="A1331" t="s">
        <v>2136</v>
      </c>
      <c r="B1331" t="s">
        <v>2596</v>
      </c>
      <c r="C1331">
        <v>2020</v>
      </c>
      <c r="E1331" s="10" t="s">
        <v>3314</v>
      </c>
      <c r="F1331" t="s">
        <v>9754</v>
      </c>
      <c r="G1331" t="s">
        <v>3990</v>
      </c>
    </row>
    <row r="1332" spans="1:7" x14ac:dyDescent="0.25">
      <c r="A1332" t="s">
        <v>574</v>
      </c>
      <c r="B1332" t="s">
        <v>2599</v>
      </c>
      <c r="C1332">
        <v>2019</v>
      </c>
      <c r="E1332" t="s">
        <v>3078</v>
      </c>
      <c r="F1332" t="s">
        <v>8562</v>
      </c>
      <c r="G1332" t="s">
        <v>3990</v>
      </c>
    </row>
    <row r="1333" spans="1:7" x14ac:dyDescent="0.25">
      <c r="A1333" t="s">
        <v>759</v>
      </c>
      <c r="B1333" t="s">
        <v>2599</v>
      </c>
      <c r="C1333">
        <v>2018</v>
      </c>
      <c r="E1333" t="s">
        <v>3078</v>
      </c>
      <c r="F1333" t="s">
        <v>8620</v>
      </c>
      <c r="G1333" t="s">
        <v>3990</v>
      </c>
    </row>
    <row r="1334" spans="1:7" x14ac:dyDescent="0.25">
      <c r="A1334" t="s">
        <v>1294</v>
      </c>
      <c r="B1334" t="s">
        <v>2599</v>
      </c>
      <c r="C1334">
        <v>2019</v>
      </c>
      <c r="E1334" t="s">
        <v>3236</v>
      </c>
      <c r="F1334" t="s">
        <v>8809</v>
      </c>
      <c r="G1334" t="s">
        <v>3990</v>
      </c>
    </row>
    <row r="1335" spans="1:7" x14ac:dyDescent="0.25">
      <c r="A1335" t="s">
        <v>2804</v>
      </c>
      <c r="B1335" t="s">
        <v>2603</v>
      </c>
      <c r="C1335">
        <v>2021</v>
      </c>
      <c r="E1335" t="s">
        <v>3013</v>
      </c>
      <c r="F1335" t="s">
        <v>9755</v>
      </c>
      <c r="G1335" t="s">
        <v>187</v>
      </c>
    </row>
    <row r="1336" spans="1:7" x14ac:dyDescent="0.25">
      <c r="A1336" t="s">
        <v>1144</v>
      </c>
      <c r="B1336" t="s">
        <v>2605</v>
      </c>
      <c r="C1336">
        <v>2012</v>
      </c>
      <c r="E1336" t="s">
        <v>2982</v>
      </c>
      <c r="F1336" t="s">
        <v>8760</v>
      </c>
      <c r="G1336" t="s">
        <v>3990</v>
      </c>
    </row>
    <row r="1337" spans="1:7" x14ac:dyDescent="0.25">
      <c r="A1337" t="s">
        <v>2804</v>
      </c>
      <c r="B1337" t="s">
        <v>2609</v>
      </c>
      <c r="C1337">
        <v>2021</v>
      </c>
      <c r="E1337" t="s">
        <v>3427</v>
      </c>
      <c r="F1337" t="s">
        <v>9756</v>
      </c>
      <c r="G1337" t="s">
        <v>187</v>
      </c>
    </row>
    <row r="1338" spans="1:7" x14ac:dyDescent="0.25">
      <c r="A1338" t="s">
        <v>2136</v>
      </c>
      <c r="B1338" t="s">
        <v>2612</v>
      </c>
      <c r="C1338">
        <v>2020</v>
      </c>
      <c r="E1338" t="s">
        <v>3315</v>
      </c>
      <c r="F1338" t="s">
        <v>9757</v>
      </c>
      <c r="G1338" t="s">
        <v>187</v>
      </c>
    </row>
    <row r="1339" spans="1:7" x14ac:dyDescent="0.25">
      <c r="A1339" t="s">
        <v>924</v>
      </c>
      <c r="B1339" t="s">
        <v>2614</v>
      </c>
      <c r="C1339">
        <v>2019</v>
      </c>
      <c r="E1339" t="s">
        <v>3152</v>
      </c>
      <c r="F1339" t="s">
        <v>9758</v>
      </c>
      <c r="G1339" t="s">
        <v>187</v>
      </c>
    </row>
    <row r="1340" spans="1:7" x14ac:dyDescent="0.25">
      <c r="A1340" t="s">
        <v>2594</v>
      </c>
      <c r="B1340" t="s">
        <v>2614</v>
      </c>
      <c r="C1340">
        <v>2019</v>
      </c>
      <c r="E1340" t="s">
        <v>3152</v>
      </c>
      <c r="F1340" t="s">
        <v>9241</v>
      </c>
      <c r="G1340" t="s">
        <v>3990</v>
      </c>
    </row>
    <row r="1341" spans="1:7" x14ac:dyDescent="0.25">
      <c r="A1341" t="s">
        <v>836</v>
      </c>
      <c r="B1341" t="s">
        <v>160</v>
      </c>
      <c r="C1341">
        <v>2010</v>
      </c>
      <c r="E1341" t="s">
        <v>3129</v>
      </c>
      <c r="F1341" t="s">
        <v>10027</v>
      </c>
      <c r="G1341" t="s">
        <v>187</v>
      </c>
    </row>
    <row r="1342" spans="1:7" x14ac:dyDescent="0.25">
      <c r="A1342" t="s">
        <v>2428</v>
      </c>
      <c r="B1342" t="s">
        <v>160</v>
      </c>
      <c r="C1342">
        <v>2008</v>
      </c>
      <c r="E1342" t="s">
        <v>3129</v>
      </c>
      <c r="F1342" t="s">
        <v>10027</v>
      </c>
      <c r="G1342" t="s">
        <v>187</v>
      </c>
    </row>
    <row r="1343" spans="1:7" x14ac:dyDescent="0.25">
      <c r="A1343" t="s">
        <v>160</v>
      </c>
      <c r="B1343" t="s">
        <v>2619</v>
      </c>
      <c r="C1343">
        <v>2011</v>
      </c>
      <c r="D1343" t="s">
        <v>187</v>
      </c>
      <c r="F1343" t="s">
        <v>9759</v>
      </c>
      <c r="G1343" t="s">
        <v>3990</v>
      </c>
    </row>
    <row r="1344" spans="1:7" x14ac:dyDescent="0.25">
      <c r="A1344" t="s">
        <v>623</v>
      </c>
      <c r="B1344" t="s">
        <v>2623</v>
      </c>
      <c r="C1344">
        <v>2017</v>
      </c>
      <c r="E1344" t="s">
        <v>3080</v>
      </c>
      <c r="F1344" t="s">
        <v>8565</v>
      </c>
      <c r="G1344" t="s">
        <v>3990</v>
      </c>
    </row>
    <row r="1345" spans="1:7" x14ac:dyDescent="0.25">
      <c r="A1345" t="s">
        <v>994</v>
      </c>
      <c r="B1345" t="s">
        <v>2623</v>
      </c>
      <c r="C1345">
        <v>2011</v>
      </c>
      <c r="E1345" t="s">
        <v>3080</v>
      </c>
      <c r="F1345" t="s">
        <v>8696</v>
      </c>
      <c r="G1345" t="s">
        <v>3990</v>
      </c>
    </row>
    <row r="1346" spans="1:7" x14ac:dyDescent="0.25">
      <c r="A1346" t="s">
        <v>1004</v>
      </c>
      <c r="B1346" t="s">
        <v>2623</v>
      </c>
      <c r="C1346">
        <v>2006</v>
      </c>
      <c r="E1346" t="s">
        <v>3173</v>
      </c>
      <c r="F1346" t="s">
        <v>8700</v>
      </c>
      <c r="G1346" t="s">
        <v>3990</v>
      </c>
    </row>
    <row r="1347" spans="1:7" x14ac:dyDescent="0.25">
      <c r="A1347" t="s">
        <v>2154</v>
      </c>
      <c r="B1347" t="s">
        <v>2625</v>
      </c>
      <c r="C1347">
        <v>1980</v>
      </c>
      <c r="E1347" t="s">
        <v>3325</v>
      </c>
      <c r="F1347" t="s">
        <v>9032</v>
      </c>
      <c r="G1347" t="s">
        <v>3990</v>
      </c>
    </row>
    <row r="1348" spans="1:7" x14ac:dyDescent="0.25">
      <c r="A1348" t="s">
        <v>2721</v>
      </c>
      <c r="B1348" t="s">
        <v>2625</v>
      </c>
      <c r="C1348">
        <v>1993</v>
      </c>
      <c r="E1348" t="s">
        <v>3418</v>
      </c>
      <c r="F1348" t="s">
        <v>9760</v>
      </c>
      <c r="G1348" t="s">
        <v>187</v>
      </c>
    </row>
    <row r="1349" spans="1:7" x14ac:dyDescent="0.25">
      <c r="A1349" t="s">
        <v>914</v>
      </c>
      <c r="B1349" t="s">
        <v>2630</v>
      </c>
      <c r="C1349">
        <v>2013</v>
      </c>
      <c r="E1349" t="s">
        <v>3146</v>
      </c>
      <c r="F1349" t="s">
        <v>8670</v>
      </c>
      <c r="G1349" t="s">
        <v>3990</v>
      </c>
    </row>
    <row r="1350" spans="1:7" x14ac:dyDescent="0.25">
      <c r="A1350" t="s">
        <v>260</v>
      </c>
      <c r="B1350" t="s">
        <v>2634</v>
      </c>
      <c r="C1350">
        <v>1990</v>
      </c>
      <c r="E1350" t="s">
        <v>3004</v>
      </c>
      <c r="F1350" t="s">
        <v>8466</v>
      </c>
      <c r="G1350" t="s">
        <v>3990</v>
      </c>
    </row>
    <row r="1351" spans="1:7" x14ac:dyDescent="0.25">
      <c r="A1351" t="s">
        <v>1420</v>
      </c>
      <c r="B1351" t="s">
        <v>2634</v>
      </c>
      <c r="C1351">
        <v>2007</v>
      </c>
      <c r="E1351" t="s">
        <v>3004</v>
      </c>
      <c r="F1351" t="s">
        <v>8824</v>
      </c>
      <c r="G1351" t="s">
        <v>3990</v>
      </c>
    </row>
    <row r="1352" spans="1:7" x14ac:dyDescent="0.25">
      <c r="A1352" t="s">
        <v>2023</v>
      </c>
      <c r="B1352" t="s">
        <v>2634</v>
      </c>
      <c r="C1352">
        <v>2003</v>
      </c>
      <c r="E1352" t="s">
        <v>3004</v>
      </c>
      <c r="F1352" t="s">
        <v>9761</v>
      </c>
      <c r="G1352" t="s">
        <v>187</v>
      </c>
    </row>
    <row r="1353" spans="1:7" x14ac:dyDescent="0.25">
      <c r="A1353" t="s">
        <v>2943</v>
      </c>
      <c r="B1353" t="s">
        <v>2637</v>
      </c>
      <c r="C1353">
        <v>2010</v>
      </c>
      <c r="D1353" t="s">
        <v>187</v>
      </c>
      <c r="E1353" t="s">
        <v>3432</v>
      </c>
      <c r="F1353" t="s">
        <v>9762</v>
      </c>
      <c r="G1353" t="s">
        <v>3990</v>
      </c>
    </row>
    <row r="1354" spans="1:7" x14ac:dyDescent="0.25">
      <c r="A1354" t="s">
        <v>323</v>
      </c>
      <c r="B1354" t="s">
        <v>2643</v>
      </c>
      <c r="C1354">
        <v>2020</v>
      </c>
      <c r="E1354" t="s">
        <v>3007</v>
      </c>
      <c r="F1354" t="s">
        <v>8470</v>
      </c>
      <c r="G1354" t="s">
        <v>3990</v>
      </c>
    </row>
    <row r="1355" spans="1:7" x14ac:dyDescent="0.25">
      <c r="A1355" t="s">
        <v>90</v>
      </c>
      <c r="B1355" t="s">
        <v>2643</v>
      </c>
      <c r="C1355">
        <v>2017</v>
      </c>
      <c r="E1355" t="s">
        <v>3380</v>
      </c>
      <c r="F1355" t="s">
        <v>9155</v>
      </c>
      <c r="G1355" t="s">
        <v>3990</v>
      </c>
    </row>
    <row r="1356" spans="1:7" x14ac:dyDescent="0.25">
      <c r="A1356" t="s">
        <v>160</v>
      </c>
      <c r="B1356" t="s">
        <v>2645</v>
      </c>
      <c r="C1356">
        <v>2011</v>
      </c>
      <c r="E1356" t="s">
        <v>3410</v>
      </c>
      <c r="F1356" t="s">
        <v>9292</v>
      </c>
      <c r="G1356" t="s">
        <v>3990</v>
      </c>
    </row>
    <row r="1357" spans="1:7" x14ac:dyDescent="0.25">
      <c r="A1357" t="s">
        <v>2698</v>
      </c>
      <c r="B1357" t="s">
        <v>2645</v>
      </c>
      <c r="C1357">
        <v>2022</v>
      </c>
      <c r="E1357" t="s">
        <v>3410</v>
      </c>
      <c r="F1357" t="s">
        <v>9304</v>
      </c>
      <c r="G1357" t="s">
        <v>3990</v>
      </c>
    </row>
    <row r="1358" spans="1:7" x14ac:dyDescent="0.25">
      <c r="A1358" t="s">
        <v>383</v>
      </c>
      <c r="B1358" t="s">
        <v>2648</v>
      </c>
      <c r="C1358">
        <v>2017</v>
      </c>
      <c r="E1358" t="s">
        <v>3055</v>
      </c>
      <c r="F1358" t="s">
        <v>8529</v>
      </c>
      <c r="G1358" t="s">
        <v>3990</v>
      </c>
    </row>
    <row r="1359" spans="1:7" x14ac:dyDescent="0.25">
      <c r="A1359" t="s">
        <v>1443</v>
      </c>
      <c r="B1359" t="s">
        <v>2648</v>
      </c>
      <c r="C1359">
        <v>2018</v>
      </c>
      <c r="E1359" t="s">
        <v>3055</v>
      </c>
      <c r="F1359" t="s">
        <v>8854</v>
      </c>
      <c r="G1359" t="s">
        <v>3990</v>
      </c>
    </row>
    <row r="1360" spans="1:7" x14ac:dyDescent="0.25">
      <c r="A1360" t="s">
        <v>90</v>
      </c>
      <c r="B1360" t="s">
        <v>2648</v>
      </c>
      <c r="C1360">
        <v>2017</v>
      </c>
      <c r="E1360" t="s">
        <v>3055</v>
      </c>
      <c r="F1360" t="s">
        <v>9156</v>
      </c>
      <c r="G1360" t="s">
        <v>3990</v>
      </c>
    </row>
    <row r="1361" spans="1:7" x14ac:dyDescent="0.25">
      <c r="A1361" t="s">
        <v>2481</v>
      </c>
      <c r="B1361" t="s">
        <v>2648</v>
      </c>
      <c r="C1361">
        <v>2020</v>
      </c>
      <c r="E1361" s="10" t="s">
        <v>8368</v>
      </c>
      <c r="F1361" t="s">
        <v>9220</v>
      </c>
      <c r="G1361" t="s">
        <v>3990</v>
      </c>
    </row>
    <row r="1362" spans="1:7" x14ac:dyDescent="0.25">
      <c r="A1362" t="s">
        <v>160</v>
      </c>
      <c r="B1362" t="s">
        <v>2652</v>
      </c>
      <c r="C1362">
        <v>2011</v>
      </c>
      <c r="D1362" t="s">
        <v>187</v>
      </c>
      <c r="F1362" t="s">
        <v>9763</v>
      </c>
      <c r="G1362" t="s">
        <v>3990</v>
      </c>
    </row>
    <row r="1363" spans="1:7" x14ac:dyDescent="0.25">
      <c r="A1363" t="s">
        <v>353</v>
      </c>
      <c r="B1363" t="s">
        <v>7918</v>
      </c>
      <c r="C1363">
        <v>2023</v>
      </c>
      <c r="E1363" t="s">
        <v>2982</v>
      </c>
      <c r="F1363" t="s">
        <v>8522</v>
      </c>
      <c r="G1363" t="s">
        <v>3990</v>
      </c>
    </row>
    <row r="1364" spans="1:7" x14ac:dyDescent="0.25">
      <c r="A1364" t="s">
        <v>2804</v>
      </c>
      <c r="B1364" t="s">
        <v>8126</v>
      </c>
      <c r="C1364">
        <v>2021</v>
      </c>
      <c r="E1364" s="10" t="s">
        <v>8127</v>
      </c>
      <c r="F1364" t="s">
        <v>9343</v>
      </c>
      <c r="G1364" t="s">
        <v>3990</v>
      </c>
    </row>
    <row r="1365" spans="1:7" x14ac:dyDescent="0.25">
      <c r="A1365" t="s">
        <v>2721</v>
      </c>
      <c r="B1365" t="s">
        <v>2656</v>
      </c>
      <c r="C1365">
        <v>1993</v>
      </c>
      <c r="D1365" t="s">
        <v>187</v>
      </c>
      <c r="F1365" t="s">
        <v>9764</v>
      </c>
      <c r="G1365" t="s">
        <v>3990</v>
      </c>
    </row>
    <row r="1366" spans="1:7" x14ac:dyDescent="0.25">
      <c r="A1366" t="s">
        <v>1443</v>
      </c>
      <c r="B1366" t="s">
        <v>2659</v>
      </c>
      <c r="C1366">
        <v>2018</v>
      </c>
      <c r="E1366" t="s">
        <v>3251</v>
      </c>
      <c r="F1366" t="s">
        <v>9765</v>
      </c>
      <c r="G1366" t="s">
        <v>187</v>
      </c>
    </row>
    <row r="1367" spans="1:7" x14ac:dyDescent="0.25">
      <c r="A1367" t="s">
        <v>1947</v>
      </c>
      <c r="B1367" t="s">
        <v>2659</v>
      </c>
      <c r="C1367">
        <v>2021</v>
      </c>
      <c r="E1367" t="s">
        <v>3251</v>
      </c>
      <c r="F1367" t="s">
        <v>9766</v>
      </c>
      <c r="G1367" t="s">
        <v>187</v>
      </c>
    </row>
    <row r="1368" spans="1:7" x14ac:dyDescent="0.25">
      <c r="A1368" t="s">
        <v>2324</v>
      </c>
      <c r="B1368" t="s">
        <v>2659</v>
      </c>
      <c r="C1368">
        <v>2022</v>
      </c>
      <c r="E1368" t="s">
        <v>3251</v>
      </c>
      <c r="F1368" t="s">
        <v>9767</v>
      </c>
      <c r="G1368" t="s">
        <v>187</v>
      </c>
    </row>
    <row r="1369" spans="1:7" x14ac:dyDescent="0.25">
      <c r="A1369" t="s">
        <v>90</v>
      </c>
      <c r="B1369" t="s">
        <v>2659</v>
      </c>
      <c r="C1369">
        <v>2017</v>
      </c>
      <c r="E1369" t="s">
        <v>3251</v>
      </c>
      <c r="F1369" t="s">
        <v>9157</v>
      </c>
      <c r="G1369" t="s">
        <v>3990</v>
      </c>
    </row>
    <row r="1370" spans="1:7" x14ac:dyDescent="0.25">
      <c r="A1370" t="s">
        <v>759</v>
      </c>
      <c r="B1370" t="s">
        <v>2663</v>
      </c>
      <c r="C1370">
        <v>2018</v>
      </c>
      <c r="D1370" t="s">
        <v>187</v>
      </c>
      <c r="E1370" t="s">
        <v>3123</v>
      </c>
      <c r="F1370" t="s">
        <v>8621</v>
      </c>
      <c r="G1370" t="s">
        <v>3990</v>
      </c>
    </row>
    <row r="1371" spans="1:7" x14ac:dyDescent="0.25">
      <c r="A1371" t="s">
        <v>237</v>
      </c>
      <c r="B1371" t="s">
        <v>2667</v>
      </c>
      <c r="C1371">
        <v>2021</v>
      </c>
      <c r="E1371" t="s">
        <v>2985</v>
      </c>
      <c r="F1371" t="s">
        <v>8449</v>
      </c>
      <c r="G1371" t="s">
        <v>3990</v>
      </c>
    </row>
    <row r="1372" spans="1:7" x14ac:dyDescent="0.25">
      <c r="A1372" t="s">
        <v>353</v>
      </c>
      <c r="B1372" t="s">
        <v>2667</v>
      </c>
      <c r="C1372">
        <v>2023</v>
      </c>
      <c r="E1372" t="s">
        <v>2985</v>
      </c>
      <c r="F1372" t="s">
        <v>8523</v>
      </c>
      <c r="G1372" t="s">
        <v>3990</v>
      </c>
    </row>
    <row r="1373" spans="1:7" x14ac:dyDescent="0.25">
      <c r="A1373" t="s">
        <v>1435</v>
      </c>
      <c r="B1373" t="s">
        <v>2667</v>
      </c>
      <c r="C1373">
        <v>2021</v>
      </c>
      <c r="E1373" t="s">
        <v>2985</v>
      </c>
      <c r="F1373" t="s">
        <v>8836</v>
      </c>
      <c r="G1373" t="s">
        <v>3990</v>
      </c>
    </row>
    <row r="1374" spans="1:7" x14ac:dyDescent="0.25">
      <c r="A1374" t="s">
        <v>1690</v>
      </c>
      <c r="B1374" t="s">
        <v>2667</v>
      </c>
      <c r="C1374">
        <v>2020</v>
      </c>
      <c r="E1374" t="s">
        <v>2985</v>
      </c>
      <c r="F1374" t="s">
        <v>8901</v>
      </c>
      <c r="G1374" t="s">
        <v>3990</v>
      </c>
    </row>
    <row r="1375" spans="1:7" x14ac:dyDescent="0.25">
      <c r="A1375" t="s">
        <v>90</v>
      </c>
      <c r="B1375" t="s">
        <v>2667</v>
      </c>
      <c r="C1375">
        <v>2017</v>
      </c>
      <c r="E1375" t="s">
        <v>2985</v>
      </c>
      <c r="F1375" t="s">
        <v>9158</v>
      </c>
      <c r="G1375" t="s">
        <v>3990</v>
      </c>
    </row>
    <row r="1376" spans="1:7" x14ac:dyDescent="0.25">
      <c r="A1376" t="s">
        <v>778</v>
      </c>
      <c r="B1376" t="s">
        <v>2669</v>
      </c>
      <c r="C1376">
        <v>2023</v>
      </c>
      <c r="E1376" t="s">
        <v>3127</v>
      </c>
      <c r="F1376" t="s">
        <v>8628</v>
      </c>
      <c r="G1376" t="s">
        <v>3990</v>
      </c>
    </row>
    <row r="1377" spans="1:7" x14ac:dyDescent="0.25">
      <c r="A1377" t="s">
        <v>811</v>
      </c>
      <c r="B1377" t="s">
        <v>2669</v>
      </c>
      <c r="C1377">
        <v>2024</v>
      </c>
      <c r="E1377" t="s">
        <v>3127</v>
      </c>
      <c r="F1377" t="s">
        <v>8632</v>
      </c>
      <c r="G1377" t="s">
        <v>3990</v>
      </c>
    </row>
    <row r="1378" spans="1:7" x14ac:dyDescent="0.25">
      <c r="A1378" t="s">
        <v>2804</v>
      </c>
      <c r="B1378" t="s">
        <v>2669</v>
      </c>
      <c r="C1378">
        <v>2021</v>
      </c>
      <c r="E1378" t="s">
        <v>3013</v>
      </c>
      <c r="F1378" t="s">
        <v>9768</v>
      </c>
      <c r="G1378" t="s">
        <v>187</v>
      </c>
    </row>
    <row r="1379" spans="1:7" x14ac:dyDescent="0.25">
      <c r="A1379" t="s">
        <v>2196</v>
      </c>
      <c r="B1379" t="s">
        <v>2671</v>
      </c>
      <c r="C1379">
        <v>2021</v>
      </c>
      <c r="E1379" t="s">
        <v>3336</v>
      </c>
      <c r="F1379" t="s">
        <v>9769</v>
      </c>
      <c r="G1379" t="s">
        <v>187</v>
      </c>
    </row>
    <row r="1380" spans="1:7" x14ac:dyDescent="0.25">
      <c r="A1380" t="s">
        <v>90</v>
      </c>
      <c r="B1380" t="s">
        <v>2671</v>
      </c>
      <c r="C1380">
        <v>2017</v>
      </c>
      <c r="E1380" t="s">
        <v>2982</v>
      </c>
      <c r="F1380" t="s">
        <v>9159</v>
      </c>
      <c r="G1380" t="s">
        <v>3990</v>
      </c>
    </row>
    <row r="1381" spans="1:7" x14ac:dyDescent="0.25">
      <c r="A1381" t="s">
        <v>1046</v>
      </c>
      <c r="B1381" t="s">
        <v>2675</v>
      </c>
      <c r="C1381">
        <v>2016</v>
      </c>
      <c r="E1381" t="s">
        <v>3190</v>
      </c>
      <c r="F1381" t="s">
        <v>8725</v>
      </c>
      <c r="G1381" t="s">
        <v>3990</v>
      </c>
    </row>
    <row r="1382" spans="1:7" x14ac:dyDescent="0.25">
      <c r="A1382" t="s">
        <v>1294</v>
      </c>
      <c r="B1382" t="s">
        <v>2675</v>
      </c>
      <c r="C1382">
        <v>2019</v>
      </c>
      <c r="E1382" t="s">
        <v>3190</v>
      </c>
      <c r="F1382" t="s">
        <v>8810</v>
      </c>
      <c r="G1382" t="s">
        <v>3990</v>
      </c>
    </row>
    <row r="1383" spans="1:7" x14ac:dyDescent="0.25">
      <c r="A1383" t="s">
        <v>160</v>
      </c>
      <c r="B1383" t="s">
        <v>2679</v>
      </c>
      <c r="C1383">
        <v>2011</v>
      </c>
      <c r="E1383" t="s">
        <v>3411</v>
      </c>
      <c r="F1383" t="s">
        <v>9293</v>
      </c>
      <c r="G1383" t="s">
        <v>3990</v>
      </c>
    </row>
    <row r="1384" spans="1:7" x14ac:dyDescent="0.25">
      <c r="A1384" t="s">
        <v>2721</v>
      </c>
      <c r="B1384" t="s">
        <v>2681</v>
      </c>
      <c r="C1384">
        <v>1993</v>
      </c>
      <c r="E1384" t="s">
        <v>3419</v>
      </c>
      <c r="F1384" t="s">
        <v>9310</v>
      </c>
      <c r="G1384" t="s">
        <v>3990</v>
      </c>
    </row>
    <row r="1385" spans="1:7" x14ac:dyDescent="0.25">
      <c r="A1385" t="s">
        <v>353</v>
      </c>
      <c r="B1385" t="s">
        <v>2686</v>
      </c>
      <c r="C1385">
        <v>2023</v>
      </c>
      <c r="E1385" t="s">
        <v>3050</v>
      </c>
      <c r="F1385" t="s">
        <v>8524</v>
      </c>
      <c r="G1385" t="s">
        <v>3990</v>
      </c>
    </row>
    <row r="1386" spans="1:7" x14ac:dyDescent="0.25">
      <c r="A1386" t="s">
        <v>2318</v>
      </c>
      <c r="B1386" t="s">
        <v>2686</v>
      </c>
      <c r="C1386">
        <v>2023</v>
      </c>
      <c r="E1386" t="s">
        <v>2982</v>
      </c>
      <c r="F1386" t="s">
        <v>9057</v>
      </c>
      <c r="G1386" t="s">
        <v>3990</v>
      </c>
    </row>
    <row r="1387" spans="1:7" x14ac:dyDescent="0.25">
      <c r="A1387" t="s">
        <v>90</v>
      </c>
      <c r="B1387" t="s">
        <v>2686</v>
      </c>
      <c r="C1387">
        <v>2017</v>
      </c>
      <c r="E1387" t="s">
        <v>2982</v>
      </c>
      <c r="F1387" t="s">
        <v>9160</v>
      </c>
      <c r="G1387" t="s">
        <v>3990</v>
      </c>
    </row>
    <row r="1388" spans="1:7" x14ac:dyDescent="0.25">
      <c r="A1388" t="s">
        <v>2804</v>
      </c>
      <c r="B1388" t="s">
        <v>2688</v>
      </c>
      <c r="C1388">
        <v>2021</v>
      </c>
      <c r="E1388" t="s">
        <v>3428</v>
      </c>
      <c r="F1388" t="s">
        <v>9344</v>
      </c>
      <c r="G1388" t="s">
        <v>3990</v>
      </c>
    </row>
    <row r="1389" spans="1:7" x14ac:dyDescent="0.25">
      <c r="A1389" t="s">
        <v>2804</v>
      </c>
      <c r="B1389" t="s">
        <v>2691</v>
      </c>
      <c r="C1389">
        <v>2021</v>
      </c>
      <c r="E1389" t="s">
        <v>3013</v>
      </c>
      <c r="F1389" t="s">
        <v>9770</v>
      </c>
      <c r="G1389" t="s">
        <v>187</v>
      </c>
    </row>
    <row r="1390" spans="1:7" x14ac:dyDescent="0.25">
      <c r="A1390" t="s">
        <v>1817</v>
      </c>
      <c r="B1390" t="s">
        <v>7947</v>
      </c>
      <c r="C1390">
        <v>2019</v>
      </c>
      <c r="E1390" s="10" t="s">
        <v>7946</v>
      </c>
      <c r="F1390" t="s">
        <v>8945</v>
      </c>
      <c r="G1390" t="s">
        <v>3990</v>
      </c>
    </row>
    <row r="1391" spans="1:7" x14ac:dyDescent="0.25">
      <c r="A1391" t="s">
        <v>90</v>
      </c>
      <c r="B1391" t="s">
        <v>7947</v>
      </c>
      <c r="C1391">
        <v>2017</v>
      </c>
      <c r="E1391" s="10" t="s">
        <v>7946</v>
      </c>
      <c r="F1391" t="s">
        <v>9161</v>
      </c>
      <c r="G1391" t="s">
        <v>3990</v>
      </c>
    </row>
    <row r="1392" spans="1:7" x14ac:dyDescent="0.25">
      <c r="A1392" t="s">
        <v>209</v>
      </c>
      <c r="B1392" t="s">
        <v>2695</v>
      </c>
      <c r="C1392">
        <v>2024</v>
      </c>
      <c r="E1392" t="s">
        <v>2984</v>
      </c>
      <c r="F1392" t="s">
        <v>8448</v>
      </c>
      <c r="G1392" t="s">
        <v>3990</v>
      </c>
    </row>
    <row r="1393" spans="1:7" x14ac:dyDescent="0.25">
      <c r="A1393" t="s">
        <v>344</v>
      </c>
      <c r="B1393" t="s">
        <v>2695</v>
      </c>
      <c r="C1393">
        <v>2023</v>
      </c>
      <c r="E1393" t="s">
        <v>2984</v>
      </c>
      <c r="F1393" t="s">
        <v>8478</v>
      </c>
      <c r="G1393" t="s">
        <v>3990</v>
      </c>
    </row>
    <row r="1394" spans="1:7" x14ac:dyDescent="0.25">
      <c r="A1394" t="s">
        <v>2506</v>
      </c>
      <c r="B1394" t="s">
        <v>2695</v>
      </c>
      <c r="C1394">
        <v>2021</v>
      </c>
      <c r="E1394" t="s">
        <v>2984</v>
      </c>
      <c r="F1394" t="s">
        <v>9230</v>
      </c>
      <c r="G1394" t="s">
        <v>3990</v>
      </c>
    </row>
    <row r="1395" spans="1:7" x14ac:dyDescent="0.25">
      <c r="A1395" t="s">
        <v>2594</v>
      </c>
      <c r="B1395" t="s">
        <v>2695</v>
      </c>
      <c r="C1395">
        <v>2019</v>
      </c>
      <c r="E1395" t="s">
        <v>2984</v>
      </c>
      <c r="F1395" t="s">
        <v>9242</v>
      </c>
      <c r="G1395" t="s">
        <v>3990</v>
      </c>
    </row>
    <row r="1396" spans="1:7" x14ac:dyDescent="0.25">
      <c r="A1396" t="s">
        <v>847</v>
      </c>
      <c r="B1396" t="s">
        <v>2698</v>
      </c>
      <c r="C1396">
        <v>1996</v>
      </c>
      <c r="E1396" s="10" t="s">
        <v>9367</v>
      </c>
      <c r="F1396" t="s">
        <v>10028</v>
      </c>
      <c r="G1396" t="s">
        <v>3990</v>
      </c>
    </row>
    <row r="1397" spans="1:7" x14ac:dyDescent="0.25">
      <c r="A1397" t="s">
        <v>1046</v>
      </c>
      <c r="B1397" t="s">
        <v>2698</v>
      </c>
      <c r="C1397">
        <v>2016</v>
      </c>
      <c r="E1397" t="s">
        <v>3191</v>
      </c>
      <c r="F1397" t="s">
        <v>10028</v>
      </c>
      <c r="G1397" t="s">
        <v>3990</v>
      </c>
    </row>
    <row r="1398" spans="1:7" x14ac:dyDescent="0.25">
      <c r="A1398" t="s">
        <v>1294</v>
      </c>
      <c r="B1398" t="s">
        <v>2698</v>
      </c>
      <c r="C1398">
        <v>2019</v>
      </c>
      <c r="E1398" t="s">
        <v>3191</v>
      </c>
      <c r="F1398" t="s">
        <v>8811</v>
      </c>
      <c r="G1398" t="s">
        <v>3990</v>
      </c>
    </row>
    <row r="1399" spans="1:7" x14ac:dyDescent="0.25">
      <c r="A1399" t="s">
        <v>1855</v>
      </c>
      <c r="B1399" t="s">
        <v>2698</v>
      </c>
      <c r="C1399">
        <v>2015</v>
      </c>
      <c r="E1399" t="s">
        <v>3191</v>
      </c>
      <c r="F1399" t="s">
        <v>10028</v>
      </c>
      <c r="G1399" t="s">
        <v>3990</v>
      </c>
    </row>
    <row r="1400" spans="1:7" x14ac:dyDescent="0.25">
      <c r="A1400" t="s">
        <v>2099</v>
      </c>
      <c r="B1400" t="s">
        <v>2698</v>
      </c>
      <c r="C1400">
        <v>2021</v>
      </c>
      <c r="E1400" s="10" t="s">
        <v>8369</v>
      </c>
      <c r="F1400" t="s">
        <v>8990</v>
      </c>
      <c r="G1400" t="s">
        <v>3990</v>
      </c>
    </row>
    <row r="1401" spans="1:7" x14ac:dyDescent="0.25">
      <c r="A1401" t="s">
        <v>160</v>
      </c>
      <c r="B1401" t="s">
        <v>2698</v>
      </c>
      <c r="C1401">
        <v>2011</v>
      </c>
      <c r="E1401" t="s">
        <v>3191</v>
      </c>
      <c r="F1401" t="s">
        <v>10028</v>
      </c>
      <c r="G1401" t="s">
        <v>3990</v>
      </c>
    </row>
    <row r="1402" spans="1:7" x14ac:dyDescent="0.25">
      <c r="A1402" t="s">
        <v>2804</v>
      </c>
      <c r="B1402" t="s">
        <v>2698</v>
      </c>
      <c r="C1402">
        <v>2021</v>
      </c>
      <c r="E1402" s="10" t="s">
        <v>3191</v>
      </c>
      <c r="F1402" t="s">
        <v>10028</v>
      </c>
      <c r="G1402" t="s">
        <v>3990</v>
      </c>
    </row>
    <row r="1403" spans="1:7" x14ac:dyDescent="0.25">
      <c r="A1403" t="s">
        <v>746</v>
      </c>
      <c r="B1403" t="s">
        <v>2702</v>
      </c>
      <c r="C1403">
        <v>2015</v>
      </c>
      <c r="E1403" t="s">
        <v>2982</v>
      </c>
      <c r="F1403" t="s">
        <v>8600</v>
      </c>
      <c r="G1403" t="s">
        <v>3990</v>
      </c>
    </row>
    <row r="1404" spans="1:7" x14ac:dyDescent="0.25">
      <c r="A1404" t="s">
        <v>2154</v>
      </c>
      <c r="B1404" t="s">
        <v>2706</v>
      </c>
      <c r="C1404">
        <v>1980</v>
      </c>
      <c r="E1404" t="s">
        <v>3327</v>
      </c>
      <c r="F1404" t="s">
        <v>9033</v>
      </c>
      <c r="G1404" t="s">
        <v>3990</v>
      </c>
    </row>
    <row r="1405" spans="1:7" x14ac:dyDescent="0.25">
      <c r="A1405" t="s">
        <v>2706</v>
      </c>
      <c r="B1405" t="s">
        <v>2709</v>
      </c>
      <c r="C1405">
        <v>1991</v>
      </c>
      <c r="D1405" t="s">
        <v>187</v>
      </c>
      <c r="F1405" t="s">
        <v>9771</v>
      </c>
      <c r="G1405" t="s">
        <v>3990</v>
      </c>
    </row>
    <row r="1406" spans="1:7" x14ac:dyDescent="0.25">
      <c r="A1406" t="s">
        <v>1046</v>
      </c>
      <c r="B1406" t="s">
        <v>2711</v>
      </c>
      <c r="C1406">
        <v>2016</v>
      </c>
      <c r="E1406" t="s">
        <v>3192</v>
      </c>
      <c r="F1406" t="s">
        <v>8726</v>
      </c>
      <c r="G1406" t="s">
        <v>3990</v>
      </c>
    </row>
    <row r="1407" spans="1:7" x14ac:dyDescent="0.25">
      <c r="A1407" t="s">
        <v>160</v>
      </c>
      <c r="B1407" t="s">
        <v>2711</v>
      </c>
      <c r="C1407">
        <v>2011</v>
      </c>
      <c r="E1407" t="s">
        <v>3192</v>
      </c>
      <c r="F1407" t="s">
        <v>9294</v>
      </c>
      <c r="G1407" t="s">
        <v>3990</v>
      </c>
    </row>
    <row r="1408" spans="1:7" x14ac:dyDescent="0.25">
      <c r="A1408" t="s">
        <v>2721</v>
      </c>
      <c r="B1408" t="s">
        <v>2715</v>
      </c>
      <c r="C1408">
        <v>1993</v>
      </c>
      <c r="D1408" t="s">
        <v>187</v>
      </c>
      <c r="F1408" t="s">
        <v>9772</v>
      </c>
      <c r="G1408" t="s">
        <v>3990</v>
      </c>
    </row>
    <row r="1409" spans="1:7" x14ac:dyDescent="0.25">
      <c r="A1409" t="s">
        <v>2715</v>
      </c>
      <c r="B1409" t="s">
        <v>2718</v>
      </c>
      <c r="C1409">
        <v>1999</v>
      </c>
      <c r="D1409" t="s">
        <v>187</v>
      </c>
      <c r="F1409" t="s">
        <v>9773</v>
      </c>
      <c r="G1409" t="s">
        <v>3990</v>
      </c>
    </row>
    <row r="1410" spans="1:7" x14ac:dyDescent="0.25">
      <c r="A1410" t="s">
        <v>2154</v>
      </c>
      <c r="B1410" t="s">
        <v>2721</v>
      </c>
      <c r="C1410">
        <v>1980</v>
      </c>
      <c r="E1410" t="s">
        <v>3328</v>
      </c>
      <c r="F1410" t="s">
        <v>9034</v>
      </c>
      <c r="G1410" t="s">
        <v>3990</v>
      </c>
    </row>
    <row r="1411" spans="1:7" x14ac:dyDescent="0.25">
      <c r="A1411" t="s">
        <v>964</v>
      </c>
      <c r="B1411" t="s">
        <v>2724</v>
      </c>
      <c r="C1411">
        <v>2006</v>
      </c>
      <c r="E1411" t="s">
        <v>2727</v>
      </c>
      <c r="F1411" t="s">
        <v>8691</v>
      </c>
      <c r="G1411" t="s">
        <v>3990</v>
      </c>
    </row>
    <row r="1412" spans="1:7" x14ac:dyDescent="0.25">
      <c r="A1412" t="s">
        <v>1157</v>
      </c>
      <c r="B1412" t="s">
        <v>2728</v>
      </c>
      <c r="C1412">
        <v>2014</v>
      </c>
      <c r="D1412" t="s">
        <v>187</v>
      </c>
      <c r="F1412" t="s">
        <v>9774</v>
      </c>
      <c r="G1412" t="s">
        <v>3990</v>
      </c>
    </row>
    <row r="1413" spans="1:7" x14ac:dyDescent="0.25">
      <c r="A1413" t="s">
        <v>1659</v>
      </c>
      <c r="B1413" t="s">
        <v>2731</v>
      </c>
      <c r="C1413">
        <v>2012</v>
      </c>
      <c r="D1413" t="s">
        <v>187</v>
      </c>
      <c r="F1413" t="s">
        <v>9775</v>
      </c>
      <c r="G1413" t="s">
        <v>3990</v>
      </c>
    </row>
    <row r="1414" spans="1:7" x14ac:dyDescent="0.25">
      <c r="A1414" t="s">
        <v>90</v>
      </c>
      <c r="B1414" t="s">
        <v>2734</v>
      </c>
      <c r="C1414">
        <v>2017</v>
      </c>
      <c r="E1414" s="10" t="s">
        <v>14040</v>
      </c>
      <c r="F1414" t="s">
        <v>9776</v>
      </c>
      <c r="G1414" t="s">
        <v>3990</v>
      </c>
    </row>
    <row r="1415" spans="1:7" x14ac:dyDescent="0.25">
      <c r="A1415" t="s">
        <v>2185</v>
      </c>
      <c r="B1415" t="s">
        <v>2736</v>
      </c>
      <c r="C1415">
        <v>2022</v>
      </c>
      <c r="E1415" t="s">
        <v>3335</v>
      </c>
      <c r="F1415" t="s">
        <v>9050</v>
      </c>
      <c r="G1415" t="s">
        <v>3990</v>
      </c>
    </row>
    <row r="1416" spans="1:7" x14ac:dyDescent="0.25">
      <c r="A1416" t="s">
        <v>1690</v>
      </c>
      <c r="B1416" t="s">
        <v>2738</v>
      </c>
      <c r="C1416">
        <v>2020</v>
      </c>
      <c r="E1416" t="s">
        <v>2982</v>
      </c>
      <c r="F1416" t="s">
        <v>8902</v>
      </c>
      <c r="G1416" t="s">
        <v>3990</v>
      </c>
    </row>
    <row r="1417" spans="1:7" x14ac:dyDescent="0.25">
      <c r="A1417" t="s">
        <v>90</v>
      </c>
      <c r="B1417" t="s">
        <v>2738</v>
      </c>
      <c r="C1417">
        <v>2017</v>
      </c>
      <c r="E1417" t="s">
        <v>2982</v>
      </c>
      <c r="F1417" t="s">
        <v>9162</v>
      </c>
      <c r="G1417" t="s">
        <v>3990</v>
      </c>
    </row>
    <row r="1418" spans="1:7" x14ac:dyDescent="0.25">
      <c r="A1418" t="s">
        <v>1365</v>
      </c>
      <c r="B1418" t="s">
        <v>2742</v>
      </c>
      <c r="C1418">
        <v>2018</v>
      </c>
      <c r="E1418" t="s">
        <v>2982</v>
      </c>
      <c r="F1418" t="s">
        <v>8821</v>
      </c>
      <c r="G1418" t="s">
        <v>3990</v>
      </c>
    </row>
    <row r="1419" spans="1:7" x14ac:dyDescent="0.25">
      <c r="A1419" t="s">
        <v>2804</v>
      </c>
      <c r="B1419" t="s">
        <v>2742</v>
      </c>
      <c r="C1419">
        <v>2021</v>
      </c>
      <c r="E1419" t="s">
        <v>2982</v>
      </c>
      <c r="F1419" t="s">
        <v>9345</v>
      </c>
      <c r="G1419" t="s">
        <v>3990</v>
      </c>
    </row>
    <row r="1420" spans="1:7" x14ac:dyDescent="0.25">
      <c r="A1420" t="s">
        <v>930</v>
      </c>
      <c r="B1420" t="s">
        <v>2744</v>
      </c>
      <c r="C1420">
        <v>2015</v>
      </c>
      <c r="E1420" t="s">
        <v>3159</v>
      </c>
      <c r="F1420" t="s">
        <v>8683</v>
      </c>
      <c r="G1420" t="s">
        <v>3990</v>
      </c>
    </row>
    <row r="1421" spans="1:7" x14ac:dyDescent="0.25">
      <c r="A1421" t="s">
        <v>160</v>
      </c>
      <c r="B1421" t="s">
        <v>2747</v>
      </c>
      <c r="C1421">
        <v>2011</v>
      </c>
      <c r="E1421" t="s">
        <v>3412</v>
      </c>
      <c r="F1421" t="s">
        <v>9295</v>
      </c>
      <c r="G1421" t="s">
        <v>3990</v>
      </c>
    </row>
    <row r="1422" spans="1:7" x14ac:dyDescent="0.25">
      <c r="A1422" t="s">
        <v>1144</v>
      </c>
      <c r="B1422" t="s">
        <v>2751</v>
      </c>
      <c r="C1422">
        <v>2012</v>
      </c>
      <c r="E1422" t="s">
        <v>2982</v>
      </c>
      <c r="F1422" t="s">
        <v>8761</v>
      </c>
      <c r="G1422" t="s">
        <v>3990</v>
      </c>
    </row>
    <row r="1423" spans="1:7" x14ac:dyDescent="0.25">
      <c r="A1423" t="s">
        <v>90</v>
      </c>
      <c r="B1423" t="s">
        <v>2751</v>
      </c>
      <c r="C1423">
        <v>2017</v>
      </c>
      <c r="E1423" t="s">
        <v>2982</v>
      </c>
      <c r="F1423" t="s">
        <v>9163</v>
      </c>
      <c r="G1423" t="s">
        <v>3990</v>
      </c>
    </row>
    <row r="1424" spans="1:7" x14ac:dyDescent="0.25">
      <c r="A1424" t="s">
        <v>344</v>
      </c>
      <c r="B1424" t="s">
        <v>2755</v>
      </c>
      <c r="C1424">
        <v>2023</v>
      </c>
      <c r="E1424" t="s">
        <v>3013</v>
      </c>
      <c r="F1424" t="s">
        <v>9777</v>
      </c>
      <c r="G1424" t="s">
        <v>187</v>
      </c>
    </row>
    <row r="1425" spans="1:7" x14ac:dyDescent="0.25">
      <c r="A1425" t="s">
        <v>1443</v>
      </c>
      <c r="B1425" t="s">
        <v>8101</v>
      </c>
      <c r="C1425">
        <v>2018</v>
      </c>
      <c r="E1425" s="10" t="s">
        <v>8111</v>
      </c>
      <c r="F1425" t="s">
        <v>8855</v>
      </c>
      <c r="G1425" t="s">
        <v>3990</v>
      </c>
    </row>
    <row r="1426" spans="1:7" x14ac:dyDescent="0.25">
      <c r="A1426" t="s">
        <v>1144</v>
      </c>
      <c r="B1426" t="s">
        <v>2757</v>
      </c>
      <c r="C1426">
        <v>2012</v>
      </c>
      <c r="E1426" t="s">
        <v>2982</v>
      </c>
      <c r="F1426" t="s">
        <v>8762</v>
      </c>
      <c r="G1426" t="s">
        <v>3990</v>
      </c>
    </row>
    <row r="1427" spans="1:7" x14ac:dyDescent="0.25">
      <c r="A1427" t="s">
        <v>930</v>
      </c>
      <c r="B1427" t="s">
        <v>2760</v>
      </c>
      <c r="C1427">
        <v>2015</v>
      </c>
      <c r="E1427" t="s">
        <v>3160</v>
      </c>
      <c r="F1427" t="s">
        <v>8684</v>
      </c>
      <c r="G1427" t="s">
        <v>3990</v>
      </c>
    </row>
    <row r="1428" spans="1:7" x14ac:dyDescent="0.25">
      <c r="A1428" t="s">
        <v>2428</v>
      </c>
      <c r="B1428" t="s">
        <v>2760</v>
      </c>
      <c r="C1428">
        <v>2008</v>
      </c>
      <c r="E1428" t="s">
        <v>3160</v>
      </c>
      <c r="F1428" t="s">
        <v>9214</v>
      </c>
      <c r="G1428" t="s">
        <v>3990</v>
      </c>
    </row>
    <row r="1429" spans="1:7" x14ac:dyDescent="0.25">
      <c r="A1429" t="s">
        <v>160</v>
      </c>
      <c r="B1429" t="s">
        <v>2760</v>
      </c>
      <c r="C1429">
        <v>2011</v>
      </c>
      <c r="E1429" t="s">
        <v>3160</v>
      </c>
      <c r="F1429" t="s">
        <v>9296</v>
      </c>
      <c r="G1429" t="s">
        <v>3990</v>
      </c>
    </row>
    <row r="1430" spans="1:7" x14ac:dyDescent="0.25">
      <c r="A1430" t="s">
        <v>344</v>
      </c>
      <c r="B1430" t="s">
        <v>2763</v>
      </c>
      <c r="C1430">
        <v>2023</v>
      </c>
      <c r="E1430" s="10" t="s">
        <v>3014</v>
      </c>
      <c r="F1430" t="s">
        <v>10029</v>
      </c>
      <c r="G1430" t="s">
        <v>3990</v>
      </c>
    </row>
    <row r="1431" spans="1:7" x14ac:dyDescent="0.25">
      <c r="A1431" t="s">
        <v>2614</v>
      </c>
      <c r="B1431" t="s">
        <v>2763</v>
      </c>
      <c r="C1431">
        <v>2025</v>
      </c>
      <c r="E1431" s="10" t="s">
        <v>3014</v>
      </c>
      <c r="F1431" t="s">
        <v>10029</v>
      </c>
      <c r="G1431" t="s">
        <v>3990</v>
      </c>
    </row>
    <row r="1432" spans="1:7" x14ac:dyDescent="0.25">
      <c r="A1432" t="s">
        <v>759</v>
      </c>
      <c r="B1432" t="s">
        <v>2766</v>
      </c>
      <c r="C1432">
        <v>2018</v>
      </c>
      <c r="E1432" t="s">
        <v>2982</v>
      </c>
      <c r="F1432" t="s">
        <v>8622</v>
      </c>
      <c r="G1432" t="s">
        <v>3990</v>
      </c>
    </row>
    <row r="1433" spans="1:7" x14ac:dyDescent="0.25">
      <c r="A1433" t="s">
        <v>1004</v>
      </c>
      <c r="B1433" t="s">
        <v>2769</v>
      </c>
      <c r="C1433">
        <v>2006</v>
      </c>
      <c r="E1433" s="10" t="s">
        <v>3174</v>
      </c>
      <c r="F1433" t="s">
        <v>14039</v>
      </c>
      <c r="G1433" t="s">
        <v>3990</v>
      </c>
    </row>
    <row r="1434" spans="1:7" x14ac:dyDescent="0.25">
      <c r="A1434" t="s">
        <v>160</v>
      </c>
      <c r="B1434" t="s">
        <v>2769</v>
      </c>
      <c r="C1434">
        <v>2011</v>
      </c>
      <c r="E1434" s="10" t="s">
        <v>3174</v>
      </c>
      <c r="F1434" t="s">
        <v>14038</v>
      </c>
      <c r="G1434" t="s">
        <v>3990</v>
      </c>
    </row>
    <row r="1435" spans="1:7" x14ac:dyDescent="0.25">
      <c r="A1435" t="s">
        <v>256</v>
      </c>
      <c r="B1435" t="s">
        <v>2771</v>
      </c>
      <c r="C1435">
        <v>1994</v>
      </c>
      <c r="D1435" t="s">
        <v>187</v>
      </c>
      <c r="F1435" t="s">
        <v>9778</v>
      </c>
      <c r="G1435" t="s">
        <v>3990</v>
      </c>
    </row>
    <row r="1436" spans="1:7" x14ac:dyDescent="0.25">
      <c r="A1436" t="s">
        <v>2136</v>
      </c>
      <c r="B1436" t="s">
        <v>12683</v>
      </c>
      <c r="C1436">
        <v>2020</v>
      </c>
      <c r="E1436" s="10" t="s">
        <v>12686</v>
      </c>
      <c r="F1436" t="s">
        <v>12687</v>
      </c>
      <c r="G1436" t="s">
        <v>3990</v>
      </c>
    </row>
    <row r="1437" spans="1:7" x14ac:dyDescent="0.25">
      <c r="A1437" t="s">
        <v>353</v>
      </c>
      <c r="B1437" t="s">
        <v>7687</v>
      </c>
      <c r="C1437">
        <v>2023</v>
      </c>
      <c r="E1437" t="s">
        <v>7686</v>
      </c>
      <c r="F1437" t="s">
        <v>8525</v>
      </c>
      <c r="G1437" t="s">
        <v>3990</v>
      </c>
    </row>
    <row r="1438" spans="1:7" x14ac:dyDescent="0.25">
      <c r="A1438" t="s">
        <v>2506</v>
      </c>
      <c r="B1438" t="s">
        <v>7687</v>
      </c>
      <c r="C1438">
        <v>2021</v>
      </c>
      <c r="E1438" t="s">
        <v>7686</v>
      </c>
      <c r="F1438" t="s">
        <v>9231</v>
      </c>
      <c r="G1438" t="s">
        <v>3990</v>
      </c>
    </row>
    <row r="1439" spans="1:7" x14ac:dyDescent="0.25">
      <c r="A1439" t="s">
        <v>759</v>
      </c>
      <c r="B1439" t="s">
        <v>2782</v>
      </c>
      <c r="C1439">
        <v>2018</v>
      </c>
      <c r="E1439" t="s">
        <v>3124</v>
      </c>
      <c r="F1439" t="s">
        <v>8623</v>
      </c>
      <c r="G1439" t="s">
        <v>3990</v>
      </c>
    </row>
    <row r="1440" spans="1:7" x14ac:dyDescent="0.25">
      <c r="A1440" t="s">
        <v>1046</v>
      </c>
      <c r="B1440" t="s">
        <v>2782</v>
      </c>
      <c r="C1440">
        <v>2016</v>
      </c>
      <c r="E1440" s="10" t="s">
        <v>8414</v>
      </c>
      <c r="F1440" t="s">
        <v>8727</v>
      </c>
      <c r="G1440" t="s">
        <v>3990</v>
      </c>
    </row>
    <row r="1441" spans="1:7" x14ac:dyDescent="0.25">
      <c r="A1441" t="s">
        <v>2173</v>
      </c>
      <c r="B1441" t="s">
        <v>2782</v>
      </c>
      <c r="C1441">
        <v>2013</v>
      </c>
      <c r="E1441" t="s">
        <v>3124</v>
      </c>
      <c r="F1441" t="s">
        <v>9048</v>
      </c>
      <c r="G1441" t="s">
        <v>3990</v>
      </c>
    </row>
    <row r="1442" spans="1:7" x14ac:dyDescent="0.25">
      <c r="A1442" t="s">
        <v>90</v>
      </c>
      <c r="B1442" t="s">
        <v>2782</v>
      </c>
      <c r="C1442">
        <v>2017</v>
      </c>
      <c r="E1442" s="10" t="s">
        <v>9391</v>
      </c>
      <c r="F1442" t="s">
        <v>9392</v>
      </c>
      <c r="G1442" t="s">
        <v>3990</v>
      </c>
    </row>
    <row r="1443" spans="1:7" x14ac:dyDescent="0.25">
      <c r="A1443" t="s">
        <v>160</v>
      </c>
      <c r="B1443" t="s">
        <v>2782</v>
      </c>
      <c r="C1443">
        <v>2011</v>
      </c>
      <c r="E1443" t="s">
        <v>3124</v>
      </c>
      <c r="F1443" t="s">
        <v>9297</v>
      </c>
      <c r="G1443" t="s">
        <v>3990</v>
      </c>
    </row>
    <row r="1444" spans="1:7" x14ac:dyDescent="0.25">
      <c r="A1444" t="s">
        <v>1294</v>
      </c>
      <c r="B1444" t="s">
        <v>2786</v>
      </c>
      <c r="C1444">
        <v>2019</v>
      </c>
      <c r="E1444" s="10" t="s">
        <v>8414</v>
      </c>
      <c r="F1444" t="s">
        <v>9365</v>
      </c>
      <c r="G1444" t="s">
        <v>3990</v>
      </c>
    </row>
    <row r="1445" spans="1:7" x14ac:dyDescent="0.25">
      <c r="A1445" t="s">
        <v>2782</v>
      </c>
      <c r="B1445" t="s">
        <v>2786</v>
      </c>
      <c r="C1445">
        <v>2019</v>
      </c>
      <c r="D1445" t="s">
        <v>187</v>
      </c>
      <c r="F1445" t="s">
        <v>9779</v>
      </c>
      <c r="G1445" t="s">
        <v>3990</v>
      </c>
    </row>
    <row r="1446" spans="1:7" x14ac:dyDescent="0.25">
      <c r="A1446" t="s">
        <v>490</v>
      </c>
      <c r="B1446" t="s">
        <v>2788</v>
      </c>
      <c r="C1446">
        <v>2009</v>
      </c>
      <c r="E1446" t="s">
        <v>3063</v>
      </c>
      <c r="F1446" t="s">
        <v>8538</v>
      </c>
      <c r="G1446" t="s">
        <v>3990</v>
      </c>
    </row>
    <row r="1447" spans="1:7" x14ac:dyDescent="0.25">
      <c r="A1447" t="s">
        <v>1795</v>
      </c>
      <c r="B1447" t="s">
        <v>2788</v>
      </c>
      <c r="C1447">
        <v>1987</v>
      </c>
      <c r="E1447" s="10" t="s">
        <v>8387</v>
      </c>
      <c r="F1447" t="s">
        <v>8939</v>
      </c>
      <c r="G1447" t="s">
        <v>3990</v>
      </c>
    </row>
    <row r="1448" spans="1:7" x14ac:dyDescent="0.25">
      <c r="A1448" t="s">
        <v>2154</v>
      </c>
      <c r="B1448" t="s">
        <v>2788</v>
      </c>
      <c r="C1448">
        <v>1980</v>
      </c>
      <c r="E1448" s="10" t="s">
        <v>8387</v>
      </c>
      <c r="F1448" t="s">
        <v>9035</v>
      </c>
      <c r="G1448" t="s">
        <v>3990</v>
      </c>
    </row>
    <row r="1449" spans="1:7" x14ac:dyDescent="0.25">
      <c r="A1449" t="s">
        <v>2788</v>
      </c>
      <c r="B1449" t="s">
        <v>2790</v>
      </c>
      <c r="C1449">
        <v>2017</v>
      </c>
      <c r="D1449" t="s">
        <v>187</v>
      </c>
      <c r="F1449" t="s">
        <v>9780</v>
      </c>
      <c r="G1449" t="s">
        <v>3990</v>
      </c>
    </row>
    <row r="1450" spans="1:7" x14ac:dyDescent="0.25">
      <c r="A1450" t="s">
        <v>1795</v>
      </c>
      <c r="B1450" t="s">
        <v>2792</v>
      </c>
      <c r="C1450">
        <v>1987</v>
      </c>
      <c r="E1450" t="s">
        <v>3287</v>
      </c>
      <c r="F1450" t="s">
        <v>9781</v>
      </c>
      <c r="G1450" t="s">
        <v>187</v>
      </c>
    </row>
    <row r="1451" spans="1:7" x14ac:dyDescent="0.25">
      <c r="A1451" t="s">
        <v>1882</v>
      </c>
      <c r="B1451" t="s">
        <v>2792</v>
      </c>
      <c r="C1451">
        <v>1987</v>
      </c>
      <c r="E1451" t="s">
        <v>3287</v>
      </c>
      <c r="F1451" t="s">
        <v>9782</v>
      </c>
      <c r="G1451" t="s">
        <v>187</v>
      </c>
    </row>
    <row r="1452" spans="1:7" x14ac:dyDescent="0.25">
      <c r="A1452" t="s">
        <v>847</v>
      </c>
      <c r="B1452" t="s">
        <v>2796</v>
      </c>
      <c r="C1452">
        <v>1996</v>
      </c>
      <c r="E1452" s="10" t="s">
        <v>3166</v>
      </c>
      <c r="F1452" t="s">
        <v>8439</v>
      </c>
      <c r="G1452" t="s">
        <v>3990</v>
      </c>
    </row>
    <row r="1453" spans="1:7" x14ac:dyDescent="0.25">
      <c r="A1453" t="s">
        <v>964</v>
      </c>
      <c r="B1453" t="s">
        <v>2796</v>
      </c>
      <c r="C1453">
        <v>2018</v>
      </c>
      <c r="E1453" t="s">
        <v>3166</v>
      </c>
      <c r="F1453" t="s">
        <v>8692</v>
      </c>
      <c r="G1453" t="s">
        <v>3990</v>
      </c>
    </row>
    <row r="1454" spans="1:7" x14ac:dyDescent="0.25">
      <c r="A1454" t="s">
        <v>2428</v>
      </c>
      <c r="B1454" t="s">
        <v>2796</v>
      </c>
      <c r="C1454">
        <v>2018</v>
      </c>
      <c r="E1454" t="s">
        <v>3166</v>
      </c>
      <c r="F1454" t="s">
        <v>9215</v>
      </c>
      <c r="G1454" t="s">
        <v>3990</v>
      </c>
    </row>
    <row r="1455" spans="1:7" x14ac:dyDescent="0.25">
      <c r="A1455" t="s">
        <v>2804</v>
      </c>
      <c r="B1455" t="s">
        <v>2798</v>
      </c>
      <c r="C1455">
        <v>2021</v>
      </c>
      <c r="D1455" t="s">
        <v>187</v>
      </c>
      <c r="F1455" t="s">
        <v>9783</v>
      </c>
      <c r="G1455" t="s">
        <v>3990</v>
      </c>
    </row>
    <row r="1456" spans="1:7" x14ac:dyDescent="0.25">
      <c r="A1456" t="s">
        <v>497</v>
      </c>
      <c r="B1456" t="s">
        <v>2800</v>
      </c>
      <c r="C1456">
        <v>2022</v>
      </c>
      <c r="E1456" s="10" t="s">
        <v>8394</v>
      </c>
      <c r="F1456" t="s">
        <v>9784</v>
      </c>
      <c r="G1456" t="s">
        <v>187</v>
      </c>
    </row>
    <row r="1457" spans="1:7" x14ac:dyDescent="0.25">
      <c r="A1457" t="s">
        <v>2397</v>
      </c>
      <c r="B1457" t="s">
        <v>2800</v>
      </c>
      <c r="C1457">
        <v>2022</v>
      </c>
      <c r="E1457" s="10" t="s">
        <v>8394</v>
      </c>
      <c r="F1457" t="s">
        <v>9785</v>
      </c>
      <c r="G1457" t="s">
        <v>187</v>
      </c>
    </row>
    <row r="1458" spans="1:7" x14ac:dyDescent="0.25">
      <c r="A1458" t="s">
        <v>2804</v>
      </c>
      <c r="B1458" t="s">
        <v>2800</v>
      </c>
      <c r="C1458">
        <v>2021</v>
      </c>
      <c r="E1458" t="s">
        <v>2982</v>
      </c>
      <c r="F1458" t="s">
        <v>9346</v>
      </c>
      <c r="G1458" t="s">
        <v>3990</v>
      </c>
    </row>
    <row r="1459" spans="1:7" x14ac:dyDescent="0.25">
      <c r="A1459" t="s">
        <v>1592</v>
      </c>
      <c r="B1459" t="s">
        <v>2804</v>
      </c>
      <c r="C1459">
        <v>2019</v>
      </c>
      <c r="E1459" t="s">
        <v>3265</v>
      </c>
      <c r="F1459" t="s">
        <v>8889</v>
      </c>
      <c r="G1459" t="s">
        <v>3990</v>
      </c>
    </row>
    <row r="1460" spans="1:7" x14ac:dyDescent="0.25">
      <c r="A1460" t="s">
        <v>90</v>
      </c>
      <c r="B1460" t="s">
        <v>2808</v>
      </c>
      <c r="C1460">
        <v>2017</v>
      </c>
      <c r="E1460" t="s">
        <v>3381</v>
      </c>
      <c r="F1460" t="s">
        <v>9164</v>
      </c>
      <c r="G1460" t="s">
        <v>3990</v>
      </c>
    </row>
    <row r="1461" spans="1:7" x14ac:dyDescent="0.25">
      <c r="A1461" t="s">
        <v>651</v>
      </c>
      <c r="B1461" t="s">
        <v>2812</v>
      </c>
      <c r="C1461">
        <v>2023</v>
      </c>
      <c r="E1461" t="s">
        <v>3082</v>
      </c>
      <c r="F1461" t="s">
        <v>8566</v>
      </c>
      <c r="G1461" t="s">
        <v>3990</v>
      </c>
    </row>
    <row r="1462" spans="1:7" x14ac:dyDescent="0.25">
      <c r="A1462" t="s">
        <v>1029</v>
      </c>
      <c r="B1462" t="s">
        <v>2812</v>
      </c>
      <c r="C1462">
        <v>2022</v>
      </c>
      <c r="E1462" t="s">
        <v>3082</v>
      </c>
      <c r="F1462" t="s">
        <v>8704</v>
      </c>
      <c r="G1462" t="s">
        <v>3990</v>
      </c>
    </row>
    <row r="1463" spans="1:7" x14ac:dyDescent="0.25">
      <c r="A1463" t="s">
        <v>1272</v>
      </c>
      <c r="B1463" t="s">
        <v>2812</v>
      </c>
      <c r="C1463">
        <v>2020</v>
      </c>
      <c r="E1463" t="s">
        <v>3082</v>
      </c>
      <c r="F1463" t="s">
        <v>8769</v>
      </c>
      <c r="G1463" t="s">
        <v>3990</v>
      </c>
    </row>
    <row r="1464" spans="1:7" x14ac:dyDescent="0.25">
      <c r="A1464" t="s">
        <v>1294</v>
      </c>
      <c r="B1464" t="s">
        <v>2812</v>
      </c>
      <c r="C1464">
        <v>2019</v>
      </c>
      <c r="E1464" t="s">
        <v>3082</v>
      </c>
      <c r="F1464" t="s">
        <v>8812</v>
      </c>
      <c r="G1464" t="s">
        <v>3990</v>
      </c>
    </row>
    <row r="1465" spans="1:7" x14ac:dyDescent="0.25">
      <c r="A1465" t="s">
        <v>2136</v>
      </c>
      <c r="B1465" t="s">
        <v>2812</v>
      </c>
      <c r="C1465">
        <v>2020</v>
      </c>
      <c r="E1465" t="s">
        <v>3082</v>
      </c>
      <c r="F1465" t="s">
        <v>9008</v>
      </c>
      <c r="G1465" t="s">
        <v>3990</v>
      </c>
    </row>
    <row r="1466" spans="1:7" x14ac:dyDescent="0.25">
      <c r="A1466" t="s">
        <v>2954</v>
      </c>
      <c r="B1466" t="s">
        <v>2812</v>
      </c>
      <c r="C1466">
        <v>2014</v>
      </c>
      <c r="E1466" t="s">
        <v>3082</v>
      </c>
      <c r="F1466" t="s">
        <v>9364</v>
      </c>
      <c r="G1466" t="s">
        <v>3990</v>
      </c>
    </row>
    <row r="1467" spans="1:7" x14ac:dyDescent="0.25">
      <c r="A1467" t="s">
        <v>2804</v>
      </c>
      <c r="B1467" t="s">
        <v>2814</v>
      </c>
      <c r="C1467">
        <v>2021</v>
      </c>
      <c r="E1467" t="s">
        <v>2982</v>
      </c>
      <c r="F1467" t="s">
        <v>9347</v>
      </c>
      <c r="G1467" t="s">
        <v>3990</v>
      </c>
    </row>
    <row r="1468" spans="1:7" x14ac:dyDescent="0.25">
      <c r="A1468" t="s">
        <v>924</v>
      </c>
      <c r="B1468" t="s">
        <v>2818</v>
      </c>
      <c r="C1468">
        <v>2019</v>
      </c>
      <c r="E1468" t="s">
        <v>3153</v>
      </c>
      <c r="F1468" t="s">
        <v>10030</v>
      </c>
      <c r="G1468" t="s">
        <v>187</v>
      </c>
    </row>
    <row r="1469" spans="1:7" x14ac:dyDescent="0.25">
      <c r="A1469" t="s">
        <v>90</v>
      </c>
      <c r="B1469" t="s">
        <v>2818</v>
      </c>
      <c r="C1469">
        <v>2017</v>
      </c>
      <c r="E1469" t="s">
        <v>3153</v>
      </c>
      <c r="F1469" t="s">
        <v>10030</v>
      </c>
      <c r="G1469" t="s">
        <v>187</v>
      </c>
    </row>
    <row r="1470" spans="1:7" x14ac:dyDescent="0.25">
      <c r="A1470" t="s">
        <v>2721</v>
      </c>
      <c r="B1470" t="s">
        <v>2818</v>
      </c>
      <c r="C1470">
        <v>1993</v>
      </c>
      <c r="E1470" t="s">
        <v>3153</v>
      </c>
      <c r="F1470" t="s">
        <v>10030</v>
      </c>
      <c r="G1470" t="s">
        <v>187</v>
      </c>
    </row>
    <row r="1471" spans="1:7" x14ac:dyDescent="0.25">
      <c r="A1471" t="s">
        <v>2818</v>
      </c>
      <c r="B1471" t="s">
        <v>2820</v>
      </c>
      <c r="C1471">
        <v>2021</v>
      </c>
      <c r="D1471" t="s">
        <v>187</v>
      </c>
      <c r="F1471" t="s">
        <v>9786</v>
      </c>
      <c r="G1471" t="s">
        <v>3990</v>
      </c>
    </row>
    <row r="1472" spans="1:7" x14ac:dyDescent="0.25">
      <c r="A1472" t="s">
        <v>746</v>
      </c>
      <c r="B1472" t="s">
        <v>2822</v>
      </c>
      <c r="C1472">
        <v>2015</v>
      </c>
      <c r="E1472" t="s">
        <v>3108</v>
      </c>
      <c r="F1472" t="s">
        <v>8601</v>
      </c>
      <c r="G1472" t="s">
        <v>3990</v>
      </c>
    </row>
    <row r="1473" spans="1:7" x14ac:dyDescent="0.25">
      <c r="A1473" t="s">
        <v>90</v>
      </c>
      <c r="B1473" t="s">
        <v>2822</v>
      </c>
      <c r="C1473">
        <v>2017</v>
      </c>
      <c r="E1473" t="s">
        <v>2982</v>
      </c>
      <c r="F1473" t="s">
        <v>9165</v>
      </c>
      <c r="G1473" t="s">
        <v>3990</v>
      </c>
    </row>
    <row r="1474" spans="1:7" x14ac:dyDescent="0.25">
      <c r="A1474" t="s">
        <v>1144</v>
      </c>
      <c r="B1474" t="s">
        <v>2824</v>
      </c>
      <c r="C1474">
        <v>2012</v>
      </c>
      <c r="E1474" t="s">
        <v>3214</v>
      </c>
      <c r="F1474" t="s">
        <v>8763</v>
      </c>
      <c r="G1474" t="s">
        <v>3990</v>
      </c>
    </row>
    <row r="1475" spans="1:7" x14ac:dyDescent="0.25">
      <c r="A1475" t="s">
        <v>2804</v>
      </c>
      <c r="B1475" t="s">
        <v>2828</v>
      </c>
      <c r="C1475">
        <v>2021</v>
      </c>
      <c r="E1475" t="s">
        <v>2982</v>
      </c>
      <c r="F1475" t="s">
        <v>9348</v>
      </c>
      <c r="G1475" t="s">
        <v>3990</v>
      </c>
    </row>
    <row r="1476" spans="1:7" x14ac:dyDescent="0.25">
      <c r="A1476" t="s">
        <v>1004</v>
      </c>
      <c r="B1476" t="s">
        <v>2832</v>
      </c>
      <c r="C1476">
        <v>2006</v>
      </c>
      <c r="E1476" t="s">
        <v>3175</v>
      </c>
      <c r="F1476" t="s">
        <v>10031</v>
      </c>
      <c r="G1476" t="s">
        <v>187</v>
      </c>
    </row>
    <row r="1477" spans="1:7" x14ac:dyDescent="0.25">
      <c r="A1477" t="s">
        <v>1144</v>
      </c>
      <c r="B1477" t="s">
        <v>2832</v>
      </c>
      <c r="C1477">
        <v>2012</v>
      </c>
      <c r="E1477" t="s">
        <v>3175</v>
      </c>
      <c r="F1477" t="s">
        <v>10031</v>
      </c>
      <c r="G1477" t="s">
        <v>187</v>
      </c>
    </row>
    <row r="1478" spans="1:7" x14ac:dyDescent="0.25">
      <c r="A1478" t="s">
        <v>1855</v>
      </c>
      <c r="B1478" t="s">
        <v>2834</v>
      </c>
      <c r="C1478">
        <v>2015</v>
      </c>
      <c r="E1478" t="s">
        <v>3299</v>
      </c>
      <c r="F1478" t="s">
        <v>8968</v>
      </c>
      <c r="G1478" t="s">
        <v>3990</v>
      </c>
    </row>
    <row r="1479" spans="1:7" x14ac:dyDescent="0.25">
      <c r="A1479" t="s">
        <v>457</v>
      </c>
      <c r="B1479" t="s">
        <v>2838</v>
      </c>
      <c r="C1479">
        <v>2022</v>
      </c>
      <c r="D1479" t="s">
        <v>187</v>
      </c>
      <c r="F1479" t="s">
        <v>9787</v>
      </c>
      <c r="G1479" t="s">
        <v>3990</v>
      </c>
    </row>
    <row r="1480" spans="1:7" x14ac:dyDescent="0.25">
      <c r="A1480" t="s">
        <v>497</v>
      </c>
      <c r="B1480" t="s">
        <v>2838</v>
      </c>
      <c r="C1480">
        <v>2022</v>
      </c>
      <c r="E1480" t="s">
        <v>3071</v>
      </c>
      <c r="F1480" t="s">
        <v>8553</v>
      </c>
      <c r="G1480" t="s">
        <v>3990</v>
      </c>
    </row>
    <row r="1481" spans="1:7" x14ac:dyDescent="0.25">
      <c r="A1481" t="s">
        <v>847</v>
      </c>
      <c r="B1481" t="s">
        <v>2840</v>
      </c>
      <c r="C1481">
        <v>1996</v>
      </c>
      <c r="E1481" s="10" t="s">
        <v>3431</v>
      </c>
      <c r="F1481" t="s">
        <v>8655</v>
      </c>
      <c r="G1481" t="s">
        <v>3990</v>
      </c>
    </row>
    <row r="1482" spans="1:7" x14ac:dyDescent="0.25">
      <c r="A1482" t="s">
        <v>2901</v>
      </c>
      <c r="B1482" t="s">
        <v>2840</v>
      </c>
      <c r="C1482">
        <v>2023</v>
      </c>
      <c r="E1482" t="s">
        <v>3431</v>
      </c>
      <c r="F1482" t="s">
        <v>9355</v>
      </c>
      <c r="G1482" t="s">
        <v>3990</v>
      </c>
    </row>
    <row r="1483" spans="1:7" x14ac:dyDescent="0.25">
      <c r="A1483" t="s">
        <v>2721</v>
      </c>
      <c r="B1483" t="s">
        <v>2843</v>
      </c>
      <c r="C1483">
        <v>1993</v>
      </c>
      <c r="E1483" t="s">
        <v>3013</v>
      </c>
      <c r="F1483" t="s">
        <v>9788</v>
      </c>
      <c r="G1483" t="s">
        <v>187</v>
      </c>
    </row>
    <row r="1484" spans="1:7" x14ac:dyDescent="0.25">
      <c r="A1484" t="s">
        <v>904</v>
      </c>
      <c r="B1484" t="s">
        <v>2846</v>
      </c>
      <c r="C1484">
        <v>2022</v>
      </c>
      <c r="E1484" t="s">
        <v>3144</v>
      </c>
      <c r="F1484" t="s">
        <v>8667</v>
      </c>
      <c r="G1484" t="s">
        <v>3990</v>
      </c>
    </row>
    <row r="1485" spans="1:7" x14ac:dyDescent="0.25">
      <c r="A1485" t="s">
        <v>2846</v>
      </c>
      <c r="B1485" t="s">
        <v>2850</v>
      </c>
      <c r="C1485">
        <v>2023</v>
      </c>
      <c r="D1485" t="s">
        <v>187</v>
      </c>
      <c r="F1485" t="s">
        <v>9789</v>
      </c>
      <c r="G1485" t="s">
        <v>3990</v>
      </c>
    </row>
    <row r="1486" spans="1:7" x14ac:dyDescent="0.25">
      <c r="A1486" t="s">
        <v>350</v>
      </c>
      <c r="B1486" t="s">
        <v>7833</v>
      </c>
      <c r="C1486">
        <v>2018</v>
      </c>
      <c r="E1486" t="s">
        <v>7836</v>
      </c>
      <c r="F1486" t="s">
        <v>8486</v>
      </c>
      <c r="G1486" t="s">
        <v>3990</v>
      </c>
    </row>
    <row r="1487" spans="1:7" x14ac:dyDescent="0.25">
      <c r="A1487" t="s">
        <v>2804</v>
      </c>
      <c r="B1487" t="s">
        <v>7833</v>
      </c>
      <c r="C1487">
        <v>2021</v>
      </c>
      <c r="E1487" t="s">
        <v>7836</v>
      </c>
      <c r="F1487" t="s">
        <v>9349</v>
      </c>
      <c r="G1487" t="s">
        <v>3990</v>
      </c>
    </row>
    <row r="1488" spans="1:7" x14ac:dyDescent="0.25">
      <c r="A1488" t="s">
        <v>2804</v>
      </c>
      <c r="B1488" t="s">
        <v>2852</v>
      </c>
      <c r="C1488">
        <v>2021</v>
      </c>
      <c r="D1488" t="s">
        <v>187</v>
      </c>
      <c r="E1488" t="s">
        <v>3429</v>
      </c>
      <c r="F1488" t="s">
        <v>9790</v>
      </c>
      <c r="G1488" t="s">
        <v>3990</v>
      </c>
    </row>
    <row r="1489" spans="1:7" x14ac:dyDescent="0.25">
      <c r="A1489" t="s">
        <v>490</v>
      </c>
      <c r="B1489" t="s">
        <v>2854</v>
      </c>
      <c r="C1489">
        <v>2009</v>
      </c>
      <c r="E1489" t="s">
        <v>3064</v>
      </c>
      <c r="F1489" t="s">
        <v>9456</v>
      </c>
      <c r="G1489" t="s">
        <v>3990</v>
      </c>
    </row>
    <row r="1490" spans="1:7" x14ac:dyDescent="0.25">
      <c r="A1490" t="s">
        <v>1144</v>
      </c>
      <c r="B1490" t="s">
        <v>2854</v>
      </c>
      <c r="C1490">
        <v>2012</v>
      </c>
      <c r="E1490" t="s">
        <v>3064</v>
      </c>
      <c r="F1490" t="s">
        <v>9457</v>
      </c>
      <c r="G1490" t="s">
        <v>3990</v>
      </c>
    </row>
    <row r="1491" spans="1:7" x14ac:dyDescent="0.25">
      <c r="A1491" t="s">
        <v>90</v>
      </c>
      <c r="B1491" t="s">
        <v>2856</v>
      </c>
      <c r="C1491">
        <v>2017</v>
      </c>
      <c r="E1491" t="s">
        <v>3382</v>
      </c>
      <c r="F1491" t="s">
        <v>9166</v>
      </c>
      <c r="G1491" t="s">
        <v>3990</v>
      </c>
    </row>
    <row r="1492" spans="1:7" x14ac:dyDescent="0.25">
      <c r="A1492" t="s">
        <v>1004</v>
      </c>
      <c r="B1492" t="s">
        <v>2860</v>
      </c>
      <c r="C1492">
        <v>2006</v>
      </c>
      <c r="E1492" t="s">
        <v>3176</v>
      </c>
      <c r="F1492" t="s">
        <v>8701</v>
      </c>
      <c r="G1492" t="s">
        <v>3990</v>
      </c>
    </row>
    <row r="1493" spans="1:7" x14ac:dyDescent="0.25">
      <c r="A1493" t="s">
        <v>1004</v>
      </c>
      <c r="B1493" t="s">
        <v>2864</v>
      </c>
      <c r="C1493">
        <v>2006</v>
      </c>
      <c r="E1493" t="s">
        <v>3177</v>
      </c>
      <c r="F1493" t="s">
        <v>8702</v>
      </c>
      <c r="G1493" t="s">
        <v>3990</v>
      </c>
    </row>
    <row r="1494" spans="1:7" x14ac:dyDescent="0.25">
      <c r="A1494" t="s">
        <v>2023</v>
      </c>
      <c r="B1494" t="s">
        <v>2864</v>
      </c>
      <c r="C1494">
        <v>2003</v>
      </c>
      <c r="E1494" t="s">
        <v>3306</v>
      </c>
      <c r="F1494" t="s">
        <v>9455</v>
      </c>
      <c r="G1494" t="s">
        <v>3990</v>
      </c>
    </row>
    <row r="1495" spans="1:7" x14ac:dyDescent="0.25">
      <c r="A1495" t="s">
        <v>2769</v>
      </c>
      <c r="B1495" t="s">
        <v>2864</v>
      </c>
      <c r="C1495">
        <v>2012</v>
      </c>
      <c r="E1495" s="10" t="s">
        <v>9961</v>
      </c>
      <c r="F1495" t="s">
        <v>9962</v>
      </c>
      <c r="G1495" t="s">
        <v>3990</v>
      </c>
    </row>
    <row r="1496" spans="1:7" x14ac:dyDescent="0.25">
      <c r="A1496" t="s">
        <v>1795</v>
      </c>
      <c r="B1496" t="s">
        <v>2866</v>
      </c>
      <c r="C1496">
        <v>1987</v>
      </c>
      <c r="E1496" t="s">
        <v>3288</v>
      </c>
      <c r="F1496" t="s">
        <v>8940</v>
      </c>
      <c r="G1496" t="s">
        <v>3990</v>
      </c>
    </row>
    <row r="1497" spans="1:7" x14ac:dyDescent="0.25">
      <c r="A1497" t="s">
        <v>2489</v>
      </c>
      <c r="B1497" t="s">
        <v>2874</v>
      </c>
      <c r="C1497">
        <v>2002</v>
      </c>
      <c r="D1497" t="s">
        <v>187</v>
      </c>
      <c r="F1497" t="s">
        <v>9791</v>
      </c>
      <c r="G1497" t="s">
        <v>3990</v>
      </c>
    </row>
    <row r="1498" spans="1:7" x14ac:dyDescent="0.25">
      <c r="A1498" t="s">
        <v>2804</v>
      </c>
      <c r="B1498" t="s">
        <v>2882</v>
      </c>
      <c r="C1498">
        <v>2021</v>
      </c>
      <c r="E1498" t="s">
        <v>3430</v>
      </c>
      <c r="F1498" t="s">
        <v>9350</v>
      </c>
      <c r="G1498" t="s">
        <v>3990</v>
      </c>
    </row>
    <row r="1499" spans="1:7" x14ac:dyDescent="0.25">
      <c r="A1499" t="s">
        <v>2824</v>
      </c>
      <c r="B1499" t="s">
        <v>2886</v>
      </c>
      <c r="C1499">
        <v>2019</v>
      </c>
      <c r="D1499" t="s">
        <v>187</v>
      </c>
      <c r="F1499" t="s">
        <v>9792</v>
      </c>
      <c r="G1499" t="s">
        <v>3990</v>
      </c>
    </row>
    <row r="1500" spans="1:7" x14ac:dyDescent="0.25">
      <c r="A1500" t="s">
        <v>549</v>
      </c>
      <c r="B1500" t="s">
        <v>2890</v>
      </c>
      <c r="C1500">
        <v>2017</v>
      </c>
      <c r="E1500" t="s">
        <v>3076</v>
      </c>
      <c r="F1500" t="s">
        <v>8559</v>
      </c>
      <c r="G1500" t="s">
        <v>3990</v>
      </c>
    </row>
    <row r="1501" spans="1:7" x14ac:dyDescent="0.25">
      <c r="A1501" t="s">
        <v>1690</v>
      </c>
      <c r="B1501" t="s">
        <v>2890</v>
      </c>
      <c r="C1501">
        <v>2020</v>
      </c>
      <c r="E1501" t="s">
        <v>3076</v>
      </c>
      <c r="F1501" t="s">
        <v>8903</v>
      </c>
      <c r="G1501" t="s">
        <v>3990</v>
      </c>
    </row>
    <row r="1502" spans="1:7" x14ac:dyDescent="0.25">
      <c r="A1502" t="s">
        <v>2132</v>
      </c>
      <c r="B1502" t="s">
        <v>2890</v>
      </c>
      <c r="C1502">
        <v>2013</v>
      </c>
      <c r="E1502" t="s">
        <v>3076</v>
      </c>
      <c r="F1502" t="s">
        <v>8997</v>
      </c>
      <c r="G1502" t="s">
        <v>3990</v>
      </c>
    </row>
    <row r="1503" spans="1:7" x14ac:dyDescent="0.25">
      <c r="A1503" t="s">
        <v>90</v>
      </c>
      <c r="B1503" t="s">
        <v>2890</v>
      </c>
      <c r="C1503">
        <v>2017</v>
      </c>
      <c r="E1503" t="s">
        <v>3076</v>
      </c>
      <c r="F1503" t="s">
        <v>9167</v>
      </c>
      <c r="G1503" t="s">
        <v>3990</v>
      </c>
    </row>
    <row r="1504" spans="1:7" x14ac:dyDescent="0.25">
      <c r="A1504" t="s">
        <v>2428</v>
      </c>
      <c r="B1504" t="s">
        <v>2890</v>
      </c>
      <c r="C1504">
        <v>2008</v>
      </c>
      <c r="E1504" t="s">
        <v>3076</v>
      </c>
      <c r="F1504" t="s">
        <v>9216</v>
      </c>
      <c r="G1504" t="s">
        <v>3990</v>
      </c>
    </row>
    <row r="1505" spans="1:7" x14ac:dyDescent="0.25">
      <c r="A1505" t="s">
        <v>160</v>
      </c>
      <c r="B1505" t="s">
        <v>2890</v>
      </c>
      <c r="C1505">
        <v>2011</v>
      </c>
      <c r="E1505" t="s">
        <v>3076</v>
      </c>
      <c r="F1505" t="s">
        <v>9298</v>
      </c>
      <c r="G1505" t="s">
        <v>3990</v>
      </c>
    </row>
    <row r="1506" spans="1:7" x14ac:dyDescent="0.25">
      <c r="A1506" t="s">
        <v>759</v>
      </c>
      <c r="B1506" t="s">
        <v>2894</v>
      </c>
      <c r="C1506">
        <v>2018</v>
      </c>
      <c r="D1506" t="s">
        <v>187</v>
      </c>
      <c r="E1506" t="s">
        <v>3125</v>
      </c>
      <c r="F1506" t="s">
        <v>8624</v>
      </c>
      <c r="G1506" t="s">
        <v>3990</v>
      </c>
    </row>
    <row r="1507" spans="1:7" x14ac:dyDescent="0.25">
      <c r="A1507" t="s">
        <v>1549</v>
      </c>
      <c r="B1507" t="s">
        <v>2896</v>
      </c>
      <c r="C1507">
        <v>2021</v>
      </c>
      <c r="E1507" t="s">
        <v>3256</v>
      </c>
      <c r="F1507" t="s">
        <v>9454</v>
      </c>
      <c r="G1507" t="s">
        <v>3990</v>
      </c>
    </row>
    <row r="1508" spans="1:7" x14ac:dyDescent="0.25">
      <c r="A1508" t="s">
        <v>2122</v>
      </c>
      <c r="B1508" t="s">
        <v>2896</v>
      </c>
      <c r="C1508">
        <v>2020</v>
      </c>
      <c r="D1508" t="s">
        <v>187</v>
      </c>
      <c r="F1508" t="s">
        <v>9793</v>
      </c>
      <c r="G1508" t="s">
        <v>3990</v>
      </c>
    </row>
    <row r="1509" spans="1:7" x14ac:dyDescent="0.25">
      <c r="A1509" t="s">
        <v>90</v>
      </c>
      <c r="B1509" t="s">
        <v>2896</v>
      </c>
      <c r="C1509">
        <v>2017</v>
      </c>
      <c r="E1509" t="s">
        <v>3383</v>
      </c>
      <c r="F1509" t="s">
        <v>9451</v>
      </c>
      <c r="G1509" t="s">
        <v>3990</v>
      </c>
    </row>
    <row r="1510" spans="1:7" x14ac:dyDescent="0.25">
      <c r="A1510" t="s">
        <v>2506</v>
      </c>
      <c r="B1510" t="s">
        <v>2896</v>
      </c>
      <c r="C1510">
        <v>2021</v>
      </c>
      <c r="E1510" s="10" t="s">
        <v>9453</v>
      </c>
      <c r="F1510" t="s">
        <v>9452</v>
      </c>
      <c r="G1510" t="s">
        <v>3990</v>
      </c>
    </row>
    <row r="1511" spans="1:7" x14ac:dyDescent="0.25">
      <c r="A1511" t="s">
        <v>1294</v>
      </c>
      <c r="B1511" t="s">
        <v>2901</v>
      </c>
      <c r="C1511">
        <v>2019</v>
      </c>
      <c r="E1511" s="10" t="s">
        <v>7941</v>
      </c>
      <c r="F1511" t="s">
        <v>8813</v>
      </c>
      <c r="G1511" t="s">
        <v>3990</v>
      </c>
    </row>
    <row r="1512" spans="1:7" x14ac:dyDescent="0.25">
      <c r="A1512" t="s">
        <v>90</v>
      </c>
      <c r="B1512" t="s">
        <v>2904</v>
      </c>
      <c r="C1512">
        <v>2017</v>
      </c>
      <c r="E1512" t="s">
        <v>3384</v>
      </c>
      <c r="F1512" t="s">
        <v>9168</v>
      </c>
      <c r="G1512" t="s">
        <v>3990</v>
      </c>
    </row>
    <row r="1513" spans="1:7" x14ac:dyDescent="0.25">
      <c r="A1513" t="s">
        <v>2906</v>
      </c>
      <c r="B1513" t="s">
        <v>2910</v>
      </c>
      <c r="C1513">
        <v>2018</v>
      </c>
      <c r="D1513" t="s">
        <v>187</v>
      </c>
      <c r="F1513" t="s">
        <v>9794</v>
      </c>
      <c r="G1513" t="s">
        <v>3990</v>
      </c>
    </row>
    <row r="1514" spans="1:7" x14ac:dyDescent="0.25">
      <c r="A1514" t="s">
        <v>160</v>
      </c>
      <c r="B1514" t="s">
        <v>2914</v>
      </c>
      <c r="C1514">
        <v>2011</v>
      </c>
      <c r="E1514" t="s">
        <v>2982</v>
      </c>
      <c r="F1514" t="s">
        <v>9299</v>
      </c>
      <c r="G1514" t="s">
        <v>3990</v>
      </c>
    </row>
    <row r="1515" spans="1:7" x14ac:dyDescent="0.25">
      <c r="A1515" t="s">
        <v>353</v>
      </c>
      <c r="B1515" t="s">
        <v>2918</v>
      </c>
      <c r="C1515">
        <v>2023</v>
      </c>
      <c r="E1515" t="s">
        <v>3051</v>
      </c>
      <c r="F1515" t="s">
        <v>8526</v>
      </c>
      <c r="G1515" t="s">
        <v>3990</v>
      </c>
    </row>
    <row r="1516" spans="1:7" x14ac:dyDescent="0.25">
      <c r="A1516" t="s">
        <v>353</v>
      </c>
      <c r="B1516" t="s">
        <v>2920</v>
      </c>
      <c r="C1516">
        <v>2023</v>
      </c>
      <c r="E1516" t="s">
        <v>3052</v>
      </c>
      <c r="F1516" t="s">
        <v>9795</v>
      </c>
      <c r="G1516" t="s">
        <v>187</v>
      </c>
    </row>
    <row r="1517" spans="1:7" x14ac:dyDescent="0.25">
      <c r="A1517" t="s">
        <v>873</v>
      </c>
      <c r="B1517" t="s">
        <v>2924</v>
      </c>
      <c r="C1517">
        <v>2019</v>
      </c>
      <c r="E1517" s="10" t="s">
        <v>8363</v>
      </c>
      <c r="F1517" t="s">
        <v>8662</v>
      </c>
      <c r="G1517" t="s">
        <v>3990</v>
      </c>
    </row>
    <row r="1518" spans="1:7" x14ac:dyDescent="0.25">
      <c r="A1518" t="s">
        <v>90</v>
      </c>
      <c r="B1518" t="s">
        <v>2924</v>
      </c>
      <c r="C1518">
        <v>2017</v>
      </c>
      <c r="E1518" t="s">
        <v>3385</v>
      </c>
      <c r="F1518" t="s">
        <v>9169</v>
      </c>
      <c r="G1518" t="s">
        <v>3990</v>
      </c>
    </row>
    <row r="1519" spans="1:7" x14ac:dyDescent="0.25">
      <c r="A1519" t="s">
        <v>2080</v>
      </c>
      <c r="B1519" t="s">
        <v>2928</v>
      </c>
      <c r="C1519">
        <v>2015</v>
      </c>
      <c r="E1519" t="s">
        <v>2982</v>
      </c>
      <c r="F1519" t="s">
        <v>8987</v>
      </c>
      <c r="G1519" t="s">
        <v>3990</v>
      </c>
    </row>
    <row r="1520" spans="1:7" x14ac:dyDescent="0.25">
      <c r="A1520" t="s">
        <v>1294</v>
      </c>
      <c r="B1520" t="s">
        <v>2931</v>
      </c>
      <c r="C1520">
        <v>2019</v>
      </c>
      <c r="E1520" t="s">
        <v>3013</v>
      </c>
      <c r="F1520" t="s">
        <v>9796</v>
      </c>
      <c r="G1520" t="s">
        <v>187</v>
      </c>
    </row>
    <row r="1521" spans="1:7" x14ac:dyDescent="0.25">
      <c r="A1521" t="s">
        <v>2804</v>
      </c>
      <c r="B1521" t="s">
        <v>2933</v>
      </c>
      <c r="C1521">
        <v>2021</v>
      </c>
      <c r="E1521" t="s">
        <v>3013</v>
      </c>
      <c r="F1521" t="s">
        <v>9797</v>
      </c>
      <c r="G1521" t="s">
        <v>187</v>
      </c>
    </row>
    <row r="1522" spans="1:7" x14ac:dyDescent="0.25">
      <c r="A1522" t="s">
        <v>90</v>
      </c>
      <c r="B1522" t="s">
        <v>2937</v>
      </c>
      <c r="C1522">
        <v>2017</v>
      </c>
      <c r="E1522" t="s">
        <v>3013</v>
      </c>
      <c r="F1522" t="s">
        <v>9798</v>
      </c>
      <c r="G1522" t="s">
        <v>187</v>
      </c>
    </row>
    <row r="1523" spans="1:7" x14ac:dyDescent="0.25">
      <c r="A1523" t="s">
        <v>2447</v>
      </c>
      <c r="B1523" t="s">
        <v>2941</v>
      </c>
      <c r="C1523">
        <v>2014</v>
      </c>
      <c r="E1523" t="s">
        <v>3397</v>
      </c>
      <c r="F1523" t="s">
        <v>9217</v>
      </c>
      <c r="G1523" t="s">
        <v>3990</v>
      </c>
    </row>
    <row r="1524" spans="1:7" x14ac:dyDescent="0.25">
      <c r="A1524" t="s">
        <v>2721</v>
      </c>
      <c r="B1524" t="s">
        <v>2943</v>
      </c>
      <c r="C1524">
        <v>1993</v>
      </c>
      <c r="E1524" t="s">
        <v>3420</v>
      </c>
      <c r="F1524" t="s">
        <v>9799</v>
      </c>
      <c r="G1524" t="s">
        <v>187</v>
      </c>
    </row>
    <row r="1525" spans="1:7" x14ac:dyDescent="0.25">
      <c r="A1525" t="s">
        <v>260</v>
      </c>
      <c r="B1525" t="s">
        <v>2947</v>
      </c>
      <c r="C1525">
        <v>1990</v>
      </c>
      <c r="E1525" t="s">
        <v>3005</v>
      </c>
      <c r="F1525" t="s">
        <v>8467</v>
      </c>
      <c r="G1525" t="s">
        <v>3990</v>
      </c>
    </row>
    <row r="1526" spans="1:7" x14ac:dyDescent="0.25">
      <c r="A1526" t="s">
        <v>1294</v>
      </c>
      <c r="B1526" t="s">
        <v>2950</v>
      </c>
      <c r="C1526">
        <v>2019</v>
      </c>
      <c r="E1526" t="s">
        <v>2982</v>
      </c>
      <c r="F1526" t="s">
        <v>8814</v>
      </c>
      <c r="G1526" t="s">
        <v>3990</v>
      </c>
    </row>
    <row r="1527" spans="1:7" x14ac:dyDescent="0.25">
      <c r="A1527" t="s">
        <v>90</v>
      </c>
      <c r="B1527" t="s">
        <v>2950</v>
      </c>
      <c r="C1527">
        <v>2017</v>
      </c>
      <c r="E1527" t="s">
        <v>2982</v>
      </c>
      <c r="F1527" t="s">
        <v>9170</v>
      </c>
      <c r="G1527" t="s">
        <v>3990</v>
      </c>
    </row>
    <row r="1528" spans="1:7" x14ac:dyDescent="0.25">
      <c r="A1528" t="s">
        <v>2954</v>
      </c>
      <c r="B1528" t="s">
        <v>2958</v>
      </c>
      <c r="C1528">
        <v>2014</v>
      </c>
      <c r="D1528" t="s">
        <v>187</v>
      </c>
      <c r="F1528" t="s">
        <v>9800</v>
      </c>
      <c r="G1528" t="s">
        <v>3990</v>
      </c>
    </row>
    <row r="1529" spans="1:7" x14ac:dyDescent="0.25">
      <c r="A1529" t="s">
        <v>260</v>
      </c>
      <c r="B1529" t="s">
        <v>2962</v>
      </c>
      <c r="C1529">
        <v>1990</v>
      </c>
      <c r="E1529" t="s">
        <v>3006</v>
      </c>
      <c r="F1529" t="s">
        <v>8468</v>
      </c>
      <c r="G1529" t="s">
        <v>3990</v>
      </c>
    </row>
    <row r="1530" spans="1:7" x14ac:dyDescent="0.25">
      <c r="A1530" t="s">
        <v>525</v>
      </c>
      <c r="B1530" t="s">
        <v>2962</v>
      </c>
      <c r="C1530">
        <v>2005</v>
      </c>
      <c r="E1530" t="s">
        <v>3006</v>
      </c>
      <c r="F1530" t="s">
        <v>8556</v>
      </c>
      <c r="G1530" t="s">
        <v>3990</v>
      </c>
    </row>
    <row r="1531" spans="1:7" x14ac:dyDescent="0.25">
      <c r="A1531" t="s">
        <v>964</v>
      </c>
      <c r="B1531" t="s">
        <v>2962</v>
      </c>
      <c r="C1531">
        <v>2006</v>
      </c>
      <c r="E1531" t="s">
        <v>3006</v>
      </c>
      <c r="F1531" t="s">
        <v>9449</v>
      </c>
      <c r="G1531" t="s">
        <v>3990</v>
      </c>
    </row>
    <row r="1532" spans="1:7" x14ac:dyDescent="0.25">
      <c r="A1532" t="s">
        <v>1287</v>
      </c>
      <c r="B1532" t="s">
        <v>2962</v>
      </c>
      <c r="C1532">
        <v>2022</v>
      </c>
      <c r="E1532" t="s">
        <v>3006</v>
      </c>
      <c r="F1532" t="s">
        <v>8776</v>
      </c>
      <c r="G1532" t="s">
        <v>3990</v>
      </c>
    </row>
    <row r="1533" spans="1:7" x14ac:dyDescent="0.25">
      <c r="A1533" t="s">
        <v>2634</v>
      </c>
      <c r="B1533" t="s">
        <v>2962</v>
      </c>
      <c r="C1533">
        <v>2014</v>
      </c>
      <c r="E1533" t="s">
        <v>3006</v>
      </c>
      <c r="F1533" t="s">
        <v>9301</v>
      </c>
      <c r="G1533" t="s">
        <v>3990</v>
      </c>
    </row>
    <row r="1534" spans="1:7" x14ac:dyDescent="0.25">
      <c r="A1534" t="s">
        <v>2947</v>
      </c>
      <c r="B1534" t="s">
        <v>2962</v>
      </c>
      <c r="C1534">
        <v>1994</v>
      </c>
      <c r="E1534" t="s">
        <v>3006</v>
      </c>
      <c r="F1534" t="s">
        <v>9362</v>
      </c>
      <c r="G1534" t="s">
        <v>3990</v>
      </c>
    </row>
    <row r="1535" spans="1:7" x14ac:dyDescent="0.25">
      <c r="A1535" t="s">
        <v>1255</v>
      </c>
      <c r="B1535" t="s">
        <v>2965</v>
      </c>
      <c r="C1535">
        <v>2020</v>
      </c>
      <c r="E1535" t="s">
        <v>3215</v>
      </c>
      <c r="F1535" t="s">
        <v>8764</v>
      </c>
      <c r="G1535" t="s">
        <v>3990</v>
      </c>
    </row>
    <row r="1536" spans="1:7" x14ac:dyDescent="0.25">
      <c r="A1536" t="s">
        <v>90</v>
      </c>
      <c r="B1536" t="s">
        <v>2965</v>
      </c>
      <c r="C1536">
        <v>2017</v>
      </c>
      <c r="E1536" t="s">
        <v>3215</v>
      </c>
      <c r="F1536" t="s">
        <v>9171</v>
      </c>
      <c r="G1536" t="s">
        <v>3990</v>
      </c>
    </row>
    <row r="1537" spans="1:7" x14ac:dyDescent="0.25">
      <c r="A1537" t="s">
        <v>353</v>
      </c>
      <c r="B1537" t="s">
        <v>2969</v>
      </c>
      <c r="C1537">
        <v>2023</v>
      </c>
      <c r="E1537" t="s">
        <v>3053</v>
      </c>
      <c r="F1537" t="s">
        <v>9450</v>
      </c>
      <c r="G1537" t="s">
        <v>3990</v>
      </c>
    </row>
    <row r="1538" spans="1:7" x14ac:dyDescent="0.25">
      <c r="A1538" t="s">
        <v>260</v>
      </c>
      <c r="B1538" t="s">
        <v>2972</v>
      </c>
      <c r="C1538">
        <v>1990</v>
      </c>
      <c r="E1538" t="s">
        <v>2982</v>
      </c>
      <c r="F1538" t="s">
        <v>8469</v>
      </c>
      <c r="G1538" t="s">
        <v>3990</v>
      </c>
    </row>
    <row r="1539" spans="1:7" x14ac:dyDescent="0.25">
      <c r="A1539" t="s">
        <v>2107</v>
      </c>
      <c r="B1539" t="s">
        <v>14136</v>
      </c>
      <c r="C1539">
        <v>2020</v>
      </c>
      <c r="E1539" s="10" t="s">
        <v>14195</v>
      </c>
      <c r="F1539" t="s">
        <v>14196</v>
      </c>
      <c r="G1539"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 ref="E1539" r:id="rId994" xr:uid="{A8125A2B-FEC8-406F-9786-A0941B8FB576}"/>
  </hyperlinks>
  <pageMargins left="0.7" right="0.7" top="0.75" bottom="0.75" header="0.511811023622047" footer="0.511811023622047"/>
  <pageSetup orientation="portrait" horizontalDpi="300" verticalDpi="300"/>
  <tableParts count="1">
    <tablePart r:id="rId9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Dumb Bell</t>
        </is>
      </c>
      <c r="B24" t="inlineStr">
        <is>
          <t xml:space="preserve">Uncommon</t>
        </is>
      </c>
      <c r="C24" t="inlineStr">
        <is>
          <t xml:space="preserve">Passive</t>
        </is>
      </c>
      <c r="D24" t="inlineStr">
        <is>
          <t xml:space="preserve">When Charging a Weapon, Gain +1 Temporary Strength</t>
        </is>
      </c>
      <c r="E24" t="inlineStr">
        <is>
          <t xml:space="preserve">weapon_charged: apply_status strength 1 games=1</t>
        </is>
      </c>
      <c r="F24" t="inlineStr">
        <is>
          <t xml:space="preserve">Peglin</t>
        </is>
      </c>
      <c r="G24" t="inlineStr">
        <is>
          <t xml:space="preserve">bell</t>
        </is>
      </c>
      <c r="I24" t="inlineStr">
        <is>
          <t xml:space="preserve">DumbBell</t>
        </is>
      </c>
      <c r="J24" t="inlineStr">
        <is>
          <t xml:space="preserve">Stats</t>
        </is>
      </c>
    </row>
    <row r="25" spans="1:10">
      <c r="A25" t="inlineStr">
        <is>
          <t xml:space="preserve">Echo Chamber</t>
        </is>
      </c>
      <c r="B25" t="inlineStr">
        <is>
          <t xml:space="preserve">Rare</t>
        </is>
      </c>
      <c r="C25" t="inlineStr">
        <is>
          <t xml:space="preserve">Passive</t>
        </is>
      </c>
      <c r="D25" t="inlineStr">
        <is>
          <t xml:space="preserve">Whenever you use Loot, you also use a copy of the last 3 Loot you used after picking up Echo Chamber</t>
        </is>
      </c>
      <c r="E25" t="inlineStr">
        <is>
          <t xml:space="preserve">echo_loot 3</t>
        </is>
      </c>
      <c r="F25" t="inlineStr">
        <is>
          <t xml:space="preserve">The Binding of Isaac: Rebirth</t>
        </is>
      </c>
      <c r="I25" t="inlineStr">
        <is>
          <t xml:space="preserve">EchoChamber</t>
        </is>
      </c>
      <c r="J25" t="inlineStr">
        <is>
          <t xml:space="preserve">Loot</t>
        </is>
      </c>
    </row>
    <row r="26" spans="1:10">
      <c r="A26" t="inlineStr">
        <is>
          <t xml:space="preserve">Fanny Pack</t>
        </is>
      </c>
      <c r="B26" t="inlineStr">
        <is>
          <t xml:space="preserve">Uncommon</t>
        </is>
      </c>
      <c r="C26" t="inlineStr">
        <is>
          <t xml:space="preserve">Passive</t>
        </is>
      </c>
      <c r="D26" t="inlineStr">
        <is>
          <t xml:space="preserve">50% chance to spawn 1 random loot on the grid when losing health</t>
        </is>
      </c>
      <c r="E26" t="inlineStr">
        <is>
          <t xml:space="preserve">health_lost: 50% chance drop_loot 1</t>
        </is>
      </c>
      <c r="F26" t="inlineStr">
        <is>
          <t xml:space="preserve">The Binding of Isaac: Rebirth</t>
        </is>
      </c>
      <c r="G26" t="inlineStr">
        <is>
          <t xml:space="preserve">wearable, bag</t>
        </is>
      </c>
      <c r="I26" t="inlineStr">
        <is>
          <t xml:space="preserve">FannyPack</t>
        </is>
      </c>
      <c r="J26" t="inlineStr">
        <is>
          <t xml:space="preserve">Economy</t>
        </is>
      </c>
    </row>
    <row r="27" spans="1:10">
      <c r="A27" t="inlineStr">
        <is>
          <t xml:space="preserve">Fortune Necklace</t>
        </is>
      </c>
      <c r="B27" t="inlineStr">
        <is>
          <t xml:space="preserve">Common</t>
        </is>
      </c>
      <c r="C27" t="inlineStr">
        <is>
          <t xml:space="preserve">Triggered</t>
        </is>
      </c>
      <c r="D27" t="inlineStr">
        <is>
          <t xml:space="preserve">When selecting a game, Gain +1 Gold, but this is destroyed when taking damage</t>
        </is>
      </c>
      <c r="E27" t="inlineStr">
        <is>
          <t xml:space="preserve">game_selected: gain_gold 1; destroy_on_damage</t>
        </is>
      </c>
      <c r="F27" t="inlineStr">
        <is>
          <t xml:space="preserve">Mewgenics</t>
        </is>
      </c>
      <c r="G27" t="inlineStr">
        <is>
          <t xml:space="preserve">wearable, necklace</t>
        </is>
      </c>
      <c r="I27" t="inlineStr">
        <is>
          <t xml:space="preserve">FortuneNecklace</t>
        </is>
      </c>
      <c r="J27" t="inlineStr">
        <is>
          <t xml:space="preserve">Economy</t>
        </is>
      </c>
    </row>
    <row r="28" spans="1:10">
      <c r="A28" t="inlineStr">
        <is>
          <t xml:space="preserve">Gasoline</t>
        </is>
      </c>
      <c r="B28" t="inlineStr">
        <is>
          <t xml:space="preserve">Common</t>
        </is>
      </c>
      <c r="C28" t="inlineStr">
        <is>
          <t xml:space="preserve">Passive</t>
        </is>
      </c>
      <c r="D28" t="inlineStr">
        <is>
          <t xml:space="preserve">Whenever an Enemy is defeated, Add the Fire Tile Effect to the Tile it died on</t>
        </is>
      </c>
      <c r="E28" t="inlineStr">
        <is>
          <t xml:space="preserve">death_tile fire</t>
        </is>
      </c>
      <c r="F28" t="inlineStr">
        <is>
          <t xml:space="preserve">Risk of Rain 2</t>
        </is>
      </c>
      <c r="G28" t="inlineStr">
        <is>
          <t xml:space="preserve">fire</t>
        </is>
      </c>
      <c r="I28" t="inlineStr">
        <is>
          <t xml:space="preserve">Gasoline</t>
        </is>
      </c>
      <c r="J28" t="inlineStr">
        <is>
          <t xml:space="preserve">Grid</t>
        </is>
      </c>
    </row>
    <row r="29" spans="1:10">
      <c r="A29" t="inlineStr">
        <is>
          <t xml:space="preserve">Golden Idol</t>
        </is>
      </c>
      <c r="B29" t="inlineStr">
        <is>
          <t xml:space="preserve">Event</t>
        </is>
      </c>
      <c r="C29" t="inlineStr">
        <is>
          <t xml:space="preserve">Passive</t>
        </is>
      </c>
      <c r="D29" t="inlineStr">
        <is>
          <t xml:space="preserve">All enemies drop +1 Gold</t>
        </is>
      </c>
      <c r="E29" t="inlineStr">
        <is>
          <t xml:space="preserve">gold_per_enemy: 1</t>
        </is>
      </c>
      <c r="F29" t="inlineStr">
        <is>
          <t xml:space="preserve">Slay the Spire</t>
        </is>
      </c>
      <c r="G29" t="inlineStr">
        <is>
          <t xml:space="preserve">gold</t>
        </is>
      </c>
      <c r="I29" t="inlineStr">
        <is>
          <t xml:space="preserve">GoldenIdol</t>
        </is>
      </c>
      <c r="J29" t="inlineStr">
        <is>
          <t xml:space="preserve">Economy</t>
        </is>
      </c>
    </row>
    <row r="30" spans="1:10">
      <c r="A30" t="inlineStr">
        <is>
          <t xml:space="preserve">Hollow Heart</t>
        </is>
      </c>
      <c r="B30" t="inlineStr">
        <is>
          <t xml:space="preserve">Common</t>
        </is>
      </c>
      <c r="C30" t="inlineStr">
        <is>
          <t xml:space="preserve">Pickup</t>
        </is>
      </c>
      <c r="D30" t="inlineStr">
        <is>
          <t xml:space="preserve">Gain +4 Empty Max Health</t>
        </is>
      </c>
      <c r="E30" t="inlineStr">
        <is>
          <t xml:space="preserve">item_acquired: gain_empty_max_hp 4</t>
        </is>
      </c>
      <c r="F30" t="inlineStr">
        <is>
          <t xml:space="preserve">Vampire Survivors</t>
        </is>
      </c>
      <c r="G30" t="inlineStr">
        <is>
          <t xml:space="preserve">heart</t>
        </is>
      </c>
      <c r="I30" t="inlineStr">
        <is>
          <t xml:space="preserve">HollowHeart</t>
        </is>
      </c>
      <c r="J30" t="inlineStr">
        <is>
          <t xml:space="preserve">Health</t>
        </is>
      </c>
    </row>
    <row r="31" spans="1:10">
      <c r="A31" t="inlineStr">
        <is>
          <t xml:space="preserve">Hot Bombs</t>
        </is>
      </c>
      <c r="B31" t="inlineStr">
        <is>
          <t xml:space="preserve">Uncommon</t>
        </is>
      </c>
      <c r="C31" t="inlineStr">
        <is>
          <t xml:space="preserve">Passive</t>
        </is>
      </c>
      <c r="D31" t="inlineStr">
        <is>
          <t xml:space="preserve">Gain +1 Bomb and Bombs Apply the Fire Tile</t>
        </is>
      </c>
      <c r="E31" t="inlineStr">
        <is>
          <t xml:space="preserve">item_acquired: gain_stat bombs 1; bomb_tile fire</t>
        </is>
      </c>
      <c r="F31" t="inlineStr">
        <is>
          <t xml:space="preserve">The Binding of Isaac: Rebirth</t>
        </is>
      </c>
      <c r="G31" t="inlineStr">
        <is>
          <t xml:space="preserve">bomb, fire</t>
        </is>
      </c>
      <c r="I31" t="inlineStr">
        <is>
          <t xml:space="preserve">HotBombs</t>
        </is>
      </c>
      <c r="J31" t="inlineStr">
        <is>
          <t xml:space="preserve">Bomb, Grid</t>
        </is>
      </c>
    </row>
    <row r="32" spans="1:10">
      <c r="A32" t="inlineStr">
        <is>
          <t xml:space="preserve">Infusion</t>
        </is>
      </c>
      <c r="B32" t="inlineStr">
        <is>
          <t xml:space="preserve">Uncommon</t>
        </is>
      </c>
      <c r="C32" t="inlineStr">
        <is>
          <t xml:space="preserve">Triggered</t>
        </is>
      </c>
      <c r="D32" t="inlineStr">
        <is>
          <t xml:space="preserve">Every time you defeat an Enemy, Gain +1 Empty Max Health</t>
        </is>
      </c>
      <c r="E32" t="inlineStr">
        <is>
          <t xml:space="preserve">enemy_killed: gain_empty_max_hp 1</t>
        </is>
      </c>
      <c r="F32" t="inlineStr">
        <is>
          <t xml:space="preserve">Risk of Rain 2</t>
        </is>
      </c>
      <c r="G32" t="inlineStr">
        <is>
          <t xml:space="preserve">blood</t>
        </is>
      </c>
      <c r="I32" t="inlineStr">
        <is>
          <t xml:space="preserve">Infusion</t>
        </is>
      </c>
      <c r="J32" t="inlineStr">
        <is>
          <t xml:space="preserve">Health</t>
        </is>
      </c>
    </row>
    <row r="33" spans="1:10">
      <c r="A33" t="inlineStr">
        <is>
          <t xml:space="preserve">IV Bag</t>
        </is>
      </c>
      <c r="B33" t="inlineStr">
        <is>
          <t xml:space="preserve">Event</t>
        </is>
      </c>
      <c r="C33" t="inlineStr">
        <is>
          <t xml:space="preserve">Usable, 0</t>
        </is>
      </c>
      <c r="D33" t="inlineStr">
        <is>
          <t xml:space="preserve">Lose 1 Health and Gain +1 Gold</t>
        </is>
      </c>
      <c r="E33" t="inlineStr">
        <is>
          <t xml:space="preserve">item_used: lose_hp 1; gain_gold 1</t>
        </is>
      </c>
      <c r="F33" t="inlineStr">
        <is>
          <t xml:space="preserve">The Binding of Isaac</t>
        </is>
      </c>
      <c r="G33" t="inlineStr">
        <is>
          <t xml:space="preserve">blood</t>
        </is>
      </c>
      <c r="I33" t="inlineStr">
        <is>
          <t xml:space="preserve">IvBag</t>
        </is>
      </c>
      <c r="J33" t="inlineStr">
        <is>
          <t xml:space="preserve">Economy</t>
        </is>
      </c>
    </row>
    <row r="34" spans="1:10">
      <c r="A34" t="inlineStr">
        <is>
          <t xml:space="preserve">Knight Cap</t>
        </is>
      </c>
      <c r="B34" t="inlineStr">
        <is>
          <t xml:space="preserve">Common</t>
        </is>
      </c>
      <c r="C34" t="inlineStr">
        <is>
          <t xml:space="preserve">Passive</t>
        </is>
      </c>
      <c r="D34" t="inlineStr">
        <is>
          <t xml:space="preserve">After Combat ends, Gain +1 Health if you had remaining Shield</t>
        </is>
      </c>
      <c r="E34" t="inlineStr">
        <is>
          <t xml:space="preserve">game_beaten if_shields: gain_hp 1</t>
        </is>
      </c>
      <c r="F34" t="inlineStr">
        <is>
          <t xml:space="preserve">Peglin</t>
        </is>
      </c>
      <c r="G34" t="inlineStr">
        <is>
          <t xml:space="preserve">wearable, hat</t>
        </is>
      </c>
      <c r="I34" t="inlineStr">
        <is>
          <t xml:space="preserve">KnightCap</t>
        </is>
      </c>
      <c r="J34" t="inlineStr">
        <is>
          <t xml:space="preserve">Health</t>
        </is>
      </c>
    </row>
    <row r="35" spans="1:10">
      <c r="A35" t="inlineStr">
        <is>
          <t xml:space="preserve">Landmines</t>
        </is>
      </c>
      <c r="B35" t="inlineStr">
        <is>
          <t xml:space="preserve">Uncommon</t>
        </is>
      </c>
      <c r="C35" t="inlineStr">
        <is>
          <t xml:space="preserve">Passive</t>
        </is>
      </c>
      <c r="D35" t="inlineStr">
        <is>
          <t xml:space="preserve">After Combat ends, Apply the Landmine Unit to a random empty Tile</t>
        </is>
      </c>
      <c r="E35" t="inlineStr">
        <is>
          <t xml:space="preserve">game_beaten: apply_unit landmine target=random_empty</t>
        </is>
      </c>
      <c r="F35" t="inlineStr">
        <is>
          <t xml:space="preserve">Brotato</t>
        </is>
      </c>
      <c r="G35" t="inlineStr">
        <is>
          <t xml:space="preserve">bomb</t>
        </is>
      </c>
      <c r="I35" t="inlineStr">
        <is>
          <t xml:space="preserve">Landmines</t>
        </is>
      </c>
      <c r="J35" t="inlineStr">
        <is>
          <t xml:space="preserve">Grid</t>
        </is>
      </c>
    </row>
    <row r="36" spans="1:10">
      <c r="A36" t="inlineStr">
        <is>
          <t xml:space="preserve">Latch Key</t>
        </is>
      </c>
      <c r="B36" t="inlineStr">
        <is>
          <t xml:space="preserve">Common</t>
        </is>
      </c>
      <c r="C36" t="inlineStr">
        <is>
          <t xml:space="preserve">Pickup, Passive</t>
        </is>
      </c>
      <c r="D36" t="inlineStr">
        <is>
          <t xml:space="preserve">Gain +1 Key, +1 Shield, and +1 Luck</t>
        </is>
      </c>
      <c r="E36" t="inlineStr">
        <is>
          <t xml:space="preserve">passive: +1 luck; item_acquired: gain_stat keys 1; gain_stat bonus_shields 1</t>
        </is>
      </c>
      <c r="F36" t="inlineStr">
        <is>
          <t xml:space="preserve">The Binding of Isaac: Rebirth</t>
        </is>
      </c>
      <c r="G36" t="inlineStr">
        <is>
          <t xml:space="preserve">key</t>
        </is>
      </c>
      <c r="I36" t="inlineStr">
        <is>
          <t xml:space="preserve">LatchKey</t>
        </is>
      </c>
      <c r="J36" t="inlineStr">
        <is>
          <t xml:space="preserve">Economy</t>
        </is>
      </c>
    </row>
    <row r="37" spans="1:10">
      <c r="A37" t="inlineStr">
        <is>
          <t xml:space="preserve">Link Cable</t>
        </is>
      </c>
      <c r="B37" t="inlineStr">
        <is>
          <t xml:space="preserve">Rare</t>
        </is>
      </c>
      <c r="C37" t="inlineStr">
        <is>
          <t xml:space="preserve">Passive</t>
        </is>
      </c>
      <c r="D37" t="inlineStr">
        <is>
          <t xml:space="preserve">All Loot count as adjacent to each other</t>
        </is>
      </c>
      <c r="E37" t="inlineStr">
        <is>
          <t xml:space="preserve">link_loot</t>
        </is>
      </c>
      <c r="F37" t="inlineStr">
        <is>
          <t xml:space="preserve">Batomon Showdown</t>
        </is>
      </c>
      <c r="G37" t="inlineStr">
        <is>
          <t xml:space="preserve">wire</t>
        </is>
      </c>
      <c r="I37" t="inlineStr">
        <is>
          <t xml:space="preserve">LinkCable</t>
        </is>
      </c>
      <c r="J37" t="inlineStr">
        <is>
          <t xml:space="preserve">Loot</t>
        </is>
      </c>
    </row>
    <row r="38" spans="1:10">
      <c r="A38" t="inlineStr">
        <is>
          <t xml:space="preserve">Lord's Parasol</t>
        </is>
      </c>
      <c r="B38" t="inlineStr">
        <is>
          <t xml:space="preserve">Boss</t>
        </is>
      </c>
      <c r="C38" t="inlineStr">
        <is>
          <t xml:space="preserve">Passive</t>
        </is>
      </c>
      <c r="D38" t="inlineStr">
        <is>
          <t xml:space="preserve">When encountering a shop, purchase everything in it</t>
        </is>
      </c>
      <c r="E38" t="inlineStr">
        <is>
          <t xml:space="preserve">shop_sweep</t>
        </is>
      </c>
      <c r="F38" t="inlineStr">
        <is>
          <t xml:space="preserve">Slay the Spire 2</t>
        </is>
      </c>
      <c r="G38" t="inlineStr">
        <is>
          <t xml:space="preserve">umbrella</t>
        </is>
      </c>
      <c r="I38" t="inlineStr">
        <is>
          <t xml:space="preserve">LordsParasol</t>
        </is>
      </c>
      <c r="J38" t="inlineStr">
        <is>
          <t xml:space="preserve">Special</t>
        </is>
      </c>
    </row>
    <row r="39" spans="1:10">
      <c r="A39" t="inlineStr">
        <is>
          <t xml:space="preserve">Lucky Foot</t>
        </is>
      </c>
      <c r="B39" t="inlineStr">
        <is>
          <t xml:space="preserve">Uncommon</t>
        </is>
      </c>
      <c r="C39" t="inlineStr">
        <is>
          <t xml:space="preserve">Passive, Pickup</t>
        </is>
      </c>
      <c r="D39" t="inlineStr">
        <is>
          <t xml:space="preserve">Gain +1 Luck, +1 Pill, and all negative pills become positive</t>
        </is>
      </c>
      <c r="E39" t="inlineStr">
        <is>
          <t xml:space="preserve">passive: +1 luck; item_acquired: gain_pill 1; pills_positive</t>
        </is>
      </c>
      <c r="F39" t="inlineStr">
        <is>
          <t xml:space="preserve">The Binding of Isaac</t>
        </is>
      </c>
      <c r="G39" t="inlineStr">
        <is>
          <t xml:space="preserve">foot</t>
        </is>
      </c>
      <c r="I39" t="inlineStr">
        <is>
          <t xml:space="preserve">LuckyFoot</t>
        </is>
      </c>
      <c r="J39" t="inlineStr">
        <is>
          <t xml:space="preserve">Loot, Stats</t>
        </is>
      </c>
    </row>
    <row r="40" spans="1:10">
      <c r="A40" t="inlineStr">
        <is>
          <t xml:space="preserve">Lucky Fysh</t>
        </is>
      </c>
      <c r="B40" t="inlineStr">
        <is>
          <t xml:space="preserve">Uncommon</t>
        </is>
      </c>
      <c r="C40" t="inlineStr">
        <is>
          <t xml:space="preserve">Triggered</t>
        </is>
      </c>
      <c r="D40" t="inlineStr">
        <is>
          <t xml:space="preserve">Whenever you obtain a Card, Gain +1 Gold</t>
        </is>
      </c>
      <c r="E40" t="inlineStr">
        <is>
          <t xml:space="preserve">card_obtained: gain_gold 1</t>
        </is>
      </c>
      <c r="F40" t="inlineStr">
        <is>
          <t xml:space="preserve">Slay the Spire 2</t>
        </is>
      </c>
      <c r="G40" t="inlineStr">
        <is>
          <t xml:space="preserve">fish</t>
        </is>
      </c>
      <c r="I40" t="inlineStr">
        <is>
          <t xml:space="preserve">LuckyFysh</t>
        </is>
      </c>
      <c r="J40" t="inlineStr">
        <is>
          <t xml:space="preserve">Economy</t>
        </is>
      </c>
    </row>
    <row r="41" spans="1:10">
      <c r="A41" t="inlineStr">
        <is>
          <t xml:space="preserve">Lucky Hat</t>
        </is>
      </c>
      <c r="B41" t="inlineStr">
        <is>
          <t xml:space="preserve">Common</t>
        </is>
      </c>
      <c r="C41" t="inlineStr">
        <is>
          <t xml:space="preserve">Passive</t>
        </is>
      </c>
      <c r="D41" t="inlineStr">
        <is>
          <t xml:space="preserve">Gain +1 Luck, but this is destroyed when taking damage</t>
        </is>
      </c>
      <c r="E41" t="inlineStr">
        <is>
          <t xml:space="preserve">passive: +1 luck; destroy_on_damage</t>
        </is>
      </c>
      <c r="F41" t="inlineStr">
        <is>
          <t xml:space="preserve">Mewgenics</t>
        </is>
      </c>
      <c r="G41" t="inlineStr">
        <is>
          <t xml:space="preserve">wearable, hat</t>
        </is>
      </c>
      <c r="I41" t="inlineStr">
        <is>
          <t xml:space="preserve">LuckyHat</t>
        </is>
      </c>
      <c r="J41" t="inlineStr">
        <is>
          <t xml:space="preserve">Stats</t>
        </is>
      </c>
    </row>
    <row r="42" spans="1:10">
      <c r="A42" t="inlineStr">
        <is>
          <t xml:space="preserve">Lunch</t>
        </is>
      </c>
      <c r="B42" t="inlineStr">
        <is>
          <t xml:space="preserve">Common</t>
        </is>
      </c>
      <c r="C42" t="inlineStr">
        <is>
          <t xml:space="preserve">Pickup</t>
        </is>
      </c>
      <c r="D42" t="inlineStr">
        <is>
          <t xml:space="preserve">Gain +2 Max Health</t>
        </is>
      </c>
      <c r="E42" t="inlineStr">
        <is>
          <t xml:space="preserve">item_acquired: gain_max_hp 2</t>
        </is>
      </c>
      <c r="F42" t="inlineStr">
        <is>
          <t xml:space="preserve">The Binding of Isaac</t>
        </is>
      </c>
      <c r="G42" t="inlineStr">
        <is>
          <t xml:space="preserve">food</t>
        </is>
      </c>
      <c r="I42" t="inlineStr">
        <is>
          <t xml:space="preserve">Lunch</t>
        </is>
      </c>
      <c r="J42" t="inlineStr">
        <is>
          <t xml:space="preserve">Health</t>
        </is>
      </c>
    </row>
    <row r="43" spans="1:10">
      <c r="A43" t="inlineStr">
        <is>
          <t xml:space="preserve">Mango</t>
        </is>
      </c>
      <c r="B43" t="inlineStr">
        <is>
          <t xml:space="preserve">Rare</t>
        </is>
      </c>
      <c r="C43" t="inlineStr">
        <is>
          <t xml:space="preserve">Pickup</t>
        </is>
      </c>
      <c r="D43" t="inlineStr">
        <is>
          <t xml:space="preserve">Gain +4 Max Health</t>
        </is>
      </c>
      <c r="E43" t="inlineStr">
        <is>
          <t xml:space="preserve">item_acquired: gain_max_hp 4</t>
        </is>
      </c>
      <c r="F43" t="inlineStr">
        <is>
          <t xml:space="preserve">Slay the Spire</t>
        </is>
      </c>
      <c r="G43" t="inlineStr">
        <is>
          <t xml:space="preserve">food, fruit</t>
        </is>
      </c>
      <c r="I43" t="inlineStr">
        <is>
          <t xml:space="preserve">Mango</t>
        </is>
      </c>
      <c r="J43" t="inlineStr">
        <is>
          <t xml:space="preserve">Health</t>
        </is>
      </c>
    </row>
    <row r="44" spans="1:10">
      <c r="A44" t="inlineStr">
        <is>
          <t xml:space="preserve">Meat on the Bone</t>
        </is>
      </c>
      <c r="B44" t="inlineStr">
        <is>
          <t xml:space="preserve">Uncommon</t>
        </is>
      </c>
      <c r="C44" t="inlineStr">
        <is>
          <t xml:space="preserve">Triggered</t>
        </is>
      </c>
      <c r="D44" t="inlineStr">
        <is>
          <t xml:space="preserve">When your Health is at 50% or below Max Health after beating a game, gain +2 Health</t>
        </is>
      </c>
      <c r="E44" t="inlineStr">
        <is>
          <t xml:space="preserve">game_beaten: if_hp below 0.5 -&gt; gain_hp 2</t>
        </is>
      </c>
      <c r="F44" t="inlineStr">
        <is>
          <t xml:space="preserve">Slay the Spire</t>
        </is>
      </c>
      <c r="G44" t="inlineStr">
        <is>
          <t xml:space="preserve">food, meat</t>
        </is>
      </c>
      <c r="I44" t="inlineStr">
        <is>
          <t xml:space="preserve">MeatOnTheBone</t>
        </is>
      </c>
      <c r="J44" t="inlineStr">
        <is>
          <t xml:space="preserve">Health</t>
        </is>
      </c>
    </row>
    <row r="45" spans="1:10">
      <c r="A45" t="inlineStr">
        <is>
          <t xml:space="preserve">Mine-r Construction</t>
        </is>
      </c>
      <c r="B45" t="inlineStr">
        <is>
          <t xml:space="preserve">Uncommon</t>
        </is>
      </c>
      <c r="C45" t="inlineStr">
        <is>
          <t xml:space="preserve">Passive</t>
        </is>
      </c>
      <c r="D45" t="inlineStr">
        <is>
          <t xml:space="preserve">Increase the Grid length and width by 1 </t>
        </is>
      </c>
      <c r="E45" t="inlineStr">
        <is>
          <t xml:space="preserve">grid_grow</t>
        </is>
      </c>
      <c r="F45" t="inlineStr">
        <is>
          <t xml:space="preserve">BroomSweeper</t>
        </is>
      </c>
      <c r="G45" t="inlineStr">
        <is>
          <t xml:space="preserve">tool</t>
        </is>
      </c>
      <c r="I45" t="inlineStr">
        <is>
          <t xml:space="preserve">MinerConstruction</t>
        </is>
      </c>
      <c r="J45" t="inlineStr">
        <is>
          <t xml:space="preserve">Grid</t>
        </is>
      </c>
    </row>
    <row r="46" spans="1:10">
      <c r="A46" t="inlineStr">
        <is>
          <t xml:space="preserve">Mom's Bottle of Pills</t>
        </is>
      </c>
      <c r="B46" t="inlineStr">
        <is>
          <t xml:space="preserve">Common</t>
        </is>
      </c>
      <c r="C46" t="inlineStr">
        <is>
          <t xml:space="preserve">Charged, 2</t>
        </is>
      </c>
      <c r="D46" t="inlineStr">
        <is>
          <t xml:space="preserve">Gain +1 Pill</t>
        </is>
      </c>
      <c r="E46" t="inlineStr">
        <is>
          <t xml:space="preserve">item_used: gain_pill 1</t>
        </is>
      </c>
      <c r="F46" t="inlineStr">
        <is>
          <t xml:space="preserve">The Binding of Isaac</t>
        </is>
      </c>
      <c r="G46" t="inlineStr">
        <is>
          <t xml:space="preserve">mom, drugs, pills</t>
        </is>
      </c>
      <c r="I46" t="inlineStr">
        <is>
          <t xml:space="preserve">MomsBottleOfPills</t>
        </is>
      </c>
      <c r="J46" t="inlineStr">
        <is>
          <t xml:space="preserve">Loot</t>
        </is>
      </c>
    </row>
    <row r="47" spans="1:10">
      <c r="A47" t="inlineStr">
        <is>
          <t xml:space="preserve">Mom's Coin Purse</t>
        </is>
      </c>
      <c r="B47" t="inlineStr">
        <is>
          <t xml:space="preserve">Common</t>
        </is>
      </c>
      <c r="C47" t="inlineStr">
        <is>
          <t xml:space="preserve">Pickup</t>
        </is>
      </c>
      <c r="D47" t="inlineStr">
        <is>
          <t xml:space="preserve">Gain +4 Pills</t>
        </is>
      </c>
      <c r="E47" t="inlineStr">
        <is>
          <t xml:space="preserve">item_acquired: gain_pill 4</t>
        </is>
      </c>
      <c r="F47" t="inlineStr">
        <is>
          <t xml:space="preserve">The Binding of Isaac</t>
        </is>
      </c>
      <c r="G47" t="inlineStr">
        <is>
          <t xml:space="preserve">mom, bag, drugs, pills</t>
        </is>
      </c>
      <c r="I47" t="inlineStr">
        <is>
          <t xml:space="preserve">MomsCoinPurse</t>
        </is>
      </c>
      <c r="J47" t="inlineStr">
        <is>
          <t xml:space="preserve">Loot</t>
        </is>
      </c>
    </row>
    <row r="48" spans="1:10">
      <c r="A48" t="inlineStr">
        <is>
          <t xml:space="preserve">Mom's Key</t>
        </is>
      </c>
      <c r="B48" t="inlineStr">
        <is>
          <t xml:space="preserve">Uncommon</t>
        </is>
      </c>
      <c r="C48" t="inlineStr">
        <is>
          <t xml:space="preserve">Pickup, Passive</t>
        </is>
      </c>
      <c r="D48" t="inlineStr">
        <is>
          <t xml:space="preserve">Gain +1 Key, and +1 Base Chest Value</t>
        </is>
      </c>
      <c r="E48" t="inlineStr">
        <is>
          <t xml:space="preserve">item_acquired: gain_stat keys 1; base_chest_bonus: 1</t>
        </is>
      </c>
      <c r="F48" t="inlineStr">
        <is>
          <t xml:space="preserve">The Binding of Isaac: Rebirth</t>
        </is>
      </c>
      <c r="G48" t="inlineStr">
        <is>
          <t xml:space="preserve">mom, key</t>
        </is>
      </c>
      <c r="H48" t="inlineStr">
        <is>
          <t xml:space="preserve">shop</t>
        </is>
      </c>
      <c r="I48" t="inlineStr">
        <is>
          <t xml:space="preserve">MomsKey</t>
        </is>
      </c>
      <c r="J48" t="inlineStr">
        <is>
          <t xml:space="preserve">Economy</t>
        </is>
      </c>
    </row>
    <row r="49" spans="1:10">
      <c r="A49" t="inlineStr">
        <is>
          <t xml:space="preserve">Mysterious Mask</t>
        </is>
      </c>
      <c r="B49" t="inlineStr">
        <is>
          <t xml:space="preserve">Rare</t>
        </is>
      </c>
      <c r="C49" t="inlineStr">
        <is>
          <t xml:space="preserve">Pickup</t>
        </is>
      </c>
      <c r="D49" t="inlineStr">
        <is>
          <t xml:space="preserve">Choose one of 3 Starting Characters and gain their Level Up Condition</t>
        </is>
      </c>
      <c r="E49" t="inlineStr">
        <is>
          <t xml:space="preserve">item_acquired: mask_choice</t>
        </is>
      </c>
      <c r="F49" t="inlineStr">
        <is>
          <t xml:space="preserve">Batomon Showdown</t>
        </is>
      </c>
      <c r="G49" t="inlineStr">
        <is>
          <t xml:space="preserve">wearable, mask</t>
        </is>
      </c>
      <c r="I49" t="inlineStr">
        <is>
          <t xml:space="preserve">MysteriousMask</t>
        </is>
      </c>
      <c r="J49" t="inlineStr">
        <is>
          <t xml:space="preserve">Goals</t>
        </is>
      </c>
    </row>
    <row r="50" spans="1:10">
      <c r="A50" t="inlineStr">
        <is>
          <t xml:space="preserve">Oddly Smooth Stone</t>
        </is>
      </c>
      <c r="B50" t="inlineStr">
        <is>
          <t xml:space="preserve">Common</t>
        </is>
      </c>
      <c r="C50" t="inlineStr">
        <is>
          <t xml:space="preserve">Status</t>
        </is>
      </c>
      <c r="D50" t="inlineStr">
        <is>
          <t xml:space="preserve">Gain +1 Dexterity</t>
        </is>
      </c>
      <c r="E50" t="inlineStr">
        <is>
          <t xml:space="preserve">item_acquired: apply_status dexterity 1</t>
        </is>
      </c>
      <c r="F50" t="inlineStr">
        <is>
          <t xml:space="preserve">Slay the Spire</t>
        </is>
      </c>
      <c r="G50" t="inlineStr">
        <is>
          <t xml:space="preserve">stone</t>
        </is>
      </c>
      <c r="I50" t="inlineStr">
        <is>
          <t xml:space="preserve">OddlySmoothStone</t>
        </is>
      </c>
      <c r="J50" t="inlineStr">
        <is>
          <t xml:space="preserve">Stats</t>
        </is>
      </c>
    </row>
    <row r="51" spans="1:10">
      <c r="A51" t="inlineStr">
        <is>
          <t xml:space="preserve">Old Coin</t>
        </is>
      </c>
      <c r="B51" t="inlineStr">
        <is>
          <t xml:space="preserve">Rare</t>
        </is>
      </c>
      <c r="C51" t="inlineStr">
        <is>
          <t xml:space="preserve">Pickup</t>
        </is>
      </c>
      <c r="D51" t="inlineStr">
        <is>
          <t xml:space="preserve">Gain +6 Gold</t>
        </is>
      </c>
      <c r="E51" t="inlineStr">
        <is>
          <t xml:space="preserve">item_acquired: gain_gold 6</t>
        </is>
      </c>
      <c r="F51" t="inlineStr">
        <is>
          <t xml:space="preserve">Slay the Spire</t>
        </is>
      </c>
      <c r="G51" t="inlineStr">
        <is>
          <t xml:space="preserve">coin</t>
        </is>
      </c>
      <c r="I51" t="inlineStr">
        <is>
          <t xml:space="preserve">OldCoin</t>
        </is>
      </c>
      <c r="J51" t="inlineStr">
        <is>
          <t xml:space="preserve">Economy</t>
        </is>
      </c>
    </row>
    <row r="52" spans="1:10">
      <c r="A52" t="inlineStr">
        <is>
          <t xml:space="preserve">Performance Based Health Insurance</t>
        </is>
      </c>
      <c r="B52" t="inlineStr">
        <is>
          <t xml:space="preserve">Common</t>
        </is>
      </c>
      <c r="C52" t="inlineStr">
        <is>
          <t xml:space="preserve">Passive</t>
        </is>
      </c>
      <c r="D52" t="inlineStr">
        <is>
          <t xml:space="preserve">Whenever you Perfect a Game, Gain +2 Health</t>
        </is>
      </c>
      <c r="E52" t="inlineStr">
        <is>
          <t xml:space="preserve">game_perfected: gain_hp 2</t>
        </is>
      </c>
      <c r="F52" t="inlineStr">
        <is>
          <t xml:space="preserve">Haste</t>
        </is>
      </c>
      <c r="I52" t="inlineStr">
        <is>
          <t xml:space="preserve">PerformanceBasedHealthInsurance</t>
        </is>
      </c>
      <c r="J52" t="inlineStr">
        <is>
          <t xml:space="preserve">Health</t>
        </is>
      </c>
    </row>
    <row r="53" spans="1:10">
      <c r="A53" t="inlineStr">
        <is>
          <t xml:space="preserve">Philosophers Stone</t>
        </is>
      </c>
      <c r="B53" t="inlineStr">
        <is>
          <t xml:space="preserve">Boss</t>
        </is>
      </c>
      <c r="C53" t="inlineStr">
        <is>
          <t xml:space="preserve">Passive</t>
        </is>
      </c>
      <c r="D53" t="inlineStr">
        <is>
          <t xml:space="preserve">Increase the Grid length by 1, but give all spawned enemies +1 Strength</t>
        </is>
      </c>
      <c r="E53" t="inlineStr">
        <is>
          <t xml:space="preserve">grid_length; spawn_status strength 1</t>
        </is>
      </c>
      <c r="F53" t="inlineStr">
        <is>
          <t xml:space="preserve">Slay the Spire</t>
        </is>
      </c>
      <c r="G53" t="inlineStr">
        <is>
          <t xml:space="preserve">stone</t>
        </is>
      </c>
      <c r="I53" t="inlineStr">
        <is>
          <t xml:space="preserve">PhilosophersStone</t>
        </is>
      </c>
      <c r="J53" t="inlineStr">
        <is>
          <t xml:space="preserve">Grid</t>
        </is>
      </c>
    </row>
    <row r="54" spans="1:10">
      <c r="A54" t="inlineStr">
        <is>
          <t xml:space="preserve">Piggy Bank</t>
        </is>
      </c>
      <c r="B54" t="inlineStr">
        <is>
          <t xml:space="preserve">Uncommon</t>
        </is>
      </c>
      <c r="C54" t="inlineStr">
        <is>
          <t xml:space="preserve">Passive</t>
        </is>
      </c>
      <c r="D54" t="inlineStr">
        <is>
          <t xml:space="preserve">Whenever you lose Health, Gain +1 Gold</t>
        </is>
      </c>
      <c r="E54" t="inlineStr">
        <is>
          <t xml:space="preserve">health_lost: gain_gold 1</t>
        </is>
      </c>
      <c r="F54" t="inlineStr">
        <is>
          <t xml:space="preserve">The Binding of Isaac: Rebirth</t>
        </is>
      </c>
      <c r="G54" t="inlineStr">
        <is>
          <t xml:space="preserve">pig, bank</t>
        </is>
      </c>
      <c r="H54" t="inlineStr">
        <is>
          <t xml:space="preserve">shop</t>
        </is>
      </c>
      <c r="I54" t="inlineStr">
        <is>
          <t xml:space="preserve">PiggyBank</t>
        </is>
      </c>
      <c r="J54" t="inlineStr">
        <is>
          <t xml:space="preserve">Economy</t>
        </is>
      </c>
    </row>
    <row r="55" spans="1:10">
      <c r="A55" t="inlineStr">
        <is>
          <t xml:space="preserve">Pummarola</t>
        </is>
      </c>
      <c r="B55" t="inlineStr">
        <is>
          <t xml:space="preserve">Uncommon</t>
        </is>
      </c>
      <c r="C55" t="inlineStr">
        <is>
          <t xml:space="preserve">Triggered</t>
        </is>
      </c>
      <c r="D55" t="inlineStr">
        <is>
          <t xml:space="preserve">After beating a game, Gain +1 Health</t>
        </is>
      </c>
      <c r="E55" t="inlineStr">
        <is>
          <t xml:space="preserve">game_beaten: gain_hp 1</t>
        </is>
      </c>
      <c r="F55" t="inlineStr">
        <is>
          <t xml:space="preserve">Vampire Survivors</t>
        </is>
      </c>
      <c r="G55" t="inlineStr">
        <is>
          <t xml:space="preserve">heart</t>
        </is>
      </c>
      <c r="I55" t="inlineStr">
        <is>
          <t xml:space="preserve">Pummarola</t>
        </is>
      </c>
      <c r="J55" t="inlineStr">
        <is>
          <t xml:space="preserve">Health</t>
        </is>
      </c>
    </row>
    <row r="56" spans="1:10">
      <c r="A56" t="inlineStr">
        <is>
          <t xml:space="preserve">Red Candle</t>
        </is>
      </c>
      <c r="B56" t="inlineStr">
        <is>
          <t xml:space="preserve">Common</t>
        </is>
      </c>
      <c r="C56" t="inlineStr">
        <is>
          <t xml:space="preserve">Charged, 1</t>
        </is>
      </c>
      <c r="D56" t="inlineStr">
        <is>
          <t xml:space="preserve">Apply the Fire Tile to any tile within the columns 2 and 3</t>
        </is>
      </c>
      <c r="E56" t="inlineStr">
        <is>
          <t xml:space="preserve">item_used: apply_tile fire target=tile cols=2-3</t>
        </is>
      </c>
      <c r="F56" t="inlineStr">
        <is>
          <t xml:space="preserve">The Binding of Isaac: Rebirth</t>
        </is>
      </c>
      <c r="G56" t="inlineStr">
        <is>
          <t xml:space="preserve">fire</t>
        </is>
      </c>
      <c r="H56" t="inlineStr">
        <is>
          <t xml:space="preserve">shop</t>
        </is>
      </c>
      <c r="I56" t="inlineStr">
        <is>
          <t xml:space="preserve">RedCandle</t>
        </is>
      </c>
      <c r="J56" t="inlineStr">
        <is>
          <t xml:space="preserve">Grid</t>
        </is>
      </c>
    </row>
    <row r="57" spans="1:10">
      <c r="A57" t="inlineStr">
        <is>
          <t xml:space="preserve">Rejuvenation Rack</t>
        </is>
      </c>
      <c r="B57" t="inlineStr">
        <is>
          <t xml:space="preserve">Rare</t>
        </is>
      </c>
      <c r="C57" t="inlineStr">
        <is>
          <t xml:space="preserve">Passive</t>
        </is>
      </c>
      <c r="D57" t="inlineStr">
        <is>
          <t xml:space="preserve">Double the effect of all Healing</t>
        </is>
      </c>
      <c r="E57" t="inlineStr">
        <is>
          <t xml:space="preserve">heal_multiplier: 2</t>
        </is>
      </c>
      <c r="F57" t="inlineStr">
        <is>
          <t xml:space="preserve">Risk of Rain 2</t>
        </is>
      </c>
      <c r="I57" t="inlineStr">
        <is>
          <t xml:space="preserve">RejuvenationRack</t>
        </is>
      </c>
      <c r="J57" t="inlineStr">
        <is>
          <t xml:space="preserve">Health</t>
        </is>
      </c>
    </row>
    <row r="58" spans="1:10">
      <c r="A58" t="inlineStr">
        <is>
          <t xml:space="preserve">Reptile Trinket</t>
        </is>
      </c>
      <c r="B58" t="inlineStr">
        <is>
          <t xml:space="preserve">Uncommon</t>
        </is>
      </c>
      <c r="C58" t="inlineStr">
        <is>
          <t xml:space="preserve">Triggered</t>
        </is>
      </c>
      <c r="D58" t="inlineStr">
        <is>
          <t xml:space="preserve">Whenever you drink or throw a potion, Gain +3 Strength until the end of the next combat</t>
        </is>
      </c>
      <c r="E58" t="inlineStr">
        <is>
          <t xml:space="preserve">potion_used: apply_status strength 3 games=1</t>
        </is>
      </c>
      <c r="F58" t="inlineStr">
        <is>
          <t xml:space="preserve">Slay the Spire 2</t>
        </is>
      </c>
      <c r="I58" t="inlineStr">
        <is>
          <t xml:space="preserve">ReptileTrinket</t>
        </is>
      </c>
      <c r="J58" t="inlineStr">
        <is>
          <t xml:space="preserve">Loot, Stats</t>
        </is>
      </c>
    </row>
    <row r="59" spans="1:10">
      <c r="A59" t="inlineStr">
        <is>
          <t xml:space="preserve">Ripple Basin</t>
        </is>
      </c>
      <c r="B59" t="inlineStr">
        <is>
          <t xml:space="preserve">Uncommon</t>
        </is>
      </c>
      <c r="C59" t="inlineStr">
        <is>
          <t xml:space="preserve">Triggered</t>
        </is>
      </c>
      <c r="D59" t="inlineStr">
        <is>
          <t xml:space="preserve">If you lose a run before completing any goals, Gain +1 Temporary Shield</t>
        </is>
      </c>
      <c r="E59" t="inlineStr">
        <is>
          <t xml:space="preserve">run_lost if_goals=0: gain_stat shields 1</t>
        </is>
      </c>
      <c r="F59" t="inlineStr">
        <is>
          <t xml:space="preserve">Slay the Spire 2</t>
        </is>
      </c>
      <c r="I59" t="inlineStr">
        <is>
          <t xml:space="preserve">RippleBasin</t>
        </is>
      </c>
      <c r="J59" t="inlineStr">
        <is>
          <t xml:space="preserve">Combat</t>
        </is>
      </c>
    </row>
    <row r="60" spans="1:10">
      <c r="A60" t="inlineStr">
        <is>
          <t xml:space="preserve">Runic Dome</t>
        </is>
      </c>
      <c r="B60" t="inlineStr">
        <is>
          <t xml:space="preserve">Boss</t>
        </is>
      </c>
      <c r="C60" t="inlineStr">
        <is>
          <t xml:space="preserve">Passive</t>
        </is>
      </c>
      <c r="D60" t="inlineStr">
        <is>
          <t xml:space="preserve">Increase the Grid length by 1, but you can no longer see enemies that will spawn</t>
        </is>
      </c>
      <c r="E60" t="inlineStr">
        <is>
          <t xml:space="preserve">grid_length; hide_spawns</t>
        </is>
      </c>
      <c r="F60" t="inlineStr">
        <is>
          <t xml:space="preserve">Slay the Spire</t>
        </is>
      </c>
      <c r="I60" t="inlineStr">
        <is>
          <t xml:space="preserve">RunicDome</t>
        </is>
      </c>
      <c r="J60" t="inlineStr">
        <is>
          <t xml:space="preserve">Grid</t>
        </is>
      </c>
    </row>
    <row r="61" spans="1:10">
      <c r="A61" t="inlineStr">
        <is>
          <t xml:space="preserve">Sacred Bark</t>
        </is>
      </c>
      <c r="B61" t="inlineStr">
        <is>
          <t xml:space="preserve">Boss</t>
        </is>
      </c>
      <c r="C61" t="inlineStr">
        <is>
          <t xml:space="preserve">Passive</t>
        </is>
      </c>
      <c r="D61" t="inlineStr">
        <is>
          <t xml:space="preserve">Double the effect of all Loot consumables (Scrolls, Potions, etc)</t>
        </is>
      </c>
      <c r="E61" t="inlineStr">
        <is>
          <t xml:space="preserve">loot_multiplier: 2</t>
        </is>
      </c>
      <c r="F61" t="inlineStr">
        <is>
          <t xml:space="preserve">Slay the Spire</t>
        </is>
      </c>
      <c r="G61" t="inlineStr">
        <is>
          <t xml:space="preserve">wood</t>
        </is>
      </c>
      <c r="I61" t="inlineStr">
        <is>
          <t xml:space="preserve">SacredBark</t>
        </is>
      </c>
      <c r="J61" t="inlineStr">
        <is>
          <t xml:space="preserve">Special</t>
        </is>
      </c>
    </row>
    <row r="62" spans="1:10">
      <c r="A62" t="inlineStr">
        <is>
          <t xml:space="preserve">Salt Shaker</t>
        </is>
      </c>
      <c r="B62" t="inlineStr">
        <is>
          <t xml:space="preserve">Common</t>
        </is>
      </c>
      <c r="C62" t="inlineStr">
        <is>
          <t xml:space="preserve">Passive</t>
        </is>
      </c>
      <c r="D62" t="inlineStr">
        <is>
          <t xml:space="preserve">Whenever you would Gain Max Health, Gain +1 Extra Max Health</t>
        </is>
      </c>
      <c r="E62" t="inlineStr">
        <is>
          <t xml:space="preserve">stat_gain_bonus: {max_hp: 1}</t>
        </is>
      </c>
      <c r="F62" t="inlineStr">
        <is>
          <t xml:space="preserve">Peglin</t>
        </is>
      </c>
      <c r="G62" t="inlineStr">
        <is>
          <t xml:space="preserve">food</t>
        </is>
      </c>
      <c r="I62" t="inlineStr">
        <is>
          <t xml:space="preserve">SaltShaker</t>
        </is>
      </c>
      <c r="J62" t="inlineStr">
        <is>
          <t xml:space="preserve">Health</t>
        </is>
      </c>
    </row>
    <row r="63" spans="1:10">
      <c r="A63" t="inlineStr">
        <is>
          <t xml:space="preserve">Smelter</t>
        </is>
      </c>
      <c r="B63" t="inlineStr">
        <is>
          <t xml:space="preserve">Uncommon</t>
        </is>
      </c>
      <c r="C63" t="inlineStr">
        <is>
          <t xml:space="preserve">Passive, Charged, 3</t>
        </is>
      </c>
      <c r="D63" t="inlineStr">
        <is>
          <t xml:space="preserve">Consume a Loot with a passive effect and treat it as an item. Doubles the chances of finding trinkets</t>
        </is>
      </c>
      <c r="E63" t="inlineStr">
        <is>
          <t xml:space="preserve">charged: charge_cost 3; item_used: smelt; loot_kind_weight: {trinket: 2}</t>
        </is>
      </c>
      <c r="F63" t="inlineStr">
        <is>
          <t xml:space="preserve">The Binding of Isaac: Rebirth</t>
        </is>
      </c>
      <c r="G63" t="inlineStr">
        <is>
          <t xml:space="preserve">pot</t>
        </is>
      </c>
      <c r="I63" t="inlineStr">
        <is>
          <t xml:space="preserve">Smelter</t>
        </is>
      </c>
      <c r="J63" t="inlineStr">
        <is>
          <t xml:space="preserve">Loot</t>
        </is>
      </c>
    </row>
    <row r="64" spans="1:10">
      <c r="A64" t="inlineStr">
        <is>
          <t xml:space="preserve">Snowball</t>
        </is>
      </c>
      <c r="B64" t="inlineStr">
        <is>
          <t xml:space="preserve">Uncommon</t>
        </is>
      </c>
      <c r="C64" t="inlineStr">
        <is>
          <t xml:space="preserve">Triggered</t>
        </is>
      </c>
      <c r="D64" t="inlineStr">
        <is>
          <t xml:space="preserve">When you would Gain +1 Transmute, Gain +1 Transmute</t>
        </is>
      </c>
      <c r="E64" t="inlineStr">
        <is>
          <t xml:space="preserve">stat_gain_bonus: {transmute: 1}</t>
        </is>
      </c>
      <c r="F64" t="inlineStr">
        <is>
          <t xml:space="preserve">Brotato</t>
        </is>
      </c>
      <c r="G64" t="inlineStr">
        <is>
          <t xml:space="preserve">snow</t>
        </is>
      </c>
      <c r="I64" t="inlineStr">
        <is>
          <t xml:space="preserve">Snowball</t>
        </is>
      </c>
      <c r="J64" t="inlineStr">
        <is>
          <t xml:space="preserve">Stats</t>
        </is>
      </c>
    </row>
    <row r="65" spans="1:10">
      <c r="A65" t="inlineStr">
        <is>
          <t xml:space="preserve">Staff of Flame</t>
        </is>
      </c>
      <c r="B65" t="inlineStr">
        <is>
          <t xml:space="preserve">Rare</t>
        </is>
      </c>
      <c r="C65" t="inlineStr">
        <is>
          <t xml:space="preserve">Charged, 2</t>
        </is>
      </c>
      <c r="D65" t="inlineStr">
        <is>
          <t xml:space="preserve">Apply +3 Burn to a target enemy</t>
        </is>
      </c>
      <c r="E65" t="inlineStr">
        <is>
          <t xml:space="preserve">item_used: apply_status burn 3 target=enemy</t>
        </is>
      </c>
      <c r="F65" t="inlineStr">
        <is>
          <t xml:space="preserve">Mewgenics</t>
        </is>
      </c>
      <c r="G65" t="inlineStr">
        <is>
          <t xml:space="preserve">magic, fire</t>
        </is>
      </c>
      <c r="I65" t="inlineStr">
        <is>
          <t xml:space="preserve">StaffOfFlame</t>
        </is>
      </c>
      <c r="J65" t="inlineStr">
        <is>
          <t xml:space="preserve">Grid</t>
        </is>
      </c>
    </row>
    <row r="66" spans="1:10">
      <c r="A66" t="inlineStr">
        <is>
          <t xml:space="preserve">Steam Sale</t>
        </is>
      </c>
      <c r="B66" t="inlineStr">
        <is>
          <t xml:space="preserve">Event</t>
        </is>
      </c>
      <c r="C66" t="inlineStr">
        <is>
          <t xml:space="preserve">Passive</t>
        </is>
      </c>
      <c r="D66" t="inlineStr">
        <is>
          <t xml:space="preserve">Shop prices are 50% off</t>
        </is>
      </c>
      <c r="E66" t="inlineStr">
        <is>
          <t xml:space="preserve">shop_discount: 50</t>
        </is>
      </c>
      <c r="F66" t="inlineStr">
        <is>
          <t xml:space="preserve">The Binding of Isaac: Rebirth</t>
        </is>
      </c>
      <c r="G66" t="inlineStr">
        <is>
          <t xml:space="preserve">sale</t>
        </is>
      </c>
      <c r="I66" t="inlineStr">
        <is>
          <t xml:space="preserve">SteamSale</t>
        </is>
      </c>
      <c r="J66" t="inlineStr">
        <is>
          <t xml:space="preserve">Economy</t>
        </is>
      </c>
    </row>
    <row r="67" spans="1:10">
      <c r="A67" t="inlineStr">
        <is>
          <t xml:space="preserve">Sticky Bombs</t>
        </is>
      </c>
      <c r="B67" t="inlineStr">
        <is>
          <t xml:space="preserve">Uncommon</t>
        </is>
      </c>
      <c r="C67" t="inlineStr">
        <is>
          <t xml:space="preserve">Pickup, Triggered</t>
        </is>
      </c>
      <c r="D67" t="inlineStr">
        <is>
          <t xml:space="preserve">Gain +1 Bomb and Bombs Apply the Web Tile</t>
        </is>
      </c>
      <c r="E67" t="inlineStr">
        <is>
          <t xml:space="preserve">item_acquired: gain_stat bombs 1; bomb_tile web</t>
        </is>
      </c>
      <c r="F67" t="inlineStr">
        <is>
          <t xml:space="preserve">The Binding of Isaac: Rebirth</t>
        </is>
      </c>
      <c r="G67" t="inlineStr">
        <is>
          <t xml:space="preserve">bomb, spider</t>
        </is>
      </c>
      <c r="I67" t="inlineStr">
        <is>
          <t xml:space="preserve">StickyBombs</t>
        </is>
      </c>
      <c r="J67" t="inlineStr">
        <is>
          <t xml:space="preserve">Bomb</t>
        </is>
      </c>
    </row>
    <row r="68" spans="1:10">
      <c r="A68" t="inlineStr">
        <is>
          <t xml:space="preserve">Stigmata</t>
        </is>
      </c>
      <c r="B68" t="inlineStr">
        <is>
          <t xml:space="preserve">Uncommon</t>
        </is>
      </c>
      <c r="C68" t="inlineStr">
        <is>
          <t xml:space="preserve">Pickup</t>
        </is>
      </c>
      <c r="D68" t="inlineStr">
        <is>
          <t xml:space="preserve">Gain +2 Max Health, Gain +2 Health, and +1 Bash</t>
        </is>
      </c>
      <c r="E68" t="inlineStr">
        <is>
          <t xml:space="preserve">item_acquired: gain_max_hp 2; gain_hp 2; gain_stat bash 1</t>
        </is>
      </c>
      <c r="F68" t="inlineStr">
        <is>
          <t xml:space="preserve">The Binding of Isaac</t>
        </is>
      </c>
      <c r="G68" t="inlineStr">
        <is>
          <t xml:space="preserve">wood</t>
        </is>
      </c>
      <c r="H68" t="inlineStr">
        <is>
          <t xml:space="preserve">angel_room</t>
        </is>
      </c>
      <c r="I68" t="inlineStr">
        <is>
          <t xml:space="preserve">Stigmata</t>
        </is>
      </c>
      <c r="J68" t="inlineStr">
        <is>
          <t xml:space="preserve">Health, Stats</t>
        </is>
      </c>
    </row>
    <row r="69" spans="1:10">
      <c r="A69" t="inlineStr">
        <is>
          <t xml:space="preserve">The Book of Sin</t>
        </is>
      </c>
      <c r="B69" t="inlineStr">
        <is>
          <t xml:space="preserve">Uncommon</t>
        </is>
      </c>
      <c r="C69" t="inlineStr">
        <is>
          <t xml:space="preserve">Charged, 2</t>
        </is>
      </c>
      <c r="D69" t="inlineStr">
        <is>
          <t xml:space="preserve">Gain +1 Gold, +1 Health, +1 Bomb, +1 Key, or 1 random Loot</t>
        </is>
      </c>
      <c r="E69" t="inlineStr">
        <is>
          <t xml:space="preserve">item_used: one_of gain_gold 1 | gain_hp 1 | gain_stat bombs 1 | gain_stat keys 1 | gain_loot 1</t>
        </is>
      </c>
      <c r="F69" t="inlineStr">
        <is>
          <t xml:space="preserve">The Binding of Isaac</t>
        </is>
      </c>
      <c r="G69" t="inlineStr">
        <is>
          <t xml:space="preserve">book</t>
        </is>
      </c>
      <c r="I69" t="inlineStr">
        <is>
          <t xml:space="preserve">TheBookOfSin</t>
        </is>
      </c>
      <c r="J69" t="inlineStr">
        <is>
          <t xml:space="preserve">Economy</t>
        </is>
      </c>
    </row>
    <row r="70" spans="1:10">
      <c r="A70" t="inlineStr">
        <is>
          <t xml:space="preserve">The Mark</t>
        </is>
      </c>
      <c r="B70" t="inlineStr">
        <is>
          <t xml:space="preserve">Uncommon</t>
        </is>
      </c>
      <c r="C70" t="inlineStr">
        <is>
          <t xml:space="preserve">Pickup, Passive</t>
        </is>
      </c>
      <c r="D70" t="inlineStr">
        <is>
          <t xml:space="preserve">Gain +1 Bash and +1 Speed</t>
        </is>
      </c>
      <c r="E70" t="inlineStr">
        <is>
          <t xml:space="preserve">item_acquired: gain_stat bash 1; apply_status speed 1</t>
        </is>
      </c>
      <c r="F70" t="inlineStr">
        <is>
          <t xml:space="preserve">The Binding of Isaac</t>
        </is>
      </c>
      <c r="G70" t="inlineStr">
        <is>
          <t xml:space="preserve">devilish</t>
        </is>
      </c>
      <c r="H70" t="inlineStr">
        <is>
          <t xml:space="preserve">devil_room</t>
        </is>
      </c>
      <c r="I70" t="inlineStr">
        <is>
          <t xml:space="preserve">TheMark</t>
        </is>
      </c>
      <c r="J70" t="inlineStr">
        <is>
          <t xml:space="preserve">Stats</t>
        </is>
      </c>
    </row>
    <row r="71" spans="1:10">
      <c r="A71" t="inlineStr">
        <is>
          <t xml:space="preserve">The Necronomicon</t>
        </is>
      </c>
      <c r="B71" t="inlineStr">
        <is>
          <t xml:space="preserve">Uncommon</t>
        </is>
      </c>
      <c r="C71" t="inlineStr">
        <is>
          <t xml:space="preserve">Charged, 3</t>
        </is>
      </c>
      <c r="D71" t="inlineStr">
        <is>
          <t xml:space="preserve">Apply Stun 1 to all Enemies</t>
        </is>
      </c>
      <c r="E71" t="inlineStr">
        <is>
          <t xml:space="preserve">item_used: apply_status stun 1 target=all</t>
        </is>
      </c>
      <c r="F71" t="inlineStr">
        <is>
          <t xml:space="preserve">The Binding of Isaac</t>
        </is>
      </c>
      <c r="G71" t="inlineStr">
        <is>
          <t xml:space="preserve">book</t>
        </is>
      </c>
      <c r="H71" t="inlineStr">
        <is>
          <t xml:space="preserve">devil_room</t>
        </is>
      </c>
      <c r="I71" t="inlineStr">
        <is>
          <t xml:space="preserve">TheNecronomicon</t>
        </is>
      </c>
      <c r="J71" t="inlineStr">
        <is>
          <t xml:space="preserve">Offense</t>
        </is>
      </c>
    </row>
    <row r="72" spans="1:10">
      <c r="A72" t="inlineStr">
        <is>
          <t xml:space="preserve">There's Options</t>
        </is>
      </c>
      <c r="B72" t="inlineStr">
        <is>
          <t xml:space="preserve">Uncommon</t>
        </is>
      </c>
      <c r="C72" t="inlineStr">
        <is>
          <t xml:space="preserve">Passive</t>
        </is>
      </c>
      <c r="D72" t="inlineStr">
        <is>
          <t xml:space="preserve">Increase the chest size dropped from bosses by 1</t>
        </is>
      </c>
      <c r="E72" t="inlineStr">
        <is>
          <t xml:space="preserve">boss_chest_bonus: 1</t>
        </is>
      </c>
      <c r="F72" t="inlineStr">
        <is>
          <t xml:space="preserve">The Binding of Isaac: Rebirth</t>
        </is>
      </c>
      <c r="H72" t="inlineStr">
        <is>
          <t xml:space="preserve">shop</t>
        </is>
      </c>
      <c r="I72" t="inlineStr">
        <is>
          <t xml:space="preserve">TheresOptions</t>
        </is>
      </c>
      <c r="J72" t="inlineStr">
        <is>
          <t xml:space="preserve">Stats</t>
        </is>
      </c>
    </row>
    <row r="73" spans="1:10">
      <c r="A73" t="inlineStr">
        <is>
          <t xml:space="preserve">Ultra Duplicator</t>
        </is>
      </c>
      <c r="B73" t="inlineStr">
        <is>
          <t xml:space="preserve">Legendary</t>
        </is>
      </c>
      <c r="C73" t="inlineStr">
        <is>
          <t xml:space="preserve">Passive</t>
        </is>
      </c>
      <c r="D73" t="inlineStr">
        <is>
          <t xml:space="preserve">Whenever you obtain an item, get an extra copy of it</t>
        </is>
      </c>
      <c r="E73" t="inlineStr">
        <is>
          <t xml:space="preserve">duplicate_items</t>
        </is>
      </c>
      <c r="F73" t="inlineStr">
        <is>
          <t xml:space="preserve">Batomon Showdown</t>
        </is>
      </c>
      <c r="I73" t="inlineStr">
        <is>
          <t xml:space="preserve">UltraDuplicator</t>
        </is>
      </c>
      <c r="J73" t="inlineStr">
        <is>
          <t xml:space="preserve">Items</t>
        </is>
      </c>
    </row>
    <row r="74" spans="1:10">
      <c r="A74" t="inlineStr">
        <is>
          <t xml:space="preserve">Unstable Genome</t>
        </is>
      </c>
      <c r="B74" t="inlineStr">
        <is>
          <t xml:space="preserve">Uncommon</t>
        </is>
      </c>
      <c r="C74" t="inlineStr">
        <is>
          <t xml:space="preserve">Triggered</t>
        </is>
      </c>
      <c r="D74" t="inlineStr">
        <is>
          <t xml:space="preserve">When you beat a game, there's a 33% chance for this item to be destroyed and you may gain 1 of 3 random items</t>
        </is>
      </c>
      <c r="E74" t="inlineStr">
        <is>
          <t xml:space="preserve">game_beaten: 33% chance random_item_choice 3 destroy_self</t>
        </is>
      </c>
      <c r="F74" t="inlineStr">
        <is>
          <t xml:space="preserve">Caves of Qud</t>
        </is>
      </c>
      <c r="G74" t="inlineStr">
        <is>
          <t xml:space="preserve">mutation</t>
        </is>
      </c>
      <c r="I74" t="inlineStr">
        <is>
          <t xml:space="preserve">UnstableGenome</t>
        </is>
      </c>
      <c r="J74" t="inlineStr">
        <is>
          <t xml:space="preserve">Economy</t>
        </is>
      </c>
    </row>
    <row r="75" spans="1:10">
      <c r="A75" t="inlineStr">
        <is>
          <t xml:space="preserve">Vajra</t>
        </is>
      </c>
      <c r="B75" t="inlineStr">
        <is>
          <t xml:space="preserve">Common</t>
        </is>
      </c>
      <c r="C75" t="inlineStr">
        <is>
          <t xml:space="preserve">Status</t>
        </is>
      </c>
      <c r="D75" t="inlineStr">
        <is>
          <t xml:space="preserve">Gain +1 Strength</t>
        </is>
      </c>
      <c r="E75" t="inlineStr">
        <is>
          <t xml:space="preserve">item_acquired: apply_status strength 1</t>
        </is>
      </c>
      <c r="F75" t="inlineStr">
        <is>
          <t xml:space="preserve">Slay the Spire</t>
        </is>
      </c>
      <c r="I75" t="inlineStr">
        <is>
          <t xml:space="preserve">Vajra</t>
        </is>
      </c>
      <c r="J75" t="inlineStr">
        <is>
          <t xml:space="preserve">Stats</t>
        </is>
      </c>
    </row>
    <row r="76" spans="1:10">
      <c r="A76" t="inlineStr">
        <is>
          <t xml:space="preserve">Well-Done Steak</t>
        </is>
      </c>
      <c r="B76" t="inlineStr">
        <is>
          <t xml:space="preserve">Uncommon</t>
        </is>
      </c>
      <c r="C76" t="inlineStr">
        <is>
          <t xml:space="preserve">Passive</t>
        </is>
      </c>
      <c r="D76" t="inlineStr">
        <is>
          <t xml:space="preserve">When Charging a Weapon, Gain +1 Health</t>
        </is>
      </c>
      <c r="E76" t="inlineStr">
        <is>
          <t xml:space="preserve">weapon_charged: gain_hp 1</t>
        </is>
      </c>
      <c r="F76" t="inlineStr">
        <is>
          <t xml:space="preserve">Peglin</t>
        </is>
      </c>
      <c r="G76" t="inlineStr">
        <is>
          <t xml:space="preserve">food, meat</t>
        </is>
      </c>
      <c r="I76" t="inlineStr">
        <is>
          <t xml:space="preserve">WellDoneSteak</t>
        </is>
      </c>
      <c r="J76" t="inlineStr">
        <is>
          <t xml:space="preserve">Health</t>
        </is>
      </c>
    </row>
    <row r="77" spans="1:10">
      <c r="A77" t="inlineStr">
        <is>
          <t xml:space="preserve">White Beast Statue</t>
        </is>
      </c>
      <c r="B77" t="inlineStr">
        <is>
          <t xml:space="preserve">Uncommon</t>
        </is>
      </c>
      <c r="C77" t="inlineStr">
        <is>
          <t xml:space="preserve">Passive</t>
        </is>
      </c>
      <c r="D77" t="inlineStr">
        <is>
          <t xml:space="preserve">Gain +1 Potion at the end of combat</t>
        </is>
      </c>
      <c r="E77" t="inlineStr">
        <is>
          <t xml:space="preserve">game_beaten: gain_potion 1</t>
        </is>
      </c>
      <c r="F77" t="inlineStr">
        <is>
          <t xml:space="preserve">Slay the Spire</t>
        </is>
      </c>
      <c r="G77" t="inlineStr">
        <is>
          <t xml:space="preserve">statue</t>
        </is>
      </c>
      <c r="I77" t="inlineStr">
        <is>
          <t xml:space="preserve">WhiteBeastStatue</t>
        </is>
      </c>
      <c r="J77" t="inlineStr">
        <is>
          <t xml:space="preserve">Loot</t>
        </is>
      </c>
    </row>
    <row r="78" spans="1:10">
      <c r="A78" t="inlineStr">
        <is>
          <t xml:space="preserve">Wooden Nickel</t>
        </is>
      </c>
      <c r="B78" t="inlineStr">
        <is>
          <t xml:space="preserve">Common</t>
        </is>
      </c>
      <c r="C78" t="inlineStr">
        <is>
          <t xml:space="preserve">Charged, 1</t>
        </is>
      </c>
      <c r="D78" t="inlineStr">
        <is>
          <t xml:space="preserve">50% chance to Gain +1 Gold</t>
        </is>
      </c>
      <c r="E78" t="inlineStr">
        <is>
          <t xml:space="preserve">item_used: 50% chance gain_gold 1</t>
        </is>
      </c>
      <c r="F78" t="inlineStr">
        <is>
          <t xml:space="preserve">The Binding of Isaac: Rebirth</t>
        </is>
      </c>
      <c r="G78" t="inlineStr">
        <is>
          <t xml:space="preserve">wood, coin</t>
        </is>
      </c>
      <c r="I78" t="inlineStr">
        <is>
          <t xml:space="preserve">WoodenNickel</t>
        </is>
      </c>
      <c r="J78"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c r="A1" t="inlineStr">
        <is>
          <t xml:space="preserve">Name</t>
        </is>
      </c>
      <c r="B1" t="inlineStr">
        <is>
          <t xml:space="preserve">Rarity</t>
        </is>
      </c>
      <c r="C1" t="inlineStr">
        <is>
          <t xml:space="preserve">Type</t>
        </is>
      </c>
      <c r="D1" t="inlineStr">
        <is>
          <t xml:space="preserve">Description</t>
        </is>
      </c>
      <c r="E1" t="inlineStr">
        <is>
          <t xml:space="preserve">Effect</t>
        </is>
      </c>
      <c r="F1" t="inlineStr">
        <is>
          <t xml:space="preserve">Tags</t>
        </is>
      </c>
      <c r="G1" t="inlineStr">
        <is>
          <t xml:space="preserve">Game</t>
        </is>
      </c>
      <c r="H1" t="inlineStr">
        <is>
          <t xml:space="preserve">Image</t>
        </is>
      </c>
      <c r="I1" t="inlineStr">
        <is>
          <t xml:space="preserve">Icon Image</t>
        </is>
      </c>
    </row>
    <row r="2" spans="1:9">
      <c r="A2" t="inlineStr">
        <is>
          <t xml:space="preserve">? Card</t>
        </is>
      </c>
      <c r="B2" t="inlineStr">
        <is>
          <t xml:space="preserve">Uncommon</t>
        </is>
      </c>
      <c r="C2" t="inlineStr">
        <is>
          <t xml:space="preserve">Usable</t>
        </is>
      </c>
      <c r="D2" t="inlineStr">
        <is>
          <t xml:space="preserve">Copy the effect of a selected Usable Item in your inventory</t>
        </is>
      </c>
      <c r="E2" t="inlineStr">
        <is>
          <t xml:space="preserve">copy_item</t>
        </is>
      </c>
      <c r="G2" t="inlineStr">
        <is>
          <t xml:space="preserve">The Binding of Isaac: Rebirth</t>
        </is>
      </c>
      <c r="H2" t="inlineStr">
        <is>
          <t xml:space="preserve">QuestionMarkCard</t>
        </is>
      </c>
      <c r="I2" t="inlineStr">
        <is>
          <t xml:space="preserve">Isaac_Playing_Cards</t>
        </is>
      </c>
    </row>
    <row r="3" spans="1:9">
      <c r="A3" t="inlineStr">
        <is>
          <t xml:space="preserve">0 - The Fool</t>
        </is>
      </c>
      <c r="B3" t="inlineStr">
        <is>
          <t xml:space="preserve">Uncommon</t>
        </is>
      </c>
      <c r="C3" t="inlineStr">
        <is>
          <t xml:space="preserve">Usable</t>
        </is>
      </c>
      <c r="D3" t="inlineStr">
        <is>
          <t xml:space="preserve">Teleport to the Starting Game</t>
        </is>
      </c>
      <c r="E3" t="inlineStr">
        <is>
          <t xml:space="preserve">teleport_start</t>
        </is>
      </c>
      <c r="F3" t="inlineStr">
        <is>
          <t xml:space="preserve">tarot</t>
        </is>
      </c>
      <c r="G3" t="inlineStr">
        <is>
          <t xml:space="preserve">The Binding of Isaac</t>
        </is>
      </c>
      <c r="H3" t="inlineStr">
        <is>
          <t xml:space="preserve">0TheFool</t>
        </is>
      </c>
      <c r="I3" t="inlineStr">
        <is>
          <t xml:space="preserve">Isaac_Major_Arcana</t>
        </is>
      </c>
    </row>
    <row r="4" spans="1:9">
      <c r="A4" t="inlineStr">
        <is>
          <t xml:space="preserve">2 of Clubs</t>
        </is>
      </c>
      <c r="B4" t="inlineStr">
        <is>
          <t xml:space="preserve">Rare</t>
        </is>
      </c>
      <c r="C4" t="inlineStr">
        <is>
          <t xml:space="preserve">Usable</t>
        </is>
      </c>
      <c r="D4" t="inlineStr">
        <is>
          <t xml:space="preserve">Double your Bombs, if you have no Bombs then Gain +2</t>
        </is>
      </c>
      <c r="E4" t="inlineStr">
        <is>
          <t xml:space="preserve">double_stat bombs floor=2</t>
        </is>
      </c>
      <c r="F4" t="inlineStr">
        <is>
          <t xml:space="preserve">playing_card</t>
        </is>
      </c>
      <c r="G4" t="inlineStr">
        <is>
          <t xml:space="preserve">The Binding of Isaac</t>
        </is>
      </c>
      <c r="H4" t="inlineStr">
        <is>
          <t xml:space="preserve">2OfClubs</t>
        </is>
      </c>
      <c r="I4" t="inlineStr">
        <is>
          <t xml:space="preserve">Isaac_Playing_Cards</t>
        </is>
      </c>
    </row>
    <row r="5" spans="1:9">
      <c r="A5" t="inlineStr">
        <is>
          <t xml:space="preserve">2 of Diamonds</t>
        </is>
      </c>
      <c r="B5" t="inlineStr">
        <is>
          <t xml:space="preserve">Rare</t>
        </is>
      </c>
      <c r="C5" t="inlineStr">
        <is>
          <t xml:space="preserve">Usable</t>
        </is>
      </c>
      <c r="D5" t="inlineStr">
        <is>
          <t xml:space="preserve">Double your Gold, if you have no Gold Gain +2 Gold</t>
        </is>
      </c>
      <c r="E5" t="inlineStr">
        <is>
          <t xml:space="preserve">double_stat gold floor=2</t>
        </is>
      </c>
      <c r="F5" t="inlineStr">
        <is>
          <t xml:space="preserve">playing_card</t>
        </is>
      </c>
      <c r="G5" t="inlineStr">
        <is>
          <t xml:space="preserve">The Binding of Isaac</t>
        </is>
      </c>
      <c r="H5" t="inlineStr">
        <is>
          <t xml:space="preserve">2OfDiamonds</t>
        </is>
      </c>
      <c r="I5" t="inlineStr">
        <is>
          <t xml:space="preserve">Isaac_Playing_Cards</t>
        </is>
      </c>
    </row>
    <row r="6" spans="1:9">
      <c r="A6" t="inlineStr">
        <is>
          <t xml:space="preserve">2 of Hearts</t>
        </is>
      </c>
      <c r="B6" t="inlineStr">
        <is>
          <t xml:space="preserve">Rare</t>
        </is>
      </c>
      <c r="C6" t="inlineStr">
        <is>
          <t xml:space="preserve">Usable</t>
        </is>
      </c>
      <c r="D6" t="inlineStr">
        <is>
          <t xml:space="preserve">Double your Health</t>
        </is>
      </c>
      <c r="E6" t="inlineStr">
        <is>
          <t xml:space="preserve">double_stat hp</t>
        </is>
      </c>
      <c r="F6" t="inlineStr">
        <is>
          <t xml:space="preserve">playing_card</t>
        </is>
      </c>
      <c r="G6" t="inlineStr">
        <is>
          <t xml:space="preserve">The Binding of Isaac</t>
        </is>
      </c>
      <c r="H6" t="inlineStr">
        <is>
          <t xml:space="preserve">2OfHearts</t>
        </is>
      </c>
      <c r="I6" t="inlineStr">
        <is>
          <t xml:space="preserve">Isaac_Playing_Cards</t>
        </is>
      </c>
    </row>
    <row r="7" spans="1:9">
      <c r="A7" t="inlineStr">
        <is>
          <t xml:space="preserve">2 of Spades</t>
        </is>
      </c>
      <c r="B7" t="inlineStr">
        <is>
          <t xml:space="preserve">Rare</t>
        </is>
      </c>
      <c r="C7" t="inlineStr">
        <is>
          <t xml:space="preserve">Usable</t>
        </is>
      </c>
      <c r="D7" t="inlineStr">
        <is>
          <t xml:space="preserve">Double your Keys, if you have no Keys then Gain +2</t>
        </is>
      </c>
      <c r="E7" t="inlineStr">
        <is>
          <t xml:space="preserve">double_stat keys floor=2</t>
        </is>
      </c>
      <c r="F7" t="inlineStr">
        <is>
          <t xml:space="preserve">playing_card</t>
        </is>
      </c>
      <c r="G7" t="inlineStr">
        <is>
          <t xml:space="preserve">The Binding of Isaac</t>
        </is>
      </c>
      <c r="H7" t="inlineStr">
        <is>
          <t xml:space="preserve">2OfSpades</t>
        </is>
      </c>
      <c r="I7" t="inlineStr">
        <is>
          <t xml:space="preserve">Isaac_Playing_Cards</t>
        </is>
      </c>
    </row>
    <row r="8" spans="1:9">
      <c r="A8" t="inlineStr">
        <is>
          <t xml:space="preserve">After Image</t>
        </is>
      </c>
      <c r="B8" t="inlineStr">
        <is>
          <t xml:space="preserve">Rare</t>
        </is>
      </c>
      <c r="C8" t="inlineStr">
        <is>
          <t xml:space="preserve">Passive</t>
        </is>
      </c>
      <c r="D8" t="inlineStr">
        <is>
          <t xml:space="preserve">Whenever you use a Card, Gain +1 Temporary Shield</t>
        </is>
      </c>
      <c r="E8" t="inlineStr">
        <is>
          <t xml:space="preserve">card_used: gain_stat shields 1</t>
        </is>
      </c>
      <c r="F8" t="inlineStr">
        <is>
          <t xml:space="preserve">silent</t>
        </is>
      </c>
      <c r="G8" t="inlineStr">
        <is>
          <t xml:space="preserve">Slay the Spire</t>
        </is>
      </c>
      <c r="H8" t="inlineStr">
        <is>
          <t xml:space="preserve">AfterImage</t>
        </is>
      </c>
      <c r="I8" t="inlineStr">
        <is>
          <t xml:space="preserve">Slay_The_Spire_Silent_Rare</t>
        </is>
      </c>
    </row>
    <row r="9" spans="1:9">
      <c r="A9" t="inlineStr">
        <is>
          <t xml:space="preserve">Alchemize</t>
        </is>
      </c>
      <c r="B9" t="inlineStr">
        <is>
          <t xml:space="preserve">Rare</t>
        </is>
      </c>
      <c r="C9" t="inlineStr">
        <is>
          <t xml:space="preserve">Usable</t>
        </is>
      </c>
      <c r="D9" t="inlineStr">
        <is>
          <t xml:space="preserve">Gain +1 Random Potion and Identify it</t>
        </is>
      </c>
      <c r="E9" t="inlineStr">
        <is>
          <t xml:space="preserve">gain_loot potion 1 identify</t>
        </is>
      </c>
      <c r="F9" t="inlineStr">
        <is>
          <t xml:space="preserve">silent</t>
        </is>
      </c>
      <c r="G9" t="inlineStr">
        <is>
          <t xml:space="preserve">Slay the Spire</t>
        </is>
      </c>
      <c r="H9" t="inlineStr">
        <is>
          <t xml:space="preserve">Alchemize</t>
        </is>
      </c>
      <c r="I9" t="inlineStr">
        <is>
          <t xml:space="preserve">Slay_The_Spire_Silent_Rare</t>
        </is>
      </c>
    </row>
    <row r="10" spans="1:9">
      <c r="A10" t="inlineStr">
        <is>
          <t xml:space="preserve">Ancient Recall</t>
        </is>
      </c>
      <c r="B10" t="inlineStr">
        <is>
          <t xml:space="preserve">Rare</t>
        </is>
      </c>
      <c r="C10" t="inlineStr">
        <is>
          <t xml:space="preserve">Usable</t>
        </is>
      </c>
      <c r="D10" t="inlineStr">
        <is>
          <t xml:space="preserve">Gain +3 Random Cards</t>
        </is>
      </c>
      <c r="E10" t="inlineStr">
        <is>
          <t xml:space="preserve">gain_loot card 3</t>
        </is>
      </c>
      <c r="G10" t="inlineStr">
        <is>
          <t xml:space="preserve">The Binding of Isaac: Rebirth</t>
        </is>
      </c>
      <c r="H10" t="inlineStr">
        <is>
          <t xml:space="preserve">AncientRecall</t>
        </is>
      </c>
      <c r="I10" t="inlineStr">
        <is>
          <t xml:space="preserve">Isaac_MTG_Cards</t>
        </is>
      </c>
    </row>
    <row r="11" spans="1:9">
      <c r="A11" t="inlineStr">
        <is>
          <t xml:space="preserve">Barricade</t>
        </is>
      </c>
      <c r="B11" t="inlineStr">
        <is>
          <t xml:space="preserve">Rare</t>
        </is>
      </c>
      <c r="C11" t="inlineStr">
        <is>
          <t xml:space="preserve">Passive</t>
        </is>
      </c>
      <c r="D11" t="inlineStr">
        <is>
          <t xml:space="preserve">When a game resolves, unspent Temporary Shields become Shields</t>
        </is>
      </c>
      <c r="E11" t="inlineStr">
        <is>
          <t xml:space="preserve">bank_shields</t>
        </is>
      </c>
      <c r="F11" t="inlineStr">
        <is>
          <t xml:space="preserve">ironclad</t>
        </is>
      </c>
      <c r="G11" t="inlineStr">
        <is>
          <t xml:space="preserve">Slay the Spire</t>
        </is>
      </c>
      <c r="H11" t="inlineStr">
        <is>
          <t xml:space="preserve">Barricade</t>
        </is>
      </c>
      <c r="I11" t="inlineStr">
        <is>
          <t xml:space="preserve">Slay_the_Spire_Ironclad_Rare</t>
        </is>
      </c>
    </row>
    <row r="12" spans="1:9">
      <c r="A12" t="inlineStr">
        <is>
          <t xml:space="preserve">Bloodletting</t>
        </is>
      </c>
      <c r="B12" t="inlineStr">
        <is>
          <t xml:space="preserve">Uncommon</t>
        </is>
      </c>
      <c r="C12" t="inlineStr">
        <is>
          <t xml:space="preserve">Usable</t>
        </is>
      </c>
      <c r="D12" t="inlineStr">
        <is>
          <t xml:space="preserve">Lose 2 Health and Give 4 Charges to a Chargeable Item or Loot</t>
        </is>
      </c>
      <c r="E12" t="inlineStr">
        <is>
          <t xml:space="preserve">lose_hp 2; charge_pick 4</t>
        </is>
      </c>
      <c r="F12" t="inlineStr">
        <is>
          <t xml:space="preserve">ironclad</t>
        </is>
      </c>
      <c r="G12" t="inlineStr">
        <is>
          <t xml:space="preserve">Slay the Spire</t>
        </is>
      </c>
      <c r="H12" t="inlineStr">
        <is>
          <t xml:space="preserve">Bloodletting</t>
        </is>
      </c>
      <c r="I12" t="inlineStr">
        <is>
          <t xml:space="preserve">Slay_The_Spire_Ironclad_Uncommon</t>
        </is>
      </c>
    </row>
    <row r="13" spans="1:9">
      <c r="A13" t="inlineStr">
        <is>
          <t xml:space="preserve">Blueprint</t>
        </is>
      </c>
      <c r="B13" t="inlineStr">
        <is>
          <t xml:space="preserve">Rare</t>
        </is>
      </c>
      <c r="C13" t="inlineStr">
        <is>
          <t xml:space="preserve">Passive</t>
        </is>
      </c>
      <c r="D13" t="inlineStr">
        <is>
          <t xml:space="preserve">Copy the effect of the loot to the right of this if possible</t>
        </is>
      </c>
      <c r="E13" t="inlineStr">
        <is>
          <t xml:space="preserve">copy_right</t>
        </is>
      </c>
      <c r="F13" t="inlineStr">
        <is>
          <t xml:space="preserve">joker</t>
        </is>
      </c>
      <c r="G13" t="inlineStr">
        <is>
          <t xml:space="preserve">Balatro</t>
        </is>
      </c>
      <c r="H13" t="inlineStr">
        <is>
          <t xml:space="preserve">Blueprint</t>
        </is>
      </c>
      <c r="I13" t="inlineStr">
        <is>
          <t xml:space="preserve">Balatro_Playing_Cards</t>
        </is>
      </c>
    </row>
    <row r="14" spans="1:9">
      <c r="A14" t="inlineStr">
        <is>
          <t xml:space="preserve">Bullseye</t>
        </is>
      </c>
      <c r="B14" t="inlineStr">
        <is>
          <t xml:space="preserve">Uncommon</t>
        </is>
      </c>
      <c r="C14" t="inlineStr">
        <is>
          <t xml:space="preserve">Usable</t>
        </is>
      </c>
      <c r="D14" t="inlineStr">
        <is>
          <t xml:space="preserve">Apply 1 Stun and 1 Marked to an Enemy</t>
        </is>
      </c>
      <c r="E14" t="inlineStr">
        <is>
          <t xml:space="preserve">stun 1; apply_status marked 1</t>
        </is>
      </c>
      <c r="F14" t="inlineStr">
        <is>
          <t xml:space="preserve">defect, attack</t>
        </is>
      </c>
      <c r="G14" t="inlineStr">
        <is>
          <t xml:space="preserve">Slay the Spire</t>
        </is>
      </c>
      <c r="H14" t="inlineStr">
        <is>
          <t xml:space="preserve">Bullseye</t>
        </is>
      </c>
      <c r="I14" t="inlineStr">
        <is>
          <t xml:space="preserve">Slay_The_Spire_Defect_Uncommon</t>
        </is>
      </c>
    </row>
    <row r="15" spans="1:9">
      <c r="A15" t="inlineStr">
        <is>
          <t xml:space="preserve">Chaos the Clown</t>
        </is>
      </c>
      <c r="B15" t="inlineStr">
        <is>
          <t xml:space="preserve">Common</t>
        </is>
      </c>
      <c r="C15" t="inlineStr">
        <is>
          <t xml:space="preserve">Passive</t>
        </is>
      </c>
      <c r="D15" t="inlineStr">
        <is>
          <t xml:space="preserve">Whenever you enter a shop, Gain +1 Scramble</t>
        </is>
      </c>
      <c r="E15" t="inlineStr">
        <is>
          <t xml:space="preserve">shop_entered: gain_stat scramble 1</t>
        </is>
      </c>
      <c r="F15" t="inlineStr">
        <is>
          <t xml:space="preserve">joker</t>
        </is>
      </c>
      <c r="G15" t="inlineStr">
        <is>
          <t xml:space="preserve">Balatro</t>
        </is>
      </c>
      <c r="H15" t="inlineStr">
        <is>
          <t xml:space="preserve">ChaosTheClown</t>
        </is>
      </c>
      <c r="I15" t="inlineStr">
        <is>
          <t xml:space="preserve">Balatro_Playing_Cards</t>
        </is>
      </c>
    </row>
    <row r="16" spans="1:9">
      <c r="A16" t="inlineStr">
        <is>
          <t xml:space="preserve">Cleave</t>
        </is>
      </c>
      <c r="B16" t="inlineStr">
        <is>
          <t xml:space="preserve">Common</t>
        </is>
      </c>
      <c r="C16" t="inlineStr">
        <is>
          <t xml:space="preserve">Usable</t>
        </is>
      </c>
      <c r="D16" t="inlineStr">
        <is>
          <t xml:space="preserve">Apply Stun 1 to each enemy in a row</t>
        </is>
      </c>
      <c r="E16" t="inlineStr">
        <is>
          <t xml:space="preserve">stun 1 area=row</t>
        </is>
      </c>
      <c r="F16" t="inlineStr">
        <is>
          <t xml:space="preserve">ironclad, attack</t>
        </is>
      </c>
      <c r="G16" t="inlineStr">
        <is>
          <t xml:space="preserve">Slay the Spire</t>
        </is>
      </c>
      <c r="H16" t="inlineStr">
        <is>
          <t xml:space="preserve">Cleave</t>
        </is>
      </c>
      <c r="I16" t="inlineStr">
        <is>
          <t xml:space="preserve">Slay_The_Spire_Ironclad_Common</t>
        </is>
      </c>
    </row>
    <row r="17" spans="1:9">
      <c r="A17" t="inlineStr">
        <is>
          <t xml:space="preserve">Echo Form</t>
        </is>
      </c>
      <c r="B17" t="inlineStr">
        <is>
          <t xml:space="preserve">Rare</t>
        </is>
      </c>
      <c r="C17" t="inlineStr">
        <is>
          <t xml:space="preserve">Passive</t>
        </is>
      </c>
      <c r="D17" t="inlineStr">
        <is>
          <t xml:space="preserve">The first loot you use each game plays an additional copy</t>
        </is>
      </c>
      <c r="E17" t="inlineStr">
        <is>
          <t xml:space="preserve">echo_first_loot 1</t>
        </is>
      </c>
      <c r="F17" t="inlineStr">
        <is>
          <t xml:space="preserve">defect</t>
        </is>
      </c>
      <c r="G17" t="inlineStr">
        <is>
          <t xml:space="preserve">Slay the Spire</t>
        </is>
      </c>
      <c r="H17" t="inlineStr">
        <is>
          <t xml:space="preserve">EchoForm</t>
        </is>
      </c>
      <c r="I17" t="inlineStr">
        <is>
          <t xml:space="preserve">Slay_the_Spire_Defect_Rare</t>
        </is>
      </c>
    </row>
    <row r="18" spans="1:9">
      <c r="A18" t="inlineStr">
        <is>
          <t xml:space="preserve">Exhume</t>
        </is>
      </c>
      <c r="B18" t="inlineStr">
        <is>
          <t xml:space="preserve">Rare</t>
        </is>
      </c>
      <c r="C18" t="inlineStr">
        <is>
          <t xml:space="preserve">Usable</t>
        </is>
      </c>
      <c r="D18" t="inlineStr">
        <is>
          <t xml:space="preserve">Put a destroyed Loot back into your inventory</t>
        </is>
      </c>
      <c r="E18" t="inlineStr">
        <is>
          <t xml:space="preserve">exhume</t>
        </is>
      </c>
      <c r="F18" t="inlineStr">
        <is>
          <t xml:space="preserve">ironclad</t>
        </is>
      </c>
      <c r="G18" t="inlineStr">
        <is>
          <t xml:space="preserve">Slay the Spire</t>
        </is>
      </c>
      <c r="H18" t="inlineStr">
        <is>
          <t xml:space="preserve">Exhume</t>
        </is>
      </c>
      <c r="I18" t="inlineStr">
        <is>
          <t xml:space="preserve">Slay_The_Spire_Ironclad_Rare</t>
        </is>
      </c>
    </row>
    <row r="19" spans="1:9">
      <c r="A19" t="inlineStr">
        <is>
          <t xml:space="preserve">Fiend Fire</t>
        </is>
      </c>
      <c r="B19" t="inlineStr">
        <is>
          <t xml:space="preserve">Rare</t>
        </is>
      </c>
      <c r="C19" t="inlineStr">
        <is>
          <t xml:space="preserve">Usable</t>
        </is>
      </c>
      <c r="D19" t="inlineStr">
        <is>
          <t xml:space="preserve">Destroy all other loot in this row and Apply Stun 1 to an Enemy for each loot destroyed</t>
        </is>
      </c>
      <c r="E19" t="inlineStr">
        <is>
          <t xml:space="preserve">destroy_row; stun 1 per=destroyed</t>
        </is>
      </c>
      <c r="F19" t="inlineStr">
        <is>
          <t xml:space="preserve">ironclad, attack</t>
        </is>
      </c>
      <c r="G19" t="inlineStr">
        <is>
          <t xml:space="preserve">Slay the Spire</t>
        </is>
      </c>
      <c r="H19" t="inlineStr">
        <is>
          <t xml:space="preserve">FiendFire</t>
        </is>
      </c>
      <c r="I19" t="inlineStr">
        <is>
          <t xml:space="preserve">Slay_The_Spire_Ironclad_Rare</t>
        </is>
      </c>
    </row>
    <row r="20" spans="1:9">
      <c r="A20" t="inlineStr">
        <is>
          <t xml:space="preserve">Finisher</t>
        </is>
      </c>
      <c r="B20" t="inlineStr">
        <is>
          <t xml:space="preserve">Uncommon</t>
        </is>
      </c>
      <c r="C20" t="inlineStr">
        <is>
          <t xml:space="preserve">Usable</t>
        </is>
      </c>
      <c r="D20" t="inlineStr">
        <is>
          <t xml:space="preserve">Apply Stun 1 for each other Card used during this game</t>
        </is>
      </c>
      <c r="E20" t="inlineStr">
        <is>
          <t xml:space="preserve">stun 1 per=cards_used</t>
        </is>
      </c>
      <c r="F20" t="inlineStr">
        <is>
          <t xml:space="preserve">silent, attack</t>
        </is>
      </c>
      <c r="G20" t="inlineStr">
        <is>
          <t xml:space="preserve">Slay the Spire</t>
        </is>
      </c>
      <c r="H20" t="inlineStr">
        <is>
          <t xml:space="preserve">Finisher</t>
        </is>
      </c>
      <c r="I20" t="inlineStr">
        <is>
          <t xml:space="preserve">Slay_The_Spire_Silent_Uncommon</t>
        </is>
      </c>
    </row>
    <row r="21" spans="1:9">
      <c r="A21" t="inlineStr">
        <is>
          <t xml:space="preserve">IV - The Emperor</t>
        </is>
      </c>
      <c r="B21" t="inlineStr">
        <is>
          <t xml:space="preserve">Common</t>
        </is>
      </c>
      <c r="C21" t="inlineStr">
        <is>
          <t xml:space="preserve">Usable</t>
        </is>
      </c>
      <c r="D21" t="inlineStr">
        <is>
          <t xml:space="preserve">Spawn a random Boss from the current Game Type and Difficulty Tier</t>
        </is>
      </c>
      <c r="E21" t="inlineStr">
        <is>
          <t xml:space="preserve">spawn_boss</t>
        </is>
      </c>
      <c r="F21" t="inlineStr">
        <is>
          <t xml:space="preserve">tarot</t>
        </is>
      </c>
      <c r="G21" t="inlineStr">
        <is>
          <t xml:space="preserve">The Binding of Isaac</t>
        </is>
      </c>
      <c r="H21" t="inlineStr">
        <is>
          <t xml:space="preserve">IVTheEmperor</t>
        </is>
      </c>
      <c r="I21" t="inlineStr">
        <is>
          <t xml:space="preserve">Isaac_Major_Arcana</t>
        </is>
      </c>
    </row>
    <row r="22" spans="1:9">
      <c r="A22" t="inlineStr">
        <is>
          <t xml:space="preserve">IX - The Hermit</t>
        </is>
      </c>
      <c r="B22" t="inlineStr">
        <is>
          <t xml:space="preserve">Uncommon</t>
        </is>
      </c>
      <c r="C22" t="inlineStr">
        <is>
          <t xml:space="preserve">Usable</t>
        </is>
      </c>
      <c r="D22" t="inlineStr">
        <is>
          <t xml:space="preserve">Teleport to the nearest Shop</t>
        </is>
      </c>
      <c r="E22" t="inlineStr">
        <is>
          <t xml:space="preserve">teleport_shop</t>
        </is>
      </c>
      <c r="F22" t="inlineStr">
        <is>
          <t xml:space="preserve">tarot</t>
        </is>
      </c>
      <c r="G22" t="inlineStr">
        <is>
          <t xml:space="preserve">The Binding of Isaac</t>
        </is>
      </c>
      <c r="H22" t="inlineStr">
        <is>
          <t xml:space="preserve">IXTheHermit</t>
        </is>
      </c>
      <c r="I22" t="inlineStr">
        <is>
          <t xml:space="preserve">Isaac_Major_Arcana</t>
        </is>
      </c>
    </row>
    <row r="23" spans="1:9">
      <c r="A23" t="inlineStr">
        <is>
          <t xml:space="preserve">Offering</t>
        </is>
      </c>
      <c r="B23" t="inlineStr">
        <is>
          <t xml:space="preserve">Rare</t>
        </is>
      </c>
      <c r="C23" t="inlineStr">
        <is>
          <t xml:space="preserve">Usable</t>
        </is>
      </c>
      <c r="D23" t="inlineStr">
        <is>
          <t xml:space="preserve">Lose 6 Health, Give 4 Charges to a Chargeable Item or Loot, and Gain +3 Random Cards</t>
        </is>
      </c>
      <c r="E23" t="inlineStr">
        <is>
          <t xml:space="preserve">lose_hp 6; charge_pick 4; gain_loot card 3</t>
        </is>
      </c>
      <c r="F23" t="inlineStr">
        <is>
          <t xml:space="preserve">ironclad</t>
        </is>
      </c>
      <c r="G23" t="inlineStr">
        <is>
          <t xml:space="preserve">Slay the Spire</t>
        </is>
      </c>
      <c r="H23" t="inlineStr">
        <is>
          <t xml:space="preserve">Offering</t>
        </is>
      </c>
      <c r="I23" t="inlineStr">
        <is>
          <t xml:space="preserve">Slay_The_Spire_Ironclad_Rare</t>
        </is>
      </c>
    </row>
    <row r="24" spans="1:9">
      <c r="A24" t="inlineStr">
        <is>
          <t xml:space="preserve">Pommel Strike</t>
        </is>
      </c>
      <c r="B24" t="inlineStr">
        <is>
          <t xml:space="preserve">Common</t>
        </is>
      </c>
      <c r="C24" t="inlineStr">
        <is>
          <t xml:space="preserve">Usable</t>
        </is>
      </c>
      <c r="D24" t="inlineStr">
        <is>
          <t xml:space="preserve">Apply Stun 1 to an Enemy and Gain +1 Random Card</t>
        </is>
      </c>
      <c r="E24" t="inlineStr">
        <is>
          <t xml:space="preserve">stun 1; gain_loot card 1</t>
        </is>
      </c>
      <c r="F24" t="inlineStr">
        <is>
          <t xml:space="preserve">ironclad, attack</t>
        </is>
      </c>
      <c r="G24" t="inlineStr">
        <is>
          <t xml:space="preserve">Slay the Spire</t>
        </is>
      </c>
      <c r="H24" t="inlineStr">
        <is>
          <t xml:space="preserve">PommelStrike</t>
        </is>
      </c>
      <c r="I24" t="inlineStr">
        <is>
          <t xml:space="preserve">Slay_The_Spire_Ironclad_Common</t>
        </is>
      </c>
    </row>
    <row r="25" spans="1:9">
      <c r="A25" t="inlineStr">
        <is>
          <t xml:space="preserve">Prepared</t>
        </is>
      </c>
      <c r="B25" t="inlineStr">
        <is>
          <t xml:space="preserve">Common</t>
        </is>
      </c>
      <c r="C25" t="inlineStr">
        <is>
          <t xml:space="preserve">Usable</t>
        </is>
      </c>
      <c r="D25" t="inlineStr">
        <is>
          <t xml:space="preserve">Destroy 2 Loot and Gain +2 Random Cards</t>
        </is>
      </c>
      <c r="E25" t="inlineStr">
        <is>
          <t xml:space="preserve">destroy_pick 2; gain_loot card 2</t>
        </is>
      </c>
      <c r="F25" t="inlineStr">
        <is>
          <t xml:space="preserve">silent</t>
        </is>
      </c>
      <c r="G25" t="inlineStr">
        <is>
          <t xml:space="preserve">Slay the Spire</t>
        </is>
      </c>
      <c r="H25" t="inlineStr">
        <is>
          <t xml:space="preserve">Prepared</t>
        </is>
      </c>
      <c r="I25" t="inlineStr">
        <is>
          <t xml:space="preserve">Slay_The_Spire_Silent_Common</t>
        </is>
      </c>
    </row>
    <row r="26" spans="1:9">
      <c r="A26" t="inlineStr">
        <is>
          <t xml:space="preserve">Queen of Hearts</t>
        </is>
      </c>
      <c r="B26" t="inlineStr">
        <is>
          <t xml:space="preserve">Rare</t>
        </is>
      </c>
      <c r="C26" t="inlineStr">
        <is>
          <t xml:space="preserve">Usable</t>
        </is>
      </c>
      <c r="D26" t="inlineStr">
        <is>
          <t xml:space="preserve">Gain from +1 to +20 Health</t>
        </is>
      </c>
      <c r="E26" t="inlineStr">
        <is>
          <t xml:space="preserve">gain_hp 1-20</t>
        </is>
      </c>
      <c r="F26" t="inlineStr">
        <is>
          <t xml:space="preserve">playing_card</t>
        </is>
      </c>
      <c r="G26" t="inlineStr">
        <is>
          <t xml:space="preserve">The Binding of Isaac: Rebirth</t>
        </is>
      </c>
      <c r="H26" t="inlineStr">
        <is>
          <t xml:space="preserve">QueenOfHearts</t>
        </is>
      </c>
      <c r="I26" t="inlineStr">
        <is>
          <t xml:space="preserve">Isaac_Playing_Cards</t>
        </is>
      </c>
    </row>
    <row r="27" spans="1:9">
      <c r="A27" t="inlineStr">
        <is>
          <t xml:space="preserve">Reaper</t>
        </is>
      </c>
      <c r="B27" t="inlineStr">
        <is>
          <t xml:space="preserve">Rare</t>
        </is>
      </c>
      <c r="C27" t="inlineStr">
        <is>
          <t xml:space="preserve">Usable</t>
        </is>
      </c>
      <c r="D27" t="inlineStr">
        <is>
          <t xml:space="preserve">Apply 1 Stun to all Enemies and Gain +1 Health for Each Enemy Hit</t>
        </is>
      </c>
      <c r="E27" t="inlineStr">
        <is>
          <t xml:space="preserve">stun 1 area=board; gain_hp 1 per=hit</t>
        </is>
      </c>
      <c r="F27" t="inlineStr">
        <is>
          <t xml:space="preserve">ironclad, attack</t>
        </is>
      </c>
      <c r="G27" t="inlineStr">
        <is>
          <t xml:space="preserve">Slay the Spire</t>
        </is>
      </c>
      <c r="H27" t="inlineStr">
        <is>
          <t xml:space="preserve">Reaper</t>
        </is>
      </c>
      <c r="I27" t="inlineStr">
        <is>
          <t xml:space="preserve">Slay_The_Spire_Ironclad_Rare</t>
        </is>
      </c>
    </row>
    <row r="28" spans="1:9">
      <c r="A28" t="inlineStr">
        <is>
          <t xml:space="preserve">Ride the Bus</t>
        </is>
      </c>
      <c r="B28" t="inlineStr">
        <is>
          <t xml:space="preserve">Uncommon</t>
        </is>
      </c>
      <c r="C28" t="inlineStr">
        <is>
          <t xml:space="preserve">Usable</t>
        </is>
      </c>
      <c r="D28" t="inlineStr">
        <is>
          <t xml:space="preserve">Teleport to a random Deckbuilder Game</t>
        </is>
      </c>
      <c r="E28" t="inlineStr">
        <is>
          <t xml:space="preserve">teleport_type deckbuilder</t>
        </is>
      </c>
      <c r="F28" t="inlineStr">
        <is>
          <t xml:space="preserve">joker</t>
        </is>
      </c>
      <c r="G28" t="inlineStr">
        <is>
          <t xml:space="preserve">Balatro</t>
        </is>
      </c>
      <c r="H28" t="inlineStr">
        <is>
          <t xml:space="preserve">RideTheBus</t>
        </is>
      </c>
      <c r="I28" t="inlineStr">
        <is>
          <t xml:space="preserve">Balatro_Playing_Cards</t>
        </is>
      </c>
    </row>
    <row r="29" spans="1:9">
      <c r="A29" t="inlineStr">
        <is>
          <t xml:space="preserve">Rocket</t>
        </is>
      </c>
      <c r="B29" t="inlineStr">
        <is>
          <t xml:space="preserve">Uncommon</t>
        </is>
      </c>
      <c r="C29" t="inlineStr">
        <is>
          <t xml:space="preserve">Passive</t>
        </is>
      </c>
      <c r="D29" t="inlineStr">
        <is>
          <t xml:space="preserve">Whenever you complete a game, Gain +1 Gold. Increase Gold payout by 2 when you defeat a boss. </t>
        </is>
      </c>
      <c r="E29" t="inlineStr">
        <is>
          <t xml:space="preserve">game_won: gain_gold 1 plus=counter; enemy_killed if_boss: bump 2</t>
        </is>
      </c>
      <c r="F29" t="inlineStr">
        <is>
          <t xml:space="preserve">joker</t>
        </is>
      </c>
      <c r="G29" t="inlineStr">
        <is>
          <t xml:space="preserve">Balatro</t>
        </is>
      </c>
      <c r="H29" t="inlineStr">
        <is>
          <t xml:space="preserve">Rocket</t>
        </is>
      </c>
      <c r="I29" t="inlineStr">
        <is>
          <t xml:space="preserve">Balatro_Playing_Cards</t>
        </is>
      </c>
    </row>
    <row r="30" spans="1:9">
      <c r="A30" t="inlineStr">
        <is>
          <t xml:space="preserve">Second Wind</t>
        </is>
      </c>
      <c r="B30" t="inlineStr">
        <is>
          <t xml:space="preserve">Uncommon</t>
        </is>
      </c>
      <c r="C30" t="inlineStr">
        <is>
          <t xml:space="preserve">Usable</t>
        </is>
      </c>
      <c r="D30" t="inlineStr">
        <is>
          <t xml:space="preserve">Destroy all other loot in this row and Gain +2 Temporary Shield for each loot destroyed</t>
        </is>
      </c>
      <c r="E30" t="inlineStr">
        <is>
          <t xml:space="preserve">destroy_row; gain_stat shields 2 per=destroyed</t>
        </is>
      </c>
      <c r="F30" t="inlineStr">
        <is>
          <t xml:space="preserve">ironclad</t>
        </is>
      </c>
      <c r="G30" t="inlineStr">
        <is>
          <t xml:space="preserve">Slay the Spire</t>
        </is>
      </c>
      <c r="H30" t="inlineStr">
        <is>
          <t xml:space="preserve">SecondWind</t>
        </is>
      </c>
      <c r="I30" t="inlineStr">
        <is>
          <t xml:space="preserve">Slay_The_Spire_Ironclad_Uncommon</t>
        </is>
      </c>
    </row>
    <row r="31" spans="1:9">
      <c r="A31" t="inlineStr">
        <is>
          <t xml:space="preserve">Shrug it Off</t>
        </is>
      </c>
      <c r="B31" t="inlineStr">
        <is>
          <t xml:space="preserve">Common</t>
        </is>
      </c>
      <c r="C31" t="inlineStr">
        <is>
          <t xml:space="preserve">Usable</t>
        </is>
      </c>
      <c r="D31" t="inlineStr">
        <is>
          <t xml:space="preserve">Gain +1 Temporary Shield and +1 Random Card</t>
        </is>
      </c>
      <c r="E31" t="inlineStr">
        <is>
          <t xml:space="preserve">gain_stat shields 1; gain_loot card 1</t>
        </is>
      </c>
      <c r="F31" t="inlineStr">
        <is>
          <t xml:space="preserve">ironclad</t>
        </is>
      </c>
      <c r="G31" t="inlineStr">
        <is>
          <t xml:space="preserve">Slay the Spire</t>
        </is>
      </c>
      <c r="H31" t="inlineStr">
        <is>
          <t xml:space="preserve">ShrugItOff</t>
        </is>
      </c>
      <c r="I31" t="inlineStr">
        <is>
          <t xml:space="preserve">Slay_The_Spire_Ironclad_Common</t>
        </is>
      </c>
    </row>
    <row r="32" spans="1:9">
      <c r="A32" t="inlineStr">
        <is>
          <t xml:space="preserve">Stack</t>
        </is>
      </c>
      <c r="B32" t="inlineStr">
        <is>
          <t xml:space="preserve">Common</t>
        </is>
      </c>
      <c r="C32" t="inlineStr">
        <is>
          <t xml:space="preserve">Usable</t>
        </is>
      </c>
      <c r="D32" t="inlineStr">
        <is>
          <t xml:space="preserve">Gain +1 Temporary Shield for each other Card used this game</t>
        </is>
      </c>
      <c r="E32" t="inlineStr">
        <is>
          <t xml:space="preserve">gain_stat shields 1 per=cards_used</t>
        </is>
      </c>
      <c r="F32" t="inlineStr">
        <is>
          <t xml:space="preserve">defect</t>
        </is>
      </c>
      <c r="G32" t="inlineStr">
        <is>
          <t xml:space="preserve">Slay the Spire</t>
        </is>
      </c>
      <c r="H32" t="inlineStr">
        <is>
          <t xml:space="preserve">Stack</t>
        </is>
      </c>
      <c r="I32" t="inlineStr">
        <is>
          <t xml:space="preserve">Slay_The_Spire_Defect_Common</t>
        </is>
      </c>
    </row>
    <row r="33" spans="1:9">
      <c r="A33" t="inlineStr">
        <is>
          <t xml:space="preserve">To the Moon</t>
        </is>
      </c>
      <c r="B33" t="inlineStr">
        <is>
          <t xml:space="preserve">Uncommon</t>
        </is>
      </c>
      <c r="C33" t="inlineStr">
        <is>
          <t xml:space="preserve">Passive</t>
        </is>
      </c>
      <c r="D33" t="inlineStr">
        <is>
          <t xml:space="preserve">Whenever you complete a game, Gain +1 Gold for each 3 Gold you have.</t>
        </is>
      </c>
      <c r="E33" t="inlineStr">
        <is>
          <t xml:space="preserve">game_won: gain_gold 1 per=3 of=gold</t>
        </is>
      </c>
      <c r="F33" t="inlineStr">
        <is>
          <t xml:space="preserve">joker</t>
        </is>
      </c>
      <c r="G33" t="inlineStr">
        <is>
          <t xml:space="preserve">Balatro</t>
        </is>
      </c>
      <c r="H33" t="inlineStr">
        <is>
          <t xml:space="preserve">ToTheMoon</t>
        </is>
      </c>
      <c r="I33" t="inlineStr">
        <is>
          <t xml:space="preserve">Balatro_Playing_Cards</t>
        </is>
      </c>
    </row>
    <row r="34" spans="1:9">
      <c r="A34" t="inlineStr">
        <is>
          <t xml:space="preserve">Trading Card</t>
        </is>
      </c>
      <c r="B34" t="inlineStr">
        <is>
          <t xml:space="preserve">Uncommon</t>
        </is>
      </c>
      <c r="C34" t="inlineStr">
        <is>
          <t xml:space="preserve">Passive</t>
        </is>
      </c>
      <c r="D34" t="inlineStr">
        <is>
          <t xml:space="preserve">Once per game, Gain +2 Gold when destroying a card</t>
        </is>
      </c>
      <c r="E34" t="inlineStr">
        <is>
          <t xml:space="preserve">card_binned once_per_game: gain_gold 2</t>
        </is>
      </c>
      <c r="F34" t="inlineStr">
        <is>
          <t xml:space="preserve">joker</t>
        </is>
      </c>
      <c r="G34" t="inlineStr">
        <is>
          <t xml:space="preserve">Balatro</t>
        </is>
      </c>
      <c r="H34" t="inlineStr">
        <is>
          <t xml:space="preserve">TradingCard</t>
        </is>
      </c>
      <c r="I34" t="inlineStr">
        <is>
          <t xml:space="preserve">Balatro_Playing_Cards</t>
        </is>
      </c>
    </row>
    <row r="35" spans="1:9">
      <c r="A35" t="inlineStr">
        <is>
          <t xml:space="preserve">V - The Hierophant</t>
        </is>
      </c>
      <c r="B35" t="inlineStr">
        <is>
          <t xml:space="preserve">Common</t>
        </is>
      </c>
      <c r="C35" t="inlineStr">
        <is>
          <t xml:space="preserve">Usable</t>
        </is>
      </c>
      <c r="D35" t="inlineStr">
        <is>
          <t xml:space="preserve">Gain +2 Shields</t>
        </is>
      </c>
      <c r="E35" t="inlineStr">
        <is>
          <t xml:space="preserve">gain_stat bonus_shields 2</t>
        </is>
      </c>
      <c r="F35" t="inlineStr">
        <is>
          <t xml:space="preserve">tarot</t>
        </is>
      </c>
      <c r="G35" t="inlineStr">
        <is>
          <t xml:space="preserve">The Binding of Isaac</t>
        </is>
      </c>
      <c r="H35" t="inlineStr">
        <is>
          <t xml:space="preserve">VTheHierophant</t>
        </is>
      </c>
      <c r="I35" t="inlineStr">
        <is>
          <t xml:space="preserve">Isaac_Major_Arcana</t>
        </is>
      </c>
    </row>
    <row r="36" spans="1:9">
      <c r="A36" t="inlineStr">
        <is>
          <t xml:space="preserve">VI - The Lovers</t>
        </is>
      </c>
      <c r="B36" t="inlineStr">
        <is>
          <t xml:space="preserve">Common</t>
        </is>
      </c>
      <c r="C36" t="inlineStr">
        <is>
          <t xml:space="preserve">Usable</t>
        </is>
      </c>
      <c r="D36" t="inlineStr">
        <is>
          <t xml:space="preserve">Gain +2 Health</t>
        </is>
      </c>
      <c r="E36" t="inlineStr">
        <is>
          <t xml:space="preserve">gain_hp 2</t>
        </is>
      </c>
      <c r="F36" t="inlineStr">
        <is>
          <t xml:space="preserve">tarot</t>
        </is>
      </c>
      <c r="G36" t="inlineStr">
        <is>
          <t xml:space="preserve">The Binding of Isaac</t>
        </is>
      </c>
      <c r="H36" t="inlineStr">
        <is>
          <t xml:space="preserve">VITheLovers</t>
        </is>
      </c>
      <c r="I36" t="inlineStr">
        <is>
          <t xml:space="preserve">Isaac_Major_Arcana</t>
        </is>
      </c>
    </row>
    <row r="37" spans="1:9">
      <c r="A37" t="inlineStr">
        <is>
          <t xml:space="preserve">VIII - Justice</t>
        </is>
      </c>
      <c r="B37" t="inlineStr">
        <is>
          <t xml:space="preserve">Uncommon</t>
        </is>
      </c>
      <c r="C37" t="inlineStr">
        <is>
          <t xml:space="preserve">Usable</t>
        </is>
      </c>
      <c r="D37" t="inlineStr">
        <is>
          <t xml:space="preserve">Gain +1 Key, Bomb, Health, and Gold</t>
        </is>
      </c>
      <c r="E37" t="inlineStr">
        <is>
          <t xml:space="preserve">gain_stat keys 1; gain_stat bombs 1; gain_hp 1; gain_stat gold 1</t>
        </is>
      </c>
      <c r="F37" t="inlineStr">
        <is>
          <t xml:space="preserve">tarot</t>
        </is>
      </c>
      <c r="G37" t="inlineStr">
        <is>
          <t xml:space="preserve">The Binding of Isaac</t>
        </is>
      </c>
      <c r="H37" t="inlineStr">
        <is>
          <t xml:space="preserve">VIIIJustice</t>
        </is>
      </c>
      <c r="I37" t="inlineStr">
        <is>
          <t xml:space="preserve">Isaac_Major_Arcana</t>
        </is>
      </c>
    </row>
    <row r="38" spans="1:9">
      <c r="A38" t="inlineStr">
        <is>
          <t xml:space="preserve">XIV - Temperance</t>
        </is>
      </c>
      <c r="B38" t="inlineStr">
        <is>
          <t xml:space="preserve">Common</t>
        </is>
      </c>
      <c r="C38" t="inlineStr">
        <is>
          <t xml:space="preserve">Usable</t>
        </is>
      </c>
      <c r="D38" t="inlineStr">
        <is>
          <t xml:space="preserve">Spawn a Blood Donation Machine</t>
        </is>
      </c>
      <c r="E38" t="inlineStr">
        <is>
          <t xml:space="preserve">spawn_object blood_donation_machine</t>
        </is>
      </c>
      <c r="F38" t="inlineStr">
        <is>
          <t xml:space="preserve">tarot</t>
        </is>
      </c>
      <c r="G38" t="inlineStr">
        <is>
          <t xml:space="preserve">The Binding of Isaac</t>
        </is>
      </c>
      <c r="H38" t="inlineStr">
        <is>
          <t xml:space="preserve">XIVTemperance</t>
        </is>
      </c>
      <c r="I38"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tabSelected="1" workbookViewId="0">
      <selection activeCell="E27" sqref="E27"/>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c r="A1" t="inlineStr">
        <is>
          <t xml:space="preserve">Name</t>
        </is>
      </c>
      <c r="B1" t="inlineStr">
        <is>
          <t xml:space="preserve">Rarity</t>
        </is>
      </c>
      <c r="C1" t="inlineStr">
        <is>
          <t xml:space="preserve">Size</t>
        </is>
      </c>
      <c r="D1" t="inlineStr">
        <is>
          <t xml:space="preserve">Type</t>
        </is>
      </c>
      <c r="E1" t="inlineStr">
        <is>
          <t xml:space="preserve">Description</t>
        </is>
      </c>
      <c r="F1" t="inlineStr">
        <is>
          <t xml:space="preserve">Effect</t>
        </is>
      </c>
      <c r="G1" t="inlineStr">
        <is>
          <t xml:space="preserve">Tag</t>
        </is>
      </c>
      <c r="H1" t="inlineStr">
        <is>
          <t xml:space="preserve">Game</t>
        </is>
      </c>
      <c r="I1" t="inlineStr">
        <is>
          <t xml:space="preserve">Image</t>
        </is>
      </c>
    </row>
    <row r="2" spans="1:9">
      <c r="A2" t="inlineStr">
        <is>
          <t xml:space="preserve">Bag Lunch</t>
        </is>
      </c>
      <c r="B2" t="inlineStr">
        <is>
          <t xml:space="preserve">Common</t>
        </is>
      </c>
      <c r="C2" t="inlineStr">
        <is>
          <t xml:space="preserve">1x1</t>
        </is>
      </c>
      <c r="D2" t="inlineStr">
        <is>
          <t xml:space="preserve">Passive</t>
        </is>
      </c>
      <c r="E2" t="inlineStr">
        <is>
          <t xml:space="preserve">5% on losing Health to lose this and Gain + 1 Lunch</t>
        </is>
      </c>
      <c r="F2" t="inlineStr">
        <is>
          <t xml:space="preserve">health_lost: 5% chance break_into lunch</t>
        </is>
      </c>
      <c r="G2" t="inlineStr">
        <is>
          <t xml:space="preserve">food, bag</t>
        </is>
      </c>
      <c r="H2" t="inlineStr">
        <is>
          <t xml:space="preserve">The Binding of Isaac: Rebirth</t>
        </is>
      </c>
      <c r="I2" t="inlineStr">
        <is>
          <t xml:space="preserve">BagLunch</t>
        </is>
      </c>
    </row>
    <row r="3" spans="1:9">
      <c r="A3" t="inlineStr">
        <is>
          <t xml:space="preserve">Bloody Penny</t>
        </is>
      </c>
      <c r="B3" t="inlineStr">
        <is>
          <t xml:space="preserve">Common</t>
        </is>
      </c>
      <c r="C3" t="inlineStr">
        <is>
          <t xml:space="preserve">1x1</t>
        </is>
      </c>
      <c r="D3" t="inlineStr">
        <is>
          <t xml:space="preserve">Passive</t>
        </is>
      </c>
      <c r="E3" t="inlineStr">
        <is>
          <t xml:space="preserve">25% chance to Gain +1 Health when gaining Gold</t>
        </is>
      </c>
      <c r="F3" t="inlineStr">
        <is>
          <t xml:space="preserve">gold_gained: 25% chance gain_hp 1</t>
        </is>
      </c>
      <c r="G3" t="inlineStr">
        <is>
          <t xml:space="preserve">coin, blood</t>
        </is>
      </c>
      <c r="H3" t="inlineStr">
        <is>
          <t xml:space="preserve">The Binding of Isaac</t>
        </is>
      </c>
      <c r="I3" t="inlineStr">
        <is>
          <t xml:space="preserve">BloodyPenny</t>
        </is>
      </c>
    </row>
    <row r="4" spans="1:9">
      <c r="A4" t="inlineStr">
        <is>
          <t xml:space="preserve">Broccoli</t>
        </is>
      </c>
      <c r="B4" t="inlineStr">
        <is>
          <t xml:space="preserve">Uncommon</t>
        </is>
      </c>
      <c r="C4" t="inlineStr">
        <is>
          <t xml:space="preserve">2x1</t>
        </is>
      </c>
      <c r="D4" t="inlineStr">
        <is>
          <t xml:space="preserve">Charged</t>
        </is>
      </c>
      <c r="E4" t="inlineStr">
        <is>
          <t xml:space="preserve">Whenever you defeat an enemy, Gain +1 Charge. On 6 Charges, Gain +2 Luck</t>
        </is>
      </c>
      <c r="F4" t="inlineStr">
        <is>
          <t xml:space="preserve">enemy_killed charges=6: gain_stat luck 2</t>
        </is>
      </c>
      <c r="G4" t="inlineStr">
        <is>
          <t xml:space="preserve">food, vegetable</t>
        </is>
      </c>
      <c r="H4" t="inlineStr">
        <is>
          <t xml:space="preserve">Backpack Battles</t>
        </is>
      </c>
      <c r="I4" t="inlineStr">
        <is>
          <t xml:space="preserve">Broccoli</t>
        </is>
      </c>
    </row>
    <row r="5" spans="1:9">
      <c r="A5" t="inlineStr">
        <is>
          <t xml:space="preserve">Burnt Penny</t>
        </is>
      </c>
      <c r="B5" t="inlineStr">
        <is>
          <t xml:space="preserve">Uncommon</t>
        </is>
      </c>
      <c r="C5" t="inlineStr">
        <is>
          <t xml:space="preserve">1x1</t>
        </is>
      </c>
      <c r="D5" t="inlineStr">
        <is>
          <t xml:space="preserve">Passive</t>
        </is>
      </c>
      <c r="E5" t="inlineStr">
        <is>
          <t xml:space="preserve">25% chance to Gain +1 Bomb when gaining Gold</t>
        </is>
      </c>
      <c r="F5" t="inlineStr">
        <is>
          <t xml:space="preserve">gold_gained: 25% chance gain_stat bombs 1</t>
        </is>
      </c>
      <c r="G5" t="inlineStr">
        <is>
          <t xml:space="preserve">coin</t>
        </is>
      </c>
      <c r="H5" t="inlineStr">
        <is>
          <t xml:space="preserve">The Binding of Isaac</t>
        </is>
      </c>
      <c r="I5" t="inlineStr">
        <is>
          <t xml:space="preserve">BurntPenny</t>
        </is>
      </c>
    </row>
    <row r="6" spans="1:9">
      <c r="A6" t="inlineStr">
        <is>
          <t xml:space="preserve">Carrot</t>
        </is>
      </c>
      <c r="B6" t="inlineStr">
        <is>
          <t xml:space="preserve">Uncommon</t>
        </is>
      </c>
      <c r="C6" t="inlineStr">
        <is>
          <t xml:space="preserve">1x2</t>
        </is>
      </c>
      <c r="D6" t="inlineStr">
        <is>
          <t xml:space="preserve">Charged</t>
        </is>
      </c>
      <c r="E6" t="inlineStr">
        <is>
          <t xml:space="preserve">Whenever you defeat an enemy, Gain +1 Charge. On 3 Charges, Lose 1 Random Debuff </t>
        </is>
      </c>
      <c r="F6" t="inlineStr">
        <is>
          <t xml:space="preserve">enemy_killed charges=3: remove_random_debuff 1</t>
        </is>
      </c>
      <c r="G6" t="inlineStr">
        <is>
          <t xml:space="preserve">food, vegetable</t>
        </is>
      </c>
      <c r="H6" t="inlineStr">
        <is>
          <t xml:space="preserve">Backpack Battles</t>
        </is>
      </c>
      <c r="I6" t="inlineStr">
        <is>
          <t xml:space="preserve">Carrot</t>
        </is>
      </c>
    </row>
    <row r="7" spans="1:9">
      <c r="A7" t="inlineStr">
        <is>
          <t xml:space="preserve">Charged Penny</t>
        </is>
      </c>
      <c r="B7" t="inlineStr">
        <is>
          <t xml:space="preserve">Uncommon</t>
        </is>
      </c>
      <c r="C7" t="inlineStr">
        <is>
          <t xml:space="preserve">1x1</t>
        </is>
      </c>
      <c r="D7" t="inlineStr">
        <is>
          <t xml:space="preserve">Passive</t>
        </is>
      </c>
      <c r="E7" t="inlineStr">
        <is>
          <t xml:space="preserve">16% chance to Gain +1 Charge to a random Chargeable Item or Loot when gaining Gold</t>
        </is>
      </c>
      <c r="F7" t="inlineStr">
        <is>
          <t xml:space="preserve">gold_gained: 16% chance charge_random 1</t>
        </is>
      </c>
      <c r="G7" t="inlineStr">
        <is>
          <t xml:space="preserve">coin</t>
        </is>
      </c>
      <c r="H7" t="inlineStr">
        <is>
          <t xml:space="preserve">The Binding of Isaac: Rebirth</t>
        </is>
      </c>
      <c r="I7" t="inlineStr">
        <is>
          <t xml:space="preserve">ChargedPenny</t>
        </is>
      </c>
    </row>
    <row r="8" spans="1:9">
      <c r="A8" t="inlineStr">
        <is>
          <t xml:space="preserve">Cheese</t>
        </is>
      </c>
      <c r="B8" t="inlineStr">
        <is>
          <t xml:space="preserve">Rare</t>
        </is>
      </c>
      <c r="C8" t="inlineStr">
        <is>
          <t xml:space="preserve">1x2</t>
        </is>
      </c>
      <c r="D8" t="inlineStr">
        <is>
          <t xml:space="preserve">Charged</t>
        </is>
      </c>
      <c r="E8" t="inlineStr">
        <is>
          <t xml:space="preserve">Whenever you defeat an enemy, Gain +1 Charge. On 4 Charges, Gain +5 Empty Max Health and Gain +1 Random Buff</t>
        </is>
      </c>
      <c r="F8" t="inlineStr">
        <is>
          <t xml:space="preserve">enemy_killed charges=4: gain_empty_max_hp 5; gain_random_buff 1</t>
        </is>
      </c>
      <c r="G8" t="inlineStr">
        <is>
          <t xml:space="preserve">food, dairy</t>
        </is>
      </c>
      <c r="H8" t="inlineStr">
        <is>
          <t xml:space="preserve">Backpack Battles</t>
        </is>
      </c>
      <c r="I8" t="inlineStr">
        <is>
          <t xml:space="preserve">Cheese</t>
        </is>
      </c>
    </row>
    <row r="9" spans="1:9">
      <c r="A9" t="inlineStr">
        <is>
          <t xml:space="preserve">Counterfeit Penny</t>
        </is>
      </c>
      <c r="B9" t="inlineStr">
        <is>
          <t xml:space="preserve">Rare</t>
        </is>
      </c>
      <c r="C9" t="inlineStr">
        <is>
          <t xml:space="preserve">1x1</t>
        </is>
      </c>
      <c r="D9" t="inlineStr">
        <is>
          <t xml:space="preserve">Passive</t>
        </is>
      </c>
      <c r="E9" t="inlineStr">
        <is>
          <t xml:space="preserve">50% chance to Gain +1 Gold when gaining Gold</t>
        </is>
      </c>
      <c r="F9" t="inlineStr">
        <is>
          <t xml:space="preserve">gold_gained: 50% chance gain_gold 1</t>
        </is>
      </c>
      <c r="G9" t="inlineStr">
        <is>
          <t xml:space="preserve">coin</t>
        </is>
      </c>
      <c r="H9" t="inlineStr">
        <is>
          <t xml:space="preserve">The Binding of Isaac</t>
        </is>
      </c>
      <c r="I9" t="inlineStr">
        <is>
          <t xml:space="preserve">CounterfeitPenny</t>
        </is>
      </c>
    </row>
    <row r="10" spans="1:9">
      <c r="A10" t="inlineStr">
        <is>
          <t xml:space="preserve">Cupcake</t>
        </is>
      </c>
      <c r="B10" t="inlineStr">
        <is>
          <t xml:space="preserve">Rare</t>
        </is>
      </c>
      <c r="C10" t="inlineStr">
        <is>
          <t xml:space="preserve">1x1</t>
        </is>
      </c>
      <c r="D10" t="inlineStr">
        <is>
          <t xml:space="preserve">Charged</t>
        </is>
      </c>
      <c r="E10" t="inlineStr">
        <is>
          <t xml:space="preserve">Whenever you defeat an enemy, Gain +1 Charge. On 6 Charges, Gain +5 Health and Gain +1 Buff to the one you have the most of</t>
        </is>
      </c>
      <c r="F10" t="inlineStr">
        <is>
          <t xml:space="preserve">enemy_killed charges=6: gain_hp 5; gain_top_buff 1</t>
        </is>
      </c>
      <c r="G10" t="inlineStr">
        <is>
          <t xml:space="preserve">food, sweets</t>
        </is>
      </c>
      <c r="H10" t="inlineStr">
        <is>
          <t xml:space="preserve">Backpack Battles</t>
        </is>
      </c>
      <c r="I10" t="inlineStr">
        <is>
          <t xml:space="preserve">Cupcake</t>
        </is>
      </c>
    </row>
    <row r="11" spans="1:9">
      <c r="A11" t="inlineStr">
        <is>
          <t xml:space="preserve">Duplicator</t>
        </is>
      </c>
      <c r="B11" t="inlineStr">
        <is>
          <t xml:space="preserve">Rare</t>
        </is>
      </c>
      <c r="C11" t="inlineStr">
        <is>
          <t xml:space="preserve">1x1</t>
        </is>
      </c>
      <c r="D11" t="inlineStr">
        <is>
          <t xml:space="preserve">Passive</t>
        </is>
      </c>
      <c r="E11" t="inlineStr">
        <is>
          <t xml:space="preserve">Adjacent Weapons trigger an extra time</t>
        </is>
      </c>
      <c r="F11" t="inlineStr">
        <is>
          <t xml:space="preserve">weapon_retrigger +1 dirs=adjacent</t>
        </is>
      </c>
      <c r="G11" t="inlineStr">
        <is>
          <t xml:space="preserve">ring</t>
        </is>
      </c>
      <c r="H11" t="inlineStr">
        <is>
          <t xml:space="preserve">Vampire Survivors</t>
        </is>
      </c>
      <c r="I11" t="inlineStr">
        <is>
          <t xml:space="preserve">Duplicator</t>
        </is>
      </c>
    </row>
    <row r="12" spans="1:9">
      <c r="A12" t="inlineStr">
        <is>
          <t xml:space="preserve">Endless Nameless</t>
        </is>
      </c>
      <c r="B12" t="inlineStr">
        <is>
          <t xml:space="preserve">Uncommon</t>
        </is>
      </c>
      <c r="C12" t="inlineStr">
        <is>
          <t xml:space="preserve">1x1</t>
        </is>
      </c>
      <c r="D12" t="inlineStr">
        <is>
          <t xml:space="preserve">Passive</t>
        </is>
      </c>
      <c r="E12" t="inlineStr">
        <is>
          <t xml:space="preserve">Whenever you use a loot, 25% chance to spawn a duplicate of that loot on the board</t>
        </is>
      </c>
      <c r="F12" t="inlineStr">
        <is>
          <t xml:space="preserve">loot_used: 25% chance drop_copy</t>
        </is>
      </c>
      <c r="H12" t="inlineStr">
        <is>
          <t xml:space="preserve">The Binding of Isaac: Rebirth</t>
        </is>
      </c>
      <c r="I12" t="inlineStr">
        <is>
          <t xml:space="preserve">EndlessNameless</t>
        </is>
      </c>
    </row>
    <row r="13" spans="1:9">
      <c r="A13" t="inlineStr">
        <is>
          <t xml:space="preserve">Flat Penny</t>
        </is>
      </c>
      <c r="B13" t="inlineStr">
        <is>
          <t xml:space="preserve">Uncommon</t>
        </is>
      </c>
      <c r="C13" t="inlineStr">
        <is>
          <t xml:space="preserve">1x1</t>
        </is>
      </c>
      <c r="D13" t="inlineStr">
        <is>
          <t xml:space="preserve">Passive</t>
        </is>
      </c>
      <c r="E13" t="inlineStr">
        <is>
          <t xml:space="preserve">25% chance to Gain +1 Key when gaining Gold</t>
        </is>
      </c>
      <c r="F13" t="inlineStr">
        <is>
          <t xml:space="preserve">gold_gained: 25% chance gain_stat keys 1</t>
        </is>
      </c>
      <c r="G13" t="inlineStr">
        <is>
          <t xml:space="preserve">coin</t>
        </is>
      </c>
      <c r="H13" t="inlineStr">
        <is>
          <t xml:space="preserve">The Binding of Isaac</t>
        </is>
      </c>
      <c r="I13" t="inlineStr">
        <is>
          <t xml:space="preserve">FlatPenny</t>
        </is>
      </c>
    </row>
    <row r="14" spans="1:9">
      <c r="A14" t="inlineStr">
        <is>
          <t xml:space="preserve">Garlic</t>
        </is>
      </c>
      <c r="B14" t="inlineStr">
        <is>
          <t xml:space="preserve">Common</t>
        </is>
      </c>
      <c r="C14" t="inlineStr">
        <is>
          <t xml:space="preserve">2x1</t>
        </is>
      </c>
      <c r="D14" t="inlineStr">
        <is>
          <t xml:space="preserve">Charged</t>
        </is>
      </c>
      <c r="E14" t="inlineStr">
        <is>
          <t xml:space="preserve">Whenever you defeat an enemy, Gain +1 Charge. On 4 Charges, Gain +3 Temporary Shield</t>
        </is>
      </c>
      <c r="F14" t="inlineStr">
        <is>
          <t xml:space="preserve">enemy_killed charges=4: gain_stat shields 3</t>
        </is>
      </c>
      <c r="G14" t="inlineStr">
        <is>
          <t xml:space="preserve">food, vegetable, garlic</t>
        </is>
      </c>
      <c r="H14" t="inlineStr">
        <is>
          <t xml:space="preserve">Backpack Battles</t>
        </is>
      </c>
      <c r="I14" t="inlineStr">
        <is>
          <t xml:space="preserve">Garlic</t>
        </is>
      </c>
    </row>
    <row r="15" spans="1:9">
      <c r="A15" t="inlineStr">
        <is>
          <t xml:space="preserve">Gecko Gi</t>
        </is>
      </c>
      <c r="B15" t="inlineStr">
        <is>
          <t xml:space="preserve">Rare</t>
        </is>
      </c>
      <c r="C15" t="inlineStr">
        <is>
          <t xml:space="preserve">2x2</t>
        </is>
      </c>
      <c r="D15" t="inlineStr">
        <is>
          <t xml:space="preserve">Passive</t>
        </is>
      </c>
      <c r="E15" t="inlineStr">
        <is>
          <t xml:space="preserve">Burn does not deal damage to the Player</t>
        </is>
      </c>
      <c r="F15" t="inlineStr">
        <is>
          <t xml:space="preserve">harmless_status burn</t>
        </is>
      </c>
      <c r="G15" t="inlineStr">
        <is>
          <t xml:space="preserve">wearable, torso</t>
        </is>
      </c>
      <c r="H15" t="inlineStr">
        <is>
          <t xml:space="preserve">Backpack Battles</t>
        </is>
      </c>
      <c r="I15" t="inlineStr">
        <is>
          <t xml:space="preserve">GeckoGi</t>
        </is>
      </c>
    </row>
    <row r="16" spans="1:9">
      <c r="A16" t="inlineStr">
        <is>
          <t xml:space="preserve">Goat Hoof</t>
        </is>
      </c>
      <c r="B16" t="inlineStr">
        <is>
          <t xml:space="preserve">Common</t>
        </is>
      </c>
      <c r="C16" t="inlineStr">
        <is>
          <t xml:space="preserve">1x1</t>
        </is>
      </c>
      <c r="D16" t="inlineStr">
        <is>
          <t xml:space="preserve">Passive</t>
        </is>
      </c>
      <c r="E16" t="inlineStr">
        <is>
          <t xml:space="preserve">Gain +1 Speed</t>
        </is>
      </c>
      <c r="F16" t="inlineStr">
        <is>
          <t xml:space="preserve">passive_status: speed 1</t>
        </is>
      </c>
      <c r="H16" t="inlineStr">
        <is>
          <t xml:space="preserve">The Binding of Isaac</t>
        </is>
      </c>
      <c r="I16" t="inlineStr">
        <is>
          <t xml:space="preserve">GoatHoof</t>
        </is>
      </c>
    </row>
    <row r="17" spans="1:9">
      <c r="A17" t="inlineStr">
        <is>
          <t xml:space="preserve">Hairpin</t>
        </is>
      </c>
      <c r="B17" t="inlineStr">
        <is>
          <t xml:space="preserve">Common</t>
        </is>
      </c>
      <c r="C17" t="inlineStr">
        <is>
          <t xml:space="preserve">1x1</t>
        </is>
      </c>
      <c r="D17" t="inlineStr">
        <is>
          <t xml:space="preserve">Passive</t>
        </is>
      </c>
      <c r="E17" t="inlineStr">
        <is>
          <t xml:space="preserve">Fully Charge a random Chargeable Item or Loot when a Boss spawns</t>
        </is>
      </c>
      <c r="F17" t="inlineStr">
        <is>
          <t xml:space="preserve">boss_spawned: charge_random full</t>
        </is>
      </c>
      <c r="H17" t="inlineStr">
        <is>
          <t xml:space="preserve">The Binding of Isaac: Rebirth</t>
        </is>
      </c>
      <c r="I17" t="inlineStr">
        <is>
          <t xml:space="preserve">Hairpin</t>
        </is>
      </c>
    </row>
    <row r="18" spans="1:9">
      <c r="A18" t="inlineStr">
        <is>
          <t xml:space="preserve">Isaac's Fork</t>
        </is>
      </c>
      <c r="B18" t="inlineStr">
        <is>
          <t xml:space="preserve">Common</t>
        </is>
      </c>
      <c r="C18" t="inlineStr">
        <is>
          <t xml:space="preserve">1x1</t>
        </is>
      </c>
      <c r="D18" t="inlineStr">
        <is>
          <t xml:space="preserve">Passive</t>
        </is>
      </c>
      <c r="E18" t="inlineStr">
        <is>
          <t xml:space="preserve">25% chance to Gain +1 Health when Completing a Game</t>
        </is>
      </c>
      <c r="F18" t="inlineStr">
        <is>
          <t xml:space="preserve">game_won: 25% chance gain_hp 1</t>
        </is>
      </c>
      <c r="H18" t="inlineStr">
        <is>
          <t xml:space="preserve">The Binding of Isaac</t>
        </is>
      </c>
      <c r="I18" t="inlineStr">
        <is>
          <t xml:space="preserve">IsaacsFork</t>
        </is>
      </c>
    </row>
    <row r="19" spans="1:9">
      <c r="A19" t="inlineStr">
        <is>
          <t xml:space="preserve">Lucky Toe</t>
        </is>
      </c>
      <c r="B19" t="inlineStr">
        <is>
          <t xml:space="preserve">Uncommon</t>
        </is>
      </c>
      <c r="C19" t="inlineStr">
        <is>
          <t xml:space="preserve">1x1</t>
        </is>
      </c>
      <c r="D19" t="inlineStr">
        <is>
          <t xml:space="preserve">Passive</t>
        </is>
      </c>
      <c r="E19" t="inlineStr">
        <is>
          <t xml:space="preserve">Gain +1 Luck</t>
        </is>
      </c>
      <c r="F19" t="inlineStr">
        <is>
          <t xml:space="preserve">passive: +1 luck</t>
        </is>
      </c>
      <c r="H19" t="inlineStr">
        <is>
          <t xml:space="preserve">The Binding of Isaac</t>
        </is>
      </c>
      <c r="I19" t="inlineStr">
        <is>
          <t xml:space="preserve">LuckyToe</t>
        </is>
      </c>
    </row>
    <row r="20" spans="1:9">
      <c r="A20" t="inlineStr">
        <is>
          <t xml:space="preserve">Swallowed Penny</t>
        </is>
      </c>
      <c r="B20" t="inlineStr">
        <is>
          <t xml:space="preserve">Uncommon</t>
        </is>
      </c>
      <c r="C20" t="inlineStr">
        <is>
          <t xml:space="preserve">1x1</t>
        </is>
      </c>
      <c r="D20" t="inlineStr">
        <is>
          <t xml:space="preserve">Passive</t>
        </is>
      </c>
      <c r="E20" t="inlineStr">
        <is>
          <t xml:space="preserve">Gain +1 Gold when losing Health</t>
        </is>
      </c>
      <c r="F20" t="inlineStr">
        <is>
          <t xml:space="preserve">health_lost: gain_gold 1</t>
        </is>
      </c>
      <c r="G20" t="inlineStr">
        <is>
          <t xml:space="preserve">coin</t>
        </is>
      </c>
      <c r="H20" t="inlineStr">
        <is>
          <t xml:space="preserve">The Binding of Isaac: Rebirth</t>
        </is>
      </c>
      <c r="I20" t="inlineStr">
        <is>
          <t xml:space="preserve">SwallowedPenny</t>
        </is>
      </c>
    </row>
    <row r="21" spans="1:9">
      <c r="A21" t="inlineStr">
        <is>
          <t xml:space="preserve">Whetstone</t>
        </is>
      </c>
      <c r="B21" t="inlineStr">
        <is>
          <t xml:space="preserve">Common</t>
        </is>
      </c>
      <c r="C21" t="inlineStr">
        <is>
          <t xml:space="preserve">1x1</t>
        </is>
      </c>
      <c r="D21" t="inlineStr">
        <is>
          <t xml:space="preserve">Passive</t>
        </is>
      </c>
      <c r="E21" t="inlineStr">
        <is>
          <t xml:space="preserve">Weapons above and below Gain +1 Stun</t>
        </is>
      </c>
      <c r="F21" t="inlineStr">
        <is>
          <t xml:space="preserve">weapon_stun +1 dirs=up,down</t>
        </is>
      </c>
      <c r="G21" t="inlineStr">
        <is>
          <t xml:space="preserve">stone, whetstone</t>
        </is>
      </c>
      <c r="H21" t="inlineStr">
        <is>
          <t xml:space="preserve">Backpack Battles</t>
        </is>
      </c>
      <c r="I21" t="inlineStr">
        <is>
          <t xml:space="preserve">Whetstone</t>
        </is>
      </c>
    </row>
    <row r="22" spans="1:9">
      <c r="A22" t="inlineStr">
        <is>
          <t xml:space="preserve">Wish Bone</t>
        </is>
      </c>
      <c r="B22" t="inlineStr">
        <is>
          <t xml:space="preserve">Common</t>
        </is>
      </c>
      <c r="C22" t="inlineStr">
        <is>
          <t xml:space="preserve">1x1</t>
        </is>
      </c>
      <c r="D22" t="inlineStr">
        <is>
          <t xml:space="preserve">Passive</t>
        </is>
      </c>
      <c r="E22" t="inlineStr">
        <is>
          <t xml:space="preserve">5% on losing Health to lose this and Gain + 1 Random Item</t>
        </is>
      </c>
      <c r="F22" t="inlineStr">
        <is>
          <t xml:space="preserve">health_lost: 5% chance break_into random_item</t>
        </is>
      </c>
      <c r="G22" t="inlineStr">
        <is>
          <t xml:space="preserve">bone</t>
        </is>
      </c>
      <c r="H22" t="inlineStr">
        <is>
          <t xml:space="preserve">The Binding of Isaac: Rebirth</t>
        </is>
      </c>
      <c r="I22" t="inlineStr">
        <is>
          <t xml:space="preserve">WishBone</t>
        </is>
      </c>
    </row>
    <row r="23" spans="1:9">
      <c r="A23" t="inlineStr">
        <is>
          <t xml:space="preserve">Wooden Cross</t>
        </is>
      </c>
      <c r="B23" t="inlineStr">
        <is>
          <t xml:space="preserve">Rare</t>
        </is>
      </c>
      <c r="C23" t="inlineStr">
        <is>
          <t xml:space="preserve">1x1</t>
        </is>
      </c>
      <c r="D23" t="inlineStr">
        <is>
          <t xml:space="preserve">Passive</t>
        </is>
      </c>
      <c r="E23" t="inlineStr">
        <is>
          <t xml:space="preserve">At the start of combat, Gain +1 Temporary Shield </t>
        </is>
      </c>
      <c r="F23" t="inlineStr">
        <is>
          <t xml:space="preserve">game_selected: gain_stat shields 1</t>
        </is>
      </c>
      <c r="G23" t="inlineStr">
        <is>
          <t xml:space="preserve">wood</t>
        </is>
      </c>
      <c r="H23" t="inlineStr">
        <is>
          <t xml:space="preserve">The Binding of Isaac: Rebirth</t>
        </is>
      </c>
      <c r="I23"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271</v>
      </c>
      <c r="L5" s="18">
        <f>IF($J5=0,0,$K5/$J5)</f>
        <v>0.66584766584766586</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586</v>
      </c>
      <c r="C6" s="17" t="s">
        <v>4306</v>
      </c>
      <c r="E6" t="s">
        <v>4307</v>
      </c>
      <c r="F6">
        <f>COUNTIF('Map Calc'!$D$2:$D$1200,1)</f>
        <v>332</v>
      </c>
      <c r="G6">
        <f>COUNTIFS('Map Calc'!$D$2:$D$1200,1,'Map Calc'!$P$2:$P$1200,"Yes")</f>
        <v>204</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0.6321467098166127</v>
      </c>
      <c r="C7" s="17" t="s">
        <v>4309</v>
      </c>
      <c r="E7" t="s">
        <v>4310</v>
      </c>
      <c r="F7">
        <f>COUNTIF('Map Calc'!$D$2:$D$1200,2)</f>
        <v>212</v>
      </c>
      <c r="G7">
        <f>COUNTIFS('Map Calc'!$D$2:$D$1200,2,'Map Calc'!$P$2:$P$1200,"Yes")</f>
        <v>124</v>
      </c>
      <c r="I7" t="s">
        <v>182</v>
      </c>
      <c r="J7">
        <f>COUNTIF(games!$C$2:$C$1200,$I7)</f>
        <v>189</v>
      </c>
      <c r="K7">
        <f>COUNTIFS(games!$C$2:$C$1200,$I7,games!$H$2:$H$1200,"Yes")</f>
        <v>101</v>
      </c>
      <c r="L7" s="18">
        <f>IF($J7=0,0,$K7/$J7)</f>
        <v>0.53439153439153442</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1538</v>
      </c>
      <c r="C8" s="17" t="s">
        <v>4311</v>
      </c>
      <c r="E8" t="s">
        <v>4312</v>
      </c>
      <c r="F8">
        <f>COUNTIF('Map Calc'!$D$2:$D$1200,3)</f>
        <v>136</v>
      </c>
      <c r="G8">
        <f>COUNTIFS('Map Calc'!$D$2:$D$1200,3,'Map Calc'!$P$2:$P$1200,"Yes")</f>
        <v>93</v>
      </c>
      <c r="I8" t="s">
        <v>179</v>
      </c>
      <c r="J8">
        <f>COUNTIF(games!$C$2:$C$1200,$I8)</f>
        <v>168</v>
      </c>
      <c r="K8">
        <f>COUNTIFS(games!$C$2:$C$1200,$I8,games!$H$2:$H$1200,"Yes")</f>
        <v>109</v>
      </c>
      <c r="L8" s="18">
        <f>IF($J8=0,0,$K8/$J8)</f>
        <v>0.64880952380952384</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3.3182308522114345</v>
      </c>
      <c r="C9" s="17" t="s">
        <v>4314</v>
      </c>
      <c r="E9" t="s">
        <v>4315</v>
      </c>
      <c r="F9">
        <f>COUNTIF('Map Calc'!$D$2:$D$1200,4)</f>
        <v>60</v>
      </c>
      <c r="G9">
        <f>COUNTIFS('Map Calc'!$D$2:$D$1200,4,'Map Calc'!$P$2:$P$1200,"Yes")</f>
        <v>37</v>
      </c>
      <c r="I9" s="21" t="s">
        <v>39</v>
      </c>
      <c r="J9" s="21">
        <f>SUM(J5:J8)</f>
        <v>927</v>
      </c>
      <c r="K9" s="21">
        <f>SUM(K5:K8)</f>
        <v>586</v>
      </c>
      <c r="L9" s="22">
        <f>IF($J9=0,0,$K9/$J9)</f>
        <v>0.6321467098166127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4.1092150170648463</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346</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240</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1386</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15</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73</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62</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21</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8</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8.0006319999999995</v>
      </c>
      <c r="P632" t="str">
        <f>IF(OR($A632="",games!$H632=""),"",games!$H632)</f>
        <v>Yes</v>
      </c>
      <c r="Q632">
        <f t="shared" si="128"/>
        <v>8.0006319999999995</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4</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4.0006620000000002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f>IF(connections!$A1539="","",IFERROR(INDEX(games!$B$2:$B$1200,MATCH(connections!$A1539,games!$A$2:$A$1200,0)),""))</f>
        <v>2020</v>
      </c>
      <c r="U1539">
        <f>IF(connections!$A1539="","",IFERROR(INDEX(games!$B$2:$B$1200,MATCH(connections!$B1539,games!$A$2:$A$1200,0)),""))</f>
        <v>2026</v>
      </c>
      <c r="V1539">
        <f t="shared" si="252"/>
        <v>6</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2026-10-19T11:25:04Z</dcterms:modified>
  <dc:language>en-US</dc:language>
</cp:coreProperties>
</file>